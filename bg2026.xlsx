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https://emergentcoldlatam.sharepoint.com/sites/ITLatam/Shared Documents/General/Budget 2026/Southern Cone_Capex_Opex/"/>
    </mc:Choice>
  </mc:AlternateContent>
  <xr:revisionPtr revIDLastSave="828" documentId="8_{488F23C3-C24E-4DB6-AC8D-FA5947634494}" xr6:coauthVersionLast="47" xr6:coauthVersionMax="47" xr10:uidLastSave="{0F25EEF3-AF9E-4887-AF06-0DF9F02B7626}"/>
  <bookViews>
    <workbookView xWindow="-110" yWindow="-110" windowWidth="19420" windowHeight="11500" firstSheet="1" activeTab="1" xr2:uid="{0F962D37-3624-47E0-937A-58660C54577F}"/>
  </bookViews>
  <sheets>
    <sheet name="Centro de Custo" sheetId="16" r:id="rId1"/>
    <sheet name="Budget" sheetId="1" r:id="rId2"/>
    <sheet name="Planilha1" sheetId="23" r:id="rId3"/>
    <sheet name="Planilha3" sheetId="25" r:id="rId4"/>
    <sheet name="Planilha2" sheetId="24" r:id="rId5"/>
    <sheet name="USD'000" sheetId="17" r:id="rId6"/>
    <sheet name="CONTAS" sheetId="7" state="hidden" r:id="rId7"/>
    <sheet name="CENTRO CUSTO" sheetId="5" state="hidden" r:id="rId8"/>
    <sheet name="PVT" sheetId="22" r:id="rId9"/>
    <sheet name="Macroindicadores" sheetId="8" state="hidden" r:id="rId10"/>
    <sheet name="Rateio" sheetId="21" r:id="rId11"/>
  </sheets>
  <externalReferences>
    <externalReference r:id="rId12"/>
  </externalReferences>
  <definedNames>
    <definedName name="_xlnm._FilterDatabase" localSheetId="7" hidden="1">'CENTRO CUSTO'!$A$1:$H$277</definedName>
    <definedName name="_xlnm._FilterDatabase" localSheetId="6" hidden="1">CONTAS!$A$1:$B$1</definedName>
    <definedName name="_xlnm._FilterDatabase" localSheetId="10" hidden="1">Rateio!$A$61:$D$89</definedName>
    <definedName name="_xlnm._FilterDatabase" localSheetId="1" hidden="1">Budget!$A$4:$BT$357</definedName>
    <definedName name="_xlnm._FilterDatabase" localSheetId="2" hidden="1">Planilha1!$A$1:$D$354</definedName>
    <definedName name="_xlnm._FilterDatabase" localSheetId="3" hidden="1">Planilha3!$A$1:$A$202</definedName>
    <definedName name="Slicer_Departamento">#N/A</definedName>
    <definedName name="Slicer_Empresa">#N/A</definedName>
    <definedName name="Slicer_Responsável">#N/A</definedName>
    <definedName name="Slicer_Tipo">#N/A</definedName>
    <definedName name="Slicer_Unidade">#N/A</definedName>
  </definedNames>
  <calcPr calcId="191028"/>
  <pivotCaches>
    <pivotCache cacheId="243" r:id="rId13"/>
    <pivotCache cacheId="24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58" i="1" l="1"/>
  <c r="AS356" i="1"/>
  <c r="AP356" i="1"/>
  <c r="BS232" i="1"/>
  <c r="BS233" i="1"/>
  <c r="BS234" i="1"/>
  <c r="C115" i="23"/>
  <c r="C4" i="23"/>
  <c r="C5" i="23"/>
  <c r="C41" i="23"/>
  <c r="C42" i="23"/>
  <c r="C43" i="23"/>
  <c r="C44" i="23"/>
  <c r="C45" i="23"/>
  <c r="C46" i="23"/>
  <c r="C47" i="23"/>
  <c r="C48" i="23"/>
  <c r="C49" i="23"/>
  <c r="C50" i="23"/>
  <c r="C51" i="23"/>
  <c r="C52" i="23"/>
  <c r="C53" i="23"/>
  <c r="C54"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6" i="23"/>
  <c r="C117" i="23"/>
  <c r="C118" i="23"/>
  <c r="C119" i="23"/>
  <c r="C12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7" i="23"/>
  <c r="C208" i="23"/>
  <c r="C209" i="23"/>
  <c r="C210" i="23"/>
  <c r="C211" i="23"/>
  <c r="C212" i="23"/>
  <c r="C213" i="23"/>
  <c r="C214" i="23"/>
  <c r="C215" i="23"/>
  <c r="C216" i="23"/>
  <c r="C217" i="23"/>
  <c r="C218" i="23"/>
  <c r="C219" i="23"/>
  <c r="C220" i="23"/>
  <c r="C221" i="23"/>
  <c r="C222"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2" i="23"/>
  <c r="C264" i="23"/>
  <c r="C265" i="23"/>
  <c r="C266" i="23"/>
  <c r="C267" i="23"/>
  <c r="C268" i="23"/>
  <c r="C269" i="23"/>
  <c r="C270" i="23"/>
  <c r="C271" i="23"/>
  <c r="C272" i="23"/>
  <c r="C273" i="23"/>
  <c r="C274" i="23"/>
  <c r="C2" i="23"/>
  <c r="D6" i="1"/>
  <c r="C259" i="1"/>
  <c r="M357" i="1"/>
  <c r="AB356" i="1"/>
  <c r="AA356" i="1"/>
  <c r="Z356" i="1"/>
  <c r="Y356" i="1"/>
  <c r="X356" i="1"/>
  <c r="W356" i="1"/>
  <c r="V356" i="1"/>
  <c r="U356" i="1"/>
  <c r="T356" i="1"/>
  <c r="S356" i="1"/>
  <c r="R356" i="1"/>
  <c r="Q356" i="1"/>
  <c r="AB355" i="1"/>
  <c r="AA355" i="1"/>
  <c r="Z355" i="1"/>
  <c r="Y355" i="1"/>
  <c r="X355" i="1"/>
  <c r="W355" i="1"/>
  <c r="V355" i="1"/>
  <c r="U355" i="1"/>
  <c r="T355" i="1"/>
  <c r="S355" i="1"/>
  <c r="R355" i="1"/>
  <c r="Q355" i="1"/>
  <c r="M356" i="1"/>
  <c r="M355" i="1"/>
  <c r="AB354" i="1"/>
  <c r="AA354" i="1"/>
  <c r="Z354" i="1"/>
  <c r="Y354" i="1"/>
  <c r="X354" i="1"/>
  <c r="W354" i="1"/>
  <c r="V354" i="1"/>
  <c r="U354" i="1"/>
  <c r="T354" i="1"/>
  <c r="S354" i="1"/>
  <c r="R354" i="1"/>
  <c r="Q354" i="1"/>
  <c r="AC354" i="1" s="1"/>
  <c r="AP354" i="1"/>
  <c r="BD354" i="1" s="1"/>
  <c r="BR354" i="1" s="1"/>
  <c r="AO354" i="1"/>
  <c r="BC354" i="1" s="1"/>
  <c r="BQ354" i="1" s="1"/>
  <c r="AN354" i="1"/>
  <c r="BB354" i="1" s="1"/>
  <c r="BP354" i="1" s="1"/>
  <c r="AM354" i="1"/>
  <c r="BA354" i="1" s="1"/>
  <c r="BO354" i="1" s="1"/>
  <c r="AL354" i="1"/>
  <c r="AZ354" i="1" s="1"/>
  <c r="BN354" i="1" s="1"/>
  <c r="AK354" i="1"/>
  <c r="AY354" i="1" s="1"/>
  <c r="BM354" i="1" s="1"/>
  <c r="AJ354" i="1"/>
  <c r="AX354" i="1" s="1"/>
  <c r="BL354" i="1" s="1"/>
  <c r="AI354" i="1"/>
  <c r="AW354" i="1" s="1"/>
  <c r="BK354" i="1" s="1"/>
  <c r="AH354" i="1"/>
  <c r="AV354" i="1" s="1"/>
  <c r="BJ354" i="1" s="1"/>
  <c r="AG354" i="1"/>
  <c r="AU354" i="1" s="1"/>
  <c r="BI354" i="1" s="1"/>
  <c r="AF354" i="1"/>
  <c r="AT354" i="1" s="1"/>
  <c r="BH354" i="1" s="1"/>
  <c r="AE354" i="1"/>
  <c r="M354" i="1"/>
  <c r="M353" i="1"/>
  <c r="AP353" i="1"/>
  <c r="BD353" i="1" s="1"/>
  <c r="BR353" i="1" s="1"/>
  <c r="AO353" i="1"/>
  <c r="BC353" i="1" s="1"/>
  <c r="BQ353" i="1" s="1"/>
  <c r="AN353" i="1"/>
  <c r="BB353" i="1" s="1"/>
  <c r="BP353" i="1" s="1"/>
  <c r="AM353" i="1"/>
  <c r="BA353" i="1" s="1"/>
  <c r="BO353" i="1" s="1"/>
  <c r="AL353" i="1"/>
  <c r="AZ353" i="1" s="1"/>
  <c r="BN353" i="1" s="1"/>
  <c r="AK353" i="1"/>
  <c r="AY353" i="1" s="1"/>
  <c r="BM353" i="1" s="1"/>
  <c r="AJ353" i="1"/>
  <c r="AX353" i="1" s="1"/>
  <c r="BL353" i="1" s="1"/>
  <c r="AI353" i="1"/>
  <c r="AW353" i="1" s="1"/>
  <c r="BK353" i="1" s="1"/>
  <c r="AH353" i="1"/>
  <c r="AV353" i="1" s="1"/>
  <c r="BJ353" i="1" s="1"/>
  <c r="AG353" i="1"/>
  <c r="AU353" i="1" s="1"/>
  <c r="BI353" i="1" s="1"/>
  <c r="AF353" i="1"/>
  <c r="AT353" i="1" s="1"/>
  <c r="BH353" i="1" s="1"/>
  <c r="AE353" i="1"/>
  <c r="AC353" i="1"/>
  <c r="AB7" i="1"/>
  <c r="AA7" i="1"/>
  <c r="Z7" i="1"/>
  <c r="Y7" i="1"/>
  <c r="X7" i="1"/>
  <c r="W7" i="1"/>
  <c r="V7" i="1"/>
  <c r="U7" i="1"/>
  <c r="T7" i="1"/>
  <c r="S7" i="1"/>
  <c r="R7" i="1"/>
  <c r="Q7" i="1"/>
  <c r="Q6" i="1"/>
  <c r="BT7" i="1"/>
  <c r="M7" i="1"/>
  <c r="E7" i="1"/>
  <c r="D7" i="1"/>
  <c r="C7" i="1"/>
  <c r="B7" i="1"/>
  <c r="A7" i="1"/>
  <c r="M37" i="1"/>
  <c r="AB37" i="1"/>
  <c r="AA37" i="1"/>
  <c r="Z37" i="1"/>
  <c r="Y37" i="1"/>
  <c r="X37" i="1"/>
  <c r="W37" i="1"/>
  <c r="V37" i="1"/>
  <c r="U37" i="1"/>
  <c r="T37" i="1"/>
  <c r="S37" i="1"/>
  <c r="R37" i="1"/>
  <c r="Q37" i="1"/>
  <c r="BT37" i="1"/>
  <c r="D37" i="1"/>
  <c r="C37" i="1"/>
  <c r="B37" i="1"/>
  <c r="A37" i="1"/>
  <c r="AB282" i="1"/>
  <c r="AA282" i="1"/>
  <c r="Z282" i="1"/>
  <c r="Y282" i="1"/>
  <c r="X282" i="1"/>
  <c r="W282" i="1"/>
  <c r="V282" i="1"/>
  <c r="U282" i="1"/>
  <c r="T282" i="1"/>
  <c r="S282" i="1"/>
  <c r="R282" i="1"/>
  <c r="Q282" i="1"/>
  <c r="AB231" i="1"/>
  <c r="AA231" i="1"/>
  <c r="Z231" i="1"/>
  <c r="Y231" i="1"/>
  <c r="X231" i="1"/>
  <c r="W231" i="1"/>
  <c r="V231" i="1"/>
  <c r="U231" i="1"/>
  <c r="T231" i="1"/>
  <c r="S231" i="1"/>
  <c r="R231" i="1"/>
  <c r="Q231" i="1"/>
  <c r="AC331" i="1"/>
  <c r="AC233" i="1"/>
  <c r="AC232" i="1"/>
  <c r="AC70" i="1"/>
  <c r="Q10" i="1"/>
  <c r="Q134" i="1"/>
  <c r="Q133" i="1"/>
  <c r="AB132" i="1"/>
  <c r="AA132" i="1"/>
  <c r="Z132" i="1"/>
  <c r="Y132" i="1"/>
  <c r="X132" i="1"/>
  <c r="W132" i="1"/>
  <c r="V132" i="1"/>
  <c r="U132" i="1"/>
  <c r="T132" i="1"/>
  <c r="S132" i="1"/>
  <c r="R132" i="1"/>
  <c r="Q132" i="1"/>
  <c r="AB131" i="1"/>
  <c r="AA131" i="1"/>
  <c r="Z131" i="1"/>
  <c r="Y131" i="1"/>
  <c r="X131" i="1"/>
  <c r="W131" i="1"/>
  <c r="V131" i="1"/>
  <c r="U131" i="1"/>
  <c r="T131" i="1"/>
  <c r="S131" i="1"/>
  <c r="R131" i="1"/>
  <c r="Q131" i="1"/>
  <c r="AE357" i="1" l="1"/>
  <c r="AC357" i="1"/>
  <c r="AF357" i="1"/>
  <c r="AT357" i="1" s="1"/>
  <c r="BH357" i="1" s="1"/>
  <c r="AG357" i="1"/>
  <c r="AU357" i="1" s="1"/>
  <c r="BI357" i="1" s="1"/>
  <c r="AH357" i="1"/>
  <c r="AV357" i="1" s="1"/>
  <c r="BJ357" i="1" s="1"/>
  <c r="AI357" i="1"/>
  <c r="AW357" i="1" s="1"/>
  <c r="BK357" i="1" s="1"/>
  <c r="AJ357" i="1"/>
  <c r="AX357" i="1" s="1"/>
  <c r="BL357" i="1" s="1"/>
  <c r="AK357" i="1"/>
  <c r="AY357" i="1" s="1"/>
  <c r="BM357" i="1" s="1"/>
  <c r="AL357" i="1"/>
  <c r="AZ357" i="1" s="1"/>
  <c r="BN357" i="1" s="1"/>
  <c r="AM357" i="1"/>
  <c r="BA357" i="1" s="1"/>
  <c r="BO357" i="1" s="1"/>
  <c r="AN357" i="1"/>
  <c r="BB357" i="1" s="1"/>
  <c r="BP357" i="1" s="1"/>
  <c r="AO357" i="1"/>
  <c r="BC357" i="1" s="1"/>
  <c r="BQ357" i="1" s="1"/>
  <c r="AP357" i="1"/>
  <c r="BD357" i="1" s="1"/>
  <c r="BR357" i="1" s="1"/>
  <c r="AE355" i="1"/>
  <c r="AC355" i="1"/>
  <c r="AF355" i="1"/>
  <c r="AT355" i="1" s="1"/>
  <c r="BH355" i="1" s="1"/>
  <c r="AG355" i="1"/>
  <c r="AU355" i="1" s="1"/>
  <c r="BI355" i="1" s="1"/>
  <c r="AH355" i="1"/>
  <c r="AV355" i="1" s="1"/>
  <c r="BJ355" i="1" s="1"/>
  <c r="AI355" i="1"/>
  <c r="AW355" i="1" s="1"/>
  <c r="BK355" i="1" s="1"/>
  <c r="AJ355" i="1"/>
  <c r="AX355" i="1" s="1"/>
  <c r="BL355" i="1" s="1"/>
  <c r="AK355" i="1"/>
  <c r="AY355" i="1" s="1"/>
  <c r="BM355" i="1" s="1"/>
  <c r="AL355" i="1"/>
  <c r="AZ355" i="1" s="1"/>
  <c r="BN355" i="1" s="1"/>
  <c r="AM355" i="1"/>
  <c r="BA355" i="1" s="1"/>
  <c r="BO355" i="1" s="1"/>
  <c r="AN355" i="1"/>
  <c r="BB355" i="1" s="1"/>
  <c r="BP355" i="1" s="1"/>
  <c r="AO355" i="1"/>
  <c r="BC355" i="1" s="1"/>
  <c r="BQ355" i="1" s="1"/>
  <c r="AP355" i="1"/>
  <c r="BD355" i="1" s="1"/>
  <c r="BR355" i="1" s="1"/>
  <c r="AE356" i="1"/>
  <c r="AC356" i="1"/>
  <c r="AF356" i="1"/>
  <c r="AT356" i="1" s="1"/>
  <c r="BH356" i="1" s="1"/>
  <c r="AG356" i="1"/>
  <c r="AU356" i="1" s="1"/>
  <c r="BI356" i="1" s="1"/>
  <c r="AH356" i="1"/>
  <c r="AV356" i="1" s="1"/>
  <c r="BJ356" i="1" s="1"/>
  <c r="AI356" i="1"/>
  <c r="AW356" i="1" s="1"/>
  <c r="BK356" i="1" s="1"/>
  <c r="AJ356" i="1"/>
  <c r="AX356" i="1" s="1"/>
  <c r="BL356" i="1" s="1"/>
  <c r="AK356" i="1"/>
  <c r="AY356" i="1" s="1"/>
  <c r="BM356" i="1" s="1"/>
  <c r="AL356" i="1"/>
  <c r="AZ356" i="1" s="1"/>
  <c r="BN356" i="1" s="1"/>
  <c r="AM356" i="1"/>
  <c r="BA356" i="1" s="1"/>
  <c r="BO356" i="1" s="1"/>
  <c r="AN356" i="1"/>
  <c r="BB356" i="1" s="1"/>
  <c r="BP356" i="1" s="1"/>
  <c r="AO356" i="1"/>
  <c r="BC356" i="1" s="1"/>
  <c r="BQ356" i="1" s="1"/>
  <c r="BD356" i="1"/>
  <c r="BR356" i="1" s="1"/>
  <c r="AS354" i="1"/>
  <c r="AQ354" i="1"/>
  <c r="AS353" i="1"/>
  <c r="AQ353" i="1"/>
  <c r="AE7" i="1"/>
  <c r="AC7" i="1"/>
  <c r="AF7" i="1"/>
  <c r="AG7" i="1"/>
  <c r="AH7" i="1"/>
  <c r="AI7" i="1"/>
  <c r="AJ7" i="1"/>
  <c r="AK7" i="1"/>
  <c r="AL7" i="1"/>
  <c r="AM7" i="1"/>
  <c r="AN7" i="1"/>
  <c r="AO7" i="1"/>
  <c r="AP7" i="1"/>
  <c r="AE37" i="1"/>
  <c r="AC37" i="1"/>
  <c r="AF37" i="1"/>
  <c r="AT37" i="1" s="1"/>
  <c r="BH37" i="1" s="1"/>
  <c r="AG37" i="1"/>
  <c r="AU37" i="1" s="1"/>
  <c r="BI37" i="1" s="1"/>
  <c r="AH37" i="1"/>
  <c r="AV37" i="1" s="1"/>
  <c r="BJ37" i="1" s="1"/>
  <c r="AI37" i="1"/>
  <c r="AW37" i="1" s="1"/>
  <c r="BK37" i="1" s="1"/>
  <c r="AJ37" i="1"/>
  <c r="AX37" i="1" s="1"/>
  <c r="BL37" i="1" s="1"/>
  <c r="AK37" i="1"/>
  <c r="AY37" i="1" s="1"/>
  <c r="BM37" i="1" s="1"/>
  <c r="AL37" i="1"/>
  <c r="AZ37" i="1" s="1"/>
  <c r="BN37" i="1" s="1"/>
  <c r="AM37" i="1"/>
  <c r="BA37" i="1" s="1"/>
  <c r="BO37" i="1" s="1"/>
  <c r="AN37" i="1"/>
  <c r="BB37" i="1" s="1"/>
  <c r="BP37" i="1" s="1"/>
  <c r="AO37" i="1"/>
  <c r="BC37" i="1" s="1"/>
  <c r="BQ37" i="1" s="1"/>
  <c r="AP37" i="1"/>
  <c r="BD37" i="1" s="1"/>
  <c r="BR37" i="1" s="1"/>
  <c r="AP352" i="1"/>
  <c r="BD352" i="1" s="1"/>
  <c r="BR352" i="1" s="1"/>
  <c r="AO352" i="1"/>
  <c r="BC352" i="1" s="1"/>
  <c r="BQ352" i="1" s="1"/>
  <c r="AN352" i="1"/>
  <c r="BB352" i="1" s="1"/>
  <c r="BP352" i="1" s="1"/>
  <c r="AM352" i="1"/>
  <c r="BA352" i="1" s="1"/>
  <c r="BO352" i="1" s="1"/>
  <c r="AL352" i="1"/>
  <c r="AZ352" i="1" s="1"/>
  <c r="BN352" i="1" s="1"/>
  <c r="AK352" i="1"/>
  <c r="AY352" i="1" s="1"/>
  <c r="BM352" i="1" s="1"/>
  <c r="AJ352" i="1"/>
  <c r="AX352" i="1" s="1"/>
  <c r="BL352" i="1" s="1"/>
  <c r="AI352" i="1"/>
  <c r="AW352" i="1" s="1"/>
  <c r="BK352" i="1" s="1"/>
  <c r="AH352" i="1"/>
  <c r="AV352" i="1" s="1"/>
  <c r="BJ352" i="1" s="1"/>
  <c r="AG352" i="1"/>
  <c r="AU352" i="1" s="1"/>
  <c r="BI352" i="1" s="1"/>
  <c r="AF352" i="1"/>
  <c r="AT352" i="1" s="1"/>
  <c r="BH352" i="1" s="1"/>
  <c r="AE352" i="1"/>
  <c r="AS352" i="1" s="1"/>
  <c r="AP351" i="1"/>
  <c r="BD351" i="1" s="1"/>
  <c r="BR351" i="1" s="1"/>
  <c r="AO351" i="1"/>
  <c r="BC351" i="1" s="1"/>
  <c r="BQ351" i="1" s="1"/>
  <c r="AN351" i="1"/>
  <c r="BB351" i="1" s="1"/>
  <c r="BP351" i="1" s="1"/>
  <c r="AM351" i="1"/>
  <c r="BA351" i="1" s="1"/>
  <c r="BO351" i="1" s="1"/>
  <c r="AL351" i="1"/>
  <c r="AZ351" i="1" s="1"/>
  <c r="BN351" i="1" s="1"/>
  <c r="AK351" i="1"/>
  <c r="AY351" i="1" s="1"/>
  <c r="BM351" i="1" s="1"/>
  <c r="AJ351" i="1"/>
  <c r="AX351" i="1" s="1"/>
  <c r="BL351" i="1" s="1"/>
  <c r="AI351" i="1"/>
  <c r="AW351" i="1" s="1"/>
  <c r="BK351" i="1" s="1"/>
  <c r="AH351" i="1"/>
  <c r="AV351" i="1" s="1"/>
  <c r="BJ351" i="1" s="1"/>
  <c r="AG351" i="1"/>
  <c r="AU351" i="1" s="1"/>
  <c r="BI351" i="1" s="1"/>
  <c r="AF351" i="1"/>
  <c r="AT351" i="1" s="1"/>
  <c r="BH351" i="1" s="1"/>
  <c r="AE351" i="1"/>
  <c r="AS351" i="1" s="1"/>
  <c r="BG351" i="1" s="1"/>
  <c r="AP350" i="1"/>
  <c r="BD350" i="1" s="1"/>
  <c r="BR350" i="1" s="1"/>
  <c r="AO350" i="1"/>
  <c r="BC350" i="1" s="1"/>
  <c r="BQ350" i="1" s="1"/>
  <c r="AN350" i="1"/>
  <c r="BB350" i="1" s="1"/>
  <c r="BP350" i="1" s="1"/>
  <c r="AM350" i="1"/>
  <c r="BA350" i="1" s="1"/>
  <c r="BO350" i="1" s="1"/>
  <c r="AL350" i="1"/>
  <c r="AZ350" i="1" s="1"/>
  <c r="BN350" i="1" s="1"/>
  <c r="AK350" i="1"/>
  <c r="AY350" i="1" s="1"/>
  <c r="BM350" i="1" s="1"/>
  <c r="AJ350" i="1"/>
  <c r="AX350" i="1" s="1"/>
  <c r="BL350" i="1" s="1"/>
  <c r="AI350" i="1"/>
  <c r="AW350" i="1" s="1"/>
  <c r="BK350" i="1" s="1"/>
  <c r="AH350" i="1"/>
  <c r="AV350" i="1" s="1"/>
  <c r="BJ350" i="1" s="1"/>
  <c r="AG350" i="1"/>
  <c r="AU350" i="1" s="1"/>
  <c r="BI350" i="1" s="1"/>
  <c r="AF350" i="1"/>
  <c r="AT350" i="1" s="1"/>
  <c r="BH350" i="1" s="1"/>
  <c r="AE350" i="1"/>
  <c r="AS350" i="1" s="1"/>
  <c r="BG350" i="1" s="1"/>
  <c r="AP349" i="1"/>
  <c r="BD349" i="1" s="1"/>
  <c r="BR349" i="1" s="1"/>
  <c r="AO349" i="1"/>
  <c r="BC349" i="1" s="1"/>
  <c r="BQ349" i="1" s="1"/>
  <c r="AN349" i="1"/>
  <c r="BB349" i="1" s="1"/>
  <c r="BP349" i="1" s="1"/>
  <c r="AM349" i="1"/>
  <c r="BA349" i="1" s="1"/>
  <c r="BO349" i="1" s="1"/>
  <c r="AL349" i="1"/>
  <c r="AZ349" i="1" s="1"/>
  <c r="BN349" i="1" s="1"/>
  <c r="AK349" i="1"/>
  <c r="AY349" i="1" s="1"/>
  <c r="BM349" i="1" s="1"/>
  <c r="AJ349" i="1"/>
  <c r="AX349" i="1" s="1"/>
  <c r="BL349" i="1" s="1"/>
  <c r="AI349" i="1"/>
  <c r="AW349" i="1" s="1"/>
  <c r="BK349" i="1" s="1"/>
  <c r="AH349" i="1"/>
  <c r="AV349" i="1" s="1"/>
  <c r="BJ349" i="1" s="1"/>
  <c r="AG349" i="1"/>
  <c r="AU349" i="1" s="1"/>
  <c r="BI349" i="1" s="1"/>
  <c r="AF349" i="1"/>
  <c r="AT349" i="1" s="1"/>
  <c r="BH349" i="1" s="1"/>
  <c r="AE349" i="1"/>
  <c r="AS349" i="1" s="1"/>
  <c r="BG349" i="1" s="1"/>
  <c r="AP348" i="1"/>
  <c r="BD348" i="1" s="1"/>
  <c r="BR348" i="1" s="1"/>
  <c r="AO348" i="1"/>
  <c r="BC348" i="1" s="1"/>
  <c r="BQ348" i="1" s="1"/>
  <c r="AN348" i="1"/>
  <c r="BB348" i="1" s="1"/>
  <c r="BP348" i="1" s="1"/>
  <c r="AM348" i="1"/>
  <c r="BA348" i="1" s="1"/>
  <c r="BO348" i="1" s="1"/>
  <c r="AL348" i="1"/>
  <c r="AZ348" i="1" s="1"/>
  <c r="BN348" i="1" s="1"/>
  <c r="AK348" i="1"/>
  <c r="AY348" i="1" s="1"/>
  <c r="BM348" i="1" s="1"/>
  <c r="AJ348" i="1"/>
  <c r="AX348" i="1" s="1"/>
  <c r="BL348" i="1" s="1"/>
  <c r="AI348" i="1"/>
  <c r="AW348" i="1" s="1"/>
  <c r="BK348" i="1" s="1"/>
  <c r="AH348" i="1"/>
  <c r="AV348" i="1" s="1"/>
  <c r="BJ348" i="1" s="1"/>
  <c r="AG348" i="1"/>
  <c r="AU348" i="1" s="1"/>
  <c r="BI348" i="1" s="1"/>
  <c r="AF348" i="1"/>
  <c r="AT348" i="1" s="1"/>
  <c r="BH348" i="1" s="1"/>
  <c r="AE348" i="1"/>
  <c r="AS348" i="1" s="1"/>
  <c r="AP347" i="1"/>
  <c r="BD347" i="1" s="1"/>
  <c r="BR347" i="1" s="1"/>
  <c r="AO347" i="1"/>
  <c r="BC347" i="1" s="1"/>
  <c r="BQ347" i="1" s="1"/>
  <c r="AN347" i="1"/>
  <c r="BB347" i="1" s="1"/>
  <c r="BP347" i="1" s="1"/>
  <c r="AM347" i="1"/>
  <c r="BA347" i="1" s="1"/>
  <c r="BO347" i="1" s="1"/>
  <c r="AL347" i="1"/>
  <c r="AZ347" i="1" s="1"/>
  <c r="BN347" i="1" s="1"/>
  <c r="AK347" i="1"/>
  <c r="AY347" i="1" s="1"/>
  <c r="BM347" i="1" s="1"/>
  <c r="AJ347" i="1"/>
  <c r="AX347" i="1" s="1"/>
  <c r="BL347" i="1" s="1"/>
  <c r="AI347" i="1"/>
  <c r="AW347" i="1" s="1"/>
  <c r="BK347" i="1" s="1"/>
  <c r="AH347" i="1"/>
  <c r="AV347" i="1" s="1"/>
  <c r="BJ347" i="1" s="1"/>
  <c r="AG347" i="1"/>
  <c r="AU347" i="1" s="1"/>
  <c r="BI347" i="1" s="1"/>
  <c r="AF347" i="1"/>
  <c r="AE347" i="1"/>
  <c r="AS347" i="1" s="1"/>
  <c r="BG347" i="1" s="1"/>
  <c r="AP346" i="1"/>
  <c r="BD346" i="1" s="1"/>
  <c r="BR346" i="1" s="1"/>
  <c r="AO346" i="1"/>
  <c r="BC346" i="1" s="1"/>
  <c r="BQ346" i="1" s="1"/>
  <c r="AN346" i="1"/>
  <c r="BB346" i="1" s="1"/>
  <c r="BP346" i="1" s="1"/>
  <c r="AM346" i="1"/>
  <c r="BA346" i="1" s="1"/>
  <c r="BO346" i="1" s="1"/>
  <c r="AL346" i="1"/>
  <c r="AZ346" i="1" s="1"/>
  <c r="BN346" i="1" s="1"/>
  <c r="AK346" i="1"/>
  <c r="AY346" i="1" s="1"/>
  <c r="BM346" i="1" s="1"/>
  <c r="AJ346" i="1"/>
  <c r="AX346" i="1" s="1"/>
  <c r="BL346" i="1" s="1"/>
  <c r="AI346" i="1"/>
  <c r="AW346" i="1" s="1"/>
  <c r="BK346" i="1" s="1"/>
  <c r="AH346" i="1"/>
  <c r="AV346" i="1" s="1"/>
  <c r="BJ346" i="1" s="1"/>
  <c r="AG346" i="1"/>
  <c r="AU346" i="1" s="1"/>
  <c r="BI346" i="1" s="1"/>
  <c r="AF346" i="1"/>
  <c r="AT346" i="1" s="1"/>
  <c r="AE346" i="1"/>
  <c r="AS346" i="1" s="1"/>
  <c r="BG346" i="1" s="1"/>
  <c r="BA345" i="1"/>
  <c r="BO345" i="1" s="1"/>
  <c r="AP345" i="1"/>
  <c r="BD345" i="1" s="1"/>
  <c r="BR345" i="1" s="1"/>
  <c r="AO345" i="1"/>
  <c r="BC345" i="1" s="1"/>
  <c r="BQ345" i="1" s="1"/>
  <c r="AN345" i="1"/>
  <c r="BB345" i="1" s="1"/>
  <c r="BP345" i="1" s="1"/>
  <c r="AM345" i="1"/>
  <c r="AL345" i="1"/>
  <c r="AZ345" i="1" s="1"/>
  <c r="BN345" i="1" s="1"/>
  <c r="AK345" i="1"/>
  <c r="AY345" i="1" s="1"/>
  <c r="BM345" i="1" s="1"/>
  <c r="AJ345" i="1"/>
  <c r="AX345" i="1" s="1"/>
  <c r="BL345" i="1" s="1"/>
  <c r="AI345" i="1"/>
  <c r="AW345" i="1" s="1"/>
  <c r="BK345" i="1" s="1"/>
  <c r="AH345" i="1"/>
  <c r="AV345" i="1" s="1"/>
  <c r="BJ345" i="1" s="1"/>
  <c r="AG345" i="1"/>
  <c r="AU345" i="1" s="1"/>
  <c r="BI345" i="1" s="1"/>
  <c r="AF345" i="1"/>
  <c r="AT345" i="1" s="1"/>
  <c r="BH345" i="1" s="1"/>
  <c r="AE345" i="1"/>
  <c r="AS345" i="1" s="1"/>
  <c r="BD344" i="1"/>
  <c r="BR344" i="1" s="1"/>
  <c r="AP344" i="1"/>
  <c r="AO344" i="1"/>
  <c r="BC344" i="1" s="1"/>
  <c r="BQ344" i="1" s="1"/>
  <c r="AN344" i="1"/>
  <c r="BB344" i="1" s="1"/>
  <c r="BP344" i="1" s="1"/>
  <c r="AM344" i="1"/>
  <c r="BA344" i="1" s="1"/>
  <c r="BO344" i="1" s="1"/>
  <c r="AL344" i="1"/>
  <c r="AZ344" i="1" s="1"/>
  <c r="BN344" i="1" s="1"/>
  <c r="AK344" i="1"/>
  <c r="AY344" i="1" s="1"/>
  <c r="BM344" i="1" s="1"/>
  <c r="AJ344" i="1"/>
  <c r="AX344" i="1" s="1"/>
  <c r="BL344" i="1" s="1"/>
  <c r="AI344" i="1"/>
  <c r="AW344" i="1" s="1"/>
  <c r="BK344" i="1" s="1"/>
  <c r="AH344" i="1"/>
  <c r="AV344" i="1" s="1"/>
  <c r="BJ344" i="1" s="1"/>
  <c r="AG344" i="1"/>
  <c r="AU344" i="1" s="1"/>
  <c r="BI344" i="1" s="1"/>
  <c r="AF344" i="1"/>
  <c r="AT344" i="1" s="1"/>
  <c r="BH344" i="1" s="1"/>
  <c r="AE344" i="1"/>
  <c r="AS344" i="1" s="1"/>
  <c r="BD343" i="1"/>
  <c r="BR343" i="1" s="1"/>
  <c r="BC343" i="1"/>
  <c r="BQ343" i="1" s="1"/>
  <c r="AV343" i="1"/>
  <c r="BJ343" i="1" s="1"/>
  <c r="AU343" i="1"/>
  <c r="BI343" i="1" s="1"/>
  <c r="AP343" i="1"/>
  <c r="AO343" i="1"/>
  <c r="AN343" i="1"/>
  <c r="BB343" i="1" s="1"/>
  <c r="BP343" i="1" s="1"/>
  <c r="AM343" i="1"/>
  <c r="BA343" i="1" s="1"/>
  <c r="BO343" i="1" s="1"/>
  <c r="AL343" i="1"/>
  <c r="AZ343" i="1" s="1"/>
  <c r="BN343" i="1" s="1"/>
  <c r="AK343" i="1"/>
  <c r="AY343" i="1" s="1"/>
  <c r="BM343" i="1" s="1"/>
  <c r="AJ343" i="1"/>
  <c r="AX343" i="1" s="1"/>
  <c r="BL343" i="1" s="1"/>
  <c r="AI343" i="1"/>
  <c r="AW343" i="1" s="1"/>
  <c r="BK343" i="1" s="1"/>
  <c r="AH343" i="1"/>
  <c r="AG343" i="1"/>
  <c r="AF343" i="1"/>
  <c r="AT343" i="1" s="1"/>
  <c r="BH343" i="1" s="1"/>
  <c r="AE343" i="1"/>
  <c r="AS343" i="1" s="1"/>
  <c r="BC342" i="1"/>
  <c r="BQ342" i="1" s="1"/>
  <c r="BB342" i="1"/>
  <c r="BP342" i="1" s="1"/>
  <c r="AU342" i="1"/>
  <c r="BI342" i="1" s="1"/>
  <c r="AT342" i="1"/>
  <c r="BH342" i="1" s="1"/>
  <c r="AP342" i="1"/>
  <c r="BD342" i="1" s="1"/>
  <c r="BR342" i="1" s="1"/>
  <c r="AO342" i="1"/>
  <c r="AN342" i="1"/>
  <c r="AM342" i="1"/>
  <c r="BA342" i="1" s="1"/>
  <c r="BO342" i="1" s="1"/>
  <c r="AL342" i="1"/>
  <c r="AZ342" i="1" s="1"/>
  <c r="BN342" i="1" s="1"/>
  <c r="AK342" i="1"/>
  <c r="AY342" i="1" s="1"/>
  <c r="BM342" i="1" s="1"/>
  <c r="AJ342" i="1"/>
  <c r="AX342" i="1" s="1"/>
  <c r="BL342" i="1" s="1"/>
  <c r="AI342" i="1"/>
  <c r="AQ342" i="1" s="1"/>
  <c r="AH342" i="1"/>
  <c r="AV342" i="1" s="1"/>
  <c r="BJ342" i="1" s="1"/>
  <c r="AG342" i="1"/>
  <c r="AF342" i="1"/>
  <c r="AE342" i="1"/>
  <c r="AS342" i="1" s="1"/>
  <c r="AZ341" i="1"/>
  <c r="BN341" i="1" s="1"/>
  <c r="AP341" i="1"/>
  <c r="BD341" i="1" s="1"/>
  <c r="BR341" i="1" s="1"/>
  <c r="AO341" i="1"/>
  <c r="BC341" i="1" s="1"/>
  <c r="BQ341" i="1" s="1"/>
  <c r="AN341" i="1"/>
  <c r="BB341" i="1" s="1"/>
  <c r="BP341" i="1" s="1"/>
  <c r="AM341" i="1"/>
  <c r="BA341" i="1" s="1"/>
  <c r="BO341" i="1" s="1"/>
  <c r="AL341" i="1"/>
  <c r="AK341" i="1"/>
  <c r="AY341" i="1" s="1"/>
  <c r="BM341" i="1" s="1"/>
  <c r="AJ341" i="1"/>
  <c r="AX341" i="1" s="1"/>
  <c r="BL341" i="1" s="1"/>
  <c r="AI341" i="1"/>
  <c r="AW341" i="1" s="1"/>
  <c r="BK341" i="1" s="1"/>
  <c r="AH341" i="1"/>
  <c r="AV341" i="1" s="1"/>
  <c r="BJ341" i="1" s="1"/>
  <c r="AG341" i="1"/>
  <c r="AU341" i="1" s="1"/>
  <c r="BI341" i="1" s="1"/>
  <c r="AF341" i="1"/>
  <c r="AT341" i="1" s="1"/>
  <c r="BH341" i="1" s="1"/>
  <c r="AE341" i="1"/>
  <c r="AS341" i="1" s="1"/>
  <c r="BG341" i="1" s="1"/>
  <c r="AX340" i="1"/>
  <c r="BL340" i="1" s="1"/>
  <c r="AW340" i="1"/>
  <c r="BK340" i="1" s="1"/>
  <c r="AT340" i="1"/>
  <c r="BH340" i="1" s="1"/>
  <c r="AP340" i="1"/>
  <c r="BD340" i="1" s="1"/>
  <c r="BR340" i="1" s="1"/>
  <c r="AO340" i="1"/>
  <c r="BC340" i="1" s="1"/>
  <c r="BQ340" i="1" s="1"/>
  <c r="AN340" i="1"/>
  <c r="BB340" i="1" s="1"/>
  <c r="BP340" i="1" s="1"/>
  <c r="AM340" i="1"/>
  <c r="BA340" i="1" s="1"/>
  <c r="BO340" i="1" s="1"/>
  <c r="AL340" i="1"/>
  <c r="AZ340" i="1" s="1"/>
  <c r="BN340" i="1" s="1"/>
  <c r="AK340" i="1"/>
  <c r="AY340" i="1" s="1"/>
  <c r="BM340" i="1" s="1"/>
  <c r="AJ340" i="1"/>
  <c r="AI340" i="1"/>
  <c r="AH340" i="1"/>
  <c r="AV340" i="1" s="1"/>
  <c r="BJ340" i="1" s="1"/>
  <c r="AG340" i="1"/>
  <c r="AU340" i="1" s="1"/>
  <c r="BI340" i="1" s="1"/>
  <c r="AF340" i="1"/>
  <c r="AE340" i="1"/>
  <c r="AS340" i="1" s="1"/>
  <c r="BG340" i="1" s="1"/>
  <c r="AZ339" i="1"/>
  <c r="BN339" i="1" s="1"/>
  <c r="AP339" i="1"/>
  <c r="BD339" i="1" s="1"/>
  <c r="BR339" i="1" s="1"/>
  <c r="AO339" i="1"/>
  <c r="BC339" i="1" s="1"/>
  <c r="BQ339" i="1" s="1"/>
  <c r="AN339" i="1"/>
  <c r="BB339" i="1" s="1"/>
  <c r="BP339" i="1" s="1"/>
  <c r="AM339" i="1"/>
  <c r="BA339" i="1" s="1"/>
  <c r="BO339" i="1" s="1"/>
  <c r="AL339" i="1"/>
  <c r="AK339" i="1"/>
  <c r="AY339" i="1" s="1"/>
  <c r="BM339" i="1" s="1"/>
  <c r="AJ339" i="1"/>
  <c r="AX339" i="1" s="1"/>
  <c r="BL339" i="1" s="1"/>
  <c r="AI339" i="1"/>
  <c r="AW339" i="1" s="1"/>
  <c r="BK339" i="1" s="1"/>
  <c r="AH339" i="1"/>
  <c r="AV339" i="1" s="1"/>
  <c r="BJ339" i="1" s="1"/>
  <c r="AG339" i="1"/>
  <c r="AU339" i="1" s="1"/>
  <c r="BI339" i="1" s="1"/>
  <c r="AF339" i="1"/>
  <c r="AT339" i="1" s="1"/>
  <c r="BH339" i="1" s="1"/>
  <c r="AE339" i="1"/>
  <c r="AS339" i="1" s="1"/>
  <c r="AP338" i="1"/>
  <c r="BD338" i="1" s="1"/>
  <c r="BR338" i="1" s="1"/>
  <c r="AO338" i="1"/>
  <c r="BC338" i="1" s="1"/>
  <c r="BQ338" i="1" s="1"/>
  <c r="AN338" i="1"/>
  <c r="BB338" i="1" s="1"/>
  <c r="BP338" i="1" s="1"/>
  <c r="AM338" i="1"/>
  <c r="BA338" i="1" s="1"/>
  <c r="BO338" i="1" s="1"/>
  <c r="AL338" i="1"/>
  <c r="AZ338" i="1" s="1"/>
  <c r="BN338" i="1" s="1"/>
  <c r="AK338" i="1"/>
  <c r="AY338" i="1" s="1"/>
  <c r="BM338" i="1" s="1"/>
  <c r="AJ338" i="1"/>
  <c r="AX338" i="1" s="1"/>
  <c r="BL338" i="1" s="1"/>
  <c r="AI338" i="1"/>
  <c r="AW338" i="1" s="1"/>
  <c r="BK338" i="1" s="1"/>
  <c r="AH338" i="1"/>
  <c r="AV338" i="1" s="1"/>
  <c r="BJ338" i="1" s="1"/>
  <c r="AG338" i="1"/>
  <c r="AU338" i="1" s="1"/>
  <c r="BI338" i="1" s="1"/>
  <c r="AF338" i="1"/>
  <c r="AT338" i="1" s="1"/>
  <c r="AE338" i="1"/>
  <c r="AS338" i="1" s="1"/>
  <c r="BG338" i="1" s="1"/>
  <c r="AP337" i="1"/>
  <c r="BD337" i="1" s="1"/>
  <c r="BR337" i="1" s="1"/>
  <c r="AO337" i="1"/>
  <c r="BC337" i="1" s="1"/>
  <c r="BQ337" i="1" s="1"/>
  <c r="AN337" i="1"/>
  <c r="BB337" i="1" s="1"/>
  <c r="BP337" i="1" s="1"/>
  <c r="AM337" i="1"/>
  <c r="BA337" i="1" s="1"/>
  <c r="BO337" i="1" s="1"/>
  <c r="AL337" i="1"/>
  <c r="AZ337" i="1" s="1"/>
  <c r="BN337" i="1" s="1"/>
  <c r="AK337" i="1"/>
  <c r="AY337" i="1" s="1"/>
  <c r="BM337" i="1" s="1"/>
  <c r="AJ337" i="1"/>
  <c r="AX337" i="1" s="1"/>
  <c r="BL337" i="1" s="1"/>
  <c r="AI337" i="1"/>
  <c r="AW337" i="1" s="1"/>
  <c r="BK337" i="1" s="1"/>
  <c r="AH337" i="1"/>
  <c r="AV337" i="1" s="1"/>
  <c r="BJ337" i="1" s="1"/>
  <c r="AG337" i="1"/>
  <c r="AU337" i="1" s="1"/>
  <c r="BI337" i="1" s="1"/>
  <c r="AF337" i="1"/>
  <c r="AT337" i="1" s="1"/>
  <c r="BH337" i="1" s="1"/>
  <c r="AE337" i="1"/>
  <c r="AS337" i="1" s="1"/>
  <c r="AP336" i="1"/>
  <c r="BD336" i="1" s="1"/>
  <c r="BR336" i="1" s="1"/>
  <c r="AO336" i="1"/>
  <c r="BC336" i="1" s="1"/>
  <c r="BQ336" i="1" s="1"/>
  <c r="AN336" i="1"/>
  <c r="BB336" i="1" s="1"/>
  <c r="BP336" i="1" s="1"/>
  <c r="AM336" i="1"/>
  <c r="BA336" i="1" s="1"/>
  <c r="BO336" i="1" s="1"/>
  <c r="AL336" i="1"/>
  <c r="AZ336" i="1" s="1"/>
  <c r="BN336" i="1" s="1"/>
  <c r="AK336" i="1"/>
  <c r="AY336" i="1" s="1"/>
  <c r="BM336" i="1" s="1"/>
  <c r="AJ336" i="1"/>
  <c r="AX336" i="1" s="1"/>
  <c r="BL336" i="1" s="1"/>
  <c r="AI336" i="1"/>
  <c r="AW336" i="1" s="1"/>
  <c r="BK336" i="1" s="1"/>
  <c r="AH336" i="1"/>
  <c r="AV336" i="1" s="1"/>
  <c r="BJ336" i="1" s="1"/>
  <c r="AG336" i="1"/>
  <c r="AU336" i="1" s="1"/>
  <c r="BI336" i="1" s="1"/>
  <c r="AF336" i="1"/>
  <c r="AT336" i="1" s="1"/>
  <c r="BH336" i="1" s="1"/>
  <c r="AE336" i="1"/>
  <c r="AS336" i="1" s="1"/>
  <c r="AP335" i="1"/>
  <c r="BD335" i="1" s="1"/>
  <c r="BR335" i="1" s="1"/>
  <c r="AO335" i="1"/>
  <c r="BC335" i="1" s="1"/>
  <c r="BQ335" i="1" s="1"/>
  <c r="AN335" i="1"/>
  <c r="BB335" i="1" s="1"/>
  <c r="BP335" i="1" s="1"/>
  <c r="AM335" i="1"/>
  <c r="BA335" i="1" s="1"/>
  <c r="BO335" i="1" s="1"/>
  <c r="AL335" i="1"/>
  <c r="AZ335" i="1" s="1"/>
  <c r="BN335" i="1" s="1"/>
  <c r="AK335" i="1"/>
  <c r="AY335" i="1" s="1"/>
  <c r="BM335" i="1" s="1"/>
  <c r="AJ335" i="1"/>
  <c r="AX335" i="1" s="1"/>
  <c r="BL335" i="1" s="1"/>
  <c r="AI335" i="1"/>
  <c r="AW335" i="1" s="1"/>
  <c r="BK335" i="1" s="1"/>
  <c r="AH335" i="1"/>
  <c r="AV335" i="1" s="1"/>
  <c r="BJ335" i="1" s="1"/>
  <c r="AG335" i="1"/>
  <c r="AU335" i="1" s="1"/>
  <c r="BI335" i="1" s="1"/>
  <c r="AF335" i="1"/>
  <c r="AT335" i="1" s="1"/>
  <c r="BH335" i="1" s="1"/>
  <c r="AE335" i="1"/>
  <c r="AS335" i="1" s="1"/>
  <c r="AP334" i="1"/>
  <c r="BD334" i="1" s="1"/>
  <c r="BR334" i="1" s="1"/>
  <c r="AO334" i="1"/>
  <c r="BC334" i="1" s="1"/>
  <c r="BQ334" i="1" s="1"/>
  <c r="AN334" i="1"/>
  <c r="BB334" i="1" s="1"/>
  <c r="BP334" i="1" s="1"/>
  <c r="AM334" i="1"/>
  <c r="BA334" i="1" s="1"/>
  <c r="BO334" i="1" s="1"/>
  <c r="AL334" i="1"/>
  <c r="AZ334" i="1" s="1"/>
  <c r="BN334" i="1" s="1"/>
  <c r="AK334" i="1"/>
  <c r="AY334" i="1" s="1"/>
  <c r="BM334" i="1" s="1"/>
  <c r="AJ334" i="1"/>
  <c r="AX334" i="1" s="1"/>
  <c r="BL334" i="1" s="1"/>
  <c r="AI334" i="1"/>
  <c r="AW334" i="1" s="1"/>
  <c r="BK334" i="1" s="1"/>
  <c r="AH334" i="1"/>
  <c r="AV334" i="1" s="1"/>
  <c r="BJ334" i="1" s="1"/>
  <c r="AG334" i="1"/>
  <c r="AU334" i="1" s="1"/>
  <c r="BI334" i="1" s="1"/>
  <c r="AF334" i="1"/>
  <c r="AT334" i="1" s="1"/>
  <c r="BH334" i="1" s="1"/>
  <c r="AE334" i="1"/>
  <c r="AS334" i="1" s="1"/>
  <c r="BG334" i="1" s="1"/>
  <c r="AP333" i="1"/>
  <c r="BD333" i="1" s="1"/>
  <c r="BR333" i="1" s="1"/>
  <c r="AO333" i="1"/>
  <c r="BC333" i="1" s="1"/>
  <c r="BQ333" i="1" s="1"/>
  <c r="AN333" i="1"/>
  <c r="BB333" i="1" s="1"/>
  <c r="BP333" i="1" s="1"/>
  <c r="AM333" i="1"/>
  <c r="BA333" i="1" s="1"/>
  <c r="BO333" i="1" s="1"/>
  <c r="AL333" i="1"/>
  <c r="AZ333" i="1" s="1"/>
  <c r="BN333" i="1" s="1"/>
  <c r="AK333" i="1"/>
  <c r="AY333" i="1" s="1"/>
  <c r="BM333" i="1" s="1"/>
  <c r="AJ333" i="1"/>
  <c r="AX333" i="1" s="1"/>
  <c r="BL333" i="1" s="1"/>
  <c r="AI333" i="1"/>
  <c r="AW333" i="1" s="1"/>
  <c r="BK333" i="1" s="1"/>
  <c r="AH333" i="1"/>
  <c r="AV333" i="1" s="1"/>
  <c r="BJ333" i="1" s="1"/>
  <c r="AG333" i="1"/>
  <c r="AU333" i="1" s="1"/>
  <c r="BI333" i="1" s="1"/>
  <c r="AF333" i="1"/>
  <c r="AT333" i="1" s="1"/>
  <c r="BH333" i="1" s="1"/>
  <c r="AE333" i="1"/>
  <c r="AS333" i="1" s="1"/>
  <c r="BG333" i="1" s="1"/>
  <c r="BR332" i="1"/>
  <c r="BQ332" i="1"/>
  <c r="BO332" i="1"/>
  <c r="BN332" i="1"/>
  <c r="BM332" i="1"/>
  <c r="BK332" i="1"/>
  <c r="BJ332" i="1"/>
  <c r="BI332" i="1"/>
  <c r="BH332" i="1"/>
  <c r="BD332" i="1"/>
  <c r="BC332" i="1"/>
  <c r="BA332" i="1"/>
  <c r="AZ332" i="1"/>
  <c r="AY332" i="1"/>
  <c r="AW332" i="1"/>
  <c r="AV332" i="1"/>
  <c r="AU332" i="1"/>
  <c r="AT332" i="1"/>
  <c r="AP332" i="1"/>
  <c r="AO332" i="1"/>
  <c r="AN332" i="1"/>
  <c r="BB332" i="1" s="1"/>
  <c r="BP332" i="1" s="1"/>
  <c r="AM332" i="1"/>
  <c r="AL332" i="1"/>
  <c r="AK332" i="1"/>
  <c r="AJ332" i="1"/>
  <c r="AX332" i="1" s="1"/>
  <c r="BL332" i="1" s="1"/>
  <c r="AI332" i="1"/>
  <c r="AH332" i="1"/>
  <c r="AG332" i="1"/>
  <c r="AF332" i="1"/>
  <c r="AE332" i="1"/>
  <c r="AS332" i="1" s="1"/>
  <c r="BG332" i="1" s="1"/>
  <c r="AP330" i="1"/>
  <c r="BD330" i="1" s="1"/>
  <c r="BR330" i="1" s="1"/>
  <c r="AO330" i="1"/>
  <c r="BC330" i="1" s="1"/>
  <c r="BQ330" i="1" s="1"/>
  <c r="AN330" i="1"/>
  <c r="BB330" i="1" s="1"/>
  <c r="BP330" i="1" s="1"/>
  <c r="AM330" i="1"/>
  <c r="BA330" i="1" s="1"/>
  <c r="BO330" i="1" s="1"/>
  <c r="AL330" i="1"/>
  <c r="AZ330" i="1" s="1"/>
  <c r="BN330" i="1" s="1"/>
  <c r="AK330" i="1"/>
  <c r="AY330" i="1" s="1"/>
  <c r="BM330" i="1" s="1"/>
  <c r="AJ330" i="1"/>
  <c r="AX330" i="1" s="1"/>
  <c r="BL330" i="1" s="1"/>
  <c r="AI330" i="1"/>
  <c r="AW330" i="1" s="1"/>
  <c r="BK330" i="1" s="1"/>
  <c r="AH330" i="1"/>
  <c r="AV330" i="1" s="1"/>
  <c r="BJ330" i="1" s="1"/>
  <c r="AG330" i="1"/>
  <c r="AU330" i="1" s="1"/>
  <c r="BI330" i="1" s="1"/>
  <c r="AF330" i="1"/>
  <c r="AT330" i="1" s="1"/>
  <c r="BH330" i="1" s="1"/>
  <c r="AE330" i="1"/>
  <c r="AS330" i="1" s="1"/>
  <c r="AP329" i="1"/>
  <c r="BD329" i="1" s="1"/>
  <c r="BR329" i="1" s="1"/>
  <c r="AO329" i="1"/>
  <c r="BC329" i="1" s="1"/>
  <c r="BQ329" i="1" s="1"/>
  <c r="AN329" i="1"/>
  <c r="BB329" i="1" s="1"/>
  <c r="BP329" i="1" s="1"/>
  <c r="AM329" i="1"/>
  <c r="BA329" i="1" s="1"/>
  <c r="BO329" i="1" s="1"/>
  <c r="AL329" i="1"/>
  <c r="AZ329" i="1" s="1"/>
  <c r="BN329" i="1" s="1"/>
  <c r="AK329" i="1"/>
  <c r="AY329" i="1" s="1"/>
  <c r="BM329" i="1" s="1"/>
  <c r="AJ329" i="1"/>
  <c r="AX329" i="1" s="1"/>
  <c r="BL329" i="1" s="1"/>
  <c r="AI329" i="1"/>
  <c r="AW329" i="1" s="1"/>
  <c r="BK329" i="1" s="1"/>
  <c r="AH329" i="1"/>
  <c r="AV329" i="1" s="1"/>
  <c r="BJ329" i="1" s="1"/>
  <c r="AG329" i="1"/>
  <c r="AU329" i="1" s="1"/>
  <c r="BI329" i="1" s="1"/>
  <c r="AF329" i="1"/>
  <c r="AT329" i="1" s="1"/>
  <c r="AE329" i="1"/>
  <c r="AS329" i="1" s="1"/>
  <c r="BG329" i="1" s="1"/>
  <c r="AC352" i="1"/>
  <c r="AC351" i="1"/>
  <c r="AC350" i="1"/>
  <c r="AC349" i="1"/>
  <c r="AC348" i="1"/>
  <c r="AC347" i="1"/>
  <c r="AC346" i="1"/>
  <c r="AC345" i="1"/>
  <c r="AC344" i="1"/>
  <c r="AD344" i="1" s="1"/>
  <c r="AC343" i="1"/>
  <c r="AD343" i="1" s="1"/>
  <c r="AC342" i="1"/>
  <c r="AD342" i="1" s="1"/>
  <c r="AC341" i="1"/>
  <c r="AD341" i="1" s="1"/>
  <c r="AC340" i="1"/>
  <c r="AD340" i="1" s="1"/>
  <c r="AC339" i="1"/>
  <c r="AD339" i="1" s="1"/>
  <c r="AC338" i="1"/>
  <c r="AD338" i="1" s="1"/>
  <c r="AC337" i="1"/>
  <c r="AD337" i="1" s="1"/>
  <c r="AC336" i="1"/>
  <c r="AD336" i="1" s="1"/>
  <c r="AC335" i="1"/>
  <c r="AD335" i="1" s="1"/>
  <c r="AC334" i="1"/>
  <c r="AD334" i="1" s="1"/>
  <c r="AC333" i="1"/>
  <c r="AD333" i="1" s="1"/>
  <c r="AC332" i="1"/>
  <c r="AD332" i="1" s="1"/>
  <c r="AC330" i="1"/>
  <c r="AC329" i="1"/>
  <c r="BS341" i="1" l="1"/>
  <c r="AS357" i="1"/>
  <c r="AQ357" i="1"/>
  <c r="AQ356" i="1"/>
  <c r="AS355" i="1"/>
  <c r="AQ355" i="1"/>
  <c r="BG354" i="1"/>
  <c r="BS354" i="1" s="1"/>
  <c r="BE354" i="1"/>
  <c r="BG353" i="1"/>
  <c r="BS353" i="1" s="1"/>
  <c r="BE353" i="1"/>
  <c r="AS7" i="1"/>
  <c r="AQ7" i="1"/>
  <c r="AS37" i="1"/>
  <c r="AQ37" i="1"/>
  <c r="BG342" i="1"/>
  <c r="BG343" i="1"/>
  <c r="BS343" i="1" s="1"/>
  <c r="BE343" i="1"/>
  <c r="BG344" i="1"/>
  <c r="BS344" i="1" s="1"/>
  <c r="BE344" i="1"/>
  <c r="AW342" i="1"/>
  <c r="BK342" i="1" s="1"/>
  <c r="AQ344" i="1"/>
  <c r="AQ343" i="1"/>
  <c r="AQ341" i="1"/>
  <c r="AQ349" i="1"/>
  <c r="AQ347" i="1"/>
  <c r="AQ329" i="1"/>
  <c r="AQ338" i="1"/>
  <c r="AQ332" i="1"/>
  <c r="AQ333" i="1"/>
  <c r="AQ351" i="1"/>
  <c r="AQ350" i="1"/>
  <c r="AQ346" i="1"/>
  <c r="AT347" i="1"/>
  <c r="BH347" i="1" s="1"/>
  <c r="BS347" i="1" s="1"/>
  <c r="AQ330" i="1"/>
  <c r="AQ334" i="1"/>
  <c r="AQ339" i="1"/>
  <c r="BE351" i="1"/>
  <c r="BG348" i="1"/>
  <c r="BS348" i="1" s="1"/>
  <c r="BE348" i="1"/>
  <c r="BE337" i="1"/>
  <c r="BG337" i="1"/>
  <c r="BS337" i="1" s="1"/>
  <c r="BS340" i="1"/>
  <c r="BE345" i="1"/>
  <c r="BG345" i="1"/>
  <c r="BS345" i="1" s="1"/>
  <c r="BS350" i="1"/>
  <c r="BS334" i="1"/>
  <c r="BG335" i="1"/>
  <c r="BS335" i="1" s="1"/>
  <c r="BE335" i="1"/>
  <c r="BS349" i="1"/>
  <c r="BH346" i="1"/>
  <c r="BS346" i="1" s="1"/>
  <c r="BE346" i="1"/>
  <c r="BE329" i="1"/>
  <c r="BH329" i="1"/>
  <c r="BS329" i="1" s="1"/>
  <c r="BE338" i="1"/>
  <c r="BH338" i="1"/>
  <c r="BS338" i="1" s="1"/>
  <c r="BS332" i="1"/>
  <c r="BS333" i="1"/>
  <c r="BG352" i="1"/>
  <c r="BS352" i="1" s="1"/>
  <c r="BE352" i="1"/>
  <c r="BE330" i="1"/>
  <c r="BG330" i="1"/>
  <c r="BS330" i="1" s="1"/>
  <c r="BG336" i="1"/>
  <c r="BS336" i="1" s="1"/>
  <c r="BE336" i="1"/>
  <c r="BE339" i="1"/>
  <c r="BG339" i="1"/>
  <c r="BS339" i="1" s="1"/>
  <c r="BS351" i="1"/>
  <c r="AQ340" i="1"/>
  <c r="BE334" i="1"/>
  <c r="AQ337" i="1"/>
  <c r="AQ345" i="1"/>
  <c r="BE350" i="1"/>
  <c r="AQ348" i="1"/>
  <c r="BE333" i="1"/>
  <c r="AQ336" i="1"/>
  <c r="BE341" i="1"/>
  <c r="BE349" i="1"/>
  <c r="AQ352" i="1"/>
  <c r="BE332" i="1"/>
  <c r="AQ335" i="1"/>
  <c r="BE340" i="1"/>
  <c r="BG357" i="1" l="1"/>
  <c r="BS357" i="1" s="1"/>
  <c r="BE357" i="1"/>
  <c r="BG355" i="1"/>
  <c r="BS355" i="1" s="1"/>
  <c r="BE355" i="1"/>
  <c r="BG356" i="1"/>
  <c r="BE356" i="1"/>
  <c r="BG7" i="1"/>
  <c r="BG37" i="1"/>
  <c r="BS37" i="1" s="1"/>
  <c r="BE37" i="1"/>
  <c r="BE342" i="1"/>
  <c r="BS342" i="1"/>
  <c r="BE347" i="1"/>
  <c r="AB230" i="1"/>
  <c r="AA230" i="1"/>
  <c r="Z230" i="1"/>
  <c r="Y230" i="1"/>
  <c r="X230" i="1"/>
  <c r="W230" i="1"/>
  <c r="V230" i="1"/>
  <c r="U230" i="1"/>
  <c r="T230" i="1"/>
  <c r="S230" i="1"/>
  <c r="R230" i="1"/>
  <c r="AB229" i="1"/>
  <c r="AA229" i="1"/>
  <c r="Z229" i="1"/>
  <c r="Y229" i="1"/>
  <c r="X229" i="1"/>
  <c r="W229" i="1"/>
  <c r="V229" i="1"/>
  <c r="U229" i="1"/>
  <c r="T229" i="1"/>
  <c r="S229" i="1"/>
  <c r="R229" i="1"/>
  <c r="AB228" i="1"/>
  <c r="AA228" i="1"/>
  <c r="Z228" i="1"/>
  <c r="Y228" i="1"/>
  <c r="X228" i="1"/>
  <c r="W228" i="1"/>
  <c r="V228" i="1"/>
  <c r="U228" i="1"/>
  <c r="T228" i="1"/>
  <c r="S228" i="1"/>
  <c r="R228" i="1"/>
  <c r="AB227" i="1"/>
  <c r="AA227" i="1"/>
  <c r="Z227" i="1"/>
  <c r="Y227" i="1"/>
  <c r="X227" i="1"/>
  <c r="W227" i="1"/>
  <c r="V227" i="1"/>
  <c r="U227" i="1"/>
  <c r="T227" i="1"/>
  <c r="S227" i="1"/>
  <c r="R227" i="1"/>
  <c r="Q230" i="1"/>
  <c r="Q229" i="1"/>
  <c r="Q228" i="1"/>
  <c r="Q227" i="1"/>
  <c r="AB226" i="1"/>
  <c r="AA226" i="1"/>
  <c r="Z226" i="1"/>
  <c r="Y226" i="1"/>
  <c r="X226" i="1"/>
  <c r="W226" i="1"/>
  <c r="V226" i="1"/>
  <c r="U226" i="1"/>
  <c r="T226" i="1"/>
  <c r="S226" i="1"/>
  <c r="R226" i="1"/>
  <c r="AB225" i="1"/>
  <c r="AA225" i="1"/>
  <c r="Z225" i="1"/>
  <c r="Y225" i="1"/>
  <c r="X225" i="1"/>
  <c r="W225" i="1"/>
  <c r="V225" i="1"/>
  <c r="U225" i="1"/>
  <c r="T225" i="1"/>
  <c r="S225" i="1"/>
  <c r="R225" i="1"/>
  <c r="AB223" i="1"/>
  <c r="AA223" i="1"/>
  <c r="Z223" i="1"/>
  <c r="Y223" i="1"/>
  <c r="X223" i="1"/>
  <c r="W223" i="1"/>
  <c r="V223" i="1"/>
  <c r="U223" i="1"/>
  <c r="T223" i="1"/>
  <c r="S223" i="1"/>
  <c r="R223" i="1"/>
  <c r="AB222" i="1"/>
  <c r="AA222" i="1"/>
  <c r="Z222" i="1"/>
  <c r="Y222" i="1"/>
  <c r="X222" i="1"/>
  <c r="W222" i="1"/>
  <c r="V222" i="1"/>
  <c r="U222" i="1"/>
  <c r="T222" i="1"/>
  <c r="S222" i="1"/>
  <c r="R222" i="1"/>
  <c r="AB221" i="1"/>
  <c r="AA221" i="1"/>
  <c r="Z221" i="1"/>
  <c r="Y221" i="1"/>
  <c r="X221" i="1"/>
  <c r="W221" i="1"/>
  <c r="V221" i="1"/>
  <c r="U221" i="1"/>
  <c r="T221" i="1"/>
  <c r="S221" i="1"/>
  <c r="R221" i="1"/>
  <c r="AB220" i="1"/>
  <c r="AA220" i="1"/>
  <c r="Z220" i="1"/>
  <c r="Y220" i="1"/>
  <c r="X220" i="1"/>
  <c r="W220" i="1"/>
  <c r="V220" i="1"/>
  <c r="U220" i="1"/>
  <c r="T220" i="1"/>
  <c r="S220" i="1"/>
  <c r="R220" i="1"/>
  <c r="Q226" i="1"/>
  <c r="Q225" i="1"/>
  <c r="Q223" i="1"/>
  <c r="Q222" i="1"/>
  <c r="Q221" i="1"/>
  <c r="Q220" i="1"/>
  <c r="E382" i="21"/>
  <c r="X101" i="1" s="1"/>
  <c r="AB219" i="1"/>
  <c r="AA219" i="1"/>
  <c r="Z219" i="1"/>
  <c r="Y219" i="1"/>
  <c r="X219" i="1"/>
  <c r="W219" i="1"/>
  <c r="V219" i="1"/>
  <c r="U219" i="1"/>
  <c r="T219" i="1"/>
  <c r="S219" i="1"/>
  <c r="R219" i="1"/>
  <c r="Q219" i="1"/>
  <c r="AB218" i="1"/>
  <c r="AA218" i="1"/>
  <c r="Z218" i="1"/>
  <c r="Y218" i="1"/>
  <c r="X218" i="1"/>
  <c r="W218" i="1"/>
  <c r="V218" i="1"/>
  <c r="U218" i="1"/>
  <c r="T218" i="1"/>
  <c r="S218" i="1"/>
  <c r="R218" i="1"/>
  <c r="Q218" i="1"/>
  <c r="AB217" i="1"/>
  <c r="AA217" i="1"/>
  <c r="Z217" i="1"/>
  <c r="Y217" i="1"/>
  <c r="X217" i="1"/>
  <c r="W217" i="1"/>
  <c r="V217" i="1"/>
  <c r="U217" i="1"/>
  <c r="T217" i="1"/>
  <c r="S217" i="1"/>
  <c r="R217" i="1"/>
  <c r="Q217" i="1"/>
  <c r="AB216" i="1"/>
  <c r="AA216" i="1"/>
  <c r="Z216" i="1"/>
  <c r="Y216" i="1"/>
  <c r="X216" i="1"/>
  <c r="W216" i="1"/>
  <c r="V216" i="1"/>
  <c r="U216" i="1"/>
  <c r="T216" i="1"/>
  <c r="S216" i="1"/>
  <c r="R216" i="1"/>
  <c r="AB215" i="1"/>
  <c r="AA215" i="1"/>
  <c r="Z215" i="1"/>
  <c r="Y215" i="1"/>
  <c r="X215" i="1"/>
  <c r="W215" i="1"/>
  <c r="V215" i="1"/>
  <c r="U215" i="1"/>
  <c r="T215" i="1"/>
  <c r="S215" i="1"/>
  <c r="R215" i="1"/>
  <c r="AB214" i="1"/>
  <c r="AA214" i="1"/>
  <c r="Z214" i="1"/>
  <c r="Y214" i="1"/>
  <c r="X214" i="1"/>
  <c r="W214" i="1"/>
  <c r="V214" i="1"/>
  <c r="U214" i="1"/>
  <c r="T214" i="1"/>
  <c r="S214" i="1"/>
  <c r="R214" i="1"/>
  <c r="Q216" i="1"/>
  <c r="Q215" i="1"/>
  <c r="Q214" i="1"/>
  <c r="AB213" i="1"/>
  <c r="AA213" i="1"/>
  <c r="Z213" i="1"/>
  <c r="Y213" i="1"/>
  <c r="X213" i="1"/>
  <c r="W213" i="1"/>
  <c r="V213" i="1"/>
  <c r="U213" i="1"/>
  <c r="T213" i="1"/>
  <c r="S213" i="1"/>
  <c r="R213" i="1"/>
  <c r="AB212" i="1"/>
  <c r="AA212" i="1"/>
  <c r="Z212" i="1"/>
  <c r="Y212" i="1"/>
  <c r="X212" i="1"/>
  <c r="W212" i="1"/>
  <c r="V212" i="1"/>
  <c r="U212" i="1"/>
  <c r="T212" i="1"/>
  <c r="S212" i="1"/>
  <c r="R212" i="1"/>
  <c r="AB211" i="1"/>
  <c r="AA211" i="1"/>
  <c r="Z211" i="1"/>
  <c r="Y211" i="1"/>
  <c r="X211" i="1"/>
  <c r="W211" i="1"/>
  <c r="V211" i="1"/>
  <c r="U211" i="1"/>
  <c r="T211" i="1"/>
  <c r="S211" i="1"/>
  <c r="R211" i="1"/>
  <c r="Q212" i="1"/>
  <c r="Q213" i="1"/>
  <c r="Q211" i="1"/>
  <c r="AB208" i="1"/>
  <c r="AA208" i="1"/>
  <c r="Z208" i="1"/>
  <c r="Y208" i="1"/>
  <c r="X208" i="1"/>
  <c r="W208" i="1"/>
  <c r="V208" i="1"/>
  <c r="U208" i="1"/>
  <c r="T208" i="1"/>
  <c r="S208" i="1"/>
  <c r="R208" i="1"/>
  <c r="AB207" i="1"/>
  <c r="AA207" i="1"/>
  <c r="Z207" i="1"/>
  <c r="Y207" i="1"/>
  <c r="X207" i="1"/>
  <c r="W207" i="1"/>
  <c r="V207" i="1"/>
  <c r="U207" i="1"/>
  <c r="T207" i="1"/>
  <c r="S207" i="1"/>
  <c r="R207" i="1"/>
  <c r="AB206" i="1"/>
  <c r="AA206" i="1"/>
  <c r="Z206" i="1"/>
  <c r="Y206" i="1"/>
  <c r="X206" i="1"/>
  <c r="W206" i="1"/>
  <c r="V206" i="1"/>
  <c r="U206" i="1"/>
  <c r="T206" i="1"/>
  <c r="S206" i="1"/>
  <c r="R206" i="1"/>
  <c r="Q208" i="1"/>
  <c r="Q207" i="1"/>
  <c r="Q206" i="1"/>
  <c r="D449" i="21"/>
  <c r="D448" i="21"/>
  <c r="D447" i="21"/>
  <c r="D446" i="21"/>
  <c r="D445" i="21"/>
  <c r="D444" i="21"/>
  <c r="D443" i="21"/>
  <c r="D442" i="21"/>
  <c r="D441" i="21"/>
  <c r="D440" i="21"/>
  <c r="D439" i="21"/>
  <c r="D438" i="21"/>
  <c r="D437" i="21"/>
  <c r="D436" i="21"/>
  <c r="D435" i="21"/>
  <c r="D434" i="21"/>
  <c r="D433" i="21"/>
  <c r="D432" i="21"/>
  <c r="D431" i="21"/>
  <c r="D430" i="21"/>
  <c r="D429" i="21"/>
  <c r="D428" i="21"/>
  <c r="D427" i="21"/>
  <c r="D426" i="21"/>
  <c r="D425" i="21"/>
  <c r="D424" i="21"/>
  <c r="D423" i="21"/>
  <c r="AB205" i="1"/>
  <c r="AA205" i="1"/>
  <c r="Z205" i="1"/>
  <c r="Y205" i="1"/>
  <c r="X205" i="1"/>
  <c r="W205" i="1"/>
  <c r="V205" i="1"/>
  <c r="U205" i="1"/>
  <c r="T205" i="1"/>
  <c r="S205" i="1"/>
  <c r="R205" i="1"/>
  <c r="AB204" i="1"/>
  <c r="AA204" i="1"/>
  <c r="Z204" i="1"/>
  <c r="Y204" i="1"/>
  <c r="X204" i="1"/>
  <c r="W204" i="1"/>
  <c r="V204" i="1"/>
  <c r="U204" i="1"/>
  <c r="T204" i="1"/>
  <c r="S204" i="1"/>
  <c r="R204" i="1"/>
  <c r="AB203" i="1"/>
  <c r="AA203" i="1"/>
  <c r="Z203" i="1"/>
  <c r="Y203" i="1"/>
  <c r="X203" i="1"/>
  <c r="W203" i="1"/>
  <c r="V203" i="1"/>
  <c r="U203" i="1"/>
  <c r="T203" i="1"/>
  <c r="S203" i="1"/>
  <c r="R203" i="1"/>
  <c r="AB202" i="1"/>
  <c r="AA202" i="1"/>
  <c r="Z202" i="1"/>
  <c r="Y202" i="1"/>
  <c r="X202" i="1"/>
  <c r="W202" i="1"/>
  <c r="V202" i="1"/>
  <c r="U202" i="1"/>
  <c r="T202" i="1"/>
  <c r="S202" i="1"/>
  <c r="R202" i="1"/>
  <c r="Q205" i="1"/>
  <c r="Q204" i="1"/>
  <c r="Q203" i="1"/>
  <c r="Q202" i="1"/>
  <c r="AB182" i="1"/>
  <c r="AA182" i="1"/>
  <c r="Z182" i="1"/>
  <c r="Y182" i="1"/>
  <c r="X182" i="1"/>
  <c r="W182" i="1"/>
  <c r="V182" i="1"/>
  <c r="U182" i="1"/>
  <c r="T182" i="1"/>
  <c r="S182" i="1"/>
  <c r="R182" i="1"/>
  <c r="AB181" i="1"/>
  <c r="AA181" i="1"/>
  <c r="Z181" i="1"/>
  <c r="Y181" i="1"/>
  <c r="X181" i="1"/>
  <c r="W181" i="1"/>
  <c r="V181" i="1"/>
  <c r="U181" i="1"/>
  <c r="T181" i="1"/>
  <c r="S181" i="1"/>
  <c r="R181" i="1"/>
  <c r="AB180" i="1"/>
  <c r="AA180" i="1"/>
  <c r="Z180" i="1"/>
  <c r="Y180" i="1"/>
  <c r="X180" i="1"/>
  <c r="W180" i="1"/>
  <c r="V180" i="1"/>
  <c r="U180" i="1"/>
  <c r="T180" i="1"/>
  <c r="S180" i="1"/>
  <c r="R180" i="1"/>
  <c r="AB179" i="1"/>
  <c r="AA179" i="1"/>
  <c r="Z179" i="1"/>
  <c r="Y179" i="1"/>
  <c r="X179" i="1"/>
  <c r="W179" i="1"/>
  <c r="V179" i="1"/>
  <c r="U179" i="1"/>
  <c r="T179" i="1"/>
  <c r="S179" i="1"/>
  <c r="R179" i="1"/>
  <c r="AB178" i="1"/>
  <c r="AA178" i="1"/>
  <c r="Z178" i="1"/>
  <c r="Y178" i="1"/>
  <c r="X178" i="1"/>
  <c r="W178" i="1"/>
  <c r="V178" i="1"/>
  <c r="U178" i="1"/>
  <c r="T178" i="1"/>
  <c r="S178" i="1"/>
  <c r="R178" i="1"/>
  <c r="AB177" i="1"/>
  <c r="AA177" i="1"/>
  <c r="Z177" i="1"/>
  <c r="Y177" i="1"/>
  <c r="X177" i="1"/>
  <c r="W177" i="1"/>
  <c r="V177" i="1"/>
  <c r="U177" i="1"/>
  <c r="T177" i="1"/>
  <c r="S177" i="1"/>
  <c r="R177" i="1"/>
  <c r="Q182" i="1"/>
  <c r="Q181" i="1"/>
  <c r="Q180" i="1"/>
  <c r="Q179" i="1"/>
  <c r="Q178" i="1"/>
  <c r="Q177" i="1"/>
  <c r="AB140" i="1"/>
  <c r="AA140" i="1"/>
  <c r="Z140" i="1"/>
  <c r="Y140" i="1"/>
  <c r="X140" i="1"/>
  <c r="W140" i="1"/>
  <c r="V140" i="1"/>
  <c r="U140" i="1"/>
  <c r="T140" i="1"/>
  <c r="S140" i="1"/>
  <c r="R140" i="1"/>
  <c r="AB139" i="1"/>
  <c r="AA139" i="1"/>
  <c r="Z139" i="1"/>
  <c r="Y139" i="1"/>
  <c r="X139" i="1"/>
  <c r="W139" i="1"/>
  <c r="V139" i="1"/>
  <c r="U139" i="1"/>
  <c r="T139" i="1"/>
  <c r="S139" i="1"/>
  <c r="R139" i="1"/>
  <c r="AB138" i="1"/>
  <c r="AA138" i="1"/>
  <c r="Z138" i="1"/>
  <c r="Y138" i="1"/>
  <c r="X138" i="1"/>
  <c r="W138" i="1"/>
  <c r="V138" i="1"/>
  <c r="U138" i="1"/>
  <c r="T138" i="1"/>
  <c r="S138" i="1"/>
  <c r="R138" i="1"/>
  <c r="AB137" i="1"/>
  <c r="AA137" i="1"/>
  <c r="Z137" i="1"/>
  <c r="Y137" i="1"/>
  <c r="X137" i="1"/>
  <c r="W137" i="1"/>
  <c r="V137" i="1"/>
  <c r="U137" i="1"/>
  <c r="T137" i="1"/>
  <c r="S137" i="1"/>
  <c r="R137" i="1"/>
  <c r="AB136" i="1"/>
  <c r="AA136" i="1"/>
  <c r="Z136" i="1"/>
  <c r="Y136" i="1"/>
  <c r="X136" i="1"/>
  <c r="W136" i="1"/>
  <c r="V136" i="1"/>
  <c r="U136" i="1"/>
  <c r="T136" i="1"/>
  <c r="S136" i="1"/>
  <c r="R136" i="1"/>
  <c r="AB135" i="1"/>
  <c r="AA135" i="1"/>
  <c r="Z135" i="1"/>
  <c r="Y135" i="1"/>
  <c r="X135" i="1"/>
  <c r="W135" i="1"/>
  <c r="V135" i="1"/>
  <c r="U135" i="1"/>
  <c r="T135" i="1"/>
  <c r="S135" i="1"/>
  <c r="R135" i="1"/>
  <c r="Q140" i="1"/>
  <c r="Q139" i="1"/>
  <c r="Q138" i="1"/>
  <c r="Q137" i="1"/>
  <c r="Q136" i="1"/>
  <c r="Q135" i="1"/>
  <c r="AB134" i="1"/>
  <c r="AA134" i="1"/>
  <c r="Z134" i="1"/>
  <c r="Y134" i="1"/>
  <c r="X134" i="1"/>
  <c r="W134" i="1"/>
  <c r="V134" i="1"/>
  <c r="U134" i="1"/>
  <c r="T134" i="1"/>
  <c r="S134" i="1"/>
  <c r="R134" i="1"/>
  <c r="AB133" i="1"/>
  <c r="AA133" i="1"/>
  <c r="Z133" i="1"/>
  <c r="Y133" i="1"/>
  <c r="X133" i="1"/>
  <c r="W133" i="1"/>
  <c r="V133" i="1"/>
  <c r="U133" i="1"/>
  <c r="T133" i="1"/>
  <c r="S133" i="1"/>
  <c r="R133" i="1"/>
  <c r="AB130" i="1"/>
  <c r="AA130" i="1"/>
  <c r="Z130" i="1"/>
  <c r="Y130" i="1"/>
  <c r="X130" i="1"/>
  <c r="W130" i="1"/>
  <c r="V130" i="1"/>
  <c r="U130" i="1"/>
  <c r="T130" i="1"/>
  <c r="S130" i="1"/>
  <c r="R130" i="1"/>
  <c r="AB129" i="1"/>
  <c r="AA129" i="1"/>
  <c r="Z129" i="1"/>
  <c r="Y129" i="1"/>
  <c r="X129" i="1"/>
  <c r="W129" i="1"/>
  <c r="V129" i="1"/>
  <c r="U129" i="1"/>
  <c r="T129" i="1"/>
  <c r="S129" i="1"/>
  <c r="R129" i="1"/>
  <c r="AB128" i="1"/>
  <c r="AA128" i="1"/>
  <c r="Z128" i="1"/>
  <c r="Y128" i="1"/>
  <c r="X128" i="1"/>
  <c r="W128" i="1"/>
  <c r="V128" i="1"/>
  <c r="U128" i="1"/>
  <c r="T128" i="1"/>
  <c r="S128" i="1"/>
  <c r="R128" i="1"/>
  <c r="AB127" i="1"/>
  <c r="AA127" i="1"/>
  <c r="Z127" i="1"/>
  <c r="Y127" i="1"/>
  <c r="X127" i="1"/>
  <c r="W127" i="1"/>
  <c r="V127" i="1"/>
  <c r="U127" i="1"/>
  <c r="T127" i="1"/>
  <c r="S127" i="1"/>
  <c r="R127" i="1"/>
  <c r="AB126" i="1"/>
  <c r="AA126" i="1"/>
  <c r="Z126" i="1"/>
  <c r="Y126" i="1"/>
  <c r="X126" i="1"/>
  <c r="W126" i="1"/>
  <c r="V126" i="1"/>
  <c r="U126" i="1"/>
  <c r="T126" i="1"/>
  <c r="S126" i="1"/>
  <c r="R126" i="1"/>
  <c r="AB125" i="1"/>
  <c r="AA125" i="1"/>
  <c r="Z125" i="1"/>
  <c r="Y125" i="1"/>
  <c r="X125" i="1"/>
  <c r="W125" i="1"/>
  <c r="V125" i="1"/>
  <c r="U125" i="1"/>
  <c r="T125" i="1"/>
  <c r="S125" i="1"/>
  <c r="R125" i="1"/>
  <c r="Q130" i="1"/>
  <c r="Q129" i="1"/>
  <c r="Q128" i="1"/>
  <c r="Q127" i="1"/>
  <c r="Q126" i="1"/>
  <c r="Q125" i="1"/>
  <c r="AB104" i="1"/>
  <c r="AA104" i="1"/>
  <c r="Z104" i="1"/>
  <c r="Y104" i="1"/>
  <c r="X104" i="1"/>
  <c r="W104" i="1"/>
  <c r="V104" i="1"/>
  <c r="U104" i="1"/>
  <c r="T104" i="1"/>
  <c r="S104" i="1"/>
  <c r="R104" i="1"/>
  <c r="AB103" i="1"/>
  <c r="AA103" i="1"/>
  <c r="Z103" i="1"/>
  <c r="Y103" i="1"/>
  <c r="X103" i="1"/>
  <c r="W103" i="1"/>
  <c r="V103" i="1"/>
  <c r="U103" i="1"/>
  <c r="T103" i="1"/>
  <c r="S103" i="1"/>
  <c r="R103" i="1"/>
  <c r="V101" i="1"/>
  <c r="AB100" i="1"/>
  <c r="AA100" i="1"/>
  <c r="Z100" i="1"/>
  <c r="Y100" i="1"/>
  <c r="X100" i="1"/>
  <c r="W100" i="1"/>
  <c r="V100" i="1"/>
  <c r="U100" i="1"/>
  <c r="T100" i="1"/>
  <c r="S100" i="1"/>
  <c r="R100" i="1"/>
  <c r="AB99" i="1"/>
  <c r="AA99" i="1"/>
  <c r="Z99" i="1"/>
  <c r="Y99" i="1"/>
  <c r="X99" i="1"/>
  <c r="W99" i="1"/>
  <c r="V99" i="1"/>
  <c r="U99" i="1"/>
  <c r="T99" i="1"/>
  <c r="S99" i="1"/>
  <c r="R99" i="1"/>
  <c r="AB98" i="1"/>
  <c r="AA98" i="1"/>
  <c r="Z98" i="1"/>
  <c r="Y98" i="1"/>
  <c r="X98" i="1"/>
  <c r="W98" i="1"/>
  <c r="V98" i="1"/>
  <c r="U98" i="1"/>
  <c r="T98" i="1"/>
  <c r="S98" i="1"/>
  <c r="R98" i="1"/>
  <c r="AB97" i="1"/>
  <c r="AA97" i="1"/>
  <c r="Z97" i="1"/>
  <c r="Y97" i="1"/>
  <c r="X97" i="1"/>
  <c r="W97" i="1"/>
  <c r="V97" i="1"/>
  <c r="U97" i="1"/>
  <c r="T97" i="1"/>
  <c r="S97" i="1"/>
  <c r="R97" i="1"/>
  <c r="AB96" i="1"/>
  <c r="AA96" i="1"/>
  <c r="Z96" i="1"/>
  <c r="Y96" i="1"/>
  <c r="X96" i="1"/>
  <c r="W96" i="1"/>
  <c r="V96" i="1"/>
  <c r="U96" i="1"/>
  <c r="T96" i="1"/>
  <c r="S96" i="1"/>
  <c r="R96" i="1"/>
  <c r="AB95" i="1"/>
  <c r="AA95" i="1"/>
  <c r="Z95" i="1"/>
  <c r="Y95" i="1"/>
  <c r="X95" i="1"/>
  <c r="W95" i="1"/>
  <c r="V95" i="1"/>
  <c r="U95" i="1"/>
  <c r="T95" i="1"/>
  <c r="S95" i="1"/>
  <c r="R95" i="1"/>
  <c r="AB94" i="1"/>
  <c r="AA94" i="1"/>
  <c r="Z94" i="1"/>
  <c r="Y94" i="1"/>
  <c r="X94" i="1"/>
  <c r="W94" i="1"/>
  <c r="V94" i="1"/>
  <c r="U94" i="1"/>
  <c r="T94" i="1"/>
  <c r="S94" i="1"/>
  <c r="R94" i="1"/>
  <c r="Q104" i="1"/>
  <c r="Q103" i="1"/>
  <c r="Q100" i="1"/>
  <c r="Q99" i="1"/>
  <c r="Q98" i="1"/>
  <c r="Q97" i="1"/>
  <c r="Q96" i="1"/>
  <c r="Q95" i="1"/>
  <c r="Q94" i="1"/>
  <c r="E481" i="21"/>
  <c r="D481" i="21"/>
  <c r="E451" i="21"/>
  <c r="D451" i="21"/>
  <c r="M443" i="21"/>
  <c r="E391" i="21"/>
  <c r="D361" i="21"/>
  <c r="E331" i="21"/>
  <c r="D331" i="21"/>
  <c r="E301" i="21"/>
  <c r="E271" i="21"/>
  <c r="D271" i="21"/>
  <c r="E241" i="21"/>
  <c r="D241" i="21"/>
  <c r="E211" i="21"/>
  <c r="D211" i="21"/>
  <c r="E181" i="21"/>
  <c r="E151" i="21"/>
  <c r="E121" i="21"/>
  <c r="E91" i="21"/>
  <c r="E61" i="21"/>
  <c r="E31" i="21"/>
  <c r="D31" i="21"/>
  <c r="E1" i="21"/>
  <c r="D1" i="21"/>
  <c r="M389" i="21"/>
  <c r="M388" i="21"/>
  <c r="M387" i="21"/>
  <c r="M385" i="21"/>
  <c r="M384" i="21"/>
  <c r="M382" i="21"/>
  <c r="M381" i="21"/>
  <c r="M380" i="21"/>
  <c r="M379" i="21"/>
  <c r="M378" i="21"/>
  <c r="M377" i="21"/>
  <c r="M375" i="21"/>
  <c r="M374" i="21"/>
  <c r="M373" i="21"/>
  <c r="M372" i="21"/>
  <c r="M371" i="21"/>
  <c r="M370" i="21"/>
  <c r="M369" i="21"/>
  <c r="M367" i="21"/>
  <c r="M366" i="21"/>
  <c r="M365" i="21"/>
  <c r="M364" i="21"/>
  <c r="M363" i="21"/>
  <c r="M362" i="21"/>
  <c r="M359" i="21"/>
  <c r="M358" i="21"/>
  <c r="M357" i="21"/>
  <c r="M355" i="21"/>
  <c r="M354" i="21"/>
  <c r="M353" i="21"/>
  <c r="M352" i="21"/>
  <c r="M351" i="21"/>
  <c r="M349" i="21"/>
  <c r="M348" i="21"/>
  <c r="M347" i="21"/>
  <c r="M346" i="21"/>
  <c r="M345" i="21"/>
  <c r="M344" i="21"/>
  <c r="M343" i="21"/>
  <c r="M342" i="21"/>
  <c r="M340" i="21"/>
  <c r="M339" i="21"/>
  <c r="M337" i="21"/>
  <c r="M336" i="21"/>
  <c r="M335" i="21"/>
  <c r="M333" i="21"/>
  <c r="M332" i="21"/>
  <c r="M320" i="21"/>
  <c r="M303" i="21"/>
  <c r="M299" i="21"/>
  <c r="M298" i="21"/>
  <c r="M297" i="21"/>
  <c r="M296" i="21"/>
  <c r="M295" i="21"/>
  <c r="M294" i="21"/>
  <c r="M292" i="21"/>
  <c r="M291" i="21"/>
  <c r="M289" i="21"/>
  <c r="M288" i="21"/>
  <c r="M287" i="21"/>
  <c r="M285" i="21"/>
  <c r="M284" i="21"/>
  <c r="M283" i="21"/>
  <c r="M282" i="21"/>
  <c r="M280" i="21"/>
  <c r="M279" i="21"/>
  <c r="M277" i="21"/>
  <c r="M276" i="21"/>
  <c r="M275" i="21"/>
  <c r="M273" i="21"/>
  <c r="M272" i="21"/>
  <c r="M269" i="21"/>
  <c r="M268" i="21"/>
  <c r="M267" i="21"/>
  <c r="M266" i="21"/>
  <c r="M265" i="21"/>
  <c r="M264" i="21"/>
  <c r="M263" i="21"/>
  <c r="M262" i="21"/>
  <c r="M261" i="21"/>
  <c r="M259" i="21"/>
  <c r="M258" i="21"/>
  <c r="M257" i="21"/>
  <c r="M255" i="21"/>
  <c r="M254" i="21"/>
  <c r="M253" i="21"/>
  <c r="M252" i="21"/>
  <c r="M250" i="21"/>
  <c r="M249" i="21"/>
  <c r="M247" i="21"/>
  <c r="M246" i="21"/>
  <c r="M245" i="21"/>
  <c r="M242" i="21"/>
  <c r="M214" i="21"/>
  <c r="M212" i="21"/>
  <c r="M205" i="21"/>
  <c r="M202" i="21"/>
  <c r="M201" i="21"/>
  <c r="M199" i="21"/>
  <c r="M194" i="21"/>
  <c r="M189" i="21"/>
  <c r="M186" i="21"/>
  <c r="M175" i="21"/>
  <c r="D175" i="21" s="1"/>
  <c r="M172" i="21"/>
  <c r="M171" i="21"/>
  <c r="M169" i="21"/>
  <c r="M164" i="21"/>
  <c r="M162" i="21"/>
  <c r="M159" i="21"/>
  <c r="M156" i="21"/>
  <c r="M155" i="21"/>
  <c r="D172" i="21" s="1"/>
  <c r="M152" i="21"/>
  <c r="M145" i="21"/>
  <c r="M142" i="21"/>
  <c r="M141" i="21"/>
  <c r="M139" i="21"/>
  <c r="M134" i="21"/>
  <c r="M132" i="21"/>
  <c r="M129" i="21"/>
  <c r="D146" i="21" s="1"/>
  <c r="M126" i="21"/>
  <c r="M125" i="21"/>
  <c r="M105" i="21"/>
  <c r="M100" i="21"/>
  <c r="D114" i="21" s="1"/>
  <c r="M97" i="21"/>
  <c r="M85" i="21"/>
  <c r="M82" i="21"/>
  <c r="M81" i="21"/>
  <c r="D88" i="21" s="1"/>
  <c r="M79" i="21"/>
  <c r="M73" i="21"/>
  <c r="M72" i="21"/>
  <c r="M69" i="21"/>
  <c r="D73" i="21" s="1"/>
  <c r="M66" i="21"/>
  <c r="M65" i="21"/>
  <c r="M59" i="21"/>
  <c r="M58" i="21"/>
  <c r="M57" i="21"/>
  <c r="M55" i="21"/>
  <c r="M54" i="21"/>
  <c r="M52" i="21"/>
  <c r="M51" i="21"/>
  <c r="M50" i="21"/>
  <c r="M49" i="21"/>
  <c r="M48" i="21"/>
  <c r="M47" i="21"/>
  <c r="M46" i="21"/>
  <c r="M45" i="21"/>
  <c r="M44" i="21"/>
  <c r="M43" i="21"/>
  <c r="M42" i="21"/>
  <c r="M40" i="21"/>
  <c r="M39" i="21"/>
  <c r="M37" i="21"/>
  <c r="M36" i="21"/>
  <c r="M35" i="21"/>
  <c r="M34" i="21"/>
  <c r="M32" i="21"/>
  <c r="N26" i="21"/>
  <c r="M386" i="21" s="1"/>
  <c r="N23" i="21"/>
  <c r="M383" i="21" s="1"/>
  <c r="N20" i="21"/>
  <c r="M410" i="21" s="1"/>
  <c r="N16" i="21"/>
  <c r="M286" i="21" s="1"/>
  <c r="N11" i="21"/>
  <c r="M41" i="21" s="1"/>
  <c r="N8" i="21"/>
  <c r="M278" i="21" s="1"/>
  <c r="N3" i="21"/>
  <c r="M33" i="21" s="1"/>
  <c r="N4" i="21"/>
  <c r="M424" i="21" s="1"/>
  <c r="N31" i="21"/>
  <c r="AB87" i="1"/>
  <c r="AA87" i="1"/>
  <c r="Z87" i="1"/>
  <c r="Y87" i="1"/>
  <c r="X87" i="1"/>
  <c r="W87" i="1"/>
  <c r="V87" i="1"/>
  <c r="U87" i="1"/>
  <c r="T87" i="1"/>
  <c r="S87" i="1"/>
  <c r="R87" i="1"/>
  <c r="AB86" i="1"/>
  <c r="AA86" i="1"/>
  <c r="Z86" i="1"/>
  <c r="Y86" i="1"/>
  <c r="X86" i="1"/>
  <c r="W86" i="1"/>
  <c r="V86" i="1"/>
  <c r="U86" i="1"/>
  <c r="T86" i="1"/>
  <c r="S86" i="1"/>
  <c r="R86" i="1"/>
  <c r="AB85" i="1"/>
  <c r="AA85" i="1"/>
  <c r="Z85" i="1"/>
  <c r="Y85" i="1"/>
  <c r="X85" i="1"/>
  <c r="W85" i="1"/>
  <c r="V85" i="1"/>
  <c r="U85" i="1"/>
  <c r="T85" i="1"/>
  <c r="S85" i="1"/>
  <c r="R85" i="1"/>
  <c r="AB84" i="1"/>
  <c r="AA84" i="1"/>
  <c r="Z84" i="1"/>
  <c r="Y84" i="1"/>
  <c r="X84" i="1"/>
  <c r="W84" i="1"/>
  <c r="V84" i="1"/>
  <c r="U84" i="1"/>
  <c r="T84" i="1"/>
  <c r="S84" i="1"/>
  <c r="R84" i="1"/>
  <c r="AB83" i="1"/>
  <c r="AA83" i="1"/>
  <c r="Z83" i="1"/>
  <c r="Y83" i="1"/>
  <c r="X83" i="1"/>
  <c r="W83" i="1"/>
  <c r="V83" i="1"/>
  <c r="U83" i="1"/>
  <c r="T83" i="1"/>
  <c r="S83" i="1"/>
  <c r="R83" i="1"/>
  <c r="AB82" i="1"/>
  <c r="AA82" i="1"/>
  <c r="Z82" i="1"/>
  <c r="Y82" i="1"/>
  <c r="X82" i="1"/>
  <c r="W82" i="1"/>
  <c r="V82" i="1"/>
  <c r="U82" i="1"/>
  <c r="T82" i="1"/>
  <c r="S82" i="1"/>
  <c r="R82" i="1"/>
  <c r="Q87" i="1"/>
  <c r="Q86" i="1"/>
  <c r="Q85" i="1"/>
  <c r="Q84" i="1"/>
  <c r="Q83" i="1"/>
  <c r="Q82" i="1"/>
  <c r="D119" i="21"/>
  <c r="D116" i="21"/>
  <c r="D115" i="21"/>
  <c r="D111" i="21"/>
  <c r="D108" i="21"/>
  <c r="D107" i="21"/>
  <c r="D103" i="21"/>
  <c r="D100" i="21"/>
  <c r="D99" i="21"/>
  <c r="D95" i="21"/>
  <c r="D92" i="21"/>
  <c r="D89" i="21"/>
  <c r="M31" i="21"/>
  <c r="M3" i="21"/>
  <c r="AB68" i="1"/>
  <c r="AA68" i="1"/>
  <c r="Z68" i="1"/>
  <c r="Y68" i="1"/>
  <c r="X68" i="1"/>
  <c r="W68" i="1"/>
  <c r="V68" i="1"/>
  <c r="U68" i="1"/>
  <c r="T68" i="1"/>
  <c r="S68" i="1"/>
  <c r="R68" i="1"/>
  <c r="AB67" i="1"/>
  <c r="AA67" i="1"/>
  <c r="Z67" i="1"/>
  <c r="Y67" i="1"/>
  <c r="X67" i="1"/>
  <c r="W67" i="1"/>
  <c r="V67" i="1"/>
  <c r="U67" i="1"/>
  <c r="T67" i="1"/>
  <c r="S67" i="1"/>
  <c r="R67" i="1"/>
  <c r="AB65" i="1"/>
  <c r="AA65" i="1"/>
  <c r="Z65" i="1"/>
  <c r="Y65" i="1"/>
  <c r="X65" i="1"/>
  <c r="W65" i="1"/>
  <c r="V65" i="1"/>
  <c r="U65" i="1"/>
  <c r="T65" i="1"/>
  <c r="S65" i="1"/>
  <c r="R65" i="1"/>
  <c r="AB64" i="1"/>
  <c r="AA64" i="1"/>
  <c r="Z64" i="1"/>
  <c r="Y64" i="1"/>
  <c r="X64" i="1"/>
  <c r="W64" i="1"/>
  <c r="V64" i="1"/>
  <c r="U64" i="1"/>
  <c r="T64" i="1"/>
  <c r="S64" i="1"/>
  <c r="R64" i="1"/>
  <c r="AB63" i="1"/>
  <c r="AA63" i="1"/>
  <c r="Z63" i="1"/>
  <c r="Y63" i="1"/>
  <c r="X63" i="1"/>
  <c r="W63" i="1"/>
  <c r="V63" i="1"/>
  <c r="U63" i="1"/>
  <c r="T63" i="1"/>
  <c r="S63" i="1"/>
  <c r="R63" i="1"/>
  <c r="AB62" i="1"/>
  <c r="AA62" i="1"/>
  <c r="Z62" i="1"/>
  <c r="Y62" i="1"/>
  <c r="X62" i="1"/>
  <c r="W62" i="1"/>
  <c r="V62" i="1"/>
  <c r="U62" i="1"/>
  <c r="T62" i="1"/>
  <c r="S62" i="1"/>
  <c r="R62" i="1"/>
  <c r="AB61" i="1"/>
  <c r="AA61" i="1"/>
  <c r="Z61" i="1"/>
  <c r="Y61" i="1"/>
  <c r="X61" i="1"/>
  <c r="W61" i="1"/>
  <c r="V61" i="1"/>
  <c r="U61" i="1"/>
  <c r="T61" i="1"/>
  <c r="S61" i="1"/>
  <c r="R61" i="1"/>
  <c r="AB60" i="1"/>
  <c r="AA60" i="1"/>
  <c r="Z60" i="1"/>
  <c r="Y60" i="1"/>
  <c r="X60" i="1"/>
  <c r="W60" i="1"/>
  <c r="V60" i="1"/>
  <c r="U60" i="1"/>
  <c r="T60" i="1"/>
  <c r="S60" i="1"/>
  <c r="R60" i="1"/>
  <c r="AB59" i="1"/>
  <c r="AA59" i="1"/>
  <c r="Z59" i="1"/>
  <c r="Y59" i="1"/>
  <c r="X59" i="1"/>
  <c r="W59" i="1"/>
  <c r="V59" i="1"/>
  <c r="U59" i="1"/>
  <c r="T59" i="1"/>
  <c r="S59" i="1"/>
  <c r="R59" i="1"/>
  <c r="Q65" i="1"/>
  <c r="Q64" i="1"/>
  <c r="Q63" i="1"/>
  <c r="Q68" i="1"/>
  <c r="Q67" i="1"/>
  <c r="Q62" i="1"/>
  <c r="Q61" i="1"/>
  <c r="Q60" i="1"/>
  <c r="Q59" i="1"/>
  <c r="D165" i="21"/>
  <c r="AB58" i="1"/>
  <c r="AA58" i="1"/>
  <c r="Z58" i="1"/>
  <c r="Y58" i="1"/>
  <c r="X58" i="1"/>
  <c r="W58" i="1"/>
  <c r="V58" i="1"/>
  <c r="U58" i="1"/>
  <c r="T58" i="1"/>
  <c r="S58" i="1"/>
  <c r="R58" i="1"/>
  <c r="AB56" i="1"/>
  <c r="AA56" i="1"/>
  <c r="Z56" i="1"/>
  <c r="Y56" i="1"/>
  <c r="X56" i="1"/>
  <c r="W56" i="1"/>
  <c r="V56" i="1"/>
  <c r="U56" i="1"/>
  <c r="T56" i="1"/>
  <c r="S56" i="1"/>
  <c r="R56" i="1"/>
  <c r="AB55" i="1"/>
  <c r="AA55" i="1"/>
  <c r="Z55" i="1"/>
  <c r="Y55" i="1"/>
  <c r="X55" i="1"/>
  <c r="W55" i="1"/>
  <c r="V55" i="1"/>
  <c r="U55" i="1"/>
  <c r="T55" i="1"/>
  <c r="S55" i="1"/>
  <c r="R55" i="1"/>
  <c r="AB54" i="1"/>
  <c r="AA54" i="1"/>
  <c r="Z54" i="1"/>
  <c r="Y54" i="1"/>
  <c r="X54" i="1"/>
  <c r="W54" i="1"/>
  <c r="V54" i="1"/>
  <c r="U54" i="1"/>
  <c r="T54" i="1"/>
  <c r="S54" i="1"/>
  <c r="R54" i="1"/>
  <c r="AB53" i="1"/>
  <c r="AA53" i="1"/>
  <c r="Z53" i="1"/>
  <c r="Y53" i="1"/>
  <c r="X53" i="1"/>
  <c r="W53" i="1"/>
  <c r="V53" i="1"/>
  <c r="U53" i="1"/>
  <c r="T53" i="1"/>
  <c r="S53" i="1"/>
  <c r="R53" i="1"/>
  <c r="AB52" i="1"/>
  <c r="AA52" i="1"/>
  <c r="Z52" i="1"/>
  <c r="Y52" i="1"/>
  <c r="X52" i="1"/>
  <c r="W52" i="1"/>
  <c r="V52" i="1"/>
  <c r="U52" i="1"/>
  <c r="T52" i="1"/>
  <c r="S52" i="1"/>
  <c r="R52" i="1"/>
  <c r="AB51" i="1"/>
  <c r="AA51" i="1"/>
  <c r="Z51" i="1"/>
  <c r="Y51" i="1"/>
  <c r="X51" i="1"/>
  <c r="W51" i="1"/>
  <c r="V51" i="1"/>
  <c r="U51" i="1"/>
  <c r="T51" i="1"/>
  <c r="S51" i="1"/>
  <c r="R51" i="1"/>
  <c r="AB50" i="1"/>
  <c r="AA50" i="1"/>
  <c r="Z50" i="1"/>
  <c r="Y50" i="1"/>
  <c r="X50" i="1"/>
  <c r="W50" i="1"/>
  <c r="V50" i="1"/>
  <c r="U50" i="1"/>
  <c r="T50" i="1"/>
  <c r="S50" i="1"/>
  <c r="R50" i="1"/>
  <c r="Q58" i="1"/>
  <c r="Q56" i="1"/>
  <c r="Q55" i="1"/>
  <c r="Q54" i="1"/>
  <c r="Q53" i="1"/>
  <c r="Q52" i="1"/>
  <c r="Q51" i="1"/>
  <c r="Q50" i="1"/>
  <c r="AB47" i="1"/>
  <c r="AA47" i="1"/>
  <c r="Z47" i="1"/>
  <c r="Y47" i="1"/>
  <c r="X47" i="1"/>
  <c r="W47" i="1"/>
  <c r="V47" i="1"/>
  <c r="U47" i="1"/>
  <c r="T47" i="1"/>
  <c r="S47" i="1"/>
  <c r="R47" i="1"/>
  <c r="AB46" i="1"/>
  <c r="AA46" i="1"/>
  <c r="Z46" i="1"/>
  <c r="Y46" i="1"/>
  <c r="X46" i="1"/>
  <c r="W46" i="1"/>
  <c r="V46" i="1"/>
  <c r="U46" i="1"/>
  <c r="T46" i="1"/>
  <c r="S46" i="1"/>
  <c r="R46" i="1"/>
  <c r="AB45" i="1"/>
  <c r="AA45" i="1"/>
  <c r="Z45" i="1"/>
  <c r="Y45" i="1"/>
  <c r="X45" i="1"/>
  <c r="W45" i="1"/>
  <c r="V45" i="1"/>
  <c r="U45" i="1"/>
  <c r="T45" i="1"/>
  <c r="S45" i="1"/>
  <c r="R45" i="1"/>
  <c r="Q47" i="1"/>
  <c r="Q46" i="1"/>
  <c r="Q45" i="1"/>
  <c r="AB44" i="1"/>
  <c r="AA44" i="1"/>
  <c r="Z44" i="1"/>
  <c r="Y44" i="1"/>
  <c r="X44" i="1"/>
  <c r="W44" i="1"/>
  <c r="V44" i="1"/>
  <c r="U44" i="1"/>
  <c r="T44" i="1"/>
  <c r="S44" i="1"/>
  <c r="R44" i="1"/>
  <c r="AB42" i="1"/>
  <c r="AA42" i="1"/>
  <c r="Z42" i="1"/>
  <c r="Y42" i="1"/>
  <c r="X42" i="1"/>
  <c r="W42" i="1"/>
  <c r="V42" i="1"/>
  <c r="U42" i="1"/>
  <c r="T42" i="1"/>
  <c r="S42" i="1"/>
  <c r="R42" i="1"/>
  <c r="AB41" i="1"/>
  <c r="AA41" i="1"/>
  <c r="Z41" i="1"/>
  <c r="Y41" i="1"/>
  <c r="X41" i="1"/>
  <c r="W41" i="1"/>
  <c r="V41" i="1"/>
  <c r="U41" i="1"/>
  <c r="T41" i="1"/>
  <c r="S41" i="1"/>
  <c r="R41" i="1"/>
  <c r="AB40" i="1"/>
  <c r="AA40" i="1"/>
  <c r="Z40" i="1"/>
  <c r="Y40" i="1"/>
  <c r="X40" i="1"/>
  <c r="W40" i="1"/>
  <c r="V40" i="1"/>
  <c r="U40" i="1"/>
  <c r="T40" i="1"/>
  <c r="S40" i="1"/>
  <c r="R40" i="1"/>
  <c r="AB39" i="1"/>
  <c r="AA39" i="1"/>
  <c r="Z39" i="1"/>
  <c r="Y39" i="1"/>
  <c r="X39" i="1"/>
  <c r="W39" i="1"/>
  <c r="V39" i="1"/>
  <c r="U39" i="1"/>
  <c r="T39" i="1"/>
  <c r="S39" i="1"/>
  <c r="R39" i="1"/>
  <c r="AB38" i="1"/>
  <c r="AA38" i="1"/>
  <c r="Z38" i="1"/>
  <c r="Y38" i="1"/>
  <c r="X38" i="1"/>
  <c r="W38" i="1"/>
  <c r="V38" i="1"/>
  <c r="U38" i="1"/>
  <c r="T38" i="1"/>
  <c r="S38" i="1"/>
  <c r="R38" i="1"/>
  <c r="AB36" i="1"/>
  <c r="AA36" i="1"/>
  <c r="Z36" i="1"/>
  <c r="Y36" i="1"/>
  <c r="X36" i="1"/>
  <c r="W36" i="1"/>
  <c r="V36" i="1"/>
  <c r="U36" i="1"/>
  <c r="T36" i="1"/>
  <c r="S36" i="1"/>
  <c r="R36" i="1"/>
  <c r="AB35" i="1"/>
  <c r="AA35" i="1"/>
  <c r="Z35" i="1"/>
  <c r="Y35" i="1"/>
  <c r="X35" i="1"/>
  <c r="W35" i="1"/>
  <c r="V35" i="1"/>
  <c r="U35" i="1"/>
  <c r="T35" i="1"/>
  <c r="S35" i="1"/>
  <c r="R35" i="1"/>
  <c r="Q44" i="1"/>
  <c r="Q42" i="1"/>
  <c r="Q41" i="1"/>
  <c r="Q40" i="1"/>
  <c r="Q39" i="1"/>
  <c r="Q38" i="1"/>
  <c r="Q36" i="1"/>
  <c r="Q35" i="1"/>
  <c r="AB34" i="1"/>
  <c r="AA34" i="1"/>
  <c r="Z34" i="1"/>
  <c r="Y34" i="1"/>
  <c r="X34" i="1"/>
  <c r="W34" i="1"/>
  <c r="V34" i="1"/>
  <c r="U34" i="1"/>
  <c r="T34" i="1"/>
  <c r="S34" i="1"/>
  <c r="R34" i="1"/>
  <c r="AB33" i="1"/>
  <c r="AA33" i="1"/>
  <c r="Z33" i="1"/>
  <c r="Y33" i="1"/>
  <c r="X33" i="1"/>
  <c r="W33" i="1"/>
  <c r="V33" i="1"/>
  <c r="U33" i="1"/>
  <c r="T33" i="1"/>
  <c r="S33" i="1"/>
  <c r="R33" i="1"/>
  <c r="AB32" i="1"/>
  <c r="AA32" i="1"/>
  <c r="Z32" i="1"/>
  <c r="Y32" i="1"/>
  <c r="X32" i="1"/>
  <c r="W32" i="1"/>
  <c r="V32" i="1"/>
  <c r="U32" i="1"/>
  <c r="T32" i="1"/>
  <c r="S32" i="1"/>
  <c r="R32" i="1"/>
  <c r="AB31" i="1"/>
  <c r="AA31" i="1"/>
  <c r="Z31" i="1"/>
  <c r="Y31" i="1"/>
  <c r="X31" i="1"/>
  <c r="W31" i="1"/>
  <c r="V31" i="1"/>
  <c r="U31" i="1"/>
  <c r="T31" i="1"/>
  <c r="S31" i="1"/>
  <c r="R31" i="1"/>
  <c r="AB30" i="1"/>
  <c r="AA30" i="1"/>
  <c r="Z30" i="1"/>
  <c r="Y30" i="1"/>
  <c r="X30" i="1"/>
  <c r="W30" i="1"/>
  <c r="V30" i="1"/>
  <c r="U30" i="1"/>
  <c r="T30" i="1"/>
  <c r="S30" i="1"/>
  <c r="R30" i="1"/>
  <c r="AB29" i="1"/>
  <c r="AA29" i="1"/>
  <c r="Z29" i="1"/>
  <c r="Y29" i="1"/>
  <c r="X29" i="1"/>
  <c r="W29" i="1"/>
  <c r="V29" i="1"/>
  <c r="U29" i="1"/>
  <c r="T29" i="1"/>
  <c r="S29" i="1"/>
  <c r="R29" i="1"/>
  <c r="AB28" i="1"/>
  <c r="AA28" i="1"/>
  <c r="Z28" i="1"/>
  <c r="Y28" i="1"/>
  <c r="X28" i="1"/>
  <c r="W28" i="1"/>
  <c r="V28" i="1"/>
  <c r="U28" i="1"/>
  <c r="T28" i="1"/>
  <c r="S28" i="1"/>
  <c r="R28" i="1"/>
  <c r="AB27" i="1"/>
  <c r="AA27" i="1"/>
  <c r="Z27" i="1"/>
  <c r="Y27" i="1"/>
  <c r="X27" i="1"/>
  <c r="W27" i="1"/>
  <c r="V27" i="1"/>
  <c r="U27" i="1"/>
  <c r="T27" i="1"/>
  <c r="S27" i="1"/>
  <c r="R27" i="1"/>
  <c r="Q34" i="1"/>
  <c r="Q33" i="1"/>
  <c r="Q32" i="1"/>
  <c r="Q31" i="1"/>
  <c r="Q30" i="1"/>
  <c r="Q29" i="1"/>
  <c r="Q28" i="1"/>
  <c r="Q27" i="1"/>
  <c r="AB23" i="1"/>
  <c r="AA23" i="1"/>
  <c r="Z23" i="1"/>
  <c r="Y23" i="1"/>
  <c r="X23" i="1"/>
  <c r="W23" i="1"/>
  <c r="V23" i="1"/>
  <c r="U23" i="1"/>
  <c r="T23" i="1"/>
  <c r="S23" i="1"/>
  <c r="R23" i="1"/>
  <c r="AB22" i="1"/>
  <c r="AA22" i="1"/>
  <c r="Z22" i="1"/>
  <c r="Y22" i="1"/>
  <c r="X22" i="1"/>
  <c r="W22" i="1"/>
  <c r="V22" i="1"/>
  <c r="U22" i="1"/>
  <c r="T22" i="1"/>
  <c r="S22" i="1"/>
  <c r="R22" i="1"/>
  <c r="AB21" i="1"/>
  <c r="AA21" i="1"/>
  <c r="Z21" i="1"/>
  <c r="Y21" i="1"/>
  <c r="X21" i="1"/>
  <c r="W21" i="1"/>
  <c r="V21" i="1"/>
  <c r="U21" i="1"/>
  <c r="T21" i="1"/>
  <c r="S21" i="1"/>
  <c r="R21" i="1"/>
  <c r="AB20" i="1"/>
  <c r="AA20" i="1"/>
  <c r="Z20" i="1"/>
  <c r="Y20" i="1"/>
  <c r="X20" i="1"/>
  <c r="W20" i="1"/>
  <c r="V20" i="1"/>
  <c r="U20" i="1"/>
  <c r="T20" i="1"/>
  <c r="S20" i="1"/>
  <c r="R20" i="1"/>
  <c r="AB19" i="1"/>
  <c r="AA19" i="1"/>
  <c r="Z19" i="1"/>
  <c r="Y19" i="1"/>
  <c r="X19" i="1"/>
  <c r="W19" i="1"/>
  <c r="V19" i="1"/>
  <c r="U19" i="1"/>
  <c r="T19" i="1"/>
  <c r="S19" i="1"/>
  <c r="R19" i="1"/>
  <c r="AB18" i="1"/>
  <c r="AA18" i="1"/>
  <c r="Z18" i="1"/>
  <c r="Y18" i="1"/>
  <c r="X18" i="1"/>
  <c r="W18" i="1"/>
  <c r="V18" i="1"/>
  <c r="U18" i="1"/>
  <c r="T18" i="1"/>
  <c r="S18" i="1"/>
  <c r="R18" i="1"/>
  <c r="AB17" i="1"/>
  <c r="AA17" i="1"/>
  <c r="Z17" i="1"/>
  <c r="Y17" i="1"/>
  <c r="X17" i="1"/>
  <c r="W17" i="1"/>
  <c r="V17" i="1"/>
  <c r="U17" i="1"/>
  <c r="T17" i="1"/>
  <c r="S17" i="1"/>
  <c r="R17" i="1"/>
  <c r="Q23" i="1"/>
  <c r="Q22" i="1"/>
  <c r="Q21" i="1"/>
  <c r="Q20" i="1"/>
  <c r="Q19" i="1"/>
  <c r="Q18" i="1"/>
  <c r="Q17" i="1"/>
  <c r="S9" i="1"/>
  <c r="R9" i="1"/>
  <c r="S8" i="1"/>
  <c r="R8" i="1"/>
  <c r="Q9" i="1"/>
  <c r="Q8" i="1"/>
  <c r="AB16" i="1"/>
  <c r="AA16" i="1"/>
  <c r="Z16" i="1"/>
  <c r="Y16" i="1"/>
  <c r="X16" i="1"/>
  <c r="W16" i="1"/>
  <c r="V16" i="1"/>
  <c r="U16" i="1"/>
  <c r="T16" i="1"/>
  <c r="S16" i="1"/>
  <c r="R16" i="1"/>
  <c r="AB15" i="1"/>
  <c r="AA15" i="1"/>
  <c r="Z15" i="1"/>
  <c r="Y15" i="1"/>
  <c r="X15" i="1"/>
  <c r="W15" i="1"/>
  <c r="V15" i="1"/>
  <c r="U15" i="1"/>
  <c r="T15" i="1"/>
  <c r="S15" i="1"/>
  <c r="R15" i="1"/>
  <c r="AB14" i="1"/>
  <c r="AA14" i="1"/>
  <c r="Z14" i="1"/>
  <c r="Y14" i="1"/>
  <c r="X14" i="1"/>
  <c r="W14" i="1"/>
  <c r="V14" i="1"/>
  <c r="U14" i="1"/>
  <c r="T14" i="1"/>
  <c r="S14" i="1"/>
  <c r="R14" i="1"/>
  <c r="AB13" i="1"/>
  <c r="AA13" i="1"/>
  <c r="Z13" i="1"/>
  <c r="Y13" i="1"/>
  <c r="X13" i="1"/>
  <c r="W13" i="1"/>
  <c r="V13" i="1"/>
  <c r="U13" i="1"/>
  <c r="T13" i="1"/>
  <c r="S13" i="1"/>
  <c r="R13" i="1"/>
  <c r="AB12" i="1"/>
  <c r="AA12" i="1"/>
  <c r="Z12" i="1"/>
  <c r="Y12" i="1"/>
  <c r="X12" i="1"/>
  <c r="W12" i="1"/>
  <c r="V12" i="1"/>
  <c r="U12" i="1"/>
  <c r="T12" i="1"/>
  <c r="S12" i="1"/>
  <c r="R12" i="1"/>
  <c r="AB11" i="1"/>
  <c r="AA11" i="1"/>
  <c r="Z11" i="1"/>
  <c r="Y11" i="1"/>
  <c r="X11" i="1"/>
  <c r="W11" i="1"/>
  <c r="V11" i="1"/>
  <c r="U11" i="1"/>
  <c r="T11" i="1"/>
  <c r="S11" i="1"/>
  <c r="R11" i="1"/>
  <c r="AB10" i="1"/>
  <c r="AA10" i="1"/>
  <c r="Z10" i="1"/>
  <c r="Y10" i="1"/>
  <c r="X10" i="1"/>
  <c r="W10" i="1"/>
  <c r="V10" i="1"/>
  <c r="U10" i="1"/>
  <c r="T10" i="1"/>
  <c r="S10" i="1"/>
  <c r="R10" i="1"/>
  <c r="Q16" i="1"/>
  <c r="Q15" i="1"/>
  <c r="Q14" i="1"/>
  <c r="Q13" i="1"/>
  <c r="Q12" i="1"/>
  <c r="Q11" i="1"/>
  <c r="AB6" i="1"/>
  <c r="AA6" i="1"/>
  <c r="Z6" i="1"/>
  <c r="Y6" i="1"/>
  <c r="X6" i="1"/>
  <c r="W6" i="1"/>
  <c r="V6" i="1"/>
  <c r="U6" i="1"/>
  <c r="T6" i="1"/>
  <c r="S6" i="1"/>
  <c r="R6" i="1"/>
  <c r="AB5" i="1"/>
  <c r="AA5" i="1"/>
  <c r="Z5" i="1"/>
  <c r="Y5" i="1"/>
  <c r="X5" i="1"/>
  <c r="W5" i="1"/>
  <c r="V5" i="1"/>
  <c r="U5" i="1"/>
  <c r="T5" i="1"/>
  <c r="S5" i="1"/>
  <c r="R5" i="1"/>
  <c r="Q5" i="1"/>
  <c r="M27" i="21"/>
  <c r="M26" i="21" s="1"/>
  <c r="K26" i="21"/>
  <c r="M25" i="21"/>
  <c r="L25" i="21"/>
  <c r="M24" i="21"/>
  <c r="M23" i="21" s="1"/>
  <c r="L24" i="21"/>
  <c r="K23" i="21"/>
  <c r="M22" i="21"/>
  <c r="L22" i="21"/>
  <c r="M21" i="21"/>
  <c r="K20" i="21"/>
  <c r="M19" i="21"/>
  <c r="L19" i="21"/>
  <c r="M18" i="21"/>
  <c r="M17" i="21"/>
  <c r="K16" i="21"/>
  <c r="M15" i="21"/>
  <c r="M13" i="21"/>
  <c r="M12" i="21"/>
  <c r="K11" i="21"/>
  <c r="M10" i="21"/>
  <c r="K8" i="21"/>
  <c r="M7" i="21"/>
  <c r="M6" i="21"/>
  <c r="L4" i="21"/>
  <c r="K4" i="21"/>
  <c r="L3" i="21"/>
  <c r="K3" i="21"/>
  <c r="L1" i="21"/>
  <c r="AC10" i="1" l="1"/>
  <c r="M20" i="21"/>
  <c r="M8" i="21"/>
  <c r="AB101" i="1"/>
  <c r="Y101" i="1"/>
  <c r="Q101" i="1"/>
  <c r="T101" i="1"/>
  <c r="R101" i="1"/>
  <c r="Z101" i="1"/>
  <c r="E361" i="21"/>
  <c r="S101" i="1"/>
  <c r="AA101" i="1"/>
  <c r="U101" i="1"/>
  <c r="W101" i="1"/>
  <c r="E421" i="21"/>
  <c r="D173" i="21"/>
  <c r="M281" i="21"/>
  <c r="M338" i="21"/>
  <c r="M413" i="21"/>
  <c r="D413" i="21" s="1"/>
  <c r="D93" i="21"/>
  <c r="D101" i="21"/>
  <c r="D109" i="21"/>
  <c r="D117" i="21"/>
  <c r="M230" i="21"/>
  <c r="M248" i="21"/>
  <c r="M256" i="21"/>
  <c r="M274" i="21"/>
  <c r="M290" i="21"/>
  <c r="M323" i="21"/>
  <c r="D123" i="21"/>
  <c r="D94" i="21"/>
  <c r="D91" i="21" s="1"/>
  <c r="D102" i="21"/>
  <c r="D110" i="21"/>
  <c r="D118" i="21"/>
  <c r="M53" i="21"/>
  <c r="M233" i="21"/>
  <c r="M356" i="21"/>
  <c r="M341" i="21"/>
  <c r="D139" i="21"/>
  <c r="D65" i="21"/>
  <c r="D96" i="21"/>
  <c r="D104" i="21"/>
  <c r="D112" i="21"/>
  <c r="M243" i="21"/>
  <c r="M251" i="21"/>
  <c r="M293" i="21"/>
  <c r="M304" i="21"/>
  <c r="M334" i="21"/>
  <c r="M350" i="21"/>
  <c r="M368" i="21"/>
  <c r="M376" i="21"/>
  <c r="M393" i="21"/>
  <c r="M440" i="21"/>
  <c r="D131" i="21"/>
  <c r="M38" i="21"/>
  <c r="D147" i="21"/>
  <c r="D97" i="21"/>
  <c r="D105" i="21"/>
  <c r="D113" i="21"/>
  <c r="N30" i="21"/>
  <c r="M56" i="21"/>
  <c r="M244" i="21"/>
  <c r="M260" i="21"/>
  <c r="M394" i="21"/>
  <c r="D157" i="21"/>
  <c r="D81" i="21"/>
  <c r="D98" i="21"/>
  <c r="D106" i="21"/>
  <c r="D124" i="21"/>
  <c r="D132" i="21"/>
  <c r="D140" i="21"/>
  <c r="D148" i="21"/>
  <c r="D158" i="21"/>
  <c r="D166" i="21"/>
  <c r="D174" i="21"/>
  <c r="D66" i="21"/>
  <c r="D74" i="21"/>
  <c r="D82" i="21"/>
  <c r="D125" i="21"/>
  <c r="D133" i="21"/>
  <c r="D141" i="21"/>
  <c r="D149" i="21"/>
  <c r="D159" i="21"/>
  <c r="D167" i="21"/>
  <c r="D67" i="21"/>
  <c r="D75" i="21"/>
  <c r="D83" i="21"/>
  <c r="D126" i="21"/>
  <c r="D134" i="21"/>
  <c r="D142" i="21"/>
  <c r="D160" i="21"/>
  <c r="D168" i="21"/>
  <c r="D176" i="21"/>
  <c r="D327" i="21"/>
  <c r="D68" i="21"/>
  <c r="D76" i="21"/>
  <c r="D84" i="21"/>
  <c r="D127" i="21"/>
  <c r="D135" i="21"/>
  <c r="D143" i="21"/>
  <c r="D153" i="21"/>
  <c r="D161" i="21"/>
  <c r="D169" i="21"/>
  <c r="D177" i="21"/>
  <c r="D69" i="21"/>
  <c r="D77" i="21"/>
  <c r="D85" i="21"/>
  <c r="D128" i="21"/>
  <c r="D136" i="21"/>
  <c r="D144" i="21"/>
  <c r="D154" i="21"/>
  <c r="D162" i="21"/>
  <c r="D170" i="21"/>
  <c r="D178" i="21"/>
  <c r="D70" i="21"/>
  <c r="D78" i="21"/>
  <c r="D86" i="21"/>
  <c r="D129" i="21"/>
  <c r="D137" i="21"/>
  <c r="D145" i="21"/>
  <c r="D155" i="21"/>
  <c r="D163" i="21"/>
  <c r="D171" i="21"/>
  <c r="D179" i="21"/>
  <c r="D63" i="21"/>
  <c r="D71" i="21"/>
  <c r="D79" i="21"/>
  <c r="D87" i="21"/>
  <c r="D130" i="21"/>
  <c r="D138" i="21"/>
  <c r="D156" i="21"/>
  <c r="D164" i="21"/>
  <c r="D307" i="21"/>
  <c r="D64" i="21"/>
  <c r="D72" i="21"/>
  <c r="D80" i="21"/>
  <c r="M5" i="21"/>
  <c r="M4" i="21" s="1"/>
  <c r="M30" i="21" s="1"/>
  <c r="M9" i="21"/>
  <c r="M11" i="21" s="1"/>
  <c r="M14" i="21"/>
  <c r="M16" i="21" s="1"/>
  <c r="D324" i="21" l="1"/>
  <c r="D322" i="21"/>
  <c r="D306" i="21"/>
  <c r="D319" i="21"/>
  <c r="D325" i="21"/>
  <c r="D410" i="21"/>
  <c r="D393" i="21"/>
  <c r="D407" i="21"/>
  <c r="D328" i="21"/>
  <c r="D311" i="21"/>
  <c r="D317" i="21"/>
  <c r="D402" i="21"/>
  <c r="D316" i="21"/>
  <c r="D320" i="21"/>
  <c r="D303" i="21"/>
  <c r="D309" i="21"/>
  <c r="D395" i="21"/>
  <c r="D394" i="21"/>
  <c r="D418" i="21"/>
  <c r="D411" i="21"/>
  <c r="D409" i="21"/>
  <c r="D405" i="21"/>
  <c r="D406" i="21"/>
  <c r="D397" i="21"/>
  <c r="D417" i="21"/>
  <c r="D399" i="21"/>
  <c r="D414" i="21"/>
  <c r="D401" i="21"/>
  <c r="D398" i="21"/>
  <c r="D412" i="21"/>
  <c r="D329" i="21"/>
  <c r="D404" i="21"/>
  <c r="D416" i="21"/>
  <c r="D323" i="21"/>
  <c r="D321" i="21"/>
  <c r="D304" i="21"/>
  <c r="D326" i="21"/>
  <c r="D396" i="21"/>
  <c r="D408" i="21"/>
  <c r="D314" i="21"/>
  <c r="D313" i="21"/>
  <c r="D318" i="21"/>
  <c r="D419" i="21"/>
  <c r="D400" i="21"/>
  <c r="D308" i="21"/>
  <c r="D415" i="21"/>
  <c r="D312" i="21"/>
  <c r="D315" i="21"/>
  <c r="D305" i="21"/>
  <c r="D310" i="21"/>
  <c r="D403" i="21"/>
  <c r="D392" i="21"/>
  <c r="D391" i="21" s="1"/>
  <c r="D202" i="21"/>
  <c r="D186" i="21"/>
  <c r="D207" i="21"/>
  <c r="D189" i="21"/>
  <c r="D197" i="21"/>
  <c r="D152" i="21" l="1"/>
  <c r="D151" i="21" s="1"/>
  <c r="D187" i="21"/>
  <c r="D422" i="21"/>
  <c r="D195" i="21"/>
  <c r="D302" i="21"/>
  <c r="D301" i="21" s="1"/>
  <c r="D122" i="21"/>
  <c r="D121" i="21" s="1"/>
  <c r="D198" i="21"/>
  <c r="D194" i="21"/>
  <c r="M421" i="21"/>
  <c r="M361" i="21"/>
  <c r="M301" i="21"/>
  <c r="M151" i="21"/>
  <c r="M331" i="21"/>
  <c r="M391" i="21"/>
  <c r="M61" i="21"/>
  <c r="M271" i="21"/>
  <c r="M211" i="21"/>
  <c r="M121" i="21"/>
  <c r="M91" i="21"/>
  <c r="M241" i="21"/>
  <c r="M181" i="21"/>
  <c r="D185" i="21"/>
  <c r="D206" i="21"/>
  <c r="D192" i="21"/>
  <c r="D193" i="21"/>
  <c r="D208" i="21"/>
  <c r="D191" i="21"/>
  <c r="D203" i="21"/>
  <c r="D204" i="21"/>
  <c r="D183" i="21"/>
  <c r="D200" i="21"/>
  <c r="D188" i="21"/>
  <c r="D201" i="21"/>
  <c r="D196" i="21"/>
  <c r="D182" i="21"/>
  <c r="D205" i="21"/>
  <c r="D184" i="21"/>
  <c r="D209" i="21"/>
  <c r="D190" i="21"/>
  <c r="D199" i="21"/>
  <c r="D62" i="21"/>
  <c r="D61" i="21" s="1"/>
  <c r="D181" i="21" l="1"/>
  <c r="D421" i="21"/>
  <c r="Q141" i="1" l="1"/>
  <c r="R141" i="1"/>
  <c r="S141" i="1"/>
  <c r="T141" i="1"/>
  <c r="U141" i="1"/>
  <c r="V141" i="1"/>
  <c r="W141" i="1"/>
  <c r="X141" i="1"/>
  <c r="Y141" i="1"/>
  <c r="Z141" i="1"/>
  <c r="AA141" i="1"/>
  <c r="AB141" i="1"/>
  <c r="Q142" i="1"/>
  <c r="R142" i="1"/>
  <c r="S142" i="1"/>
  <c r="T142" i="1"/>
  <c r="U142" i="1"/>
  <c r="V142" i="1"/>
  <c r="W142" i="1"/>
  <c r="X142" i="1"/>
  <c r="Y142" i="1"/>
  <c r="Z142" i="1"/>
  <c r="AA142" i="1"/>
  <c r="AB142" i="1"/>
  <c r="Q210" i="1"/>
  <c r="R210" i="1"/>
  <c r="S210" i="1"/>
  <c r="T210" i="1"/>
  <c r="U210" i="1"/>
  <c r="V210" i="1"/>
  <c r="W210" i="1"/>
  <c r="X210" i="1"/>
  <c r="Y210" i="1"/>
  <c r="Z210" i="1"/>
  <c r="AA210" i="1"/>
  <c r="AB210" i="1"/>
  <c r="Q244" i="1"/>
  <c r="R244" i="1"/>
  <c r="S244" i="1"/>
  <c r="T244" i="1"/>
  <c r="U244" i="1"/>
  <c r="V244" i="1"/>
  <c r="W244" i="1"/>
  <c r="X244" i="1"/>
  <c r="Y244" i="1"/>
  <c r="Z244" i="1"/>
  <c r="AA244" i="1"/>
  <c r="AB244" i="1"/>
  <c r="Q247" i="1"/>
  <c r="R247" i="1"/>
  <c r="S247" i="1"/>
  <c r="T247" i="1"/>
  <c r="U247" i="1"/>
  <c r="V247" i="1"/>
  <c r="W247" i="1"/>
  <c r="X247" i="1"/>
  <c r="Y247" i="1"/>
  <c r="Z247" i="1"/>
  <c r="AA247" i="1"/>
  <c r="AB247" i="1"/>
  <c r="Q248" i="1"/>
  <c r="R248" i="1"/>
  <c r="S248" i="1"/>
  <c r="T248" i="1"/>
  <c r="U248" i="1"/>
  <c r="V248" i="1"/>
  <c r="W248" i="1"/>
  <c r="X248" i="1"/>
  <c r="Y248" i="1"/>
  <c r="Z248" i="1"/>
  <c r="AA248" i="1"/>
  <c r="AB248" i="1"/>
  <c r="Q249" i="1"/>
  <c r="R249" i="1"/>
  <c r="S249" i="1"/>
  <c r="T249" i="1"/>
  <c r="U249" i="1"/>
  <c r="V249" i="1"/>
  <c r="W249" i="1"/>
  <c r="X249" i="1"/>
  <c r="Y249" i="1"/>
  <c r="Z249" i="1"/>
  <c r="AA249" i="1"/>
  <c r="AB249" i="1"/>
  <c r="Q250" i="1"/>
  <c r="R250" i="1"/>
  <c r="S250" i="1"/>
  <c r="T250" i="1"/>
  <c r="U250" i="1"/>
  <c r="V250" i="1"/>
  <c r="W250" i="1"/>
  <c r="X250" i="1"/>
  <c r="Y250" i="1"/>
  <c r="Z250" i="1"/>
  <c r="AA250" i="1"/>
  <c r="AB250" i="1"/>
  <c r="Q251" i="1"/>
  <c r="R251" i="1"/>
  <c r="S251" i="1"/>
  <c r="T251" i="1"/>
  <c r="U251" i="1"/>
  <c r="V251" i="1"/>
  <c r="W251" i="1"/>
  <c r="X251" i="1"/>
  <c r="Y251" i="1"/>
  <c r="Z251" i="1"/>
  <c r="AA251" i="1"/>
  <c r="AB251" i="1"/>
  <c r="Q252" i="1"/>
  <c r="R252" i="1"/>
  <c r="S252" i="1"/>
  <c r="T252" i="1"/>
  <c r="U252" i="1"/>
  <c r="V252" i="1"/>
  <c r="W252" i="1"/>
  <c r="X252" i="1"/>
  <c r="Y252" i="1"/>
  <c r="Z252" i="1"/>
  <c r="AA252" i="1"/>
  <c r="AB252" i="1"/>
  <c r="Q253" i="1"/>
  <c r="R253" i="1"/>
  <c r="S253" i="1"/>
  <c r="T253" i="1"/>
  <c r="U253" i="1"/>
  <c r="V253" i="1"/>
  <c r="W253" i="1"/>
  <c r="X253" i="1"/>
  <c r="Y253" i="1"/>
  <c r="Z253" i="1"/>
  <c r="AA253" i="1"/>
  <c r="AB253" i="1"/>
  <c r="Q254" i="1"/>
  <c r="R254" i="1"/>
  <c r="S254" i="1"/>
  <c r="T254" i="1"/>
  <c r="U254" i="1"/>
  <c r="V254" i="1"/>
  <c r="W254" i="1"/>
  <c r="X254" i="1"/>
  <c r="Y254" i="1"/>
  <c r="Z254" i="1"/>
  <c r="AA254" i="1"/>
  <c r="AB254" i="1"/>
  <c r="Q255" i="1"/>
  <c r="R255" i="1"/>
  <c r="S255" i="1"/>
  <c r="T255" i="1"/>
  <c r="U255" i="1"/>
  <c r="V255" i="1"/>
  <c r="W255" i="1"/>
  <c r="X255" i="1"/>
  <c r="Y255" i="1"/>
  <c r="Z255" i="1"/>
  <c r="AA255" i="1"/>
  <c r="AB255" i="1"/>
  <c r="Q256" i="1"/>
  <c r="R256" i="1"/>
  <c r="S256" i="1"/>
  <c r="T256" i="1"/>
  <c r="U256" i="1"/>
  <c r="V256" i="1"/>
  <c r="W256" i="1"/>
  <c r="X256" i="1"/>
  <c r="Y256" i="1"/>
  <c r="Z256" i="1"/>
  <c r="AA256" i="1"/>
  <c r="AB256" i="1"/>
  <c r="Q257" i="1"/>
  <c r="R257" i="1"/>
  <c r="S257" i="1"/>
  <c r="T257" i="1"/>
  <c r="U257" i="1"/>
  <c r="V257" i="1"/>
  <c r="W257" i="1"/>
  <c r="X257" i="1"/>
  <c r="Y257" i="1"/>
  <c r="Z257" i="1"/>
  <c r="AA257" i="1"/>
  <c r="AB257" i="1"/>
  <c r="Q258" i="1"/>
  <c r="R258" i="1"/>
  <c r="S258" i="1"/>
  <c r="T258" i="1"/>
  <c r="U258" i="1"/>
  <c r="V258" i="1"/>
  <c r="W258" i="1"/>
  <c r="X258" i="1"/>
  <c r="Y258" i="1"/>
  <c r="Z258" i="1"/>
  <c r="AA258" i="1"/>
  <c r="AB258" i="1"/>
  <c r="Q260" i="1"/>
  <c r="S260" i="1"/>
  <c r="U260" i="1"/>
  <c r="W260" i="1"/>
  <c r="Y260" i="1"/>
  <c r="AA260" i="1"/>
  <c r="Q261" i="1"/>
  <c r="S261" i="1"/>
  <c r="U261" i="1"/>
  <c r="W261" i="1"/>
  <c r="Y261" i="1"/>
  <c r="AA261" i="1"/>
  <c r="Q262" i="1"/>
  <c r="S262" i="1"/>
  <c r="U262" i="1"/>
  <c r="W262" i="1"/>
  <c r="Y262" i="1"/>
  <c r="AA262" i="1"/>
  <c r="R263" i="1"/>
  <c r="U263" i="1"/>
  <c r="X263" i="1"/>
  <c r="AA263" i="1"/>
  <c r="R264" i="1"/>
  <c r="U264" i="1"/>
  <c r="X264" i="1"/>
  <c r="AA264" i="1"/>
  <c r="R265" i="1"/>
  <c r="U265" i="1"/>
  <c r="X265" i="1"/>
  <c r="AA265" i="1"/>
  <c r="R266" i="1"/>
  <c r="U266" i="1"/>
  <c r="X266" i="1"/>
  <c r="AA266" i="1"/>
  <c r="Q267" i="1"/>
  <c r="S267" i="1"/>
  <c r="U267" i="1"/>
  <c r="W267" i="1"/>
  <c r="Y267" i="1"/>
  <c r="AA267" i="1"/>
  <c r="Q268" i="1"/>
  <c r="S268" i="1"/>
  <c r="U268" i="1"/>
  <c r="W268" i="1"/>
  <c r="Y268" i="1"/>
  <c r="AA268" i="1"/>
  <c r="Q269" i="1"/>
  <c r="S269" i="1"/>
  <c r="U269" i="1"/>
  <c r="W269" i="1"/>
  <c r="Y269" i="1"/>
  <c r="AA269" i="1"/>
  <c r="Q270" i="1"/>
  <c r="S270" i="1"/>
  <c r="U270" i="1"/>
  <c r="W270" i="1"/>
  <c r="Y270" i="1"/>
  <c r="AA270" i="1"/>
  <c r="AB90" i="1"/>
  <c r="AA90" i="1"/>
  <c r="Z90" i="1"/>
  <c r="Y90" i="1"/>
  <c r="X90" i="1"/>
  <c r="W90" i="1"/>
  <c r="V90" i="1"/>
  <c r="U90" i="1"/>
  <c r="T90" i="1"/>
  <c r="S90" i="1"/>
  <c r="R90" i="1"/>
  <c r="Q90" i="1"/>
  <c r="AB89" i="1"/>
  <c r="AA89" i="1"/>
  <c r="Z89" i="1"/>
  <c r="Y89" i="1"/>
  <c r="X89" i="1"/>
  <c r="W89" i="1"/>
  <c r="V89" i="1"/>
  <c r="U89" i="1"/>
  <c r="T89" i="1"/>
  <c r="S89" i="1"/>
  <c r="R89" i="1"/>
  <c r="Q89" i="1"/>
  <c r="AB81" i="1"/>
  <c r="AA81" i="1"/>
  <c r="Z81" i="1"/>
  <c r="Y81" i="1"/>
  <c r="X81" i="1"/>
  <c r="W81" i="1"/>
  <c r="V81" i="1"/>
  <c r="U81" i="1"/>
  <c r="T81" i="1"/>
  <c r="S81" i="1"/>
  <c r="R81" i="1"/>
  <c r="Q81" i="1"/>
  <c r="AB80" i="1"/>
  <c r="AA80" i="1"/>
  <c r="Z80" i="1"/>
  <c r="Y80" i="1"/>
  <c r="X80" i="1"/>
  <c r="W80" i="1"/>
  <c r="V80" i="1"/>
  <c r="U80" i="1"/>
  <c r="T80" i="1"/>
  <c r="S80" i="1"/>
  <c r="R80" i="1"/>
  <c r="Q80" i="1"/>
  <c r="AB79" i="1"/>
  <c r="AA79" i="1"/>
  <c r="Z79" i="1"/>
  <c r="Y79" i="1"/>
  <c r="X79" i="1"/>
  <c r="W79" i="1"/>
  <c r="V79" i="1"/>
  <c r="U79" i="1"/>
  <c r="T79" i="1"/>
  <c r="S79" i="1"/>
  <c r="R79" i="1"/>
  <c r="Q79" i="1"/>
  <c r="AB78" i="1"/>
  <c r="AA78" i="1"/>
  <c r="Z78" i="1"/>
  <c r="Y78" i="1"/>
  <c r="X78" i="1"/>
  <c r="W78" i="1"/>
  <c r="V78" i="1"/>
  <c r="U78" i="1"/>
  <c r="T78" i="1"/>
  <c r="S78" i="1"/>
  <c r="R78" i="1"/>
  <c r="Q78" i="1"/>
  <c r="AB77" i="1"/>
  <c r="AA77" i="1"/>
  <c r="Z77" i="1"/>
  <c r="Y77" i="1"/>
  <c r="X77" i="1"/>
  <c r="W77" i="1"/>
  <c r="V77" i="1"/>
  <c r="U77" i="1"/>
  <c r="T77" i="1"/>
  <c r="S77" i="1"/>
  <c r="R77" i="1"/>
  <c r="Q77" i="1"/>
  <c r="AB76" i="1"/>
  <c r="AA76" i="1"/>
  <c r="Z76" i="1"/>
  <c r="Y76" i="1"/>
  <c r="X76" i="1"/>
  <c r="W76" i="1"/>
  <c r="V76" i="1"/>
  <c r="U76" i="1"/>
  <c r="T76" i="1"/>
  <c r="S76" i="1"/>
  <c r="R76" i="1"/>
  <c r="Q76" i="1"/>
  <c r="AB75" i="1"/>
  <c r="AA75" i="1"/>
  <c r="Z75" i="1"/>
  <c r="Y75" i="1"/>
  <c r="X75" i="1"/>
  <c r="W75" i="1"/>
  <c r="V75" i="1"/>
  <c r="U75" i="1"/>
  <c r="T75" i="1"/>
  <c r="S75" i="1"/>
  <c r="R75" i="1"/>
  <c r="Q75" i="1"/>
  <c r="AB74" i="1"/>
  <c r="AA74" i="1"/>
  <c r="Z74" i="1"/>
  <c r="Y74" i="1"/>
  <c r="X74" i="1"/>
  <c r="W74" i="1"/>
  <c r="V74" i="1"/>
  <c r="U74" i="1"/>
  <c r="T74" i="1"/>
  <c r="S74" i="1"/>
  <c r="R74" i="1"/>
  <c r="Q74" i="1"/>
  <c r="AB73" i="1"/>
  <c r="AA73" i="1"/>
  <c r="Z73" i="1"/>
  <c r="Y73" i="1"/>
  <c r="X73" i="1"/>
  <c r="W73" i="1"/>
  <c r="V73" i="1"/>
  <c r="U73" i="1"/>
  <c r="T73" i="1"/>
  <c r="S73" i="1"/>
  <c r="R73" i="1"/>
  <c r="Q73" i="1"/>
  <c r="AB72" i="1"/>
  <c r="AA72" i="1"/>
  <c r="Z72" i="1"/>
  <c r="Y72" i="1"/>
  <c r="X72" i="1"/>
  <c r="W72" i="1"/>
  <c r="V72" i="1"/>
  <c r="U72" i="1"/>
  <c r="T72" i="1"/>
  <c r="S72" i="1"/>
  <c r="R72" i="1"/>
  <c r="Q72" i="1"/>
  <c r="AB71" i="1"/>
  <c r="AA71" i="1"/>
  <c r="Z71" i="1"/>
  <c r="Y71" i="1"/>
  <c r="X71" i="1"/>
  <c r="W71" i="1"/>
  <c r="V71" i="1"/>
  <c r="U71" i="1"/>
  <c r="T71" i="1"/>
  <c r="S71" i="1"/>
  <c r="R71" i="1"/>
  <c r="Q71" i="1"/>
  <c r="AB69" i="1"/>
  <c r="AA69" i="1"/>
  <c r="Z69" i="1"/>
  <c r="Y69" i="1"/>
  <c r="X69" i="1"/>
  <c r="W69" i="1"/>
  <c r="V69" i="1"/>
  <c r="U69" i="1"/>
  <c r="T69" i="1"/>
  <c r="S69" i="1"/>
  <c r="R69" i="1"/>
  <c r="Q69" i="1"/>
  <c r="BT277" i="1"/>
  <c r="AP277" i="1"/>
  <c r="BD277" i="1" s="1"/>
  <c r="BR277" i="1" s="1"/>
  <c r="AO277" i="1"/>
  <c r="BC277" i="1" s="1"/>
  <c r="BQ277" i="1" s="1"/>
  <c r="AN277" i="1"/>
  <c r="BB277" i="1" s="1"/>
  <c r="BP277" i="1" s="1"/>
  <c r="AM277" i="1"/>
  <c r="BA277" i="1" s="1"/>
  <c r="BO277" i="1" s="1"/>
  <c r="AL277" i="1"/>
  <c r="AZ277" i="1" s="1"/>
  <c r="BN277" i="1" s="1"/>
  <c r="AK277" i="1"/>
  <c r="AY277" i="1" s="1"/>
  <c r="BM277" i="1" s="1"/>
  <c r="AJ277" i="1"/>
  <c r="AX277" i="1" s="1"/>
  <c r="BL277" i="1" s="1"/>
  <c r="AI277" i="1"/>
  <c r="AW277" i="1" s="1"/>
  <c r="BK277" i="1" s="1"/>
  <c r="AH277" i="1"/>
  <c r="AV277" i="1" s="1"/>
  <c r="BJ277" i="1" s="1"/>
  <c r="AG277" i="1"/>
  <c r="AU277" i="1" s="1"/>
  <c r="BI277" i="1" s="1"/>
  <c r="AF277" i="1"/>
  <c r="AT277" i="1" s="1"/>
  <c r="BH277" i="1" s="1"/>
  <c r="AE277" i="1"/>
  <c r="AS277" i="1" s="1"/>
  <c r="AC277" i="1"/>
  <c r="M277" i="1"/>
  <c r="E277" i="1"/>
  <c r="D277" i="1"/>
  <c r="C277" i="1"/>
  <c r="B277" i="1"/>
  <c r="A277" i="1"/>
  <c r="BT276" i="1"/>
  <c r="AP276" i="1"/>
  <c r="BD276" i="1" s="1"/>
  <c r="BR276" i="1" s="1"/>
  <c r="AO276" i="1"/>
  <c r="BC276" i="1" s="1"/>
  <c r="BQ276" i="1" s="1"/>
  <c r="AN276" i="1"/>
  <c r="BB276" i="1" s="1"/>
  <c r="BP276" i="1" s="1"/>
  <c r="AM276" i="1"/>
  <c r="BA276" i="1" s="1"/>
  <c r="BO276" i="1" s="1"/>
  <c r="AL276" i="1"/>
  <c r="AZ276" i="1" s="1"/>
  <c r="BN276" i="1" s="1"/>
  <c r="AK276" i="1"/>
  <c r="AY276" i="1" s="1"/>
  <c r="BM276" i="1" s="1"/>
  <c r="AJ276" i="1"/>
  <c r="AX276" i="1" s="1"/>
  <c r="BL276" i="1" s="1"/>
  <c r="AI276" i="1"/>
  <c r="AW276" i="1" s="1"/>
  <c r="BK276" i="1" s="1"/>
  <c r="AH276" i="1"/>
  <c r="AV276" i="1" s="1"/>
  <c r="BJ276" i="1" s="1"/>
  <c r="AG276" i="1"/>
  <c r="AU276" i="1" s="1"/>
  <c r="BI276" i="1" s="1"/>
  <c r="AF276" i="1"/>
  <c r="AT276" i="1" s="1"/>
  <c r="BH276" i="1" s="1"/>
  <c r="AE276" i="1"/>
  <c r="AS276" i="1" s="1"/>
  <c r="AC276" i="1"/>
  <c r="M276" i="1"/>
  <c r="E276" i="1"/>
  <c r="D276" i="1"/>
  <c r="C276" i="1"/>
  <c r="B276" i="1"/>
  <c r="A276" i="1"/>
  <c r="BT275" i="1"/>
  <c r="AP275" i="1"/>
  <c r="BD275" i="1" s="1"/>
  <c r="BR275" i="1" s="1"/>
  <c r="AO275" i="1"/>
  <c r="BC275" i="1" s="1"/>
  <c r="BQ275" i="1" s="1"/>
  <c r="AN275" i="1"/>
  <c r="BB275" i="1" s="1"/>
  <c r="BP275" i="1" s="1"/>
  <c r="AM275" i="1"/>
  <c r="BA275" i="1" s="1"/>
  <c r="BO275" i="1" s="1"/>
  <c r="AL275" i="1"/>
  <c r="AZ275" i="1" s="1"/>
  <c r="BN275" i="1" s="1"/>
  <c r="AK275" i="1"/>
  <c r="AY275" i="1" s="1"/>
  <c r="BM275" i="1" s="1"/>
  <c r="AJ275" i="1"/>
  <c r="AX275" i="1" s="1"/>
  <c r="BL275" i="1" s="1"/>
  <c r="AI275" i="1"/>
  <c r="AW275" i="1" s="1"/>
  <c r="BK275" i="1" s="1"/>
  <c r="AH275" i="1"/>
  <c r="AV275" i="1" s="1"/>
  <c r="BJ275" i="1" s="1"/>
  <c r="AG275" i="1"/>
  <c r="AU275" i="1" s="1"/>
  <c r="BI275" i="1" s="1"/>
  <c r="AF275" i="1"/>
  <c r="AT275" i="1" s="1"/>
  <c r="BH275" i="1" s="1"/>
  <c r="AE275" i="1"/>
  <c r="AS275" i="1" s="1"/>
  <c r="AC275" i="1"/>
  <c r="M275" i="1"/>
  <c r="E275" i="1"/>
  <c r="D275" i="1"/>
  <c r="C275" i="1"/>
  <c r="B275" i="1"/>
  <c r="A275" i="1"/>
  <c r="BT274" i="1"/>
  <c r="AP274" i="1"/>
  <c r="BD274" i="1" s="1"/>
  <c r="BR274" i="1" s="1"/>
  <c r="AO274" i="1"/>
  <c r="BC274" i="1" s="1"/>
  <c r="BQ274" i="1" s="1"/>
  <c r="AN274" i="1"/>
  <c r="BB274" i="1" s="1"/>
  <c r="BP274" i="1" s="1"/>
  <c r="AM274" i="1"/>
  <c r="BA274" i="1" s="1"/>
  <c r="BO274" i="1" s="1"/>
  <c r="AL274" i="1"/>
  <c r="AZ274" i="1" s="1"/>
  <c r="BN274" i="1" s="1"/>
  <c r="AK274" i="1"/>
  <c r="AY274" i="1" s="1"/>
  <c r="BM274" i="1" s="1"/>
  <c r="AJ274" i="1"/>
  <c r="AX274" i="1" s="1"/>
  <c r="BL274" i="1" s="1"/>
  <c r="AI274" i="1"/>
  <c r="AW274" i="1" s="1"/>
  <c r="BK274" i="1" s="1"/>
  <c r="AH274" i="1"/>
  <c r="AV274" i="1" s="1"/>
  <c r="BJ274" i="1" s="1"/>
  <c r="AG274" i="1"/>
  <c r="AU274" i="1" s="1"/>
  <c r="BI274" i="1" s="1"/>
  <c r="AF274" i="1"/>
  <c r="AT274" i="1" s="1"/>
  <c r="BH274" i="1" s="1"/>
  <c r="AE274" i="1"/>
  <c r="AS274" i="1" s="1"/>
  <c r="AC274" i="1"/>
  <c r="M274" i="1"/>
  <c r="E274" i="1"/>
  <c r="D274" i="1"/>
  <c r="C274" i="1"/>
  <c r="B274" i="1"/>
  <c r="A274" i="1"/>
  <c r="BT273" i="1"/>
  <c r="AP273" i="1"/>
  <c r="BD273" i="1" s="1"/>
  <c r="BR273" i="1" s="1"/>
  <c r="AO273" i="1"/>
  <c r="BC273" i="1" s="1"/>
  <c r="BQ273" i="1" s="1"/>
  <c r="AN273" i="1"/>
  <c r="BB273" i="1" s="1"/>
  <c r="BP273" i="1" s="1"/>
  <c r="AM273" i="1"/>
  <c r="BA273" i="1" s="1"/>
  <c r="BO273" i="1" s="1"/>
  <c r="AL273" i="1"/>
  <c r="AZ273" i="1" s="1"/>
  <c r="BN273" i="1" s="1"/>
  <c r="AK273" i="1"/>
  <c r="AY273" i="1" s="1"/>
  <c r="BM273" i="1" s="1"/>
  <c r="AJ273" i="1"/>
  <c r="AX273" i="1" s="1"/>
  <c r="BL273" i="1" s="1"/>
  <c r="AI273" i="1"/>
  <c r="AW273" i="1" s="1"/>
  <c r="BK273" i="1" s="1"/>
  <c r="AH273" i="1"/>
  <c r="AV273" i="1" s="1"/>
  <c r="BJ273" i="1" s="1"/>
  <c r="AG273" i="1"/>
  <c r="AU273" i="1" s="1"/>
  <c r="BI273" i="1" s="1"/>
  <c r="AF273" i="1"/>
  <c r="AT273" i="1" s="1"/>
  <c r="BH273" i="1" s="1"/>
  <c r="AE273" i="1"/>
  <c r="AS273" i="1" s="1"/>
  <c r="AC273" i="1"/>
  <c r="M273" i="1"/>
  <c r="E273" i="1"/>
  <c r="D273" i="1"/>
  <c r="C273" i="1"/>
  <c r="B273" i="1"/>
  <c r="A273" i="1"/>
  <c r="BT281" i="1"/>
  <c r="AP281" i="1"/>
  <c r="BD281" i="1" s="1"/>
  <c r="BR281" i="1" s="1"/>
  <c r="AO281" i="1"/>
  <c r="BC281" i="1" s="1"/>
  <c r="BQ281" i="1" s="1"/>
  <c r="AN281" i="1"/>
  <c r="BB281" i="1" s="1"/>
  <c r="BP281" i="1" s="1"/>
  <c r="AM281" i="1"/>
  <c r="BA281" i="1" s="1"/>
  <c r="BO281" i="1" s="1"/>
  <c r="AL281" i="1"/>
  <c r="AZ281" i="1" s="1"/>
  <c r="BN281" i="1" s="1"/>
  <c r="AK281" i="1"/>
  <c r="AY281" i="1" s="1"/>
  <c r="BM281" i="1" s="1"/>
  <c r="AJ281" i="1"/>
  <c r="AX281" i="1" s="1"/>
  <c r="BL281" i="1" s="1"/>
  <c r="AI281" i="1"/>
  <c r="AW281" i="1" s="1"/>
  <c r="BK281" i="1" s="1"/>
  <c r="AH281" i="1"/>
  <c r="AV281" i="1" s="1"/>
  <c r="BJ281" i="1" s="1"/>
  <c r="AG281" i="1"/>
  <c r="AU281" i="1" s="1"/>
  <c r="BI281" i="1" s="1"/>
  <c r="AF281" i="1"/>
  <c r="AT281" i="1" s="1"/>
  <c r="BH281" i="1" s="1"/>
  <c r="AE281" i="1"/>
  <c r="AC281" i="1"/>
  <c r="M281" i="1"/>
  <c r="B281" i="1"/>
  <c r="A281" i="1"/>
  <c r="BT280" i="1"/>
  <c r="BR280" i="1"/>
  <c r="BQ280" i="1"/>
  <c r="BP280" i="1"/>
  <c r="BO280" i="1"/>
  <c r="BM280" i="1"/>
  <c r="BL280" i="1"/>
  <c r="BK280" i="1"/>
  <c r="BJ280" i="1"/>
  <c r="BI280" i="1"/>
  <c r="BH280" i="1"/>
  <c r="BG280" i="1"/>
  <c r="BD280" i="1"/>
  <c r="BC280" i="1"/>
  <c r="BB280" i="1"/>
  <c r="BA280" i="1"/>
  <c r="AY280" i="1"/>
  <c r="AX280" i="1"/>
  <c r="AW280" i="1"/>
  <c r="AV280" i="1"/>
  <c r="AU280" i="1"/>
  <c r="AT280" i="1"/>
  <c r="AS280" i="1"/>
  <c r="AP280" i="1"/>
  <c r="AO280" i="1"/>
  <c r="AN280" i="1"/>
  <c r="AM280" i="1"/>
  <c r="AL280" i="1"/>
  <c r="AZ280" i="1" s="1"/>
  <c r="BN280" i="1" s="1"/>
  <c r="AK280" i="1"/>
  <c r="AJ280" i="1"/>
  <c r="AI280" i="1"/>
  <c r="AH280" i="1"/>
  <c r="AG280" i="1"/>
  <c r="AF280" i="1"/>
  <c r="AE280" i="1"/>
  <c r="AC280" i="1"/>
  <c r="M280" i="1"/>
  <c r="B280" i="1"/>
  <c r="A280" i="1"/>
  <c r="BT279" i="1"/>
  <c r="BR279" i="1"/>
  <c r="BQ279" i="1"/>
  <c r="BP279" i="1"/>
  <c r="BN279" i="1"/>
  <c r="BM279" i="1"/>
  <c r="BL279" i="1"/>
  <c r="BK279" i="1"/>
  <c r="BJ279" i="1"/>
  <c r="BI279" i="1"/>
  <c r="BH279" i="1"/>
  <c r="BG279" i="1"/>
  <c r="BD279" i="1"/>
  <c r="BC279" i="1"/>
  <c r="BB279" i="1"/>
  <c r="AZ279" i="1"/>
  <c r="AY279" i="1"/>
  <c r="AX279" i="1"/>
  <c r="AW279" i="1"/>
  <c r="AV279" i="1"/>
  <c r="AU279" i="1"/>
  <c r="AT279" i="1"/>
  <c r="AS279" i="1"/>
  <c r="AP279" i="1"/>
  <c r="AO279" i="1"/>
  <c r="AN279" i="1"/>
  <c r="AM279" i="1"/>
  <c r="BA279" i="1" s="1"/>
  <c r="BO279" i="1" s="1"/>
  <c r="AL279" i="1"/>
  <c r="AK279" i="1"/>
  <c r="AJ279" i="1"/>
  <c r="AI279" i="1"/>
  <c r="AH279" i="1"/>
  <c r="AG279" i="1"/>
  <c r="AF279" i="1"/>
  <c r="AE279" i="1"/>
  <c r="AC279" i="1"/>
  <c r="M279" i="1"/>
  <c r="B279" i="1"/>
  <c r="A279" i="1"/>
  <c r="BT278" i="1"/>
  <c r="BR278" i="1"/>
  <c r="BQ278" i="1"/>
  <c r="BO278" i="1"/>
  <c r="BL278" i="1"/>
  <c r="BK278" i="1"/>
  <c r="BI278" i="1"/>
  <c r="BH278" i="1"/>
  <c r="BD278" i="1"/>
  <c r="BC278" i="1"/>
  <c r="BA278" i="1"/>
  <c r="AZ278" i="1"/>
  <c r="BN278" i="1" s="1"/>
  <c r="AX278" i="1"/>
  <c r="AW278" i="1"/>
  <c r="AU278" i="1"/>
  <c r="AT278" i="1"/>
  <c r="AP278" i="1"/>
  <c r="AO278" i="1"/>
  <c r="AN278" i="1"/>
  <c r="BB278" i="1" s="1"/>
  <c r="BP278" i="1" s="1"/>
  <c r="AM278" i="1"/>
  <c r="AL278" i="1"/>
  <c r="AK278" i="1"/>
  <c r="AY278" i="1" s="1"/>
  <c r="BM278" i="1" s="1"/>
  <c r="AJ278" i="1"/>
  <c r="AI278" i="1"/>
  <c r="AH278" i="1"/>
  <c r="AG278" i="1"/>
  <c r="AF278" i="1"/>
  <c r="AE278" i="1"/>
  <c r="AS278" i="1" s="1"/>
  <c r="AC278" i="1"/>
  <c r="M278" i="1"/>
  <c r="B278" i="1"/>
  <c r="A278" i="1"/>
  <c r="BT286" i="1"/>
  <c r="AP286" i="1"/>
  <c r="BD286" i="1" s="1"/>
  <c r="BR286" i="1" s="1"/>
  <c r="AO286" i="1"/>
  <c r="BC286" i="1" s="1"/>
  <c r="BQ286" i="1" s="1"/>
  <c r="AN286" i="1"/>
  <c r="BB286" i="1" s="1"/>
  <c r="BP286" i="1" s="1"/>
  <c r="AM286" i="1"/>
  <c r="BA286" i="1" s="1"/>
  <c r="BO286" i="1" s="1"/>
  <c r="AL286" i="1"/>
  <c r="AZ286" i="1" s="1"/>
  <c r="BN286" i="1" s="1"/>
  <c r="AK286" i="1"/>
  <c r="AY286" i="1" s="1"/>
  <c r="BM286" i="1" s="1"/>
  <c r="AJ286" i="1"/>
  <c r="AX286" i="1" s="1"/>
  <c r="BL286" i="1" s="1"/>
  <c r="AI286" i="1"/>
  <c r="AW286" i="1" s="1"/>
  <c r="BK286" i="1" s="1"/>
  <c r="AH286" i="1"/>
  <c r="AV286" i="1" s="1"/>
  <c r="BJ286" i="1" s="1"/>
  <c r="AG286" i="1"/>
  <c r="AU286" i="1" s="1"/>
  <c r="BI286" i="1" s="1"/>
  <c r="AF286" i="1"/>
  <c r="AT286" i="1" s="1"/>
  <c r="BH286" i="1" s="1"/>
  <c r="AE286" i="1"/>
  <c r="AS286" i="1" s="1"/>
  <c r="AC286" i="1"/>
  <c r="M286" i="1"/>
  <c r="B286" i="1"/>
  <c r="A286" i="1"/>
  <c r="BT285" i="1"/>
  <c r="BQ285" i="1"/>
  <c r="BP285" i="1"/>
  <c r="BO285" i="1"/>
  <c r="BN285" i="1"/>
  <c r="BM285" i="1"/>
  <c r="BL285" i="1"/>
  <c r="BK285" i="1"/>
  <c r="BJ285" i="1"/>
  <c r="BI285" i="1"/>
  <c r="BH285" i="1"/>
  <c r="BG285" i="1"/>
  <c r="BC285" i="1"/>
  <c r="BB285" i="1"/>
  <c r="BA285" i="1"/>
  <c r="AZ285" i="1"/>
  <c r="AY285" i="1"/>
  <c r="AX285" i="1"/>
  <c r="AW285" i="1"/>
  <c r="AV285" i="1"/>
  <c r="AU285" i="1"/>
  <c r="AT285" i="1"/>
  <c r="AS285" i="1"/>
  <c r="AP285" i="1"/>
  <c r="BD285" i="1" s="1"/>
  <c r="BR285" i="1" s="1"/>
  <c r="AO285" i="1"/>
  <c r="AN285" i="1"/>
  <c r="AM285" i="1"/>
  <c r="AL285" i="1"/>
  <c r="AK285" i="1"/>
  <c r="AJ285" i="1"/>
  <c r="AI285" i="1"/>
  <c r="AH285" i="1"/>
  <c r="AG285" i="1"/>
  <c r="AF285" i="1"/>
  <c r="AE285" i="1"/>
  <c r="AC285" i="1"/>
  <c r="M285" i="1"/>
  <c r="B285" i="1"/>
  <c r="A285" i="1"/>
  <c r="BT284" i="1"/>
  <c r="BQ284" i="1"/>
  <c r="BP284" i="1"/>
  <c r="BO284" i="1"/>
  <c r="BN284" i="1"/>
  <c r="BM284" i="1"/>
  <c r="BL284" i="1"/>
  <c r="BK284" i="1"/>
  <c r="BJ284" i="1"/>
  <c r="BI284" i="1"/>
  <c r="BH284" i="1"/>
  <c r="BG284" i="1"/>
  <c r="BC284" i="1"/>
  <c r="BB284" i="1"/>
  <c r="BA284" i="1"/>
  <c r="AZ284" i="1"/>
  <c r="AY284" i="1"/>
  <c r="AX284" i="1"/>
  <c r="AW284" i="1"/>
  <c r="AV284" i="1"/>
  <c r="AU284" i="1"/>
  <c r="AT284" i="1"/>
  <c r="AS284" i="1"/>
  <c r="AP284" i="1"/>
  <c r="BD284" i="1" s="1"/>
  <c r="BR284" i="1" s="1"/>
  <c r="AO284" i="1"/>
  <c r="AN284" i="1"/>
  <c r="AM284" i="1"/>
  <c r="AL284" i="1"/>
  <c r="AK284" i="1"/>
  <c r="AJ284" i="1"/>
  <c r="AI284" i="1"/>
  <c r="AH284" i="1"/>
  <c r="AG284" i="1"/>
  <c r="AF284" i="1"/>
  <c r="AE284" i="1"/>
  <c r="AC284" i="1"/>
  <c r="M284" i="1"/>
  <c r="B284" i="1"/>
  <c r="A284" i="1"/>
  <c r="BT283" i="1"/>
  <c r="AP283" i="1"/>
  <c r="BD283" i="1" s="1"/>
  <c r="BR283" i="1" s="1"/>
  <c r="AO283" i="1"/>
  <c r="BC283" i="1" s="1"/>
  <c r="BQ283" i="1" s="1"/>
  <c r="AN283" i="1"/>
  <c r="BB283" i="1" s="1"/>
  <c r="BP283" i="1" s="1"/>
  <c r="AM283" i="1"/>
  <c r="BA283" i="1" s="1"/>
  <c r="BO283" i="1" s="1"/>
  <c r="AL283" i="1"/>
  <c r="AZ283" i="1" s="1"/>
  <c r="BN283" i="1" s="1"/>
  <c r="AK283" i="1"/>
  <c r="AY283" i="1" s="1"/>
  <c r="BM283" i="1" s="1"/>
  <c r="AJ283" i="1"/>
  <c r="AX283" i="1" s="1"/>
  <c r="BL283" i="1" s="1"/>
  <c r="AI283" i="1"/>
  <c r="AW283" i="1" s="1"/>
  <c r="BK283" i="1" s="1"/>
  <c r="AH283" i="1"/>
  <c r="AV283" i="1" s="1"/>
  <c r="BJ283" i="1" s="1"/>
  <c r="AG283" i="1"/>
  <c r="AU283" i="1" s="1"/>
  <c r="BI283" i="1" s="1"/>
  <c r="AF283" i="1"/>
  <c r="AT283" i="1" s="1"/>
  <c r="BH283" i="1" s="1"/>
  <c r="AC283" i="1"/>
  <c r="M283" i="1"/>
  <c r="B283" i="1"/>
  <c r="A283" i="1"/>
  <c r="BT282" i="1"/>
  <c r="AP282" i="1"/>
  <c r="BD282" i="1" s="1"/>
  <c r="BR282" i="1" s="1"/>
  <c r="AO282" i="1"/>
  <c r="BC282" i="1" s="1"/>
  <c r="BQ282" i="1" s="1"/>
  <c r="AN282" i="1"/>
  <c r="BB282" i="1" s="1"/>
  <c r="BP282" i="1" s="1"/>
  <c r="AM282" i="1"/>
  <c r="BA282" i="1" s="1"/>
  <c r="BO282" i="1" s="1"/>
  <c r="AL282" i="1"/>
  <c r="AZ282" i="1" s="1"/>
  <c r="BN282" i="1" s="1"/>
  <c r="AK282" i="1"/>
  <c r="AY282" i="1" s="1"/>
  <c r="BM282" i="1" s="1"/>
  <c r="AJ282" i="1"/>
  <c r="AX282" i="1" s="1"/>
  <c r="BL282" i="1" s="1"/>
  <c r="AI282" i="1"/>
  <c r="AW282" i="1" s="1"/>
  <c r="BK282" i="1" s="1"/>
  <c r="AH282" i="1"/>
  <c r="AV282" i="1" s="1"/>
  <c r="BJ282" i="1" s="1"/>
  <c r="AG282" i="1"/>
  <c r="AF282" i="1"/>
  <c r="AT282" i="1" s="1"/>
  <c r="BH282" i="1" s="1"/>
  <c r="AE282" i="1"/>
  <c r="AS282" i="1" s="1"/>
  <c r="BG282" i="1" s="1"/>
  <c r="AC282" i="1"/>
  <c r="M282" i="1"/>
  <c r="B282" i="1"/>
  <c r="A282" i="1"/>
  <c r="BT291" i="1"/>
  <c r="AP291" i="1"/>
  <c r="BD291" i="1" s="1"/>
  <c r="BR291" i="1" s="1"/>
  <c r="AO291" i="1"/>
  <c r="BC291" i="1" s="1"/>
  <c r="BQ291" i="1" s="1"/>
  <c r="AN291" i="1"/>
  <c r="BB291" i="1" s="1"/>
  <c r="BP291" i="1" s="1"/>
  <c r="AM291" i="1"/>
  <c r="BA291" i="1" s="1"/>
  <c r="BO291" i="1" s="1"/>
  <c r="AL291" i="1"/>
  <c r="AZ291" i="1" s="1"/>
  <c r="BN291" i="1" s="1"/>
  <c r="AK291" i="1"/>
  <c r="AY291" i="1" s="1"/>
  <c r="BM291" i="1" s="1"/>
  <c r="AJ291" i="1"/>
  <c r="AX291" i="1" s="1"/>
  <c r="BL291" i="1" s="1"/>
  <c r="AI291" i="1"/>
  <c r="AW291" i="1" s="1"/>
  <c r="BK291" i="1" s="1"/>
  <c r="AH291" i="1"/>
  <c r="AV291" i="1" s="1"/>
  <c r="BJ291" i="1" s="1"/>
  <c r="AG291" i="1"/>
  <c r="AU291" i="1" s="1"/>
  <c r="BI291" i="1" s="1"/>
  <c r="AF291" i="1"/>
  <c r="AT291" i="1" s="1"/>
  <c r="BH291" i="1" s="1"/>
  <c r="AE291" i="1"/>
  <c r="AS291" i="1" s="1"/>
  <c r="AC291" i="1"/>
  <c r="M291" i="1"/>
  <c r="B291" i="1"/>
  <c r="A291" i="1"/>
  <c r="BT290" i="1"/>
  <c r="AP290" i="1"/>
  <c r="BD290" i="1" s="1"/>
  <c r="BR290" i="1" s="1"/>
  <c r="AO290" i="1"/>
  <c r="BC290" i="1" s="1"/>
  <c r="BQ290" i="1" s="1"/>
  <c r="AN290" i="1"/>
  <c r="BB290" i="1" s="1"/>
  <c r="BP290" i="1" s="1"/>
  <c r="AM290" i="1"/>
  <c r="BA290" i="1" s="1"/>
  <c r="BO290" i="1" s="1"/>
  <c r="AL290" i="1"/>
  <c r="AZ290" i="1" s="1"/>
  <c r="BN290" i="1" s="1"/>
  <c r="AK290" i="1"/>
  <c r="AY290" i="1" s="1"/>
  <c r="BM290" i="1" s="1"/>
  <c r="AJ290" i="1"/>
  <c r="AX290" i="1" s="1"/>
  <c r="BL290" i="1" s="1"/>
  <c r="AI290" i="1"/>
  <c r="AW290" i="1" s="1"/>
  <c r="BK290" i="1" s="1"/>
  <c r="AH290" i="1"/>
  <c r="AV290" i="1" s="1"/>
  <c r="BJ290" i="1" s="1"/>
  <c r="AG290" i="1"/>
  <c r="AU290" i="1" s="1"/>
  <c r="BI290" i="1" s="1"/>
  <c r="AF290" i="1"/>
  <c r="AT290" i="1" s="1"/>
  <c r="BH290" i="1" s="1"/>
  <c r="AE290" i="1"/>
  <c r="AS290" i="1" s="1"/>
  <c r="AC290" i="1"/>
  <c r="M290" i="1"/>
  <c r="B290" i="1"/>
  <c r="A290" i="1"/>
  <c r="BT289" i="1"/>
  <c r="AP289" i="1"/>
  <c r="BD289" i="1" s="1"/>
  <c r="BR289" i="1" s="1"/>
  <c r="AO289" i="1"/>
  <c r="BC289" i="1" s="1"/>
  <c r="BQ289" i="1" s="1"/>
  <c r="AN289" i="1"/>
  <c r="BB289" i="1" s="1"/>
  <c r="BP289" i="1" s="1"/>
  <c r="AM289" i="1"/>
  <c r="BA289" i="1" s="1"/>
  <c r="BO289" i="1" s="1"/>
  <c r="AL289" i="1"/>
  <c r="AZ289" i="1" s="1"/>
  <c r="BN289" i="1" s="1"/>
  <c r="AK289" i="1"/>
  <c r="AY289" i="1" s="1"/>
  <c r="BM289" i="1" s="1"/>
  <c r="AJ289" i="1"/>
  <c r="AX289" i="1" s="1"/>
  <c r="BL289" i="1" s="1"/>
  <c r="AI289" i="1"/>
  <c r="AW289" i="1" s="1"/>
  <c r="BK289" i="1" s="1"/>
  <c r="AH289" i="1"/>
  <c r="AV289" i="1" s="1"/>
  <c r="BJ289" i="1" s="1"/>
  <c r="AG289" i="1"/>
  <c r="AU289" i="1" s="1"/>
  <c r="BI289" i="1" s="1"/>
  <c r="AF289" i="1"/>
  <c r="AT289" i="1" s="1"/>
  <c r="BH289" i="1" s="1"/>
  <c r="AE289" i="1"/>
  <c r="AS289" i="1" s="1"/>
  <c r="AC289" i="1"/>
  <c r="M289" i="1"/>
  <c r="B289" i="1"/>
  <c r="A289" i="1"/>
  <c r="BT288" i="1"/>
  <c r="AP288" i="1"/>
  <c r="BD288" i="1" s="1"/>
  <c r="BR288" i="1" s="1"/>
  <c r="AO288" i="1"/>
  <c r="BC288" i="1" s="1"/>
  <c r="BQ288" i="1" s="1"/>
  <c r="AN288" i="1"/>
  <c r="BB288" i="1" s="1"/>
  <c r="BP288" i="1" s="1"/>
  <c r="AM288" i="1"/>
  <c r="BA288" i="1" s="1"/>
  <c r="BO288" i="1" s="1"/>
  <c r="AL288" i="1"/>
  <c r="AZ288" i="1" s="1"/>
  <c r="BN288" i="1" s="1"/>
  <c r="AK288" i="1"/>
  <c r="AY288" i="1" s="1"/>
  <c r="BM288" i="1" s="1"/>
  <c r="AJ288" i="1"/>
  <c r="AX288" i="1" s="1"/>
  <c r="BL288" i="1" s="1"/>
  <c r="AI288" i="1"/>
  <c r="AW288" i="1" s="1"/>
  <c r="BK288" i="1" s="1"/>
  <c r="AH288" i="1"/>
  <c r="AV288" i="1" s="1"/>
  <c r="BJ288" i="1" s="1"/>
  <c r="AG288" i="1"/>
  <c r="AU288" i="1" s="1"/>
  <c r="BI288" i="1" s="1"/>
  <c r="AF288" i="1"/>
  <c r="AT288" i="1" s="1"/>
  <c r="BH288" i="1" s="1"/>
  <c r="AE288" i="1"/>
  <c r="AS288" i="1" s="1"/>
  <c r="AC288" i="1"/>
  <c r="M288" i="1"/>
  <c r="B288" i="1"/>
  <c r="A288" i="1"/>
  <c r="BT287" i="1"/>
  <c r="AP287" i="1"/>
  <c r="BD287" i="1" s="1"/>
  <c r="BR287" i="1" s="1"/>
  <c r="AO287" i="1"/>
  <c r="BC287" i="1" s="1"/>
  <c r="BQ287" i="1" s="1"/>
  <c r="AN287" i="1"/>
  <c r="BB287" i="1" s="1"/>
  <c r="BP287" i="1" s="1"/>
  <c r="AM287" i="1"/>
  <c r="BA287" i="1" s="1"/>
  <c r="BO287" i="1" s="1"/>
  <c r="AL287" i="1"/>
  <c r="AZ287" i="1" s="1"/>
  <c r="BN287" i="1" s="1"/>
  <c r="AK287" i="1"/>
  <c r="AY287" i="1" s="1"/>
  <c r="BM287" i="1" s="1"/>
  <c r="AJ287" i="1"/>
  <c r="AX287" i="1" s="1"/>
  <c r="BL287" i="1" s="1"/>
  <c r="AI287" i="1"/>
  <c r="AW287" i="1" s="1"/>
  <c r="BK287" i="1" s="1"/>
  <c r="AH287" i="1"/>
  <c r="AG287" i="1"/>
  <c r="AU287" i="1" s="1"/>
  <c r="BI287" i="1" s="1"/>
  <c r="AF287" i="1"/>
  <c r="AT287" i="1" s="1"/>
  <c r="BH287" i="1" s="1"/>
  <c r="AE287" i="1"/>
  <c r="AS287" i="1" s="1"/>
  <c r="AC287" i="1"/>
  <c r="M287" i="1"/>
  <c r="B287" i="1"/>
  <c r="A287" i="1"/>
  <c r="BT296" i="1"/>
  <c r="AP296" i="1"/>
  <c r="BD296" i="1" s="1"/>
  <c r="BR296" i="1" s="1"/>
  <c r="AO296" i="1"/>
  <c r="BC296" i="1" s="1"/>
  <c r="BQ296" i="1" s="1"/>
  <c r="AN296" i="1"/>
  <c r="BB296" i="1" s="1"/>
  <c r="BP296" i="1" s="1"/>
  <c r="AM296" i="1"/>
  <c r="BA296" i="1" s="1"/>
  <c r="BO296" i="1" s="1"/>
  <c r="AL296" i="1"/>
  <c r="AZ296" i="1" s="1"/>
  <c r="BN296" i="1" s="1"/>
  <c r="AK296" i="1"/>
  <c r="AY296" i="1" s="1"/>
  <c r="BM296" i="1" s="1"/>
  <c r="AJ296" i="1"/>
  <c r="AX296" i="1" s="1"/>
  <c r="BL296" i="1" s="1"/>
  <c r="AI296" i="1"/>
  <c r="AW296" i="1" s="1"/>
  <c r="BK296" i="1" s="1"/>
  <c r="AH296" i="1"/>
  <c r="AV296" i="1" s="1"/>
  <c r="BJ296" i="1" s="1"/>
  <c r="AG296" i="1"/>
  <c r="AU296" i="1" s="1"/>
  <c r="BI296" i="1" s="1"/>
  <c r="AF296" i="1"/>
  <c r="AT296" i="1" s="1"/>
  <c r="BH296" i="1" s="1"/>
  <c r="AE296" i="1"/>
  <c r="AS296" i="1" s="1"/>
  <c r="AC296" i="1"/>
  <c r="M296" i="1"/>
  <c r="B296" i="1"/>
  <c r="A296" i="1"/>
  <c r="BT295" i="1"/>
  <c r="AP295" i="1"/>
  <c r="BD295" i="1" s="1"/>
  <c r="BR295" i="1" s="1"/>
  <c r="AO295" i="1"/>
  <c r="BC295" i="1" s="1"/>
  <c r="BQ295" i="1" s="1"/>
  <c r="AN295" i="1"/>
  <c r="BB295" i="1" s="1"/>
  <c r="BP295" i="1" s="1"/>
  <c r="AM295" i="1"/>
  <c r="BA295" i="1" s="1"/>
  <c r="BO295" i="1" s="1"/>
  <c r="AL295" i="1"/>
  <c r="AZ295" i="1" s="1"/>
  <c r="BN295" i="1" s="1"/>
  <c r="AK295" i="1"/>
  <c r="AY295" i="1" s="1"/>
  <c r="BM295" i="1" s="1"/>
  <c r="AJ295" i="1"/>
  <c r="AX295" i="1" s="1"/>
  <c r="BL295" i="1" s="1"/>
  <c r="AI295" i="1"/>
  <c r="AW295" i="1" s="1"/>
  <c r="BK295" i="1" s="1"/>
  <c r="AH295" i="1"/>
  <c r="AG295" i="1"/>
  <c r="AU295" i="1" s="1"/>
  <c r="BI295" i="1" s="1"/>
  <c r="AF295" i="1"/>
  <c r="AT295" i="1" s="1"/>
  <c r="BH295" i="1" s="1"/>
  <c r="AE295" i="1"/>
  <c r="AS295" i="1" s="1"/>
  <c r="AC295" i="1"/>
  <c r="M295" i="1"/>
  <c r="B295" i="1"/>
  <c r="A295" i="1"/>
  <c r="BT294" i="1"/>
  <c r="AP294" i="1"/>
  <c r="BD294" i="1" s="1"/>
  <c r="BR294" i="1" s="1"/>
  <c r="AO294" i="1"/>
  <c r="BC294" i="1" s="1"/>
  <c r="BQ294" i="1" s="1"/>
  <c r="AN294" i="1"/>
  <c r="BB294" i="1" s="1"/>
  <c r="BP294" i="1" s="1"/>
  <c r="AM294" i="1"/>
  <c r="BA294" i="1" s="1"/>
  <c r="BO294" i="1" s="1"/>
  <c r="AL294" i="1"/>
  <c r="AZ294" i="1" s="1"/>
  <c r="BN294" i="1" s="1"/>
  <c r="AK294" i="1"/>
  <c r="AY294" i="1" s="1"/>
  <c r="BM294" i="1" s="1"/>
  <c r="AJ294" i="1"/>
  <c r="AX294" i="1" s="1"/>
  <c r="BL294" i="1" s="1"/>
  <c r="AI294" i="1"/>
  <c r="AW294" i="1" s="1"/>
  <c r="BK294" i="1" s="1"/>
  <c r="AH294" i="1"/>
  <c r="AV294" i="1" s="1"/>
  <c r="BJ294" i="1" s="1"/>
  <c r="AG294" i="1"/>
  <c r="AU294" i="1" s="1"/>
  <c r="BI294" i="1" s="1"/>
  <c r="AF294" i="1"/>
  <c r="AT294" i="1" s="1"/>
  <c r="BH294" i="1" s="1"/>
  <c r="AE294" i="1"/>
  <c r="AS294" i="1" s="1"/>
  <c r="AC294" i="1"/>
  <c r="M294" i="1"/>
  <c r="B294" i="1"/>
  <c r="A294" i="1"/>
  <c r="BT293" i="1"/>
  <c r="AP293" i="1"/>
  <c r="BD293" i="1" s="1"/>
  <c r="BR293" i="1" s="1"/>
  <c r="AO293" i="1"/>
  <c r="BC293" i="1" s="1"/>
  <c r="BQ293" i="1" s="1"/>
  <c r="AN293" i="1"/>
  <c r="BB293" i="1" s="1"/>
  <c r="BP293" i="1" s="1"/>
  <c r="AM293" i="1"/>
  <c r="BA293" i="1" s="1"/>
  <c r="BO293" i="1" s="1"/>
  <c r="AL293" i="1"/>
  <c r="AZ293" i="1" s="1"/>
  <c r="BN293" i="1" s="1"/>
  <c r="AK293" i="1"/>
  <c r="AY293" i="1" s="1"/>
  <c r="BM293" i="1" s="1"/>
  <c r="AJ293" i="1"/>
  <c r="AX293" i="1" s="1"/>
  <c r="BL293" i="1" s="1"/>
  <c r="AI293" i="1"/>
  <c r="AW293" i="1" s="1"/>
  <c r="BK293" i="1" s="1"/>
  <c r="AH293" i="1"/>
  <c r="AG293" i="1"/>
  <c r="AU293" i="1" s="1"/>
  <c r="BI293" i="1" s="1"/>
  <c r="AF293" i="1"/>
  <c r="AT293" i="1" s="1"/>
  <c r="BH293" i="1" s="1"/>
  <c r="AE293" i="1"/>
  <c r="AS293" i="1" s="1"/>
  <c r="AC293" i="1"/>
  <c r="M293" i="1"/>
  <c r="B293" i="1"/>
  <c r="A293" i="1"/>
  <c r="BT292" i="1"/>
  <c r="BR292" i="1"/>
  <c r="BQ292" i="1"/>
  <c r="BP292" i="1"/>
  <c r="BO292" i="1"/>
  <c r="BN292" i="1"/>
  <c r="BM292" i="1"/>
  <c r="BL292" i="1"/>
  <c r="BK292" i="1"/>
  <c r="BJ292" i="1"/>
  <c r="BI292" i="1"/>
  <c r="BG292" i="1"/>
  <c r="BD292" i="1"/>
  <c r="BC292" i="1"/>
  <c r="BB292" i="1"/>
  <c r="BA292" i="1"/>
  <c r="AZ292" i="1"/>
  <c r="AY292" i="1"/>
  <c r="AX292" i="1"/>
  <c r="AW292" i="1"/>
  <c r="AV292" i="1"/>
  <c r="AU292" i="1"/>
  <c r="AS292" i="1"/>
  <c r="AP292" i="1"/>
  <c r="AO292" i="1"/>
  <c r="AN292" i="1"/>
  <c r="AM292" i="1"/>
  <c r="AL292" i="1"/>
  <c r="AK292" i="1"/>
  <c r="AJ292" i="1"/>
  <c r="AI292" i="1"/>
  <c r="AH292" i="1"/>
  <c r="AG292" i="1"/>
  <c r="AF292" i="1"/>
  <c r="AT292" i="1" s="1"/>
  <c r="AE292" i="1"/>
  <c r="AC292" i="1"/>
  <c r="M292" i="1"/>
  <c r="B292" i="1"/>
  <c r="A292" i="1"/>
  <c r="BT301" i="1"/>
  <c r="AP301" i="1"/>
  <c r="BD301" i="1" s="1"/>
  <c r="BR301" i="1" s="1"/>
  <c r="AO301" i="1"/>
  <c r="BC301" i="1" s="1"/>
  <c r="BQ301" i="1" s="1"/>
  <c r="AN301" i="1"/>
  <c r="BB301" i="1" s="1"/>
  <c r="BP301" i="1" s="1"/>
  <c r="AM301" i="1"/>
  <c r="BA301" i="1" s="1"/>
  <c r="BO301" i="1" s="1"/>
  <c r="AL301" i="1"/>
  <c r="AZ301" i="1" s="1"/>
  <c r="BN301" i="1" s="1"/>
  <c r="AK301" i="1"/>
  <c r="AY301" i="1" s="1"/>
  <c r="BM301" i="1" s="1"/>
  <c r="AJ301" i="1"/>
  <c r="AX301" i="1" s="1"/>
  <c r="BL301" i="1" s="1"/>
  <c r="AI301" i="1"/>
  <c r="AW301" i="1" s="1"/>
  <c r="BK301" i="1" s="1"/>
  <c r="AH301" i="1"/>
  <c r="AV301" i="1" s="1"/>
  <c r="BJ301" i="1" s="1"/>
  <c r="AG301" i="1"/>
  <c r="AU301" i="1" s="1"/>
  <c r="BI301" i="1" s="1"/>
  <c r="AF301" i="1"/>
  <c r="AT301" i="1" s="1"/>
  <c r="BH301" i="1" s="1"/>
  <c r="AE301" i="1"/>
  <c r="AS301" i="1" s="1"/>
  <c r="AC301" i="1"/>
  <c r="M301" i="1"/>
  <c r="B301" i="1"/>
  <c r="A301" i="1"/>
  <c r="BT300" i="1"/>
  <c r="AP300" i="1"/>
  <c r="BD300" i="1" s="1"/>
  <c r="BR300" i="1" s="1"/>
  <c r="AO300" i="1"/>
  <c r="BC300" i="1" s="1"/>
  <c r="BQ300" i="1" s="1"/>
  <c r="AN300" i="1"/>
  <c r="BB300" i="1" s="1"/>
  <c r="BP300" i="1" s="1"/>
  <c r="AM300" i="1"/>
  <c r="BA300" i="1" s="1"/>
  <c r="BO300" i="1" s="1"/>
  <c r="AL300" i="1"/>
  <c r="AZ300" i="1" s="1"/>
  <c r="BN300" i="1" s="1"/>
  <c r="AK300" i="1"/>
  <c r="AY300" i="1" s="1"/>
  <c r="BM300" i="1" s="1"/>
  <c r="AJ300" i="1"/>
  <c r="AX300" i="1" s="1"/>
  <c r="BL300" i="1" s="1"/>
  <c r="AI300" i="1"/>
  <c r="AW300" i="1" s="1"/>
  <c r="BK300" i="1" s="1"/>
  <c r="AH300" i="1"/>
  <c r="AV300" i="1" s="1"/>
  <c r="BJ300" i="1" s="1"/>
  <c r="AG300" i="1"/>
  <c r="AU300" i="1" s="1"/>
  <c r="BI300" i="1" s="1"/>
  <c r="AF300" i="1"/>
  <c r="AT300" i="1" s="1"/>
  <c r="BH300" i="1" s="1"/>
  <c r="AE300" i="1"/>
  <c r="AS300" i="1" s="1"/>
  <c r="AC300" i="1"/>
  <c r="M300" i="1"/>
  <c r="B300" i="1"/>
  <c r="A300" i="1"/>
  <c r="BT299" i="1"/>
  <c r="AP299" i="1"/>
  <c r="BD299" i="1" s="1"/>
  <c r="BR299" i="1" s="1"/>
  <c r="AO299" i="1"/>
  <c r="BC299" i="1" s="1"/>
  <c r="BQ299" i="1" s="1"/>
  <c r="AN299" i="1"/>
  <c r="BB299" i="1" s="1"/>
  <c r="BP299" i="1" s="1"/>
  <c r="AM299" i="1"/>
  <c r="BA299" i="1" s="1"/>
  <c r="BO299" i="1" s="1"/>
  <c r="AL299" i="1"/>
  <c r="AZ299" i="1" s="1"/>
  <c r="BN299" i="1" s="1"/>
  <c r="AK299" i="1"/>
  <c r="AY299" i="1" s="1"/>
  <c r="BM299" i="1" s="1"/>
  <c r="AJ299" i="1"/>
  <c r="AX299" i="1" s="1"/>
  <c r="BL299" i="1" s="1"/>
  <c r="AI299" i="1"/>
  <c r="AW299" i="1" s="1"/>
  <c r="BK299" i="1" s="1"/>
  <c r="AH299" i="1"/>
  <c r="AV299" i="1" s="1"/>
  <c r="BJ299" i="1" s="1"/>
  <c r="AG299" i="1"/>
  <c r="AU299" i="1" s="1"/>
  <c r="BI299" i="1" s="1"/>
  <c r="AF299" i="1"/>
  <c r="AT299" i="1" s="1"/>
  <c r="BH299" i="1" s="1"/>
  <c r="AE299" i="1"/>
  <c r="AS299" i="1" s="1"/>
  <c r="AC299" i="1"/>
  <c r="M299" i="1"/>
  <c r="B299" i="1"/>
  <c r="A299" i="1"/>
  <c r="BT298" i="1"/>
  <c r="AP298" i="1"/>
  <c r="BD298" i="1" s="1"/>
  <c r="BR298" i="1" s="1"/>
  <c r="AO298" i="1"/>
  <c r="BC298" i="1" s="1"/>
  <c r="BQ298" i="1" s="1"/>
  <c r="AN298" i="1"/>
  <c r="BB298" i="1" s="1"/>
  <c r="BP298" i="1" s="1"/>
  <c r="AM298" i="1"/>
  <c r="BA298" i="1" s="1"/>
  <c r="BO298" i="1" s="1"/>
  <c r="AL298" i="1"/>
  <c r="AZ298" i="1" s="1"/>
  <c r="BN298" i="1" s="1"/>
  <c r="AK298" i="1"/>
  <c r="AY298" i="1" s="1"/>
  <c r="BM298" i="1" s="1"/>
  <c r="AJ298" i="1"/>
  <c r="AX298" i="1" s="1"/>
  <c r="BL298" i="1" s="1"/>
  <c r="AI298" i="1"/>
  <c r="AW298" i="1" s="1"/>
  <c r="BK298" i="1" s="1"/>
  <c r="AH298" i="1"/>
  <c r="AV298" i="1" s="1"/>
  <c r="BJ298" i="1" s="1"/>
  <c r="AG298" i="1"/>
  <c r="AU298" i="1" s="1"/>
  <c r="BI298" i="1" s="1"/>
  <c r="AF298" i="1"/>
  <c r="AT298" i="1" s="1"/>
  <c r="BH298" i="1" s="1"/>
  <c r="AE298" i="1"/>
  <c r="AS298" i="1" s="1"/>
  <c r="AC298" i="1"/>
  <c r="M298" i="1"/>
  <c r="B298" i="1"/>
  <c r="A298" i="1"/>
  <c r="BT297" i="1"/>
  <c r="AP297" i="1"/>
  <c r="BD297" i="1" s="1"/>
  <c r="BR297" i="1" s="1"/>
  <c r="AO297" i="1"/>
  <c r="BC297" i="1" s="1"/>
  <c r="BQ297" i="1" s="1"/>
  <c r="AN297" i="1"/>
  <c r="BB297" i="1" s="1"/>
  <c r="BP297" i="1" s="1"/>
  <c r="AM297" i="1"/>
  <c r="BA297" i="1" s="1"/>
  <c r="BO297" i="1" s="1"/>
  <c r="AL297" i="1"/>
  <c r="AZ297" i="1" s="1"/>
  <c r="BN297" i="1" s="1"/>
  <c r="AK297" i="1"/>
  <c r="AY297" i="1" s="1"/>
  <c r="BM297" i="1" s="1"/>
  <c r="AJ297" i="1"/>
  <c r="AX297" i="1" s="1"/>
  <c r="BL297" i="1" s="1"/>
  <c r="AI297" i="1"/>
  <c r="AW297" i="1" s="1"/>
  <c r="BK297" i="1" s="1"/>
  <c r="AH297" i="1"/>
  <c r="AV297" i="1" s="1"/>
  <c r="BJ297" i="1" s="1"/>
  <c r="AG297" i="1"/>
  <c r="AU297" i="1" s="1"/>
  <c r="BI297" i="1" s="1"/>
  <c r="AF297" i="1"/>
  <c r="AT297" i="1" s="1"/>
  <c r="BH297" i="1" s="1"/>
  <c r="AE297" i="1"/>
  <c r="AS297" i="1" s="1"/>
  <c r="AC297" i="1"/>
  <c r="M297" i="1"/>
  <c r="B297" i="1"/>
  <c r="A297" i="1"/>
  <c r="BT306" i="1"/>
  <c r="AP306" i="1"/>
  <c r="BD306" i="1" s="1"/>
  <c r="BR306" i="1" s="1"/>
  <c r="AO306" i="1"/>
  <c r="BC306" i="1" s="1"/>
  <c r="BQ306" i="1" s="1"/>
  <c r="AN306" i="1"/>
  <c r="BB306" i="1" s="1"/>
  <c r="BP306" i="1" s="1"/>
  <c r="AM306" i="1"/>
  <c r="BA306" i="1" s="1"/>
  <c r="BO306" i="1" s="1"/>
  <c r="AL306" i="1"/>
  <c r="AZ306" i="1" s="1"/>
  <c r="BN306" i="1" s="1"/>
  <c r="AK306" i="1"/>
  <c r="AY306" i="1" s="1"/>
  <c r="BM306" i="1" s="1"/>
  <c r="AJ306" i="1"/>
  <c r="AX306" i="1" s="1"/>
  <c r="BL306" i="1" s="1"/>
  <c r="AI306" i="1"/>
  <c r="AW306" i="1" s="1"/>
  <c r="BK306" i="1" s="1"/>
  <c r="AH306" i="1"/>
  <c r="AV306" i="1" s="1"/>
  <c r="BJ306" i="1" s="1"/>
  <c r="AG306" i="1"/>
  <c r="AU306" i="1" s="1"/>
  <c r="BI306" i="1" s="1"/>
  <c r="AF306" i="1"/>
  <c r="AT306" i="1" s="1"/>
  <c r="BH306" i="1" s="1"/>
  <c r="AE306" i="1"/>
  <c r="AS306" i="1" s="1"/>
  <c r="AC306" i="1"/>
  <c r="M306" i="1"/>
  <c r="B306" i="1"/>
  <c r="A306" i="1"/>
  <c r="BT305" i="1"/>
  <c r="AP305" i="1"/>
  <c r="BD305" i="1" s="1"/>
  <c r="BR305" i="1" s="1"/>
  <c r="AO305" i="1"/>
  <c r="BC305" i="1" s="1"/>
  <c r="BQ305" i="1" s="1"/>
  <c r="AN305" i="1"/>
  <c r="BB305" i="1" s="1"/>
  <c r="BP305" i="1" s="1"/>
  <c r="AM305" i="1"/>
  <c r="BA305" i="1" s="1"/>
  <c r="BO305" i="1" s="1"/>
  <c r="AL305" i="1"/>
  <c r="AZ305" i="1" s="1"/>
  <c r="BN305" i="1" s="1"/>
  <c r="AK305" i="1"/>
  <c r="AY305" i="1" s="1"/>
  <c r="BM305" i="1" s="1"/>
  <c r="AJ305" i="1"/>
  <c r="AX305" i="1" s="1"/>
  <c r="BL305" i="1" s="1"/>
  <c r="AI305" i="1"/>
  <c r="AW305" i="1" s="1"/>
  <c r="BK305" i="1" s="1"/>
  <c r="AH305" i="1"/>
  <c r="AV305" i="1" s="1"/>
  <c r="BJ305" i="1" s="1"/>
  <c r="AG305" i="1"/>
  <c r="AU305" i="1" s="1"/>
  <c r="BI305" i="1" s="1"/>
  <c r="AF305" i="1"/>
  <c r="AT305" i="1" s="1"/>
  <c r="BH305" i="1" s="1"/>
  <c r="AE305" i="1"/>
  <c r="AS305" i="1" s="1"/>
  <c r="AC305" i="1"/>
  <c r="M305" i="1"/>
  <c r="B305" i="1"/>
  <c r="A305" i="1"/>
  <c r="BT304" i="1"/>
  <c r="AP304" i="1"/>
  <c r="BD304" i="1" s="1"/>
  <c r="BR304" i="1" s="1"/>
  <c r="AO304" i="1"/>
  <c r="BC304" i="1" s="1"/>
  <c r="BQ304" i="1" s="1"/>
  <c r="AN304" i="1"/>
  <c r="BB304" i="1" s="1"/>
  <c r="BP304" i="1" s="1"/>
  <c r="AM304" i="1"/>
  <c r="BA304" i="1" s="1"/>
  <c r="BO304" i="1" s="1"/>
  <c r="AL304" i="1"/>
  <c r="AZ304" i="1" s="1"/>
  <c r="BN304" i="1" s="1"/>
  <c r="AK304" i="1"/>
  <c r="AY304" i="1" s="1"/>
  <c r="BM304" i="1" s="1"/>
  <c r="AJ304" i="1"/>
  <c r="AX304" i="1" s="1"/>
  <c r="BL304" i="1" s="1"/>
  <c r="AI304" i="1"/>
  <c r="AW304" i="1" s="1"/>
  <c r="BK304" i="1" s="1"/>
  <c r="AH304" i="1"/>
  <c r="AV304" i="1" s="1"/>
  <c r="BJ304" i="1" s="1"/>
  <c r="AG304" i="1"/>
  <c r="AU304" i="1" s="1"/>
  <c r="BI304" i="1" s="1"/>
  <c r="AF304" i="1"/>
  <c r="AT304" i="1" s="1"/>
  <c r="BH304" i="1" s="1"/>
  <c r="AE304" i="1"/>
  <c r="AS304" i="1" s="1"/>
  <c r="AC304" i="1"/>
  <c r="M304" i="1"/>
  <c r="B304" i="1"/>
  <c r="A304" i="1"/>
  <c r="BT303" i="1"/>
  <c r="AP303" i="1"/>
  <c r="BD303" i="1" s="1"/>
  <c r="BR303" i="1" s="1"/>
  <c r="AO303" i="1"/>
  <c r="BC303" i="1" s="1"/>
  <c r="BQ303" i="1" s="1"/>
  <c r="AN303" i="1"/>
  <c r="BB303" i="1" s="1"/>
  <c r="BP303" i="1" s="1"/>
  <c r="AM303" i="1"/>
  <c r="BA303" i="1" s="1"/>
  <c r="BO303" i="1" s="1"/>
  <c r="AL303" i="1"/>
  <c r="AZ303" i="1" s="1"/>
  <c r="BN303" i="1" s="1"/>
  <c r="AK303" i="1"/>
  <c r="AY303" i="1" s="1"/>
  <c r="BM303" i="1" s="1"/>
  <c r="AJ303" i="1"/>
  <c r="AX303" i="1" s="1"/>
  <c r="BL303" i="1" s="1"/>
  <c r="AI303" i="1"/>
  <c r="AW303" i="1" s="1"/>
  <c r="BK303" i="1" s="1"/>
  <c r="AH303" i="1"/>
  <c r="AG303" i="1"/>
  <c r="AU303" i="1" s="1"/>
  <c r="BI303" i="1" s="1"/>
  <c r="AF303" i="1"/>
  <c r="AT303" i="1" s="1"/>
  <c r="BH303" i="1" s="1"/>
  <c r="AE303" i="1"/>
  <c r="AS303" i="1" s="1"/>
  <c r="AC303" i="1"/>
  <c r="M303" i="1"/>
  <c r="B303" i="1"/>
  <c r="A303" i="1"/>
  <c r="BT302" i="1"/>
  <c r="AP302" i="1"/>
  <c r="BD302" i="1" s="1"/>
  <c r="BR302" i="1" s="1"/>
  <c r="AO302" i="1"/>
  <c r="BC302" i="1" s="1"/>
  <c r="BQ302" i="1" s="1"/>
  <c r="AN302" i="1"/>
  <c r="BB302" i="1" s="1"/>
  <c r="BP302" i="1" s="1"/>
  <c r="AM302" i="1"/>
  <c r="BA302" i="1" s="1"/>
  <c r="BO302" i="1" s="1"/>
  <c r="AL302" i="1"/>
  <c r="AZ302" i="1" s="1"/>
  <c r="BN302" i="1" s="1"/>
  <c r="AK302" i="1"/>
  <c r="AY302" i="1" s="1"/>
  <c r="BM302" i="1" s="1"/>
  <c r="AJ302" i="1"/>
  <c r="AX302" i="1" s="1"/>
  <c r="BL302" i="1" s="1"/>
  <c r="AI302" i="1"/>
  <c r="AW302" i="1" s="1"/>
  <c r="BK302" i="1" s="1"/>
  <c r="AH302" i="1"/>
  <c r="AV302" i="1" s="1"/>
  <c r="BJ302" i="1" s="1"/>
  <c r="AG302" i="1"/>
  <c r="AU302" i="1" s="1"/>
  <c r="BI302" i="1" s="1"/>
  <c r="AF302" i="1"/>
  <c r="AT302" i="1" s="1"/>
  <c r="BH302" i="1" s="1"/>
  <c r="AE302" i="1"/>
  <c r="AS302" i="1" s="1"/>
  <c r="AC302" i="1"/>
  <c r="M302" i="1"/>
  <c r="B302" i="1"/>
  <c r="A302" i="1"/>
  <c r="BT311" i="1"/>
  <c r="BS311" i="1"/>
  <c r="BR311" i="1"/>
  <c r="BQ311" i="1"/>
  <c r="BP311" i="1"/>
  <c r="BO311" i="1"/>
  <c r="BN311" i="1"/>
  <c r="BM311" i="1"/>
  <c r="BL311" i="1"/>
  <c r="BK311" i="1"/>
  <c r="BJ311" i="1"/>
  <c r="BI311" i="1"/>
  <c r="BH311" i="1"/>
  <c r="BG311" i="1"/>
  <c r="BE311" i="1"/>
  <c r="BD311" i="1"/>
  <c r="BC311" i="1"/>
  <c r="BB311" i="1"/>
  <c r="BA311" i="1"/>
  <c r="AZ311" i="1"/>
  <c r="AY311" i="1"/>
  <c r="AX311" i="1"/>
  <c r="AW311" i="1"/>
  <c r="AV311" i="1"/>
  <c r="AU311" i="1"/>
  <c r="AT311" i="1"/>
  <c r="AS311" i="1"/>
  <c r="AQ311" i="1"/>
  <c r="AP311" i="1"/>
  <c r="AO311" i="1"/>
  <c r="AN311" i="1"/>
  <c r="AM311" i="1"/>
  <c r="AL311" i="1"/>
  <c r="AK311" i="1"/>
  <c r="AJ311" i="1"/>
  <c r="AI311" i="1"/>
  <c r="AH311" i="1"/>
  <c r="AG311" i="1"/>
  <c r="AF311" i="1"/>
  <c r="AE311" i="1"/>
  <c r="AC311" i="1"/>
  <c r="M311" i="1"/>
  <c r="B311" i="1"/>
  <c r="A311" i="1"/>
  <c r="BT310" i="1"/>
  <c r="BS310" i="1"/>
  <c r="BR310" i="1"/>
  <c r="BQ310" i="1"/>
  <c r="BP310" i="1"/>
  <c r="BO310" i="1"/>
  <c r="BN310" i="1"/>
  <c r="BM310" i="1"/>
  <c r="BL310" i="1"/>
  <c r="BK310" i="1"/>
  <c r="BJ310" i="1"/>
  <c r="BI310" i="1"/>
  <c r="BH310" i="1"/>
  <c r="BG310" i="1"/>
  <c r="BE310" i="1"/>
  <c r="BD310" i="1"/>
  <c r="BC310" i="1"/>
  <c r="BB310" i="1"/>
  <c r="BA310" i="1"/>
  <c r="AZ310" i="1"/>
  <c r="AY310" i="1"/>
  <c r="AX310" i="1"/>
  <c r="AW310" i="1"/>
  <c r="AV310" i="1"/>
  <c r="AU310" i="1"/>
  <c r="AT310" i="1"/>
  <c r="AS310" i="1"/>
  <c r="AQ310" i="1"/>
  <c r="AP310" i="1"/>
  <c r="AO310" i="1"/>
  <c r="AN310" i="1"/>
  <c r="AM310" i="1"/>
  <c r="AL310" i="1"/>
  <c r="AK310" i="1"/>
  <c r="AJ310" i="1"/>
  <c r="AI310" i="1"/>
  <c r="AH310" i="1"/>
  <c r="AG310" i="1"/>
  <c r="AF310" i="1"/>
  <c r="AE310" i="1"/>
  <c r="AC310" i="1"/>
  <c r="M310" i="1"/>
  <c r="B310" i="1"/>
  <c r="A310" i="1"/>
  <c r="BT309" i="1"/>
  <c r="BS309" i="1"/>
  <c r="BR309" i="1"/>
  <c r="BQ309" i="1"/>
  <c r="BP309" i="1"/>
  <c r="BO309" i="1"/>
  <c r="BN309" i="1"/>
  <c r="BM309" i="1"/>
  <c r="BL309" i="1"/>
  <c r="BK309" i="1"/>
  <c r="BJ309" i="1"/>
  <c r="BI309" i="1"/>
  <c r="BH309" i="1"/>
  <c r="BG309" i="1"/>
  <c r="BE309" i="1"/>
  <c r="BD309" i="1"/>
  <c r="BC309" i="1"/>
  <c r="BB309" i="1"/>
  <c r="BA309" i="1"/>
  <c r="AZ309" i="1"/>
  <c r="AY309" i="1"/>
  <c r="AX309" i="1"/>
  <c r="AW309" i="1"/>
  <c r="AV309" i="1"/>
  <c r="AU309" i="1"/>
  <c r="AT309" i="1"/>
  <c r="AS309" i="1"/>
  <c r="AQ309" i="1"/>
  <c r="AP309" i="1"/>
  <c r="AO309" i="1"/>
  <c r="AN309" i="1"/>
  <c r="AM309" i="1"/>
  <c r="AL309" i="1"/>
  <c r="AK309" i="1"/>
  <c r="AJ309" i="1"/>
  <c r="AI309" i="1"/>
  <c r="AH309" i="1"/>
  <c r="AG309" i="1"/>
  <c r="AF309" i="1"/>
  <c r="AE309" i="1"/>
  <c r="AC309" i="1"/>
  <c r="M309" i="1"/>
  <c r="B309" i="1"/>
  <c r="A309" i="1"/>
  <c r="BT308" i="1"/>
  <c r="BR308" i="1"/>
  <c r="BQ308" i="1"/>
  <c r="BP308" i="1"/>
  <c r="BO308" i="1"/>
  <c r="BN308" i="1"/>
  <c r="BL308" i="1"/>
  <c r="BK308" i="1"/>
  <c r="BJ308" i="1"/>
  <c r="BI308" i="1"/>
  <c r="BH308" i="1"/>
  <c r="BG308" i="1"/>
  <c r="BD308" i="1"/>
  <c r="BC308" i="1"/>
  <c r="BB308" i="1"/>
  <c r="BA308" i="1"/>
  <c r="AZ308" i="1"/>
  <c r="AX308" i="1"/>
  <c r="AW308" i="1"/>
  <c r="AV308" i="1"/>
  <c r="AU308" i="1"/>
  <c r="AT308" i="1"/>
  <c r="AS308" i="1"/>
  <c r="AP308" i="1"/>
  <c r="AO308" i="1"/>
  <c r="AN308" i="1"/>
  <c r="AM308" i="1"/>
  <c r="AL308" i="1"/>
  <c r="AK308" i="1"/>
  <c r="AY308" i="1" s="1"/>
  <c r="AJ308" i="1"/>
  <c r="AI308" i="1"/>
  <c r="AH308" i="1"/>
  <c r="AG308" i="1"/>
  <c r="AF308" i="1"/>
  <c r="AE308" i="1"/>
  <c r="AC308" i="1"/>
  <c r="M308" i="1"/>
  <c r="B308" i="1"/>
  <c r="A308" i="1"/>
  <c r="BT307" i="1"/>
  <c r="BR307" i="1"/>
  <c r="BQ307" i="1"/>
  <c r="BP307" i="1"/>
  <c r="BO307" i="1"/>
  <c r="BN307" i="1"/>
  <c r="BM307" i="1"/>
  <c r="BL307" i="1"/>
  <c r="BK307" i="1"/>
  <c r="BJ307" i="1"/>
  <c r="BI307" i="1"/>
  <c r="BH307" i="1"/>
  <c r="BD307" i="1"/>
  <c r="BC307" i="1"/>
  <c r="BB307" i="1"/>
  <c r="BA307" i="1"/>
  <c r="AZ307" i="1"/>
  <c r="AY307" i="1"/>
  <c r="AX307" i="1"/>
  <c r="AW307" i="1"/>
  <c r="AV307" i="1"/>
  <c r="AU307" i="1"/>
  <c r="AT307" i="1"/>
  <c r="AP307" i="1"/>
  <c r="AO307" i="1"/>
  <c r="AN307" i="1"/>
  <c r="AM307" i="1"/>
  <c r="AL307" i="1"/>
  <c r="AK307" i="1"/>
  <c r="AJ307" i="1"/>
  <c r="AI307" i="1"/>
  <c r="AH307" i="1"/>
  <c r="AG307" i="1"/>
  <c r="AF307" i="1"/>
  <c r="AE307" i="1"/>
  <c r="AS307" i="1" s="1"/>
  <c r="BG307" i="1" s="1"/>
  <c r="AC307" i="1"/>
  <c r="M307" i="1"/>
  <c r="B307" i="1"/>
  <c r="A307" i="1"/>
  <c r="BT316" i="1"/>
  <c r="BS316" i="1"/>
  <c r="BR316" i="1"/>
  <c r="BQ316" i="1"/>
  <c r="BP316" i="1"/>
  <c r="BO316" i="1"/>
  <c r="BN316" i="1"/>
  <c r="BM316" i="1"/>
  <c r="BL316" i="1"/>
  <c r="BK316" i="1"/>
  <c r="BJ316" i="1"/>
  <c r="BI316" i="1"/>
  <c r="BH316" i="1"/>
  <c r="BG316" i="1"/>
  <c r="BE316" i="1"/>
  <c r="BD316" i="1"/>
  <c r="BC316" i="1"/>
  <c r="BB316" i="1"/>
  <c r="BA316" i="1"/>
  <c r="AZ316" i="1"/>
  <c r="AY316" i="1"/>
  <c r="AX316" i="1"/>
  <c r="AW316" i="1"/>
  <c r="AV316" i="1"/>
  <c r="AU316" i="1"/>
  <c r="AT316" i="1"/>
  <c r="AS316" i="1"/>
  <c r="AQ316" i="1"/>
  <c r="AP316" i="1"/>
  <c r="AO316" i="1"/>
  <c r="AN316" i="1"/>
  <c r="AM316" i="1"/>
  <c r="AL316" i="1"/>
  <c r="AK316" i="1"/>
  <c r="AJ316" i="1"/>
  <c r="AI316" i="1"/>
  <c r="AH316" i="1"/>
  <c r="AG316" i="1"/>
  <c r="AF316" i="1"/>
  <c r="AE316" i="1"/>
  <c r="AC316" i="1"/>
  <c r="M316" i="1"/>
  <c r="B316" i="1"/>
  <c r="A316" i="1"/>
  <c r="BT315" i="1"/>
  <c r="BR315" i="1"/>
  <c r="BQ315" i="1"/>
  <c r="BP315" i="1"/>
  <c r="BO315" i="1"/>
  <c r="BM315" i="1"/>
  <c r="BL315" i="1"/>
  <c r="BK315" i="1"/>
  <c r="BJ315" i="1"/>
  <c r="BI315" i="1"/>
  <c r="BH315" i="1"/>
  <c r="BG315" i="1"/>
  <c r="BD315" i="1"/>
  <c r="BC315" i="1"/>
  <c r="BB315" i="1"/>
  <c r="BA315" i="1"/>
  <c r="AY315" i="1"/>
  <c r="AX315" i="1"/>
  <c r="AW315" i="1"/>
  <c r="AV315" i="1"/>
  <c r="AU315" i="1"/>
  <c r="AT315" i="1"/>
  <c r="AS315" i="1"/>
  <c r="AP315" i="1"/>
  <c r="AO315" i="1"/>
  <c r="AN315" i="1"/>
  <c r="AM315" i="1"/>
  <c r="AL315" i="1"/>
  <c r="AZ315" i="1" s="1"/>
  <c r="BN315" i="1" s="1"/>
  <c r="AK315" i="1"/>
  <c r="AJ315" i="1"/>
  <c r="AI315" i="1"/>
  <c r="AH315" i="1"/>
  <c r="AG315" i="1"/>
  <c r="AF315" i="1"/>
  <c r="AE315" i="1"/>
  <c r="AC315" i="1"/>
  <c r="M315" i="1"/>
  <c r="B315" i="1"/>
  <c r="A315" i="1"/>
  <c r="BT314" i="1"/>
  <c r="BS314" i="1"/>
  <c r="BR314" i="1"/>
  <c r="BQ314" i="1"/>
  <c r="BP314" i="1"/>
  <c r="BO314" i="1"/>
  <c r="BN314" i="1"/>
  <c r="BM314" i="1"/>
  <c r="BL314" i="1"/>
  <c r="BK314" i="1"/>
  <c r="BJ314" i="1"/>
  <c r="BI314" i="1"/>
  <c r="BH314" i="1"/>
  <c r="BG314" i="1"/>
  <c r="BE314" i="1"/>
  <c r="BD314" i="1"/>
  <c r="BC314" i="1"/>
  <c r="BB314" i="1"/>
  <c r="BA314" i="1"/>
  <c r="AZ314" i="1"/>
  <c r="AY314" i="1"/>
  <c r="AX314" i="1"/>
  <c r="AW314" i="1"/>
  <c r="AV314" i="1"/>
  <c r="AU314" i="1"/>
  <c r="AT314" i="1"/>
  <c r="AS314" i="1"/>
  <c r="AQ314" i="1"/>
  <c r="AP314" i="1"/>
  <c r="AO314" i="1"/>
  <c r="AN314" i="1"/>
  <c r="AM314" i="1"/>
  <c r="AL314" i="1"/>
  <c r="AK314" i="1"/>
  <c r="AJ314" i="1"/>
  <c r="AI314" i="1"/>
  <c r="AH314" i="1"/>
  <c r="AG314" i="1"/>
  <c r="AF314" i="1"/>
  <c r="AE314" i="1"/>
  <c r="AC314" i="1"/>
  <c r="M314" i="1"/>
  <c r="B314" i="1"/>
  <c r="A314" i="1"/>
  <c r="BT313" i="1"/>
  <c r="AP313" i="1"/>
  <c r="BD313" i="1" s="1"/>
  <c r="BR313" i="1" s="1"/>
  <c r="AO313" i="1"/>
  <c r="BC313" i="1" s="1"/>
  <c r="BQ313" i="1" s="1"/>
  <c r="AN313" i="1"/>
  <c r="BB313" i="1" s="1"/>
  <c r="BP313" i="1" s="1"/>
  <c r="AM313" i="1"/>
  <c r="BA313" i="1" s="1"/>
  <c r="BO313" i="1" s="1"/>
  <c r="AL313" i="1"/>
  <c r="AZ313" i="1" s="1"/>
  <c r="BN313" i="1" s="1"/>
  <c r="AK313" i="1"/>
  <c r="AY313" i="1" s="1"/>
  <c r="BM313" i="1" s="1"/>
  <c r="AJ313" i="1"/>
  <c r="AX313" i="1" s="1"/>
  <c r="BL313" i="1" s="1"/>
  <c r="AI313" i="1"/>
  <c r="AW313" i="1" s="1"/>
  <c r="BK313" i="1" s="1"/>
  <c r="AH313" i="1"/>
  <c r="AV313" i="1" s="1"/>
  <c r="BJ313" i="1" s="1"/>
  <c r="AG313" i="1"/>
  <c r="AU313" i="1" s="1"/>
  <c r="BI313" i="1" s="1"/>
  <c r="AF313" i="1"/>
  <c r="AT313" i="1" s="1"/>
  <c r="BH313" i="1" s="1"/>
  <c r="AE313" i="1"/>
  <c r="AS313" i="1" s="1"/>
  <c r="AC313" i="1"/>
  <c r="M313" i="1"/>
  <c r="B313" i="1"/>
  <c r="A313" i="1"/>
  <c r="BT312" i="1"/>
  <c r="BR312" i="1"/>
  <c r="BQ312" i="1"/>
  <c r="BP312" i="1"/>
  <c r="BO312" i="1"/>
  <c r="BN312" i="1"/>
  <c r="BM312" i="1"/>
  <c r="BD312" i="1"/>
  <c r="BC312" i="1"/>
  <c r="BB312" i="1"/>
  <c r="BA312" i="1"/>
  <c r="AZ312" i="1"/>
  <c r="AY312" i="1"/>
  <c r="AP312" i="1"/>
  <c r="AO312" i="1"/>
  <c r="AN312" i="1"/>
  <c r="AM312" i="1"/>
  <c r="AL312" i="1"/>
  <c r="AK312" i="1"/>
  <c r="AJ312" i="1"/>
  <c r="AX312" i="1" s="1"/>
  <c r="BL312" i="1" s="1"/>
  <c r="AI312" i="1"/>
  <c r="AW312" i="1" s="1"/>
  <c r="BK312" i="1" s="1"/>
  <c r="AH312" i="1"/>
  <c r="AV312" i="1" s="1"/>
  <c r="BJ312" i="1" s="1"/>
  <c r="AG312" i="1"/>
  <c r="AU312" i="1" s="1"/>
  <c r="BI312" i="1" s="1"/>
  <c r="AF312" i="1"/>
  <c r="AT312" i="1" s="1"/>
  <c r="BH312" i="1" s="1"/>
  <c r="AE312" i="1"/>
  <c r="AS312" i="1" s="1"/>
  <c r="AC312" i="1"/>
  <c r="M312" i="1"/>
  <c r="B312" i="1"/>
  <c r="A312" i="1"/>
  <c r="BT321" i="1"/>
  <c r="AP321" i="1"/>
  <c r="BD321" i="1" s="1"/>
  <c r="BR321" i="1" s="1"/>
  <c r="AO321" i="1"/>
  <c r="BC321" i="1" s="1"/>
  <c r="BQ321" i="1" s="1"/>
  <c r="AN321" i="1"/>
  <c r="BB321" i="1" s="1"/>
  <c r="BP321" i="1" s="1"/>
  <c r="AM321" i="1"/>
  <c r="BA321" i="1" s="1"/>
  <c r="BO321" i="1" s="1"/>
  <c r="AL321" i="1"/>
  <c r="AZ321" i="1" s="1"/>
  <c r="BN321" i="1" s="1"/>
  <c r="AK321" i="1"/>
  <c r="AY321" i="1" s="1"/>
  <c r="BM321" i="1" s="1"/>
  <c r="AJ321" i="1"/>
  <c r="AX321" i="1" s="1"/>
  <c r="BL321" i="1" s="1"/>
  <c r="AI321" i="1"/>
  <c r="AW321" i="1" s="1"/>
  <c r="BK321" i="1" s="1"/>
  <c r="AH321" i="1"/>
  <c r="AV321" i="1" s="1"/>
  <c r="BJ321" i="1" s="1"/>
  <c r="AG321" i="1"/>
  <c r="AU321" i="1" s="1"/>
  <c r="BI321" i="1" s="1"/>
  <c r="AF321" i="1"/>
  <c r="AT321" i="1" s="1"/>
  <c r="BH321" i="1" s="1"/>
  <c r="AE321" i="1"/>
  <c r="AC321" i="1"/>
  <c r="M321" i="1"/>
  <c r="B321" i="1"/>
  <c r="A321" i="1"/>
  <c r="BT320" i="1"/>
  <c r="AP320" i="1"/>
  <c r="BD320" i="1" s="1"/>
  <c r="BR320" i="1" s="1"/>
  <c r="AO320" i="1"/>
  <c r="BC320" i="1" s="1"/>
  <c r="BQ320" i="1" s="1"/>
  <c r="AN320" i="1"/>
  <c r="BB320" i="1" s="1"/>
  <c r="BP320" i="1" s="1"/>
  <c r="AM320" i="1"/>
  <c r="BA320" i="1" s="1"/>
  <c r="BO320" i="1" s="1"/>
  <c r="AL320" i="1"/>
  <c r="AZ320" i="1" s="1"/>
  <c r="BN320" i="1" s="1"/>
  <c r="AK320" i="1"/>
  <c r="AY320" i="1" s="1"/>
  <c r="BM320" i="1" s="1"/>
  <c r="AJ320" i="1"/>
  <c r="AX320" i="1" s="1"/>
  <c r="BL320" i="1" s="1"/>
  <c r="AI320" i="1"/>
  <c r="AW320" i="1" s="1"/>
  <c r="BK320" i="1" s="1"/>
  <c r="AH320" i="1"/>
  <c r="AV320" i="1" s="1"/>
  <c r="BJ320" i="1" s="1"/>
  <c r="AG320" i="1"/>
  <c r="AU320" i="1" s="1"/>
  <c r="BI320" i="1" s="1"/>
  <c r="AF320" i="1"/>
  <c r="AT320" i="1" s="1"/>
  <c r="BH320" i="1" s="1"/>
  <c r="AE320" i="1"/>
  <c r="AS320" i="1" s="1"/>
  <c r="AC320" i="1"/>
  <c r="M320" i="1"/>
  <c r="B320" i="1"/>
  <c r="A320" i="1"/>
  <c r="BT319" i="1"/>
  <c r="AP319" i="1"/>
  <c r="BD319" i="1" s="1"/>
  <c r="BR319" i="1" s="1"/>
  <c r="AO319" i="1"/>
  <c r="BC319" i="1" s="1"/>
  <c r="BQ319" i="1" s="1"/>
  <c r="AN319" i="1"/>
  <c r="BB319" i="1" s="1"/>
  <c r="BP319" i="1" s="1"/>
  <c r="AM319" i="1"/>
  <c r="BA319" i="1" s="1"/>
  <c r="BO319" i="1" s="1"/>
  <c r="AL319" i="1"/>
  <c r="AZ319" i="1" s="1"/>
  <c r="BN319" i="1" s="1"/>
  <c r="AK319" i="1"/>
  <c r="AY319" i="1" s="1"/>
  <c r="BM319" i="1" s="1"/>
  <c r="AJ319" i="1"/>
  <c r="AX319" i="1" s="1"/>
  <c r="BL319" i="1" s="1"/>
  <c r="AI319" i="1"/>
  <c r="AW319" i="1" s="1"/>
  <c r="BK319" i="1" s="1"/>
  <c r="AH319" i="1"/>
  <c r="AV319" i="1" s="1"/>
  <c r="BJ319" i="1" s="1"/>
  <c r="AG319" i="1"/>
  <c r="AU319" i="1" s="1"/>
  <c r="BI319" i="1" s="1"/>
  <c r="AF319" i="1"/>
  <c r="AT319" i="1" s="1"/>
  <c r="BH319" i="1" s="1"/>
  <c r="AE319" i="1"/>
  <c r="AS319" i="1" s="1"/>
  <c r="BG319" i="1" s="1"/>
  <c r="AC319" i="1"/>
  <c r="M319" i="1"/>
  <c r="B319" i="1"/>
  <c r="A319" i="1"/>
  <c r="BT318" i="1"/>
  <c r="AP318" i="1"/>
  <c r="BD318" i="1" s="1"/>
  <c r="BR318" i="1" s="1"/>
  <c r="AO318" i="1"/>
  <c r="BC318" i="1" s="1"/>
  <c r="BQ318" i="1" s="1"/>
  <c r="AN318" i="1"/>
  <c r="BB318" i="1" s="1"/>
  <c r="BP318" i="1" s="1"/>
  <c r="AM318" i="1"/>
  <c r="BA318" i="1" s="1"/>
  <c r="BO318" i="1" s="1"/>
  <c r="AL318" i="1"/>
  <c r="AZ318" i="1" s="1"/>
  <c r="BN318" i="1" s="1"/>
  <c r="AK318" i="1"/>
  <c r="AY318" i="1" s="1"/>
  <c r="BM318" i="1" s="1"/>
  <c r="AJ318" i="1"/>
  <c r="AX318" i="1" s="1"/>
  <c r="BL318" i="1" s="1"/>
  <c r="AI318" i="1"/>
  <c r="AW318" i="1" s="1"/>
  <c r="BK318" i="1" s="1"/>
  <c r="AH318" i="1"/>
  <c r="AV318" i="1" s="1"/>
  <c r="BJ318" i="1" s="1"/>
  <c r="AG318" i="1"/>
  <c r="AU318" i="1" s="1"/>
  <c r="BI318" i="1" s="1"/>
  <c r="AF318" i="1"/>
  <c r="AT318" i="1" s="1"/>
  <c r="BH318" i="1" s="1"/>
  <c r="AE318" i="1"/>
  <c r="AS318" i="1" s="1"/>
  <c r="AC318" i="1"/>
  <c r="M318" i="1"/>
  <c r="B318" i="1"/>
  <c r="A318" i="1"/>
  <c r="BT317" i="1"/>
  <c r="BS317" i="1"/>
  <c r="BR317" i="1"/>
  <c r="BQ317" i="1"/>
  <c r="BP317" i="1"/>
  <c r="BO317" i="1"/>
  <c r="BN317" i="1"/>
  <c r="BM317" i="1"/>
  <c r="BL317" i="1"/>
  <c r="BK317" i="1"/>
  <c r="BJ317" i="1"/>
  <c r="BI317" i="1"/>
  <c r="BH317" i="1"/>
  <c r="BG317" i="1"/>
  <c r="BE317" i="1"/>
  <c r="BD317" i="1"/>
  <c r="BC317" i="1"/>
  <c r="BB317" i="1"/>
  <c r="BA317" i="1"/>
  <c r="AZ317" i="1"/>
  <c r="AY317" i="1"/>
  <c r="AX317" i="1"/>
  <c r="AW317" i="1"/>
  <c r="AV317" i="1"/>
  <c r="AU317" i="1"/>
  <c r="AT317" i="1"/>
  <c r="AS317" i="1"/>
  <c r="AQ317" i="1"/>
  <c r="AP317" i="1"/>
  <c r="AO317" i="1"/>
  <c r="AN317" i="1"/>
  <c r="AM317" i="1"/>
  <c r="AL317" i="1"/>
  <c r="AK317" i="1"/>
  <c r="AJ317" i="1"/>
  <c r="AI317" i="1"/>
  <c r="AH317" i="1"/>
  <c r="AG317" i="1"/>
  <c r="AF317" i="1"/>
  <c r="AE317" i="1"/>
  <c r="AC317" i="1"/>
  <c r="M317" i="1"/>
  <c r="B317" i="1"/>
  <c r="A317" i="1"/>
  <c r="J187" i="5"/>
  <c r="Q24" i="1"/>
  <c r="R24" i="1"/>
  <c r="S24" i="1"/>
  <c r="T24" i="1"/>
  <c r="U24" i="1"/>
  <c r="V24" i="1"/>
  <c r="W24" i="1"/>
  <c r="X24" i="1"/>
  <c r="Y24" i="1"/>
  <c r="Z24" i="1"/>
  <c r="AA24" i="1"/>
  <c r="AB24" i="1"/>
  <c r="Q25" i="1"/>
  <c r="R25" i="1"/>
  <c r="S25" i="1"/>
  <c r="T25" i="1"/>
  <c r="U25" i="1"/>
  <c r="V25" i="1"/>
  <c r="W25" i="1"/>
  <c r="X25" i="1"/>
  <c r="Y25" i="1"/>
  <c r="Z25" i="1"/>
  <c r="AA25" i="1"/>
  <c r="AB25" i="1"/>
  <c r="Q26" i="1"/>
  <c r="R26" i="1"/>
  <c r="S26" i="1"/>
  <c r="T26" i="1"/>
  <c r="U26" i="1"/>
  <c r="V26" i="1"/>
  <c r="W26" i="1"/>
  <c r="X26" i="1"/>
  <c r="Y26" i="1"/>
  <c r="Z26" i="1"/>
  <c r="AA26" i="1"/>
  <c r="AB26" i="1"/>
  <c r="J252" i="5"/>
  <c r="J188" i="5"/>
  <c r="AS283" i="1" l="1"/>
  <c r="AQ283" i="1"/>
  <c r="AU282" i="1"/>
  <c r="AQ282" i="1"/>
  <c r="BE308" i="1"/>
  <c r="BM308" i="1"/>
  <c r="BS308" i="1" s="1"/>
  <c r="AQ308" i="1"/>
  <c r="AQ278" i="1"/>
  <c r="AV278" i="1"/>
  <c r="BJ278" i="1" s="1"/>
  <c r="BG278" i="1"/>
  <c r="AQ321" i="1"/>
  <c r="AS321" i="1"/>
  <c r="BG321" i="1" s="1"/>
  <c r="BS321" i="1" s="1"/>
  <c r="BE315" i="1"/>
  <c r="AQ279" i="1"/>
  <c r="BE284" i="1"/>
  <c r="AQ319" i="1"/>
  <c r="BS285" i="1"/>
  <c r="AQ315" i="1"/>
  <c r="BS279" i="1"/>
  <c r="AQ307" i="1"/>
  <c r="AQ280" i="1"/>
  <c r="BE280" i="1"/>
  <c r="AQ313" i="1"/>
  <c r="AQ284" i="1"/>
  <c r="BS280" i="1"/>
  <c r="BE318" i="1"/>
  <c r="BG318" i="1"/>
  <c r="BS318" i="1" s="1"/>
  <c r="BG320" i="1"/>
  <c r="BS320" i="1" s="1"/>
  <c r="BE320" i="1"/>
  <c r="BE312" i="1"/>
  <c r="BG312" i="1"/>
  <c r="BS312" i="1" s="1"/>
  <c r="BS319" i="1"/>
  <c r="AV303" i="1"/>
  <c r="BJ303" i="1" s="1"/>
  <c r="AQ303" i="1"/>
  <c r="BG302" i="1"/>
  <c r="BS302" i="1" s="1"/>
  <c r="BE302" i="1"/>
  <c r="BH292" i="1"/>
  <c r="BS292" i="1" s="1"/>
  <c r="BE292" i="1"/>
  <c r="BG286" i="1"/>
  <c r="BS286" i="1" s="1"/>
  <c r="BE286" i="1"/>
  <c r="AS281" i="1"/>
  <c r="AQ281" i="1"/>
  <c r="AV293" i="1"/>
  <c r="BJ293" i="1" s="1"/>
  <c r="AQ293" i="1"/>
  <c r="AV295" i="1"/>
  <c r="BJ295" i="1" s="1"/>
  <c r="AQ295" i="1"/>
  <c r="AV287" i="1"/>
  <c r="BJ287" i="1" s="1"/>
  <c r="AQ287" i="1"/>
  <c r="AQ285" i="1"/>
  <c r="BG287" i="1"/>
  <c r="BG289" i="1"/>
  <c r="BS289" i="1" s="1"/>
  <c r="BE289" i="1"/>
  <c r="AQ292" i="1"/>
  <c r="AQ318" i="1"/>
  <c r="AQ320" i="1"/>
  <c r="AQ312" i="1"/>
  <c r="BG294" i="1"/>
  <c r="BS294" i="1" s="1"/>
  <c r="BE294" i="1"/>
  <c r="BG296" i="1"/>
  <c r="BS296" i="1" s="1"/>
  <c r="BE296" i="1"/>
  <c r="BG288" i="1"/>
  <c r="BS288" i="1" s="1"/>
  <c r="BE288" i="1"/>
  <c r="BG290" i="1"/>
  <c r="BS290" i="1" s="1"/>
  <c r="BE290" i="1"/>
  <c r="BG298" i="1"/>
  <c r="BS298" i="1" s="1"/>
  <c r="BE298" i="1"/>
  <c r="BE319" i="1"/>
  <c r="BS307" i="1"/>
  <c r="BG303" i="1"/>
  <c r="BG305" i="1"/>
  <c r="BS305" i="1" s="1"/>
  <c r="BE305" i="1"/>
  <c r="BG297" i="1"/>
  <c r="BS297" i="1" s="1"/>
  <c r="BE297" i="1"/>
  <c r="BG299" i="1"/>
  <c r="BS299" i="1" s="1"/>
  <c r="BE299" i="1"/>
  <c r="BG301" i="1"/>
  <c r="BS301" i="1" s="1"/>
  <c r="BE301" i="1"/>
  <c r="BS284" i="1"/>
  <c r="BE279" i="1"/>
  <c r="BG295" i="1"/>
  <c r="BG291" i="1"/>
  <c r="BS291" i="1" s="1"/>
  <c r="BE291" i="1"/>
  <c r="BG300" i="1"/>
  <c r="BS300" i="1" s="1"/>
  <c r="BE300" i="1"/>
  <c r="BS315" i="1"/>
  <c r="BG293" i="1"/>
  <c r="BG313" i="1"/>
  <c r="BS313" i="1" s="1"/>
  <c r="BE313" i="1"/>
  <c r="BG304" i="1"/>
  <c r="BS304" i="1" s="1"/>
  <c r="BE304" i="1"/>
  <c r="BG306" i="1"/>
  <c r="BS306" i="1" s="1"/>
  <c r="BE306" i="1"/>
  <c r="BE285" i="1"/>
  <c r="AQ305" i="1"/>
  <c r="AQ297" i="1"/>
  <c r="AQ299" i="1"/>
  <c r="AQ301" i="1"/>
  <c r="AQ289" i="1"/>
  <c r="AQ291" i="1"/>
  <c r="AQ302" i="1"/>
  <c r="AQ304" i="1"/>
  <c r="AQ306" i="1"/>
  <c r="AQ298" i="1"/>
  <c r="AQ300" i="1"/>
  <c r="AQ294" i="1"/>
  <c r="AQ296" i="1"/>
  <c r="AQ288" i="1"/>
  <c r="AQ290" i="1"/>
  <c r="AQ286" i="1"/>
  <c r="BE307" i="1"/>
  <c r="BG277" i="1"/>
  <c r="BS277" i="1" s="1"/>
  <c r="BE277" i="1"/>
  <c r="AQ277" i="1"/>
  <c r="BG276" i="1"/>
  <c r="BS276" i="1" s="1"/>
  <c r="BE276" i="1"/>
  <c r="AQ276" i="1"/>
  <c r="BE275" i="1"/>
  <c r="BG275" i="1"/>
  <c r="BS275" i="1" s="1"/>
  <c r="AQ275" i="1"/>
  <c r="AQ274" i="1"/>
  <c r="BG274" i="1"/>
  <c r="BS274" i="1" s="1"/>
  <c r="BE274" i="1"/>
  <c r="BG273" i="1"/>
  <c r="BS273" i="1" s="1"/>
  <c r="BE273" i="1"/>
  <c r="AQ273" i="1"/>
  <c r="BG283" i="1" l="1"/>
  <c r="BS283" i="1" s="1"/>
  <c r="BE283" i="1"/>
  <c r="BI282" i="1"/>
  <c r="BS282" i="1" s="1"/>
  <c r="BE282" i="1"/>
  <c r="BS278" i="1"/>
  <c r="BE278" i="1"/>
  <c r="BE321" i="1"/>
  <c r="BE293" i="1"/>
  <c r="BS293" i="1"/>
  <c r="BE295" i="1"/>
  <c r="BS295" i="1"/>
  <c r="BS303" i="1"/>
  <c r="BG281" i="1"/>
  <c r="BS281" i="1" s="1"/>
  <c r="BE281" i="1"/>
  <c r="BE287" i="1"/>
  <c r="BE303" i="1"/>
  <c r="BS287" i="1"/>
  <c r="AP254" i="1"/>
  <c r="BD254" i="1" s="1"/>
  <c r="BR254" i="1" s="1"/>
  <c r="AO254" i="1"/>
  <c r="BC254" i="1" s="1"/>
  <c r="BQ254" i="1" s="1"/>
  <c r="AC254" i="1"/>
  <c r="AO253" i="1"/>
  <c r="BC253" i="1" s="1"/>
  <c r="AL253" i="1"/>
  <c r="AZ253" i="1" s="1"/>
  <c r="BN253" i="1" s="1"/>
  <c r="AL254" i="1"/>
  <c r="AK254" i="1"/>
  <c r="AP251" i="1"/>
  <c r="AH251" i="1"/>
  <c r="AM250" i="1"/>
  <c r="AJ250" i="1"/>
  <c r="AX250" i="1" s="1"/>
  <c r="BL250" i="1" s="1"/>
  <c r="AC250" i="1"/>
  <c r="AM249" i="1"/>
  <c r="BA249" i="1" s="1"/>
  <c r="BO249" i="1" s="1"/>
  <c r="AL249" i="1"/>
  <c r="AI249" i="1"/>
  <c r="AW249" i="1" s="1"/>
  <c r="BK249" i="1" s="1"/>
  <c r="AE249" i="1"/>
  <c r="AS249" i="1" s="1"/>
  <c r="AL247" i="1"/>
  <c r="AC247" i="1"/>
  <c r="AI246" i="1"/>
  <c r="AW246" i="1" s="1"/>
  <c r="BK246" i="1" s="1"/>
  <c r="AP245" i="1"/>
  <c r="BD245" i="1" s="1"/>
  <c r="AI245" i="1"/>
  <c r="AW245" i="1" s="1"/>
  <c r="AH245" i="1"/>
  <c r="AV245" i="1" s="1"/>
  <c r="AM244" i="1"/>
  <c r="AL244" i="1"/>
  <c r="AZ244" i="1" s="1"/>
  <c r="BN244" i="1" s="1"/>
  <c r="AL243" i="1"/>
  <c r="BT325" i="1"/>
  <c r="AP325" i="1"/>
  <c r="BD325" i="1" s="1"/>
  <c r="BR325" i="1" s="1"/>
  <c r="AO325" i="1"/>
  <c r="BC325" i="1" s="1"/>
  <c r="BQ325" i="1" s="1"/>
  <c r="AN325" i="1"/>
  <c r="BB325" i="1" s="1"/>
  <c r="BP325" i="1" s="1"/>
  <c r="AM325" i="1"/>
  <c r="BA325" i="1" s="1"/>
  <c r="BO325" i="1" s="1"/>
  <c r="AL325" i="1"/>
  <c r="AZ325" i="1" s="1"/>
  <c r="BN325" i="1" s="1"/>
  <c r="AK325" i="1"/>
  <c r="AY325" i="1" s="1"/>
  <c r="BM325" i="1" s="1"/>
  <c r="AJ325" i="1"/>
  <c r="AX325" i="1" s="1"/>
  <c r="BL325" i="1" s="1"/>
  <c r="AI325" i="1"/>
  <c r="AW325" i="1" s="1"/>
  <c r="BK325" i="1" s="1"/>
  <c r="AH325" i="1"/>
  <c r="AV325" i="1" s="1"/>
  <c r="BJ325" i="1" s="1"/>
  <c r="AG325" i="1"/>
  <c r="AU325" i="1" s="1"/>
  <c r="BI325" i="1" s="1"/>
  <c r="AF325" i="1"/>
  <c r="AT325" i="1" s="1"/>
  <c r="BH325" i="1" s="1"/>
  <c r="AE325" i="1"/>
  <c r="AS325" i="1" s="1"/>
  <c r="AC325" i="1"/>
  <c r="M325" i="1"/>
  <c r="B325" i="1"/>
  <c r="A325" i="1"/>
  <c r="BT324" i="1"/>
  <c r="AP324" i="1"/>
  <c r="BD324" i="1" s="1"/>
  <c r="BR324" i="1" s="1"/>
  <c r="AO324" i="1"/>
  <c r="BC324" i="1" s="1"/>
  <c r="BQ324" i="1" s="1"/>
  <c r="AN324" i="1"/>
  <c r="BB324" i="1" s="1"/>
  <c r="BP324" i="1" s="1"/>
  <c r="AM324" i="1"/>
  <c r="BA324" i="1" s="1"/>
  <c r="BO324" i="1" s="1"/>
  <c r="AL324" i="1"/>
  <c r="AZ324" i="1" s="1"/>
  <c r="BN324" i="1" s="1"/>
  <c r="AK324" i="1"/>
  <c r="AY324" i="1" s="1"/>
  <c r="BM324" i="1" s="1"/>
  <c r="AJ324" i="1"/>
  <c r="AX324" i="1" s="1"/>
  <c r="BL324" i="1" s="1"/>
  <c r="AI324" i="1"/>
  <c r="AW324" i="1" s="1"/>
  <c r="BK324" i="1" s="1"/>
  <c r="AH324" i="1"/>
  <c r="AV324" i="1" s="1"/>
  <c r="BJ324" i="1" s="1"/>
  <c r="AG324" i="1"/>
  <c r="AU324" i="1" s="1"/>
  <c r="BI324" i="1" s="1"/>
  <c r="AF324" i="1"/>
  <c r="AT324" i="1" s="1"/>
  <c r="BH324" i="1" s="1"/>
  <c r="AE324" i="1"/>
  <c r="AS324" i="1" s="1"/>
  <c r="AC324" i="1"/>
  <c r="M324" i="1"/>
  <c r="B324" i="1"/>
  <c r="A324" i="1"/>
  <c r="BT323" i="1"/>
  <c r="AP323" i="1"/>
  <c r="BD323" i="1" s="1"/>
  <c r="BR323" i="1" s="1"/>
  <c r="AO323" i="1"/>
  <c r="BC323" i="1" s="1"/>
  <c r="BQ323" i="1" s="1"/>
  <c r="AN323" i="1"/>
  <c r="BB323" i="1" s="1"/>
  <c r="BP323" i="1" s="1"/>
  <c r="AM323" i="1"/>
  <c r="BA323" i="1" s="1"/>
  <c r="BO323" i="1" s="1"/>
  <c r="AL323" i="1"/>
  <c r="AZ323" i="1" s="1"/>
  <c r="BN323" i="1" s="1"/>
  <c r="AK323" i="1"/>
  <c r="AY323" i="1" s="1"/>
  <c r="BM323" i="1" s="1"/>
  <c r="AJ323" i="1"/>
  <c r="AX323" i="1" s="1"/>
  <c r="BL323" i="1" s="1"/>
  <c r="AI323" i="1"/>
  <c r="AW323" i="1" s="1"/>
  <c r="BK323" i="1" s="1"/>
  <c r="AH323" i="1"/>
  <c r="AV323" i="1" s="1"/>
  <c r="BJ323" i="1" s="1"/>
  <c r="AG323" i="1"/>
  <c r="AU323" i="1" s="1"/>
  <c r="BI323" i="1" s="1"/>
  <c r="AF323" i="1"/>
  <c r="AT323" i="1" s="1"/>
  <c r="BH323" i="1" s="1"/>
  <c r="AE323" i="1"/>
  <c r="AS323" i="1" s="1"/>
  <c r="AC323" i="1"/>
  <c r="M323" i="1"/>
  <c r="B323" i="1"/>
  <c r="A323" i="1"/>
  <c r="BT322" i="1"/>
  <c r="AP322" i="1"/>
  <c r="BD322" i="1" s="1"/>
  <c r="BR322" i="1" s="1"/>
  <c r="AO322" i="1"/>
  <c r="BC322" i="1" s="1"/>
  <c r="BQ322" i="1" s="1"/>
  <c r="AN322" i="1"/>
  <c r="BB322" i="1" s="1"/>
  <c r="BP322" i="1" s="1"/>
  <c r="AM322" i="1"/>
  <c r="BA322" i="1" s="1"/>
  <c r="BO322" i="1" s="1"/>
  <c r="AL322" i="1"/>
  <c r="AZ322" i="1" s="1"/>
  <c r="BN322" i="1" s="1"/>
  <c r="AK322" i="1"/>
  <c r="AY322" i="1" s="1"/>
  <c r="BM322" i="1" s="1"/>
  <c r="AJ322" i="1"/>
  <c r="AX322" i="1" s="1"/>
  <c r="BL322" i="1" s="1"/>
  <c r="AI322" i="1"/>
  <c r="AW322" i="1" s="1"/>
  <c r="BK322" i="1" s="1"/>
  <c r="AH322" i="1"/>
  <c r="AG322" i="1"/>
  <c r="AU322" i="1" s="1"/>
  <c r="BI322" i="1" s="1"/>
  <c r="AF322" i="1"/>
  <c r="AT322" i="1" s="1"/>
  <c r="BH322" i="1" s="1"/>
  <c r="AE322" i="1"/>
  <c r="AS322" i="1" s="1"/>
  <c r="BG322" i="1" s="1"/>
  <c r="AC322" i="1"/>
  <c r="M322" i="1"/>
  <c r="B322" i="1"/>
  <c r="A322" i="1"/>
  <c r="BT272" i="1"/>
  <c r="AP272" i="1"/>
  <c r="BD272" i="1" s="1"/>
  <c r="BR272" i="1" s="1"/>
  <c r="AO272" i="1"/>
  <c r="BC272" i="1" s="1"/>
  <c r="BQ272" i="1" s="1"/>
  <c r="AN272" i="1"/>
  <c r="BB272" i="1" s="1"/>
  <c r="BP272" i="1" s="1"/>
  <c r="AM272" i="1"/>
  <c r="BA272" i="1" s="1"/>
  <c r="BO272" i="1" s="1"/>
  <c r="AL272" i="1"/>
  <c r="AZ272" i="1" s="1"/>
  <c r="BN272" i="1" s="1"/>
  <c r="AK272" i="1"/>
  <c r="AY272" i="1" s="1"/>
  <c r="BM272" i="1" s="1"/>
  <c r="AJ272" i="1"/>
  <c r="AX272" i="1" s="1"/>
  <c r="BL272" i="1" s="1"/>
  <c r="AI272" i="1"/>
  <c r="AW272" i="1" s="1"/>
  <c r="BK272" i="1" s="1"/>
  <c r="AH272" i="1"/>
  <c r="AV272" i="1" s="1"/>
  <c r="BJ272" i="1" s="1"/>
  <c r="AG272" i="1"/>
  <c r="AU272" i="1" s="1"/>
  <c r="BI272" i="1" s="1"/>
  <c r="AF272" i="1"/>
  <c r="AT272" i="1" s="1"/>
  <c r="AE272" i="1"/>
  <c r="AS272" i="1" s="1"/>
  <c r="BG272" i="1" s="1"/>
  <c r="AC272" i="1"/>
  <c r="M272" i="1"/>
  <c r="E272" i="1"/>
  <c r="D272" i="1"/>
  <c r="C272" i="1"/>
  <c r="B272" i="1"/>
  <c r="A272" i="1"/>
  <c r="BT271" i="1"/>
  <c r="AP271" i="1"/>
  <c r="BD271" i="1" s="1"/>
  <c r="BR271" i="1" s="1"/>
  <c r="AO271" i="1"/>
  <c r="BC271" i="1" s="1"/>
  <c r="BQ271" i="1" s="1"/>
  <c r="AN271" i="1"/>
  <c r="BB271" i="1" s="1"/>
  <c r="BP271" i="1" s="1"/>
  <c r="AM271" i="1"/>
  <c r="BA271" i="1" s="1"/>
  <c r="BO271" i="1" s="1"/>
  <c r="AL271" i="1"/>
  <c r="AZ271" i="1" s="1"/>
  <c r="BN271" i="1" s="1"/>
  <c r="AK271" i="1"/>
  <c r="AY271" i="1" s="1"/>
  <c r="BM271" i="1" s="1"/>
  <c r="AJ271" i="1"/>
  <c r="AX271" i="1" s="1"/>
  <c r="BL271" i="1" s="1"/>
  <c r="AI271" i="1"/>
  <c r="AW271" i="1" s="1"/>
  <c r="BK271" i="1" s="1"/>
  <c r="AH271" i="1"/>
  <c r="AV271" i="1" s="1"/>
  <c r="BJ271" i="1" s="1"/>
  <c r="AG271" i="1"/>
  <c r="AU271" i="1" s="1"/>
  <c r="BI271" i="1" s="1"/>
  <c r="AF271" i="1"/>
  <c r="AT271" i="1" s="1"/>
  <c r="BH271" i="1" s="1"/>
  <c r="AE271" i="1"/>
  <c r="AS271" i="1" s="1"/>
  <c r="AC271" i="1"/>
  <c r="M271" i="1"/>
  <c r="E271" i="1"/>
  <c r="D271" i="1"/>
  <c r="C271" i="1"/>
  <c r="B271" i="1"/>
  <c r="A271" i="1"/>
  <c r="BT270" i="1"/>
  <c r="AP270" i="1"/>
  <c r="BD270" i="1" s="1"/>
  <c r="BR270" i="1" s="1"/>
  <c r="AO270" i="1"/>
  <c r="BC270" i="1" s="1"/>
  <c r="BQ270" i="1" s="1"/>
  <c r="AN270" i="1"/>
  <c r="BB270" i="1" s="1"/>
  <c r="BP270" i="1" s="1"/>
  <c r="AM270" i="1"/>
  <c r="BA270" i="1" s="1"/>
  <c r="BO270" i="1" s="1"/>
  <c r="AL270" i="1"/>
  <c r="AZ270" i="1" s="1"/>
  <c r="BN270" i="1" s="1"/>
  <c r="AK270" i="1"/>
  <c r="AY270" i="1" s="1"/>
  <c r="BM270" i="1" s="1"/>
  <c r="AJ270" i="1"/>
  <c r="AX270" i="1" s="1"/>
  <c r="BL270" i="1" s="1"/>
  <c r="AI270" i="1"/>
  <c r="AH270" i="1"/>
  <c r="AV270" i="1" s="1"/>
  <c r="BJ270" i="1" s="1"/>
  <c r="AG270" i="1"/>
  <c r="AU270" i="1" s="1"/>
  <c r="BI270" i="1" s="1"/>
  <c r="AF270" i="1"/>
  <c r="AT270" i="1" s="1"/>
  <c r="BH270" i="1" s="1"/>
  <c r="AE270" i="1"/>
  <c r="AS270" i="1" s="1"/>
  <c r="AC270" i="1"/>
  <c r="M270" i="1"/>
  <c r="E270" i="1"/>
  <c r="D270" i="1"/>
  <c r="C270" i="1"/>
  <c r="B270" i="1"/>
  <c r="A270" i="1"/>
  <c r="BT269" i="1"/>
  <c r="AP269" i="1"/>
  <c r="BD269" i="1" s="1"/>
  <c r="BR269" i="1" s="1"/>
  <c r="AO269" i="1"/>
  <c r="BC269" i="1" s="1"/>
  <c r="BQ269" i="1" s="1"/>
  <c r="AN269" i="1"/>
  <c r="BB269" i="1" s="1"/>
  <c r="BP269" i="1" s="1"/>
  <c r="AM269" i="1"/>
  <c r="BA269" i="1" s="1"/>
  <c r="BO269" i="1" s="1"/>
  <c r="AL269" i="1"/>
  <c r="AZ269" i="1" s="1"/>
  <c r="BN269" i="1" s="1"/>
  <c r="AK269" i="1"/>
  <c r="AY269" i="1" s="1"/>
  <c r="BM269" i="1" s="1"/>
  <c r="AJ269" i="1"/>
  <c r="AX269" i="1" s="1"/>
  <c r="BL269" i="1" s="1"/>
  <c r="AI269" i="1"/>
  <c r="AW269" i="1" s="1"/>
  <c r="BK269" i="1" s="1"/>
  <c r="AH269" i="1"/>
  <c r="AV269" i="1" s="1"/>
  <c r="BJ269" i="1" s="1"/>
  <c r="AG269" i="1"/>
  <c r="AU269" i="1" s="1"/>
  <c r="BI269" i="1" s="1"/>
  <c r="AF269" i="1"/>
  <c r="AT269" i="1" s="1"/>
  <c r="BH269" i="1" s="1"/>
  <c r="AE269" i="1"/>
  <c r="AS269" i="1" s="1"/>
  <c r="BG269" i="1" s="1"/>
  <c r="AC269" i="1"/>
  <c r="M269" i="1"/>
  <c r="E269" i="1"/>
  <c r="D269" i="1"/>
  <c r="C269" i="1"/>
  <c r="B269" i="1"/>
  <c r="A269" i="1"/>
  <c r="BT268" i="1"/>
  <c r="AZ268" i="1"/>
  <c r="BN268" i="1" s="1"/>
  <c r="AP268" i="1"/>
  <c r="BD268" i="1" s="1"/>
  <c r="BR268" i="1" s="1"/>
  <c r="AO268" i="1"/>
  <c r="BC268" i="1" s="1"/>
  <c r="BQ268" i="1" s="1"/>
  <c r="AN268" i="1"/>
  <c r="BB268" i="1" s="1"/>
  <c r="BP268" i="1" s="1"/>
  <c r="AM268" i="1"/>
  <c r="BA268" i="1" s="1"/>
  <c r="BO268" i="1" s="1"/>
  <c r="AL268" i="1"/>
  <c r="AK268" i="1"/>
  <c r="AY268" i="1" s="1"/>
  <c r="BM268" i="1" s="1"/>
  <c r="AJ268" i="1"/>
  <c r="AX268" i="1" s="1"/>
  <c r="BL268" i="1" s="1"/>
  <c r="AI268" i="1"/>
  <c r="AW268" i="1" s="1"/>
  <c r="BK268" i="1" s="1"/>
  <c r="AH268" i="1"/>
  <c r="AV268" i="1" s="1"/>
  <c r="BJ268" i="1" s="1"/>
  <c r="AG268" i="1"/>
  <c r="AU268" i="1" s="1"/>
  <c r="BI268" i="1" s="1"/>
  <c r="AF268" i="1"/>
  <c r="AT268" i="1" s="1"/>
  <c r="BH268" i="1" s="1"/>
  <c r="AE268" i="1"/>
  <c r="AS268" i="1" s="1"/>
  <c r="BG268" i="1" s="1"/>
  <c r="AC268" i="1"/>
  <c r="M268" i="1"/>
  <c r="E268" i="1"/>
  <c r="D268" i="1"/>
  <c r="C268" i="1"/>
  <c r="B268" i="1"/>
  <c r="A268" i="1"/>
  <c r="BT267" i="1"/>
  <c r="AZ267" i="1"/>
  <c r="BN267" i="1" s="1"/>
  <c r="AP267" i="1"/>
  <c r="BD267" i="1" s="1"/>
  <c r="BR267" i="1" s="1"/>
  <c r="AO267" i="1"/>
  <c r="BC267" i="1" s="1"/>
  <c r="BQ267" i="1" s="1"/>
  <c r="AN267" i="1"/>
  <c r="BB267" i="1" s="1"/>
  <c r="BP267" i="1" s="1"/>
  <c r="AM267" i="1"/>
  <c r="BA267" i="1" s="1"/>
  <c r="BO267" i="1" s="1"/>
  <c r="AL267" i="1"/>
  <c r="AK267" i="1"/>
  <c r="AY267" i="1" s="1"/>
  <c r="BM267" i="1" s="1"/>
  <c r="AJ267" i="1"/>
  <c r="AX267" i="1" s="1"/>
  <c r="BL267" i="1" s="1"/>
  <c r="AI267" i="1"/>
  <c r="AW267" i="1" s="1"/>
  <c r="BK267" i="1" s="1"/>
  <c r="AH267" i="1"/>
  <c r="AV267" i="1" s="1"/>
  <c r="BJ267" i="1" s="1"/>
  <c r="AG267" i="1"/>
  <c r="AU267" i="1" s="1"/>
  <c r="BI267" i="1" s="1"/>
  <c r="AF267" i="1"/>
  <c r="AT267" i="1" s="1"/>
  <c r="AE267" i="1"/>
  <c r="AS267" i="1" s="1"/>
  <c r="BG267" i="1" s="1"/>
  <c r="AC267" i="1"/>
  <c r="M267" i="1"/>
  <c r="E267" i="1"/>
  <c r="D267" i="1"/>
  <c r="C267" i="1"/>
  <c r="B267" i="1"/>
  <c r="A267" i="1"/>
  <c r="BT266" i="1"/>
  <c r="BD266" i="1"/>
  <c r="BR266" i="1" s="1"/>
  <c r="AV266" i="1"/>
  <c r="BJ266" i="1" s="1"/>
  <c r="AP266" i="1"/>
  <c r="AO266" i="1"/>
  <c r="BC266" i="1" s="1"/>
  <c r="BQ266" i="1" s="1"/>
  <c r="AN266" i="1"/>
  <c r="BB266" i="1" s="1"/>
  <c r="BP266" i="1" s="1"/>
  <c r="AM266" i="1"/>
  <c r="BA266" i="1" s="1"/>
  <c r="BO266" i="1" s="1"/>
  <c r="AL266" i="1"/>
  <c r="AZ266" i="1" s="1"/>
  <c r="BN266" i="1" s="1"/>
  <c r="AK266" i="1"/>
  <c r="AY266" i="1" s="1"/>
  <c r="BM266" i="1" s="1"/>
  <c r="AJ266" i="1"/>
  <c r="AX266" i="1" s="1"/>
  <c r="BL266" i="1" s="1"/>
  <c r="AI266" i="1"/>
  <c r="AW266" i="1" s="1"/>
  <c r="BK266" i="1" s="1"/>
  <c r="AH266" i="1"/>
  <c r="AG266" i="1"/>
  <c r="AU266" i="1" s="1"/>
  <c r="BI266" i="1" s="1"/>
  <c r="AF266" i="1"/>
  <c r="AT266" i="1" s="1"/>
  <c r="BH266" i="1" s="1"/>
  <c r="AE266" i="1"/>
  <c r="AS266" i="1" s="1"/>
  <c r="AC266" i="1"/>
  <c r="M266" i="1"/>
  <c r="E266" i="1"/>
  <c r="D266" i="1"/>
  <c r="C266" i="1"/>
  <c r="B266" i="1"/>
  <c r="A266" i="1"/>
  <c r="BT265" i="1"/>
  <c r="BD265" i="1"/>
  <c r="BR265" i="1" s="1"/>
  <c r="BB265" i="1"/>
  <c r="BP265" i="1" s="1"/>
  <c r="AV265" i="1"/>
  <c r="BJ265" i="1" s="1"/>
  <c r="AP265" i="1"/>
  <c r="AO265" i="1"/>
  <c r="BC265" i="1" s="1"/>
  <c r="BQ265" i="1" s="1"/>
  <c r="AN265" i="1"/>
  <c r="AM265" i="1"/>
  <c r="BA265" i="1" s="1"/>
  <c r="BO265" i="1" s="1"/>
  <c r="AL265" i="1"/>
  <c r="AZ265" i="1" s="1"/>
  <c r="BN265" i="1" s="1"/>
  <c r="AK265" i="1"/>
  <c r="AY265" i="1" s="1"/>
  <c r="BM265" i="1" s="1"/>
  <c r="AJ265" i="1"/>
  <c r="AX265" i="1" s="1"/>
  <c r="BL265" i="1" s="1"/>
  <c r="AI265" i="1"/>
  <c r="AW265" i="1" s="1"/>
  <c r="BK265" i="1" s="1"/>
  <c r="AH265" i="1"/>
  <c r="AG265" i="1"/>
  <c r="AU265" i="1" s="1"/>
  <c r="BI265" i="1" s="1"/>
  <c r="AF265" i="1"/>
  <c r="AT265" i="1" s="1"/>
  <c r="BH265" i="1" s="1"/>
  <c r="AE265" i="1"/>
  <c r="AS265" i="1" s="1"/>
  <c r="AC265" i="1"/>
  <c r="M265" i="1"/>
  <c r="E265" i="1"/>
  <c r="D265" i="1"/>
  <c r="C265" i="1"/>
  <c r="B265" i="1"/>
  <c r="A265" i="1"/>
  <c r="BT264" i="1"/>
  <c r="BR264" i="1"/>
  <c r="BP264" i="1"/>
  <c r="BL264" i="1"/>
  <c r="BJ264" i="1"/>
  <c r="BD264" i="1"/>
  <c r="BB264" i="1"/>
  <c r="AX264" i="1"/>
  <c r="AV264" i="1"/>
  <c r="AP264" i="1"/>
  <c r="AO264" i="1"/>
  <c r="BC264" i="1" s="1"/>
  <c r="BQ264" i="1" s="1"/>
  <c r="AN264" i="1"/>
  <c r="AM264" i="1"/>
  <c r="BA264" i="1" s="1"/>
  <c r="BO264" i="1" s="1"/>
  <c r="AL264" i="1"/>
  <c r="AZ264" i="1" s="1"/>
  <c r="BN264" i="1" s="1"/>
  <c r="AK264" i="1"/>
  <c r="AY264" i="1" s="1"/>
  <c r="BM264" i="1" s="1"/>
  <c r="AJ264" i="1"/>
  <c r="AI264" i="1"/>
  <c r="AW264" i="1" s="1"/>
  <c r="BK264" i="1" s="1"/>
  <c r="AH264" i="1"/>
  <c r="AG264" i="1"/>
  <c r="AU264" i="1" s="1"/>
  <c r="BI264" i="1" s="1"/>
  <c r="AF264" i="1"/>
  <c r="AT264" i="1" s="1"/>
  <c r="BH264" i="1" s="1"/>
  <c r="AE264" i="1"/>
  <c r="AS264" i="1" s="1"/>
  <c r="AC264" i="1"/>
  <c r="M264" i="1"/>
  <c r="E264" i="1"/>
  <c r="D264" i="1"/>
  <c r="C264" i="1"/>
  <c r="B264" i="1"/>
  <c r="A264" i="1"/>
  <c r="BT263" i="1"/>
  <c r="BL263" i="1"/>
  <c r="BD263" i="1"/>
  <c r="BR263" i="1" s="1"/>
  <c r="AX263" i="1"/>
  <c r="AV263" i="1"/>
  <c r="BJ263" i="1" s="1"/>
  <c r="AP263" i="1"/>
  <c r="AO263" i="1"/>
  <c r="BC263" i="1" s="1"/>
  <c r="BQ263" i="1" s="1"/>
  <c r="AN263" i="1"/>
  <c r="BB263" i="1" s="1"/>
  <c r="BP263" i="1" s="1"/>
  <c r="AM263" i="1"/>
  <c r="BA263" i="1" s="1"/>
  <c r="BO263" i="1" s="1"/>
  <c r="AL263" i="1"/>
  <c r="AZ263" i="1" s="1"/>
  <c r="BN263" i="1" s="1"/>
  <c r="AK263" i="1"/>
  <c r="AY263" i="1" s="1"/>
  <c r="BM263" i="1" s="1"/>
  <c r="AJ263" i="1"/>
  <c r="AI263" i="1"/>
  <c r="AW263" i="1" s="1"/>
  <c r="BK263" i="1" s="1"/>
  <c r="AH263" i="1"/>
  <c r="AG263" i="1"/>
  <c r="AU263" i="1" s="1"/>
  <c r="BI263" i="1" s="1"/>
  <c r="AF263" i="1"/>
  <c r="AT263" i="1" s="1"/>
  <c r="BH263" i="1" s="1"/>
  <c r="AE263" i="1"/>
  <c r="AS263" i="1" s="1"/>
  <c r="AC263" i="1"/>
  <c r="M263" i="1"/>
  <c r="E263" i="1"/>
  <c r="D263" i="1"/>
  <c r="C263" i="1"/>
  <c r="B263" i="1"/>
  <c r="A263" i="1"/>
  <c r="BT262" i="1"/>
  <c r="BR262" i="1"/>
  <c r="BJ262" i="1"/>
  <c r="BD262" i="1"/>
  <c r="BB262" i="1"/>
  <c r="BP262" i="1" s="1"/>
  <c r="AV262" i="1"/>
  <c r="AP262" i="1"/>
  <c r="AO262" i="1"/>
  <c r="BC262" i="1" s="1"/>
  <c r="BQ262" i="1" s="1"/>
  <c r="AN262" i="1"/>
  <c r="AM262" i="1"/>
  <c r="BA262" i="1" s="1"/>
  <c r="BO262" i="1" s="1"/>
  <c r="AL262" i="1"/>
  <c r="AZ262" i="1" s="1"/>
  <c r="BN262" i="1" s="1"/>
  <c r="AK262" i="1"/>
  <c r="AY262" i="1" s="1"/>
  <c r="BM262" i="1" s="1"/>
  <c r="AJ262" i="1"/>
  <c r="AX262" i="1" s="1"/>
  <c r="BL262" i="1" s="1"/>
  <c r="AI262" i="1"/>
  <c r="AW262" i="1" s="1"/>
  <c r="BK262" i="1" s="1"/>
  <c r="AH262" i="1"/>
  <c r="AG262" i="1"/>
  <c r="AU262" i="1" s="1"/>
  <c r="BI262" i="1" s="1"/>
  <c r="AF262" i="1"/>
  <c r="AT262" i="1" s="1"/>
  <c r="BH262" i="1" s="1"/>
  <c r="AE262" i="1"/>
  <c r="AC262" i="1"/>
  <c r="M262" i="1"/>
  <c r="E262" i="1"/>
  <c r="D262" i="1"/>
  <c r="C262" i="1"/>
  <c r="B262" i="1"/>
  <c r="A262" i="1"/>
  <c r="BT261" i="1"/>
  <c r="BB261" i="1"/>
  <c r="BP261" i="1" s="1"/>
  <c r="AP261" i="1"/>
  <c r="BD261" i="1" s="1"/>
  <c r="BR261" i="1" s="1"/>
  <c r="AO261" i="1"/>
  <c r="BC261" i="1" s="1"/>
  <c r="BQ261" i="1" s="1"/>
  <c r="AN261" i="1"/>
  <c r="AM261" i="1"/>
  <c r="BA261" i="1" s="1"/>
  <c r="BO261" i="1" s="1"/>
  <c r="AL261" i="1"/>
  <c r="AZ261" i="1" s="1"/>
  <c r="BN261" i="1" s="1"/>
  <c r="AK261" i="1"/>
  <c r="AY261" i="1" s="1"/>
  <c r="BM261" i="1" s="1"/>
  <c r="AJ261" i="1"/>
  <c r="AX261" i="1" s="1"/>
  <c r="BL261" i="1" s="1"/>
  <c r="AI261" i="1"/>
  <c r="AW261" i="1" s="1"/>
  <c r="BK261" i="1" s="1"/>
  <c r="AH261" i="1"/>
  <c r="AV261" i="1" s="1"/>
  <c r="BJ261" i="1" s="1"/>
  <c r="AG261" i="1"/>
  <c r="AU261" i="1" s="1"/>
  <c r="BI261" i="1" s="1"/>
  <c r="AF261" i="1"/>
  <c r="AT261" i="1" s="1"/>
  <c r="BH261" i="1" s="1"/>
  <c r="AE261" i="1"/>
  <c r="AS261" i="1" s="1"/>
  <c r="BG261" i="1" s="1"/>
  <c r="AC261" i="1"/>
  <c r="M261" i="1"/>
  <c r="E261" i="1"/>
  <c r="D261" i="1"/>
  <c r="C261" i="1"/>
  <c r="B261" i="1"/>
  <c r="A261" i="1"/>
  <c r="BT260" i="1"/>
  <c r="BR260" i="1"/>
  <c r="BP260" i="1"/>
  <c r="BL260" i="1"/>
  <c r="BJ260" i="1"/>
  <c r="BD260" i="1"/>
  <c r="BB260" i="1"/>
  <c r="AX260" i="1"/>
  <c r="AV260" i="1"/>
  <c r="AP260" i="1"/>
  <c r="AO260" i="1"/>
  <c r="BC260" i="1" s="1"/>
  <c r="BQ260" i="1" s="1"/>
  <c r="AN260" i="1"/>
  <c r="AM260" i="1"/>
  <c r="BA260" i="1" s="1"/>
  <c r="BO260" i="1" s="1"/>
  <c r="AL260" i="1"/>
  <c r="AZ260" i="1" s="1"/>
  <c r="BN260" i="1" s="1"/>
  <c r="AK260" i="1"/>
  <c r="AY260" i="1" s="1"/>
  <c r="BM260" i="1" s="1"/>
  <c r="AJ260" i="1"/>
  <c r="AI260" i="1"/>
  <c r="AW260" i="1" s="1"/>
  <c r="BK260" i="1" s="1"/>
  <c r="AH260" i="1"/>
  <c r="AG260" i="1"/>
  <c r="AU260" i="1" s="1"/>
  <c r="BI260" i="1" s="1"/>
  <c r="AF260" i="1"/>
  <c r="AT260" i="1" s="1"/>
  <c r="AE260" i="1"/>
  <c r="AS260" i="1" s="1"/>
  <c r="BG260" i="1" s="1"/>
  <c r="AC260" i="1"/>
  <c r="M260" i="1"/>
  <c r="E260" i="1"/>
  <c r="D260" i="1"/>
  <c r="C260" i="1"/>
  <c r="B260" i="1"/>
  <c r="A260" i="1"/>
  <c r="BT259" i="1"/>
  <c r="BR259" i="1"/>
  <c r="BP259" i="1"/>
  <c r="BL259" i="1"/>
  <c r="BJ259" i="1"/>
  <c r="BD259" i="1"/>
  <c r="BB259" i="1"/>
  <c r="AZ259" i="1"/>
  <c r="BN259" i="1" s="1"/>
  <c r="AX259" i="1"/>
  <c r="AV259" i="1"/>
  <c r="AP259" i="1"/>
  <c r="AO259" i="1"/>
  <c r="BC259" i="1" s="1"/>
  <c r="BQ259" i="1" s="1"/>
  <c r="AN259" i="1"/>
  <c r="AM259" i="1"/>
  <c r="BA259" i="1" s="1"/>
  <c r="BO259" i="1" s="1"/>
  <c r="AL259" i="1"/>
  <c r="AK259" i="1"/>
  <c r="AY259" i="1" s="1"/>
  <c r="BM259" i="1" s="1"/>
  <c r="AJ259" i="1"/>
  <c r="AI259" i="1"/>
  <c r="AW259" i="1" s="1"/>
  <c r="BK259" i="1" s="1"/>
  <c r="AH259" i="1"/>
  <c r="AG259" i="1"/>
  <c r="AU259" i="1" s="1"/>
  <c r="BI259" i="1" s="1"/>
  <c r="AF259" i="1"/>
  <c r="AT259" i="1" s="1"/>
  <c r="AE259" i="1"/>
  <c r="AS259" i="1" s="1"/>
  <c r="BG259" i="1" s="1"/>
  <c r="AC259" i="1"/>
  <c r="M259" i="1"/>
  <c r="E259" i="1"/>
  <c r="D259" i="1"/>
  <c r="B259" i="1"/>
  <c r="A259" i="1"/>
  <c r="BT258" i="1"/>
  <c r="AP258" i="1"/>
  <c r="BD258" i="1" s="1"/>
  <c r="BR258" i="1" s="1"/>
  <c r="AO258" i="1"/>
  <c r="BC258" i="1" s="1"/>
  <c r="BQ258" i="1" s="1"/>
  <c r="AN258" i="1"/>
  <c r="BB258" i="1" s="1"/>
  <c r="BP258" i="1" s="1"/>
  <c r="AM258" i="1"/>
  <c r="BA258" i="1" s="1"/>
  <c r="BO258" i="1" s="1"/>
  <c r="AL258" i="1"/>
  <c r="AZ258" i="1" s="1"/>
  <c r="BN258" i="1" s="1"/>
  <c r="AK258" i="1"/>
  <c r="AY258" i="1" s="1"/>
  <c r="BM258" i="1" s="1"/>
  <c r="AJ258" i="1"/>
  <c r="AX258" i="1" s="1"/>
  <c r="BL258" i="1" s="1"/>
  <c r="AI258" i="1"/>
  <c r="AW258" i="1" s="1"/>
  <c r="BK258" i="1" s="1"/>
  <c r="AH258" i="1"/>
  <c r="AV258" i="1" s="1"/>
  <c r="BJ258" i="1" s="1"/>
  <c r="AG258" i="1"/>
  <c r="AU258" i="1" s="1"/>
  <c r="BI258" i="1" s="1"/>
  <c r="AF258" i="1"/>
  <c r="AT258" i="1" s="1"/>
  <c r="AE258" i="1"/>
  <c r="AS258" i="1" s="1"/>
  <c r="BG258" i="1" s="1"/>
  <c r="AC258" i="1"/>
  <c r="M258" i="1"/>
  <c r="E258" i="1"/>
  <c r="D258" i="1"/>
  <c r="C258" i="1"/>
  <c r="B258" i="1"/>
  <c r="A258" i="1"/>
  <c r="BT257" i="1"/>
  <c r="AP257" i="1"/>
  <c r="BD257" i="1" s="1"/>
  <c r="BR257" i="1" s="1"/>
  <c r="AO257" i="1"/>
  <c r="BC257" i="1" s="1"/>
  <c r="BQ257" i="1" s="1"/>
  <c r="AN257" i="1"/>
  <c r="BB257" i="1" s="1"/>
  <c r="BP257" i="1" s="1"/>
  <c r="AM257" i="1"/>
  <c r="BA257" i="1" s="1"/>
  <c r="BO257" i="1" s="1"/>
  <c r="AL257" i="1"/>
  <c r="AZ257" i="1" s="1"/>
  <c r="BN257" i="1" s="1"/>
  <c r="AK257" i="1"/>
  <c r="AY257" i="1" s="1"/>
  <c r="BM257" i="1" s="1"/>
  <c r="AJ257" i="1"/>
  <c r="AX257" i="1" s="1"/>
  <c r="BL257" i="1" s="1"/>
  <c r="AI257" i="1"/>
  <c r="AW257" i="1" s="1"/>
  <c r="BK257" i="1" s="1"/>
  <c r="AH257" i="1"/>
  <c r="AV257" i="1" s="1"/>
  <c r="BJ257" i="1" s="1"/>
  <c r="AG257" i="1"/>
  <c r="AU257" i="1" s="1"/>
  <c r="BI257" i="1" s="1"/>
  <c r="AF257" i="1"/>
  <c r="AT257" i="1" s="1"/>
  <c r="AE257" i="1"/>
  <c r="AS257" i="1" s="1"/>
  <c r="BG257" i="1" s="1"/>
  <c r="AC257" i="1"/>
  <c r="M257" i="1"/>
  <c r="E257" i="1"/>
  <c r="D257" i="1"/>
  <c r="C257" i="1"/>
  <c r="B257" i="1"/>
  <c r="A257" i="1"/>
  <c r="BT256" i="1"/>
  <c r="AP256" i="1"/>
  <c r="BD256" i="1" s="1"/>
  <c r="BR256" i="1" s="1"/>
  <c r="AO256" i="1"/>
  <c r="BC256" i="1" s="1"/>
  <c r="BQ256" i="1" s="1"/>
  <c r="AN256" i="1"/>
  <c r="BB256" i="1" s="1"/>
  <c r="BP256" i="1" s="1"/>
  <c r="AM256" i="1"/>
  <c r="BA256" i="1" s="1"/>
  <c r="BO256" i="1" s="1"/>
  <c r="AL256" i="1"/>
  <c r="AZ256" i="1" s="1"/>
  <c r="BN256" i="1" s="1"/>
  <c r="AK256" i="1"/>
  <c r="AY256" i="1" s="1"/>
  <c r="BM256" i="1" s="1"/>
  <c r="AJ256" i="1"/>
  <c r="AX256" i="1" s="1"/>
  <c r="BL256" i="1" s="1"/>
  <c r="AI256" i="1"/>
  <c r="AW256" i="1" s="1"/>
  <c r="BK256" i="1" s="1"/>
  <c r="AH256" i="1"/>
  <c r="AV256" i="1" s="1"/>
  <c r="BJ256" i="1" s="1"/>
  <c r="AG256" i="1"/>
  <c r="AU256" i="1" s="1"/>
  <c r="BI256" i="1" s="1"/>
  <c r="AF256" i="1"/>
  <c r="AT256" i="1" s="1"/>
  <c r="BH256" i="1" s="1"/>
  <c r="AE256" i="1"/>
  <c r="AS256" i="1" s="1"/>
  <c r="AC256" i="1"/>
  <c r="M256" i="1"/>
  <c r="E256" i="1"/>
  <c r="D256" i="1"/>
  <c r="C256" i="1"/>
  <c r="B256" i="1"/>
  <c r="A256" i="1"/>
  <c r="BT255" i="1"/>
  <c r="AP255" i="1"/>
  <c r="BD255" i="1" s="1"/>
  <c r="BR255" i="1" s="1"/>
  <c r="AO255" i="1"/>
  <c r="BC255" i="1" s="1"/>
  <c r="BQ255" i="1" s="1"/>
  <c r="AN255" i="1"/>
  <c r="BB255" i="1" s="1"/>
  <c r="BP255" i="1" s="1"/>
  <c r="AM255" i="1"/>
  <c r="BA255" i="1" s="1"/>
  <c r="BO255" i="1" s="1"/>
  <c r="AH255" i="1"/>
  <c r="AV255" i="1" s="1"/>
  <c r="BJ255" i="1" s="1"/>
  <c r="AG255" i="1"/>
  <c r="AU255" i="1" s="1"/>
  <c r="BI255" i="1" s="1"/>
  <c r="AF255" i="1"/>
  <c r="AT255" i="1" s="1"/>
  <c r="BH255" i="1" s="1"/>
  <c r="AE255" i="1"/>
  <c r="AS255" i="1" s="1"/>
  <c r="BG255" i="1" s="1"/>
  <c r="M255" i="1"/>
  <c r="E255" i="1"/>
  <c r="D255" i="1"/>
  <c r="C255" i="1"/>
  <c r="B255" i="1"/>
  <c r="A255" i="1"/>
  <c r="BT254" i="1"/>
  <c r="AN254" i="1"/>
  <c r="BB254" i="1" s="1"/>
  <c r="BP254" i="1" s="1"/>
  <c r="AM254" i="1"/>
  <c r="BA254" i="1" s="1"/>
  <c r="BO254" i="1" s="1"/>
  <c r="AF254" i="1"/>
  <c r="AT254" i="1" s="1"/>
  <c r="BH254" i="1" s="1"/>
  <c r="AE254" i="1"/>
  <c r="AS254" i="1" s="1"/>
  <c r="BG254" i="1" s="1"/>
  <c r="M254" i="1"/>
  <c r="E254" i="1"/>
  <c r="D254" i="1"/>
  <c r="C254" i="1"/>
  <c r="B254" i="1"/>
  <c r="A254" i="1"/>
  <c r="BT253" i="1"/>
  <c r="AK253" i="1"/>
  <c r="AI253" i="1"/>
  <c r="AW253" i="1" s="1"/>
  <c r="BK253" i="1" s="1"/>
  <c r="M253" i="1"/>
  <c r="E253" i="1"/>
  <c r="D253" i="1"/>
  <c r="C253" i="1"/>
  <c r="B253" i="1"/>
  <c r="A253" i="1"/>
  <c r="BT252" i="1"/>
  <c r="AP252" i="1"/>
  <c r="BD252" i="1" s="1"/>
  <c r="BR252" i="1" s="1"/>
  <c r="AO252" i="1"/>
  <c r="BC252" i="1" s="1"/>
  <c r="BQ252" i="1" s="1"/>
  <c r="AN252" i="1"/>
  <c r="BB252" i="1" s="1"/>
  <c r="BP252" i="1" s="1"/>
  <c r="AM252" i="1"/>
  <c r="BA252" i="1" s="1"/>
  <c r="BO252" i="1" s="1"/>
  <c r="AL252" i="1"/>
  <c r="AZ252" i="1" s="1"/>
  <c r="BN252" i="1" s="1"/>
  <c r="AK252" i="1"/>
  <c r="AY252" i="1" s="1"/>
  <c r="BM252" i="1" s="1"/>
  <c r="AJ252" i="1"/>
  <c r="AX252" i="1" s="1"/>
  <c r="BL252" i="1" s="1"/>
  <c r="AI252" i="1"/>
  <c r="AW252" i="1" s="1"/>
  <c r="BK252" i="1" s="1"/>
  <c r="AH252" i="1"/>
  <c r="AV252" i="1" s="1"/>
  <c r="BJ252" i="1" s="1"/>
  <c r="AG252" i="1"/>
  <c r="AU252" i="1" s="1"/>
  <c r="BI252" i="1" s="1"/>
  <c r="AF252" i="1"/>
  <c r="AT252" i="1" s="1"/>
  <c r="BH252" i="1" s="1"/>
  <c r="AE252" i="1"/>
  <c r="AS252" i="1" s="1"/>
  <c r="BG252" i="1" s="1"/>
  <c r="AC252" i="1"/>
  <c r="M252" i="1"/>
  <c r="E252" i="1"/>
  <c r="D252" i="1"/>
  <c r="C252" i="1"/>
  <c r="B252" i="1"/>
  <c r="A252" i="1"/>
  <c r="BT251" i="1"/>
  <c r="AO251" i="1"/>
  <c r="BC251" i="1" s="1"/>
  <c r="BQ251" i="1" s="1"/>
  <c r="AN251" i="1"/>
  <c r="BB251" i="1" s="1"/>
  <c r="BP251" i="1" s="1"/>
  <c r="AM251" i="1"/>
  <c r="BA251" i="1" s="1"/>
  <c r="AK251" i="1"/>
  <c r="AY251" i="1" s="1"/>
  <c r="BM251" i="1" s="1"/>
  <c r="AJ251" i="1"/>
  <c r="AX251" i="1" s="1"/>
  <c r="AI251" i="1"/>
  <c r="AW251" i="1" s="1"/>
  <c r="AG251" i="1"/>
  <c r="AU251" i="1" s="1"/>
  <c r="BI251" i="1" s="1"/>
  <c r="AF251" i="1"/>
  <c r="AT251" i="1" s="1"/>
  <c r="BH251" i="1" s="1"/>
  <c r="AE251" i="1"/>
  <c r="AS251" i="1" s="1"/>
  <c r="M251" i="1"/>
  <c r="E251" i="1"/>
  <c r="D251" i="1"/>
  <c r="C251" i="1"/>
  <c r="B251" i="1"/>
  <c r="A251" i="1"/>
  <c r="BT250" i="1"/>
  <c r="AO250" i="1"/>
  <c r="BC250" i="1" s="1"/>
  <c r="BQ250" i="1" s="1"/>
  <c r="AN250" i="1"/>
  <c r="BB250" i="1" s="1"/>
  <c r="BP250" i="1" s="1"/>
  <c r="AK250" i="1"/>
  <c r="AY250" i="1" s="1"/>
  <c r="BM250" i="1" s="1"/>
  <c r="AG250" i="1"/>
  <c r="AU250" i="1" s="1"/>
  <c r="BI250" i="1" s="1"/>
  <c r="AF250" i="1"/>
  <c r="AT250" i="1" s="1"/>
  <c r="BH250" i="1" s="1"/>
  <c r="M250" i="1"/>
  <c r="E250" i="1"/>
  <c r="D250" i="1"/>
  <c r="C250" i="1"/>
  <c r="B250" i="1"/>
  <c r="A250" i="1"/>
  <c r="BT249" i="1"/>
  <c r="AO249" i="1"/>
  <c r="BC249" i="1" s="1"/>
  <c r="BQ249" i="1" s="1"/>
  <c r="AN249" i="1"/>
  <c r="BB249" i="1" s="1"/>
  <c r="BP249" i="1" s="1"/>
  <c r="AK249" i="1"/>
  <c r="AY249" i="1" s="1"/>
  <c r="BM249" i="1" s="1"/>
  <c r="AJ249" i="1"/>
  <c r="AX249" i="1" s="1"/>
  <c r="BL249" i="1" s="1"/>
  <c r="AG249" i="1"/>
  <c r="AU249" i="1" s="1"/>
  <c r="BI249" i="1" s="1"/>
  <c r="AF249" i="1"/>
  <c r="AT249" i="1" s="1"/>
  <c r="BH249" i="1" s="1"/>
  <c r="M249" i="1"/>
  <c r="E249" i="1"/>
  <c r="D249" i="1"/>
  <c r="C249" i="1"/>
  <c r="B249" i="1"/>
  <c r="A249" i="1"/>
  <c r="BT248" i="1"/>
  <c r="AP248" i="1"/>
  <c r="BD248" i="1" s="1"/>
  <c r="BR248" i="1" s="1"/>
  <c r="AO248" i="1"/>
  <c r="BC248" i="1" s="1"/>
  <c r="BQ248" i="1" s="1"/>
  <c r="AN248" i="1"/>
  <c r="BB248" i="1" s="1"/>
  <c r="BP248" i="1" s="1"/>
  <c r="AM248" i="1"/>
  <c r="BA248" i="1" s="1"/>
  <c r="BO248" i="1" s="1"/>
  <c r="AL248" i="1"/>
  <c r="AZ248" i="1" s="1"/>
  <c r="BN248" i="1" s="1"/>
  <c r="AK248" i="1"/>
  <c r="AY248" i="1" s="1"/>
  <c r="BM248" i="1" s="1"/>
  <c r="AJ248" i="1"/>
  <c r="AX248" i="1" s="1"/>
  <c r="BL248" i="1" s="1"/>
  <c r="AI248" i="1"/>
  <c r="AW248" i="1" s="1"/>
  <c r="BK248" i="1" s="1"/>
  <c r="AH248" i="1"/>
  <c r="AV248" i="1" s="1"/>
  <c r="BJ248" i="1" s="1"/>
  <c r="AG248" i="1"/>
  <c r="AU248" i="1" s="1"/>
  <c r="BI248" i="1" s="1"/>
  <c r="AF248" i="1"/>
  <c r="AT248" i="1" s="1"/>
  <c r="BH248" i="1" s="1"/>
  <c r="AE248" i="1"/>
  <c r="AS248" i="1" s="1"/>
  <c r="AC248" i="1"/>
  <c r="M248" i="1"/>
  <c r="E248" i="1"/>
  <c r="D248" i="1"/>
  <c r="C248" i="1"/>
  <c r="B248" i="1"/>
  <c r="A248" i="1"/>
  <c r="BT247" i="1"/>
  <c r="AP247" i="1"/>
  <c r="BD247" i="1" s="1"/>
  <c r="BR247" i="1" s="1"/>
  <c r="AO247" i="1"/>
  <c r="BC247" i="1" s="1"/>
  <c r="BQ247" i="1" s="1"/>
  <c r="AN247" i="1"/>
  <c r="BB247" i="1" s="1"/>
  <c r="BP247" i="1" s="1"/>
  <c r="AM247" i="1"/>
  <c r="BA247" i="1" s="1"/>
  <c r="AK247" i="1"/>
  <c r="AY247" i="1" s="1"/>
  <c r="BM247" i="1" s="1"/>
  <c r="AJ247" i="1"/>
  <c r="AX247" i="1" s="1"/>
  <c r="BL247" i="1" s="1"/>
  <c r="AH247" i="1"/>
  <c r="AV247" i="1" s="1"/>
  <c r="BJ247" i="1" s="1"/>
  <c r="AG247" i="1"/>
  <c r="AU247" i="1" s="1"/>
  <c r="BI247" i="1" s="1"/>
  <c r="AF247" i="1"/>
  <c r="AT247" i="1" s="1"/>
  <c r="BH247" i="1" s="1"/>
  <c r="AE247" i="1"/>
  <c r="M247" i="1"/>
  <c r="E247" i="1"/>
  <c r="D247" i="1"/>
  <c r="C247" i="1"/>
  <c r="B247" i="1"/>
  <c r="A247" i="1"/>
  <c r="BT246" i="1"/>
  <c r="AP246" i="1"/>
  <c r="BD246" i="1" s="1"/>
  <c r="BR246" i="1" s="1"/>
  <c r="AO246" i="1"/>
  <c r="BC246" i="1" s="1"/>
  <c r="BQ246" i="1" s="1"/>
  <c r="AN246" i="1"/>
  <c r="BB246" i="1" s="1"/>
  <c r="BP246" i="1" s="1"/>
  <c r="AK246" i="1"/>
  <c r="AY246" i="1" s="1"/>
  <c r="BM246" i="1" s="1"/>
  <c r="AJ246" i="1"/>
  <c r="AX246" i="1" s="1"/>
  <c r="BL246" i="1" s="1"/>
  <c r="AH246" i="1"/>
  <c r="AV246" i="1" s="1"/>
  <c r="BJ246" i="1" s="1"/>
  <c r="AG246" i="1"/>
  <c r="AU246" i="1" s="1"/>
  <c r="BI246" i="1" s="1"/>
  <c r="AF246" i="1"/>
  <c r="AT246" i="1" s="1"/>
  <c r="BH246" i="1" s="1"/>
  <c r="M246" i="1"/>
  <c r="E246" i="1"/>
  <c r="D246" i="1"/>
  <c r="C246" i="1"/>
  <c r="B246" i="1"/>
  <c r="A246" i="1"/>
  <c r="BT245" i="1"/>
  <c r="AO245" i="1"/>
  <c r="BC245" i="1" s="1"/>
  <c r="BQ245" i="1" s="1"/>
  <c r="AN245" i="1"/>
  <c r="BB245" i="1" s="1"/>
  <c r="BP245" i="1" s="1"/>
  <c r="AM245" i="1"/>
  <c r="BA245" i="1" s="1"/>
  <c r="AL245" i="1"/>
  <c r="AZ245" i="1" s="1"/>
  <c r="BN245" i="1" s="1"/>
  <c r="AK245" i="1"/>
  <c r="AY245" i="1" s="1"/>
  <c r="BM245" i="1" s="1"/>
  <c r="AJ245" i="1"/>
  <c r="AX245" i="1" s="1"/>
  <c r="BL245" i="1" s="1"/>
  <c r="AG245" i="1"/>
  <c r="AU245" i="1" s="1"/>
  <c r="BI245" i="1" s="1"/>
  <c r="AF245" i="1"/>
  <c r="AT245" i="1" s="1"/>
  <c r="BH245" i="1" s="1"/>
  <c r="AE245" i="1"/>
  <c r="AS245" i="1" s="1"/>
  <c r="M245" i="1"/>
  <c r="E245" i="1"/>
  <c r="D245" i="1"/>
  <c r="C245" i="1"/>
  <c r="B245" i="1"/>
  <c r="A245" i="1"/>
  <c r="BT244" i="1"/>
  <c r="AP244" i="1"/>
  <c r="AO244" i="1"/>
  <c r="AN244" i="1"/>
  <c r="AK244" i="1"/>
  <c r="AY244" i="1" s="1"/>
  <c r="BM244" i="1" s="1"/>
  <c r="AJ244" i="1"/>
  <c r="AX244" i="1" s="1"/>
  <c r="BL244" i="1" s="1"/>
  <c r="AH244" i="1"/>
  <c r="AV244" i="1" s="1"/>
  <c r="BJ244" i="1" s="1"/>
  <c r="AG244" i="1"/>
  <c r="AU244" i="1" s="1"/>
  <c r="BI244" i="1" s="1"/>
  <c r="AF244" i="1"/>
  <c r="AT244" i="1" s="1"/>
  <c r="BH244" i="1" s="1"/>
  <c r="AE244" i="1"/>
  <c r="AS244" i="1" s="1"/>
  <c r="M244" i="1"/>
  <c r="E244" i="1"/>
  <c r="D244" i="1"/>
  <c r="C244" i="1"/>
  <c r="B244" i="1"/>
  <c r="A244" i="1"/>
  <c r="BT243" i="1"/>
  <c r="AP243" i="1"/>
  <c r="AO243" i="1"/>
  <c r="AN243" i="1"/>
  <c r="AM243" i="1"/>
  <c r="AK243" i="1"/>
  <c r="AY243" i="1" s="1"/>
  <c r="BM243" i="1" s="1"/>
  <c r="AJ243" i="1"/>
  <c r="AX243" i="1" s="1"/>
  <c r="BL243" i="1" s="1"/>
  <c r="AI243" i="1"/>
  <c r="AW243" i="1" s="1"/>
  <c r="BK243" i="1" s="1"/>
  <c r="AH243" i="1"/>
  <c r="AV243" i="1" s="1"/>
  <c r="AG243" i="1"/>
  <c r="AU243" i="1" s="1"/>
  <c r="AF243" i="1"/>
  <c r="AT243" i="1" s="1"/>
  <c r="BH243" i="1" s="1"/>
  <c r="AE243" i="1"/>
  <c r="AS243" i="1" s="1"/>
  <c r="BG243" i="1" s="1"/>
  <c r="M243" i="1"/>
  <c r="E243" i="1"/>
  <c r="D243" i="1"/>
  <c r="C243" i="1"/>
  <c r="B243" i="1"/>
  <c r="A243" i="1"/>
  <c r="BT242" i="1"/>
  <c r="AP242" i="1"/>
  <c r="AO242" i="1"/>
  <c r="AN242" i="1"/>
  <c r="AM242" i="1"/>
  <c r="AL242" i="1"/>
  <c r="AZ242" i="1" s="1"/>
  <c r="BN242" i="1" s="1"/>
  <c r="AK242" i="1"/>
  <c r="AY242" i="1" s="1"/>
  <c r="BM242" i="1" s="1"/>
  <c r="AJ242" i="1"/>
  <c r="AX242" i="1" s="1"/>
  <c r="BL242" i="1" s="1"/>
  <c r="AI242" i="1"/>
  <c r="AW242" i="1" s="1"/>
  <c r="BK242" i="1" s="1"/>
  <c r="AH242" i="1"/>
  <c r="AV242" i="1" s="1"/>
  <c r="BJ242" i="1" s="1"/>
  <c r="AG242" i="1"/>
  <c r="AU242" i="1" s="1"/>
  <c r="BI242" i="1" s="1"/>
  <c r="AF242" i="1"/>
  <c r="AT242" i="1" s="1"/>
  <c r="BH242" i="1" s="1"/>
  <c r="AE242" i="1"/>
  <c r="AS242" i="1" s="1"/>
  <c r="BG242" i="1" s="1"/>
  <c r="AC242" i="1"/>
  <c r="M242" i="1"/>
  <c r="E242" i="1"/>
  <c r="D242" i="1"/>
  <c r="C242" i="1"/>
  <c r="B242" i="1"/>
  <c r="A242" i="1"/>
  <c r="BT241" i="1"/>
  <c r="AP241" i="1"/>
  <c r="AO241" i="1"/>
  <c r="AN241" i="1"/>
  <c r="AM241" i="1"/>
  <c r="BA241" i="1" s="1"/>
  <c r="BO241" i="1" s="1"/>
  <c r="AL241" i="1"/>
  <c r="AZ241" i="1" s="1"/>
  <c r="BN241" i="1" s="1"/>
  <c r="AK241" i="1"/>
  <c r="AY241" i="1" s="1"/>
  <c r="BM241" i="1" s="1"/>
  <c r="AJ241" i="1"/>
  <c r="AX241" i="1" s="1"/>
  <c r="BL241" i="1" s="1"/>
  <c r="AI241" i="1"/>
  <c r="AW241" i="1" s="1"/>
  <c r="BK241" i="1" s="1"/>
  <c r="AH241" i="1"/>
  <c r="AV241" i="1" s="1"/>
  <c r="BJ241" i="1" s="1"/>
  <c r="AG241" i="1"/>
  <c r="AU241" i="1" s="1"/>
  <c r="BI241" i="1" s="1"/>
  <c r="AF241" i="1"/>
  <c r="AT241" i="1" s="1"/>
  <c r="BH241" i="1" s="1"/>
  <c r="AE241" i="1"/>
  <c r="AS241" i="1" s="1"/>
  <c r="BG241" i="1" s="1"/>
  <c r="AC241" i="1"/>
  <c r="M241" i="1"/>
  <c r="E241" i="1"/>
  <c r="D241" i="1"/>
  <c r="C241" i="1"/>
  <c r="B241" i="1"/>
  <c r="A241" i="1"/>
  <c r="BT240" i="1"/>
  <c r="AP240" i="1"/>
  <c r="AO240" i="1"/>
  <c r="AN240" i="1"/>
  <c r="AM240" i="1"/>
  <c r="AL240" i="1"/>
  <c r="AZ240" i="1" s="1"/>
  <c r="BN240" i="1" s="1"/>
  <c r="AK240" i="1"/>
  <c r="AY240" i="1" s="1"/>
  <c r="AJ240" i="1"/>
  <c r="AX240" i="1" s="1"/>
  <c r="BL240" i="1" s="1"/>
  <c r="AI240" i="1"/>
  <c r="AW240" i="1" s="1"/>
  <c r="AH240" i="1"/>
  <c r="AV240" i="1" s="1"/>
  <c r="BJ240" i="1" s="1"/>
  <c r="AG240" i="1"/>
  <c r="AU240" i="1" s="1"/>
  <c r="BI240" i="1" s="1"/>
  <c r="AF240" i="1"/>
  <c r="AT240" i="1" s="1"/>
  <c r="BH240" i="1" s="1"/>
  <c r="AE240" i="1"/>
  <c r="AC240" i="1"/>
  <c r="M240" i="1"/>
  <c r="E240" i="1"/>
  <c r="D240" i="1"/>
  <c r="C240" i="1"/>
  <c r="B240" i="1"/>
  <c r="A240" i="1"/>
  <c r="AO225" i="1"/>
  <c r="BC225" i="1" s="1"/>
  <c r="BQ225" i="1" s="1"/>
  <c r="AG225" i="1"/>
  <c r="AU225" i="1" s="1"/>
  <c r="AK205" i="1"/>
  <c r="AY205" i="1" s="1"/>
  <c r="BM205" i="1" s="1"/>
  <c r="AI205" i="1"/>
  <c r="BT326" i="1"/>
  <c r="AP326" i="1"/>
  <c r="BD326" i="1" s="1"/>
  <c r="BR326" i="1" s="1"/>
  <c r="AO326" i="1"/>
  <c r="BC326" i="1" s="1"/>
  <c r="BQ326" i="1" s="1"/>
  <c r="AN326" i="1"/>
  <c r="BB326" i="1" s="1"/>
  <c r="BP326" i="1" s="1"/>
  <c r="AM326" i="1"/>
  <c r="BA326" i="1" s="1"/>
  <c r="BO326" i="1" s="1"/>
  <c r="AL326" i="1"/>
  <c r="AZ326" i="1" s="1"/>
  <c r="BN326" i="1" s="1"/>
  <c r="AK326" i="1"/>
  <c r="AY326" i="1" s="1"/>
  <c r="BM326" i="1" s="1"/>
  <c r="AJ326" i="1"/>
  <c r="AX326" i="1" s="1"/>
  <c r="BL326" i="1" s="1"/>
  <c r="AI326" i="1"/>
  <c r="AW326" i="1" s="1"/>
  <c r="BK326" i="1" s="1"/>
  <c r="AH326" i="1"/>
  <c r="AV326" i="1" s="1"/>
  <c r="BJ326" i="1" s="1"/>
  <c r="AG326" i="1"/>
  <c r="AU326" i="1" s="1"/>
  <c r="BI326" i="1" s="1"/>
  <c r="AF326" i="1"/>
  <c r="AT326" i="1" s="1"/>
  <c r="BH326" i="1" s="1"/>
  <c r="AE326" i="1"/>
  <c r="AS326" i="1" s="1"/>
  <c r="AC326" i="1"/>
  <c r="M326" i="1"/>
  <c r="B326" i="1"/>
  <c r="A326" i="1"/>
  <c r="BT239" i="1"/>
  <c r="AP239" i="1"/>
  <c r="BD239" i="1" s="1"/>
  <c r="BR239" i="1" s="1"/>
  <c r="AO239" i="1"/>
  <c r="BC239" i="1" s="1"/>
  <c r="BQ239" i="1" s="1"/>
  <c r="AN239" i="1"/>
  <c r="BB239" i="1" s="1"/>
  <c r="BP239" i="1" s="1"/>
  <c r="AM239" i="1"/>
  <c r="BA239" i="1" s="1"/>
  <c r="BO239" i="1" s="1"/>
  <c r="AL239" i="1"/>
  <c r="AZ239" i="1" s="1"/>
  <c r="BN239" i="1" s="1"/>
  <c r="AK239" i="1"/>
  <c r="AY239" i="1" s="1"/>
  <c r="BM239" i="1" s="1"/>
  <c r="AJ239" i="1"/>
  <c r="AX239" i="1" s="1"/>
  <c r="BL239" i="1" s="1"/>
  <c r="AI239" i="1"/>
  <c r="AW239" i="1" s="1"/>
  <c r="BK239" i="1" s="1"/>
  <c r="AH239" i="1"/>
  <c r="AV239" i="1" s="1"/>
  <c r="BJ239" i="1" s="1"/>
  <c r="AG239" i="1"/>
  <c r="AU239" i="1" s="1"/>
  <c r="BI239" i="1" s="1"/>
  <c r="AF239" i="1"/>
  <c r="AT239" i="1" s="1"/>
  <c r="BH239" i="1" s="1"/>
  <c r="AE239" i="1"/>
  <c r="AS239" i="1" s="1"/>
  <c r="AC239" i="1"/>
  <c r="M239" i="1"/>
  <c r="E239" i="1"/>
  <c r="D239" i="1"/>
  <c r="C239" i="1"/>
  <c r="B239" i="1"/>
  <c r="A239" i="1"/>
  <c r="BT238" i="1"/>
  <c r="AP238" i="1"/>
  <c r="BD238" i="1" s="1"/>
  <c r="BR238" i="1" s="1"/>
  <c r="AO238" i="1"/>
  <c r="BC238" i="1" s="1"/>
  <c r="BQ238" i="1" s="1"/>
  <c r="AN238" i="1"/>
  <c r="BB238" i="1" s="1"/>
  <c r="BP238" i="1" s="1"/>
  <c r="AM238" i="1"/>
  <c r="BA238" i="1" s="1"/>
  <c r="BO238" i="1" s="1"/>
  <c r="AL238" i="1"/>
  <c r="AZ238" i="1" s="1"/>
  <c r="BN238" i="1" s="1"/>
  <c r="AK238" i="1"/>
  <c r="AY238" i="1" s="1"/>
  <c r="BM238" i="1" s="1"/>
  <c r="AJ238" i="1"/>
  <c r="AX238" i="1" s="1"/>
  <c r="BL238" i="1" s="1"/>
  <c r="AI238" i="1"/>
  <c r="AW238" i="1" s="1"/>
  <c r="BK238" i="1" s="1"/>
  <c r="AH238" i="1"/>
  <c r="AV238" i="1" s="1"/>
  <c r="BJ238" i="1" s="1"/>
  <c r="AG238" i="1"/>
  <c r="AU238" i="1" s="1"/>
  <c r="BI238" i="1" s="1"/>
  <c r="AF238" i="1"/>
  <c r="AT238" i="1" s="1"/>
  <c r="BH238" i="1" s="1"/>
  <c r="AE238" i="1"/>
  <c r="AS238" i="1" s="1"/>
  <c r="AC238" i="1"/>
  <c r="M238" i="1"/>
  <c r="E238" i="1"/>
  <c r="D238" i="1"/>
  <c r="C238" i="1"/>
  <c r="B238" i="1"/>
  <c r="A238" i="1"/>
  <c r="BT237" i="1"/>
  <c r="BA237" i="1"/>
  <c r="BO237" i="1" s="1"/>
  <c r="AZ237" i="1"/>
  <c r="BN237" i="1" s="1"/>
  <c r="AS237" i="1"/>
  <c r="BG237" i="1" s="1"/>
  <c r="AP237" i="1"/>
  <c r="BD237" i="1" s="1"/>
  <c r="BR237" i="1" s="1"/>
  <c r="AO237" i="1"/>
  <c r="BC237" i="1" s="1"/>
  <c r="BQ237" i="1" s="1"/>
  <c r="AN237" i="1"/>
  <c r="BB237" i="1" s="1"/>
  <c r="BP237" i="1" s="1"/>
  <c r="AM237" i="1"/>
  <c r="AL237" i="1"/>
  <c r="AK237" i="1"/>
  <c r="AY237" i="1" s="1"/>
  <c r="BM237" i="1" s="1"/>
  <c r="AJ237" i="1"/>
  <c r="AX237" i="1" s="1"/>
  <c r="BL237" i="1" s="1"/>
  <c r="AI237" i="1"/>
  <c r="AW237" i="1" s="1"/>
  <c r="BK237" i="1" s="1"/>
  <c r="AH237" i="1"/>
  <c r="AV237" i="1" s="1"/>
  <c r="BJ237" i="1" s="1"/>
  <c r="AG237" i="1"/>
  <c r="AU237" i="1" s="1"/>
  <c r="BI237" i="1" s="1"/>
  <c r="AF237" i="1"/>
  <c r="AT237" i="1" s="1"/>
  <c r="AE237" i="1"/>
  <c r="AC237" i="1"/>
  <c r="M237" i="1"/>
  <c r="E237" i="1"/>
  <c r="D237" i="1"/>
  <c r="C237" i="1"/>
  <c r="B237" i="1"/>
  <c r="A237" i="1"/>
  <c r="BT236" i="1"/>
  <c r="AP236" i="1"/>
  <c r="AO236" i="1"/>
  <c r="AN236" i="1"/>
  <c r="AM236" i="1"/>
  <c r="AL236" i="1"/>
  <c r="AK236" i="1"/>
  <c r="AJ236" i="1"/>
  <c r="AI236" i="1"/>
  <c r="AH236" i="1"/>
  <c r="AG236" i="1"/>
  <c r="AF236" i="1"/>
  <c r="AE236" i="1"/>
  <c r="AS236" i="1" s="1"/>
  <c r="BG236" i="1" s="1"/>
  <c r="AC236" i="1"/>
  <c r="M236" i="1"/>
  <c r="E236" i="1"/>
  <c r="D236" i="1"/>
  <c r="C236" i="1"/>
  <c r="B236" i="1"/>
  <c r="A236" i="1"/>
  <c r="BT235" i="1"/>
  <c r="AP235" i="1"/>
  <c r="AO235" i="1"/>
  <c r="AN235" i="1"/>
  <c r="AM235" i="1"/>
  <c r="AL235" i="1"/>
  <c r="AK235" i="1"/>
  <c r="AJ235" i="1"/>
  <c r="AI235" i="1"/>
  <c r="AH235" i="1"/>
  <c r="AG235" i="1"/>
  <c r="AF235" i="1"/>
  <c r="AE235" i="1"/>
  <c r="AS235" i="1" s="1"/>
  <c r="AC235" i="1"/>
  <c r="M235" i="1"/>
  <c r="E235" i="1"/>
  <c r="D235" i="1"/>
  <c r="C235" i="1"/>
  <c r="B235" i="1"/>
  <c r="A235" i="1"/>
  <c r="BT234" i="1"/>
  <c r="AP234" i="1"/>
  <c r="AO234" i="1"/>
  <c r="AN234" i="1"/>
  <c r="AM234" i="1"/>
  <c r="AL234" i="1"/>
  <c r="AZ234" i="1" s="1"/>
  <c r="AK234" i="1"/>
  <c r="AY234" i="1" s="1"/>
  <c r="BM234" i="1" s="1"/>
  <c r="AJ234" i="1"/>
  <c r="AX234" i="1" s="1"/>
  <c r="BL234" i="1" s="1"/>
  <c r="AI234" i="1"/>
  <c r="AW234" i="1" s="1"/>
  <c r="BK234" i="1" s="1"/>
  <c r="AH234" i="1"/>
  <c r="AV234" i="1" s="1"/>
  <c r="BJ234" i="1" s="1"/>
  <c r="AG234" i="1"/>
  <c r="AU234" i="1" s="1"/>
  <c r="BI234" i="1" s="1"/>
  <c r="AF234" i="1"/>
  <c r="AT234" i="1" s="1"/>
  <c r="BH234" i="1" s="1"/>
  <c r="AE234" i="1"/>
  <c r="AS234" i="1" s="1"/>
  <c r="AC234" i="1"/>
  <c r="M234" i="1"/>
  <c r="E234" i="1"/>
  <c r="D234" i="1"/>
  <c r="C234" i="1"/>
  <c r="B234" i="1"/>
  <c r="A234" i="1"/>
  <c r="BT233" i="1"/>
  <c r="BJ233" i="1"/>
  <c r="BI233" i="1"/>
  <c r="AZ233" i="1"/>
  <c r="BA233" i="1" s="1"/>
  <c r="AV233" i="1"/>
  <c r="AU233" i="1"/>
  <c r="AT233" i="1"/>
  <c r="BH233" i="1" s="1"/>
  <c r="AS233" i="1"/>
  <c r="BG233" i="1" s="1"/>
  <c r="AQ233" i="1"/>
  <c r="AP233" i="1"/>
  <c r="AO233" i="1"/>
  <c r="AN233" i="1"/>
  <c r="AM233" i="1"/>
  <c r="AL233" i="1"/>
  <c r="AK233" i="1"/>
  <c r="AY233" i="1" s="1"/>
  <c r="BM233" i="1" s="1"/>
  <c r="AJ233" i="1"/>
  <c r="AX233" i="1" s="1"/>
  <c r="BL233" i="1" s="1"/>
  <c r="AI233" i="1"/>
  <c r="AW233" i="1" s="1"/>
  <c r="BK233" i="1" s="1"/>
  <c r="AH233" i="1"/>
  <c r="AG233" i="1"/>
  <c r="AF233" i="1"/>
  <c r="AE233" i="1"/>
  <c r="M233" i="1"/>
  <c r="E233" i="1"/>
  <c r="D233" i="1"/>
  <c r="C233" i="1"/>
  <c r="B233" i="1"/>
  <c r="A233" i="1"/>
  <c r="BT232" i="1"/>
  <c r="AP232" i="1"/>
  <c r="AO232" i="1"/>
  <c r="AN232" i="1"/>
  <c r="AM232" i="1"/>
  <c r="AL232" i="1"/>
  <c r="AZ232" i="1" s="1"/>
  <c r="AK232" i="1"/>
  <c r="AY232" i="1" s="1"/>
  <c r="BM232" i="1" s="1"/>
  <c r="AJ232" i="1"/>
  <c r="AX232" i="1" s="1"/>
  <c r="BL232" i="1" s="1"/>
  <c r="AI232" i="1"/>
  <c r="AW232" i="1" s="1"/>
  <c r="BK232" i="1" s="1"/>
  <c r="AH232" i="1"/>
  <c r="AV232" i="1" s="1"/>
  <c r="BJ232" i="1" s="1"/>
  <c r="AG232" i="1"/>
  <c r="AU232" i="1" s="1"/>
  <c r="BI232" i="1" s="1"/>
  <c r="AF232" i="1"/>
  <c r="AT232" i="1" s="1"/>
  <c r="BH232" i="1" s="1"/>
  <c r="AE232" i="1"/>
  <c r="AS232" i="1" s="1"/>
  <c r="M232" i="1"/>
  <c r="E232" i="1"/>
  <c r="D232" i="1"/>
  <c r="C232" i="1"/>
  <c r="B232" i="1"/>
  <c r="A232" i="1"/>
  <c r="BT231" i="1"/>
  <c r="AP231" i="1"/>
  <c r="AO231" i="1"/>
  <c r="AN231" i="1"/>
  <c r="AM231" i="1"/>
  <c r="AL231" i="1"/>
  <c r="AZ231" i="1" s="1"/>
  <c r="AK231" i="1"/>
  <c r="AY231" i="1" s="1"/>
  <c r="BM231" i="1" s="1"/>
  <c r="AJ231" i="1"/>
  <c r="AX231" i="1" s="1"/>
  <c r="BL231" i="1" s="1"/>
  <c r="AI231" i="1"/>
  <c r="AW231" i="1" s="1"/>
  <c r="BK231" i="1" s="1"/>
  <c r="AH231" i="1"/>
  <c r="AV231" i="1" s="1"/>
  <c r="BJ231" i="1" s="1"/>
  <c r="AG231" i="1"/>
  <c r="AU231" i="1" s="1"/>
  <c r="BI231" i="1" s="1"/>
  <c r="AF231" i="1"/>
  <c r="AT231" i="1" s="1"/>
  <c r="BH231" i="1" s="1"/>
  <c r="AE231" i="1"/>
  <c r="AC231" i="1"/>
  <c r="M231" i="1"/>
  <c r="E231" i="1"/>
  <c r="D231" i="1"/>
  <c r="C231" i="1"/>
  <c r="B231" i="1"/>
  <c r="A231" i="1"/>
  <c r="BT230" i="1"/>
  <c r="AP230" i="1"/>
  <c r="AO230" i="1"/>
  <c r="AN230" i="1"/>
  <c r="AM230" i="1"/>
  <c r="AL230" i="1"/>
  <c r="AK230" i="1"/>
  <c r="AJ230" i="1"/>
  <c r="AI230" i="1"/>
  <c r="AH230" i="1"/>
  <c r="AG230" i="1"/>
  <c r="AF230" i="1"/>
  <c r="AE230" i="1"/>
  <c r="AS230" i="1" s="1"/>
  <c r="BG230" i="1" s="1"/>
  <c r="AC230" i="1"/>
  <c r="M230" i="1"/>
  <c r="E230" i="1"/>
  <c r="D230" i="1"/>
  <c r="C230" i="1"/>
  <c r="B230" i="1"/>
  <c r="A230" i="1"/>
  <c r="BT229" i="1"/>
  <c r="AP229" i="1"/>
  <c r="BD229" i="1" s="1"/>
  <c r="BR229" i="1" s="1"/>
  <c r="AO229" i="1"/>
  <c r="BC229" i="1" s="1"/>
  <c r="BQ229" i="1" s="1"/>
  <c r="AN229" i="1"/>
  <c r="BB229" i="1" s="1"/>
  <c r="BP229" i="1" s="1"/>
  <c r="AM229" i="1"/>
  <c r="BA229" i="1" s="1"/>
  <c r="BO229" i="1" s="1"/>
  <c r="AL229" i="1"/>
  <c r="AZ229" i="1" s="1"/>
  <c r="BN229" i="1" s="1"/>
  <c r="AK229" i="1"/>
  <c r="AY229" i="1" s="1"/>
  <c r="BM229" i="1" s="1"/>
  <c r="AJ229" i="1"/>
  <c r="AX229" i="1" s="1"/>
  <c r="BL229" i="1" s="1"/>
  <c r="AI229" i="1"/>
  <c r="AH229" i="1"/>
  <c r="AV229" i="1" s="1"/>
  <c r="BJ229" i="1" s="1"/>
  <c r="AG229" i="1"/>
  <c r="AU229" i="1" s="1"/>
  <c r="BI229" i="1" s="1"/>
  <c r="AF229" i="1"/>
  <c r="AT229" i="1" s="1"/>
  <c r="BH229" i="1" s="1"/>
  <c r="AE229" i="1"/>
  <c r="AS229" i="1" s="1"/>
  <c r="AC229" i="1"/>
  <c r="M229" i="1"/>
  <c r="E229" i="1"/>
  <c r="D229" i="1"/>
  <c r="C229" i="1"/>
  <c r="B229" i="1"/>
  <c r="A229" i="1"/>
  <c r="BT228" i="1"/>
  <c r="AP228" i="1"/>
  <c r="BD228" i="1" s="1"/>
  <c r="BR228" i="1" s="1"/>
  <c r="AO228" i="1"/>
  <c r="BC228" i="1" s="1"/>
  <c r="BQ228" i="1" s="1"/>
  <c r="AN228" i="1"/>
  <c r="BB228" i="1" s="1"/>
  <c r="BP228" i="1" s="1"/>
  <c r="AM228" i="1"/>
  <c r="BA228" i="1" s="1"/>
  <c r="BO228" i="1" s="1"/>
  <c r="AL228" i="1"/>
  <c r="AZ228" i="1" s="1"/>
  <c r="BN228" i="1" s="1"/>
  <c r="AK228" i="1"/>
  <c r="AY228" i="1" s="1"/>
  <c r="BM228" i="1" s="1"/>
  <c r="AJ228" i="1"/>
  <c r="AX228" i="1" s="1"/>
  <c r="BL228" i="1" s="1"/>
  <c r="AI228" i="1"/>
  <c r="AW228" i="1" s="1"/>
  <c r="BK228" i="1" s="1"/>
  <c r="AH228" i="1"/>
  <c r="AV228" i="1" s="1"/>
  <c r="BJ228" i="1" s="1"/>
  <c r="AG228" i="1"/>
  <c r="AU228" i="1" s="1"/>
  <c r="BI228" i="1" s="1"/>
  <c r="AF228" i="1"/>
  <c r="AT228" i="1" s="1"/>
  <c r="BH228" i="1" s="1"/>
  <c r="AE228" i="1"/>
  <c r="AS228" i="1" s="1"/>
  <c r="BG228" i="1" s="1"/>
  <c r="BS228" i="1" s="1"/>
  <c r="AC228" i="1"/>
  <c r="M228" i="1"/>
  <c r="E228" i="1"/>
  <c r="D228" i="1"/>
  <c r="C228" i="1"/>
  <c r="B228" i="1"/>
  <c r="A228" i="1"/>
  <c r="BT227" i="1"/>
  <c r="AP227" i="1"/>
  <c r="BD227" i="1" s="1"/>
  <c r="BR227" i="1" s="1"/>
  <c r="AO227" i="1"/>
  <c r="BC227" i="1" s="1"/>
  <c r="BQ227" i="1" s="1"/>
  <c r="AN227" i="1"/>
  <c r="BB227" i="1" s="1"/>
  <c r="BP227" i="1" s="1"/>
  <c r="AM227" i="1"/>
  <c r="BA227" i="1" s="1"/>
  <c r="BO227" i="1" s="1"/>
  <c r="AL227" i="1"/>
  <c r="AZ227" i="1" s="1"/>
  <c r="BN227" i="1" s="1"/>
  <c r="AK227" i="1"/>
  <c r="AY227" i="1" s="1"/>
  <c r="BM227" i="1" s="1"/>
  <c r="AJ227" i="1"/>
  <c r="AX227" i="1" s="1"/>
  <c r="BL227" i="1" s="1"/>
  <c r="AI227" i="1"/>
  <c r="AW227" i="1" s="1"/>
  <c r="BK227" i="1" s="1"/>
  <c r="AH227" i="1"/>
  <c r="AV227" i="1" s="1"/>
  <c r="BJ227" i="1" s="1"/>
  <c r="AG227" i="1"/>
  <c r="AU227" i="1" s="1"/>
  <c r="BI227" i="1" s="1"/>
  <c r="AF227" i="1"/>
  <c r="AT227" i="1" s="1"/>
  <c r="BH227" i="1" s="1"/>
  <c r="AE227" i="1"/>
  <c r="AS227" i="1" s="1"/>
  <c r="BG227" i="1" s="1"/>
  <c r="BS227" i="1" s="1"/>
  <c r="AC227" i="1"/>
  <c r="M227" i="1"/>
  <c r="E227" i="1"/>
  <c r="D227" i="1"/>
  <c r="C227" i="1"/>
  <c r="B227" i="1"/>
  <c r="A227" i="1"/>
  <c r="BT226" i="1"/>
  <c r="AP226" i="1"/>
  <c r="BD226" i="1" s="1"/>
  <c r="BR226" i="1" s="1"/>
  <c r="AO226" i="1"/>
  <c r="BC226" i="1" s="1"/>
  <c r="BQ226" i="1" s="1"/>
  <c r="AN226" i="1"/>
  <c r="BB226" i="1" s="1"/>
  <c r="BP226" i="1" s="1"/>
  <c r="AM226" i="1"/>
  <c r="BA226" i="1" s="1"/>
  <c r="BO226" i="1" s="1"/>
  <c r="AL226" i="1"/>
  <c r="AZ226" i="1" s="1"/>
  <c r="BN226" i="1" s="1"/>
  <c r="AK226" i="1"/>
  <c r="AY226" i="1" s="1"/>
  <c r="BM226" i="1" s="1"/>
  <c r="AJ226" i="1"/>
  <c r="AX226" i="1" s="1"/>
  <c r="BL226" i="1" s="1"/>
  <c r="AI226" i="1"/>
  <c r="AW226" i="1" s="1"/>
  <c r="BK226" i="1" s="1"/>
  <c r="AH226" i="1"/>
  <c r="AV226" i="1" s="1"/>
  <c r="BJ226" i="1" s="1"/>
  <c r="AG226" i="1"/>
  <c r="AU226" i="1" s="1"/>
  <c r="BI226" i="1" s="1"/>
  <c r="AF226" i="1"/>
  <c r="AT226" i="1" s="1"/>
  <c r="BH226" i="1" s="1"/>
  <c r="AE226" i="1"/>
  <c r="AS226" i="1" s="1"/>
  <c r="AC226" i="1"/>
  <c r="M226" i="1"/>
  <c r="E226" i="1"/>
  <c r="D226" i="1"/>
  <c r="C226" i="1"/>
  <c r="B226" i="1"/>
  <c r="A226" i="1"/>
  <c r="BT225" i="1"/>
  <c r="AP225" i="1"/>
  <c r="BD225" i="1" s="1"/>
  <c r="BR225" i="1" s="1"/>
  <c r="AN225" i="1"/>
  <c r="BB225" i="1" s="1"/>
  <c r="BP225" i="1" s="1"/>
  <c r="AM225" i="1"/>
  <c r="BA225" i="1" s="1"/>
  <c r="BO225" i="1" s="1"/>
  <c r="AL225" i="1"/>
  <c r="AZ225" i="1" s="1"/>
  <c r="BN225" i="1" s="1"/>
  <c r="AK225" i="1"/>
  <c r="AH225" i="1"/>
  <c r="AV225" i="1" s="1"/>
  <c r="BJ225" i="1" s="1"/>
  <c r="AF225" i="1"/>
  <c r="AT225" i="1" s="1"/>
  <c r="AE225" i="1"/>
  <c r="AS225" i="1" s="1"/>
  <c r="BG225" i="1" s="1"/>
  <c r="M225" i="1"/>
  <c r="E225" i="1"/>
  <c r="D225" i="1"/>
  <c r="C225" i="1"/>
  <c r="B225" i="1"/>
  <c r="A225" i="1"/>
  <c r="BT224" i="1"/>
  <c r="AP224" i="1"/>
  <c r="BD224" i="1" s="1"/>
  <c r="BR224" i="1" s="1"/>
  <c r="AO224" i="1"/>
  <c r="BC224" i="1" s="1"/>
  <c r="BQ224" i="1" s="1"/>
  <c r="AN224" i="1"/>
  <c r="BB224" i="1" s="1"/>
  <c r="BP224" i="1" s="1"/>
  <c r="AM224" i="1"/>
  <c r="BA224" i="1" s="1"/>
  <c r="BO224" i="1" s="1"/>
  <c r="AL224" i="1"/>
  <c r="AZ224" i="1" s="1"/>
  <c r="BN224" i="1" s="1"/>
  <c r="AK224" i="1"/>
  <c r="AY224" i="1" s="1"/>
  <c r="BM224" i="1" s="1"/>
  <c r="AJ224" i="1"/>
  <c r="AX224" i="1" s="1"/>
  <c r="BL224" i="1" s="1"/>
  <c r="AI224" i="1"/>
  <c r="AW224" i="1" s="1"/>
  <c r="BK224" i="1" s="1"/>
  <c r="AH224" i="1"/>
  <c r="AV224" i="1" s="1"/>
  <c r="BJ224" i="1" s="1"/>
  <c r="AG224" i="1"/>
  <c r="AU224" i="1" s="1"/>
  <c r="BI224" i="1" s="1"/>
  <c r="AF224" i="1"/>
  <c r="AT224" i="1" s="1"/>
  <c r="BH224" i="1" s="1"/>
  <c r="AE224" i="1"/>
  <c r="AS224" i="1" s="1"/>
  <c r="AC224" i="1"/>
  <c r="M224" i="1"/>
  <c r="E224" i="1"/>
  <c r="D224" i="1"/>
  <c r="C224" i="1"/>
  <c r="B224" i="1"/>
  <c r="A224" i="1"/>
  <c r="BT223" i="1"/>
  <c r="AP223" i="1"/>
  <c r="BD223" i="1" s="1"/>
  <c r="BR223" i="1" s="1"/>
  <c r="AO223" i="1"/>
  <c r="BC223" i="1" s="1"/>
  <c r="BQ223" i="1" s="1"/>
  <c r="AN223" i="1"/>
  <c r="BB223" i="1" s="1"/>
  <c r="BP223" i="1" s="1"/>
  <c r="AM223" i="1"/>
  <c r="BA223" i="1" s="1"/>
  <c r="BO223" i="1" s="1"/>
  <c r="AL223" i="1"/>
  <c r="AZ223" i="1" s="1"/>
  <c r="BN223" i="1" s="1"/>
  <c r="AK223" i="1"/>
  <c r="AY223" i="1" s="1"/>
  <c r="BM223" i="1" s="1"/>
  <c r="AJ223" i="1"/>
  <c r="AX223" i="1" s="1"/>
  <c r="BL223" i="1" s="1"/>
  <c r="AI223" i="1"/>
  <c r="AW223" i="1" s="1"/>
  <c r="BK223" i="1" s="1"/>
  <c r="AH223" i="1"/>
  <c r="AV223" i="1" s="1"/>
  <c r="BJ223" i="1" s="1"/>
  <c r="AG223" i="1"/>
  <c r="AU223" i="1" s="1"/>
  <c r="BI223" i="1" s="1"/>
  <c r="AF223" i="1"/>
  <c r="AT223" i="1" s="1"/>
  <c r="BH223" i="1" s="1"/>
  <c r="AE223" i="1"/>
  <c r="AS223" i="1" s="1"/>
  <c r="AC223" i="1"/>
  <c r="M223" i="1"/>
  <c r="E223" i="1"/>
  <c r="D223" i="1"/>
  <c r="C223" i="1"/>
  <c r="B223" i="1"/>
  <c r="A223" i="1"/>
  <c r="BT222" i="1"/>
  <c r="AP222" i="1"/>
  <c r="BD222" i="1" s="1"/>
  <c r="BR222" i="1" s="1"/>
  <c r="AO222" i="1"/>
  <c r="BC222" i="1" s="1"/>
  <c r="BQ222" i="1" s="1"/>
  <c r="AN222" i="1"/>
  <c r="BB222" i="1" s="1"/>
  <c r="BP222" i="1" s="1"/>
  <c r="AM222" i="1"/>
  <c r="BA222" i="1" s="1"/>
  <c r="BO222" i="1" s="1"/>
  <c r="AL222" i="1"/>
  <c r="AZ222" i="1" s="1"/>
  <c r="BN222" i="1" s="1"/>
  <c r="AK222" i="1"/>
  <c r="AY222" i="1" s="1"/>
  <c r="BM222" i="1" s="1"/>
  <c r="AJ222" i="1"/>
  <c r="AX222" i="1" s="1"/>
  <c r="BL222" i="1" s="1"/>
  <c r="AI222" i="1"/>
  <c r="AW222" i="1" s="1"/>
  <c r="BK222" i="1" s="1"/>
  <c r="AH222" i="1"/>
  <c r="AV222" i="1" s="1"/>
  <c r="BJ222" i="1" s="1"/>
  <c r="AG222" i="1"/>
  <c r="AU222" i="1" s="1"/>
  <c r="BI222" i="1" s="1"/>
  <c r="AF222" i="1"/>
  <c r="AT222" i="1" s="1"/>
  <c r="BH222" i="1" s="1"/>
  <c r="AE222" i="1"/>
  <c r="AS222" i="1" s="1"/>
  <c r="AC222" i="1"/>
  <c r="M222" i="1"/>
  <c r="E222" i="1"/>
  <c r="D222" i="1"/>
  <c r="C222" i="1"/>
  <c r="B222" i="1"/>
  <c r="A222" i="1"/>
  <c r="BT221" i="1"/>
  <c r="AP221" i="1"/>
  <c r="BD221" i="1" s="1"/>
  <c r="BR221" i="1" s="1"/>
  <c r="AO221" i="1"/>
  <c r="BC221" i="1" s="1"/>
  <c r="BQ221" i="1" s="1"/>
  <c r="AN221" i="1"/>
  <c r="BB221" i="1" s="1"/>
  <c r="BP221" i="1" s="1"/>
  <c r="AM221" i="1"/>
  <c r="BA221" i="1" s="1"/>
  <c r="BO221" i="1" s="1"/>
  <c r="AL221" i="1"/>
  <c r="AZ221" i="1" s="1"/>
  <c r="BN221" i="1" s="1"/>
  <c r="AK221" i="1"/>
  <c r="AY221" i="1" s="1"/>
  <c r="BM221" i="1" s="1"/>
  <c r="AJ221" i="1"/>
  <c r="AX221" i="1" s="1"/>
  <c r="BL221" i="1" s="1"/>
  <c r="AI221" i="1"/>
  <c r="AW221" i="1" s="1"/>
  <c r="BK221" i="1" s="1"/>
  <c r="AH221" i="1"/>
  <c r="AV221" i="1" s="1"/>
  <c r="BJ221" i="1" s="1"/>
  <c r="AG221" i="1"/>
  <c r="AU221" i="1" s="1"/>
  <c r="BI221" i="1" s="1"/>
  <c r="AF221" i="1"/>
  <c r="AT221" i="1" s="1"/>
  <c r="AE221" i="1"/>
  <c r="AS221" i="1" s="1"/>
  <c r="BG221" i="1" s="1"/>
  <c r="AC221" i="1"/>
  <c r="M221" i="1"/>
  <c r="E221" i="1"/>
  <c r="D221" i="1"/>
  <c r="C221" i="1"/>
  <c r="B221" i="1"/>
  <c r="A221" i="1"/>
  <c r="BT220" i="1"/>
  <c r="AP220" i="1"/>
  <c r="BD220" i="1" s="1"/>
  <c r="BR220" i="1" s="1"/>
  <c r="AO220" i="1"/>
  <c r="BC220" i="1" s="1"/>
  <c r="BQ220" i="1" s="1"/>
  <c r="AN220" i="1"/>
  <c r="BB220" i="1" s="1"/>
  <c r="BP220" i="1" s="1"/>
  <c r="AM220" i="1"/>
  <c r="BA220" i="1" s="1"/>
  <c r="BO220" i="1" s="1"/>
  <c r="AL220" i="1"/>
  <c r="AZ220" i="1" s="1"/>
  <c r="BN220" i="1" s="1"/>
  <c r="AK220" i="1"/>
  <c r="AY220" i="1" s="1"/>
  <c r="BM220" i="1" s="1"/>
  <c r="AJ220" i="1"/>
  <c r="AX220" i="1" s="1"/>
  <c r="BL220" i="1" s="1"/>
  <c r="AI220" i="1"/>
  <c r="AW220" i="1" s="1"/>
  <c r="BK220" i="1" s="1"/>
  <c r="AH220" i="1"/>
  <c r="AV220" i="1" s="1"/>
  <c r="BJ220" i="1" s="1"/>
  <c r="AG220" i="1"/>
  <c r="AU220" i="1" s="1"/>
  <c r="BI220" i="1" s="1"/>
  <c r="AF220" i="1"/>
  <c r="AT220" i="1" s="1"/>
  <c r="BH220" i="1" s="1"/>
  <c r="AE220" i="1"/>
  <c r="AS220" i="1" s="1"/>
  <c r="AC220" i="1"/>
  <c r="M220" i="1"/>
  <c r="E220" i="1"/>
  <c r="D220" i="1"/>
  <c r="C220" i="1"/>
  <c r="B220" i="1"/>
  <c r="A220" i="1"/>
  <c r="BT219" i="1"/>
  <c r="AP219" i="1"/>
  <c r="BD219" i="1" s="1"/>
  <c r="BR219" i="1" s="1"/>
  <c r="AO219" i="1"/>
  <c r="BC219" i="1" s="1"/>
  <c r="BQ219" i="1" s="1"/>
  <c r="AN219" i="1"/>
  <c r="BB219" i="1" s="1"/>
  <c r="BP219" i="1" s="1"/>
  <c r="AM219" i="1"/>
  <c r="BA219" i="1" s="1"/>
  <c r="BO219" i="1" s="1"/>
  <c r="AL219" i="1"/>
  <c r="AZ219" i="1" s="1"/>
  <c r="BN219" i="1" s="1"/>
  <c r="AK219" i="1"/>
  <c r="AY219" i="1" s="1"/>
  <c r="BM219" i="1" s="1"/>
  <c r="AJ219" i="1"/>
  <c r="AX219" i="1" s="1"/>
  <c r="BL219" i="1" s="1"/>
  <c r="AI219" i="1"/>
  <c r="AW219" i="1" s="1"/>
  <c r="BK219" i="1" s="1"/>
  <c r="AH219" i="1"/>
  <c r="AV219" i="1" s="1"/>
  <c r="BJ219" i="1" s="1"/>
  <c r="AG219" i="1"/>
  <c r="AU219" i="1" s="1"/>
  <c r="BI219" i="1" s="1"/>
  <c r="AF219" i="1"/>
  <c r="AT219" i="1" s="1"/>
  <c r="BH219" i="1" s="1"/>
  <c r="AE219" i="1"/>
  <c r="AS219" i="1" s="1"/>
  <c r="BG219" i="1" s="1"/>
  <c r="BS219" i="1" s="1"/>
  <c r="AC219" i="1"/>
  <c r="M219" i="1"/>
  <c r="E219" i="1"/>
  <c r="D219" i="1"/>
  <c r="C219" i="1"/>
  <c r="B219" i="1"/>
  <c r="A219" i="1"/>
  <c r="BT218" i="1"/>
  <c r="AP218" i="1"/>
  <c r="BD218" i="1" s="1"/>
  <c r="BR218" i="1" s="1"/>
  <c r="AO218" i="1"/>
  <c r="BC218" i="1" s="1"/>
  <c r="BQ218" i="1" s="1"/>
  <c r="AN218" i="1"/>
  <c r="BB218" i="1" s="1"/>
  <c r="BP218" i="1" s="1"/>
  <c r="AM218" i="1"/>
  <c r="BA218" i="1" s="1"/>
  <c r="BO218" i="1" s="1"/>
  <c r="AL218" i="1"/>
  <c r="AZ218" i="1" s="1"/>
  <c r="BN218" i="1" s="1"/>
  <c r="AK218" i="1"/>
  <c r="AY218" i="1" s="1"/>
  <c r="BM218" i="1" s="1"/>
  <c r="AJ218" i="1"/>
  <c r="AX218" i="1" s="1"/>
  <c r="BL218" i="1" s="1"/>
  <c r="AI218" i="1"/>
  <c r="AH218" i="1"/>
  <c r="AV218" i="1" s="1"/>
  <c r="BJ218" i="1" s="1"/>
  <c r="AG218" i="1"/>
  <c r="AU218" i="1" s="1"/>
  <c r="BI218" i="1" s="1"/>
  <c r="AF218" i="1"/>
  <c r="AT218" i="1" s="1"/>
  <c r="BH218" i="1" s="1"/>
  <c r="AE218" i="1"/>
  <c r="AS218" i="1" s="1"/>
  <c r="AC218" i="1"/>
  <c r="M218" i="1"/>
  <c r="E218" i="1"/>
  <c r="D218" i="1"/>
  <c r="C218" i="1"/>
  <c r="B218" i="1"/>
  <c r="A218" i="1"/>
  <c r="BT217" i="1"/>
  <c r="AP217" i="1"/>
  <c r="BD217" i="1" s="1"/>
  <c r="BR217" i="1" s="1"/>
  <c r="AO217" i="1"/>
  <c r="BC217" i="1" s="1"/>
  <c r="BQ217" i="1" s="1"/>
  <c r="AN217" i="1"/>
  <c r="BB217" i="1" s="1"/>
  <c r="BP217" i="1" s="1"/>
  <c r="AM217" i="1"/>
  <c r="BA217" i="1" s="1"/>
  <c r="BO217" i="1" s="1"/>
  <c r="AL217" i="1"/>
  <c r="AZ217" i="1" s="1"/>
  <c r="BN217" i="1" s="1"/>
  <c r="AK217" i="1"/>
  <c r="AY217" i="1" s="1"/>
  <c r="BM217" i="1" s="1"/>
  <c r="AJ217" i="1"/>
  <c r="AX217" i="1" s="1"/>
  <c r="BL217" i="1" s="1"/>
  <c r="AI217" i="1"/>
  <c r="AW217" i="1" s="1"/>
  <c r="BK217" i="1" s="1"/>
  <c r="AH217" i="1"/>
  <c r="AV217" i="1" s="1"/>
  <c r="BJ217" i="1" s="1"/>
  <c r="AG217" i="1"/>
  <c r="AU217" i="1" s="1"/>
  <c r="BI217" i="1" s="1"/>
  <c r="AF217" i="1"/>
  <c r="AT217" i="1" s="1"/>
  <c r="BH217" i="1" s="1"/>
  <c r="AE217" i="1"/>
  <c r="AS217" i="1" s="1"/>
  <c r="AC217" i="1"/>
  <c r="M217" i="1"/>
  <c r="E217" i="1"/>
  <c r="D217" i="1"/>
  <c r="C217" i="1"/>
  <c r="B217" i="1"/>
  <c r="A217" i="1"/>
  <c r="BT216" i="1"/>
  <c r="AP216" i="1"/>
  <c r="BD216" i="1" s="1"/>
  <c r="BR216" i="1" s="1"/>
  <c r="AO216" i="1"/>
  <c r="BC216" i="1" s="1"/>
  <c r="BQ216" i="1" s="1"/>
  <c r="AN216" i="1"/>
  <c r="BB216" i="1" s="1"/>
  <c r="BP216" i="1" s="1"/>
  <c r="AM216" i="1"/>
  <c r="BA216" i="1" s="1"/>
  <c r="BO216" i="1" s="1"/>
  <c r="AL216" i="1"/>
  <c r="AZ216" i="1" s="1"/>
  <c r="BN216" i="1" s="1"/>
  <c r="AK216" i="1"/>
  <c r="AY216" i="1" s="1"/>
  <c r="BM216" i="1" s="1"/>
  <c r="AJ216" i="1"/>
  <c r="AX216" i="1" s="1"/>
  <c r="BL216" i="1" s="1"/>
  <c r="AI216" i="1"/>
  <c r="AW216" i="1" s="1"/>
  <c r="BK216" i="1" s="1"/>
  <c r="AH216" i="1"/>
  <c r="AV216" i="1" s="1"/>
  <c r="BJ216" i="1" s="1"/>
  <c r="AG216" i="1"/>
  <c r="AU216" i="1" s="1"/>
  <c r="BI216" i="1" s="1"/>
  <c r="AF216" i="1"/>
  <c r="AT216" i="1" s="1"/>
  <c r="BH216" i="1" s="1"/>
  <c r="AE216" i="1"/>
  <c r="AS216" i="1" s="1"/>
  <c r="AC216" i="1"/>
  <c r="M216" i="1"/>
  <c r="E216" i="1"/>
  <c r="D216" i="1"/>
  <c r="C216" i="1"/>
  <c r="B216" i="1"/>
  <c r="A216" i="1"/>
  <c r="BT215" i="1"/>
  <c r="AP215" i="1"/>
  <c r="BD215" i="1" s="1"/>
  <c r="BR215" i="1" s="1"/>
  <c r="AO215" i="1"/>
  <c r="BC215" i="1" s="1"/>
  <c r="BQ215" i="1" s="1"/>
  <c r="AN215" i="1"/>
  <c r="BB215" i="1" s="1"/>
  <c r="BP215" i="1" s="1"/>
  <c r="AM215" i="1"/>
  <c r="BA215" i="1" s="1"/>
  <c r="BO215" i="1" s="1"/>
  <c r="AL215" i="1"/>
  <c r="AZ215" i="1" s="1"/>
  <c r="BN215" i="1" s="1"/>
  <c r="AK215" i="1"/>
  <c r="AY215" i="1" s="1"/>
  <c r="BM215" i="1" s="1"/>
  <c r="AJ215" i="1"/>
  <c r="AX215" i="1" s="1"/>
  <c r="BL215" i="1" s="1"/>
  <c r="AI215" i="1"/>
  <c r="AW215" i="1" s="1"/>
  <c r="BK215" i="1" s="1"/>
  <c r="AH215" i="1"/>
  <c r="AV215" i="1" s="1"/>
  <c r="BJ215" i="1" s="1"/>
  <c r="AG215" i="1"/>
  <c r="AU215" i="1" s="1"/>
  <c r="BI215" i="1" s="1"/>
  <c r="AF215" i="1"/>
  <c r="AT215" i="1" s="1"/>
  <c r="BH215" i="1" s="1"/>
  <c r="AE215" i="1"/>
  <c r="AS215" i="1" s="1"/>
  <c r="AC215" i="1"/>
  <c r="M215" i="1"/>
  <c r="E215" i="1"/>
  <c r="D215" i="1"/>
  <c r="C215" i="1"/>
  <c r="B215" i="1"/>
  <c r="A215" i="1"/>
  <c r="BT214" i="1"/>
  <c r="AP214" i="1"/>
  <c r="BD214" i="1" s="1"/>
  <c r="BR214" i="1" s="1"/>
  <c r="AO214" i="1"/>
  <c r="BC214" i="1" s="1"/>
  <c r="BQ214" i="1" s="1"/>
  <c r="AN214" i="1"/>
  <c r="BB214" i="1" s="1"/>
  <c r="BP214" i="1" s="1"/>
  <c r="AM214" i="1"/>
  <c r="BA214" i="1" s="1"/>
  <c r="BO214" i="1" s="1"/>
  <c r="AL214" i="1"/>
  <c r="AZ214" i="1" s="1"/>
  <c r="BN214" i="1" s="1"/>
  <c r="AK214" i="1"/>
  <c r="AY214" i="1" s="1"/>
  <c r="BM214" i="1" s="1"/>
  <c r="AJ214" i="1"/>
  <c r="AX214" i="1" s="1"/>
  <c r="BL214" i="1" s="1"/>
  <c r="AI214" i="1"/>
  <c r="AW214" i="1" s="1"/>
  <c r="BK214" i="1" s="1"/>
  <c r="AH214" i="1"/>
  <c r="AV214" i="1" s="1"/>
  <c r="BJ214" i="1" s="1"/>
  <c r="AG214" i="1"/>
  <c r="AU214" i="1" s="1"/>
  <c r="BI214" i="1" s="1"/>
  <c r="AF214" i="1"/>
  <c r="AT214" i="1" s="1"/>
  <c r="BH214" i="1" s="1"/>
  <c r="AE214" i="1"/>
  <c r="AC214" i="1"/>
  <c r="M214" i="1"/>
  <c r="E214" i="1"/>
  <c r="D214" i="1"/>
  <c r="C214" i="1"/>
  <c r="B214" i="1"/>
  <c r="A214" i="1"/>
  <c r="BT213" i="1"/>
  <c r="AP213" i="1"/>
  <c r="BD213" i="1" s="1"/>
  <c r="BR213" i="1" s="1"/>
  <c r="AO213" i="1"/>
  <c r="BC213" i="1" s="1"/>
  <c r="BQ213" i="1" s="1"/>
  <c r="AN213" i="1"/>
  <c r="BB213" i="1" s="1"/>
  <c r="BP213" i="1" s="1"/>
  <c r="AM213" i="1"/>
  <c r="BA213" i="1" s="1"/>
  <c r="BO213" i="1" s="1"/>
  <c r="AL213" i="1"/>
  <c r="AZ213" i="1" s="1"/>
  <c r="BN213" i="1" s="1"/>
  <c r="AK213" i="1"/>
  <c r="AY213" i="1" s="1"/>
  <c r="BM213" i="1" s="1"/>
  <c r="AJ213" i="1"/>
  <c r="AX213" i="1" s="1"/>
  <c r="BL213" i="1" s="1"/>
  <c r="AI213" i="1"/>
  <c r="AW213" i="1" s="1"/>
  <c r="BK213" i="1" s="1"/>
  <c r="AH213" i="1"/>
  <c r="AV213" i="1" s="1"/>
  <c r="BJ213" i="1" s="1"/>
  <c r="AG213" i="1"/>
  <c r="AU213" i="1" s="1"/>
  <c r="BI213" i="1" s="1"/>
  <c r="AF213" i="1"/>
  <c r="AT213" i="1" s="1"/>
  <c r="BH213" i="1" s="1"/>
  <c r="AE213" i="1"/>
  <c r="AS213" i="1" s="1"/>
  <c r="AC213" i="1"/>
  <c r="M213" i="1"/>
  <c r="E213" i="1"/>
  <c r="D213" i="1"/>
  <c r="C213" i="1"/>
  <c r="B213" i="1"/>
  <c r="A213" i="1"/>
  <c r="BT212" i="1"/>
  <c r="AP212" i="1"/>
  <c r="BD212" i="1" s="1"/>
  <c r="BR212" i="1" s="1"/>
  <c r="AO212" i="1"/>
  <c r="BC212" i="1" s="1"/>
  <c r="BQ212" i="1" s="1"/>
  <c r="AN212" i="1"/>
  <c r="BB212" i="1" s="1"/>
  <c r="BP212" i="1" s="1"/>
  <c r="AM212" i="1"/>
  <c r="BA212" i="1" s="1"/>
  <c r="BO212" i="1" s="1"/>
  <c r="AL212" i="1"/>
  <c r="AZ212" i="1" s="1"/>
  <c r="BN212" i="1" s="1"/>
  <c r="AK212" i="1"/>
  <c r="AY212" i="1" s="1"/>
  <c r="BM212" i="1" s="1"/>
  <c r="AJ212" i="1"/>
  <c r="AX212" i="1" s="1"/>
  <c r="BL212" i="1" s="1"/>
  <c r="AI212" i="1"/>
  <c r="AW212" i="1" s="1"/>
  <c r="BK212" i="1" s="1"/>
  <c r="AH212" i="1"/>
  <c r="AV212" i="1" s="1"/>
  <c r="BJ212" i="1" s="1"/>
  <c r="AG212" i="1"/>
  <c r="AU212" i="1" s="1"/>
  <c r="BI212" i="1" s="1"/>
  <c r="AF212" i="1"/>
  <c r="AT212" i="1" s="1"/>
  <c r="BH212" i="1" s="1"/>
  <c r="AE212" i="1"/>
  <c r="AS212" i="1" s="1"/>
  <c r="BG212" i="1" s="1"/>
  <c r="BS212" i="1" s="1"/>
  <c r="AC212" i="1"/>
  <c r="M212" i="1"/>
  <c r="E212" i="1"/>
  <c r="D212" i="1"/>
  <c r="C212" i="1"/>
  <c r="B212" i="1"/>
  <c r="A212" i="1"/>
  <c r="BT211" i="1"/>
  <c r="AP211" i="1"/>
  <c r="BD211" i="1" s="1"/>
  <c r="BR211" i="1" s="1"/>
  <c r="AO211" i="1"/>
  <c r="BC211" i="1" s="1"/>
  <c r="BQ211" i="1" s="1"/>
  <c r="AN211" i="1"/>
  <c r="BB211" i="1" s="1"/>
  <c r="BP211" i="1" s="1"/>
  <c r="AM211" i="1"/>
  <c r="BA211" i="1" s="1"/>
  <c r="BO211" i="1" s="1"/>
  <c r="AL211" i="1"/>
  <c r="AZ211" i="1" s="1"/>
  <c r="BN211" i="1" s="1"/>
  <c r="AK211" i="1"/>
  <c r="AY211" i="1" s="1"/>
  <c r="BM211" i="1" s="1"/>
  <c r="AJ211" i="1"/>
  <c r="AX211" i="1" s="1"/>
  <c r="BL211" i="1" s="1"/>
  <c r="AI211" i="1"/>
  <c r="AW211" i="1" s="1"/>
  <c r="BK211" i="1" s="1"/>
  <c r="AH211" i="1"/>
  <c r="AV211" i="1" s="1"/>
  <c r="BJ211" i="1" s="1"/>
  <c r="AG211" i="1"/>
  <c r="AU211" i="1" s="1"/>
  <c r="BI211" i="1" s="1"/>
  <c r="AF211" i="1"/>
  <c r="AT211" i="1" s="1"/>
  <c r="AE211" i="1"/>
  <c r="AS211" i="1" s="1"/>
  <c r="BG211" i="1" s="1"/>
  <c r="AC211" i="1"/>
  <c r="M211" i="1"/>
  <c r="E211" i="1"/>
  <c r="D211" i="1"/>
  <c r="C211" i="1"/>
  <c r="B211" i="1"/>
  <c r="A211" i="1"/>
  <c r="BT210" i="1"/>
  <c r="AP210" i="1"/>
  <c r="BD210" i="1" s="1"/>
  <c r="BR210" i="1" s="1"/>
  <c r="AO210" i="1"/>
  <c r="BC210" i="1" s="1"/>
  <c r="BQ210" i="1" s="1"/>
  <c r="AN210" i="1"/>
  <c r="BB210" i="1" s="1"/>
  <c r="BP210" i="1" s="1"/>
  <c r="AM210" i="1"/>
  <c r="BA210" i="1" s="1"/>
  <c r="BO210" i="1" s="1"/>
  <c r="AL210" i="1"/>
  <c r="AZ210" i="1" s="1"/>
  <c r="BN210" i="1" s="1"/>
  <c r="AK210" i="1"/>
  <c r="AY210" i="1" s="1"/>
  <c r="BM210" i="1" s="1"/>
  <c r="AJ210" i="1"/>
  <c r="AX210" i="1" s="1"/>
  <c r="BL210" i="1" s="1"/>
  <c r="AI210" i="1"/>
  <c r="AW210" i="1" s="1"/>
  <c r="BK210" i="1" s="1"/>
  <c r="AH210" i="1"/>
  <c r="AV210" i="1" s="1"/>
  <c r="BJ210" i="1" s="1"/>
  <c r="AG210" i="1"/>
  <c r="AU210" i="1" s="1"/>
  <c r="BI210" i="1" s="1"/>
  <c r="AF210" i="1"/>
  <c r="AT210" i="1" s="1"/>
  <c r="BH210" i="1" s="1"/>
  <c r="AE210" i="1"/>
  <c r="AC210" i="1"/>
  <c r="M210" i="1"/>
  <c r="E210" i="1"/>
  <c r="D210" i="1"/>
  <c r="C210" i="1"/>
  <c r="B210" i="1"/>
  <c r="A210" i="1"/>
  <c r="BT209" i="1"/>
  <c r="AP209" i="1"/>
  <c r="BD209" i="1" s="1"/>
  <c r="BR209" i="1" s="1"/>
  <c r="AO209" i="1"/>
  <c r="BC209" i="1" s="1"/>
  <c r="BQ209" i="1" s="1"/>
  <c r="AN209" i="1"/>
  <c r="BB209" i="1" s="1"/>
  <c r="BP209" i="1" s="1"/>
  <c r="AM209" i="1"/>
  <c r="BA209" i="1" s="1"/>
  <c r="BO209" i="1" s="1"/>
  <c r="AL209" i="1"/>
  <c r="AZ209" i="1" s="1"/>
  <c r="BN209" i="1" s="1"/>
  <c r="AK209" i="1"/>
  <c r="AY209" i="1" s="1"/>
  <c r="BM209" i="1" s="1"/>
  <c r="AJ209" i="1"/>
  <c r="AX209" i="1" s="1"/>
  <c r="BL209" i="1" s="1"/>
  <c r="AI209" i="1"/>
  <c r="AW209" i="1" s="1"/>
  <c r="BK209" i="1" s="1"/>
  <c r="AH209" i="1"/>
  <c r="AV209" i="1" s="1"/>
  <c r="BJ209" i="1" s="1"/>
  <c r="AG209" i="1"/>
  <c r="AU209" i="1" s="1"/>
  <c r="BI209" i="1" s="1"/>
  <c r="AF209" i="1"/>
  <c r="AT209" i="1" s="1"/>
  <c r="BH209" i="1" s="1"/>
  <c r="AE209" i="1"/>
  <c r="AS209" i="1" s="1"/>
  <c r="AC209" i="1"/>
  <c r="M209" i="1"/>
  <c r="E209" i="1"/>
  <c r="D209" i="1"/>
  <c r="C209" i="1"/>
  <c r="B209" i="1"/>
  <c r="A209" i="1"/>
  <c r="BT208" i="1"/>
  <c r="AP208" i="1"/>
  <c r="BD208" i="1" s="1"/>
  <c r="BR208" i="1" s="1"/>
  <c r="AO208" i="1"/>
  <c r="BC208" i="1" s="1"/>
  <c r="BQ208" i="1" s="1"/>
  <c r="AN208" i="1"/>
  <c r="BB208" i="1" s="1"/>
  <c r="BP208" i="1" s="1"/>
  <c r="AM208" i="1"/>
  <c r="BA208" i="1" s="1"/>
  <c r="BO208" i="1" s="1"/>
  <c r="AL208" i="1"/>
  <c r="AZ208" i="1" s="1"/>
  <c r="BN208" i="1" s="1"/>
  <c r="AK208" i="1"/>
  <c r="AY208" i="1" s="1"/>
  <c r="BM208" i="1" s="1"/>
  <c r="AJ208" i="1"/>
  <c r="AX208" i="1" s="1"/>
  <c r="BL208" i="1" s="1"/>
  <c r="AI208" i="1"/>
  <c r="AW208" i="1" s="1"/>
  <c r="BK208" i="1" s="1"/>
  <c r="AH208" i="1"/>
  <c r="AV208" i="1" s="1"/>
  <c r="BJ208" i="1" s="1"/>
  <c r="AG208" i="1"/>
  <c r="AU208" i="1" s="1"/>
  <c r="BI208" i="1" s="1"/>
  <c r="AF208" i="1"/>
  <c r="AT208" i="1" s="1"/>
  <c r="BH208" i="1" s="1"/>
  <c r="AE208" i="1"/>
  <c r="AS208" i="1" s="1"/>
  <c r="AC208" i="1"/>
  <c r="M208" i="1"/>
  <c r="E208" i="1"/>
  <c r="D208" i="1"/>
  <c r="C208" i="1"/>
  <c r="B208" i="1"/>
  <c r="A208" i="1"/>
  <c r="BT207" i="1"/>
  <c r="AP207" i="1"/>
  <c r="BD207" i="1" s="1"/>
  <c r="BR207" i="1" s="1"/>
  <c r="AO207" i="1"/>
  <c r="BC207" i="1" s="1"/>
  <c r="BQ207" i="1" s="1"/>
  <c r="AN207" i="1"/>
  <c r="BB207" i="1" s="1"/>
  <c r="BP207" i="1" s="1"/>
  <c r="AM207" i="1"/>
  <c r="BA207" i="1" s="1"/>
  <c r="BO207" i="1" s="1"/>
  <c r="AL207" i="1"/>
  <c r="AZ207" i="1" s="1"/>
  <c r="BN207" i="1" s="1"/>
  <c r="AK207" i="1"/>
  <c r="AY207" i="1" s="1"/>
  <c r="BM207" i="1" s="1"/>
  <c r="AJ207" i="1"/>
  <c r="AX207" i="1" s="1"/>
  <c r="BL207" i="1" s="1"/>
  <c r="AI207" i="1"/>
  <c r="AW207" i="1" s="1"/>
  <c r="BK207" i="1" s="1"/>
  <c r="AH207" i="1"/>
  <c r="AV207" i="1" s="1"/>
  <c r="BJ207" i="1" s="1"/>
  <c r="AG207" i="1"/>
  <c r="AU207" i="1" s="1"/>
  <c r="BI207" i="1" s="1"/>
  <c r="AF207" i="1"/>
  <c r="AT207" i="1" s="1"/>
  <c r="BH207" i="1" s="1"/>
  <c r="AE207" i="1"/>
  <c r="AS207" i="1" s="1"/>
  <c r="AC207" i="1"/>
  <c r="M207" i="1"/>
  <c r="E207" i="1"/>
  <c r="D207" i="1"/>
  <c r="C207" i="1"/>
  <c r="B207" i="1"/>
  <c r="A207" i="1"/>
  <c r="BT206" i="1"/>
  <c r="AP206" i="1"/>
  <c r="BD206" i="1" s="1"/>
  <c r="BR206" i="1" s="1"/>
  <c r="AO206" i="1"/>
  <c r="BC206" i="1" s="1"/>
  <c r="BQ206" i="1" s="1"/>
  <c r="AN206" i="1"/>
  <c r="BB206" i="1" s="1"/>
  <c r="BP206" i="1" s="1"/>
  <c r="AM206" i="1"/>
  <c r="BA206" i="1" s="1"/>
  <c r="BO206" i="1" s="1"/>
  <c r="AL206" i="1"/>
  <c r="AZ206" i="1" s="1"/>
  <c r="BN206" i="1" s="1"/>
  <c r="AK206" i="1"/>
  <c r="AY206" i="1" s="1"/>
  <c r="BM206" i="1" s="1"/>
  <c r="AJ206" i="1"/>
  <c r="AX206" i="1" s="1"/>
  <c r="BL206" i="1" s="1"/>
  <c r="AI206" i="1"/>
  <c r="AW206" i="1" s="1"/>
  <c r="BK206" i="1" s="1"/>
  <c r="AH206" i="1"/>
  <c r="AV206" i="1" s="1"/>
  <c r="BJ206" i="1" s="1"/>
  <c r="AG206" i="1"/>
  <c r="AU206" i="1" s="1"/>
  <c r="BI206" i="1" s="1"/>
  <c r="AF206" i="1"/>
  <c r="AT206" i="1" s="1"/>
  <c r="BH206" i="1" s="1"/>
  <c r="AE206" i="1"/>
  <c r="AC206" i="1"/>
  <c r="M206" i="1"/>
  <c r="E206" i="1"/>
  <c r="D206" i="1"/>
  <c r="C206" i="1"/>
  <c r="B206" i="1"/>
  <c r="A206" i="1"/>
  <c r="BT205" i="1"/>
  <c r="AP205" i="1"/>
  <c r="BD205" i="1" s="1"/>
  <c r="BR205" i="1" s="1"/>
  <c r="AO205" i="1"/>
  <c r="BC205" i="1" s="1"/>
  <c r="BQ205" i="1" s="1"/>
  <c r="AN205" i="1"/>
  <c r="BB205" i="1" s="1"/>
  <c r="BP205" i="1" s="1"/>
  <c r="AM205" i="1"/>
  <c r="BA205" i="1" s="1"/>
  <c r="BO205" i="1" s="1"/>
  <c r="AJ205" i="1"/>
  <c r="AX205" i="1" s="1"/>
  <c r="BL205" i="1" s="1"/>
  <c r="AH205" i="1"/>
  <c r="AV205" i="1" s="1"/>
  <c r="BJ205" i="1" s="1"/>
  <c r="AG205" i="1"/>
  <c r="AU205" i="1" s="1"/>
  <c r="BI205" i="1" s="1"/>
  <c r="AF205" i="1"/>
  <c r="AT205" i="1" s="1"/>
  <c r="BH205" i="1" s="1"/>
  <c r="AE205" i="1"/>
  <c r="AS205" i="1" s="1"/>
  <c r="M205" i="1"/>
  <c r="E205" i="1"/>
  <c r="D205" i="1"/>
  <c r="C205" i="1"/>
  <c r="B205" i="1"/>
  <c r="A205" i="1"/>
  <c r="AQ322" i="1" l="1"/>
  <c r="BG325" i="1"/>
  <c r="BS325" i="1" s="1"/>
  <c r="BE325" i="1"/>
  <c r="BG326" i="1"/>
  <c r="BS326" i="1" s="1"/>
  <c r="BE326" i="1"/>
  <c r="BG324" i="1"/>
  <c r="BS324" i="1" s="1"/>
  <c r="BE324" i="1"/>
  <c r="BG323" i="1"/>
  <c r="BS323" i="1" s="1"/>
  <c r="BE323" i="1"/>
  <c r="AQ324" i="1"/>
  <c r="AQ326" i="1"/>
  <c r="AV322" i="1"/>
  <c r="BJ322" i="1" s="1"/>
  <c r="BS322" i="1" s="1"/>
  <c r="AQ323" i="1"/>
  <c r="AQ325" i="1"/>
  <c r="AQ229" i="1"/>
  <c r="BE272" i="1"/>
  <c r="BH272" i="1"/>
  <c r="BS272" i="1" s="1"/>
  <c r="AQ272" i="1"/>
  <c r="AQ218" i="1"/>
  <c r="AQ221" i="1"/>
  <c r="AQ228" i="1"/>
  <c r="BG271" i="1"/>
  <c r="BS271" i="1" s="1"/>
  <c r="BE271" i="1"/>
  <c r="AQ231" i="1"/>
  <c r="AQ271" i="1"/>
  <c r="AS231" i="1"/>
  <c r="BG231" i="1" s="1"/>
  <c r="BA243" i="1"/>
  <c r="BO243" i="1" s="1"/>
  <c r="AQ270" i="1"/>
  <c r="AQ219" i="1"/>
  <c r="BA234" i="1"/>
  <c r="BN234" i="1"/>
  <c r="BG234" i="1"/>
  <c r="BG270" i="1"/>
  <c r="AQ210" i="1"/>
  <c r="AW270" i="1"/>
  <c r="BK270" i="1" s="1"/>
  <c r="BE219" i="1"/>
  <c r="AQ234" i="1"/>
  <c r="AS210" i="1"/>
  <c r="BG210" i="1" s="1"/>
  <c r="BS210" i="1" s="1"/>
  <c r="BS269" i="1"/>
  <c r="BG218" i="1"/>
  <c r="BG229" i="1"/>
  <c r="AQ269" i="1"/>
  <c r="AQ267" i="1"/>
  <c r="AW218" i="1"/>
  <c r="BK218" i="1" s="1"/>
  <c r="AW229" i="1"/>
  <c r="BK229" i="1" s="1"/>
  <c r="BE269" i="1"/>
  <c r="AQ212" i="1"/>
  <c r="BG217" i="1"/>
  <c r="BS217" i="1" s="1"/>
  <c r="BE217" i="1"/>
  <c r="BS268" i="1"/>
  <c r="BG224" i="1"/>
  <c r="BS224" i="1" s="1"/>
  <c r="BE224" i="1"/>
  <c r="BO233" i="1"/>
  <c r="BB233" i="1"/>
  <c r="AQ214" i="1"/>
  <c r="BA242" i="1"/>
  <c r="AQ268" i="1"/>
  <c r="BE228" i="1"/>
  <c r="AQ217" i="1"/>
  <c r="BN233" i="1"/>
  <c r="BE268" i="1"/>
  <c r="AQ224" i="1"/>
  <c r="AQ208" i="1"/>
  <c r="BG223" i="1"/>
  <c r="BS223" i="1" s="1"/>
  <c r="BE223" i="1"/>
  <c r="BG213" i="1"/>
  <c r="BS213" i="1" s="1"/>
  <c r="BE213" i="1"/>
  <c r="BE227" i="1"/>
  <c r="BN232" i="1"/>
  <c r="BA232" i="1"/>
  <c r="BG232" i="1"/>
  <c r="BH267" i="1"/>
  <c r="BS267" i="1" s="1"/>
  <c r="BE267" i="1"/>
  <c r="AQ227" i="1"/>
  <c r="AQ232" i="1"/>
  <c r="AQ213" i="1"/>
  <c r="AQ223" i="1"/>
  <c r="AQ207" i="1"/>
  <c r="AQ237" i="1"/>
  <c r="BG216" i="1"/>
  <c r="BS216" i="1" s="1"/>
  <c r="BE216" i="1"/>
  <c r="BG208" i="1"/>
  <c r="BS208" i="1" s="1"/>
  <c r="BE208" i="1"/>
  <c r="BG222" i="1"/>
  <c r="BS222" i="1" s="1"/>
  <c r="BE222" i="1"/>
  <c r="BA231" i="1"/>
  <c r="BN231" i="1"/>
  <c r="AQ252" i="1"/>
  <c r="AQ260" i="1"/>
  <c r="AQ256" i="1"/>
  <c r="BE212" i="1"/>
  <c r="AQ216" i="1"/>
  <c r="AQ241" i="1"/>
  <c r="BB241" i="1"/>
  <c r="BP241" i="1" s="1"/>
  <c r="AQ222" i="1"/>
  <c r="BC241" i="1"/>
  <c r="AQ242" i="1"/>
  <c r="AQ245" i="1"/>
  <c r="BH237" i="1"/>
  <c r="BE237" i="1"/>
  <c r="BE256" i="1"/>
  <c r="BG256" i="1"/>
  <c r="BS256" i="1" s="1"/>
  <c r="BG264" i="1"/>
  <c r="BS264" i="1" s="1"/>
  <c r="BE264" i="1"/>
  <c r="BS252" i="1"/>
  <c r="BG266" i="1"/>
  <c r="BS266" i="1" s="1"/>
  <c r="BE266" i="1"/>
  <c r="BE226" i="1"/>
  <c r="BG226" i="1"/>
  <c r="BS226" i="1" s="1"/>
  <c r="BG235" i="1"/>
  <c r="BE260" i="1"/>
  <c r="BH260" i="1"/>
  <c r="BS260" i="1" s="1"/>
  <c r="BG248" i="1"/>
  <c r="BS248" i="1" s="1"/>
  <c r="BE248" i="1"/>
  <c r="BG215" i="1"/>
  <c r="BS215" i="1" s="1"/>
  <c r="BE215" i="1"/>
  <c r="BH211" i="1"/>
  <c r="BS211" i="1" s="1"/>
  <c r="BE211" i="1"/>
  <c r="BH221" i="1"/>
  <c r="BS221" i="1" s="1"/>
  <c r="BE221" i="1"/>
  <c r="BS237" i="1"/>
  <c r="BG239" i="1"/>
  <c r="BS239" i="1" s="1"/>
  <c r="BE239" i="1"/>
  <c r="BG207" i="1"/>
  <c r="BS207" i="1" s="1"/>
  <c r="BE207" i="1"/>
  <c r="AQ215" i="1"/>
  <c r="AQ259" i="1"/>
  <c r="AQ235" i="1"/>
  <c r="AQ226" i="1"/>
  <c r="AQ239" i="1"/>
  <c r="AQ211" i="1"/>
  <c r="AQ248" i="1"/>
  <c r="BE252" i="1"/>
  <c r="AQ264" i="1"/>
  <c r="AQ266" i="1"/>
  <c r="AQ262" i="1"/>
  <c r="BA240" i="1"/>
  <c r="BO240" i="1" s="1"/>
  <c r="BK240" i="1"/>
  <c r="BO245" i="1"/>
  <c r="BB240" i="1"/>
  <c r="AQ261" i="1"/>
  <c r="AS262" i="1"/>
  <c r="BG262" i="1" s="1"/>
  <c r="BS262" i="1" s="1"/>
  <c r="AQ265" i="1"/>
  <c r="BG265" i="1"/>
  <c r="BS265" i="1" s="1"/>
  <c r="BE265" i="1"/>
  <c r="BS261" i="1"/>
  <c r="BG263" i="1"/>
  <c r="BS263" i="1" s="1"/>
  <c r="BE263" i="1"/>
  <c r="BE261" i="1"/>
  <c r="AQ263" i="1"/>
  <c r="BE259" i="1"/>
  <c r="BH259" i="1"/>
  <c r="BS259" i="1" s="1"/>
  <c r="BH257" i="1"/>
  <c r="BS257" i="1" s="1"/>
  <c r="BE257" i="1"/>
  <c r="BH258" i="1"/>
  <c r="BS258" i="1" s="1"/>
  <c r="BE258" i="1"/>
  <c r="AQ258" i="1"/>
  <c r="AQ257" i="1"/>
  <c r="AG254" i="1"/>
  <c r="AU254" i="1" s="1"/>
  <c r="BI254" i="1" s="1"/>
  <c r="AJ253" i="1"/>
  <c r="AX253" i="1" s="1"/>
  <c r="BL253" i="1" s="1"/>
  <c r="AH254" i="1"/>
  <c r="AV254" i="1" s="1"/>
  <c r="BJ254" i="1" s="1"/>
  <c r="AY253" i="1"/>
  <c r="BM253" i="1" s="1"/>
  <c r="AC253" i="1"/>
  <c r="AM253" i="1"/>
  <c r="BA253" i="1" s="1"/>
  <c r="BO253" i="1" s="1"/>
  <c r="AF253" i="1"/>
  <c r="AT253" i="1" s="1"/>
  <c r="BH253" i="1" s="1"/>
  <c r="AG253" i="1"/>
  <c r="AU253" i="1" s="1"/>
  <c r="BI253" i="1" s="1"/>
  <c r="AJ255" i="1"/>
  <c r="AX255" i="1" s="1"/>
  <c r="BL255" i="1" s="1"/>
  <c r="AH253" i="1"/>
  <c r="AV253" i="1" s="1"/>
  <c r="BJ253" i="1" s="1"/>
  <c r="AP253" i="1"/>
  <c r="BD253" i="1" s="1"/>
  <c r="BR253" i="1" s="1"/>
  <c r="AI254" i="1"/>
  <c r="AW254" i="1" s="1"/>
  <c r="AZ254" i="1"/>
  <c r="BN254" i="1" s="1"/>
  <c r="AK255" i="1"/>
  <c r="AY255" i="1" s="1"/>
  <c r="BM255" i="1" s="1"/>
  <c r="BQ253" i="1"/>
  <c r="AJ254" i="1"/>
  <c r="AX254" i="1" s="1"/>
  <c r="BL254" i="1" s="1"/>
  <c r="AC255" i="1"/>
  <c r="AL255" i="1"/>
  <c r="AZ255" i="1" s="1"/>
  <c r="BN255" i="1" s="1"/>
  <c r="AN253" i="1"/>
  <c r="BB253" i="1" s="1"/>
  <c r="BP253" i="1" s="1"/>
  <c r="AY254" i="1"/>
  <c r="BM254" i="1" s="1"/>
  <c r="AE253" i="1"/>
  <c r="AS253" i="1" s="1"/>
  <c r="AI255" i="1"/>
  <c r="AW255" i="1" s="1"/>
  <c r="BG249" i="1"/>
  <c r="BG251" i="1"/>
  <c r="BO251" i="1"/>
  <c r="AH250" i="1"/>
  <c r="AV250" i="1" s="1"/>
  <c r="BJ250" i="1" s="1"/>
  <c r="AP250" i="1"/>
  <c r="BD250" i="1" s="1"/>
  <c r="BR250" i="1" s="1"/>
  <c r="AH249" i="1"/>
  <c r="AV249" i="1" s="1"/>
  <c r="AP249" i="1"/>
  <c r="BD249" i="1" s="1"/>
  <c r="BR249" i="1" s="1"/>
  <c r="AI250" i="1"/>
  <c r="AW250" i="1" s="1"/>
  <c r="BK250" i="1" s="1"/>
  <c r="BK251" i="1"/>
  <c r="AZ249" i="1"/>
  <c r="BN249" i="1" s="1"/>
  <c r="BA250" i="1"/>
  <c r="BO250" i="1" s="1"/>
  <c r="AC251" i="1"/>
  <c r="AL251" i="1"/>
  <c r="AZ251" i="1" s="1"/>
  <c r="BN251" i="1" s="1"/>
  <c r="BL251" i="1"/>
  <c r="AC249" i="1"/>
  <c r="AE250" i="1"/>
  <c r="AS250" i="1" s="1"/>
  <c r="AV251" i="1"/>
  <c r="BD251" i="1"/>
  <c r="BR251" i="1" s="1"/>
  <c r="AL250" i="1"/>
  <c r="AZ250" i="1" s="1"/>
  <c r="BN250" i="1" s="1"/>
  <c r="BJ245" i="1"/>
  <c r="BK245" i="1"/>
  <c r="AC246" i="1"/>
  <c r="AL246" i="1"/>
  <c r="BR245" i="1"/>
  <c r="AC245" i="1"/>
  <c r="AE246" i="1"/>
  <c r="AS246" i="1" s="1"/>
  <c r="AM246" i="1"/>
  <c r="BA246" i="1" s="1"/>
  <c r="BO246" i="1" s="1"/>
  <c r="BO247" i="1"/>
  <c r="BE245" i="1"/>
  <c r="AI247" i="1"/>
  <c r="AW247" i="1" s="1"/>
  <c r="BK247" i="1" s="1"/>
  <c r="AZ247" i="1"/>
  <c r="BG245" i="1"/>
  <c r="AS247" i="1"/>
  <c r="BG247" i="1" s="1"/>
  <c r="BI243" i="1"/>
  <c r="BA244" i="1"/>
  <c r="BO244" i="1" s="1"/>
  <c r="BJ243" i="1"/>
  <c r="AI244" i="1"/>
  <c r="AQ244" i="1" s="1"/>
  <c r="AC243" i="1"/>
  <c r="AC244" i="1"/>
  <c r="AZ243" i="1"/>
  <c r="BG244" i="1"/>
  <c r="AQ243" i="1"/>
  <c r="BM240" i="1"/>
  <c r="AQ240" i="1"/>
  <c r="AS240" i="1"/>
  <c r="BG240" i="1" s="1"/>
  <c r="AQ236" i="1"/>
  <c r="AC225" i="1"/>
  <c r="AS214" i="1"/>
  <c r="BG214" i="1" s="1"/>
  <c r="BS214" i="1" s="1"/>
  <c r="AY225" i="1"/>
  <c r="BM225" i="1" s="1"/>
  <c r="AQ206" i="1"/>
  <c r="AS206" i="1"/>
  <c r="BG206" i="1" s="1"/>
  <c r="BS206" i="1" s="1"/>
  <c r="BH225" i="1"/>
  <c r="BG238" i="1"/>
  <c r="BS238" i="1" s="1"/>
  <c r="BE238" i="1"/>
  <c r="AQ238" i="1"/>
  <c r="AQ230" i="1"/>
  <c r="AI225" i="1"/>
  <c r="AJ225" i="1"/>
  <c r="AX225" i="1" s="1"/>
  <c r="BL225" i="1" s="1"/>
  <c r="BI225" i="1"/>
  <c r="BG220" i="1"/>
  <c r="BS220" i="1" s="1"/>
  <c r="BE220" i="1"/>
  <c r="AQ220" i="1"/>
  <c r="BG209" i="1"/>
  <c r="BS209" i="1" s="1"/>
  <c r="BE209" i="1"/>
  <c r="AQ209" i="1"/>
  <c r="AC205" i="1"/>
  <c r="AL205" i="1"/>
  <c r="AZ205" i="1" s="1"/>
  <c r="AW205" i="1"/>
  <c r="BK205" i="1" s="1"/>
  <c r="BG205" i="1"/>
  <c r="BS229" i="1" l="1"/>
  <c r="BS218" i="1"/>
  <c r="BE262" i="1"/>
  <c r="BE322" i="1"/>
  <c r="AQ225" i="1"/>
  <c r="BE206" i="1"/>
  <c r="BB244" i="1"/>
  <c r="BB243" i="1"/>
  <c r="BE270" i="1"/>
  <c r="BE210" i="1"/>
  <c r="BS270" i="1"/>
  <c r="AQ247" i="1"/>
  <c r="AQ205" i="1"/>
  <c r="BB234" i="1"/>
  <c r="BO234" i="1"/>
  <c r="AQ246" i="1"/>
  <c r="BE218" i="1"/>
  <c r="AW225" i="1"/>
  <c r="BK225" i="1" s="1"/>
  <c r="BS225" i="1" s="1"/>
  <c r="BE229" i="1"/>
  <c r="BP233" i="1"/>
  <c r="BC233" i="1"/>
  <c r="BO242" i="1"/>
  <c r="BB242" i="1"/>
  <c r="BB232" i="1"/>
  <c r="BO232" i="1"/>
  <c r="BS245" i="1"/>
  <c r="BO231" i="1"/>
  <c r="BB231" i="1"/>
  <c r="BQ241" i="1"/>
  <c r="BD241" i="1"/>
  <c r="BR241" i="1" s="1"/>
  <c r="AQ249" i="1"/>
  <c r="BE247" i="1"/>
  <c r="BN243" i="1"/>
  <c r="AZ246" i="1"/>
  <c r="BN246" i="1" s="1"/>
  <c r="BE251" i="1"/>
  <c r="BE214" i="1"/>
  <c r="BP240" i="1"/>
  <c r="BC240" i="1"/>
  <c r="BE254" i="1"/>
  <c r="AQ255" i="1"/>
  <c r="BE255" i="1"/>
  <c r="BE253" i="1"/>
  <c r="BG253" i="1"/>
  <c r="BS253" i="1" s="1"/>
  <c r="BK254" i="1"/>
  <c r="BS254" i="1" s="1"/>
  <c r="AQ253" i="1"/>
  <c r="AQ254" i="1"/>
  <c r="BK255" i="1"/>
  <c r="BS255" i="1" s="1"/>
  <c r="BJ249" i="1"/>
  <c r="BS249" i="1" s="1"/>
  <c r="BE249" i="1"/>
  <c r="BG250" i="1"/>
  <c r="BS250" i="1" s="1"/>
  <c r="BE250" i="1"/>
  <c r="AQ250" i="1"/>
  <c r="AQ251" i="1"/>
  <c r="BJ251" i="1"/>
  <c r="BS251" i="1" s="1"/>
  <c r="BN247" i="1"/>
  <c r="BS247" i="1" s="1"/>
  <c r="BG246" i="1"/>
  <c r="AW244" i="1"/>
  <c r="BN205" i="1"/>
  <c r="BS205" i="1" s="1"/>
  <c r="BE205" i="1"/>
  <c r="BE225" i="1" l="1"/>
  <c r="BP244" i="1"/>
  <c r="BC244" i="1"/>
  <c r="BP243" i="1"/>
  <c r="BC243" i="1"/>
  <c r="BP234" i="1"/>
  <c r="BC234" i="1"/>
  <c r="BP242" i="1"/>
  <c r="BC242" i="1"/>
  <c r="BQ233" i="1"/>
  <c r="BD233" i="1"/>
  <c r="BR233" i="1" s="1"/>
  <c r="BC232" i="1"/>
  <c r="BP232" i="1"/>
  <c r="BS241" i="1"/>
  <c r="BP231" i="1"/>
  <c r="BC231" i="1"/>
  <c r="BE241" i="1"/>
  <c r="BS246" i="1"/>
  <c r="BE246" i="1"/>
  <c r="BQ240" i="1"/>
  <c r="BD240" i="1"/>
  <c r="BR240" i="1" s="1"/>
  <c r="BK244" i="1"/>
  <c r="BS240" i="1" l="1"/>
  <c r="BQ244" i="1"/>
  <c r="BD244" i="1"/>
  <c r="BD243" i="1"/>
  <c r="BR243" i="1" s="1"/>
  <c r="BQ243" i="1"/>
  <c r="BQ234" i="1"/>
  <c r="BD234" i="1"/>
  <c r="BR234" i="1" s="1"/>
  <c r="BE233" i="1"/>
  <c r="BQ242" i="1"/>
  <c r="BD242" i="1"/>
  <c r="BR242" i="1" s="1"/>
  <c r="BD232" i="1"/>
  <c r="BR232" i="1" s="1"/>
  <c r="BQ232" i="1"/>
  <c r="BE240" i="1"/>
  <c r="BQ231" i="1"/>
  <c r="BD231" i="1"/>
  <c r="BR244" i="1" l="1"/>
  <c r="BS244" i="1" s="1"/>
  <c r="BE244" i="1"/>
  <c r="BS243" i="1"/>
  <c r="BE243" i="1"/>
  <c r="BE234" i="1"/>
  <c r="BE242" i="1"/>
  <c r="BS242" i="1"/>
  <c r="BE232" i="1"/>
  <c r="BR231" i="1"/>
  <c r="BS231" i="1" s="1"/>
  <c r="BE231" i="1"/>
  <c r="BT192" i="1" l="1"/>
  <c r="AP192" i="1"/>
  <c r="BD192" i="1" s="1"/>
  <c r="BR192" i="1" s="1"/>
  <c r="AO192" i="1"/>
  <c r="BC192" i="1" s="1"/>
  <c r="BQ192" i="1" s="1"/>
  <c r="AN192" i="1"/>
  <c r="BB192" i="1" s="1"/>
  <c r="BP192" i="1" s="1"/>
  <c r="AM192" i="1"/>
  <c r="BA192" i="1" s="1"/>
  <c r="BO192" i="1" s="1"/>
  <c r="AL192" i="1"/>
  <c r="AZ192" i="1" s="1"/>
  <c r="BN192" i="1" s="1"/>
  <c r="AK192" i="1"/>
  <c r="AY192" i="1" s="1"/>
  <c r="BM192" i="1" s="1"/>
  <c r="AJ192" i="1"/>
  <c r="AX192" i="1" s="1"/>
  <c r="BL192" i="1" s="1"/>
  <c r="AI192" i="1"/>
  <c r="AW192" i="1" s="1"/>
  <c r="BK192" i="1" s="1"/>
  <c r="AH192" i="1"/>
  <c r="AV192" i="1" s="1"/>
  <c r="BJ192" i="1" s="1"/>
  <c r="AG192" i="1"/>
  <c r="AU192" i="1" s="1"/>
  <c r="BI192" i="1" s="1"/>
  <c r="AF192" i="1"/>
  <c r="AT192" i="1" s="1"/>
  <c r="BH192" i="1" s="1"/>
  <c r="AE192" i="1"/>
  <c r="AS192" i="1" s="1"/>
  <c r="BG192" i="1" s="1"/>
  <c r="BS192" i="1" s="1"/>
  <c r="AC192" i="1"/>
  <c r="M192" i="1"/>
  <c r="E192" i="1"/>
  <c r="D192" i="1"/>
  <c r="C192" i="1"/>
  <c r="B192" i="1"/>
  <c r="A192" i="1"/>
  <c r="BT191" i="1"/>
  <c r="AP191" i="1"/>
  <c r="BD191" i="1" s="1"/>
  <c r="BR191" i="1" s="1"/>
  <c r="AO191" i="1"/>
  <c r="BC191" i="1" s="1"/>
  <c r="BQ191" i="1" s="1"/>
  <c r="AN191" i="1"/>
  <c r="BB191" i="1" s="1"/>
  <c r="BP191" i="1" s="1"/>
  <c r="AM191" i="1"/>
  <c r="BA191" i="1" s="1"/>
  <c r="BO191" i="1" s="1"/>
  <c r="AL191" i="1"/>
  <c r="AZ191" i="1" s="1"/>
  <c r="BN191" i="1" s="1"/>
  <c r="AK191" i="1"/>
  <c r="AY191" i="1" s="1"/>
  <c r="BM191" i="1" s="1"/>
  <c r="AJ191" i="1"/>
  <c r="AX191" i="1" s="1"/>
  <c r="BL191" i="1" s="1"/>
  <c r="AI191" i="1"/>
  <c r="AW191" i="1" s="1"/>
  <c r="BK191" i="1" s="1"/>
  <c r="AH191" i="1"/>
  <c r="AV191" i="1" s="1"/>
  <c r="BJ191" i="1" s="1"/>
  <c r="AG191" i="1"/>
  <c r="AU191" i="1" s="1"/>
  <c r="BI191" i="1" s="1"/>
  <c r="AF191" i="1"/>
  <c r="AT191" i="1" s="1"/>
  <c r="BH191" i="1" s="1"/>
  <c r="AE191" i="1"/>
  <c r="AS191" i="1" s="1"/>
  <c r="BG191" i="1" s="1"/>
  <c r="BS191" i="1" s="1"/>
  <c r="AC191" i="1"/>
  <c r="M191" i="1"/>
  <c r="E191" i="1"/>
  <c r="D191" i="1"/>
  <c r="C191" i="1"/>
  <c r="B191" i="1"/>
  <c r="A191" i="1"/>
  <c r="BT190" i="1"/>
  <c r="AP190" i="1"/>
  <c r="BD190" i="1" s="1"/>
  <c r="BR190" i="1" s="1"/>
  <c r="AO190" i="1"/>
  <c r="BC190" i="1" s="1"/>
  <c r="BQ190" i="1" s="1"/>
  <c r="AN190" i="1"/>
  <c r="BB190" i="1" s="1"/>
  <c r="BP190" i="1" s="1"/>
  <c r="AM190" i="1"/>
  <c r="BA190" i="1" s="1"/>
  <c r="BO190" i="1" s="1"/>
  <c r="AL190" i="1"/>
  <c r="AZ190" i="1" s="1"/>
  <c r="BN190" i="1" s="1"/>
  <c r="AK190" i="1"/>
  <c r="AY190" i="1" s="1"/>
  <c r="BM190" i="1" s="1"/>
  <c r="AJ190" i="1"/>
  <c r="AX190" i="1" s="1"/>
  <c r="BL190" i="1" s="1"/>
  <c r="AI190" i="1"/>
  <c r="AW190" i="1" s="1"/>
  <c r="BK190" i="1" s="1"/>
  <c r="AH190" i="1"/>
  <c r="AV190" i="1" s="1"/>
  <c r="BJ190" i="1" s="1"/>
  <c r="AG190" i="1"/>
  <c r="AU190" i="1" s="1"/>
  <c r="BI190" i="1" s="1"/>
  <c r="AF190" i="1"/>
  <c r="AT190" i="1" s="1"/>
  <c r="BH190" i="1" s="1"/>
  <c r="AE190" i="1"/>
  <c r="AS190" i="1" s="1"/>
  <c r="BG190" i="1" s="1"/>
  <c r="BS190" i="1" s="1"/>
  <c r="AC190" i="1"/>
  <c r="M190" i="1"/>
  <c r="E190" i="1"/>
  <c r="D190" i="1"/>
  <c r="C190" i="1"/>
  <c r="B190" i="1"/>
  <c r="A190" i="1"/>
  <c r="BT189" i="1"/>
  <c r="AP189" i="1"/>
  <c r="BD189" i="1" s="1"/>
  <c r="BR189" i="1" s="1"/>
  <c r="AO189" i="1"/>
  <c r="BC189" i="1" s="1"/>
  <c r="BQ189" i="1" s="1"/>
  <c r="AN189" i="1"/>
  <c r="BB189" i="1" s="1"/>
  <c r="BP189" i="1" s="1"/>
  <c r="AM189" i="1"/>
  <c r="BA189" i="1" s="1"/>
  <c r="BO189" i="1" s="1"/>
  <c r="AL189" i="1"/>
  <c r="AZ189" i="1" s="1"/>
  <c r="BN189" i="1" s="1"/>
  <c r="AK189" i="1"/>
  <c r="AY189" i="1" s="1"/>
  <c r="BM189" i="1" s="1"/>
  <c r="AJ189" i="1"/>
  <c r="AX189" i="1" s="1"/>
  <c r="BL189" i="1" s="1"/>
  <c r="AI189" i="1"/>
  <c r="AW189" i="1" s="1"/>
  <c r="BK189" i="1" s="1"/>
  <c r="AH189" i="1"/>
  <c r="AV189" i="1" s="1"/>
  <c r="BJ189" i="1" s="1"/>
  <c r="AG189" i="1"/>
  <c r="AU189" i="1" s="1"/>
  <c r="BI189" i="1" s="1"/>
  <c r="AF189" i="1"/>
  <c r="AT189" i="1" s="1"/>
  <c r="AE189" i="1"/>
  <c r="AS189" i="1" s="1"/>
  <c r="BG189" i="1" s="1"/>
  <c r="AC189" i="1"/>
  <c r="M189" i="1"/>
  <c r="E189" i="1"/>
  <c r="D189" i="1"/>
  <c r="C189" i="1"/>
  <c r="B189" i="1"/>
  <c r="A189" i="1"/>
  <c r="BT188" i="1"/>
  <c r="AP188" i="1"/>
  <c r="BD188" i="1" s="1"/>
  <c r="BR188" i="1" s="1"/>
  <c r="AO188" i="1"/>
  <c r="BC188" i="1" s="1"/>
  <c r="BQ188" i="1" s="1"/>
  <c r="AN188" i="1"/>
  <c r="BB188" i="1" s="1"/>
  <c r="BP188" i="1" s="1"/>
  <c r="AM188" i="1"/>
  <c r="BA188" i="1" s="1"/>
  <c r="BO188" i="1" s="1"/>
  <c r="AL188" i="1"/>
  <c r="AZ188" i="1" s="1"/>
  <c r="BN188" i="1" s="1"/>
  <c r="AK188" i="1"/>
  <c r="AY188" i="1" s="1"/>
  <c r="BM188" i="1" s="1"/>
  <c r="AJ188" i="1"/>
  <c r="AX188" i="1" s="1"/>
  <c r="BL188" i="1" s="1"/>
  <c r="AI188" i="1"/>
  <c r="AW188" i="1" s="1"/>
  <c r="BK188" i="1" s="1"/>
  <c r="AH188" i="1"/>
  <c r="AV188" i="1" s="1"/>
  <c r="BJ188" i="1" s="1"/>
  <c r="AG188" i="1"/>
  <c r="AU188" i="1" s="1"/>
  <c r="BI188" i="1" s="1"/>
  <c r="AF188" i="1"/>
  <c r="AT188" i="1" s="1"/>
  <c r="BH188" i="1" s="1"/>
  <c r="AE188" i="1"/>
  <c r="AS188" i="1" s="1"/>
  <c r="AC188" i="1"/>
  <c r="M188" i="1"/>
  <c r="E188" i="1"/>
  <c r="D188" i="1"/>
  <c r="C188" i="1"/>
  <c r="B188" i="1"/>
  <c r="A188" i="1"/>
  <c r="BT174" i="1"/>
  <c r="AP174" i="1"/>
  <c r="BD174" i="1" s="1"/>
  <c r="BR174" i="1" s="1"/>
  <c r="AO174" i="1"/>
  <c r="BC174" i="1" s="1"/>
  <c r="BQ174" i="1" s="1"/>
  <c r="AN174" i="1"/>
  <c r="BB174" i="1" s="1"/>
  <c r="BP174" i="1" s="1"/>
  <c r="AM174" i="1"/>
  <c r="BA174" i="1" s="1"/>
  <c r="BO174" i="1" s="1"/>
  <c r="AL174" i="1"/>
  <c r="AZ174" i="1" s="1"/>
  <c r="BN174" i="1" s="1"/>
  <c r="AK174" i="1"/>
  <c r="AY174" i="1" s="1"/>
  <c r="BM174" i="1" s="1"/>
  <c r="AJ174" i="1"/>
  <c r="AX174" i="1" s="1"/>
  <c r="BL174" i="1" s="1"/>
  <c r="AI174" i="1"/>
  <c r="AW174" i="1" s="1"/>
  <c r="BK174" i="1" s="1"/>
  <c r="AH174" i="1"/>
  <c r="AV174" i="1" s="1"/>
  <c r="BJ174" i="1" s="1"/>
  <c r="AG174" i="1"/>
  <c r="AU174" i="1" s="1"/>
  <c r="BI174" i="1" s="1"/>
  <c r="AF174" i="1"/>
  <c r="AT174" i="1" s="1"/>
  <c r="BH174" i="1" s="1"/>
  <c r="AE174" i="1"/>
  <c r="AS174" i="1" s="1"/>
  <c r="AC174" i="1"/>
  <c r="M174" i="1"/>
  <c r="E174" i="1"/>
  <c r="D174" i="1"/>
  <c r="C174" i="1"/>
  <c r="B174" i="1"/>
  <c r="A174" i="1"/>
  <c r="BT173" i="1"/>
  <c r="AP173" i="1"/>
  <c r="BD173" i="1" s="1"/>
  <c r="BR173" i="1" s="1"/>
  <c r="AO173" i="1"/>
  <c r="BC173" i="1" s="1"/>
  <c r="BQ173" i="1" s="1"/>
  <c r="AN173" i="1"/>
  <c r="BB173" i="1" s="1"/>
  <c r="BP173" i="1" s="1"/>
  <c r="AM173" i="1"/>
  <c r="BA173" i="1" s="1"/>
  <c r="BO173" i="1" s="1"/>
  <c r="AL173" i="1"/>
  <c r="AZ173" i="1" s="1"/>
  <c r="BN173" i="1" s="1"/>
  <c r="AK173" i="1"/>
  <c r="AY173" i="1" s="1"/>
  <c r="BM173" i="1" s="1"/>
  <c r="AJ173" i="1"/>
  <c r="AX173" i="1" s="1"/>
  <c r="BL173" i="1" s="1"/>
  <c r="AI173" i="1"/>
  <c r="AW173" i="1" s="1"/>
  <c r="BK173" i="1" s="1"/>
  <c r="AH173" i="1"/>
  <c r="AV173" i="1" s="1"/>
  <c r="BJ173" i="1" s="1"/>
  <c r="AG173" i="1"/>
  <c r="AU173" i="1" s="1"/>
  <c r="BI173" i="1" s="1"/>
  <c r="AF173" i="1"/>
  <c r="AT173" i="1" s="1"/>
  <c r="BH173" i="1" s="1"/>
  <c r="AE173" i="1"/>
  <c r="AS173" i="1" s="1"/>
  <c r="AC173" i="1"/>
  <c r="M173" i="1"/>
  <c r="E173" i="1"/>
  <c r="D173" i="1"/>
  <c r="C173" i="1"/>
  <c r="B173" i="1"/>
  <c r="A173" i="1"/>
  <c r="BT172" i="1"/>
  <c r="AP172" i="1"/>
  <c r="BD172" i="1" s="1"/>
  <c r="BR172" i="1" s="1"/>
  <c r="AO172" i="1"/>
  <c r="BC172" i="1" s="1"/>
  <c r="BQ172" i="1" s="1"/>
  <c r="AN172" i="1"/>
  <c r="BB172" i="1" s="1"/>
  <c r="BP172" i="1" s="1"/>
  <c r="AM172" i="1"/>
  <c r="BA172" i="1" s="1"/>
  <c r="BO172" i="1" s="1"/>
  <c r="AL172" i="1"/>
  <c r="AZ172" i="1" s="1"/>
  <c r="BN172" i="1" s="1"/>
  <c r="AK172" i="1"/>
  <c r="AY172" i="1" s="1"/>
  <c r="BM172" i="1" s="1"/>
  <c r="AJ172" i="1"/>
  <c r="AX172" i="1" s="1"/>
  <c r="BL172" i="1" s="1"/>
  <c r="AI172" i="1"/>
  <c r="AW172" i="1" s="1"/>
  <c r="BK172" i="1" s="1"/>
  <c r="AH172" i="1"/>
  <c r="AV172" i="1" s="1"/>
  <c r="BJ172" i="1" s="1"/>
  <c r="AG172" i="1"/>
  <c r="AU172" i="1" s="1"/>
  <c r="BI172" i="1" s="1"/>
  <c r="AF172" i="1"/>
  <c r="AT172" i="1" s="1"/>
  <c r="BH172" i="1" s="1"/>
  <c r="AE172" i="1"/>
  <c r="AS172" i="1" s="1"/>
  <c r="AC172" i="1"/>
  <c r="M172" i="1"/>
  <c r="E172" i="1"/>
  <c r="D172" i="1"/>
  <c r="C172" i="1"/>
  <c r="B172" i="1"/>
  <c r="A172" i="1"/>
  <c r="BT176" i="1"/>
  <c r="AP176" i="1"/>
  <c r="BD176" i="1" s="1"/>
  <c r="BR176" i="1" s="1"/>
  <c r="AO176" i="1"/>
  <c r="BC176" i="1" s="1"/>
  <c r="BQ176" i="1" s="1"/>
  <c r="AN176" i="1"/>
  <c r="BB176" i="1" s="1"/>
  <c r="BP176" i="1" s="1"/>
  <c r="AM176" i="1"/>
  <c r="BA176" i="1" s="1"/>
  <c r="BO176" i="1" s="1"/>
  <c r="AL176" i="1"/>
  <c r="AZ176" i="1" s="1"/>
  <c r="BN176" i="1" s="1"/>
  <c r="AK176" i="1"/>
  <c r="AY176" i="1" s="1"/>
  <c r="BM176" i="1" s="1"/>
  <c r="AJ176" i="1"/>
  <c r="AX176" i="1" s="1"/>
  <c r="BL176" i="1" s="1"/>
  <c r="AI176" i="1"/>
  <c r="AW176" i="1" s="1"/>
  <c r="BK176" i="1" s="1"/>
  <c r="AH176" i="1"/>
  <c r="AV176" i="1" s="1"/>
  <c r="BJ176" i="1" s="1"/>
  <c r="AG176" i="1"/>
  <c r="AU176" i="1" s="1"/>
  <c r="BI176" i="1" s="1"/>
  <c r="AF176" i="1"/>
  <c r="AT176" i="1" s="1"/>
  <c r="BH176" i="1" s="1"/>
  <c r="AE176" i="1"/>
  <c r="AS176" i="1" s="1"/>
  <c r="AC176" i="1"/>
  <c r="M176" i="1"/>
  <c r="E176" i="1"/>
  <c r="D176" i="1"/>
  <c r="C176" i="1"/>
  <c r="B176" i="1"/>
  <c r="A176" i="1"/>
  <c r="BT175" i="1"/>
  <c r="AP175" i="1"/>
  <c r="BD175" i="1" s="1"/>
  <c r="BR175" i="1" s="1"/>
  <c r="AO175" i="1"/>
  <c r="BC175" i="1" s="1"/>
  <c r="BQ175" i="1" s="1"/>
  <c r="AN175" i="1"/>
  <c r="BB175" i="1" s="1"/>
  <c r="BP175" i="1" s="1"/>
  <c r="AM175" i="1"/>
  <c r="BA175" i="1" s="1"/>
  <c r="BO175" i="1" s="1"/>
  <c r="AL175" i="1"/>
  <c r="AZ175" i="1" s="1"/>
  <c r="BN175" i="1" s="1"/>
  <c r="AK175" i="1"/>
  <c r="AY175" i="1" s="1"/>
  <c r="BM175" i="1" s="1"/>
  <c r="AJ175" i="1"/>
  <c r="AX175" i="1" s="1"/>
  <c r="BL175" i="1" s="1"/>
  <c r="AI175" i="1"/>
  <c r="AW175" i="1" s="1"/>
  <c r="BK175" i="1" s="1"/>
  <c r="AH175" i="1"/>
  <c r="AV175" i="1" s="1"/>
  <c r="BJ175" i="1" s="1"/>
  <c r="AG175" i="1"/>
  <c r="AU175" i="1" s="1"/>
  <c r="BI175" i="1" s="1"/>
  <c r="AF175" i="1"/>
  <c r="AT175" i="1" s="1"/>
  <c r="AE175" i="1"/>
  <c r="AS175" i="1" s="1"/>
  <c r="BG175" i="1" s="1"/>
  <c r="AC175" i="1"/>
  <c r="M175" i="1"/>
  <c r="E175" i="1"/>
  <c r="D175" i="1"/>
  <c r="C175" i="1"/>
  <c r="B175" i="1"/>
  <c r="A175" i="1"/>
  <c r="BT178" i="1"/>
  <c r="AP178" i="1"/>
  <c r="BD178" i="1" s="1"/>
  <c r="BR178" i="1" s="1"/>
  <c r="AO178" i="1"/>
  <c r="BC178" i="1" s="1"/>
  <c r="BQ178" i="1" s="1"/>
  <c r="AN178" i="1"/>
  <c r="BB178" i="1" s="1"/>
  <c r="BP178" i="1" s="1"/>
  <c r="AM178" i="1"/>
  <c r="BA178" i="1" s="1"/>
  <c r="BO178" i="1" s="1"/>
  <c r="AL178" i="1"/>
  <c r="AZ178" i="1" s="1"/>
  <c r="BN178" i="1" s="1"/>
  <c r="AK178" i="1"/>
  <c r="AY178" i="1" s="1"/>
  <c r="BM178" i="1" s="1"/>
  <c r="AJ178" i="1"/>
  <c r="AX178" i="1" s="1"/>
  <c r="BL178" i="1" s="1"/>
  <c r="AI178" i="1"/>
  <c r="AW178" i="1" s="1"/>
  <c r="BK178" i="1" s="1"/>
  <c r="AH178" i="1"/>
  <c r="AV178" i="1" s="1"/>
  <c r="BJ178" i="1" s="1"/>
  <c r="AG178" i="1"/>
  <c r="AU178" i="1" s="1"/>
  <c r="BI178" i="1" s="1"/>
  <c r="AF178" i="1"/>
  <c r="AT178" i="1" s="1"/>
  <c r="BH178" i="1" s="1"/>
  <c r="AE178" i="1"/>
  <c r="AS178" i="1" s="1"/>
  <c r="BG178" i="1" s="1"/>
  <c r="BS178" i="1" s="1"/>
  <c r="AC178" i="1"/>
  <c r="M178" i="1"/>
  <c r="E178" i="1"/>
  <c r="D178" i="1"/>
  <c r="C178" i="1"/>
  <c r="B178" i="1"/>
  <c r="A178" i="1"/>
  <c r="BT177" i="1"/>
  <c r="AP177" i="1"/>
  <c r="BD177" i="1" s="1"/>
  <c r="BR177" i="1" s="1"/>
  <c r="AO177" i="1"/>
  <c r="BC177" i="1" s="1"/>
  <c r="BQ177" i="1" s="1"/>
  <c r="AN177" i="1"/>
  <c r="BB177" i="1" s="1"/>
  <c r="BP177" i="1" s="1"/>
  <c r="AM177" i="1"/>
  <c r="BA177" i="1" s="1"/>
  <c r="BO177" i="1" s="1"/>
  <c r="AL177" i="1"/>
  <c r="AZ177" i="1" s="1"/>
  <c r="BN177" i="1" s="1"/>
  <c r="AK177" i="1"/>
  <c r="AY177" i="1" s="1"/>
  <c r="BM177" i="1" s="1"/>
  <c r="AJ177" i="1"/>
  <c r="AX177" i="1" s="1"/>
  <c r="BL177" i="1" s="1"/>
  <c r="AI177" i="1"/>
  <c r="AW177" i="1" s="1"/>
  <c r="BK177" i="1" s="1"/>
  <c r="AH177" i="1"/>
  <c r="AV177" i="1" s="1"/>
  <c r="BJ177" i="1" s="1"/>
  <c r="AG177" i="1"/>
  <c r="AU177" i="1" s="1"/>
  <c r="BI177" i="1" s="1"/>
  <c r="AF177" i="1"/>
  <c r="AT177" i="1" s="1"/>
  <c r="BH177" i="1" s="1"/>
  <c r="AE177" i="1"/>
  <c r="AS177" i="1" s="1"/>
  <c r="AC177" i="1"/>
  <c r="M177" i="1"/>
  <c r="E177" i="1"/>
  <c r="D177" i="1"/>
  <c r="C177" i="1"/>
  <c r="B177" i="1"/>
  <c r="A177" i="1"/>
  <c r="BT181" i="1"/>
  <c r="AP181" i="1"/>
  <c r="BD181" i="1" s="1"/>
  <c r="BR181" i="1" s="1"/>
  <c r="AO181" i="1"/>
  <c r="BC181" i="1" s="1"/>
  <c r="BQ181" i="1" s="1"/>
  <c r="AN181" i="1"/>
  <c r="BB181" i="1" s="1"/>
  <c r="BP181" i="1" s="1"/>
  <c r="AM181" i="1"/>
  <c r="BA181" i="1" s="1"/>
  <c r="BO181" i="1" s="1"/>
  <c r="AL181" i="1"/>
  <c r="AZ181" i="1" s="1"/>
  <c r="BN181" i="1" s="1"/>
  <c r="AK181" i="1"/>
  <c r="AY181" i="1" s="1"/>
  <c r="BM181" i="1" s="1"/>
  <c r="AJ181" i="1"/>
  <c r="AX181" i="1" s="1"/>
  <c r="BL181" i="1" s="1"/>
  <c r="AI181" i="1"/>
  <c r="AW181" i="1" s="1"/>
  <c r="BK181" i="1" s="1"/>
  <c r="AH181" i="1"/>
  <c r="AV181" i="1" s="1"/>
  <c r="BJ181" i="1" s="1"/>
  <c r="AG181" i="1"/>
  <c r="AU181" i="1" s="1"/>
  <c r="BI181" i="1" s="1"/>
  <c r="AF181" i="1"/>
  <c r="AT181" i="1" s="1"/>
  <c r="BH181" i="1" s="1"/>
  <c r="AE181" i="1"/>
  <c r="AS181" i="1" s="1"/>
  <c r="AC181" i="1"/>
  <c r="M181" i="1"/>
  <c r="E181" i="1"/>
  <c r="D181" i="1"/>
  <c r="C181" i="1"/>
  <c r="B181" i="1"/>
  <c r="A181" i="1"/>
  <c r="BT180" i="1"/>
  <c r="AP180" i="1"/>
  <c r="BD180" i="1" s="1"/>
  <c r="BR180" i="1" s="1"/>
  <c r="AO180" i="1"/>
  <c r="BC180" i="1" s="1"/>
  <c r="BQ180" i="1" s="1"/>
  <c r="AN180" i="1"/>
  <c r="BB180" i="1" s="1"/>
  <c r="BP180" i="1" s="1"/>
  <c r="AM180" i="1"/>
  <c r="BA180" i="1" s="1"/>
  <c r="BO180" i="1" s="1"/>
  <c r="AL180" i="1"/>
  <c r="AZ180" i="1" s="1"/>
  <c r="BN180" i="1" s="1"/>
  <c r="AK180" i="1"/>
  <c r="AY180" i="1" s="1"/>
  <c r="BM180" i="1" s="1"/>
  <c r="AJ180" i="1"/>
  <c r="AX180" i="1" s="1"/>
  <c r="BL180" i="1" s="1"/>
  <c r="AI180" i="1"/>
  <c r="AW180" i="1" s="1"/>
  <c r="BK180" i="1" s="1"/>
  <c r="AH180" i="1"/>
  <c r="AV180" i="1" s="1"/>
  <c r="BJ180" i="1" s="1"/>
  <c r="AG180" i="1"/>
  <c r="AU180" i="1" s="1"/>
  <c r="BI180" i="1" s="1"/>
  <c r="AF180" i="1"/>
  <c r="AT180" i="1" s="1"/>
  <c r="BH180" i="1" s="1"/>
  <c r="AE180" i="1"/>
  <c r="AS180" i="1" s="1"/>
  <c r="AC180" i="1"/>
  <c r="M180" i="1"/>
  <c r="E180" i="1"/>
  <c r="D180" i="1"/>
  <c r="C180" i="1"/>
  <c r="B180" i="1"/>
  <c r="A180" i="1"/>
  <c r="BT179" i="1"/>
  <c r="AP179" i="1"/>
  <c r="BD179" i="1" s="1"/>
  <c r="BR179" i="1" s="1"/>
  <c r="AO179" i="1"/>
  <c r="BC179" i="1" s="1"/>
  <c r="BQ179" i="1" s="1"/>
  <c r="AN179" i="1"/>
  <c r="BB179" i="1" s="1"/>
  <c r="BP179" i="1" s="1"/>
  <c r="AM179" i="1"/>
  <c r="BA179" i="1" s="1"/>
  <c r="BO179" i="1" s="1"/>
  <c r="AL179" i="1"/>
  <c r="AZ179" i="1" s="1"/>
  <c r="BN179" i="1" s="1"/>
  <c r="AK179" i="1"/>
  <c r="AY179" i="1" s="1"/>
  <c r="BM179" i="1" s="1"/>
  <c r="AJ179" i="1"/>
  <c r="AX179" i="1" s="1"/>
  <c r="BL179" i="1" s="1"/>
  <c r="AI179" i="1"/>
  <c r="AW179" i="1" s="1"/>
  <c r="BK179" i="1" s="1"/>
  <c r="AH179" i="1"/>
  <c r="AV179" i="1" s="1"/>
  <c r="BJ179" i="1" s="1"/>
  <c r="AG179" i="1"/>
  <c r="AU179" i="1" s="1"/>
  <c r="BI179" i="1" s="1"/>
  <c r="AF179" i="1"/>
  <c r="AT179" i="1" s="1"/>
  <c r="BH179" i="1" s="1"/>
  <c r="AE179" i="1"/>
  <c r="AS179" i="1" s="1"/>
  <c r="AC179" i="1"/>
  <c r="M179" i="1"/>
  <c r="E179" i="1"/>
  <c r="D179" i="1"/>
  <c r="C179" i="1"/>
  <c r="B179" i="1"/>
  <c r="A179" i="1"/>
  <c r="BT183" i="1"/>
  <c r="AP183" i="1"/>
  <c r="BD183" i="1" s="1"/>
  <c r="BR183" i="1" s="1"/>
  <c r="AO183" i="1"/>
  <c r="BC183" i="1" s="1"/>
  <c r="BQ183" i="1" s="1"/>
  <c r="AN183" i="1"/>
  <c r="BB183" i="1" s="1"/>
  <c r="BP183" i="1" s="1"/>
  <c r="AM183" i="1"/>
  <c r="BA183" i="1" s="1"/>
  <c r="BO183" i="1" s="1"/>
  <c r="AL183" i="1"/>
  <c r="AZ183" i="1" s="1"/>
  <c r="BN183" i="1" s="1"/>
  <c r="AK183" i="1"/>
  <c r="AY183" i="1" s="1"/>
  <c r="BM183" i="1" s="1"/>
  <c r="AJ183" i="1"/>
  <c r="AX183" i="1" s="1"/>
  <c r="BL183" i="1" s="1"/>
  <c r="AI183" i="1"/>
  <c r="AW183" i="1" s="1"/>
  <c r="BK183" i="1" s="1"/>
  <c r="AH183" i="1"/>
  <c r="AV183" i="1" s="1"/>
  <c r="BJ183" i="1" s="1"/>
  <c r="AG183" i="1"/>
  <c r="AU183" i="1" s="1"/>
  <c r="BI183" i="1" s="1"/>
  <c r="AF183" i="1"/>
  <c r="AE183" i="1"/>
  <c r="AS183" i="1" s="1"/>
  <c r="AC183" i="1"/>
  <c r="M183" i="1"/>
  <c r="E183" i="1"/>
  <c r="D183" i="1"/>
  <c r="C183" i="1"/>
  <c r="B183" i="1"/>
  <c r="A183" i="1"/>
  <c r="BT182" i="1"/>
  <c r="AP182" i="1"/>
  <c r="BD182" i="1" s="1"/>
  <c r="BR182" i="1" s="1"/>
  <c r="AO182" i="1"/>
  <c r="BC182" i="1" s="1"/>
  <c r="BQ182" i="1" s="1"/>
  <c r="AN182" i="1"/>
  <c r="BB182" i="1" s="1"/>
  <c r="BP182" i="1" s="1"/>
  <c r="AM182" i="1"/>
  <c r="BA182" i="1" s="1"/>
  <c r="BO182" i="1" s="1"/>
  <c r="AL182" i="1"/>
  <c r="AZ182" i="1" s="1"/>
  <c r="BN182" i="1" s="1"/>
  <c r="AK182" i="1"/>
  <c r="AY182" i="1" s="1"/>
  <c r="BM182" i="1" s="1"/>
  <c r="AJ182" i="1"/>
  <c r="AX182" i="1" s="1"/>
  <c r="BL182" i="1" s="1"/>
  <c r="AI182" i="1"/>
  <c r="AW182" i="1" s="1"/>
  <c r="BK182" i="1" s="1"/>
  <c r="AH182" i="1"/>
  <c r="AV182" i="1" s="1"/>
  <c r="BJ182" i="1" s="1"/>
  <c r="AG182" i="1"/>
  <c r="AU182" i="1" s="1"/>
  <c r="BI182" i="1" s="1"/>
  <c r="AF182" i="1"/>
  <c r="AT182" i="1" s="1"/>
  <c r="AE182" i="1"/>
  <c r="AC182" i="1"/>
  <c r="M182" i="1"/>
  <c r="E182" i="1"/>
  <c r="D182" i="1"/>
  <c r="C182" i="1"/>
  <c r="B182" i="1"/>
  <c r="A182" i="1"/>
  <c r="BT186" i="1"/>
  <c r="AP186" i="1"/>
  <c r="BD186" i="1" s="1"/>
  <c r="BR186" i="1" s="1"/>
  <c r="AO186" i="1"/>
  <c r="BC186" i="1" s="1"/>
  <c r="BQ186" i="1" s="1"/>
  <c r="AN186" i="1"/>
  <c r="BB186" i="1" s="1"/>
  <c r="BP186" i="1" s="1"/>
  <c r="AM186" i="1"/>
  <c r="BA186" i="1" s="1"/>
  <c r="BO186" i="1" s="1"/>
  <c r="AL186" i="1"/>
  <c r="AZ186" i="1" s="1"/>
  <c r="BN186" i="1" s="1"/>
  <c r="AK186" i="1"/>
  <c r="AY186" i="1" s="1"/>
  <c r="BM186" i="1" s="1"/>
  <c r="AJ186" i="1"/>
  <c r="AX186" i="1" s="1"/>
  <c r="BL186" i="1" s="1"/>
  <c r="AI186" i="1"/>
  <c r="AW186" i="1" s="1"/>
  <c r="BK186" i="1" s="1"/>
  <c r="AH186" i="1"/>
  <c r="AV186" i="1" s="1"/>
  <c r="BJ186" i="1" s="1"/>
  <c r="AG186" i="1"/>
  <c r="AU186" i="1" s="1"/>
  <c r="BI186" i="1" s="1"/>
  <c r="AF186" i="1"/>
  <c r="AT186" i="1" s="1"/>
  <c r="BH186" i="1" s="1"/>
  <c r="AE186" i="1"/>
  <c r="AS186" i="1" s="1"/>
  <c r="AC186" i="1"/>
  <c r="M186" i="1"/>
  <c r="E186" i="1"/>
  <c r="D186" i="1"/>
  <c r="C186" i="1"/>
  <c r="B186" i="1"/>
  <c r="A186" i="1"/>
  <c r="BT185" i="1"/>
  <c r="AP185" i="1"/>
  <c r="BD185" i="1" s="1"/>
  <c r="BR185" i="1" s="1"/>
  <c r="AO185" i="1"/>
  <c r="BC185" i="1" s="1"/>
  <c r="BQ185" i="1" s="1"/>
  <c r="AN185" i="1"/>
  <c r="BB185" i="1" s="1"/>
  <c r="BP185" i="1" s="1"/>
  <c r="AM185" i="1"/>
  <c r="BA185" i="1" s="1"/>
  <c r="BO185" i="1" s="1"/>
  <c r="AL185" i="1"/>
  <c r="AZ185" i="1" s="1"/>
  <c r="BN185" i="1" s="1"/>
  <c r="AK185" i="1"/>
  <c r="AY185" i="1" s="1"/>
  <c r="BM185" i="1" s="1"/>
  <c r="AJ185" i="1"/>
  <c r="AX185" i="1" s="1"/>
  <c r="BL185" i="1" s="1"/>
  <c r="AI185" i="1"/>
  <c r="AW185" i="1" s="1"/>
  <c r="BK185" i="1" s="1"/>
  <c r="AH185" i="1"/>
  <c r="AV185" i="1" s="1"/>
  <c r="BJ185" i="1" s="1"/>
  <c r="AG185" i="1"/>
  <c r="AU185" i="1" s="1"/>
  <c r="BI185" i="1" s="1"/>
  <c r="AF185" i="1"/>
  <c r="AT185" i="1" s="1"/>
  <c r="BH185" i="1" s="1"/>
  <c r="AE185" i="1"/>
  <c r="AS185" i="1" s="1"/>
  <c r="AC185" i="1"/>
  <c r="M185" i="1"/>
  <c r="E185" i="1"/>
  <c r="D185" i="1"/>
  <c r="C185" i="1"/>
  <c r="B185" i="1"/>
  <c r="A185" i="1"/>
  <c r="BT184" i="1"/>
  <c r="AP184" i="1"/>
  <c r="BD184" i="1" s="1"/>
  <c r="BR184" i="1" s="1"/>
  <c r="AO184" i="1"/>
  <c r="BC184" i="1" s="1"/>
  <c r="BQ184" i="1" s="1"/>
  <c r="AN184" i="1"/>
  <c r="BB184" i="1" s="1"/>
  <c r="BP184" i="1" s="1"/>
  <c r="AM184" i="1"/>
  <c r="BA184" i="1" s="1"/>
  <c r="BO184" i="1" s="1"/>
  <c r="AL184" i="1"/>
  <c r="AZ184" i="1" s="1"/>
  <c r="BN184" i="1" s="1"/>
  <c r="AK184" i="1"/>
  <c r="AY184" i="1" s="1"/>
  <c r="BM184" i="1" s="1"/>
  <c r="AJ184" i="1"/>
  <c r="AX184" i="1" s="1"/>
  <c r="BL184" i="1" s="1"/>
  <c r="AI184" i="1"/>
  <c r="AW184" i="1" s="1"/>
  <c r="BK184" i="1" s="1"/>
  <c r="AH184" i="1"/>
  <c r="AV184" i="1" s="1"/>
  <c r="BJ184" i="1" s="1"/>
  <c r="AG184" i="1"/>
  <c r="AU184" i="1" s="1"/>
  <c r="BI184" i="1" s="1"/>
  <c r="AF184" i="1"/>
  <c r="AT184" i="1" s="1"/>
  <c r="BH184" i="1" s="1"/>
  <c r="AE184" i="1"/>
  <c r="AS184" i="1" s="1"/>
  <c r="AC184" i="1"/>
  <c r="M184" i="1"/>
  <c r="E184" i="1"/>
  <c r="D184" i="1"/>
  <c r="C184" i="1"/>
  <c r="B184" i="1"/>
  <c r="A184" i="1"/>
  <c r="BT187" i="1"/>
  <c r="AP187" i="1"/>
  <c r="BD187" i="1" s="1"/>
  <c r="BR187" i="1" s="1"/>
  <c r="AO187" i="1"/>
  <c r="BC187" i="1" s="1"/>
  <c r="BQ187" i="1" s="1"/>
  <c r="AN187" i="1"/>
  <c r="BB187" i="1" s="1"/>
  <c r="BP187" i="1" s="1"/>
  <c r="AM187" i="1"/>
  <c r="BA187" i="1" s="1"/>
  <c r="BO187" i="1" s="1"/>
  <c r="AL187" i="1"/>
  <c r="AZ187" i="1" s="1"/>
  <c r="BN187" i="1" s="1"/>
  <c r="AK187" i="1"/>
  <c r="AY187" i="1" s="1"/>
  <c r="BM187" i="1" s="1"/>
  <c r="AJ187" i="1"/>
  <c r="AX187" i="1" s="1"/>
  <c r="BL187" i="1" s="1"/>
  <c r="AI187" i="1"/>
  <c r="AW187" i="1" s="1"/>
  <c r="BK187" i="1" s="1"/>
  <c r="AH187" i="1"/>
  <c r="AV187" i="1" s="1"/>
  <c r="BJ187" i="1" s="1"/>
  <c r="AG187" i="1"/>
  <c r="AU187" i="1" s="1"/>
  <c r="BI187" i="1" s="1"/>
  <c r="AF187" i="1"/>
  <c r="AT187" i="1" s="1"/>
  <c r="BH187" i="1" s="1"/>
  <c r="AE187" i="1"/>
  <c r="AS187" i="1" s="1"/>
  <c r="AC187" i="1"/>
  <c r="M187" i="1"/>
  <c r="E187" i="1"/>
  <c r="D187" i="1"/>
  <c r="C187" i="1"/>
  <c r="B187" i="1"/>
  <c r="A187" i="1"/>
  <c r="BT195" i="1"/>
  <c r="AP195" i="1"/>
  <c r="AO195" i="1"/>
  <c r="AN195" i="1"/>
  <c r="AM195" i="1"/>
  <c r="AL195" i="1"/>
  <c r="AK195" i="1"/>
  <c r="AJ195" i="1"/>
  <c r="AI195" i="1"/>
  <c r="AH195" i="1"/>
  <c r="AG195" i="1"/>
  <c r="AF195" i="1"/>
  <c r="AE195" i="1"/>
  <c r="AS195" i="1" s="1"/>
  <c r="AC195" i="1"/>
  <c r="M195" i="1"/>
  <c r="E195" i="1"/>
  <c r="D195" i="1"/>
  <c r="C195" i="1"/>
  <c r="B195" i="1"/>
  <c r="A195" i="1"/>
  <c r="BT194" i="1"/>
  <c r="AP194" i="1"/>
  <c r="AO194" i="1"/>
  <c r="AN194" i="1"/>
  <c r="AM194" i="1"/>
  <c r="AL194" i="1"/>
  <c r="AK194" i="1"/>
  <c r="AJ194" i="1"/>
  <c r="AI194" i="1"/>
  <c r="AH194" i="1"/>
  <c r="AG194" i="1"/>
  <c r="AF194" i="1"/>
  <c r="AE194" i="1"/>
  <c r="AS194" i="1" s="1"/>
  <c r="AC194" i="1"/>
  <c r="M194" i="1"/>
  <c r="E194" i="1"/>
  <c r="D194" i="1"/>
  <c r="C194" i="1"/>
  <c r="B194" i="1"/>
  <c r="A194" i="1"/>
  <c r="BT193" i="1"/>
  <c r="AP193" i="1"/>
  <c r="AO193" i="1"/>
  <c r="AN193" i="1"/>
  <c r="AM193" i="1"/>
  <c r="AL193" i="1"/>
  <c r="AK193" i="1"/>
  <c r="AJ193" i="1"/>
  <c r="AI193" i="1"/>
  <c r="AH193" i="1"/>
  <c r="AG193" i="1"/>
  <c r="AF193" i="1"/>
  <c r="AE193" i="1"/>
  <c r="AS193" i="1" s="1"/>
  <c r="BG193" i="1" s="1"/>
  <c r="AC193" i="1"/>
  <c r="M193" i="1"/>
  <c r="E193" i="1"/>
  <c r="D193" i="1"/>
  <c r="C193" i="1"/>
  <c r="B193" i="1"/>
  <c r="A193" i="1"/>
  <c r="BT198" i="1"/>
  <c r="AP198" i="1"/>
  <c r="AO198" i="1"/>
  <c r="AN198" i="1"/>
  <c r="AM198" i="1"/>
  <c r="AL198" i="1"/>
  <c r="AK198" i="1"/>
  <c r="AJ198" i="1"/>
  <c r="AI198" i="1"/>
  <c r="AH198" i="1"/>
  <c r="AG198" i="1"/>
  <c r="AF198" i="1"/>
  <c r="AE198" i="1"/>
  <c r="AS198" i="1" s="1"/>
  <c r="BG198" i="1" s="1"/>
  <c r="AC198" i="1"/>
  <c r="M198" i="1"/>
  <c r="E198" i="1"/>
  <c r="D198" i="1"/>
  <c r="C198" i="1"/>
  <c r="B198" i="1"/>
  <c r="A198" i="1"/>
  <c r="BT197" i="1"/>
  <c r="AP197" i="1"/>
  <c r="AO197" i="1"/>
  <c r="AN197" i="1"/>
  <c r="AM197" i="1"/>
  <c r="AL197" i="1"/>
  <c r="AK197" i="1"/>
  <c r="AJ197" i="1"/>
  <c r="AI197" i="1"/>
  <c r="AH197" i="1"/>
  <c r="AG197" i="1"/>
  <c r="AF197" i="1"/>
  <c r="AE197" i="1"/>
  <c r="AS197" i="1" s="1"/>
  <c r="AC197" i="1"/>
  <c r="M197" i="1"/>
  <c r="E197" i="1"/>
  <c r="D197" i="1"/>
  <c r="C197" i="1"/>
  <c r="B197" i="1"/>
  <c r="A197" i="1"/>
  <c r="BT196" i="1"/>
  <c r="AP196" i="1"/>
  <c r="AO196" i="1"/>
  <c r="AN196" i="1"/>
  <c r="AM196" i="1"/>
  <c r="AL196" i="1"/>
  <c r="AK196" i="1"/>
  <c r="AJ196" i="1"/>
  <c r="AI196" i="1"/>
  <c r="AH196" i="1"/>
  <c r="AG196" i="1"/>
  <c r="AF196" i="1"/>
  <c r="AE196" i="1"/>
  <c r="AC196" i="1"/>
  <c r="M196" i="1"/>
  <c r="E196" i="1"/>
  <c r="D196" i="1"/>
  <c r="C196" i="1"/>
  <c r="B196" i="1"/>
  <c r="A196" i="1"/>
  <c r="BT200" i="1"/>
  <c r="AP200" i="1"/>
  <c r="AO200" i="1"/>
  <c r="AN200" i="1"/>
  <c r="AM200" i="1"/>
  <c r="AL200" i="1"/>
  <c r="AK200" i="1"/>
  <c r="AJ200" i="1"/>
  <c r="AI200" i="1"/>
  <c r="AH200" i="1"/>
  <c r="AG200" i="1"/>
  <c r="AF200" i="1"/>
  <c r="AE200" i="1"/>
  <c r="AS200" i="1" s="1"/>
  <c r="BG200" i="1" s="1"/>
  <c r="AC200" i="1"/>
  <c r="M200" i="1"/>
  <c r="E200" i="1"/>
  <c r="D200" i="1"/>
  <c r="C200" i="1"/>
  <c r="B200" i="1"/>
  <c r="A200" i="1"/>
  <c r="BT199" i="1"/>
  <c r="AP199" i="1"/>
  <c r="AO199" i="1"/>
  <c r="AN199" i="1"/>
  <c r="AM199" i="1"/>
  <c r="AL199" i="1"/>
  <c r="AK199" i="1"/>
  <c r="AJ199" i="1"/>
  <c r="AI199" i="1"/>
  <c r="AH199" i="1"/>
  <c r="AG199" i="1"/>
  <c r="AF199" i="1"/>
  <c r="AE199" i="1"/>
  <c r="AS199" i="1" s="1"/>
  <c r="BG199" i="1" s="1"/>
  <c r="AC199" i="1"/>
  <c r="M199" i="1"/>
  <c r="E199" i="1"/>
  <c r="D199" i="1"/>
  <c r="C199" i="1"/>
  <c r="B199" i="1"/>
  <c r="A199" i="1"/>
  <c r="BT202" i="1"/>
  <c r="AP202" i="1"/>
  <c r="BD202" i="1" s="1"/>
  <c r="BR202" i="1" s="1"/>
  <c r="AO202" i="1"/>
  <c r="BC202" i="1" s="1"/>
  <c r="BQ202" i="1" s="1"/>
  <c r="AN202" i="1"/>
  <c r="BB202" i="1" s="1"/>
  <c r="BP202" i="1" s="1"/>
  <c r="AM202" i="1"/>
  <c r="BA202" i="1" s="1"/>
  <c r="BO202" i="1" s="1"/>
  <c r="AL202" i="1"/>
  <c r="AZ202" i="1" s="1"/>
  <c r="BN202" i="1" s="1"/>
  <c r="AK202" i="1"/>
  <c r="AY202" i="1" s="1"/>
  <c r="BM202" i="1" s="1"/>
  <c r="AJ202" i="1"/>
  <c r="AX202" i="1" s="1"/>
  <c r="BL202" i="1" s="1"/>
  <c r="AI202" i="1"/>
  <c r="AW202" i="1" s="1"/>
  <c r="BK202" i="1" s="1"/>
  <c r="AH202" i="1"/>
  <c r="AV202" i="1" s="1"/>
  <c r="BJ202" i="1" s="1"/>
  <c r="AG202" i="1"/>
  <c r="AU202" i="1" s="1"/>
  <c r="BI202" i="1" s="1"/>
  <c r="AF202" i="1"/>
  <c r="AT202" i="1" s="1"/>
  <c r="BH202" i="1" s="1"/>
  <c r="AE202" i="1"/>
  <c r="AS202" i="1" s="1"/>
  <c r="AC202" i="1"/>
  <c r="M202" i="1"/>
  <c r="E202" i="1"/>
  <c r="D202" i="1"/>
  <c r="C202" i="1"/>
  <c r="B202" i="1"/>
  <c r="A202" i="1"/>
  <c r="BT201" i="1"/>
  <c r="AP201" i="1"/>
  <c r="AO201" i="1"/>
  <c r="AN201" i="1"/>
  <c r="AM201" i="1"/>
  <c r="AL201" i="1"/>
  <c r="AK201" i="1"/>
  <c r="AJ201" i="1"/>
  <c r="AI201" i="1"/>
  <c r="AH201" i="1"/>
  <c r="AG201" i="1"/>
  <c r="AF201" i="1"/>
  <c r="AE201" i="1"/>
  <c r="AS201" i="1" s="1"/>
  <c r="AC201" i="1"/>
  <c r="M201" i="1"/>
  <c r="E201" i="1"/>
  <c r="D201" i="1"/>
  <c r="C201" i="1"/>
  <c r="B201" i="1"/>
  <c r="A201" i="1"/>
  <c r="J6" i="5"/>
  <c r="AQ192" i="1" l="1"/>
  <c r="AQ179" i="1"/>
  <c r="BE179" i="1"/>
  <c r="BG179" i="1"/>
  <c r="BS179" i="1" s="1"/>
  <c r="BE192" i="1"/>
  <c r="AQ183" i="1"/>
  <c r="AT183" i="1"/>
  <c r="BH183" i="1" s="1"/>
  <c r="AQ182" i="1"/>
  <c r="AQ184" i="1"/>
  <c r="BG184" i="1"/>
  <c r="BS184" i="1" s="1"/>
  <c r="BE184" i="1"/>
  <c r="AS182" i="1"/>
  <c r="BG182" i="1" s="1"/>
  <c r="BG183" i="1"/>
  <c r="BS183" i="1" s="1"/>
  <c r="AQ191" i="1"/>
  <c r="BH182" i="1"/>
  <c r="BE191" i="1"/>
  <c r="BE190" i="1"/>
  <c r="BG181" i="1"/>
  <c r="BS181" i="1" s="1"/>
  <c r="BE181" i="1"/>
  <c r="BG176" i="1"/>
  <c r="BS176" i="1" s="1"/>
  <c r="BE176" i="1"/>
  <c r="AQ199" i="1"/>
  <c r="AQ190" i="1"/>
  <c r="AQ181" i="1"/>
  <c r="AQ176" i="1"/>
  <c r="AT199" i="1"/>
  <c r="BG180" i="1"/>
  <c r="BS180" i="1" s="1"/>
  <c r="BE180" i="1"/>
  <c r="BE189" i="1"/>
  <c r="BH189" i="1"/>
  <c r="BS189" i="1" s="1"/>
  <c r="BE175" i="1"/>
  <c r="BH175" i="1"/>
  <c r="BS175" i="1" s="1"/>
  <c r="AT198" i="1"/>
  <c r="AQ175" i="1"/>
  <c r="AQ189" i="1"/>
  <c r="AQ198" i="1"/>
  <c r="AQ180" i="1"/>
  <c r="BG188" i="1"/>
  <c r="BS188" i="1" s="1"/>
  <c r="BE188" i="1"/>
  <c r="BG202" i="1"/>
  <c r="BS202" i="1" s="1"/>
  <c r="BE202" i="1"/>
  <c r="AQ202" i="1"/>
  <c r="AQ188" i="1"/>
  <c r="AT197" i="1"/>
  <c r="BG174" i="1"/>
  <c r="BS174" i="1" s="1"/>
  <c r="BE174" i="1"/>
  <c r="BE187" i="1"/>
  <c r="BG187" i="1"/>
  <c r="BS187" i="1" s="1"/>
  <c r="AQ178" i="1"/>
  <c r="AQ187" i="1"/>
  <c r="AQ174" i="1"/>
  <c r="BE178" i="1"/>
  <c r="BG197" i="1"/>
  <c r="AT195" i="1"/>
  <c r="BG195" i="1"/>
  <c r="BG173" i="1"/>
  <c r="BS173" i="1" s="1"/>
  <c r="BE173" i="1"/>
  <c r="BG186" i="1"/>
  <c r="BS186" i="1" s="1"/>
  <c r="BE186" i="1"/>
  <c r="BG177" i="1"/>
  <c r="BS177" i="1" s="1"/>
  <c r="BE177" i="1"/>
  <c r="BG201" i="1"/>
  <c r="AQ195" i="1"/>
  <c r="AQ177" i="1"/>
  <c r="AQ197" i="1"/>
  <c r="AQ186" i="1"/>
  <c r="AQ173" i="1"/>
  <c r="AQ201" i="1"/>
  <c r="AQ193" i="1"/>
  <c r="AQ196" i="1"/>
  <c r="AQ200" i="1"/>
  <c r="AQ194" i="1"/>
  <c r="AS196" i="1"/>
  <c r="AT196" i="1" s="1"/>
  <c r="BH196" i="1" s="1"/>
  <c r="BG194" i="1"/>
  <c r="BG185" i="1"/>
  <c r="BS185" i="1" s="1"/>
  <c r="BE185" i="1"/>
  <c r="AQ185" i="1"/>
  <c r="BG172" i="1"/>
  <c r="BS172" i="1" s="1"/>
  <c r="BE172" i="1"/>
  <c r="AQ172" i="1"/>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1" i="5"/>
  <c r="J180" i="5"/>
  <c r="J179" i="5"/>
  <c r="J178" i="5"/>
  <c r="J177" i="5"/>
  <c r="J176" i="5"/>
  <c r="J175" i="5"/>
  <c r="J174" i="5"/>
  <c r="J173" i="5"/>
  <c r="J172" i="5"/>
  <c r="J161" i="5"/>
  <c r="J160" i="5"/>
  <c r="J159" i="5"/>
  <c r="J158" i="5"/>
  <c r="J157" i="5"/>
  <c r="J156" i="5"/>
  <c r="J155" i="5"/>
  <c r="J154" i="5"/>
  <c r="J153" i="5"/>
  <c r="J152" i="5"/>
  <c r="J151" i="5"/>
  <c r="J150" i="5"/>
  <c r="J149" i="5"/>
  <c r="J148" i="5"/>
  <c r="J147" i="5"/>
  <c r="J146" i="5"/>
  <c r="J145" i="5"/>
  <c r="J144" i="5"/>
  <c r="J143" i="5"/>
  <c r="J14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41" i="5"/>
  <c r="J140" i="5"/>
  <c r="J139" i="5"/>
  <c r="J138" i="5"/>
  <c r="J137" i="5"/>
  <c r="J136" i="5"/>
  <c r="J135" i="5"/>
  <c r="J134" i="5"/>
  <c r="J133" i="5"/>
  <c r="J132" i="5"/>
  <c r="J17" i="5"/>
  <c r="J16" i="5"/>
  <c r="J15" i="5"/>
  <c r="J14" i="5"/>
  <c r="J13" i="5"/>
  <c r="J186" i="5"/>
  <c r="J185" i="5"/>
  <c r="J184" i="5"/>
  <c r="J183" i="5"/>
  <c r="J182" i="5"/>
  <c r="J171" i="5"/>
  <c r="J170" i="5"/>
  <c r="J169" i="5"/>
  <c r="J168" i="5"/>
  <c r="J167" i="5"/>
  <c r="J166" i="5"/>
  <c r="J165" i="5"/>
  <c r="J164" i="5"/>
  <c r="J163" i="5"/>
  <c r="J162" i="5"/>
  <c r="J12" i="5"/>
  <c r="J11" i="5"/>
  <c r="J10" i="5"/>
  <c r="J9" i="5"/>
  <c r="J8" i="5"/>
  <c r="J7" i="5"/>
  <c r="J5" i="5"/>
  <c r="J4" i="5"/>
  <c r="J3" i="5"/>
  <c r="J2" i="5"/>
  <c r="BS182" i="1" l="1"/>
  <c r="BE182" i="1"/>
  <c r="BE183" i="1"/>
  <c r="BH199" i="1"/>
  <c r="AU199" i="1"/>
  <c r="BH198" i="1"/>
  <c r="AU198" i="1"/>
  <c r="BH197" i="1"/>
  <c r="AU197" i="1"/>
  <c r="AU196" i="1"/>
  <c r="AU195" i="1"/>
  <c r="BH195" i="1"/>
  <c r="BG196" i="1"/>
  <c r="AI5" i="1"/>
  <c r="BD328" i="1"/>
  <c r="BC328" i="1"/>
  <c r="BB328" i="1"/>
  <c r="BA328" i="1"/>
  <c r="AZ328" i="1"/>
  <c r="AY328" i="1"/>
  <c r="AX328" i="1"/>
  <c r="AW328" i="1"/>
  <c r="AV328" i="1"/>
  <c r="AU328" i="1"/>
  <c r="AS328" i="1"/>
  <c r="AC328" i="1"/>
  <c r="AC327" i="1"/>
  <c r="AC204" i="1"/>
  <c r="AC203"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9" i="1"/>
  <c r="AC8" i="1"/>
  <c r="AC6" i="1"/>
  <c r="AC5" i="1"/>
  <c r="AC11" i="1"/>
  <c r="B46" i="8"/>
  <c r="B45" i="8"/>
  <c r="B44" i="8"/>
  <c r="B43" i="8"/>
  <c r="B42" i="8"/>
  <c r="B41" i="8"/>
  <c r="C41" i="8" s="1"/>
  <c r="B40" i="8"/>
  <c r="B39" i="8"/>
  <c r="C39" i="8" s="1"/>
  <c r="B38" i="8"/>
  <c r="B37" i="8"/>
  <c r="B36" i="8"/>
  <c r="B35" i="8"/>
  <c r="AP328" i="1"/>
  <c r="AO328" i="1"/>
  <c r="AN328" i="1"/>
  <c r="AM328" i="1"/>
  <c r="AL328" i="1"/>
  <c r="AK328" i="1"/>
  <c r="AJ328" i="1"/>
  <c r="AI328" i="1"/>
  <c r="AH328" i="1"/>
  <c r="AG328" i="1"/>
  <c r="AF328" i="1"/>
  <c r="AT328" i="1" s="1"/>
  <c r="AE328" i="1"/>
  <c r="AP327" i="1"/>
  <c r="BD327" i="1" s="1"/>
  <c r="AO327" i="1"/>
  <c r="BC327" i="1" s="1"/>
  <c r="AN327" i="1"/>
  <c r="BB327" i="1" s="1"/>
  <c r="AM327" i="1"/>
  <c r="BA327" i="1" s="1"/>
  <c r="AL327" i="1"/>
  <c r="AZ327" i="1" s="1"/>
  <c r="AK327" i="1"/>
  <c r="AY327" i="1" s="1"/>
  <c r="AJ327" i="1"/>
  <c r="AX327" i="1" s="1"/>
  <c r="AI327" i="1"/>
  <c r="AW327" i="1" s="1"/>
  <c r="AH327" i="1"/>
  <c r="AV327" i="1" s="1"/>
  <c r="AG327" i="1"/>
  <c r="AU327" i="1" s="1"/>
  <c r="AF327" i="1"/>
  <c r="AT327" i="1" s="1"/>
  <c r="AE327" i="1"/>
  <c r="AS327" i="1" s="1"/>
  <c r="AP204" i="1"/>
  <c r="BD204" i="1" s="1"/>
  <c r="AO204" i="1"/>
  <c r="BC204" i="1" s="1"/>
  <c r="AN204" i="1"/>
  <c r="BB204" i="1" s="1"/>
  <c r="AM204" i="1"/>
  <c r="BA204" i="1" s="1"/>
  <c r="AL204" i="1"/>
  <c r="AZ204" i="1" s="1"/>
  <c r="AK204" i="1"/>
  <c r="AY204" i="1" s="1"/>
  <c r="AJ204" i="1"/>
  <c r="AX204" i="1" s="1"/>
  <c r="AI204" i="1"/>
  <c r="AW204" i="1" s="1"/>
  <c r="AH204" i="1"/>
  <c r="AV204" i="1" s="1"/>
  <c r="AG204" i="1"/>
  <c r="AU204" i="1" s="1"/>
  <c r="AF204" i="1"/>
  <c r="AT204" i="1" s="1"/>
  <c r="AE204" i="1"/>
  <c r="AP203" i="1"/>
  <c r="BD203" i="1" s="1"/>
  <c r="AO203" i="1"/>
  <c r="BC203" i="1" s="1"/>
  <c r="AN203" i="1"/>
  <c r="BB203" i="1" s="1"/>
  <c r="AM203" i="1"/>
  <c r="BA203" i="1" s="1"/>
  <c r="AL203" i="1"/>
  <c r="AZ203" i="1" s="1"/>
  <c r="AK203" i="1"/>
  <c r="AJ203" i="1"/>
  <c r="AX203" i="1" s="1"/>
  <c r="AI203" i="1"/>
  <c r="AW203" i="1" s="1"/>
  <c r="AH203" i="1"/>
  <c r="AV203" i="1" s="1"/>
  <c r="AG203" i="1"/>
  <c r="AU203" i="1" s="1"/>
  <c r="AF203" i="1"/>
  <c r="AT203" i="1" s="1"/>
  <c r="AE203" i="1"/>
  <c r="AS203" i="1" s="1"/>
  <c r="AP171" i="1"/>
  <c r="BD171" i="1" s="1"/>
  <c r="AO171" i="1"/>
  <c r="BC171" i="1" s="1"/>
  <c r="AN171" i="1"/>
  <c r="BB171" i="1" s="1"/>
  <c r="AM171" i="1"/>
  <c r="BA171" i="1" s="1"/>
  <c r="AL171" i="1"/>
  <c r="AZ171" i="1" s="1"/>
  <c r="AK171" i="1"/>
  <c r="AY171" i="1" s="1"/>
  <c r="AJ171" i="1"/>
  <c r="AX171" i="1" s="1"/>
  <c r="AI171" i="1"/>
  <c r="AW171" i="1" s="1"/>
  <c r="AH171" i="1"/>
  <c r="AV171" i="1" s="1"/>
  <c r="AG171" i="1"/>
  <c r="AU171" i="1" s="1"/>
  <c r="AF171" i="1"/>
  <c r="AT171" i="1" s="1"/>
  <c r="AE171" i="1"/>
  <c r="AS171" i="1" s="1"/>
  <c r="AP170" i="1"/>
  <c r="BD170" i="1" s="1"/>
  <c r="AO170" i="1"/>
  <c r="BC170" i="1" s="1"/>
  <c r="AN170" i="1"/>
  <c r="BB170" i="1" s="1"/>
  <c r="AM170" i="1"/>
  <c r="BA170" i="1" s="1"/>
  <c r="AL170" i="1"/>
  <c r="AZ170" i="1" s="1"/>
  <c r="AK170" i="1"/>
  <c r="AY170" i="1" s="1"/>
  <c r="AJ170" i="1"/>
  <c r="AI170" i="1"/>
  <c r="AW170" i="1" s="1"/>
  <c r="AH170" i="1"/>
  <c r="AV170" i="1" s="1"/>
  <c r="AG170" i="1"/>
  <c r="AU170" i="1" s="1"/>
  <c r="AF170" i="1"/>
  <c r="AT170" i="1" s="1"/>
  <c r="AE170" i="1"/>
  <c r="AS170" i="1" s="1"/>
  <c r="AP169" i="1"/>
  <c r="BD169" i="1" s="1"/>
  <c r="AO169" i="1"/>
  <c r="BC169" i="1" s="1"/>
  <c r="AN169" i="1"/>
  <c r="BB169" i="1" s="1"/>
  <c r="AM169" i="1"/>
  <c r="BA169" i="1" s="1"/>
  <c r="AL169" i="1"/>
  <c r="AZ169" i="1" s="1"/>
  <c r="AK169" i="1"/>
  <c r="AY169" i="1" s="1"/>
  <c r="AJ169" i="1"/>
  <c r="AX169" i="1" s="1"/>
  <c r="AI169" i="1"/>
  <c r="AW169" i="1" s="1"/>
  <c r="AH169" i="1"/>
  <c r="AV169" i="1" s="1"/>
  <c r="AG169" i="1"/>
  <c r="AU169" i="1" s="1"/>
  <c r="AF169" i="1"/>
  <c r="AT169" i="1" s="1"/>
  <c r="AE169" i="1"/>
  <c r="AP168" i="1"/>
  <c r="BD168" i="1" s="1"/>
  <c r="AO168" i="1"/>
  <c r="BC168" i="1" s="1"/>
  <c r="AN168" i="1"/>
  <c r="BB168" i="1" s="1"/>
  <c r="AM168" i="1"/>
  <c r="BA168" i="1" s="1"/>
  <c r="AL168" i="1"/>
  <c r="AZ168" i="1" s="1"/>
  <c r="AK168" i="1"/>
  <c r="AY168" i="1" s="1"/>
  <c r="AJ168" i="1"/>
  <c r="AX168" i="1" s="1"/>
  <c r="AI168" i="1"/>
  <c r="AW168" i="1" s="1"/>
  <c r="AH168" i="1"/>
  <c r="AV168" i="1" s="1"/>
  <c r="AG168" i="1"/>
  <c r="AF168" i="1"/>
  <c r="AT168" i="1" s="1"/>
  <c r="AE168" i="1"/>
  <c r="AS168" i="1" s="1"/>
  <c r="AP167" i="1"/>
  <c r="BD167" i="1" s="1"/>
  <c r="AO167" i="1"/>
  <c r="BC167" i="1" s="1"/>
  <c r="AN167" i="1"/>
  <c r="BB167" i="1" s="1"/>
  <c r="AM167" i="1"/>
  <c r="BA167" i="1" s="1"/>
  <c r="AL167" i="1"/>
  <c r="AZ167" i="1" s="1"/>
  <c r="AK167" i="1"/>
  <c r="AY167" i="1" s="1"/>
  <c r="AJ167" i="1"/>
  <c r="AX167" i="1" s="1"/>
  <c r="AI167" i="1"/>
  <c r="AW167" i="1" s="1"/>
  <c r="AH167" i="1"/>
  <c r="AV167" i="1" s="1"/>
  <c r="AG167" i="1"/>
  <c r="AU167" i="1" s="1"/>
  <c r="AF167" i="1"/>
  <c r="AT167" i="1" s="1"/>
  <c r="AE167" i="1"/>
  <c r="AP166" i="1"/>
  <c r="BD166" i="1" s="1"/>
  <c r="AO166" i="1"/>
  <c r="BC166" i="1" s="1"/>
  <c r="AN166" i="1"/>
  <c r="BB166" i="1" s="1"/>
  <c r="AM166" i="1"/>
  <c r="BA166" i="1" s="1"/>
  <c r="AL166" i="1"/>
  <c r="AZ166" i="1" s="1"/>
  <c r="AK166" i="1"/>
  <c r="AY166" i="1" s="1"/>
  <c r="AJ166" i="1"/>
  <c r="AX166" i="1" s="1"/>
  <c r="AI166" i="1"/>
  <c r="AW166" i="1" s="1"/>
  <c r="AH166" i="1"/>
  <c r="AV166" i="1" s="1"/>
  <c r="AG166" i="1"/>
  <c r="AU166" i="1" s="1"/>
  <c r="AF166" i="1"/>
  <c r="AT166" i="1" s="1"/>
  <c r="AE166" i="1"/>
  <c r="AS166" i="1" s="1"/>
  <c r="AP165" i="1"/>
  <c r="BD165" i="1" s="1"/>
  <c r="AO165" i="1"/>
  <c r="BC165" i="1" s="1"/>
  <c r="AN165" i="1"/>
  <c r="BB165" i="1" s="1"/>
  <c r="AM165" i="1"/>
  <c r="BA165" i="1" s="1"/>
  <c r="AL165" i="1"/>
  <c r="AZ165" i="1" s="1"/>
  <c r="AK165" i="1"/>
  <c r="AY165" i="1" s="1"/>
  <c r="AJ165" i="1"/>
  <c r="AX165" i="1" s="1"/>
  <c r="AI165" i="1"/>
  <c r="AW165" i="1" s="1"/>
  <c r="AH165" i="1"/>
  <c r="AV165" i="1" s="1"/>
  <c r="AG165" i="1"/>
  <c r="AU165" i="1" s="1"/>
  <c r="AF165" i="1"/>
  <c r="AT165" i="1" s="1"/>
  <c r="AE165" i="1"/>
  <c r="AS165" i="1" s="1"/>
  <c r="AP164" i="1"/>
  <c r="BD164" i="1" s="1"/>
  <c r="AO164" i="1"/>
  <c r="BC164" i="1" s="1"/>
  <c r="AN164" i="1"/>
  <c r="BB164" i="1" s="1"/>
  <c r="AM164" i="1"/>
  <c r="BA164" i="1" s="1"/>
  <c r="AL164" i="1"/>
  <c r="AZ164" i="1" s="1"/>
  <c r="AK164" i="1"/>
  <c r="AY164" i="1" s="1"/>
  <c r="AJ164" i="1"/>
  <c r="AX164" i="1" s="1"/>
  <c r="AI164" i="1"/>
  <c r="AW164" i="1" s="1"/>
  <c r="AH164" i="1"/>
  <c r="AG164" i="1"/>
  <c r="AU164" i="1" s="1"/>
  <c r="AF164" i="1"/>
  <c r="AT164" i="1" s="1"/>
  <c r="AE164" i="1"/>
  <c r="AS164" i="1" s="1"/>
  <c r="AP163" i="1"/>
  <c r="BD163" i="1" s="1"/>
  <c r="AO163" i="1"/>
  <c r="BC163" i="1" s="1"/>
  <c r="AN163" i="1"/>
  <c r="BB163" i="1" s="1"/>
  <c r="AM163" i="1"/>
  <c r="BA163" i="1" s="1"/>
  <c r="AL163" i="1"/>
  <c r="AZ163" i="1" s="1"/>
  <c r="AK163" i="1"/>
  <c r="AY163" i="1" s="1"/>
  <c r="AJ163" i="1"/>
  <c r="AX163" i="1" s="1"/>
  <c r="AI163" i="1"/>
  <c r="AW163" i="1" s="1"/>
  <c r="AH163" i="1"/>
  <c r="AV163" i="1" s="1"/>
  <c r="AG163" i="1"/>
  <c r="AU163" i="1" s="1"/>
  <c r="AF163" i="1"/>
  <c r="AT163" i="1" s="1"/>
  <c r="AE163" i="1"/>
  <c r="AP162" i="1"/>
  <c r="BD162" i="1" s="1"/>
  <c r="AO162" i="1"/>
  <c r="BC162" i="1" s="1"/>
  <c r="AN162" i="1"/>
  <c r="BB162" i="1" s="1"/>
  <c r="AM162" i="1"/>
  <c r="BA162" i="1" s="1"/>
  <c r="AL162" i="1"/>
  <c r="AZ162" i="1" s="1"/>
  <c r="AK162" i="1"/>
  <c r="AY162" i="1" s="1"/>
  <c r="AJ162" i="1"/>
  <c r="AX162" i="1" s="1"/>
  <c r="AI162" i="1"/>
  <c r="AW162" i="1" s="1"/>
  <c r="AH162" i="1"/>
  <c r="AV162" i="1" s="1"/>
  <c r="AG162" i="1"/>
  <c r="AU162" i="1" s="1"/>
  <c r="AF162" i="1"/>
  <c r="AT162" i="1" s="1"/>
  <c r="AE162" i="1"/>
  <c r="AS162" i="1" s="1"/>
  <c r="AP161" i="1"/>
  <c r="BD161" i="1" s="1"/>
  <c r="AO161" i="1"/>
  <c r="BC161" i="1" s="1"/>
  <c r="AN161" i="1"/>
  <c r="BB161" i="1" s="1"/>
  <c r="AM161" i="1"/>
  <c r="BA161" i="1" s="1"/>
  <c r="AL161" i="1"/>
  <c r="AZ161" i="1" s="1"/>
  <c r="AK161" i="1"/>
  <c r="AY161" i="1" s="1"/>
  <c r="AJ161" i="1"/>
  <c r="AX161" i="1" s="1"/>
  <c r="AI161" i="1"/>
  <c r="AW161" i="1" s="1"/>
  <c r="AH161" i="1"/>
  <c r="AV161" i="1" s="1"/>
  <c r="AG161" i="1"/>
  <c r="AU161" i="1" s="1"/>
  <c r="AF161" i="1"/>
  <c r="AT161" i="1" s="1"/>
  <c r="AE161" i="1"/>
  <c r="AS161" i="1" s="1"/>
  <c r="AP160" i="1"/>
  <c r="BD160" i="1" s="1"/>
  <c r="AO160" i="1"/>
  <c r="BC160" i="1" s="1"/>
  <c r="AN160" i="1"/>
  <c r="BB160" i="1" s="1"/>
  <c r="AM160" i="1"/>
  <c r="BA160" i="1" s="1"/>
  <c r="AL160" i="1"/>
  <c r="AZ160" i="1" s="1"/>
  <c r="AK160" i="1"/>
  <c r="AY160" i="1" s="1"/>
  <c r="AJ160" i="1"/>
  <c r="AX160" i="1" s="1"/>
  <c r="AI160" i="1"/>
  <c r="AW160" i="1" s="1"/>
  <c r="AH160" i="1"/>
  <c r="AV160" i="1" s="1"/>
  <c r="AG160" i="1"/>
  <c r="AU160" i="1" s="1"/>
  <c r="AF160" i="1"/>
  <c r="AT160" i="1" s="1"/>
  <c r="AE160" i="1"/>
  <c r="AP159" i="1"/>
  <c r="BD159" i="1" s="1"/>
  <c r="AO159" i="1"/>
  <c r="BC159" i="1" s="1"/>
  <c r="AN159" i="1"/>
  <c r="BB159" i="1" s="1"/>
  <c r="AM159" i="1"/>
  <c r="BA159" i="1" s="1"/>
  <c r="AL159" i="1"/>
  <c r="AZ159" i="1" s="1"/>
  <c r="AK159" i="1"/>
  <c r="AY159" i="1" s="1"/>
  <c r="AJ159" i="1"/>
  <c r="AX159" i="1" s="1"/>
  <c r="AI159" i="1"/>
  <c r="AW159" i="1" s="1"/>
  <c r="AH159" i="1"/>
  <c r="AV159" i="1" s="1"/>
  <c r="AG159" i="1"/>
  <c r="AU159" i="1" s="1"/>
  <c r="AF159" i="1"/>
  <c r="AT159" i="1" s="1"/>
  <c r="AE159" i="1"/>
  <c r="AS159" i="1" s="1"/>
  <c r="AP158" i="1"/>
  <c r="BD158" i="1" s="1"/>
  <c r="AO158" i="1"/>
  <c r="BC158" i="1" s="1"/>
  <c r="AN158" i="1"/>
  <c r="BB158" i="1" s="1"/>
  <c r="AM158" i="1"/>
  <c r="BA158" i="1" s="1"/>
  <c r="AL158" i="1"/>
  <c r="AZ158" i="1" s="1"/>
  <c r="AK158" i="1"/>
  <c r="AY158" i="1" s="1"/>
  <c r="AJ158" i="1"/>
  <c r="AX158" i="1" s="1"/>
  <c r="AI158" i="1"/>
  <c r="AW158" i="1" s="1"/>
  <c r="AH158" i="1"/>
  <c r="AV158" i="1" s="1"/>
  <c r="AG158" i="1"/>
  <c r="AU158" i="1" s="1"/>
  <c r="AF158" i="1"/>
  <c r="AT158" i="1" s="1"/>
  <c r="AE158" i="1"/>
  <c r="AS158" i="1" s="1"/>
  <c r="AP157" i="1"/>
  <c r="BD157" i="1" s="1"/>
  <c r="AO157" i="1"/>
  <c r="BC157" i="1" s="1"/>
  <c r="AN157" i="1"/>
  <c r="BB157" i="1" s="1"/>
  <c r="AM157" i="1"/>
  <c r="BA157" i="1" s="1"/>
  <c r="AL157" i="1"/>
  <c r="AZ157" i="1" s="1"/>
  <c r="AK157" i="1"/>
  <c r="AY157" i="1" s="1"/>
  <c r="AJ157" i="1"/>
  <c r="AX157" i="1" s="1"/>
  <c r="AI157" i="1"/>
  <c r="AW157" i="1" s="1"/>
  <c r="AH157" i="1"/>
  <c r="AV157" i="1" s="1"/>
  <c r="AG157" i="1"/>
  <c r="AU157" i="1" s="1"/>
  <c r="AF157" i="1"/>
  <c r="AT157" i="1" s="1"/>
  <c r="AE157" i="1"/>
  <c r="AP156" i="1"/>
  <c r="BD156" i="1" s="1"/>
  <c r="AO156" i="1"/>
  <c r="BC156" i="1" s="1"/>
  <c r="AN156" i="1"/>
  <c r="BB156" i="1" s="1"/>
  <c r="AM156" i="1"/>
  <c r="BA156" i="1" s="1"/>
  <c r="AL156" i="1"/>
  <c r="AZ156" i="1" s="1"/>
  <c r="AK156" i="1"/>
  <c r="AY156" i="1" s="1"/>
  <c r="AJ156" i="1"/>
  <c r="AX156" i="1" s="1"/>
  <c r="AI156" i="1"/>
  <c r="AW156" i="1" s="1"/>
  <c r="AH156" i="1"/>
  <c r="AV156" i="1" s="1"/>
  <c r="AG156" i="1"/>
  <c r="AU156" i="1" s="1"/>
  <c r="AF156" i="1"/>
  <c r="AT156" i="1" s="1"/>
  <c r="AE156" i="1"/>
  <c r="AP155" i="1"/>
  <c r="BD155" i="1" s="1"/>
  <c r="AO155" i="1"/>
  <c r="BC155" i="1" s="1"/>
  <c r="AN155" i="1"/>
  <c r="BB155" i="1" s="1"/>
  <c r="AM155" i="1"/>
  <c r="BA155" i="1" s="1"/>
  <c r="AL155" i="1"/>
  <c r="AZ155" i="1" s="1"/>
  <c r="AK155" i="1"/>
  <c r="AY155" i="1" s="1"/>
  <c r="AJ155" i="1"/>
  <c r="AX155" i="1" s="1"/>
  <c r="AI155" i="1"/>
  <c r="AW155" i="1" s="1"/>
  <c r="AH155" i="1"/>
  <c r="AV155" i="1" s="1"/>
  <c r="AG155" i="1"/>
  <c r="AU155" i="1" s="1"/>
  <c r="AF155" i="1"/>
  <c r="AT155" i="1" s="1"/>
  <c r="AE155" i="1"/>
  <c r="AS155" i="1" s="1"/>
  <c r="AP154" i="1"/>
  <c r="BD154" i="1" s="1"/>
  <c r="AO154" i="1"/>
  <c r="BC154" i="1" s="1"/>
  <c r="AN154" i="1"/>
  <c r="BB154" i="1" s="1"/>
  <c r="AM154" i="1"/>
  <c r="BA154" i="1" s="1"/>
  <c r="AL154" i="1"/>
  <c r="AZ154" i="1" s="1"/>
  <c r="AK154" i="1"/>
  <c r="AY154" i="1" s="1"/>
  <c r="AJ154" i="1"/>
  <c r="AX154" i="1" s="1"/>
  <c r="AI154" i="1"/>
  <c r="AW154" i="1" s="1"/>
  <c r="AH154" i="1"/>
  <c r="AV154" i="1" s="1"/>
  <c r="AG154" i="1"/>
  <c r="AU154" i="1" s="1"/>
  <c r="AF154" i="1"/>
  <c r="AT154" i="1" s="1"/>
  <c r="AE154" i="1"/>
  <c r="AP153" i="1"/>
  <c r="BD153" i="1" s="1"/>
  <c r="AO153" i="1"/>
  <c r="BC153" i="1" s="1"/>
  <c r="AN153" i="1"/>
  <c r="BB153" i="1" s="1"/>
  <c r="AM153" i="1"/>
  <c r="BA153" i="1" s="1"/>
  <c r="AL153" i="1"/>
  <c r="AZ153" i="1" s="1"/>
  <c r="AK153" i="1"/>
  <c r="AY153" i="1" s="1"/>
  <c r="AJ153" i="1"/>
  <c r="AX153" i="1" s="1"/>
  <c r="AI153" i="1"/>
  <c r="AW153" i="1" s="1"/>
  <c r="AH153" i="1"/>
  <c r="AV153" i="1" s="1"/>
  <c r="AG153" i="1"/>
  <c r="AU153" i="1" s="1"/>
  <c r="AF153" i="1"/>
  <c r="AT153" i="1" s="1"/>
  <c r="AE153" i="1"/>
  <c r="AP152" i="1"/>
  <c r="BD152" i="1" s="1"/>
  <c r="AO152" i="1"/>
  <c r="BC152" i="1" s="1"/>
  <c r="AN152" i="1"/>
  <c r="BB152" i="1" s="1"/>
  <c r="AM152" i="1"/>
  <c r="BA152" i="1" s="1"/>
  <c r="AL152" i="1"/>
  <c r="AZ152" i="1" s="1"/>
  <c r="AK152" i="1"/>
  <c r="AY152" i="1" s="1"/>
  <c r="AJ152" i="1"/>
  <c r="AX152" i="1" s="1"/>
  <c r="AI152" i="1"/>
  <c r="AW152" i="1" s="1"/>
  <c r="AH152" i="1"/>
  <c r="AV152" i="1" s="1"/>
  <c r="AG152" i="1"/>
  <c r="AU152" i="1" s="1"/>
  <c r="AF152" i="1"/>
  <c r="AT152" i="1" s="1"/>
  <c r="AE152" i="1"/>
  <c r="AS152" i="1" s="1"/>
  <c r="AP151" i="1"/>
  <c r="BD151" i="1" s="1"/>
  <c r="AO151" i="1"/>
  <c r="BC151" i="1" s="1"/>
  <c r="AN151" i="1"/>
  <c r="BB151" i="1" s="1"/>
  <c r="AM151" i="1"/>
  <c r="BA151" i="1" s="1"/>
  <c r="AL151" i="1"/>
  <c r="AZ151" i="1" s="1"/>
  <c r="AK151" i="1"/>
  <c r="AY151" i="1" s="1"/>
  <c r="AJ151" i="1"/>
  <c r="AX151" i="1" s="1"/>
  <c r="AI151" i="1"/>
  <c r="AW151" i="1" s="1"/>
  <c r="AH151" i="1"/>
  <c r="AV151" i="1" s="1"/>
  <c r="AG151" i="1"/>
  <c r="AU151" i="1" s="1"/>
  <c r="AF151" i="1"/>
  <c r="AT151" i="1" s="1"/>
  <c r="AE151" i="1"/>
  <c r="AS151" i="1" s="1"/>
  <c r="AP150" i="1"/>
  <c r="BD150" i="1" s="1"/>
  <c r="AO150" i="1"/>
  <c r="BC150" i="1" s="1"/>
  <c r="AN150" i="1"/>
  <c r="BB150" i="1" s="1"/>
  <c r="AM150" i="1"/>
  <c r="BA150" i="1" s="1"/>
  <c r="AL150" i="1"/>
  <c r="AZ150" i="1" s="1"/>
  <c r="AK150" i="1"/>
  <c r="AY150" i="1" s="1"/>
  <c r="AJ150" i="1"/>
  <c r="AX150" i="1" s="1"/>
  <c r="AI150" i="1"/>
  <c r="AW150" i="1" s="1"/>
  <c r="AH150" i="1"/>
  <c r="AV150" i="1" s="1"/>
  <c r="AG150" i="1"/>
  <c r="AU150" i="1" s="1"/>
  <c r="AF150" i="1"/>
  <c r="AT150" i="1" s="1"/>
  <c r="AE150" i="1"/>
  <c r="AP149" i="1"/>
  <c r="BD149" i="1" s="1"/>
  <c r="AO149" i="1"/>
  <c r="BC149" i="1" s="1"/>
  <c r="AN149" i="1"/>
  <c r="BB149" i="1" s="1"/>
  <c r="AM149" i="1"/>
  <c r="BA149" i="1" s="1"/>
  <c r="AL149" i="1"/>
  <c r="AZ149" i="1" s="1"/>
  <c r="AK149" i="1"/>
  <c r="AY149" i="1" s="1"/>
  <c r="AJ149" i="1"/>
  <c r="AX149" i="1" s="1"/>
  <c r="AI149" i="1"/>
  <c r="AW149" i="1" s="1"/>
  <c r="AH149" i="1"/>
  <c r="AV149" i="1" s="1"/>
  <c r="AG149" i="1"/>
  <c r="AU149" i="1" s="1"/>
  <c r="AF149" i="1"/>
  <c r="AT149" i="1" s="1"/>
  <c r="AE149" i="1"/>
  <c r="AS149" i="1" s="1"/>
  <c r="AP148" i="1"/>
  <c r="BD148" i="1" s="1"/>
  <c r="AO148" i="1"/>
  <c r="BC148" i="1" s="1"/>
  <c r="AN148" i="1"/>
  <c r="BB148" i="1" s="1"/>
  <c r="AM148" i="1"/>
  <c r="BA148" i="1" s="1"/>
  <c r="AL148" i="1"/>
  <c r="AZ148" i="1" s="1"/>
  <c r="AK148" i="1"/>
  <c r="AY148" i="1" s="1"/>
  <c r="AJ148" i="1"/>
  <c r="AX148" i="1" s="1"/>
  <c r="AI148" i="1"/>
  <c r="AW148" i="1" s="1"/>
  <c r="AH148" i="1"/>
  <c r="AV148" i="1" s="1"/>
  <c r="AG148" i="1"/>
  <c r="AU148" i="1" s="1"/>
  <c r="AF148" i="1"/>
  <c r="AT148" i="1" s="1"/>
  <c r="AE148" i="1"/>
  <c r="AP147" i="1"/>
  <c r="BD147" i="1" s="1"/>
  <c r="AO147" i="1"/>
  <c r="BC147" i="1" s="1"/>
  <c r="AN147" i="1"/>
  <c r="BB147" i="1" s="1"/>
  <c r="AM147" i="1"/>
  <c r="BA147" i="1" s="1"/>
  <c r="AL147" i="1"/>
  <c r="AZ147" i="1" s="1"/>
  <c r="AK147" i="1"/>
  <c r="AY147" i="1" s="1"/>
  <c r="AJ147" i="1"/>
  <c r="AX147" i="1" s="1"/>
  <c r="AI147" i="1"/>
  <c r="AW147" i="1" s="1"/>
  <c r="AH147" i="1"/>
  <c r="AV147" i="1" s="1"/>
  <c r="AG147" i="1"/>
  <c r="AU147" i="1" s="1"/>
  <c r="AF147" i="1"/>
  <c r="AT147" i="1" s="1"/>
  <c r="AE147" i="1"/>
  <c r="AS147" i="1" s="1"/>
  <c r="AP146" i="1"/>
  <c r="BD146" i="1" s="1"/>
  <c r="AO146" i="1"/>
  <c r="BC146" i="1" s="1"/>
  <c r="AN146" i="1"/>
  <c r="BB146" i="1" s="1"/>
  <c r="AM146" i="1"/>
  <c r="BA146" i="1" s="1"/>
  <c r="AL146" i="1"/>
  <c r="AZ146" i="1" s="1"/>
  <c r="AK146" i="1"/>
  <c r="AY146" i="1" s="1"/>
  <c r="AJ146" i="1"/>
  <c r="AX146" i="1" s="1"/>
  <c r="AI146" i="1"/>
  <c r="AW146" i="1" s="1"/>
  <c r="AH146" i="1"/>
  <c r="AV146" i="1" s="1"/>
  <c r="AG146" i="1"/>
  <c r="AU146" i="1" s="1"/>
  <c r="AF146" i="1"/>
  <c r="AT146" i="1" s="1"/>
  <c r="AE146" i="1"/>
  <c r="AP145" i="1"/>
  <c r="BD145" i="1" s="1"/>
  <c r="AO145" i="1"/>
  <c r="BC145" i="1" s="1"/>
  <c r="AN145" i="1"/>
  <c r="BB145" i="1" s="1"/>
  <c r="AM145" i="1"/>
  <c r="BA145" i="1" s="1"/>
  <c r="AL145" i="1"/>
  <c r="AZ145" i="1" s="1"/>
  <c r="AK145" i="1"/>
  <c r="AY145" i="1" s="1"/>
  <c r="AJ145" i="1"/>
  <c r="AX145" i="1" s="1"/>
  <c r="AI145" i="1"/>
  <c r="AW145" i="1" s="1"/>
  <c r="AH145" i="1"/>
  <c r="AV145" i="1" s="1"/>
  <c r="AG145" i="1"/>
  <c r="AU145" i="1" s="1"/>
  <c r="AF145" i="1"/>
  <c r="AT145" i="1" s="1"/>
  <c r="AE145" i="1"/>
  <c r="AS145" i="1" s="1"/>
  <c r="AP144" i="1"/>
  <c r="BD144" i="1" s="1"/>
  <c r="AO144" i="1"/>
  <c r="BC144" i="1" s="1"/>
  <c r="AN144" i="1"/>
  <c r="BB144" i="1" s="1"/>
  <c r="AM144" i="1"/>
  <c r="BA144" i="1" s="1"/>
  <c r="AL144" i="1"/>
  <c r="AZ144" i="1" s="1"/>
  <c r="AK144" i="1"/>
  <c r="AY144" i="1" s="1"/>
  <c r="AJ144" i="1"/>
  <c r="AX144" i="1" s="1"/>
  <c r="AI144" i="1"/>
  <c r="AW144" i="1" s="1"/>
  <c r="AH144" i="1"/>
  <c r="AV144" i="1" s="1"/>
  <c r="AG144" i="1"/>
  <c r="AU144" i="1" s="1"/>
  <c r="AF144" i="1"/>
  <c r="AT144" i="1" s="1"/>
  <c r="AE144" i="1"/>
  <c r="AS144" i="1" s="1"/>
  <c r="AP143" i="1"/>
  <c r="BD143" i="1" s="1"/>
  <c r="AO143" i="1"/>
  <c r="BC143" i="1" s="1"/>
  <c r="AN143" i="1"/>
  <c r="BB143" i="1" s="1"/>
  <c r="AM143" i="1"/>
  <c r="BA143" i="1" s="1"/>
  <c r="AL143" i="1"/>
  <c r="AZ143" i="1" s="1"/>
  <c r="AK143" i="1"/>
  <c r="AY143" i="1" s="1"/>
  <c r="AJ143" i="1"/>
  <c r="AX143" i="1" s="1"/>
  <c r="AI143" i="1"/>
  <c r="AW143" i="1" s="1"/>
  <c r="AH143" i="1"/>
  <c r="AV143" i="1" s="1"/>
  <c r="AG143" i="1"/>
  <c r="AU143" i="1" s="1"/>
  <c r="AF143" i="1"/>
  <c r="AT143" i="1" s="1"/>
  <c r="AE143" i="1"/>
  <c r="AS143" i="1" s="1"/>
  <c r="AP142" i="1"/>
  <c r="BD142" i="1" s="1"/>
  <c r="AO142" i="1"/>
  <c r="BC142" i="1" s="1"/>
  <c r="AN142" i="1"/>
  <c r="BB142" i="1" s="1"/>
  <c r="AM142" i="1"/>
  <c r="BA142" i="1" s="1"/>
  <c r="AL142" i="1"/>
  <c r="AZ142" i="1" s="1"/>
  <c r="AK142" i="1"/>
  <c r="AY142" i="1" s="1"/>
  <c r="AJ142" i="1"/>
  <c r="AX142" i="1" s="1"/>
  <c r="AI142" i="1"/>
  <c r="AW142" i="1" s="1"/>
  <c r="AH142" i="1"/>
  <c r="AV142" i="1" s="1"/>
  <c r="AG142" i="1"/>
  <c r="AU142" i="1" s="1"/>
  <c r="AF142" i="1"/>
  <c r="AT142" i="1" s="1"/>
  <c r="AE142" i="1"/>
  <c r="AP141" i="1"/>
  <c r="BD141" i="1" s="1"/>
  <c r="AO141" i="1"/>
  <c r="BC141" i="1" s="1"/>
  <c r="AN141" i="1"/>
  <c r="BB141" i="1" s="1"/>
  <c r="AM141" i="1"/>
  <c r="BA141" i="1" s="1"/>
  <c r="AL141" i="1"/>
  <c r="AZ141" i="1" s="1"/>
  <c r="AK141" i="1"/>
  <c r="AY141" i="1" s="1"/>
  <c r="AJ141" i="1"/>
  <c r="AX141" i="1" s="1"/>
  <c r="AI141" i="1"/>
  <c r="AW141" i="1" s="1"/>
  <c r="AH141" i="1"/>
  <c r="AV141" i="1" s="1"/>
  <c r="AG141" i="1"/>
  <c r="AU141" i="1" s="1"/>
  <c r="AF141" i="1"/>
  <c r="AT141" i="1" s="1"/>
  <c r="AE141" i="1"/>
  <c r="AS141" i="1" s="1"/>
  <c r="AP140" i="1"/>
  <c r="AO140" i="1"/>
  <c r="AN140" i="1"/>
  <c r="AM140" i="1"/>
  <c r="AL140" i="1"/>
  <c r="AK140" i="1"/>
  <c r="AJ140" i="1"/>
  <c r="AI140" i="1"/>
  <c r="AH140" i="1"/>
  <c r="AG140" i="1"/>
  <c r="AF140" i="1"/>
  <c r="AE140" i="1"/>
  <c r="AS140" i="1" s="1"/>
  <c r="AP139" i="1"/>
  <c r="AO139" i="1"/>
  <c r="AN139" i="1"/>
  <c r="AM139" i="1"/>
  <c r="AL139" i="1"/>
  <c r="AK139" i="1"/>
  <c r="AJ139" i="1"/>
  <c r="AI139" i="1"/>
  <c r="AH139" i="1"/>
  <c r="AG139" i="1"/>
  <c r="AF139" i="1"/>
  <c r="AE139" i="1"/>
  <c r="AS139" i="1" s="1"/>
  <c r="AP138" i="1"/>
  <c r="AO138" i="1"/>
  <c r="AN138" i="1"/>
  <c r="AM138" i="1"/>
  <c r="AL138" i="1"/>
  <c r="AK138" i="1"/>
  <c r="AJ138" i="1"/>
  <c r="AI138" i="1"/>
  <c r="AH138" i="1"/>
  <c r="AG138" i="1"/>
  <c r="AF138" i="1"/>
  <c r="AE138" i="1"/>
  <c r="AS138" i="1" s="1"/>
  <c r="AP137" i="1"/>
  <c r="AO137" i="1"/>
  <c r="AN137" i="1"/>
  <c r="AM137" i="1"/>
  <c r="AL137" i="1"/>
  <c r="AK137" i="1"/>
  <c r="AJ137" i="1"/>
  <c r="AI137" i="1"/>
  <c r="AH137" i="1"/>
  <c r="AG137" i="1"/>
  <c r="AF137" i="1"/>
  <c r="AE137" i="1"/>
  <c r="AP136" i="1"/>
  <c r="AO136" i="1"/>
  <c r="AN136" i="1"/>
  <c r="AM136" i="1"/>
  <c r="AL136" i="1"/>
  <c r="AK136" i="1"/>
  <c r="AJ136" i="1"/>
  <c r="AI136" i="1"/>
  <c r="AH136" i="1"/>
  <c r="AG136" i="1"/>
  <c r="AF136" i="1"/>
  <c r="AE136" i="1"/>
  <c r="AS136" i="1" s="1"/>
  <c r="AP135" i="1"/>
  <c r="AO135" i="1"/>
  <c r="AN135" i="1"/>
  <c r="AM135" i="1"/>
  <c r="AL135" i="1"/>
  <c r="AK135" i="1"/>
  <c r="AJ135" i="1"/>
  <c r="AI135" i="1"/>
  <c r="AH135" i="1"/>
  <c r="AG135" i="1"/>
  <c r="AF135" i="1"/>
  <c r="AE135" i="1"/>
  <c r="AP134" i="1"/>
  <c r="AO134" i="1"/>
  <c r="AN134" i="1"/>
  <c r="AM134" i="1"/>
  <c r="AL134" i="1"/>
  <c r="AK134" i="1"/>
  <c r="AJ134" i="1"/>
  <c r="AX134" i="1" s="1"/>
  <c r="AI134" i="1"/>
  <c r="AW134" i="1" s="1"/>
  <c r="AH134" i="1"/>
  <c r="AV134" i="1" s="1"/>
  <c r="AG134" i="1"/>
  <c r="AU134" i="1" s="1"/>
  <c r="AF134" i="1"/>
  <c r="AT134" i="1" s="1"/>
  <c r="AE134" i="1"/>
  <c r="AS134" i="1" s="1"/>
  <c r="AP133" i="1"/>
  <c r="AO133" i="1"/>
  <c r="AN133" i="1"/>
  <c r="AM133" i="1"/>
  <c r="AL133" i="1"/>
  <c r="AK133" i="1"/>
  <c r="AJ133" i="1"/>
  <c r="AI133" i="1"/>
  <c r="AH133" i="1"/>
  <c r="AG133" i="1"/>
  <c r="AF133" i="1"/>
  <c r="AE133" i="1"/>
  <c r="AS133" i="1" s="1"/>
  <c r="AP132" i="1"/>
  <c r="AO132" i="1"/>
  <c r="AN132" i="1"/>
  <c r="AM132" i="1"/>
  <c r="AL132" i="1"/>
  <c r="AK132" i="1"/>
  <c r="AJ132" i="1"/>
  <c r="AI132" i="1"/>
  <c r="AH132" i="1"/>
  <c r="AG132" i="1"/>
  <c r="AF132" i="1"/>
  <c r="AE132" i="1"/>
  <c r="AS132" i="1" s="1"/>
  <c r="AP131" i="1"/>
  <c r="AO131" i="1"/>
  <c r="AN131" i="1"/>
  <c r="AM131" i="1"/>
  <c r="AL131" i="1"/>
  <c r="AK131" i="1"/>
  <c r="AJ131" i="1"/>
  <c r="AI131" i="1"/>
  <c r="AH131" i="1"/>
  <c r="AG131" i="1"/>
  <c r="AF131" i="1"/>
  <c r="AE131" i="1"/>
  <c r="AP130" i="1"/>
  <c r="AO130" i="1"/>
  <c r="AN130" i="1"/>
  <c r="AM130" i="1"/>
  <c r="AL130" i="1"/>
  <c r="AK130" i="1"/>
  <c r="AJ130" i="1"/>
  <c r="AI130" i="1"/>
  <c r="AH130" i="1"/>
  <c r="AG130" i="1"/>
  <c r="AF130" i="1"/>
  <c r="AE130" i="1"/>
  <c r="AP129" i="1"/>
  <c r="AO129" i="1"/>
  <c r="AN129" i="1"/>
  <c r="AM129" i="1"/>
  <c r="AL129" i="1"/>
  <c r="AK129" i="1"/>
  <c r="AJ129" i="1"/>
  <c r="AX129" i="1" s="1"/>
  <c r="AI129" i="1"/>
  <c r="AW129" i="1" s="1"/>
  <c r="AH129" i="1"/>
  <c r="AV129" i="1" s="1"/>
  <c r="AG129" i="1"/>
  <c r="AU129" i="1" s="1"/>
  <c r="AF129" i="1"/>
  <c r="AT129" i="1" s="1"/>
  <c r="AE129" i="1"/>
  <c r="AS129" i="1" s="1"/>
  <c r="AP128" i="1"/>
  <c r="AO128" i="1"/>
  <c r="AN128" i="1"/>
  <c r="AM128" i="1"/>
  <c r="AL128" i="1"/>
  <c r="AK128" i="1"/>
  <c r="AJ128" i="1"/>
  <c r="AX128" i="1" s="1"/>
  <c r="AI128" i="1"/>
  <c r="AW128" i="1" s="1"/>
  <c r="AH128" i="1"/>
  <c r="AV128" i="1" s="1"/>
  <c r="AG128" i="1"/>
  <c r="AU128" i="1" s="1"/>
  <c r="AF128" i="1"/>
  <c r="AT128" i="1" s="1"/>
  <c r="AE128" i="1"/>
  <c r="AS128" i="1" s="1"/>
  <c r="AP127" i="1"/>
  <c r="AO127" i="1"/>
  <c r="AN127" i="1"/>
  <c r="AM127" i="1"/>
  <c r="AL127" i="1"/>
  <c r="AK127" i="1"/>
  <c r="AJ127" i="1"/>
  <c r="AX127" i="1" s="1"/>
  <c r="AI127" i="1"/>
  <c r="AW127" i="1" s="1"/>
  <c r="AH127" i="1"/>
  <c r="AV127" i="1" s="1"/>
  <c r="AG127" i="1"/>
  <c r="AU127" i="1" s="1"/>
  <c r="AF127" i="1"/>
  <c r="AT127" i="1" s="1"/>
  <c r="AE127" i="1"/>
  <c r="AS127" i="1" s="1"/>
  <c r="AP126" i="1"/>
  <c r="AO126" i="1"/>
  <c r="AN126" i="1"/>
  <c r="AM126" i="1"/>
  <c r="AL126" i="1"/>
  <c r="AK126" i="1"/>
  <c r="AJ126" i="1"/>
  <c r="AX126" i="1" s="1"/>
  <c r="AI126" i="1"/>
  <c r="AW126" i="1" s="1"/>
  <c r="AH126" i="1"/>
  <c r="AV126" i="1" s="1"/>
  <c r="AG126" i="1"/>
  <c r="AU126" i="1" s="1"/>
  <c r="AF126" i="1"/>
  <c r="AT126" i="1" s="1"/>
  <c r="AE126" i="1"/>
  <c r="AP125" i="1"/>
  <c r="AO125" i="1"/>
  <c r="AN125" i="1"/>
  <c r="AM125" i="1"/>
  <c r="AL125" i="1"/>
  <c r="AK125" i="1"/>
  <c r="AJ125" i="1"/>
  <c r="AX125" i="1" s="1"/>
  <c r="AI125" i="1"/>
  <c r="AW125" i="1" s="1"/>
  <c r="AH125" i="1"/>
  <c r="AV125" i="1" s="1"/>
  <c r="AG125" i="1"/>
  <c r="AU125" i="1" s="1"/>
  <c r="AF125" i="1"/>
  <c r="AT125" i="1" s="1"/>
  <c r="AE125" i="1"/>
  <c r="AS125" i="1" s="1"/>
  <c r="AP124" i="1"/>
  <c r="AO124" i="1"/>
  <c r="AN124" i="1"/>
  <c r="AM124" i="1"/>
  <c r="AL124" i="1"/>
  <c r="AK124" i="1"/>
  <c r="AJ124" i="1"/>
  <c r="AI124" i="1"/>
  <c r="AH124" i="1"/>
  <c r="AG124" i="1"/>
  <c r="AF124" i="1"/>
  <c r="AE124" i="1"/>
  <c r="AS124" i="1" s="1"/>
  <c r="AP123" i="1"/>
  <c r="AO123" i="1"/>
  <c r="AN123" i="1"/>
  <c r="AM123" i="1"/>
  <c r="AL123" i="1"/>
  <c r="AK123" i="1"/>
  <c r="AJ123" i="1"/>
  <c r="AI123" i="1"/>
  <c r="AH123" i="1"/>
  <c r="AG123" i="1"/>
  <c r="AF123" i="1"/>
  <c r="AE123" i="1"/>
  <c r="AP122" i="1"/>
  <c r="AO122" i="1"/>
  <c r="AN122" i="1"/>
  <c r="AM122" i="1"/>
  <c r="AL122" i="1"/>
  <c r="AK122" i="1"/>
  <c r="AJ122" i="1"/>
  <c r="AI122" i="1"/>
  <c r="AH122" i="1"/>
  <c r="AG122" i="1"/>
  <c r="AF122" i="1"/>
  <c r="AE122" i="1"/>
  <c r="AS122" i="1" s="1"/>
  <c r="AP121" i="1"/>
  <c r="AO121" i="1"/>
  <c r="AN121" i="1"/>
  <c r="AM121" i="1"/>
  <c r="AL121" i="1"/>
  <c r="AK121" i="1"/>
  <c r="AJ121" i="1"/>
  <c r="AI121" i="1"/>
  <c r="AH121" i="1"/>
  <c r="AG121" i="1"/>
  <c r="AF121" i="1"/>
  <c r="AE121" i="1"/>
  <c r="AS121" i="1" s="1"/>
  <c r="AP120" i="1"/>
  <c r="AO120" i="1"/>
  <c r="AN120" i="1"/>
  <c r="AM120" i="1"/>
  <c r="AL120" i="1"/>
  <c r="AK120" i="1"/>
  <c r="AJ120" i="1"/>
  <c r="AI120" i="1"/>
  <c r="AH120" i="1"/>
  <c r="AG120" i="1"/>
  <c r="AF120" i="1"/>
  <c r="AE120" i="1"/>
  <c r="AS120" i="1" s="1"/>
  <c r="AP119" i="1"/>
  <c r="AO119" i="1"/>
  <c r="AN119" i="1"/>
  <c r="AM119" i="1"/>
  <c r="AL119" i="1"/>
  <c r="AK119" i="1"/>
  <c r="AJ119" i="1"/>
  <c r="AI119" i="1"/>
  <c r="AH119" i="1"/>
  <c r="AG119" i="1"/>
  <c r="AF119" i="1"/>
  <c r="AE119" i="1"/>
  <c r="AS119" i="1" s="1"/>
  <c r="AP118" i="1"/>
  <c r="AO118" i="1"/>
  <c r="AN118" i="1"/>
  <c r="AM118" i="1"/>
  <c r="AL118" i="1"/>
  <c r="AK118" i="1"/>
  <c r="AJ118" i="1"/>
  <c r="AI118" i="1"/>
  <c r="AH118" i="1"/>
  <c r="AG118" i="1"/>
  <c r="AF118" i="1"/>
  <c r="AE118" i="1"/>
  <c r="AS118" i="1" s="1"/>
  <c r="AP117" i="1"/>
  <c r="AO117" i="1"/>
  <c r="AN117" i="1"/>
  <c r="AM117" i="1"/>
  <c r="AL117" i="1"/>
  <c r="AK117" i="1"/>
  <c r="AJ117" i="1"/>
  <c r="AI117" i="1"/>
  <c r="AH117" i="1"/>
  <c r="AG117" i="1"/>
  <c r="AF117" i="1"/>
  <c r="AE117" i="1"/>
  <c r="AS117" i="1" s="1"/>
  <c r="AP116" i="1"/>
  <c r="AO116" i="1"/>
  <c r="AN116" i="1"/>
  <c r="AM116" i="1"/>
  <c r="AL116" i="1"/>
  <c r="AK116" i="1"/>
  <c r="AJ116" i="1"/>
  <c r="AI116" i="1"/>
  <c r="AH116" i="1"/>
  <c r="AG116" i="1"/>
  <c r="AF116" i="1"/>
  <c r="AE116" i="1"/>
  <c r="AS116" i="1" s="1"/>
  <c r="AP115" i="1"/>
  <c r="AO115" i="1"/>
  <c r="AN115" i="1"/>
  <c r="AM115" i="1"/>
  <c r="AL115" i="1"/>
  <c r="AK115" i="1"/>
  <c r="AJ115" i="1"/>
  <c r="AI115" i="1"/>
  <c r="AH115" i="1"/>
  <c r="AG115" i="1"/>
  <c r="AF115" i="1"/>
  <c r="AE115" i="1"/>
  <c r="AP114" i="1"/>
  <c r="AO114" i="1"/>
  <c r="AN114" i="1"/>
  <c r="AM114" i="1"/>
  <c r="AL114" i="1"/>
  <c r="AK114" i="1"/>
  <c r="AJ114" i="1"/>
  <c r="AI114" i="1"/>
  <c r="AH114" i="1"/>
  <c r="AG114" i="1"/>
  <c r="AF114" i="1"/>
  <c r="AE114" i="1"/>
  <c r="AS114" i="1" s="1"/>
  <c r="AP113" i="1"/>
  <c r="AO113" i="1"/>
  <c r="AN113" i="1"/>
  <c r="AM113" i="1"/>
  <c r="AL113" i="1"/>
  <c r="AK113" i="1"/>
  <c r="AJ113" i="1"/>
  <c r="AI113" i="1"/>
  <c r="AH113" i="1"/>
  <c r="AG113" i="1"/>
  <c r="AF113" i="1"/>
  <c r="AE113" i="1"/>
  <c r="AS113" i="1" s="1"/>
  <c r="AP112" i="1"/>
  <c r="AO112" i="1"/>
  <c r="AN112" i="1"/>
  <c r="AM112" i="1"/>
  <c r="AL112" i="1"/>
  <c r="AK112" i="1"/>
  <c r="AJ112" i="1"/>
  <c r="AI112" i="1"/>
  <c r="AH112" i="1"/>
  <c r="AG112" i="1"/>
  <c r="AF112" i="1"/>
  <c r="AE112" i="1"/>
  <c r="AP111" i="1"/>
  <c r="AO111" i="1"/>
  <c r="AN111" i="1"/>
  <c r="AM111" i="1"/>
  <c r="AL111" i="1"/>
  <c r="AK111" i="1"/>
  <c r="AJ111" i="1"/>
  <c r="AI111" i="1"/>
  <c r="AH111" i="1"/>
  <c r="AG111" i="1"/>
  <c r="AF111" i="1"/>
  <c r="AE111" i="1"/>
  <c r="AS111" i="1" s="1"/>
  <c r="AP110" i="1"/>
  <c r="AO110" i="1"/>
  <c r="AN110" i="1"/>
  <c r="AM110" i="1"/>
  <c r="AL110" i="1"/>
  <c r="AK110" i="1"/>
  <c r="AJ110" i="1"/>
  <c r="AI110" i="1"/>
  <c r="AH110" i="1"/>
  <c r="AG110" i="1"/>
  <c r="AF110" i="1"/>
  <c r="AE110" i="1"/>
  <c r="AS110" i="1" s="1"/>
  <c r="AP109" i="1"/>
  <c r="AO109" i="1"/>
  <c r="AN109" i="1"/>
  <c r="AM109" i="1"/>
  <c r="AL109" i="1"/>
  <c r="AK109" i="1"/>
  <c r="AJ109" i="1"/>
  <c r="AI109" i="1"/>
  <c r="AH109" i="1"/>
  <c r="AG109" i="1"/>
  <c r="AF109" i="1"/>
  <c r="AE109" i="1"/>
  <c r="AS109" i="1" s="1"/>
  <c r="AP108" i="1"/>
  <c r="AO108" i="1"/>
  <c r="AN108" i="1"/>
  <c r="AM108" i="1"/>
  <c r="AL108" i="1"/>
  <c r="AK108" i="1"/>
  <c r="AJ108" i="1"/>
  <c r="AI108" i="1"/>
  <c r="AH108" i="1"/>
  <c r="AG108" i="1"/>
  <c r="AF108" i="1"/>
  <c r="AE108" i="1"/>
  <c r="AS108" i="1" s="1"/>
  <c r="AP107" i="1"/>
  <c r="AO107" i="1"/>
  <c r="AN107" i="1"/>
  <c r="AM107" i="1"/>
  <c r="AL107" i="1"/>
  <c r="AK107" i="1"/>
  <c r="AJ107" i="1"/>
  <c r="AI107" i="1"/>
  <c r="AH107" i="1"/>
  <c r="AG107" i="1"/>
  <c r="AF107" i="1"/>
  <c r="AE107" i="1"/>
  <c r="AS107" i="1" s="1"/>
  <c r="AP106" i="1"/>
  <c r="AO106" i="1"/>
  <c r="AN106" i="1"/>
  <c r="AM106" i="1"/>
  <c r="AL106" i="1"/>
  <c r="AK106" i="1"/>
  <c r="AJ106" i="1"/>
  <c r="AI106" i="1"/>
  <c r="AH106" i="1"/>
  <c r="AG106" i="1"/>
  <c r="AF106" i="1"/>
  <c r="AE106" i="1"/>
  <c r="AS106" i="1" s="1"/>
  <c r="AP105" i="1"/>
  <c r="AO105" i="1"/>
  <c r="AN105" i="1"/>
  <c r="AM105" i="1"/>
  <c r="AL105" i="1"/>
  <c r="AK105" i="1"/>
  <c r="AJ105" i="1"/>
  <c r="AI105" i="1"/>
  <c r="AH105" i="1"/>
  <c r="AG105" i="1"/>
  <c r="AF105" i="1"/>
  <c r="AE105" i="1"/>
  <c r="AP104" i="1"/>
  <c r="AO104" i="1"/>
  <c r="AN104" i="1"/>
  <c r="AM104" i="1"/>
  <c r="AL104" i="1"/>
  <c r="AK104" i="1"/>
  <c r="AJ104" i="1"/>
  <c r="AI104" i="1"/>
  <c r="AH104" i="1"/>
  <c r="AG104" i="1"/>
  <c r="AF104" i="1"/>
  <c r="AE104" i="1"/>
  <c r="AS104" i="1" s="1"/>
  <c r="AP103" i="1"/>
  <c r="AO103" i="1"/>
  <c r="AN103" i="1"/>
  <c r="AM103" i="1"/>
  <c r="AL103" i="1"/>
  <c r="AK103" i="1"/>
  <c r="AJ103" i="1"/>
  <c r="AI103" i="1"/>
  <c r="AH103" i="1"/>
  <c r="AG103" i="1"/>
  <c r="AF103" i="1"/>
  <c r="AE103" i="1"/>
  <c r="AP102" i="1"/>
  <c r="AO102" i="1"/>
  <c r="AN102" i="1"/>
  <c r="AM102" i="1"/>
  <c r="AL102" i="1"/>
  <c r="AK102" i="1"/>
  <c r="AJ102" i="1"/>
  <c r="AI102" i="1"/>
  <c r="AH102" i="1"/>
  <c r="AG102" i="1"/>
  <c r="AF102" i="1"/>
  <c r="AE102" i="1"/>
  <c r="AS102" i="1" s="1"/>
  <c r="AP101" i="1"/>
  <c r="AO101" i="1"/>
  <c r="AN101" i="1"/>
  <c r="AM101" i="1"/>
  <c r="AL101" i="1"/>
  <c r="AK101" i="1"/>
  <c r="AJ101" i="1"/>
  <c r="AI101" i="1"/>
  <c r="AH101" i="1"/>
  <c r="AG101" i="1"/>
  <c r="AF101" i="1"/>
  <c r="AE101" i="1"/>
  <c r="AS101" i="1" s="1"/>
  <c r="AP100" i="1"/>
  <c r="AO100" i="1"/>
  <c r="AN100" i="1"/>
  <c r="AM100" i="1"/>
  <c r="AL100" i="1"/>
  <c r="AK100" i="1"/>
  <c r="AJ100" i="1"/>
  <c r="AI100" i="1"/>
  <c r="AH100" i="1"/>
  <c r="AG100" i="1"/>
  <c r="AF100" i="1"/>
  <c r="AE100" i="1"/>
  <c r="AS100" i="1" s="1"/>
  <c r="AP99" i="1"/>
  <c r="AO99" i="1"/>
  <c r="AN99" i="1"/>
  <c r="AM99" i="1"/>
  <c r="AL99" i="1"/>
  <c r="AK99" i="1"/>
  <c r="AJ99" i="1"/>
  <c r="AI99" i="1"/>
  <c r="AH99" i="1"/>
  <c r="AG99" i="1"/>
  <c r="AF99" i="1"/>
  <c r="AE99" i="1"/>
  <c r="AS99" i="1" s="1"/>
  <c r="AP98" i="1"/>
  <c r="AO98" i="1"/>
  <c r="AN98" i="1"/>
  <c r="AM98" i="1"/>
  <c r="AL98" i="1"/>
  <c r="AK98" i="1"/>
  <c r="AJ98" i="1"/>
  <c r="AI98" i="1"/>
  <c r="AH98" i="1"/>
  <c r="AG98" i="1"/>
  <c r="AF98" i="1"/>
  <c r="AE98" i="1"/>
  <c r="AS98" i="1" s="1"/>
  <c r="AP97" i="1"/>
  <c r="AO97" i="1"/>
  <c r="AN97" i="1"/>
  <c r="AM97" i="1"/>
  <c r="AL97" i="1"/>
  <c r="AK97" i="1"/>
  <c r="AJ97" i="1"/>
  <c r="AI97" i="1"/>
  <c r="AH97" i="1"/>
  <c r="AG97" i="1"/>
  <c r="AF97" i="1"/>
  <c r="AE97" i="1"/>
  <c r="AP96" i="1"/>
  <c r="AO96" i="1"/>
  <c r="AN96" i="1"/>
  <c r="AM96" i="1"/>
  <c r="AL96" i="1"/>
  <c r="AK96" i="1"/>
  <c r="AJ96" i="1"/>
  <c r="AI96" i="1"/>
  <c r="AH96" i="1"/>
  <c r="AG96" i="1"/>
  <c r="AF96" i="1"/>
  <c r="AE96" i="1"/>
  <c r="AS96" i="1" s="1"/>
  <c r="AP95" i="1"/>
  <c r="AO95" i="1"/>
  <c r="AN95" i="1"/>
  <c r="AM95" i="1"/>
  <c r="AL95" i="1"/>
  <c r="AK95" i="1"/>
  <c r="AJ95" i="1"/>
  <c r="AI95" i="1"/>
  <c r="AH95" i="1"/>
  <c r="AG95" i="1"/>
  <c r="AF95" i="1"/>
  <c r="AE95" i="1"/>
  <c r="AP94" i="1"/>
  <c r="AO94" i="1"/>
  <c r="AN94" i="1"/>
  <c r="AM94" i="1"/>
  <c r="AL94" i="1"/>
  <c r="AK94" i="1"/>
  <c r="AJ94" i="1"/>
  <c r="AI94" i="1"/>
  <c r="AH94" i="1"/>
  <c r="AG94" i="1"/>
  <c r="AF94" i="1"/>
  <c r="AE94" i="1"/>
  <c r="AS94" i="1" s="1"/>
  <c r="AP93" i="1"/>
  <c r="AO93" i="1"/>
  <c r="AN93" i="1"/>
  <c r="AM93" i="1"/>
  <c r="AL93" i="1"/>
  <c r="AK93" i="1"/>
  <c r="AJ93" i="1"/>
  <c r="AI93" i="1"/>
  <c r="AH93" i="1"/>
  <c r="AG93" i="1"/>
  <c r="AF93" i="1"/>
  <c r="AE93" i="1"/>
  <c r="AS93" i="1" s="1"/>
  <c r="AP92" i="1"/>
  <c r="AO92" i="1"/>
  <c r="AN92" i="1"/>
  <c r="AM92" i="1"/>
  <c r="AL92" i="1"/>
  <c r="AK92" i="1"/>
  <c r="AJ92" i="1"/>
  <c r="AI92" i="1"/>
  <c r="AH92" i="1"/>
  <c r="AG92" i="1"/>
  <c r="AF92" i="1"/>
  <c r="AE92" i="1"/>
  <c r="AP91" i="1"/>
  <c r="AO91" i="1"/>
  <c r="AN91" i="1"/>
  <c r="AM91" i="1"/>
  <c r="AL91" i="1"/>
  <c r="AK91" i="1"/>
  <c r="AJ91" i="1"/>
  <c r="AI91" i="1"/>
  <c r="AH91" i="1"/>
  <c r="AG91" i="1"/>
  <c r="AF91" i="1"/>
  <c r="AE91" i="1"/>
  <c r="AS91" i="1" s="1"/>
  <c r="AP90" i="1"/>
  <c r="AO90" i="1"/>
  <c r="AN90" i="1"/>
  <c r="AM90" i="1"/>
  <c r="AL90" i="1"/>
  <c r="AK90" i="1"/>
  <c r="AJ90" i="1"/>
  <c r="AI90" i="1"/>
  <c r="AH90" i="1"/>
  <c r="AG90" i="1"/>
  <c r="AF90" i="1"/>
  <c r="AE90" i="1"/>
  <c r="AS90" i="1" s="1"/>
  <c r="AP89" i="1"/>
  <c r="AO89" i="1"/>
  <c r="AN89" i="1"/>
  <c r="AM89" i="1"/>
  <c r="AL89" i="1"/>
  <c r="AK89" i="1"/>
  <c r="AJ89" i="1"/>
  <c r="AI89" i="1"/>
  <c r="AH89" i="1"/>
  <c r="AG89" i="1"/>
  <c r="AF89" i="1"/>
  <c r="AE89" i="1"/>
  <c r="AS89" i="1" s="1"/>
  <c r="AP88" i="1"/>
  <c r="AO88" i="1"/>
  <c r="AN88" i="1"/>
  <c r="AM88" i="1"/>
  <c r="AL88" i="1"/>
  <c r="AK88" i="1"/>
  <c r="AJ88" i="1"/>
  <c r="AI88" i="1"/>
  <c r="AH88" i="1"/>
  <c r="AG88" i="1"/>
  <c r="AF88" i="1"/>
  <c r="AE88" i="1"/>
  <c r="AS88" i="1" s="1"/>
  <c r="AP87" i="1"/>
  <c r="AO87" i="1"/>
  <c r="AN87" i="1"/>
  <c r="AM87" i="1"/>
  <c r="AL87" i="1"/>
  <c r="AK87" i="1"/>
  <c r="AJ87" i="1"/>
  <c r="AI87" i="1"/>
  <c r="AH87" i="1"/>
  <c r="AG87" i="1"/>
  <c r="AF87" i="1"/>
  <c r="AE87" i="1"/>
  <c r="AS87" i="1" s="1"/>
  <c r="AP86" i="1"/>
  <c r="AO86" i="1"/>
  <c r="AN86" i="1"/>
  <c r="AM86" i="1"/>
  <c r="AL86" i="1"/>
  <c r="AK86" i="1"/>
  <c r="AJ86" i="1"/>
  <c r="AI86" i="1"/>
  <c r="AH86" i="1"/>
  <c r="AG86" i="1"/>
  <c r="AF86" i="1"/>
  <c r="AE86" i="1"/>
  <c r="AP85" i="1"/>
  <c r="AO85" i="1"/>
  <c r="AN85" i="1"/>
  <c r="AM85" i="1"/>
  <c r="AL85" i="1"/>
  <c r="AK85" i="1"/>
  <c r="AJ85" i="1"/>
  <c r="AI85" i="1"/>
  <c r="AH85" i="1"/>
  <c r="AG85" i="1"/>
  <c r="AF85" i="1"/>
  <c r="AE85" i="1"/>
  <c r="AS85" i="1" s="1"/>
  <c r="AP84" i="1"/>
  <c r="AO84" i="1"/>
  <c r="AN84" i="1"/>
  <c r="AM84" i="1"/>
  <c r="AL84" i="1"/>
  <c r="AK84" i="1"/>
  <c r="AJ84" i="1"/>
  <c r="AI84" i="1"/>
  <c r="AH84" i="1"/>
  <c r="AG84" i="1"/>
  <c r="AF84" i="1"/>
  <c r="AE84" i="1"/>
  <c r="AS84" i="1" s="1"/>
  <c r="AP83" i="1"/>
  <c r="AO83" i="1"/>
  <c r="AN83" i="1"/>
  <c r="AM83" i="1"/>
  <c r="AL83" i="1"/>
  <c r="AK83" i="1"/>
  <c r="AJ83" i="1"/>
  <c r="AI83" i="1"/>
  <c r="AH83" i="1"/>
  <c r="AG83" i="1"/>
  <c r="AF83" i="1"/>
  <c r="AE83" i="1"/>
  <c r="AS83" i="1" s="1"/>
  <c r="AP82" i="1"/>
  <c r="AO82" i="1"/>
  <c r="AN82" i="1"/>
  <c r="AM82" i="1"/>
  <c r="AL82" i="1"/>
  <c r="AK82" i="1"/>
  <c r="AJ82" i="1"/>
  <c r="AI82" i="1"/>
  <c r="AH82" i="1"/>
  <c r="AG82" i="1"/>
  <c r="AF82" i="1"/>
  <c r="AE82" i="1"/>
  <c r="AS82" i="1" s="1"/>
  <c r="AP81" i="1"/>
  <c r="AO81" i="1"/>
  <c r="AN81" i="1"/>
  <c r="AM81" i="1"/>
  <c r="AL81" i="1"/>
  <c r="AK81" i="1"/>
  <c r="AJ81" i="1"/>
  <c r="AI81" i="1"/>
  <c r="AH81" i="1"/>
  <c r="AG81" i="1"/>
  <c r="AF81" i="1"/>
  <c r="AE81" i="1"/>
  <c r="AS81" i="1" s="1"/>
  <c r="AP80" i="1"/>
  <c r="AO80" i="1"/>
  <c r="AN80" i="1"/>
  <c r="AM80" i="1"/>
  <c r="AL80" i="1"/>
  <c r="AK80" i="1"/>
  <c r="AJ80" i="1"/>
  <c r="AI80" i="1"/>
  <c r="AH80" i="1"/>
  <c r="AG80" i="1"/>
  <c r="AF80" i="1"/>
  <c r="AE80" i="1"/>
  <c r="AS80" i="1" s="1"/>
  <c r="AP79" i="1"/>
  <c r="AO79" i="1"/>
  <c r="AN79" i="1"/>
  <c r="AM79" i="1"/>
  <c r="AL79" i="1"/>
  <c r="AK79" i="1"/>
  <c r="AJ79" i="1"/>
  <c r="AI79" i="1"/>
  <c r="AH79" i="1"/>
  <c r="AG79" i="1"/>
  <c r="AF79" i="1"/>
  <c r="AE79" i="1"/>
  <c r="AS79" i="1" s="1"/>
  <c r="AP78" i="1"/>
  <c r="AO78" i="1"/>
  <c r="AN78" i="1"/>
  <c r="AM78" i="1"/>
  <c r="AL78" i="1"/>
  <c r="AK78" i="1"/>
  <c r="AJ78" i="1"/>
  <c r="AI78" i="1"/>
  <c r="AH78" i="1"/>
  <c r="AG78" i="1"/>
  <c r="AF78" i="1"/>
  <c r="AE78" i="1"/>
  <c r="AS78" i="1" s="1"/>
  <c r="AP77" i="1"/>
  <c r="AO77" i="1"/>
  <c r="AN77" i="1"/>
  <c r="AM77" i="1"/>
  <c r="AL77" i="1"/>
  <c r="AK77" i="1"/>
  <c r="AJ77" i="1"/>
  <c r="AI77" i="1"/>
  <c r="AH77" i="1"/>
  <c r="AG77" i="1"/>
  <c r="AF77" i="1"/>
  <c r="AE77" i="1"/>
  <c r="AS77" i="1" s="1"/>
  <c r="AP76" i="1"/>
  <c r="AO76" i="1"/>
  <c r="AN76" i="1"/>
  <c r="AM76" i="1"/>
  <c r="AL76" i="1"/>
  <c r="AK76" i="1"/>
  <c r="AJ76" i="1"/>
  <c r="AI76" i="1"/>
  <c r="AH76" i="1"/>
  <c r="AG76" i="1"/>
  <c r="AF76" i="1"/>
  <c r="AE76" i="1"/>
  <c r="AS76" i="1" s="1"/>
  <c r="AP75" i="1"/>
  <c r="AO75" i="1"/>
  <c r="AN75" i="1"/>
  <c r="AM75" i="1"/>
  <c r="AL75" i="1"/>
  <c r="AK75" i="1"/>
  <c r="AJ75" i="1"/>
  <c r="AI75" i="1"/>
  <c r="AH75" i="1"/>
  <c r="AG75" i="1"/>
  <c r="AF75" i="1"/>
  <c r="AE75" i="1"/>
  <c r="AS75" i="1" s="1"/>
  <c r="AP74" i="1"/>
  <c r="AO74" i="1"/>
  <c r="AN74" i="1"/>
  <c r="AM74" i="1"/>
  <c r="AL74" i="1"/>
  <c r="AK74" i="1"/>
  <c r="AJ74" i="1"/>
  <c r="AI74" i="1"/>
  <c r="AH74" i="1"/>
  <c r="AG74" i="1"/>
  <c r="AF74" i="1"/>
  <c r="AE74" i="1"/>
  <c r="AS74" i="1" s="1"/>
  <c r="AP73" i="1"/>
  <c r="AO73" i="1"/>
  <c r="AN73" i="1"/>
  <c r="AM73" i="1"/>
  <c r="AL73" i="1"/>
  <c r="AK73" i="1"/>
  <c r="AJ73" i="1"/>
  <c r="AI73" i="1"/>
  <c r="AH73" i="1"/>
  <c r="AG73" i="1"/>
  <c r="AF73" i="1"/>
  <c r="AE73" i="1"/>
  <c r="AP72" i="1"/>
  <c r="AO72" i="1"/>
  <c r="AN72" i="1"/>
  <c r="AM72" i="1"/>
  <c r="AL72" i="1"/>
  <c r="AK72" i="1"/>
  <c r="AJ72" i="1"/>
  <c r="AI72" i="1"/>
  <c r="AH72" i="1"/>
  <c r="AG72" i="1"/>
  <c r="AF72" i="1"/>
  <c r="AE72" i="1"/>
  <c r="AP71" i="1"/>
  <c r="AO71" i="1"/>
  <c r="AN71" i="1"/>
  <c r="AM71" i="1"/>
  <c r="AL71" i="1"/>
  <c r="AK71" i="1"/>
  <c r="AJ71" i="1"/>
  <c r="AI71" i="1"/>
  <c r="AH71" i="1"/>
  <c r="AG71" i="1"/>
  <c r="AF71" i="1"/>
  <c r="AE71" i="1"/>
  <c r="AP70" i="1"/>
  <c r="AO70" i="1"/>
  <c r="AN70" i="1"/>
  <c r="AM70" i="1"/>
  <c r="AL70" i="1"/>
  <c r="AK70" i="1"/>
  <c r="AJ70" i="1"/>
  <c r="AI70" i="1"/>
  <c r="AH70" i="1"/>
  <c r="AG70" i="1"/>
  <c r="AF70" i="1"/>
  <c r="AE70" i="1"/>
  <c r="AP69" i="1"/>
  <c r="AO69" i="1"/>
  <c r="AN69" i="1"/>
  <c r="AM69" i="1"/>
  <c r="AL69" i="1"/>
  <c r="AK69" i="1"/>
  <c r="AJ69" i="1"/>
  <c r="AI69" i="1"/>
  <c r="AH69" i="1"/>
  <c r="AG69" i="1"/>
  <c r="AF69" i="1"/>
  <c r="AE69" i="1"/>
  <c r="AS69" i="1" s="1"/>
  <c r="AP68" i="1"/>
  <c r="AO68" i="1"/>
  <c r="AN68" i="1"/>
  <c r="AM68" i="1"/>
  <c r="AL68" i="1"/>
  <c r="AK68" i="1"/>
  <c r="AJ68" i="1"/>
  <c r="AI68" i="1"/>
  <c r="AH68" i="1"/>
  <c r="AG68" i="1"/>
  <c r="AF68" i="1"/>
  <c r="AE68" i="1"/>
  <c r="AS68" i="1" s="1"/>
  <c r="AP67" i="1"/>
  <c r="AO67" i="1"/>
  <c r="AN67" i="1"/>
  <c r="AM67" i="1"/>
  <c r="AL67" i="1"/>
  <c r="AK67" i="1"/>
  <c r="AJ67" i="1"/>
  <c r="AI67" i="1"/>
  <c r="AH67" i="1"/>
  <c r="AG67" i="1"/>
  <c r="AF67" i="1"/>
  <c r="AE67" i="1"/>
  <c r="AP66" i="1"/>
  <c r="AO66" i="1"/>
  <c r="AN66" i="1"/>
  <c r="AM66" i="1"/>
  <c r="AL66" i="1"/>
  <c r="AK66" i="1"/>
  <c r="AJ66" i="1"/>
  <c r="AI66" i="1"/>
  <c r="AH66" i="1"/>
  <c r="AG66" i="1"/>
  <c r="AF66" i="1"/>
  <c r="AE66" i="1"/>
  <c r="AP65" i="1"/>
  <c r="AO65" i="1"/>
  <c r="AN65" i="1"/>
  <c r="AM65" i="1"/>
  <c r="AL65" i="1"/>
  <c r="AK65" i="1"/>
  <c r="AJ65" i="1"/>
  <c r="AI65" i="1"/>
  <c r="AH65" i="1"/>
  <c r="AG65" i="1"/>
  <c r="AF65" i="1"/>
  <c r="AE65" i="1"/>
  <c r="AS65" i="1" s="1"/>
  <c r="AP64" i="1"/>
  <c r="AO64" i="1"/>
  <c r="AN64" i="1"/>
  <c r="AM64" i="1"/>
  <c r="AL64" i="1"/>
  <c r="AK64" i="1"/>
  <c r="AJ64" i="1"/>
  <c r="AI64" i="1"/>
  <c r="AH64" i="1"/>
  <c r="AG64" i="1"/>
  <c r="AF64" i="1"/>
  <c r="AE64" i="1"/>
  <c r="AS64" i="1" s="1"/>
  <c r="AP63" i="1"/>
  <c r="AO63" i="1"/>
  <c r="AN63" i="1"/>
  <c r="AM63" i="1"/>
  <c r="AL63" i="1"/>
  <c r="AK63" i="1"/>
  <c r="AJ63" i="1"/>
  <c r="AI63" i="1"/>
  <c r="AH63" i="1"/>
  <c r="AG63" i="1"/>
  <c r="AF63" i="1"/>
  <c r="AE63" i="1"/>
  <c r="AS63" i="1" s="1"/>
  <c r="AP62" i="1"/>
  <c r="AO62" i="1"/>
  <c r="AN62" i="1"/>
  <c r="AM62" i="1"/>
  <c r="AL62" i="1"/>
  <c r="AK62" i="1"/>
  <c r="AJ62" i="1"/>
  <c r="AI62" i="1"/>
  <c r="AH62" i="1"/>
  <c r="AG62" i="1"/>
  <c r="AF62" i="1"/>
  <c r="AE62" i="1"/>
  <c r="AS62" i="1" s="1"/>
  <c r="AP61" i="1"/>
  <c r="AO61" i="1"/>
  <c r="AN61" i="1"/>
  <c r="AM61" i="1"/>
  <c r="AL61" i="1"/>
  <c r="AK61" i="1"/>
  <c r="AJ61" i="1"/>
  <c r="AI61" i="1"/>
  <c r="AH61" i="1"/>
  <c r="AG61" i="1"/>
  <c r="AF61" i="1"/>
  <c r="AE61" i="1"/>
  <c r="AS61" i="1" s="1"/>
  <c r="AP60" i="1"/>
  <c r="AO60" i="1"/>
  <c r="AN60" i="1"/>
  <c r="AM60" i="1"/>
  <c r="AL60" i="1"/>
  <c r="AK60" i="1"/>
  <c r="AJ60" i="1"/>
  <c r="AI60" i="1"/>
  <c r="AH60" i="1"/>
  <c r="AG60" i="1"/>
  <c r="AF60" i="1"/>
  <c r="AE60" i="1"/>
  <c r="AS60" i="1" s="1"/>
  <c r="AP59" i="1"/>
  <c r="AO59" i="1"/>
  <c r="AN59" i="1"/>
  <c r="AM59" i="1"/>
  <c r="AL59" i="1"/>
  <c r="AK59" i="1"/>
  <c r="AJ59" i="1"/>
  <c r="AI59" i="1"/>
  <c r="AH59" i="1"/>
  <c r="AG59" i="1"/>
  <c r="AF59" i="1"/>
  <c r="AE59" i="1"/>
  <c r="AS59" i="1" s="1"/>
  <c r="AP58" i="1"/>
  <c r="AO58" i="1"/>
  <c r="AN58" i="1"/>
  <c r="AM58" i="1"/>
  <c r="AL58" i="1"/>
  <c r="AK58" i="1"/>
  <c r="AJ58" i="1"/>
  <c r="AI58" i="1"/>
  <c r="AH58" i="1"/>
  <c r="AG58" i="1"/>
  <c r="AF58" i="1"/>
  <c r="AE58" i="1"/>
  <c r="AS58" i="1" s="1"/>
  <c r="AP57" i="1"/>
  <c r="AO57" i="1"/>
  <c r="AN57" i="1"/>
  <c r="AM57" i="1"/>
  <c r="AL57" i="1"/>
  <c r="AK57" i="1"/>
  <c r="AJ57" i="1"/>
  <c r="AI57" i="1"/>
  <c r="AH57" i="1"/>
  <c r="AG57" i="1"/>
  <c r="AF57" i="1"/>
  <c r="AE57" i="1"/>
  <c r="AP56" i="1"/>
  <c r="AO56" i="1"/>
  <c r="AN56" i="1"/>
  <c r="AM56" i="1"/>
  <c r="AL56" i="1"/>
  <c r="AK56" i="1"/>
  <c r="AJ56" i="1"/>
  <c r="AI56" i="1"/>
  <c r="AH56" i="1"/>
  <c r="AG56" i="1"/>
  <c r="AF56" i="1"/>
  <c r="AE56" i="1"/>
  <c r="AS56" i="1" s="1"/>
  <c r="AP55" i="1"/>
  <c r="AO55" i="1"/>
  <c r="AN55" i="1"/>
  <c r="AM55" i="1"/>
  <c r="AL55" i="1"/>
  <c r="AK55" i="1"/>
  <c r="AJ55" i="1"/>
  <c r="AI55" i="1"/>
  <c r="AH55" i="1"/>
  <c r="AG55" i="1"/>
  <c r="AF55" i="1"/>
  <c r="AE55" i="1"/>
  <c r="AS55" i="1" s="1"/>
  <c r="AP54" i="1"/>
  <c r="AO54" i="1"/>
  <c r="AN54" i="1"/>
  <c r="AM54" i="1"/>
  <c r="AL54" i="1"/>
  <c r="AK54" i="1"/>
  <c r="AJ54" i="1"/>
  <c r="AI54" i="1"/>
  <c r="AH54" i="1"/>
  <c r="AG54" i="1"/>
  <c r="AF54" i="1"/>
  <c r="AE54" i="1"/>
  <c r="AP53" i="1"/>
  <c r="AO53" i="1"/>
  <c r="AN53" i="1"/>
  <c r="AM53" i="1"/>
  <c r="AL53" i="1"/>
  <c r="AK53" i="1"/>
  <c r="AJ53" i="1"/>
  <c r="AI53" i="1"/>
  <c r="AH53" i="1"/>
  <c r="AG53" i="1"/>
  <c r="AF53" i="1"/>
  <c r="AE53" i="1"/>
  <c r="AP52" i="1"/>
  <c r="AO52" i="1"/>
  <c r="AN52" i="1"/>
  <c r="AM52" i="1"/>
  <c r="AL52" i="1"/>
  <c r="AK52" i="1"/>
  <c r="AJ52" i="1"/>
  <c r="AI52" i="1"/>
  <c r="AH52" i="1"/>
  <c r="AG52" i="1"/>
  <c r="AF52" i="1"/>
  <c r="AE52" i="1"/>
  <c r="AP51" i="1"/>
  <c r="AO51" i="1"/>
  <c r="AN51" i="1"/>
  <c r="AM51" i="1"/>
  <c r="AL51" i="1"/>
  <c r="AK51" i="1"/>
  <c r="AJ51" i="1"/>
  <c r="AI51" i="1"/>
  <c r="AH51" i="1"/>
  <c r="AG51" i="1"/>
  <c r="AF51" i="1"/>
  <c r="AE51" i="1"/>
  <c r="AP50" i="1"/>
  <c r="AO50" i="1"/>
  <c r="AN50" i="1"/>
  <c r="AM50" i="1"/>
  <c r="AL50" i="1"/>
  <c r="AK50" i="1"/>
  <c r="AJ50" i="1"/>
  <c r="AI50" i="1"/>
  <c r="AH50" i="1"/>
  <c r="AG50" i="1"/>
  <c r="AF50" i="1"/>
  <c r="AE50" i="1"/>
  <c r="AP49" i="1"/>
  <c r="AO49" i="1"/>
  <c r="AN49" i="1"/>
  <c r="AM49" i="1"/>
  <c r="AL49" i="1"/>
  <c r="AK49" i="1"/>
  <c r="AJ49" i="1"/>
  <c r="AI49" i="1"/>
  <c r="AH49" i="1"/>
  <c r="AG49" i="1"/>
  <c r="AF49" i="1"/>
  <c r="AE49" i="1"/>
  <c r="AP48" i="1"/>
  <c r="AO48" i="1"/>
  <c r="AN48" i="1"/>
  <c r="AM48" i="1"/>
  <c r="AL48" i="1"/>
  <c r="AK48" i="1"/>
  <c r="AJ48" i="1"/>
  <c r="AI48" i="1"/>
  <c r="AH48" i="1"/>
  <c r="AG48" i="1"/>
  <c r="AF48" i="1"/>
  <c r="AE48" i="1"/>
  <c r="AP47" i="1"/>
  <c r="BD47" i="1" s="1"/>
  <c r="AO47" i="1"/>
  <c r="BC47" i="1" s="1"/>
  <c r="AN47" i="1"/>
  <c r="BB47" i="1" s="1"/>
  <c r="AM47" i="1"/>
  <c r="BA47" i="1" s="1"/>
  <c r="AL47" i="1"/>
  <c r="AZ47" i="1" s="1"/>
  <c r="AK47" i="1"/>
  <c r="AY47" i="1" s="1"/>
  <c r="AJ47" i="1"/>
  <c r="AX47" i="1" s="1"/>
  <c r="AI47" i="1"/>
  <c r="AW47" i="1" s="1"/>
  <c r="AH47" i="1"/>
  <c r="AV47" i="1" s="1"/>
  <c r="AG47" i="1"/>
  <c r="AU47" i="1" s="1"/>
  <c r="AF47" i="1"/>
  <c r="AE47" i="1"/>
  <c r="AS47" i="1" s="1"/>
  <c r="AP46" i="1"/>
  <c r="BD46" i="1" s="1"/>
  <c r="AO46" i="1"/>
  <c r="BC46" i="1" s="1"/>
  <c r="AN46" i="1"/>
  <c r="BB46" i="1" s="1"/>
  <c r="AM46" i="1"/>
  <c r="BA46" i="1" s="1"/>
  <c r="AL46" i="1"/>
  <c r="AZ46" i="1" s="1"/>
  <c r="AK46" i="1"/>
  <c r="AY46" i="1" s="1"/>
  <c r="AJ46" i="1"/>
  <c r="AX46" i="1" s="1"/>
  <c r="AI46" i="1"/>
  <c r="AW46" i="1" s="1"/>
  <c r="AH46" i="1"/>
  <c r="AV46" i="1" s="1"/>
  <c r="AG46" i="1"/>
  <c r="AU46" i="1" s="1"/>
  <c r="AF46" i="1"/>
  <c r="AT46" i="1" s="1"/>
  <c r="AE46" i="1"/>
  <c r="AS46" i="1" s="1"/>
  <c r="AP45" i="1"/>
  <c r="BD45" i="1" s="1"/>
  <c r="AO45" i="1"/>
  <c r="BC45" i="1" s="1"/>
  <c r="AN45" i="1"/>
  <c r="BB45" i="1" s="1"/>
  <c r="AM45" i="1"/>
  <c r="BA45" i="1" s="1"/>
  <c r="AL45" i="1"/>
  <c r="AZ45" i="1" s="1"/>
  <c r="AK45" i="1"/>
  <c r="AY45" i="1" s="1"/>
  <c r="AJ45" i="1"/>
  <c r="AX45" i="1" s="1"/>
  <c r="AI45" i="1"/>
  <c r="AW45" i="1" s="1"/>
  <c r="AH45" i="1"/>
  <c r="AV45" i="1" s="1"/>
  <c r="AG45" i="1"/>
  <c r="AU45" i="1" s="1"/>
  <c r="AF45" i="1"/>
  <c r="AT45" i="1" s="1"/>
  <c r="AE45" i="1"/>
  <c r="AS45" i="1" s="1"/>
  <c r="AP44" i="1"/>
  <c r="BD44" i="1" s="1"/>
  <c r="AO44" i="1"/>
  <c r="BC44" i="1" s="1"/>
  <c r="AN44" i="1"/>
  <c r="BB44" i="1" s="1"/>
  <c r="AM44" i="1"/>
  <c r="BA44" i="1" s="1"/>
  <c r="AL44" i="1"/>
  <c r="AZ44" i="1" s="1"/>
  <c r="AK44" i="1"/>
  <c r="AY44" i="1" s="1"/>
  <c r="AJ44" i="1"/>
  <c r="AX44" i="1" s="1"/>
  <c r="AI44" i="1"/>
  <c r="AH44" i="1"/>
  <c r="AV44" i="1" s="1"/>
  <c r="AG44" i="1"/>
  <c r="AU44" i="1" s="1"/>
  <c r="AF44" i="1"/>
  <c r="AT44" i="1" s="1"/>
  <c r="AE44" i="1"/>
  <c r="AS44" i="1" s="1"/>
  <c r="AP43" i="1"/>
  <c r="BD43" i="1" s="1"/>
  <c r="AO43" i="1"/>
  <c r="BC43" i="1" s="1"/>
  <c r="AN43" i="1"/>
  <c r="BB43" i="1" s="1"/>
  <c r="AM43" i="1"/>
  <c r="BA43" i="1" s="1"/>
  <c r="AL43" i="1"/>
  <c r="AZ43" i="1" s="1"/>
  <c r="AK43" i="1"/>
  <c r="AY43" i="1" s="1"/>
  <c r="AJ43" i="1"/>
  <c r="AX43" i="1" s="1"/>
  <c r="AI43" i="1"/>
  <c r="AW43" i="1" s="1"/>
  <c r="AH43" i="1"/>
  <c r="AV43" i="1" s="1"/>
  <c r="AG43" i="1"/>
  <c r="AU43" i="1" s="1"/>
  <c r="AF43" i="1"/>
  <c r="AT43" i="1" s="1"/>
  <c r="AE43" i="1"/>
  <c r="AS43" i="1" s="1"/>
  <c r="AP42" i="1"/>
  <c r="BD42" i="1" s="1"/>
  <c r="AO42" i="1"/>
  <c r="BC42" i="1" s="1"/>
  <c r="AN42" i="1"/>
  <c r="BB42" i="1" s="1"/>
  <c r="AM42" i="1"/>
  <c r="BA42" i="1" s="1"/>
  <c r="AL42" i="1"/>
  <c r="AZ42" i="1" s="1"/>
  <c r="AK42" i="1"/>
  <c r="AY42" i="1" s="1"/>
  <c r="AJ42" i="1"/>
  <c r="AX42" i="1" s="1"/>
  <c r="AI42" i="1"/>
  <c r="AW42" i="1" s="1"/>
  <c r="AH42" i="1"/>
  <c r="AV42" i="1" s="1"/>
  <c r="AG42" i="1"/>
  <c r="AU42" i="1" s="1"/>
  <c r="AF42" i="1"/>
  <c r="AT42" i="1" s="1"/>
  <c r="AE42" i="1"/>
  <c r="AS42" i="1" s="1"/>
  <c r="AP41" i="1"/>
  <c r="BD41" i="1" s="1"/>
  <c r="AO41" i="1"/>
  <c r="BC41" i="1" s="1"/>
  <c r="AN41" i="1"/>
  <c r="BB41" i="1" s="1"/>
  <c r="AM41" i="1"/>
  <c r="BA41" i="1" s="1"/>
  <c r="AL41" i="1"/>
  <c r="AZ41" i="1" s="1"/>
  <c r="AK41" i="1"/>
  <c r="AY41" i="1" s="1"/>
  <c r="AJ41" i="1"/>
  <c r="AX41" i="1" s="1"/>
  <c r="AI41" i="1"/>
  <c r="AW41" i="1" s="1"/>
  <c r="AH41" i="1"/>
  <c r="AV41" i="1" s="1"/>
  <c r="AG41" i="1"/>
  <c r="AU41" i="1" s="1"/>
  <c r="AF41" i="1"/>
  <c r="AT41" i="1" s="1"/>
  <c r="AE41" i="1"/>
  <c r="AS41" i="1" s="1"/>
  <c r="AP40" i="1"/>
  <c r="BD40" i="1" s="1"/>
  <c r="AO40" i="1"/>
  <c r="BC40" i="1" s="1"/>
  <c r="AN40" i="1"/>
  <c r="BB40" i="1" s="1"/>
  <c r="AM40" i="1"/>
  <c r="BA40" i="1" s="1"/>
  <c r="AL40" i="1"/>
  <c r="AZ40" i="1" s="1"/>
  <c r="AK40" i="1"/>
  <c r="AY40" i="1" s="1"/>
  <c r="AJ40" i="1"/>
  <c r="AX40" i="1" s="1"/>
  <c r="AI40" i="1"/>
  <c r="AW40" i="1" s="1"/>
  <c r="AH40" i="1"/>
  <c r="AV40" i="1" s="1"/>
  <c r="AG40" i="1"/>
  <c r="AU40" i="1" s="1"/>
  <c r="AF40" i="1"/>
  <c r="AT40" i="1" s="1"/>
  <c r="AE40" i="1"/>
  <c r="AP39" i="1"/>
  <c r="BD39" i="1" s="1"/>
  <c r="AO39" i="1"/>
  <c r="BC39" i="1" s="1"/>
  <c r="AN39" i="1"/>
  <c r="BB39" i="1" s="1"/>
  <c r="AM39" i="1"/>
  <c r="BA39" i="1" s="1"/>
  <c r="AL39" i="1"/>
  <c r="AZ39" i="1" s="1"/>
  <c r="AK39" i="1"/>
  <c r="AY39" i="1" s="1"/>
  <c r="AJ39" i="1"/>
  <c r="AX39" i="1" s="1"/>
  <c r="AI39" i="1"/>
  <c r="AW39" i="1" s="1"/>
  <c r="AH39" i="1"/>
  <c r="AV39" i="1" s="1"/>
  <c r="AG39" i="1"/>
  <c r="AU39" i="1" s="1"/>
  <c r="AF39" i="1"/>
  <c r="AT39" i="1" s="1"/>
  <c r="AE39" i="1"/>
  <c r="AS39" i="1" s="1"/>
  <c r="AP38" i="1"/>
  <c r="BD38" i="1" s="1"/>
  <c r="AO38" i="1"/>
  <c r="BC38" i="1" s="1"/>
  <c r="AN38" i="1"/>
  <c r="BB38" i="1" s="1"/>
  <c r="AM38" i="1"/>
  <c r="BA38" i="1" s="1"/>
  <c r="AL38" i="1"/>
  <c r="AK38" i="1"/>
  <c r="AY38" i="1" s="1"/>
  <c r="AJ38" i="1"/>
  <c r="AX38" i="1" s="1"/>
  <c r="AI38" i="1"/>
  <c r="AW38" i="1" s="1"/>
  <c r="AH38" i="1"/>
  <c r="AV38" i="1" s="1"/>
  <c r="AG38" i="1"/>
  <c r="AU38" i="1" s="1"/>
  <c r="AF38" i="1"/>
  <c r="AT38" i="1" s="1"/>
  <c r="AE38" i="1"/>
  <c r="AS38" i="1" s="1"/>
  <c r="AP36" i="1"/>
  <c r="BD36" i="1" s="1"/>
  <c r="AO36" i="1"/>
  <c r="BC36" i="1" s="1"/>
  <c r="AN36" i="1"/>
  <c r="BB36" i="1" s="1"/>
  <c r="AM36" i="1"/>
  <c r="BA36" i="1" s="1"/>
  <c r="AL36" i="1"/>
  <c r="AZ36" i="1" s="1"/>
  <c r="AK36" i="1"/>
  <c r="AY36" i="1" s="1"/>
  <c r="AJ36" i="1"/>
  <c r="AX36" i="1" s="1"/>
  <c r="AI36" i="1"/>
  <c r="AW36" i="1" s="1"/>
  <c r="AH36" i="1"/>
  <c r="AV36" i="1" s="1"/>
  <c r="AG36" i="1"/>
  <c r="AU36" i="1" s="1"/>
  <c r="AF36" i="1"/>
  <c r="AT36" i="1" s="1"/>
  <c r="AE36" i="1"/>
  <c r="AS36" i="1" s="1"/>
  <c r="AP35" i="1"/>
  <c r="BD35" i="1" s="1"/>
  <c r="AO35" i="1"/>
  <c r="BC35" i="1" s="1"/>
  <c r="AN35" i="1"/>
  <c r="BB35" i="1" s="1"/>
  <c r="AM35" i="1"/>
  <c r="BA35" i="1" s="1"/>
  <c r="AL35" i="1"/>
  <c r="AZ35" i="1" s="1"/>
  <c r="AK35" i="1"/>
  <c r="AY35" i="1" s="1"/>
  <c r="AJ35" i="1"/>
  <c r="AX35" i="1" s="1"/>
  <c r="AI35" i="1"/>
  <c r="AW35" i="1" s="1"/>
  <c r="AH35" i="1"/>
  <c r="AV35" i="1" s="1"/>
  <c r="AG35" i="1"/>
  <c r="AU35" i="1" s="1"/>
  <c r="AF35" i="1"/>
  <c r="AT35" i="1" s="1"/>
  <c r="AE35" i="1"/>
  <c r="AS35" i="1" s="1"/>
  <c r="AP34" i="1"/>
  <c r="BD34" i="1" s="1"/>
  <c r="AO34" i="1"/>
  <c r="BC34" i="1" s="1"/>
  <c r="AN34" i="1"/>
  <c r="BB34" i="1" s="1"/>
  <c r="AM34" i="1"/>
  <c r="BA34" i="1" s="1"/>
  <c r="AL34" i="1"/>
  <c r="AZ34" i="1" s="1"/>
  <c r="AK34" i="1"/>
  <c r="AY34" i="1" s="1"/>
  <c r="AJ34" i="1"/>
  <c r="AX34" i="1" s="1"/>
  <c r="AI34" i="1"/>
  <c r="AW34" i="1" s="1"/>
  <c r="AH34" i="1"/>
  <c r="AV34" i="1" s="1"/>
  <c r="AG34" i="1"/>
  <c r="AU34" i="1" s="1"/>
  <c r="AF34" i="1"/>
  <c r="AT34" i="1" s="1"/>
  <c r="AE34" i="1"/>
  <c r="AS34" i="1" s="1"/>
  <c r="AP33" i="1"/>
  <c r="BD33" i="1" s="1"/>
  <c r="AO33" i="1"/>
  <c r="BC33" i="1" s="1"/>
  <c r="AN33" i="1"/>
  <c r="BB33" i="1" s="1"/>
  <c r="AM33" i="1"/>
  <c r="BA33" i="1" s="1"/>
  <c r="AL33" i="1"/>
  <c r="AZ33" i="1" s="1"/>
  <c r="AK33" i="1"/>
  <c r="AY33" i="1" s="1"/>
  <c r="AJ33" i="1"/>
  <c r="AX33" i="1" s="1"/>
  <c r="AI33" i="1"/>
  <c r="AW33" i="1" s="1"/>
  <c r="AH33" i="1"/>
  <c r="AV33" i="1" s="1"/>
  <c r="AG33" i="1"/>
  <c r="AU33" i="1" s="1"/>
  <c r="AF33" i="1"/>
  <c r="AT33" i="1" s="1"/>
  <c r="AE33" i="1"/>
  <c r="AS33" i="1" s="1"/>
  <c r="AP32" i="1"/>
  <c r="BD32" i="1" s="1"/>
  <c r="AO32" i="1"/>
  <c r="BC32" i="1" s="1"/>
  <c r="AN32" i="1"/>
  <c r="BB32" i="1" s="1"/>
  <c r="AM32" i="1"/>
  <c r="BA32" i="1" s="1"/>
  <c r="AL32" i="1"/>
  <c r="AZ32" i="1" s="1"/>
  <c r="AK32" i="1"/>
  <c r="AY32" i="1" s="1"/>
  <c r="AJ32" i="1"/>
  <c r="AX32" i="1" s="1"/>
  <c r="AI32" i="1"/>
  <c r="AW32" i="1" s="1"/>
  <c r="AH32" i="1"/>
  <c r="AV32" i="1" s="1"/>
  <c r="AG32" i="1"/>
  <c r="AU32" i="1" s="1"/>
  <c r="AF32" i="1"/>
  <c r="AT32" i="1" s="1"/>
  <c r="AE32" i="1"/>
  <c r="AP31" i="1"/>
  <c r="BD31" i="1" s="1"/>
  <c r="AO31" i="1"/>
  <c r="BC31" i="1" s="1"/>
  <c r="AN31" i="1"/>
  <c r="BB31" i="1" s="1"/>
  <c r="AM31" i="1"/>
  <c r="BA31" i="1" s="1"/>
  <c r="AL31" i="1"/>
  <c r="AZ31" i="1" s="1"/>
  <c r="AK31" i="1"/>
  <c r="AY31" i="1" s="1"/>
  <c r="AJ31" i="1"/>
  <c r="AX31" i="1" s="1"/>
  <c r="AI31" i="1"/>
  <c r="AW31" i="1" s="1"/>
  <c r="AH31" i="1"/>
  <c r="AV31" i="1" s="1"/>
  <c r="AG31" i="1"/>
  <c r="AU31" i="1" s="1"/>
  <c r="AF31" i="1"/>
  <c r="AT31" i="1" s="1"/>
  <c r="AE31" i="1"/>
  <c r="AS31" i="1" s="1"/>
  <c r="AP30" i="1"/>
  <c r="BD30" i="1" s="1"/>
  <c r="AO30" i="1"/>
  <c r="BC30" i="1" s="1"/>
  <c r="AN30" i="1"/>
  <c r="BB30" i="1" s="1"/>
  <c r="AM30" i="1"/>
  <c r="BA30" i="1" s="1"/>
  <c r="AL30" i="1"/>
  <c r="AZ30" i="1" s="1"/>
  <c r="AK30" i="1"/>
  <c r="AY30" i="1" s="1"/>
  <c r="AJ30" i="1"/>
  <c r="AX30" i="1" s="1"/>
  <c r="AI30" i="1"/>
  <c r="AW30" i="1" s="1"/>
  <c r="AH30" i="1"/>
  <c r="AV30" i="1" s="1"/>
  <c r="AG30" i="1"/>
  <c r="AU30" i="1" s="1"/>
  <c r="AF30" i="1"/>
  <c r="AT30" i="1" s="1"/>
  <c r="AE30" i="1"/>
  <c r="AS30" i="1" s="1"/>
  <c r="AP29" i="1"/>
  <c r="BD29" i="1" s="1"/>
  <c r="AO29" i="1"/>
  <c r="BC29" i="1" s="1"/>
  <c r="AN29" i="1"/>
  <c r="BB29" i="1" s="1"/>
  <c r="AM29" i="1"/>
  <c r="BA29" i="1" s="1"/>
  <c r="AL29" i="1"/>
  <c r="AZ29" i="1" s="1"/>
  <c r="AK29" i="1"/>
  <c r="AY29" i="1" s="1"/>
  <c r="AJ29" i="1"/>
  <c r="AX29" i="1" s="1"/>
  <c r="AI29" i="1"/>
  <c r="AW29" i="1" s="1"/>
  <c r="AH29" i="1"/>
  <c r="AV29" i="1" s="1"/>
  <c r="AG29" i="1"/>
  <c r="AU29" i="1" s="1"/>
  <c r="AF29" i="1"/>
  <c r="AT29" i="1" s="1"/>
  <c r="AE29" i="1"/>
  <c r="AP28" i="1"/>
  <c r="AO28" i="1"/>
  <c r="AN28" i="1"/>
  <c r="AM28" i="1"/>
  <c r="AL28" i="1"/>
  <c r="AK28" i="1"/>
  <c r="AJ28" i="1"/>
  <c r="AI28" i="1"/>
  <c r="AH28" i="1"/>
  <c r="AG28" i="1"/>
  <c r="AF28" i="1"/>
  <c r="AE28" i="1"/>
  <c r="AP27" i="1"/>
  <c r="BD27" i="1" s="1"/>
  <c r="AO27" i="1"/>
  <c r="BC27" i="1" s="1"/>
  <c r="AN27" i="1"/>
  <c r="BB27" i="1" s="1"/>
  <c r="AM27" i="1"/>
  <c r="BA27" i="1" s="1"/>
  <c r="AL27" i="1"/>
  <c r="AZ27" i="1" s="1"/>
  <c r="AK27" i="1"/>
  <c r="AY27" i="1" s="1"/>
  <c r="AJ27" i="1"/>
  <c r="AX27" i="1" s="1"/>
  <c r="AI27" i="1"/>
  <c r="AW27" i="1" s="1"/>
  <c r="AH27" i="1"/>
  <c r="AV27" i="1" s="1"/>
  <c r="AG27" i="1"/>
  <c r="AU27" i="1" s="1"/>
  <c r="AF27" i="1"/>
  <c r="AT27" i="1" s="1"/>
  <c r="AE27" i="1"/>
  <c r="AP26" i="1"/>
  <c r="BD26" i="1" s="1"/>
  <c r="AO26" i="1"/>
  <c r="BC26" i="1" s="1"/>
  <c r="AN26" i="1"/>
  <c r="BB26" i="1" s="1"/>
  <c r="AM26" i="1"/>
  <c r="BA26" i="1" s="1"/>
  <c r="AL26" i="1"/>
  <c r="AZ26" i="1" s="1"/>
  <c r="AK26" i="1"/>
  <c r="AY26" i="1" s="1"/>
  <c r="AJ26" i="1"/>
  <c r="AX26" i="1" s="1"/>
  <c r="AI26" i="1"/>
  <c r="AW26" i="1" s="1"/>
  <c r="AH26" i="1"/>
  <c r="AV26" i="1" s="1"/>
  <c r="AG26" i="1"/>
  <c r="AU26" i="1" s="1"/>
  <c r="AF26" i="1"/>
  <c r="AT26" i="1" s="1"/>
  <c r="AE26" i="1"/>
  <c r="AS26" i="1" s="1"/>
  <c r="AP25" i="1"/>
  <c r="BD25" i="1" s="1"/>
  <c r="AO25" i="1"/>
  <c r="BC25" i="1" s="1"/>
  <c r="AN25" i="1"/>
  <c r="BB25" i="1" s="1"/>
  <c r="AM25" i="1"/>
  <c r="BA25" i="1" s="1"/>
  <c r="AL25" i="1"/>
  <c r="AZ25" i="1" s="1"/>
  <c r="AK25" i="1"/>
  <c r="AY25" i="1" s="1"/>
  <c r="AJ25" i="1"/>
  <c r="AX25" i="1" s="1"/>
  <c r="AI25" i="1"/>
  <c r="AW25" i="1" s="1"/>
  <c r="AH25" i="1"/>
  <c r="AV25" i="1" s="1"/>
  <c r="AG25" i="1"/>
  <c r="AU25" i="1" s="1"/>
  <c r="AF25" i="1"/>
  <c r="AT25" i="1" s="1"/>
  <c r="AE25" i="1"/>
  <c r="AS25" i="1" s="1"/>
  <c r="AP24" i="1"/>
  <c r="BD24" i="1" s="1"/>
  <c r="AO24" i="1"/>
  <c r="BC24" i="1" s="1"/>
  <c r="AN24" i="1"/>
  <c r="BB24" i="1" s="1"/>
  <c r="AM24" i="1"/>
  <c r="BA24" i="1" s="1"/>
  <c r="AL24" i="1"/>
  <c r="AZ24" i="1" s="1"/>
  <c r="AK24" i="1"/>
  <c r="AY24" i="1" s="1"/>
  <c r="AJ24" i="1"/>
  <c r="AX24" i="1" s="1"/>
  <c r="AI24" i="1"/>
  <c r="AW24" i="1" s="1"/>
  <c r="AH24" i="1"/>
  <c r="AV24" i="1" s="1"/>
  <c r="AG24" i="1"/>
  <c r="AU24" i="1" s="1"/>
  <c r="AF24" i="1"/>
  <c r="AT24" i="1" s="1"/>
  <c r="AE24" i="1"/>
  <c r="AS24" i="1" s="1"/>
  <c r="AP23" i="1"/>
  <c r="BD23" i="1" s="1"/>
  <c r="AO23" i="1"/>
  <c r="BC23" i="1" s="1"/>
  <c r="AN23" i="1"/>
  <c r="BB23" i="1" s="1"/>
  <c r="AM23" i="1"/>
  <c r="BA23" i="1" s="1"/>
  <c r="AL23" i="1"/>
  <c r="AZ23" i="1" s="1"/>
  <c r="AK23" i="1"/>
  <c r="AY23" i="1" s="1"/>
  <c r="AJ23" i="1"/>
  <c r="AX23" i="1" s="1"/>
  <c r="AI23" i="1"/>
  <c r="AW23" i="1" s="1"/>
  <c r="AH23" i="1"/>
  <c r="AV23" i="1" s="1"/>
  <c r="AG23" i="1"/>
  <c r="AU23" i="1" s="1"/>
  <c r="AF23" i="1"/>
  <c r="AT23" i="1" s="1"/>
  <c r="AE23" i="1"/>
  <c r="AS23" i="1" s="1"/>
  <c r="AP22" i="1"/>
  <c r="BD22" i="1" s="1"/>
  <c r="AO22" i="1"/>
  <c r="BC22" i="1" s="1"/>
  <c r="AN22" i="1"/>
  <c r="BB22" i="1" s="1"/>
  <c r="AM22" i="1"/>
  <c r="BA22" i="1" s="1"/>
  <c r="AL22" i="1"/>
  <c r="AZ22" i="1" s="1"/>
  <c r="AK22" i="1"/>
  <c r="AY22" i="1" s="1"/>
  <c r="AJ22" i="1"/>
  <c r="AX22" i="1" s="1"/>
  <c r="AI22" i="1"/>
  <c r="AW22" i="1" s="1"/>
  <c r="AH22" i="1"/>
  <c r="AV22" i="1" s="1"/>
  <c r="AG22" i="1"/>
  <c r="AU22" i="1" s="1"/>
  <c r="AF22" i="1"/>
  <c r="AT22" i="1" s="1"/>
  <c r="AE22" i="1"/>
  <c r="AP21" i="1"/>
  <c r="BD21" i="1" s="1"/>
  <c r="AO21" i="1"/>
  <c r="BC21" i="1" s="1"/>
  <c r="AN21" i="1"/>
  <c r="BB21" i="1" s="1"/>
  <c r="AM21" i="1"/>
  <c r="BA21" i="1" s="1"/>
  <c r="AL21" i="1"/>
  <c r="AZ21" i="1" s="1"/>
  <c r="AK21" i="1"/>
  <c r="AY21" i="1" s="1"/>
  <c r="AJ21" i="1"/>
  <c r="AX21" i="1" s="1"/>
  <c r="AI21" i="1"/>
  <c r="AW21" i="1" s="1"/>
  <c r="AH21" i="1"/>
  <c r="AV21" i="1" s="1"/>
  <c r="AG21" i="1"/>
  <c r="AU21" i="1" s="1"/>
  <c r="AF21" i="1"/>
  <c r="AT21" i="1" s="1"/>
  <c r="AE21" i="1"/>
  <c r="AS21" i="1" s="1"/>
  <c r="AP20" i="1"/>
  <c r="BD20" i="1" s="1"/>
  <c r="AO20" i="1"/>
  <c r="BC20" i="1" s="1"/>
  <c r="AN20" i="1"/>
  <c r="BB20" i="1" s="1"/>
  <c r="AM20" i="1"/>
  <c r="BA20" i="1" s="1"/>
  <c r="AL20" i="1"/>
  <c r="AZ20" i="1" s="1"/>
  <c r="AK20" i="1"/>
  <c r="AY20" i="1" s="1"/>
  <c r="AJ20" i="1"/>
  <c r="AX20" i="1" s="1"/>
  <c r="AI20" i="1"/>
  <c r="AW20" i="1" s="1"/>
  <c r="AH20" i="1"/>
  <c r="AV20" i="1" s="1"/>
  <c r="AG20" i="1"/>
  <c r="AU20" i="1" s="1"/>
  <c r="AF20" i="1"/>
  <c r="AT20" i="1" s="1"/>
  <c r="AE20" i="1"/>
  <c r="AS20" i="1" s="1"/>
  <c r="AP19" i="1"/>
  <c r="BD19" i="1" s="1"/>
  <c r="AO19" i="1"/>
  <c r="BC19" i="1" s="1"/>
  <c r="AN19" i="1"/>
  <c r="BB19" i="1" s="1"/>
  <c r="AM19" i="1"/>
  <c r="BA19" i="1" s="1"/>
  <c r="AL19" i="1"/>
  <c r="AZ19" i="1" s="1"/>
  <c r="AK19" i="1"/>
  <c r="AY19" i="1" s="1"/>
  <c r="AJ19" i="1"/>
  <c r="AX19" i="1" s="1"/>
  <c r="AI19" i="1"/>
  <c r="AW19" i="1" s="1"/>
  <c r="AH19" i="1"/>
  <c r="AV19" i="1" s="1"/>
  <c r="AG19" i="1"/>
  <c r="AU19" i="1" s="1"/>
  <c r="AF19" i="1"/>
  <c r="AT19" i="1" s="1"/>
  <c r="AE19" i="1"/>
  <c r="AS19" i="1" s="1"/>
  <c r="AP18" i="1"/>
  <c r="BD18" i="1" s="1"/>
  <c r="AO18" i="1"/>
  <c r="BC18" i="1" s="1"/>
  <c r="AN18" i="1"/>
  <c r="BB18" i="1" s="1"/>
  <c r="AM18" i="1"/>
  <c r="BA18" i="1" s="1"/>
  <c r="AL18" i="1"/>
  <c r="AZ18" i="1" s="1"/>
  <c r="AK18" i="1"/>
  <c r="AY18" i="1" s="1"/>
  <c r="AJ18" i="1"/>
  <c r="AX18" i="1" s="1"/>
  <c r="AI18" i="1"/>
  <c r="AW18" i="1" s="1"/>
  <c r="AH18" i="1"/>
  <c r="AV18" i="1" s="1"/>
  <c r="AG18" i="1"/>
  <c r="AU18" i="1" s="1"/>
  <c r="AF18" i="1"/>
  <c r="AT18" i="1" s="1"/>
  <c r="AE18" i="1"/>
  <c r="AS18" i="1" s="1"/>
  <c r="AP17" i="1"/>
  <c r="BD17" i="1" s="1"/>
  <c r="AO17" i="1"/>
  <c r="BC17" i="1" s="1"/>
  <c r="AN17" i="1"/>
  <c r="AM17" i="1"/>
  <c r="AL17" i="1"/>
  <c r="AK17" i="1"/>
  <c r="AJ17" i="1"/>
  <c r="AI17" i="1"/>
  <c r="AH17" i="1"/>
  <c r="AV17" i="1" s="1"/>
  <c r="AG17" i="1"/>
  <c r="AU17" i="1" s="1"/>
  <c r="AF17" i="1"/>
  <c r="AT17" i="1" s="1"/>
  <c r="AE17" i="1"/>
  <c r="AS17" i="1" s="1"/>
  <c r="AP16" i="1"/>
  <c r="BD16" i="1" s="1"/>
  <c r="AO16" i="1"/>
  <c r="BC16" i="1" s="1"/>
  <c r="AN16" i="1"/>
  <c r="BB16" i="1" s="1"/>
  <c r="AM16" i="1"/>
  <c r="BA16" i="1" s="1"/>
  <c r="AL16" i="1"/>
  <c r="AZ16" i="1" s="1"/>
  <c r="AK16" i="1"/>
  <c r="AY16" i="1" s="1"/>
  <c r="AJ16" i="1"/>
  <c r="AX16" i="1" s="1"/>
  <c r="AI16" i="1"/>
  <c r="AW16" i="1" s="1"/>
  <c r="AH16" i="1"/>
  <c r="AV16" i="1" s="1"/>
  <c r="AG16" i="1"/>
  <c r="AF16" i="1"/>
  <c r="AE16" i="1"/>
  <c r="AS16" i="1" s="1"/>
  <c r="AP15" i="1"/>
  <c r="BD15" i="1" s="1"/>
  <c r="AO15" i="1"/>
  <c r="BC15" i="1" s="1"/>
  <c r="AN15" i="1"/>
  <c r="BB15" i="1" s="1"/>
  <c r="AM15" i="1"/>
  <c r="BA15" i="1" s="1"/>
  <c r="AL15" i="1"/>
  <c r="AZ15" i="1" s="1"/>
  <c r="AK15" i="1"/>
  <c r="AY15" i="1" s="1"/>
  <c r="AJ15" i="1"/>
  <c r="AX15" i="1" s="1"/>
  <c r="AI15" i="1"/>
  <c r="AW15" i="1" s="1"/>
  <c r="AH15" i="1"/>
  <c r="AV15" i="1" s="1"/>
  <c r="AG15" i="1"/>
  <c r="AU15" i="1" s="1"/>
  <c r="AF15" i="1"/>
  <c r="AT15" i="1" s="1"/>
  <c r="AE15" i="1"/>
  <c r="AS15" i="1" s="1"/>
  <c r="AP14" i="1"/>
  <c r="BD14" i="1" s="1"/>
  <c r="AO14" i="1"/>
  <c r="BC14" i="1" s="1"/>
  <c r="AN14" i="1"/>
  <c r="BB14" i="1" s="1"/>
  <c r="AM14" i="1"/>
  <c r="BA14" i="1" s="1"/>
  <c r="AL14" i="1"/>
  <c r="AZ14" i="1" s="1"/>
  <c r="AK14" i="1"/>
  <c r="AY14" i="1" s="1"/>
  <c r="AJ14" i="1"/>
  <c r="AX14" i="1" s="1"/>
  <c r="AI14" i="1"/>
  <c r="AW14" i="1" s="1"/>
  <c r="AH14" i="1"/>
  <c r="AV14" i="1" s="1"/>
  <c r="AG14" i="1"/>
  <c r="AU14" i="1" s="1"/>
  <c r="AF14" i="1"/>
  <c r="AT14" i="1" s="1"/>
  <c r="AE14" i="1"/>
  <c r="AS14" i="1" s="1"/>
  <c r="AP13" i="1"/>
  <c r="BD13" i="1" s="1"/>
  <c r="AO13" i="1"/>
  <c r="BC13" i="1" s="1"/>
  <c r="AN13" i="1"/>
  <c r="BB13" i="1" s="1"/>
  <c r="AM13" i="1"/>
  <c r="BA13" i="1" s="1"/>
  <c r="AL13" i="1"/>
  <c r="AZ13" i="1" s="1"/>
  <c r="AK13" i="1"/>
  <c r="AY13" i="1" s="1"/>
  <c r="AJ13" i="1"/>
  <c r="AX13" i="1" s="1"/>
  <c r="AI13" i="1"/>
  <c r="AW13" i="1" s="1"/>
  <c r="AH13" i="1"/>
  <c r="AV13" i="1" s="1"/>
  <c r="AG13" i="1"/>
  <c r="AU13" i="1" s="1"/>
  <c r="AF13" i="1"/>
  <c r="AT13" i="1" s="1"/>
  <c r="AE13" i="1"/>
  <c r="AS13" i="1" s="1"/>
  <c r="AP12" i="1"/>
  <c r="BD12" i="1" s="1"/>
  <c r="AO12" i="1"/>
  <c r="BC12" i="1" s="1"/>
  <c r="AN12" i="1"/>
  <c r="BB12" i="1" s="1"/>
  <c r="AM12" i="1"/>
  <c r="BA12" i="1" s="1"/>
  <c r="AL12" i="1"/>
  <c r="AZ12" i="1" s="1"/>
  <c r="AK12" i="1"/>
  <c r="AY12" i="1" s="1"/>
  <c r="AJ12" i="1"/>
  <c r="AX12" i="1" s="1"/>
  <c r="AI12" i="1"/>
  <c r="AW12" i="1" s="1"/>
  <c r="AH12" i="1"/>
  <c r="AV12" i="1" s="1"/>
  <c r="AG12" i="1"/>
  <c r="AU12" i="1" s="1"/>
  <c r="AF12" i="1"/>
  <c r="AT12" i="1" s="1"/>
  <c r="AE12" i="1"/>
  <c r="AS12" i="1" s="1"/>
  <c r="AP11" i="1"/>
  <c r="AO11" i="1"/>
  <c r="AN11" i="1"/>
  <c r="AM11" i="1"/>
  <c r="AL11" i="1"/>
  <c r="AK11" i="1"/>
  <c r="AY11" i="1" s="1"/>
  <c r="AJ11" i="1"/>
  <c r="AX11" i="1" s="1"/>
  <c r="AI11" i="1"/>
  <c r="AW11" i="1" s="1"/>
  <c r="AH11" i="1"/>
  <c r="AV11" i="1" s="1"/>
  <c r="AG11" i="1"/>
  <c r="AU11" i="1" s="1"/>
  <c r="AF11" i="1"/>
  <c r="AT11" i="1" s="1"/>
  <c r="AE11" i="1"/>
  <c r="AS11" i="1" s="1"/>
  <c r="AP10" i="1"/>
  <c r="AO10" i="1"/>
  <c r="AN10" i="1"/>
  <c r="AM10" i="1"/>
  <c r="AL10" i="1"/>
  <c r="AK10" i="1"/>
  <c r="AJ10" i="1"/>
  <c r="AI10" i="1"/>
  <c r="AH10" i="1"/>
  <c r="AV10" i="1" s="1"/>
  <c r="AG10" i="1"/>
  <c r="AU10" i="1" s="1"/>
  <c r="AF10" i="1"/>
  <c r="AT10" i="1" s="1"/>
  <c r="AE10" i="1"/>
  <c r="AS10" i="1" s="1"/>
  <c r="AP9" i="1"/>
  <c r="AO9" i="1"/>
  <c r="AN9" i="1"/>
  <c r="AM9" i="1"/>
  <c r="AL9" i="1"/>
  <c r="AZ9" i="1" s="1"/>
  <c r="AK9" i="1"/>
  <c r="AY9" i="1" s="1"/>
  <c r="AJ9" i="1"/>
  <c r="AX9" i="1" s="1"/>
  <c r="AI9" i="1"/>
  <c r="AW9" i="1" s="1"/>
  <c r="AH9" i="1"/>
  <c r="AV9" i="1" s="1"/>
  <c r="AG9" i="1"/>
  <c r="AU9" i="1" s="1"/>
  <c r="AF9" i="1"/>
  <c r="AE9" i="1"/>
  <c r="AS9" i="1" s="1"/>
  <c r="AP8" i="1"/>
  <c r="AO8" i="1"/>
  <c r="AN8" i="1"/>
  <c r="AM8" i="1"/>
  <c r="AL8" i="1"/>
  <c r="AK8" i="1"/>
  <c r="AJ8" i="1"/>
  <c r="AI8" i="1"/>
  <c r="AH8" i="1"/>
  <c r="AG8" i="1"/>
  <c r="AF8" i="1"/>
  <c r="AE8" i="1"/>
  <c r="AP6" i="1"/>
  <c r="AO6" i="1"/>
  <c r="AN6" i="1"/>
  <c r="AM6" i="1"/>
  <c r="AL6" i="1"/>
  <c r="AK6" i="1"/>
  <c r="AJ6" i="1"/>
  <c r="AI6" i="1"/>
  <c r="AH6" i="1"/>
  <c r="AG6" i="1"/>
  <c r="AF6" i="1"/>
  <c r="AE6" i="1"/>
  <c r="AP5" i="1"/>
  <c r="AO5" i="1"/>
  <c r="AN5" i="1"/>
  <c r="AM5" i="1"/>
  <c r="AL5" i="1"/>
  <c r="AK5" i="1"/>
  <c r="AJ5" i="1"/>
  <c r="AH5" i="1"/>
  <c r="AG5" i="1"/>
  <c r="AF5" i="1"/>
  <c r="AE5" i="1"/>
  <c r="AS5" i="1" s="1"/>
  <c r="C46" i="8"/>
  <c r="C45" i="8"/>
  <c r="C43" i="8"/>
  <c r="C42" i="8"/>
  <c r="C40" i="8"/>
  <c r="C38" i="8"/>
  <c r="C35" i="8"/>
  <c r="C44" i="8"/>
  <c r="C36" i="8"/>
  <c r="C22" i="8"/>
  <c r="C21" i="8"/>
  <c r="C20" i="8"/>
  <c r="C19" i="8"/>
  <c r="C18" i="8"/>
  <c r="C17" i="8"/>
  <c r="C16" i="8"/>
  <c r="C15" i="8"/>
  <c r="C14" i="8"/>
  <c r="C13" i="8"/>
  <c r="C12" i="8"/>
  <c r="C11" i="8"/>
  <c r="A12" i="8"/>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BT328" i="1"/>
  <c r="BT327" i="1"/>
  <c r="BT204" i="1"/>
  <c r="BT203" i="1"/>
  <c r="BT171" i="1"/>
  <c r="BT170" i="1"/>
  <c r="BT169" i="1"/>
  <c r="BT168" i="1"/>
  <c r="BT167" i="1"/>
  <c r="BT166" i="1"/>
  <c r="BT165" i="1"/>
  <c r="BT164" i="1"/>
  <c r="BT163" i="1"/>
  <c r="BT162" i="1"/>
  <c r="BT161" i="1"/>
  <c r="BT160" i="1"/>
  <c r="BT159" i="1"/>
  <c r="BT158" i="1"/>
  <c r="BT157" i="1"/>
  <c r="BT156" i="1"/>
  <c r="BT155" i="1"/>
  <c r="BT154" i="1"/>
  <c r="BT153" i="1"/>
  <c r="BT152" i="1"/>
  <c r="BT151" i="1"/>
  <c r="BT150" i="1"/>
  <c r="BT149" i="1"/>
  <c r="BT148" i="1"/>
  <c r="BT147" i="1"/>
  <c r="BT146" i="1"/>
  <c r="BT145" i="1"/>
  <c r="BT144" i="1"/>
  <c r="BT143" i="1"/>
  <c r="BT142" i="1"/>
  <c r="BT141" i="1"/>
  <c r="BT140" i="1"/>
  <c r="BT139" i="1"/>
  <c r="BT138" i="1"/>
  <c r="BT137" i="1"/>
  <c r="BT136" i="1"/>
  <c r="BT135" i="1"/>
  <c r="BT134" i="1"/>
  <c r="BT133" i="1"/>
  <c r="BT132" i="1"/>
  <c r="BT131" i="1"/>
  <c r="BT130" i="1"/>
  <c r="BT129" i="1"/>
  <c r="BT128" i="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BT104" i="1"/>
  <c r="BT103" i="1"/>
  <c r="BT102" i="1"/>
  <c r="BT101" i="1"/>
  <c r="BT100" i="1"/>
  <c r="BT99" i="1"/>
  <c r="BT98" i="1"/>
  <c r="BT97" i="1"/>
  <c r="BT96" i="1"/>
  <c r="BT95" i="1"/>
  <c r="BT94" i="1"/>
  <c r="BT93" i="1"/>
  <c r="BT92" i="1"/>
  <c r="BT91" i="1"/>
  <c r="BT90" i="1"/>
  <c r="BT89" i="1"/>
  <c r="BT88" i="1"/>
  <c r="BT87" i="1"/>
  <c r="BT86" i="1"/>
  <c r="BT85" i="1"/>
  <c r="BT84" i="1"/>
  <c r="BT83" i="1"/>
  <c r="BT82" i="1"/>
  <c r="BT81" i="1"/>
  <c r="BT80" i="1"/>
  <c r="BT79" i="1"/>
  <c r="BT78" i="1"/>
  <c r="BT77" i="1"/>
  <c r="BT76" i="1"/>
  <c r="BT75" i="1"/>
  <c r="BT74" i="1"/>
  <c r="BT73" i="1"/>
  <c r="BT72" i="1"/>
  <c r="BT71" i="1"/>
  <c r="BT70" i="1"/>
  <c r="BT69" i="1"/>
  <c r="BT68" i="1"/>
  <c r="BT67" i="1"/>
  <c r="BT66" i="1"/>
  <c r="BT65" i="1"/>
  <c r="BT64" i="1"/>
  <c r="BT63" i="1"/>
  <c r="BT62" i="1"/>
  <c r="BT61" i="1"/>
  <c r="BT60" i="1"/>
  <c r="BT59" i="1"/>
  <c r="BT58" i="1"/>
  <c r="BT57" i="1"/>
  <c r="BT56" i="1"/>
  <c r="BT55" i="1"/>
  <c r="BT54" i="1"/>
  <c r="BT53" i="1"/>
  <c r="BT52" i="1"/>
  <c r="BT51" i="1"/>
  <c r="BT50" i="1"/>
  <c r="BT49" i="1"/>
  <c r="BT48" i="1"/>
  <c r="BT47" i="1"/>
  <c r="BT46" i="1"/>
  <c r="BT45" i="1"/>
  <c r="BT44" i="1"/>
  <c r="BT43" i="1"/>
  <c r="BT42" i="1"/>
  <c r="BT41" i="1"/>
  <c r="BT40" i="1"/>
  <c r="BT39" i="1"/>
  <c r="BT38" i="1"/>
  <c r="BT36" i="1"/>
  <c r="BT35" i="1"/>
  <c r="BT34" i="1"/>
  <c r="BT33" i="1"/>
  <c r="BT32" i="1"/>
  <c r="BT31" i="1"/>
  <c r="BT30" i="1"/>
  <c r="BT29" i="1"/>
  <c r="BT28" i="1"/>
  <c r="BT27" i="1"/>
  <c r="BT26" i="1"/>
  <c r="BT25" i="1"/>
  <c r="BT24" i="1"/>
  <c r="BT23" i="1"/>
  <c r="BT22" i="1"/>
  <c r="BT21" i="1"/>
  <c r="BT20" i="1"/>
  <c r="BT19" i="1"/>
  <c r="BT18" i="1"/>
  <c r="BT17" i="1"/>
  <c r="BT16" i="1"/>
  <c r="BT15" i="1"/>
  <c r="BT14" i="1"/>
  <c r="BT13" i="1"/>
  <c r="BT12" i="1"/>
  <c r="BT11" i="1"/>
  <c r="BT10" i="1"/>
  <c r="BT9" i="1"/>
  <c r="BT8" i="1"/>
  <c r="BT6" i="1"/>
  <c r="BT5" i="1"/>
  <c r="BE35" i="1" l="1"/>
  <c r="AY134" i="1"/>
  <c r="BM134" i="1" s="1"/>
  <c r="AZ134" i="1"/>
  <c r="BN134" i="1" s="1"/>
  <c r="AQ327" i="1"/>
  <c r="BE328" i="1"/>
  <c r="AQ328" i="1"/>
  <c r="BE327" i="1"/>
  <c r="AQ204" i="1"/>
  <c r="BA134" i="1"/>
  <c r="BB134" i="1" s="1"/>
  <c r="BC134" i="1" s="1"/>
  <c r="BD134" i="1" s="1"/>
  <c r="BR134" i="1" s="1"/>
  <c r="AY126" i="1"/>
  <c r="BM126" i="1" s="1"/>
  <c r="AY128" i="1"/>
  <c r="BM128" i="1" s="1"/>
  <c r="AY129" i="1"/>
  <c r="AZ129" i="1" s="1"/>
  <c r="BA129" i="1" s="1"/>
  <c r="BB129" i="1" s="1"/>
  <c r="BC129" i="1" s="1"/>
  <c r="BD129" i="1" s="1"/>
  <c r="BR129" i="1" s="1"/>
  <c r="AQ27" i="1"/>
  <c r="AT58" i="1"/>
  <c r="AU58" i="1" s="1"/>
  <c r="AZ128" i="1"/>
  <c r="BA128" i="1" s="1"/>
  <c r="BB128" i="1" s="1"/>
  <c r="BC128" i="1" s="1"/>
  <c r="BD128" i="1" s="1"/>
  <c r="BR128" i="1" s="1"/>
  <c r="AY125" i="1"/>
  <c r="AZ125" i="1" s="1"/>
  <c r="BN125" i="1" s="1"/>
  <c r="AY127" i="1"/>
  <c r="AZ127" i="1" s="1"/>
  <c r="BA127" i="1" s="1"/>
  <c r="BB127" i="1" s="1"/>
  <c r="BC127" i="1" s="1"/>
  <c r="BD127" i="1" s="1"/>
  <c r="BR127" i="1" s="1"/>
  <c r="AS204" i="1"/>
  <c r="BE204" i="1" s="1"/>
  <c r="AV199" i="1"/>
  <c r="BI199" i="1"/>
  <c r="AZ126" i="1"/>
  <c r="BA126" i="1" s="1"/>
  <c r="BB126" i="1" s="1"/>
  <c r="BC126" i="1" s="1"/>
  <c r="BD126" i="1" s="1"/>
  <c r="BR126" i="1" s="1"/>
  <c r="BA125" i="1"/>
  <c r="BB125" i="1" s="1"/>
  <c r="BC125" i="1" s="1"/>
  <c r="BD125" i="1" s="1"/>
  <c r="BR125" i="1" s="1"/>
  <c r="AQ170" i="1"/>
  <c r="BI198" i="1"/>
  <c r="AV198" i="1"/>
  <c r="BI197" i="1"/>
  <c r="AV197" i="1"/>
  <c r="BE171" i="1"/>
  <c r="AQ168" i="1"/>
  <c r="AQ148" i="1"/>
  <c r="AQ153" i="1"/>
  <c r="AQ163" i="1"/>
  <c r="AQ167" i="1"/>
  <c r="AQ171" i="1"/>
  <c r="AS167" i="1"/>
  <c r="BE167" i="1" s="1"/>
  <c r="BI196" i="1"/>
  <c r="AV196" i="1"/>
  <c r="BE152" i="1"/>
  <c r="BE143" i="1"/>
  <c r="AQ139" i="1"/>
  <c r="AQ143" i="1"/>
  <c r="AS148" i="1"/>
  <c r="BE148" i="1" s="1"/>
  <c r="AQ136" i="1"/>
  <c r="AQ152" i="1"/>
  <c r="AS163" i="1"/>
  <c r="BE163" i="1" s="1"/>
  <c r="AX170" i="1"/>
  <c r="BE170" i="1" s="1"/>
  <c r="AV195" i="1"/>
  <c r="BI195" i="1"/>
  <c r="AQ155" i="1"/>
  <c r="AQ134" i="1"/>
  <c r="AQ203" i="1"/>
  <c r="AY203" i="1"/>
  <c r="BE203" i="1" s="1"/>
  <c r="AQ138" i="1"/>
  <c r="AQ137" i="1"/>
  <c r="AQ142" i="1"/>
  <c r="AQ146" i="1"/>
  <c r="AQ157" i="1"/>
  <c r="AQ169" i="1"/>
  <c r="AS142" i="1"/>
  <c r="BE142" i="1" s="1"/>
  <c r="AQ154" i="1"/>
  <c r="AS169" i="1"/>
  <c r="BE169" i="1" s="1"/>
  <c r="AU168" i="1"/>
  <c r="BE168" i="1" s="1"/>
  <c r="BE165" i="1"/>
  <c r="AQ165" i="1"/>
  <c r="BE166" i="1"/>
  <c r="AQ166" i="1"/>
  <c r="AQ164" i="1"/>
  <c r="AV164" i="1"/>
  <c r="BJ164" i="1" s="1"/>
  <c r="BE162" i="1"/>
  <c r="AQ162" i="1"/>
  <c r="BE161" i="1"/>
  <c r="AQ161" i="1"/>
  <c r="AS157" i="1"/>
  <c r="BG157" i="1" s="1"/>
  <c r="AQ160" i="1"/>
  <c r="AS160" i="1"/>
  <c r="BG160" i="1" s="1"/>
  <c r="AQ156" i="1"/>
  <c r="AS156" i="1"/>
  <c r="BE156" i="1" s="1"/>
  <c r="AQ159" i="1"/>
  <c r="BE159" i="1"/>
  <c r="AQ158" i="1"/>
  <c r="AS154" i="1"/>
  <c r="BE154" i="1" s="1"/>
  <c r="BE158" i="1"/>
  <c r="BE155" i="1"/>
  <c r="AS153" i="1"/>
  <c r="BE153" i="1" s="1"/>
  <c r="BE151" i="1"/>
  <c r="AQ151" i="1"/>
  <c r="AQ150" i="1"/>
  <c r="AS150" i="1"/>
  <c r="BE150" i="1" s="1"/>
  <c r="BE149" i="1"/>
  <c r="AQ149" i="1"/>
  <c r="BE147" i="1"/>
  <c r="AQ147" i="1"/>
  <c r="AS146" i="1"/>
  <c r="BE146" i="1" s="1"/>
  <c r="BE145" i="1"/>
  <c r="AQ145" i="1"/>
  <c r="BE144" i="1"/>
  <c r="AQ144" i="1"/>
  <c r="BE141" i="1"/>
  <c r="AQ141" i="1"/>
  <c r="AQ140" i="1"/>
  <c r="AS137" i="1"/>
  <c r="AQ135" i="1"/>
  <c r="AS135" i="1"/>
  <c r="AQ131" i="1"/>
  <c r="AQ132" i="1"/>
  <c r="AQ133" i="1"/>
  <c r="AS131" i="1"/>
  <c r="AQ130" i="1"/>
  <c r="AS130" i="1"/>
  <c r="AQ129" i="1"/>
  <c r="AQ126" i="1"/>
  <c r="AQ128" i="1"/>
  <c r="AQ127" i="1"/>
  <c r="AT88" i="1"/>
  <c r="AU88" i="1" s="1"/>
  <c r="BI88" i="1" s="1"/>
  <c r="AS126" i="1"/>
  <c r="AQ125" i="1"/>
  <c r="AT87" i="1"/>
  <c r="AU87" i="1" s="1"/>
  <c r="BI87" i="1" s="1"/>
  <c r="AT85" i="1"/>
  <c r="AU85" i="1" s="1"/>
  <c r="BI85" i="1" s="1"/>
  <c r="AQ123" i="1"/>
  <c r="AQ124" i="1"/>
  <c r="AT83" i="1"/>
  <c r="AU83" i="1" s="1"/>
  <c r="BI83" i="1" s="1"/>
  <c r="AS123" i="1"/>
  <c r="AQ121" i="1"/>
  <c r="AQ122" i="1"/>
  <c r="AT55" i="1"/>
  <c r="AU55" i="1" s="1"/>
  <c r="AT82" i="1"/>
  <c r="AU82" i="1" s="1"/>
  <c r="AV82" i="1" s="1"/>
  <c r="AW82" i="1" s="1"/>
  <c r="AX82" i="1" s="1"/>
  <c r="AY82" i="1" s="1"/>
  <c r="AZ82" i="1" s="1"/>
  <c r="BA82" i="1" s="1"/>
  <c r="BB82" i="1" s="1"/>
  <c r="BC82" i="1" s="1"/>
  <c r="BD82" i="1" s="1"/>
  <c r="BR82" i="1" s="1"/>
  <c r="AQ120" i="1"/>
  <c r="AT81" i="1"/>
  <c r="BH81" i="1" s="1"/>
  <c r="AQ119" i="1"/>
  <c r="AQ118" i="1"/>
  <c r="AQ117" i="1"/>
  <c r="AT77" i="1"/>
  <c r="AU77" i="1" s="1"/>
  <c r="BI77" i="1" s="1"/>
  <c r="AQ115" i="1"/>
  <c r="AQ116" i="1"/>
  <c r="AS115" i="1"/>
  <c r="AQ32" i="1"/>
  <c r="AV77" i="1"/>
  <c r="AW77" i="1" s="1"/>
  <c r="AX77" i="1" s="1"/>
  <c r="AY77" i="1" s="1"/>
  <c r="AZ77" i="1" s="1"/>
  <c r="BA77" i="1" s="1"/>
  <c r="BB77" i="1" s="1"/>
  <c r="BC77" i="1" s="1"/>
  <c r="BD77" i="1" s="1"/>
  <c r="BR77" i="1" s="1"/>
  <c r="AQ114" i="1"/>
  <c r="AQ31" i="1"/>
  <c r="AT75" i="1"/>
  <c r="AU75" i="1" s="1"/>
  <c r="AV75" i="1" s="1"/>
  <c r="AW75" i="1" s="1"/>
  <c r="AX75" i="1" s="1"/>
  <c r="AY75" i="1" s="1"/>
  <c r="AZ75" i="1" s="1"/>
  <c r="BA75" i="1" s="1"/>
  <c r="BB75" i="1" s="1"/>
  <c r="BC75" i="1" s="1"/>
  <c r="BD75" i="1" s="1"/>
  <c r="BR75" i="1" s="1"/>
  <c r="AQ106" i="1"/>
  <c r="AQ105" i="1"/>
  <c r="AS105" i="1"/>
  <c r="AQ113" i="1"/>
  <c r="AQ112" i="1"/>
  <c r="AS112" i="1"/>
  <c r="AQ110" i="1"/>
  <c r="AQ109" i="1"/>
  <c r="AQ111" i="1"/>
  <c r="AQ108" i="1"/>
  <c r="AQ107" i="1"/>
  <c r="AQ103" i="1"/>
  <c r="AQ104" i="1"/>
  <c r="AS103" i="1"/>
  <c r="AQ102" i="1"/>
  <c r="AT93" i="1"/>
  <c r="AU93" i="1" s="1"/>
  <c r="AQ97" i="1"/>
  <c r="AQ95" i="1"/>
  <c r="AQ66" i="1"/>
  <c r="AQ93" i="1"/>
  <c r="AQ94" i="1"/>
  <c r="AQ65" i="1"/>
  <c r="AS95" i="1"/>
  <c r="BG95" i="1" s="1"/>
  <c r="AQ38" i="1"/>
  <c r="BE30" i="1"/>
  <c r="BE36" i="1"/>
  <c r="AQ30" i="1"/>
  <c r="AQ36" i="1"/>
  <c r="AQ40" i="1"/>
  <c r="BE31" i="1"/>
  <c r="AZ38" i="1"/>
  <c r="BE38" i="1" s="1"/>
  <c r="BE39" i="1"/>
  <c r="AQ39" i="1"/>
  <c r="AS32" i="1"/>
  <c r="BE32" i="1" s="1"/>
  <c r="BE33" i="1"/>
  <c r="AQ33" i="1"/>
  <c r="AS40" i="1"/>
  <c r="BE40" i="1" s="1"/>
  <c r="BE41" i="1"/>
  <c r="AQ41" i="1"/>
  <c r="BE42" i="1"/>
  <c r="BE34" i="1"/>
  <c r="AQ42" i="1"/>
  <c r="AS27" i="1"/>
  <c r="BE27" i="1" s="1"/>
  <c r="AQ34" i="1"/>
  <c r="AQ99" i="1"/>
  <c r="AQ98" i="1"/>
  <c r="AQ100" i="1"/>
  <c r="AQ101" i="1"/>
  <c r="AS97" i="1"/>
  <c r="AQ96" i="1"/>
  <c r="AQ70" i="1"/>
  <c r="AS66" i="1"/>
  <c r="AQ67" i="1"/>
  <c r="AQ68" i="1"/>
  <c r="AS67" i="1"/>
  <c r="BG67" i="1" s="1"/>
  <c r="AQ71" i="1"/>
  <c r="AQ72" i="1"/>
  <c r="AS71" i="1"/>
  <c r="BG71" i="1" s="1"/>
  <c r="AT69" i="1"/>
  <c r="AU69" i="1" s="1"/>
  <c r="AV69" i="1" s="1"/>
  <c r="AW69" i="1" s="1"/>
  <c r="AX69" i="1" s="1"/>
  <c r="AY69" i="1" s="1"/>
  <c r="AZ69" i="1" s="1"/>
  <c r="BA69" i="1" s="1"/>
  <c r="BB69" i="1" s="1"/>
  <c r="BC69" i="1" s="1"/>
  <c r="BD69" i="1" s="1"/>
  <c r="BR69" i="1" s="1"/>
  <c r="AS72" i="1"/>
  <c r="BG72" i="1" s="1"/>
  <c r="AQ69" i="1"/>
  <c r="AQ73" i="1"/>
  <c r="AQ92" i="1"/>
  <c r="AS92" i="1"/>
  <c r="BE45" i="1"/>
  <c r="AQ45" i="1"/>
  <c r="BE43" i="1"/>
  <c r="AQ43" i="1"/>
  <c r="AS73" i="1"/>
  <c r="BG73" i="1" s="1"/>
  <c r="AQ79" i="1"/>
  <c r="AQ81" i="1"/>
  <c r="AQ74" i="1"/>
  <c r="AQ75" i="1"/>
  <c r="AQ77" i="1"/>
  <c r="AQ82" i="1"/>
  <c r="AT91" i="1"/>
  <c r="AU91" i="1" s="1"/>
  <c r="AV91" i="1" s="1"/>
  <c r="AW91" i="1" s="1"/>
  <c r="AX91" i="1" s="1"/>
  <c r="AY91" i="1" s="1"/>
  <c r="AZ91" i="1" s="1"/>
  <c r="BA91" i="1" s="1"/>
  <c r="BB91" i="1" s="1"/>
  <c r="BC91" i="1" s="1"/>
  <c r="BD91" i="1" s="1"/>
  <c r="BR91" i="1" s="1"/>
  <c r="AQ91" i="1"/>
  <c r="AQ90" i="1"/>
  <c r="AT90" i="1"/>
  <c r="AU90" i="1" s="1"/>
  <c r="AV90" i="1" s="1"/>
  <c r="AQ89" i="1"/>
  <c r="AT89" i="1"/>
  <c r="AU89" i="1" s="1"/>
  <c r="AV89" i="1" s="1"/>
  <c r="AW89" i="1" s="1"/>
  <c r="AX89" i="1" s="1"/>
  <c r="AY89" i="1" s="1"/>
  <c r="AZ89" i="1" s="1"/>
  <c r="BA89" i="1" s="1"/>
  <c r="BB89" i="1" s="1"/>
  <c r="BC89" i="1" s="1"/>
  <c r="BD89" i="1" s="1"/>
  <c r="BR89" i="1" s="1"/>
  <c r="AV83" i="1"/>
  <c r="AW83" i="1" s="1"/>
  <c r="AV85" i="1"/>
  <c r="BJ85" i="1" s="1"/>
  <c r="AV87" i="1"/>
  <c r="AW87" i="1" s="1"/>
  <c r="BK87" i="1" s="1"/>
  <c r="AQ86" i="1"/>
  <c r="AT84" i="1"/>
  <c r="AU84" i="1" s="1"/>
  <c r="AV88" i="1"/>
  <c r="AW88" i="1" s="1"/>
  <c r="AQ84" i="1"/>
  <c r="AQ85" i="1"/>
  <c r="AS86" i="1"/>
  <c r="AT86" i="1" s="1"/>
  <c r="AU86" i="1" s="1"/>
  <c r="AQ83" i="1"/>
  <c r="AQ87" i="1"/>
  <c r="AQ88" i="1"/>
  <c r="AT80" i="1"/>
  <c r="AU80" i="1" s="1"/>
  <c r="AV80" i="1" s="1"/>
  <c r="AW80" i="1" s="1"/>
  <c r="AX80" i="1" s="1"/>
  <c r="AY80" i="1" s="1"/>
  <c r="AZ80" i="1" s="1"/>
  <c r="BA80" i="1" s="1"/>
  <c r="BB80" i="1" s="1"/>
  <c r="BC80" i="1" s="1"/>
  <c r="BD80" i="1" s="1"/>
  <c r="BR80" i="1" s="1"/>
  <c r="AT78" i="1"/>
  <c r="AU78" i="1" s="1"/>
  <c r="AV78" i="1" s="1"/>
  <c r="AW78" i="1" s="1"/>
  <c r="AX78" i="1" s="1"/>
  <c r="AY78" i="1" s="1"/>
  <c r="AZ78" i="1" s="1"/>
  <c r="BA78" i="1" s="1"/>
  <c r="BB78" i="1" s="1"/>
  <c r="BC78" i="1" s="1"/>
  <c r="BD78" i="1" s="1"/>
  <c r="BR78" i="1" s="1"/>
  <c r="AU81" i="1"/>
  <c r="AV81" i="1" s="1"/>
  <c r="AW81" i="1" s="1"/>
  <c r="AX81" i="1" s="1"/>
  <c r="AY81" i="1" s="1"/>
  <c r="AZ81" i="1" s="1"/>
  <c r="BA81" i="1" s="1"/>
  <c r="BB81" i="1" s="1"/>
  <c r="BC81" i="1" s="1"/>
  <c r="BD81" i="1" s="1"/>
  <c r="BR81" i="1" s="1"/>
  <c r="AT76" i="1"/>
  <c r="AU76" i="1" s="1"/>
  <c r="AV76" i="1" s="1"/>
  <c r="AW76" i="1" s="1"/>
  <c r="AX76" i="1" s="1"/>
  <c r="AY76" i="1" s="1"/>
  <c r="AZ76" i="1" s="1"/>
  <c r="BA76" i="1" s="1"/>
  <c r="BB76" i="1" s="1"/>
  <c r="BC76" i="1" s="1"/>
  <c r="BD76" i="1" s="1"/>
  <c r="BR76" i="1" s="1"/>
  <c r="AT74" i="1"/>
  <c r="AU74" i="1" s="1"/>
  <c r="AV74" i="1" s="1"/>
  <c r="AW74" i="1" s="1"/>
  <c r="AX74" i="1" s="1"/>
  <c r="AY74" i="1" s="1"/>
  <c r="AZ74" i="1" s="1"/>
  <c r="BA74" i="1" s="1"/>
  <c r="BB74" i="1" s="1"/>
  <c r="BC74" i="1" s="1"/>
  <c r="BD74" i="1" s="1"/>
  <c r="BR74" i="1" s="1"/>
  <c r="AQ76" i="1"/>
  <c r="AQ78" i="1"/>
  <c r="AT79" i="1"/>
  <c r="AU79" i="1" s="1"/>
  <c r="AV79" i="1" s="1"/>
  <c r="AW79" i="1" s="1"/>
  <c r="AX79" i="1" s="1"/>
  <c r="AY79" i="1" s="1"/>
  <c r="AZ79" i="1" s="1"/>
  <c r="BA79" i="1" s="1"/>
  <c r="BB79" i="1" s="1"/>
  <c r="BC79" i="1" s="1"/>
  <c r="BD79" i="1" s="1"/>
  <c r="BR79" i="1" s="1"/>
  <c r="AQ80" i="1"/>
  <c r="AS70" i="1"/>
  <c r="BG70" i="1" s="1"/>
  <c r="AQ63" i="1"/>
  <c r="AQ64" i="1"/>
  <c r="AQ62" i="1"/>
  <c r="AQ61" i="1"/>
  <c r="AQ44" i="1"/>
  <c r="AQ60" i="1"/>
  <c r="AQ47" i="1"/>
  <c r="AQ57" i="1"/>
  <c r="AQ59" i="1"/>
  <c r="AS57" i="1"/>
  <c r="AQ56" i="1"/>
  <c r="AQ58" i="1"/>
  <c r="AQ55" i="1"/>
  <c r="AQ48" i="1"/>
  <c r="AQ49" i="1"/>
  <c r="AQ50" i="1"/>
  <c r="AQ52" i="1"/>
  <c r="AQ54" i="1"/>
  <c r="AQ51" i="1"/>
  <c r="AQ53" i="1"/>
  <c r="AS54" i="1"/>
  <c r="BG54" i="1" s="1"/>
  <c r="AS52" i="1"/>
  <c r="BG52" i="1" s="1"/>
  <c r="AS50" i="1"/>
  <c r="BG50" i="1" s="1"/>
  <c r="AS53" i="1"/>
  <c r="AT53" i="1" s="1"/>
  <c r="AS49" i="1"/>
  <c r="AS48" i="1"/>
  <c r="BG48" i="1" s="1"/>
  <c r="AS51" i="1"/>
  <c r="AT47" i="1"/>
  <c r="BE47" i="1" s="1"/>
  <c r="BE46" i="1"/>
  <c r="AQ46" i="1"/>
  <c r="AW44" i="1"/>
  <c r="BE44" i="1" s="1"/>
  <c r="AQ35" i="1"/>
  <c r="AQ29" i="1"/>
  <c r="AS29" i="1"/>
  <c r="BE29" i="1" s="1"/>
  <c r="AQ28" i="1"/>
  <c r="AS28" i="1"/>
  <c r="BG28" i="1" s="1"/>
  <c r="BE24" i="1"/>
  <c r="BE26" i="1"/>
  <c r="BE25" i="1"/>
  <c r="AQ24" i="1"/>
  <c r="AQ25" i="1"/>
  <c r="AQ26" i="1"/>
  <c r="AT16" i="1"/>
  <c r="BH16" i="1" s="1"/>
  <c r="AU16" i="1"/>
  <c r="AW17" i="1"/>
  <c r="AX17" i="1" s="1"/>
  <c r="AZ11" i="1"/>
  <c r="BA11" i="1" s="1"/>
  <c r="AW10" i="1"/>
  <c r="BK10" i="1" s="1"/>
  <c r="AX10" i="1"/>
  <c r="AY10" i="1" s="1"/>
  <c r="AQ22" i="1"/>
  <c r="AQ23" i="1"/>
  <c r="BE23" i="1"/>
  <c r="AS22" i="1"/>
  <c r="BE22" i="1" s="1"/>
  <c r="BE14" i="1"/>
  <c r="AQ16" i="1"/>
  <c r="AQ17" i="1"/>
  <c r="AQ19" i="1"/>
  <c r="AQ11" i="1"/>
  <c r="AQ13" i="1"/>
  <c r="AQ18" i="1"/>
  <c r="AQ20" i="1"/>
  <c r="AQ15" i="1"/>
  <c r="BE19" i="1"/>
  <c r="BE12" i="1"/>
  <c r="BE21" i="1"/>
  <c r="BE13" i="1"/>
  <c r="BE20" i="1"/>
  <c r="BE18" i="1"/>
  <c r="BE15" i="1"/>
  <c r="AQ12" i="1"/>
  <c r="AQ14" i="1"/>
  <c r="AQ21" i="1"/>
  <c r="AQ10" i="1"/>
  <c r="AQ8" i="1"/>
  <c r="AQ6" i="1"/>
  <c r="AQ5" i="1"/>
  <c r="AQ9" i="1"/>
  <c r="AS8" i="1"/>
  <c r="AT8" i="1" s="1"/>
  <c r="AU8" i="1" s="1"/>
  <c r="AS6" i="1"/>
  <c r="AT9" i="1"/>
  <c r="BA9" i="1"/>
  <c r="BO9" i="1" s="1"/>
  <c r="AV8" i="1"/>
  <c r="AW8" i="1" s="1"/>
  <c r="AX8" i="1" s="1"/>
  <c r="AY8" i="1" s="1"/>
  <c r="AZ8" i="1" s="1"/>
  <c r="BA8" i="1" s="1"/>
  <c r="BB8" i="1" s="1"/>
  <c r="BC8" i="1" s="1"/>
  <c r="BD8" i="1" s="1"/>
  <c r="B5" i="8" a="1"/>
  <c r="B5" i="8" s="1"/>
  <c r="B6" i="8" s="1"/>
  <c r="G5" i="8"/>
  <c r="C37" i="8"/>
  <c r="D46" i="8" s="1"/>
  <c r="D5" i="8"/>
  <c r="J5" i="8"/>
  <c r="D22" i="8"/>
  <c r="BR328" i="1"/>
  <c r="BQ328" i="1"/>
  <c r="BP328" i="1"/>
  <c r="BO328" i="1"/>
  <c r="BN328" i="1"/>
  <c r="BM328" i="1"/>
  <c r="BL328" i="1"/>
  <c r="BK328" i="1"/>
  <c r="BJ328" i="1"/>
  <c r="BI328" i="1"/>
  <c r="BH328" i="1"/>
  <c r="BG328" i="1"/>
  <c r="BR327" i="1"/>
  <c r="BQ327" i="1"/>
  <c r="BP327" i="1"/>
  <c r="BO327" i="1"/>
  <c r="BN327" i="1"/>
  <c r="BM327" i="1"/>
  <c r="BL327" i="1"/>
  <c r="BK327" i="1"/>
  <c r="BJ327" i="1"/>
  <c r="BI327" i="1"/>
  <c r="BH327" i="1"/>
  <c r="BG327" i="1"/>
  <c r="BR204" i="1"/>
  <c r="BQ204" i="1"/>
  <c r="BP204" i="1"/>
  <c r="BO204" i="1"/>
  <c r="BN204" i="1"/>
  <c r="BM204" i="1"/>
  <c r="BL204" i="1"/>
  <c r="BK204" i="1"/>
  <c r="BJ204" i="1"/>
  <c r="BI204" i="1"/>
  <c r="BH204" i="1"/>
  <c r="BR203" i="1"/>
  <c r="BQ203" i="1"/>
  <c r="BP203" i="1"/>
  <c r="BO203" i="1"/>
  <c r="BN203" i="1"/>
  <c r="BL203" i="1"/>
  <c r="BK203" i="1"/>
  <c r="BJ203" i="1"/>
  <c r="BI203" i="1"/>
  <c r="BH203" i="1"/>
  <c r="BG203" i="1"/>
  <c r="BR171" i="1"/>
  <c r="BQ171" i="1"/>
  <c r="BP171" i="1"/>
  <c r="BO171" i="1"/>
  <c r="BN171" i="1"/>
  <c r="BM171" i="1"/>
  <c r="BL171" i="1"/>
  <c r="BK171" i="1"/>
  <c r="BJ171" i="1"/>
  <c r="BI171" i="1"/>
  <c r="BH171" i="1"/>
  <c r="BG171" i="1"/>
  <c r="BS171" i="1" s="1"/>
  <c r="BR170" i="1"/>
  <c r="BQ170" i="1"/>
  <c r="BP170" i="1"/>
  <c r="BO170" i="1"/>
  <c r="BN170" i="1"/>
  <c r="BM170" i="1"/>
  <c r="BK170" i="1"/>
  <c r="BJ170" i="1"/>
  <c r="BI170" i="1"/>
  <c r="BH170" i="1"/>
  <c r="BG170" i="1"/>
  <c r="BR169" i="1"/>
  <c r="BQ169" i="1"/>
  <c r="BP169" i="1"/>
  <c r="BO169" i="1"/>
  <c r="BN169" i="1"/>
  <c r="BM169" i="1"/>
  <c r="BL169" i="1"/>
  <c r="BK169" i="1"/>
  <c r="BJ169" i="1"/>
  <c r="BI169" i="1"/>
  <c r="BH169" i="1"/>
  <c r="BR168" i="1"/>
  <c r="BQ168" i="1"/>
  <c r="BP168" i="1"/>
  <c r="BO168" i="1"/>
  <c r="BN168" i="1"/>
  <c r="BM168" i="1"/>
  <c r="BL168" i="1"/>
  <c r="BK168" i="1"/>
  <c r="BJ168" i="1"/>
  <c r="BH168" i="1"/>
  <c r="BG168" i="1"/>
  <c r="BR167" i="1"/>
  <c r="BQ167" i="1"/>
  <c r="BP167" i="1"/>
  <c r="BO167" i="1"/>
  <c r="BN167" i="1"/>
  <c r="BM167" i="1"/>
  <c r="BL167" i="1"/>
  <c r="BK167" i="1"/>
  <c r="BJ167" i="1"/>
  <c r="BI167" i="1"/>
  <c r="BH167" i="1"/>
  <c r="BR166" i="1"/>
  <c r="BQ166" i="1"/>
  <c r="BP166" i="1"/>
  <c r="BO166" i="1"/>
  <c r="BN166" i="1"/>
  <c r="BM166" i="1"/>
  <c r="BL166" i="1"/>
  <c r="BK166" i="1"/>
  <c r="BJ166" i="1"/>
  <c r="BI166" i="1"/>
  <c r="BH166" i="1"/>
  <c r="BG166" i="1"/>
  <c r="BS166" i="1" s="1"/>
  <c r="BR165" i="1"/>
  <c r="BQ165" i="1"/>
  <c r="BP165" i="1"/>
  <c r="BO165" i="1"/>
  <c r="BN165" i="1"/>
  <c r="BM165" i="1"/>
  <c r="BL165" i="1"/>
  <c r="BK165" i="1"/>
  <c r="BJ165" i="1"/>
  <c r="BI165" i="1"/>
  <c r="BH165" i="1"/>
  <c r="BG165" i="1"/>
  <c r="BS165" i="1" s="1"/>
  <c r="BR164" i="1"/>
  <c r="BQ164" i="1"/>
  <c r="BP164" i="1"/>
  <c r="BO164" i="1"/>
  <c r="BN164" i="1"/>
  <c r="BM164" i="1"/>
  <c r="BL164" i="1"/>
  <c r="BK164" i="1"/>
  <c r="BI164" i="1"/>
  <c r="BH164" i="1"/>
  <c r="BG164" i="1"/>
  <c r="BS164" i="1" s="1"/>
  <c r="BR163" i="1"/>
  <c r="BQ163" i="1"/>
  <c r="BP163" i="1"/>
  <c r="BO163" i="1"/>
  <c r="BN163" i="1"/>
  <c r="BM163" i="1"/>
  <c r="BL163" i="1"/>
  <c r="BK163" i="1"/>
  <c r="BJ163" i="1"/>
  <c r="BI163" i="1"/>
  <c r="BH163" i="1"/>
  <c r="BR162" i="1"/>
  <c r="BQ162" i="1"/>
  <c r="BP162" i="1"/>
  <c r="BO162" i="1"/>
  <c r="BN162" i="1"/>
  <c r="BM162" i="1"/>
  <c r="BL162" i="1"/>
  <c r="BK162" i="1"/>
  <c r="BJ162" i="1"/>
  <c r="BI162" i="1"/>
  <c r="BH162" i="1"/>
  <c r="BG162" i="1"/>
  <c r="BS162" i="1" s="1"/>
  <c r="BR161" i="1"/>
  <c r="BQ161" i="1"/>
  <c r="BP161" i="1"/>
  <c r="BO161" i="1"/>
  <c r="BN161" i="1"/>
  <c r="BM161" i="1"/>
  <c r="BL161" i="1"/>
  <c r="BK161" i="1"/>
  <c r="BJ161" i="1"/>
  <c r="BI161" i="1"/>
  <c r="BH161" i="1"/>
  <c r="BG161" i="1"/>
  <c r="BS161" i="1" s="1"/>
  <c r="BR160" i="1"/>
  <c r="BQ160" i="1"/>
  <c r="BP160" i="1"/>
  <c r="BO160" i="1"/>
  <c r="BN160" i="1"/>
  <c r="BM160" i="1"/>
  <c r="BL160" i="1"/>
  <c r="BK160" i="1"/>
  <c r="BJ160" i="1"/>
  <c r="BI160" i="1"/>
  <c r="BH160" i="1"/>
  <c r="BR159" i="1"/>
  <c r="BQ159" i="1"/>
  <c r="BP159" i="1"/>
  <c r="BO159" i="1"/>
  <c r="BN159" i="1"/>
  <c r="BM159" i="1"/>
  <c r="BL159" i="1"/>
  <c r="BK159" i="1"/>
  <c r="BJ159" i="1"/>
  <c r="BI159" i="1"/>
  <c r="BH159" i="1"/>
  <c r="BG159" i="1"/>
  <c r="BS159" i="1" s="1"/>
  <c r="BR158" i="1"/>
  <c r="BQ158" i="1"/>
  <c r="BP158" i="1"/>
  <c r="BO158" i="1"/>
  <c r="BN158" i="1"/>
  <c r="BM158" i="1"/>
  <c r="BL158" i="1"/>
  <c r="BK158" i="1"/>
  <c r="BJ158" i="1"/>
  <c r="BI158" i="1"/>
  <c r="BH158" i="1"/>
  <c r="BG158" i="1"/>
  <c r="BS158" i="1" s="1"/>
  <c r="BR157" i="1"/>
  <c r="BQ157" i="1"/>
  <c r="BP157" i="1"/>
  <c r="BO157" i="1"/>
  <c r="BN157" i="1"/>
  <c r="BM157" i="1"/>
  <c r="BL157" i="1"/>
  <c r="BK157" i="1"/>
  <c r="BJ157" i="1"/>
  <c r="BI157" i="1"/>
  <c r="BH157" i="1"/>
  <c r="BR156" i="1"/>
  <c r="BQ156" i="1"/>
  <c r="BP156" i="1"/>
  <c r="BO156" i="1"/>
  <c r="BN156" i="1"/>
  <c r="BM156" i="1"/>
  <c r="BL156" i="1"/>
  <c r="BK156" i="1"/>
  <c r="BJ156" i="1"/>
  <c r="BI156" i="1"/>
  <c r="BH156" i="1"/>
  <c r="BR155" i="1"/>
  <c r="BQ155" i="1"/>
  <c r="BP155" i="1"/>
  <c r="BO155" i="1"/>
  <c r="BN155" i="1"/>
  <c r="BM155" i="1"/>
  <c r="BL155" i="1"/>
  <c r="BK155" i="1"/>
  <c r="BJ155" i="1"/>
  <c r="BI155" i="1"/>
  <c r="BH155" i="1"/>
  <c r="BG155" i="1"/>
  <c r="BS155" i="1" s="1"/>
  <c r="BR154" i="1"/>
  <c r="BQ154" i="1"/>
  <c r="BP154" i="1"/>
  <c r="BO154" i="1"/>
  <c r="BN154" i="1"/>
  <c r="BM154" i="1"/>
  <c r="BL154" i="1"/>
  <c r="BK154" i="1"/>
  <c r="BJ154" i="1"/>
  <c r="BI154" i="1"/>
  <c r="BH154" i="1"/>
  <c r="BR153" i="1"/>
  <c r="BQ153" i="1"/>
  <c r="BP153" i="1"/>
  <c r="BO153" i="1"/>
  <c r="BN153" i="1"/>
  <c r="BM153" i="1"/>
  <c r="BL153" i="1"/>
  <c r="BK153" i="1"/>
  <c r="BJ153" i="1"/>
  <c r="BI153" i="1"/>
  <c r="BH153" i="1"/>
  <c r="BR152" i="1"/>
  <c r="BQ152" i="1"/>
  <c r="BP152" i="1"/>
  <c r="BO152" i="1"/>
  <c r="BN152" i="1"/>
  <c r="BM152" i="1"/>
  <c r="BL152" i="1"/>
  <c r="BK152" i="1"/>
  <c r="BJ152" i="1"/>
  <c r="BI152" i="1"/>
  <c r="BH152" i="1"/>
  <c r="BG152" i="1"/>
  <c r="BS152" i="1" s="1"/>
  <c r="BR151" i="1"/>
  <c r="BQ151" i="1"/>
  <c r="BP151" i="1"/>
  <c r="BO151" i="1"/>
  <c r="BN151" i="1"/>
  <c r="BM151" i="1"/>
  <c r="BL151" i="1"/>
  <c r="BK151" i="1"/>
  <c r="BJ151" i="1"/>
  <c r="BI151" i="1"/>
  <c r="BH151" i="1"/>
  <c r="BG151" i="1"/>
  <c r="BS151" i="1" s="1"/>
  <c r="BR150" i="1"/>
  <c r="BQ150" i="1"/>
  <c r="BP150" i="1"/>
  <c r="BO150" i="1"/>
  <c r="BN150" i="1"/>
  <c r="BM150" i="1"/>
  <c r="BL150" i="1"/>
  <c r="BK150" i="1"/>
  <c r="BJ150" i="1"/>
  <c r="BI150" i="1"/>
  <c r="BH150" i="1"/>
  <c r="BR149" i="1"/>
  <c r="BQ149" i="1"/>
  <c r="BP149" i="1"/>
  <c r="BO149" i="1"/>
  <c r="BN149" i="1"/>
  <c r="BM149" i="1"/>
  <c r="BL149" i="1"/>
  <c r="BK149" i="1"/>
  <c r="BJ149" i="1"/>
  <c r="BI149" i="1"/>
  <c r="BH149" i="1"/>
  <c r="BG149" i="1"/>
  <c r="BS149" i="1" s="1"/>
  <c r="BR148" i="1"/>
  <c r="BQ148" i="1"/>
  <c r="BP148" i="1"/>
  <c r="BO148" i="1"/>
  <c r="BN148" i="1"/>
  <c r="BM148" i="1"/>
  <c r="BL148" i="1"/>
  <c r="BK148" i="1"/>
  <c r="BJ148" i="1"/>
  <c r="BI148" i="1"/>
  <c r="BH148" i="1"/>
  <c r="BR147" i="1"/>
  <c r="BQ147" i="1"/>
  <c r="BP147" i="1"/>
  <c r="BO147" i="1"/>
  <c r="BN147" i="1"/>
  <c r="BM147" i="1"/>
  <c r="BL147" i="1"/>
  <c r="BK147" i="1"/>
  <c r="BJ147" i="1"/>
  <c r="BI147" i="1"/>
  <c r="BH147" i="1"/>
  <c r="BG147" i="1"/>
  <c r="BS147" i="1" s="1"/>
  <c r="BR146" i="1"/>
  <c r="BQ146" i="1"/>
  <c r="BP146" i="1"/>
  <c r="BO146" i="1"/>
  <c r="BN146" i="1"/>
  <c r="BM146" i="1"/>
  <c r="BL146" i="1"/>
  <c r="BK146" i="1"/>
  <c r="BJ146" i="1"/>
  <c r="BI146" i="1"/>
  <c r="BH146" i="1"/>
  <c r="BR145" i="1"/>
  <c r="BQ145" i="1"/>
  <c r="BP145" i="1"/>
  <c r="BO145" i="1"/>
  <c r="BN145" i="1"/>
  <c r="BM145" i="1"/>
  <c r="BL145" i="1"/>
  <c r="BK145" i="1"/>
  <c r="BJ145" i="1"/>
  <c r="BI145" i="1"/>
  <c r="BH145" i="1"/>
  <c r="BG145" i="1"/>
  <c r="BS145" i="1" s="1"/>
  <c r="BR144" i="1"/>
  <c r="BQ144" i="1"/>
  <c r="BP144" i="1"/>
  <c r="BO144" i="1"/>
  <c r="BN144" i="1"/>
  <c r="BM144" i="1"/>
  <c r="BL144" i="1"/>
  <c r="BK144" i="1"/>
  <c r="BJ144" i="1"/>
  <c r="BI144" i="1"/>
  <c r="BH144" i="1"/>
  <c r="BG144" i="1"/>
  <c r="BS144" i="1" s="1"/>
  <c r="BR143" i="1"/>
  <c r="BQ143" i="1"/>
  <c r="BP143" i="1"/>
  <c r="BO143" i="1"/>
  <c r="BN143" i="1"/>
  <c r="BM143" i="1"/>
  <c r="BL143" i="1"/>
  <c r="BK143" i="1"/>
  <c r="BJ143" i="1"/>
  <c r="BI143" i="1"/>
  <c r="BH143" i="1"/>
  <c r="BG143" i="1"/>
  <c r="BS143" i="1" s="1"/>
  <c r="BR142" i="1"/>
  <c r="BQ142" i="1"/>
  <c r="BP142" i="1"/>
  <c r="BO142" i="1"/>
  <c r="BN142" i="1"/>
  <c r="BM142" i="1"/>
  <c r="BL142" i="1"/>
  <c r="BK142" i="1"/>
  <c r="BJ142" i="1"/>
  <c r="BI142" i="1"/>
  <c r="BH142" i="1"/>
  <c r="BR141" i="1"/>
  <c r="BQ141" i="1"/>
  <c r="BP141" i="1"/>
  <c r="BO141" i="1"/>
  <c r="BN141" i="1"/>
  <c r="BM141" i="1"/>
  <c r="BL141" i="1"/>
  <c r="BK141" i="1"/>
  <c r="BJ141" i="1"/>
  <c r="BI141" i="1"/>
  <c r="BH141" i="1"/>
  <c r="BG141" i="1"/>
  <c r="BS141" i="1" s="1"/>
  <c r="BG140" i="1"/>
  <c r="BG139" i="1"/>
  <c r="BG138" i="1"/>
  <c r="BG136" i="1"/>
  <c r="BL134" i="1"/>
  <c r="BK134" i="1"/>
  <c r="BJ134" i="1"/>
  <c r="BI134" i="1"/>
  <c r="BH134" i="1"/>
  <c r="BG134" i="1"/>
  <c r="BG133" i="1"/>
  <c r="BG132" i="1"/>
  <c r="BL129" i="1"/>
  <c r="BK129" i="1"/>
  <c r="BJ129" i="1"/>
  <c r="BI129" i="1"/>
  <c r="BH129" i="1"/>
  <c r="BG129" i="1"/>
  <c r="BL128" i="1"/>
  <c r="BK128" i="1"/>
  <c r="BJ128" i="1"/>
  <c r="BI128" i="1"/>
  <c r="BH128" i="1"/>
  <c r="BG128" i="1"/>
  <c r="BL127" i="1"/>
  <c r="BK127" i="1"/>
  <c r="BJ127" i="1"/>
  <c r="BI127" i="1"/>
  <c r="BH127" i="1"/>
  <c r="BG127" i="1"/>
  <c r="BL126" i="1"/>
  <c r="BK126" i="1"/>
  <c r="BJ126" i="1"/>
  <c r="BI126" i="1"/>
  <c r="BH126" i="1"/>
  <c r="BL125" i="1"/>
  <c r="BK125" i="1"/>
  <c r="BJ125" i="1"/>
  <c r="BI125" i="1"/>
  <c r="BH125" i="1"/>
  <c r="BG125" i="1"/>
  <c r="BG124" i="1"/>
  <c r="BG122" i="1"/>
  <c r="BG121" i="1"/>
  <c r="BG120" i="1"/>
  <c r="BG119" i="1"/>
  <c r="BG118" i="1"/>
  <c r="BG117" i="1"/>
  <c r="BG116" i="1"/>
  <c r="BG114" i="1"/>
  <c r="BG113" i="1"/>
  <c r="BG111" i="1"/>
  <c r="BG110" i="1"/>
  <c r="BG109" i="1"/>
  <c r="BG108" i="1"/>
  <c r="BG107" i="1"/>
  <c r="BG106" i="1"/>
  <c r="BG104" i="1"/>
  <c r="BG102" i="1"/>
  <c r="BG101" i="1"/>
  <c r="BG100" i="1"/>
  <c r="BG99" i="1"/>
  <c r="BG98" i="1"/>
  <c r="BG96" i="1"/>
  <c r="BG94" i="1"/>
  <c r="BG93" i="1"/>
  <c r="BG91" i="1"/>
  <c r="BG90" i="1"/>
  <c r="BG89" i="1"/>
  <c r="BG88" i="1"/>
  <c r="BG87" i="1"/>
  <c r="BG85" i="1"/>
  <c r="BG84" i="1"/>
  <c r="BG83" i="1"/>
  <c r="BG82" i="1"/>
  <c r="BG81" i="1"/>
  <c r="BG80" i="1"/>
  <c r="BG79" i="1"/>
  <c r="BG78" i="1"/>
  <c r="BG77" i="1"/>
  <c r="BG76" i="1"/>
  <c r="BG75" i="1"/>
  <c r="BG74" i="1"/>
  <c r="BG69" i="1"/>
  <c r="BG68" i="1"/>
  <c r="BG65" i="1"/>
  <c r="BG64" i="1"/>
  <c r="BG63" i="1"/>
  <c r="BG62" i="1"/>
  <c r="BG61" i="1"/>
  <c r="BG60" i="1"/>
  <c r="BG59" i="1"/>
  <c r="BG58" i="1"/>
  <c r="BG56" i="1"/>
  <c r="BG55" i="1"/>
  <c r="BR47" i="1"/>
  <c r="BQ47" i="1"/>
  <c r="BP47" i="1"/>
  <c r="BO47" i="1"/>
  <c r="BN47" i="1"/>
  <c r="BM47" i="1"/>
  <c r="BL47" i="1"/>
  <c r="BK47" i="1"/>
  <c r="BJ47" i="1"/>
  <c r="BI47" i="1"/>
  <c r="BG47" i="1"/>
  <c r="BR46" i="1"/>
  <c r="BQ46" i="1"/>
  <c r="BP46" i="1"/>
  <c r="BO46" i="1"/>
  <c r="BN46" i="1"/>
  <c r="BM46" i="1"/>
  <c r="BL46" i="1"/>
  <c r="BK46" i="1"/>
  <c r="BJ46" i="1"/>
  <c r="BI46" i="1"/>
  <c r="BH46" i="1"/>
  <c r="BG46" i="1"/>
  <c r="BS46" i="1" s="1"/>
  <c r="BR45" i="1"/>
  <c r="BQ45" i="1"/>
  <c r="BP45" i="1"/>
  <c r="BO45" i="1"/>
  <c r="BN45" i="1"/>
  <c r="BM45" i="1"/>
  <c r="BL45" i="1"/>
  <c r="BK45" i="1"/>
  <c r="BJ45" i="1"/>
  <c r="BI45" i="1"/>
  <c r="BH45" i="1"/>
  <c r="BG45" i="1"/>
  <c r="BS45" i="1" s="1"/>
  <c r="BR44" i="1"/>
  <c r="BQ44" i="1"/>
  <c r="BP44" i="1"/>
  <c r="BO44" i="1"/>
  <c r="BN44" i="1"/>
  <c r="BM44" i="1"/>
  <c r="BL44" i="1"/>
  <c r="BJ44" i="1"/>
  <c r="BI44" i="1"/>
  <c r="BH44" i="1"/>
  <c r="BG44" i="1"/>
  <c r="BR43" i="1"/>
  <c r="BQ43" i="1"/>
  <c r="BP43" i="1"/>
  <c r="BO43" i="1"/>
  <c r="BN43" i="1"/>
  <c r="BM43" i="1"/>
  <c r="BL43" i="1"/>
  <c r="BK43" i="1"/>
  <c r="BJ43" i="1"/>
  <c r="BI43" i="1"/>
  <c r="BH43" i="1"/>
  <c r="BG43" i="1"/>
  <c r="BS43" i="1" s="1"/>
  <c r="BR42" i="1"/>
  <c r="BQ42" i="1"/>
  <c r="BP42" i="1"/>
  <c r="BO42" i="1"/>
  <c r="BN42" i="1"/>
  <c r="BM42" i="1"/>
  <c r="BL42" i="1"/>
  <c r="BK42" i="1"/>
  <c r="BJ42" i="1"/>
  <c r="BI42" i="1"/>
  <c r="BH42" i="1"/>
  <c r="BG42" i="1"/>
  <c r="BS42" i="1" s="1"/>
  <c r="BR41" i="1"/>
  <c r="BQ41" i="1"/>
  <c r="BP41" i="1"/>
  <c r="BO41" i="1"/>
  <c r="BN41" i="1"/>
  <c r="BM41" i="1"/>
  <c r="BL41" i="1"/>
  <c r="BK41" i="1"/>
  <c r="BJ41" i="1"/>
  <c r="BI41" i="1"/>
  <c r="BH41" i="1"/>
  <c r="BG41" i="1"/>
  <c r="BS41" i="1" s="1"/>
  <c r="BR40" i="1"/>
  <c r="BQ40" i="1"/>
  <c r="BP40" i="1"/>
  <c r="BO40" i="1"/>
  <c r="BN40" i="1"/>
  <c r="BM40" i="1"/>
  <c r="BL40" i="1"/>
  <c r="BK40" i="1"/>
  <c r="BJ40" i="1"/>
  <c r="BI40" i="1"/>
  <c r="BH40" i="1"/>
  <c r="BR39" i="1"/>
  <c r="BQ39" i="1"/>
  <c r="BP39" i="1"/>
  <c r="BO39" i="1"/>
  <c r="BN39" i="1"/>
  <c r="BM39" i="1"/>
  <c r="BL39" i="1"/>
  <c r="BK39" i="1"/>
  <c r="BJ39" i="1"/>
  <c r="BI39" i="1"/>
  <c r="BH39" i="1"/>
  <c r="BG39" i="1"/>
  <c r="BS39" i="1" s="1"/>
  <c r="BR38" i="1"/>
  <c r="BQ38" i="1"/>
  <c r="BP38" i="1"/>
  <c r="BO38" i="1"/>
  <c r="BM38" i="1"/>
  <c r="BL38" i="1"/>
  <c r="BK38" i="1"/>
  <c r="BJ38" i="1"/>
  <c r="BI38" i="1"/>
  <c r="BH38" i="1"/>
  <c r="BG38" i="1"/>
  <c r="BR36" i="1"/>
  <c r="BQ36" i="1"/>
  <c r="BP36" i="1"/>
  <c r="BO36" i="1"/>
  <c r="BN36" i="1"/>
  <c r="BM36" i="1"/>
  <c r="BL36" i="1"/>
  <c r="BK36" i="1"/>
  <c r="BJ36" i="1"/>
  <c r="BI36" i="1"/>
  <c r="BH36" i="1"/>
  <c r="BG36" i="1"/>
  <c r="BS36" i="1" s="1"/>
  <c r="BR35" i="1"/>
  <c r="BQ35" i="1"/>
  <c r="BP35" i="1"/>
  <c r="BO35" i="1"/>
  <c r="BN35" i="1"/>
  <c r="BM35" i="1"/>
  <c r="BL35" i="1"/>
  <c r="BK35" i="1"/>
  <c r="BJ35" i="1"/>
  <c r="BI35" i="1"/>
  <c r="BH35" i="1"/>
  <c r="BG35" i="1"/>
  <c r="BS35" i="1" s="1"/>
  <c r="BR34" i="1"/>
  <c r="BQ34" i="1"/>
  <c r="BP34" i="1"/>
  <c r="BO34" i="1"/>
  <c r="BN34" i="1"/>
  <c r="BM34" i="1"/>
  <c r="BL34" i="1"/>
  <c r="BK34" i="1"/>
  <c r="BJ34" i="1"/>
  <c r="BI34" i="1"/>
  <c r="BH34" i="1"/>
  <c r="BG34" i="1"/>
  <c r="BS34" i="1" s="1"/>
  <c r="BR33" i="1"/>
  <c r="BQ33" i="1"/>
  <c r="BP33" i="1"/>
  <c r="BO33" i="1"/>
  <c r="BN33" i="1"/>
  <c r="BM33" i="1"/>
  <c r="BL33" i="1"/>
  <c r="BK33" i="1"/>
  <c r="BJ33" i="1"/>
  <c r="BI33" i="1"/>
  <c r="BH33" i="1"/>
  <c r="BG33" i="1"/>
  <c r="BS33" i="1" s="1"/>
  <c r="BR32" i="1"/>
  <c r="BQ32" i="1"/>
  <c r="BP32" i="1"/>
  <c r="BO32" i="1"/>
  <c r="BN32" i="1"/>
  <c r="BM32" i="1"/>
  <c r="BL32" i="1"/>
  <c r="BK32" i="1"/>
  <c r="BJ32" i="1"/>
  <c r="BI32" i="1"/>
  <c r="BH32" i="1"/>
  <c r="BR31" i="1"/>
  <c r="BQ31" i="1"/>
  <c r="BP31" i="1"/>
  <c r="BO31" i="1"/>
  <c r="BN31" i="1"/>
  <c r="BM31" i="1"/>
  <c r="BL31" i="1"/>
  <c r="BK31" i="1"/>
  <c r="BJ31" i="1"/>
  <c r="BI31" i="1"/>
  <c r="BH31" i="1"/>
  <c r="BG31" i="1"/>
  <c r="BS31" i="1" s="1"/>
  <c r="BR30" i="1"/>
  <c r="BQ30" i="1"/>
  <c r="BP30" i="1"/>
  <c r="BO30" i="1"/>
  <c r="BN30" i="1"/>
  <c r="BM30" i="1"/>
  <c r="BL30" i="1"/>
  <c r="BK30" i="1"/>
  <c r="BJ30" i="1"/>
  <c r="BI30" i="1"/>
  <c r="BH30" i="1"/>
  <c r="BG30" i="1"/>
  <c r="BS30" i="1" s="1"/>
  <c r="BR29" i="1"/>
  <c r="BQ29" i="1"/>
  <c r="BP29" i="1"/>
  <c r="BO29" i="1"/>
  <c r="BN29" i="1"/>
  <c r="BM29" i="1"/>
  <c r="BL29" i="1"/>
  <c r="BK29" i="1"/>
  <c r="BJ29" i="1"/>
  <c r="BI29" i="1"/>
  <c r="BH29" i="1"/>
  <c r="BR27" i="1"/>
  <c r="BQ27" i="1"/>
  <c r="BP27" i="1"/>
  <c r="BO27" i="1"/>
  <c r="BN27" i="1"/>
  <c r="BM27" i="1"/>
  <c r="BL27" i="1"/>
  <c r="BK27" i="1"/>
  <c r="BJ27" i="1"/>
  <c r="BI27" i="1"/>
  <c r="BH27" i="1"/>
  <c r="BR26" i="1"/>
  <c r="BQ26" i="1"/>
  <c r="BP26" i="1"/>
  <c r="BO26" i="1"/>
  <c r="BN26" i="1"/>
  <c r="BM26" i="1"/>
  <c r="BL26" i="1"/>
  <c r="BK26" i="1"/>
  <c r="BJ26" i="1"/>
  <c r="BI26" i="1"/>
  <c r="BH26" i="1"/>
  <c r="BG26" i="1"/>
  <c r="BS26" i="1" s="1"/>
  <c r="BR25" i="1"/>
  <c r="BQ25" i="1"/>
  <c r="BP25" i="1"/>
  <c r="BO25" i="1"/>
  <c r="BN25" i="1"/>
  <c r="BM25" i="1"/>
  <c r="BL25" i="1"/>
  <c r="BK25" i="1"/>
  <c r="BJ25" i="1"/>
  <c r="BI25" i="1"/>
  <c r="BH25" i="1"/>
  <c r="BG25" i="1"/>
  <c r="BS25" i="1" s="1"/>
  <c r="BR24" i="1"/>
  <c r="BQ24" i="1"/>
  <c r="BP24" i="1"/>
  <c r="BO24" i="1"/>
  <c r="BN24" i="1"/>
  <c r="BM24" i="1"/>
  <c r="BL24" i="1"/>
  <c r="BK24" i="1"/>
  <c r="BJ24" i="1"/>
  <c r="BI24" i="1"/>
  <c r="BH24" i="1"/>
  <c r="BG24" i="1"/>
  <c r="BS24" i="1" s="1"/>
  <c r="BR23" i="1"/>
  <c r="BQ23" i="1"/>
  <c r="BP23" i="1"/>
  <c r="BO23" i="1"/>
  <c r="BN23" i="1"/>
  <c r="BM23" i="1"/>
  <c r="BL23" i="1"/>
  <c r="BK23" i="1"/>
  <c r="BJ23" i="1"/>
  <c r="BI23" i="1"/>
  <c r="BH23" i="1"/>
  <c r="BG23" i="1"/>
  <c r="BS23" i="1" s="1"/>
  <c r="BR22" i="1"/>
  <c r="BQ22" i="1"/>
  <c r="BP22" i="1"/>
  <c r="BO22" i="1"/>
  <c r="BN22" i="1"/>
  <c r="BM22" i="1"/>
  <c r="BL22" i="1"/>
  <c r="BK22" i="1"/>
  <c r="BJ22" i="1"/>
  <c r="BI22" i="1"/>
  <c r="BH22" i="1"/>
  <c r="BR21" i="1"/>
  <c r="BQ21" i="1"/>
  <c r="BP21" i="1"/>
  <c r="BO21" i="1"/>
  <c r="BN21" i="1"/>
  <c r="BM21" i="1"/>
  <c r="BL21" i="1"/>
  <c r="BK21" i="1"/>
  <c r="BJ21" i="1"/>
  <c r="BI21" i="1"/>
  <c r="BH21" i="1"/>
  <c r="BG21" i="1"/>
  <c r="BS21" i="1" s="1"/>
  <c r="BR20" i="1"/>
  <c r="BQ20" i="1"/>
  <c r="BP20" i="1"/>
  <c r="BO20" i="1"/>
  <c r="BN20" i="1"/>
  <c r="BM20" i="1"/>
  <c r="BL20" i="1"/>
  <c r="BK20" i="1"/>
  <c r="BJ20" i="1"/>
  <c r="BI20" i="1"/>
  <c r="BH20" i="1"/>
  <c r="BG20" i="1"/>
  <c r="BS20" i="1" s="1"/>
  <c r="BR19" i="1"/>
  <c r="BQ19" i="1"/>
  <c r="BP19" i="1"/>
  <c r="BO19" i="1"/>
  <c r="BN19" i="1"/>
  <c r="BM19" i="1"/>
  <c r="BL19" i="1"/>
  <c r="BK19" i="1"/>
  <c r="BJ19" i="1"/>
  <c r="BI19" i="1"/>
  <c r="BH19" i="1"/>
  <c r="BG19" i="1"/>
  <c r="BS19" i="1" s="1"/>
  <c r="BR18" i="1"/>
  <c r="BQ18" i="1"/>
  <c r="BP18" i="1"/>
  <c r="BO18" i="1"/>
  <c r="BN18" i="1"/>
  <c r="BM18" i="1"/>
  <c r="BL18" i="1"/>
  <c r="BK18" i="1"/>
  <c r="BJ18" i="1"/>
  <c r="BI18" i="1"/>
  <c r="BH18" i="1"/>
  <c r="BG18" i="1"/>
  <c r="BS18" i="1" s="1"/>
  <c r="BR17" i="1"/>
  <c r="BQ17" i="1"/>
  <c r="BJ17" i="1"/>
  <c r="BI17" i="1"/>
  <c r="BH17" i="1"/>
  <c r="BG17" i="1"/>
  <c r="BR16" i="1"/>
  <c r="BQ16" i="1"/>
  <c r="BP16" i="1"/>
  <c r="BO16" i="1"/>
  <c r="BN16" i="1"/>
  <c r="BM16" i="1"/>
  <c r="BL16" i="1"/>
  <c r="BK16" i="1"/>
  <c r="BJ16" i="1"/>
  <c r="BG16" i="1"/>
  <c r="BR15" i="1"/>
  <c r="BQ15" i="1"/>
  <c r="BP15" i="1"/>
  <c r="BO15" i="1"/>
  <c r="BN15" i="1"/>
  <c r="BM15" i="1"/>
  <c r="BL15" i="1"/>
  <c r="BK15" i="1"/>
  <c r="BJ15" i="1"/>
  <c r="BI15" i="1"/>
  <c r="BH15" i="1"/>
  <c r="BG15" i="1"/>
  <c r="BS15" i="1" s="1"/>
  <c r="BR14" i="1"/>
  <c r="BQ14" i="1"/>
  <c r="BP14" i="1"/>
  <c r="BO14" i="1"/>
  <c r="BN14" i="1"/>
  <c r="BM14" i="1"/>
  <c r="BL14" i="1"/>
  <c r="BK14" i="1"/>
  <c r="BJ14" i="1"/>
  <c r="BI14" i="1"/>
  <c r="BH14" i="1"/>
  <c r="BG14" i="1"/>
  <c r="BS14" i="1" s="1"/>
  <c r="BR13" i="1"/>
  <c r="BQ13" i="1"/>
  <c r="BP13" i="1"/>
  <c r="BO13" i="1"/>
  <c r="BN13" i="1"/>
  <c r="BM13" i="1"/>
  <c r="BL13" i="1"/>
  <c r="BK13" i="1"/>
  <c r="BJ13" i="1"/>
  <c r="BI13" i="1"/>
  <c r="BH13" i="1"/>
  <c r="BG13" i="1"/>
  <c r="BS13" i="1" s="1"/>
  <c r="BR12" i="1"/>
  <c r="BQ12" i="1"/>
  <c r="BP12" i="1"/>
  <c r="BO12" i="1"/>
  <c r="BN12" i="1"/>
  <c r="BM12" i="1"/>
  <c r="BL12" i="1"/>
  <c r="BK12" i="1"/>
  <c r="BJ12" i="1"/>
  <c r="BI12" i="1"/>
  <c r="BH12" i="1"/>
  <c r="BG12" i="1"/>
  <c r="BS12" i="1" s="1"/>
  <c r="BM11" i="1"/>
  <c r="BL11" i="1"/>
  <c r="BK11" i="1"/>
  <c r="BJ11" i="1"/>
  <c r="BI11" i="1"/>
  <c r="BH11" i="1"/>
  <c r="BG11" i="1"/>
  <c r="BJ10" i="1"/>
  <c r="BI10" i="1"/>
  <c r="BH10" i="1"/>
  <c r="BG10" i="1"/>
  <c r="BN9" i="1"/>
  <c r="BM9" i="1"/>
  <c r="BL9" i="1"/>
  <c r="BK9" i="1"/>
  <c r="BJ9" i="1"/>
  <c r="BI9" i="1"/>
  <c r="BG9" i="1"/>
  <c r="BS160" i="1" l="1"/>
  <c r="BS157" i="1"/>
  <c r="BG32" i="1"/>
  <c r="BS32" i="1" s="1"/>
  <c r="BP134" i="1"/>
  <c r="BQ134" i="1"/>
  <c r="BE134" i="1"/>
  <c r="BQ127" i="1"/>
  <c r="BO134" i="1"/>
  <c r="BS134" i="1" s="1"/>
  <c r="BG153" i="1"/>
  <c r="BS153" i="1" s="1"/>
  <c r="BS328" i="1"/>
  <c r="BS327" i="1"/>
  <c r="BG204" i="1"/>
  <c r="BS204" i="1" s="1"/>
  <c r="BG29" i="1"/>
  <c r="BS29" i="1" s="1"/>
  <c r="BN38" i="1"/>
  <c r="BS38" i="1" s="1"/>
  <c r="BG27" i="1"/>
  <c r="BS27" i="1" s="1"/>
  <c r="BO125" i="1"/>
  <c r="BP125" i="1"/>
  <c r="BQ125" i="1"/>
  <c r="BM125" i="1"/>
  <c r="BS125" i="1" s="1"/>
  <c r="BE125" i="1"/>
  <c r="BM203" i="1"/>
  <c r="BS203" i="1" s="1"/>
  <c r="BO128" i="1"/>
  <c r="BG148" i="1"/>
  <c r="BS148" i="1" s="1"/>
  <c r="BP126" i="1"/>
  <c r="BP127" i="1"/>
  <c r="BM127" i="1"/>
  <c r="BN127" i="1"/>
  <c r="BO127" i="1"/>
  <c r="BP128" i="1"/>
  <c r="BI58" i="1"/>
  <c r="AV58" i="1"/>
  <c r="BH58" i="1"/>
  <c r="BQ128" i="1"/>
  <c r="BM129" i="1"/>
  <c r="BO129" i="1"/>
  <c r="BP129" i="1"/>
  <c r="BE128" i="1"/>
  <c r="BQ129" i="1"/>
  <c r="BN129" i="1"/>
  <c r="BN128" i="1"/>
  <c r="BS128" i="1" s="1"/>
  <c r="BE129" i="1"/>
  <c r="BQ126" i="1"/>
  <c r="BE126" i="1"/>
  <c r="BN126" i="1"/>
  <c r="BO126" i="1"/>
  <c r="BH88" i="1"/>
  <c r="BE127" i="1"/>
  <c r="BG167" i="1"/>
  <c r="BS167" i="1" s="1"/>
  <c r="BJ199" i="1"/>
  <c r="AW199" i="1"/>
  <c r="BJ198" i="1"/>
  <c r="AW198" i="1"/>
  <c r="BJ197" i="1"/>
  <c r="AW197" i="1"/>
  <c r="BJ196" i="1"/>
  <c r="AW196" i="1"/>
  <c r="BI168" i="1"/>
  <c r="BS168" i="1" s="1"/>
  <c r="BL170" i="1"/>
  <c r="BS170" i="1" s="1"/>
  <c r="BG163" i="1"/>
  <c r="BS163" i="1" s="1"/>
  <c r="BJ195" i="1"/>
  <c r="AW195" i="1"/>
  <c r="AT57" i="1"/>
  <c r="BG146" i="1"/>
  <c r="BS146" i="1" s="1"/>
  <c r="BG137" i="1"/>
  <c r="BG135" i="1"/>
  <c r="BH82" i="1"/>
  <c r="BL82" i="1"/>
  <c r="BO82" i="1"/>
  <c r="BP82" i="1"/>
  <c r="BE82" i="1"/>
  <c r="BG142" i="1"/>
  <c r="BS142" i="1" s="1"/>
  <c r="BG169" i="1"/>
  <c r="BS169" i="1" s="1"/>
  <c r="BG154" i="1"/>
  <c r="BS154" i="1" s="1"/>
  <c r="BE157" i="1"/>
  <c r="BM82" i="1"/>
  <c r="BN82" i="1"/>
  <c r="BI82" i="1"/>
  <c r="BQ82" i="1"/>
  <c r="BJ82" i="1"/>
  <c r="BK82" i="1"/>
  <c r="BG156" i="1"/>
  <c r="BS156" i="1" s="1"/>
  <c r="BE160" i="1"/>
  <c r="BH85" i="1"/>
  <c r="BO75" i="1"/>
  <c r="BE164" i="1"/>
  <c r="BG150" i="1"/>
  <c r="BS150" i="1" s="1"/>
  <c r="BG131" i="1"/>
  <c r="BG130" i="1"/>
  <c r="BG126" i="1"/>
  <c r="BS126" i="1" s="1"/>
  <c r="BH87" i="1"/>
  <c r="BH83" i="1"/>
  <c r="BG123" i="1"/>
  <c r="BK77" i="1"/>
  <c r="BM77" i="1"/>
  <c r="BH77" i="1"/>
  <c r="AV55" i="1"/>
  <c r="BJ55" i="1" s="1"/>
  <c r="BI55" i="1"/>
  <c r="BH55" i="1"/>
  <c r="BL77" i="1"/>
  <c r="BO77" i="1"/>
  <c r="BN77" i="1"/>
  <c r="BP77" i="1"/>
  <c r="BE77" i="1"/>
  <c r="BQ77" i="1"/>
  <c r="BJ77" i="1"/>
  <c r="BK75" i="1"/>
  <c r="BH75" i="1"/>
  <c r="AW55" i="1"/>
  <c r="AT54" i="1"/>
  <c r="AU53" i="1"/>
  <c r="BH53" i="1"/>
  <c r="AT52" i="1"/>
  <c r="AT51" i="1"/>
  <c r="BG115" i="1"/>
  <c r="AT50" i="1"/>
  <c r="BP75" i="1"/>
  <c r="BI75" i="1"/>
  <c r="BQ75" i="1"/>
  <c r="BE75" i="1"/>
  <c r="BJ75" i="1"/>
  <c r="BL75" i="1"/>
  <c r="BM75" i="1"/>
  <c r="BN75" i="1"/>
  <c r="AT49" i="1"/>
  <c r="BG105" i="1"/>
  <c r="BL10" i="1"/>
  <c r="BI69" i="1"/>
  <c r="BG112" i="1"/>
  <c r="BE16" i="1"/>
  <c r="AT48" i="1"/>
  <c r="BK17" i="1"/>
  <c r="BI16" i="1"/>
  <c r="BS16" i="1" s="1"/>
  <c r="BK69" i="1"/>
  <c r="BN69" i="1"/>
  <c r="BP69" i="1"/>
  <c r="BH93" i="1"/>
  <c r="BG103" i="1"/>
  <c r="BQ91" i="1"/>
  <c r="BH69" i="1"/>
  <c r="BQ69" i="1"/>
  <c r="BJ69" i="1"/>
  <c r="BL69" i="1"/>
  <c r="BM69" i="1"/>
  <c r="BG66" i="1"/>
  <c r="AV93" i="1"/>
  <c r="BJ93" i="1" s="1"/>
  <c r="BI93" i="1"/>
  <c r="AT92" i="1"/>
  <c r="BK91" i="1"/>
  <c r="BJ91" i="1"/>
  <c r="BM91" i="1"/>
  <c r="BG92" i="1"/>
  <c r="BH91" i="1"/>
  <c r="BI91" i="1"/>
  <c r="BO69" i="1"/>
  <c r="BJ88" i="1"/>
  <c r="BG40" i="1"/>
  <c r="BS40" i="1" s="1"/>
  <c r="BG97" i="1"/>
  <c r="BJ76" i="1"/>
  <c r="BO76" i="1"/>
  <c r="BH78" i="1"/>
  <c r="BK78" i="1"/>
  <c r="BJ83" i="1"/>
  <c r="AT71" i="1"/>
  <c r="BL76" i="1"/>
  <c r="BI78" i="1"/>
  <c r="BH89" i="1"/>
  <c r="BM78" i="1"/>
  <c r="BP78" i="1"/>
  <c r="BL78" i="1"/>
  <c r="BQ78" i="1"/>
  <c r="AT72" i="1"/>
  <c r="BE69" i="1"/>
  <c r="BH74" i="1"/>
  <c r="BI74" i="1"/>
  <c r="BL74" i="1"/>
  <c r="BO74" i="1"/>
  <c r="BJ87" i="1"/>
  <c r="BJ74" i="1"/>
  <c r="BL79" i="1"/>
  <c r="AW85" i="1"/>
  <c r="BK74" i="1"/>
  <c r="BH76" i="1"/>
  <c r="BI76" i="1"/>
  <c r="BH90" i="1"/>
  <c r="BI90" i="1"/>
  <c r="BJ79" i="1"/>
  <c r="BM80" i="1"/>
  <c r="BO80" i="1"/>
  <c r="BP76" i="1"/>
  <c r="BP80" i="1"/>
  <c r="AT73" i="1"/>
  <c r="BH80" i="1"/>
  <c r="BI80" i="1"/>
  <c r="BJ80" i="1"/>
  <c r="BK80" i="1"/>
  <c r="BK76" i="1"/>
  <c r="BL80" i="1"/>
  <c r="AX83" i="1"/>
  <c r="AY83" i="1" s="1"/>
  <c r="AZ83" i="1" s="1"/>
  <c r="BK83" i="1"/>
  <c r="BM76" i="1"/>
  <c r="BO78" i="1"/>
  <c r="BK79" i="1"/>
  <c r="BQ80" i="1"/>
  <c r="BE76" i="1"/>
  <c r="BQ76" i="1"/>
  <c r="BN79" i="1"/>
  <c r="BM79" i="1"/>
  <c r="BK44" i="1"/>
  <c r="BS44" i="1" s="1"/>
  <c r="BJ78" i="1"/>
  <c r="BO79" i="1"/>
  <c r="BK81" i="1"/>
  <c r="BH79" i="1"/>
  <c r="BP79" i="1"/>
  <c r="BO81" i="1"/>
  <c r="BI79" i="1"/>
  <c r="BQ79" i="1"/>
  <c r="BL91" i="1"/>
  <c r="BN91" i="1"/>
  <c r="BO91" i="1"/>
  <c r="BP91" i="1"/>
  <c r="BE91" i="1"/>
  <c r="BJ90" i="1"/>
  <c r="AW90" i="1"/>
  <c r="BI89" i="1"/>
  <c r="BJ89" i="1"/>
  <c r="BK89" i="1"/>
  <c r="BM89" i="1"/>
  <c r="BN89" i="1"/>
  <c r="BO89" i="1"/>
  <c r="BP89" i="1"/>
  <c r="BQ89" i="1"/>
  <c r="BL89" i="1"/>
  <c r="BE89" i="1"/>
  <c r="BK88" i="1"/>
  <c r="AX88" i="1"/>
  <c r="AV86" i="1"/>
  <c r="BI86" i="1"/>
  <c r="AV84" i="1"/>
  <c r="BI84" i="1"/>
  <c r="BH86" i="1"/>
  <c r="AX87" i="1"/>
  <c r="BH84" i="1"/>
  <c r="BG86" i="1"/>
  <c r="BP81" i="1"/>
  <c r="BE81" i="1"/>
  <c r="BM74" i="1"/>
  <c r="BI81" i="1"/>
  <c r="BQ81" i="1"/>
  <c r="BN74" i="1"/>
  <c r="BN76" i="1"/>
  <c r="BN78" i="1"/>
  <c r="BN80" i="1"/>
  <c r="BJ81" i="1"/>
  <c r="BE79" i="1"/>
  <c r="BP74" i="1"/>
  <c r="BL81" i="1"/>
  <c r="BE74" i="1"/>
  <c r="BE78" i="1"/>
  <c r="BQ74" i="1"/>
  <c r="BM81" i="1"/>
  <c r="BN81" i="1"/>
  <c r="BE80" i="1"/>
  <c r="AT70" i="1"/>
  <c r="BG51" i="1"/>
  <c r="BH47" i="1"/>
  <c r="BS47" i="1" s="1"/>
  <c r="BG57" i="1"/>
  <c r="BG53" i="1"/>
  <c r="BG49" i="1"/>
  <c r="AT28" i="1"/>
  <c r="AY17" i="1"/>
  <c r="BL17" i="1"/>
  <c r="BO11" i="1"/>
  <c r="BB11" i="1"/>
  <c r="AZ10" i="1"/>
  <c r="BM10" i="1"/>
  <c r="BB9" i="1"/>
  <c r="BN11" i="1"/>
  <c r="BG22" i="1"/>
  <c r="BS22" i="1" s="1"/>
  <c r="AQ1" i="1"/>
  <c r="BE8" i="1"/>
  <c r="F5" i="8"/>
  <c r="E5" i="8"/>
  <c r="C5" i="8"/>
  <c r="M5" i="8"/>
  <c r="L5" i="8"/>
  <c r="K5" i="8"/>
  <c r="I5" i="8"/>
  <c r="H5" i="8"/>
  <c r="C1" i="8"/>
  <c r="D1" i="8" s="1"/>
  <c r="E1" i="8" s="1"/>
  <c r="F1" i="8" s="1"/>
  <c r="G1" i="8" s="1"/>
  <c r="H1" i="8" s="1"/>
  <c r="I1" i="8" s="1"/>
  <c r="J1" i="8" s="1"/>
  <c r="K1" i="8" s="1"/>
  <c r="L1" i="8" s="1"/>
  <c r="M1" i="8" s="1"/>
  <c r="BG6" i="1"/>
  <c r="BG5" i="1"/>
  <c r="M16" i="1"/>
  <c r="E16" i="1"/>
  <c r="D16" i="1"/>
  <c r="C16" i="1"/>
  <c r="M15" i="1"/>
  <c r="E15" i="1"/>
  <c r="D15" i="1"/>
  <c r="C15" i="1"/>
  <c r="M14" i="1"/>
  <c r="E14" i="1"/>
  <c r="D14" i="1"/>
  <c r="C14" i="1"/>
  <c r="M13" i="1"/>
  <c r="E13" i="1"/>
  <c r="D13" i="1"/>
  <c r="C13" i="1"/>
  <c r="M12" i="1"/>
  <c r="E12" i="1"/>
  <c r="D12" i="1"/>
  <c r="C12" i="1"/>
  <c r="M11" i="1"/>
  <c r="E11" i="1"/>
  <c r="D11" i="1"/>
  <c r="C11" i="1"/>
  <c r="M10" i="1"/>
  <c r="E10" i="1"/>
  <c r="D10" i="1"/>
  <c r="C10" i="1"/>
  <c r="M9" i="1"/>
  <c r="E9" i="1"/>
  <c r="D9" i="1"/>
  <c r="C9" i="1"/>
  <c r="M8" i="1"/>
  <c r="E8" i="1"/>
  <c r="D8" i="1"/>
  <c r="C8" i="1"/>
  <c r="AT4" i="1"/>
  <c r="AT7" i="1" s="1"/>
  <c r="B328" i="1"/>
  <c r="B327" i="1"/>
  <c r="B204" i="1"/>
  <c r="B203"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6" i="1"/>
  <c r="B5" i="1"/>
  <c r="BH4" i="1"/>
  <c r="BI4" i="1" s="1"/>
  <c r="BJ4" i="1" s="1"/>
  <c r="BK4" i="1" s="1"/>
  <c r="BL4" i="1" s="1"/>
  <c r="BM4" i="1" s="1"/>
  <c r="BN4" i="1" s="1"/>
  <c r="BO4" i="1" s="1"/>
  <c r="BP4" i="1" s="1"/>
  <c r="BQ4" i="1" s="1"/>
  <c r="BR4" i="1" s="1"/>
  <c r="AF4" i="1"/>
  <c r="AG4" i="1" s="1"/>
  <c r="AH4" i="1" s="1"/>
  <c r="AI4" i="1" s="1"/>
  <c r="AJ4" i="1" s="1"/>
  <c r="AK4" i="1" s="1"/>
  <c r="AL4" i="1" s="1"/>
  <c r="AM4" i="1" s="1"/>
  <c r="AN4" i="1" s="1"/>
  <c r="AO4" i="1" s="1"/>
  <c r="AP4" i="1" s="1"/>
  <c r="M328" i="1"/>
  <c r="M327" i="1"/>
  <c r="M204" i="1"/>
  <c r="E204" i="1"/>
  <c r="D204" i="1"/>
  <c r="C204" i="1"/>
  <c r="M203" i="1"/>
  <c r="E203" i="1"/>
  <c r="D203" i="1"/>
  <c r="C203" i="1"/>
  <c r="M171" i="1"/>
  <c r="E171" i="1"/>
  <c r="D171" i="1"/>
  <c r="C171" i="1"/>
  <c r="M170" i="1"/>
  <c r="E170" i="1"/>
  <c r="D170" i="1"/>
  <c r="C170" i="1"/>
  <c r="M169" i="1"/>
  <c r="E169" i="1"/>
  <c r="D169" i="1"/>
  <c r="C169" i="1"/>
  <c r="M168" i="1"/>
  <c r="E168" i="1"/>
  <c r="D168" i="1"/>
  <c r="C168" i="1"/>
  <c r="M167" i="1"/>
  <c r="E167" i="1"/>
  <c r="D167" i="1"/>
  <c r="C167" i="1"/>
  <c r="M166" i="1"/>
  <c r="E166" i="1"/>
  <c r="D166" i="1"/>
  <c r="C166" i="1"/>
  <c r="M165" i="1"/>
  <c r="E165" i="1"/>
  <c r="D165" i="1"/>
  <c r="C165" i="1"/>
  <c r="M164" i="1"/>
  <c r="E164" i="1"/>
  <c r="D164" i="1"/>
  <c r="C164" i="1"/>
  <c r="M163" i="1"/>
  <c r="E163" i="1"/>
  <c r="D163" i="1"/>
  <c r="C163" i="1"/>
  <c r="M162" i="1"/>
  <c r="E162" i="1"/>
  <c r="D162" i="1"/>
  <c r="C162" i="1"/>
  <c r="M161" i="1"/>
  <c r="E161" i="1"/>
  <c r="D161" i="1"/>
  <c r="C161" i="1"/>
  <c r="M160" i="1"/>
  <c r="E160" i="1"/>
  <c r="D160" i="1"/>
  <c r="C160" i="1"/>
  <c r="M159" i="1"/>
  <c r="E159" i="1"/>
  <c r="D159" i="1"/>
  <c r="C159" i="1"/>
  <c r="M158" i="1"/>
  <c r="E158" i="1"/>
  <c r="D158" i="1"/>
  <c r="C158" i="1"/>
  <c r="M157" i="1"/>
  <c r="E157" i="1"/>
  <c r="D157" i="1"/>
  <c r="C157" i="1"/>
  <c r="M156" i="1"/>
  <c r="E156" i="1"/>
  <c r="D156" i="1"/>
  <c r="C156" i="1"/>
  <c r="M155" i="1"/>
  <c r="E155" i="1"/>
  <c r="D155" i="1"/>
  <c r="C155" i="1"/>
  <c r="M154" i="1"/>
  <c r="E154" i="1"/>
  <c r="D154" i="1"/>
  <c r="C154" i="1"/>
  <c r="M153" i="1"/>
  <c r="E153" i="1"/>
  <c r="D153" i="1"/>
  <c r="C153" i="1"/>
  <c r="M152" i="1"/>
  <c r="E152" i="1"/>
  <c r="D152" i="1"/>
  <c r="C152" i="1"/>
  <c r="M151" i="1"/>
  <c r="E151" i="1"/>
  <c r="D151" i="1"/>
  <c r="C151" i="1"/>
  <c r="M150" i="1"/>
  <c r="E150" i="1"/>
  <c r="D150" i="1"/>
  <c r="C150" i="1"/>
  <c r="M149" i="1"/>
  <c r="E149" i="1"/>
  <c r="D149" i="1"/>
  <c r="C149" i="1"/>
  <c r="M148" i="1"/>
  <c r="E148" i="1"/>
  <c r="D148" i="1"/>
  <c r="C148" i="1"/>
  <c r="M147" i="1"/>
  <c r="E147" i="1"/>
  <c r="D147" i="1"/>
  <c r="C147" i="1"/>
  <c r="M146" i="1"/>
  <c r="E146" i="1"/>
  <c r="D146" i="1"/>
  <c r="C146" i="1"/>
  <c r="M145" i="1"/>
  <c r="E145" i="1"/>
  <c r="D145" i="1"/>
  <c r="C145" i="1"/>
  <c r="M144" i="1"/>
  <c r="E144" i="1"/>
  <c r="D144" i="1"/>
  <c r="C144" i="1"/>
  <c r="M143" i="1"/>
  <c r="E143" i="1"/>
  <c r="D143" i="1"/>
  <c r="C143" i="1"/>
  <c r="M142" i="1"/>
  <c r="E142" i="1"/>
  <c r="D142" i="1"/>
  <c r="C142" i="1"/>
  <c r="M141" i="1"/>
  <c r="E141" i="1"/>
  <c r="D141" i="1"/>
  <c r="C141" i="1"/>
  <c r="M140" i="1"/>
  <c r="E140" i="1"/>
  <c r="D140" i="1"/>
  <c r="C140" i="1"/>
  <c r="M139" i="1"/>
  <c r="E139" i="1"/>
  <c r="D139" i="1"/>
  <c r="C139" i="1"/>
  <c r="M138" i="1"/>
  <c r="E138" i="1"/>
  <c r="D138" i="1"/>
  <c r="C138" i="1"/>
  <c r="M137" i="1"/>
  <c r="E137" i="1"/>
  <c r="D137" i="1"/>
  <c r="C137" i="1"/>
  <c r="M136" i="1"/>
  <c r="E136" i="1"/>
  <c r="D136" i="1"/>
  <c r="C136" i="1"/>
  <c r="M135" i="1"/>
  <c r="E135" i="1"/>
  <c r="D135" i="1"/>
  <c r="C135" i="1"/>
  <c r="M134" i="1"/>
  <c r="E134" i="1"/>
  <c r="D134" i="1"/>
  <c r="C134" i="1"/>
  <c r="M133" i="1"/>
  <c r="E133" i="1"/>
  <c r="D133" i="1"/>
  <c r="C133" i="1"/>
  <c r="M132" i="1"/>
  <c r="E132" i="1"/>
  <c r="D132" i="1"/>
  <c r="C132" i="1"/>
  <c r="M131" i="1"/>
  <c r="E131" i="1"/>
  <c r="D131" i="1"/>
  <c r="C131" i="1"/>
  <c r="M130" i="1"/>
  <c r="E130" i="1"/>
  <c r="D130" i="1"/>
  <c r="C130" i="1"/>
  <c r="M129" i="1"/>
  <c r="E129" i="1"/>
  <c r="D129" i="1"/>
  <c r="C129" i="1"/>
  <c r="M128" i="1"/>
  <c r="E128" i="1"/>
  <c r="D128" i="1"/>
  <c r="C128" i="1"/>
  <c r="M127" i="1"/>
  <c r="E127" i="1"/>
  <c r="D127" i="1"/>
  <c r="C127" i="1"/>
  <c r="M126" i="1"/>
  <c r="E126" i="1"/>
  <c r="D126" i="1"/>
  <c r="C126" i="1"/>
  <c r="M125" i="1"/>
  <c r="E125" i="1"/>
  <c r="D125" i="1"/>
  <c r="C125" i="1"/>
  <c r="M124" i="1"/>
  <c r="E124" i="1"/>
  <c r="D124" i="1"/>
  <c r="C124" i="1"/>
  <c r="M123" i="1"/>
  <c r="E123" i="1"/>
  <c r="D123" i="1"/>
  <c r="C123" i="1"/>
  <c r="M122" i="1"/>
  <c r="E122" i="1"/>
  <c r="D122" i="1"/>
  <c r="C122" i="1"/>
  <c r="M121" i="1"/>
  <c r="E121" i="1"/>
  <c r="D121" i="1"/>
  <c r="C121" i="1"/>
  <c r="M120" i="1"/>
  <c r="E120" i="1"/>
  <c r="D120" i="1"/>
  <c r="C120" i="1"/>
  <c r="M119" i="1"/>
  <c r="E119" i="1"/>
  <c r="D119" i="1"/>
  <c r="C119" i="1"/>
  <c r="M118" i="1"/>
  <c r="E118" i="1"/>
  <c r="D118" i="1"/>
  <c r="C118" i="1"/>
  <c r="M117" i="1"/>
  <c r="E117" i="1"/>
  <c r="D117" i="1"/>
  <c r="C117" i="1"/>
  <c r="M116" i="1"/>
  <c r="E116" i="1"/>
  <c r="D116" i="1"/>
  <c r="C116" i="1"/>
  <c r="M115" i="1"/>
  <c r="E115" i="1"/>
  <c r="D115" i="1"/>
  <c r="C115" i="1"/>
  <c r="M114" i="1"/>
  <c r="E114" i="1"/>
  <c r="D114" i="1"/>
  <c r="C114" i="1"/>
  <c r="M113" i="1"/>
  <c r="E113" i="1"/>
  <c r="D113" i="1"/>
  <c r="C113" i="1"/>
  <c r="M112" i="1"/>
  <c r="E112" i="1"/>
  <c r="D112" i="1"/>
  <c r="C112" i="1"/>
  <c r="M111" i="1"/>
  <c r="E111" i="1"/>
  <c r="D111" i="1"/>
  <c r="C111" i="1"/>
  <c r="M110" i="1"/>
  <c r="E110" i="1"/>
  <c r="D110" i="1"/>
  <c r="C110" i="1"/>
  <c r="M109" i="1"/>
  <c r="E109" i="1"/>
  <c r="D109" i="1"/>
  <c r="C109" i="1"/>
  <c r="M108" i="1"/>
  <c r="E108" i="1"/>
  <c r="D108" i="1"/>
  <c r="C108" i="1"/>
  <c r="M107" i="1"/>
  <c r="E107" i="1"/>
  <c r="D107" i="1"/>
  <c r="C107" i="1"/>
  <c r="M106" i="1"/>
  <c r="E106" i="1"/>
  <c r="D106" i="1"/>
  <c r="C106" i="1"/>
  <c r="M105" i="1"/>
  <c r="E105" i="1"/>
  <c r="D105" i="1"/>
  <c r="C105" i="1"/>
  <c r="M104" i="1"/>
  <c r="E104" i="1"/>
  <c r="D104" i="1"/>
  <c r="C104" i="1"/>
  <c r="M103" i="1"/>
  <c r="E103" i="1"/>
  <c r="D103" i="1"/>
  <c r="C103" i="1"/>
  <c r="M102" i="1"/>
  <c r="E102" i="1"/>
  <c r="D102" i="1"/>
  <c r="C102" i="1"/>
  <c r="M101" i="1"/>
  <c r="E101" i="1"/>
  <c r="D101" i="1"/>
  <c r="C101" i="1"/>
  <c r="M100" i="1"/>
  <c r="E100" i="1"/>
  <c r="D100" i="1"/>
  <c r="C100" i="1"/>
  <c r="M99" i="1"/>
  <c r="E99" i="1"/>
  <c r="D99" i="1"/>
  <c r="C99" i="1"/>
  <c r="M98" i="1"/>
  <c r="E98" i="1"/>
  <c r="D98" i="1"/>
  <c r="C98" i="1"/>
  <c r="M97" i="1"/>
  <c r="E97" i="1"/>
  <c r="D97" i="1"/>
  <c r="C97" i="1"/>
  <c r="M96" i="1"/>
  <c r="E96" i="1"/>
  <c r="D96" i="1"/>
  <c r="C96" i="1"/>
  <c r="M95" i="1"/>
  <c r="E95" i="1"/>
  <c r="D95" i="1"/>
  <c r="C95" i="1"/>
  <c r="M94" i="1"/>
  <c r="E94" i="1"/>
  <c r="D94" i="1"/>
  <c r="C94" i="1"/>
  <c r="M93" i="1"/>
  <c r="E93" i="1"/>
  <c r="D93" i="1"/>
  <c r="C93" i="1"/>
  <c r="M92" i="1"/>
  <c r="E92" i="1"/>
  <c r="D92" i="1"/>
  <c r="C92" i="1"/>
  <c r="M91" i="1"/>
  <c r="E91" i="1"/>
  <c r="D91" i="1"/>
  <c r="C91" i="1"/>
  <c r="M90" i="1"/>
  <c r="E90" i="1"/>
  <c r="D90" i="1"/>
  <c r="C90" i="1"/>
  <c r="M89" i="1"/>
  <c r="E89" i="1"/>
  <c r="D89" i="1"/>
  <c r="C89" i="1"/>
  <c r="M88" i="1"/>
  <c r="E88" i="1"/>
  <c r="D88" i="1"/>
  <c r="C88" i="1"/>
  <c r="M87" i="1"/>
  <c r="E87" i="1"/>
  <c r="D87" i="1"/>
  <c r="C87" i="1"/>
  <c r="M86" i="1"/>
  <c r="E86" i="1"/>
  <c r="D86" i="1"/>
  <c r="C86" i="1"/>
  <c r="M85" i="1"/>
  <c r="E85" i="1"/>
  <c r="D85" i="1"/>
  <c r="C85" i="1"/>
  <c r="M84" i="1"/>
  <c r="E84" i="1"/>
  <c r="D84" i="1"/>
  <c r="C84" i="1"/>
  <c r="M83" i="1"/>
  <c r="E83" i="1"/>
  <c r="D83" i="1"/>
  <c r="C83" i="1"/>
  <c r="M82" i="1"/>
  <c r="E82" i="1"/>
  <c r="D82" i="1"/>
  <c r="C82" i="1"/>
  <c r="M81" i="1"/>
  <c r="E81" i="1"/>
  <c r="D81" i="1"/>
  <c r="C81" i="1"/>
  <c r="M80" i="1"/>
  <c r="E80" i="1"/>
  <c r="D80" i="1"/>
  <c r="C80" i="1"/>
  <c r="M79" i="1"/>
  <c r="E79" i="1"/>
  <c r="D79" i="1"/>
  <c r="C79" i="1"/>
  <c r="M78" i="1"/>
  <c r="E78" i="1"/>
  <c r="D78" i="1"/>
  <c r="C78" i="1"/>
  <c r="M77" i="1"/>
  <c r="E77" i="1"/>
  <c r="D77" i="1"/>
  <c r="C77" i="1"/>
  <c r="M76" i="1"/>
  <c r="E76" i="1"/>
  <c r="D76" i="1"/>
  <c r="C76" i="1"/>
  <c r="M75" i="1"/>
  <c r="E75" i="1"/>
  <c r="D75" i="1"/>
  <c r="C75" i="1"/>
  <c r="M74" i="1"/>
  <c r="E74" i="1"/>
  <c r="D74" i="1"/>
  <c r="C74" i="1"/>
  <c r="M73" i="1"/>
  <c r="E73" i="1"/>
  <c r="D73" i="1"/>
  <c r="C73" i="1"/>
  <c r="M72" i="1"/>
  <c r="E72" i="1"/>
  <c r="D72" i="1"/>
  <c r="C72" i="1"/>
  <c r="M71" i="1"/>
  <c r="E71" i="1"/>
  <c r="D71" i="1"/>
  <c r="C71" i="1"/>
  <c r="M70" i="1"/>
  <c r="E70" i="1"/>
  <c r="D70" i="1"/>
  <c r="C70" i="1"/>
  <c r="M69" i="1"/>
  <c r="E69" i="1"/>
  <c r="D69" i="1"/>
  <c r="C69" i="1"/>
  <c r="M68" i="1"/>
  <c r="E68" i="1"/>
  <c r="D68" i="1"/>
  <c r="C68" i="1"/>
  <c r="M67" i="1"/>
  <c r="E67" i="1"/>
  <c r="D67" i="1"/>
  <c r="C67" i="1"/>
  <c r="M66" i="1"/>
  <c r="E66" i="1"/>
  <c r="D66" i="1"/>
  <c r="C66" i="1"/>
  <c r="M65" i="1"/>
  <c r="E65" i="1"/>
  <c r="D65" i="1"/>
  <c r="C65" i="1"/>
  <c r="M64" i="1"/>
  <c r="E64" i="1"/>
  <c r="D64" i="1"/>
  <c r="C64" i="1"/>
  <c r="M63" i="1"/>
  <c r="E63" i="1"/>
  <c r="D63" i="1"/>
  <c r="C63" i="1"/>
  <c r="M62" i="1"/>
  <c r="E62" i="1"/>
  <c r="D62" i="1"/>
  <c r="C62" i="1"/>
  <c r="M61" i="1"/>
  <c r="E61" i="1"/>
  <c r="D61" i="1"/>
  <c r="C61" i="1"/>
  <c r="M60" i="1"/>
  <c r="E60" i="1"/>
  <c r="D60" i="1"/>
  <c r="C60" i="1"/>
  <c r="M59" i="1"/>
  <c r="E59" i="1"/>
  <c r="D59" i="1"/>
  <c r="C59" i="1"/>
  <c r="M58" i="1"/>
  <c r="E58" i="1"/>
  <c r="D58" i="1"/>
  <c r="C58" i="1"/>
  <c r="M57" i="1"/>
  <c r="E57" i="1"/>
  <c r="D57" i="1"/>
  <c r="C57" i="1"/>
  <c r="M56" i="1"/>
  <c r="E56" i="1"/>
  <c r="D56" i="1"/>
  <c r="C56" i="1"/>
  <c r="M55" i="1"/>
  <c r="E55" i="1"/>
  <c r="D55" i="1"/>
  <c r="C55" i="1"/>
  <c r="M54" i="1"/>
  <c r="E54" i="1"/>
  <c r="D54" i="1"/>
  <c r="C54" i="1"/>
  <c r="M53" i="1"/>
  <c r="E53" i="1"/>
  <c r="D53" i="1"/>
  <c r="C53" i="1"/>
  <c r="M52" i="1"/>
  <c r="E52" i="1"/>
  <c r="D52" i="1"/>
  <c r="C52" i="1"/>
  <c r="M51" i="1"/>
  <c r="E51" i="1"/>
  <c r="D51" i="1"/>
  <c r="C51" i="1"/>
  <c r="M50" i="1"/>
  <c r="E50" i="1"/>
  <c r="D50" i="1"/>
  <c r="C50" i="1"/>
  <c r="M49" i="1"/>
  <c r="E49" i="1"/>
  <c r="D49" i="1"/>
  <c r="C49" i="1"/>
  <c r="M48" i="1"/>
  <c r="E48" i="1"/>
  <c r="D48" i="1"/>
  <c r="C48" i="1"/>
  <c r="M47" i="1"/>
  <c r="E47" i="1"/>
  <c r="D47" i="1"/>
  <c r="C47" i="1"/>
  <c r="M46" i="1"/>
  <c r="E46" i="1"/>
  <c r="D46" i="1"/>
  <c r="C46" i="1"/>
  <c r="M45" i="1"/>
  <c r="E45" i="1"/>
  <c r="D45" i="1"/>
  <c r="C45" i="1"/>
  <c r="M44" i="1"/>
  <c r="E44" i="1"/>
  <c r="D44" i="1"/>
  <c r="C44" i="1"/>
  <c r="M43" i="1"/>
  <c r="E43" i="1"/>
  <c r="D43" i="1"/>
  <c r="C43" i="1"/>
  <c r="M42" i="1"/>
  <c r="E42" i="1"/>
  <c r="D42" i="1"/>
  <c r="C42" i="1"/>
  <c r="M41" i="1"/>
  <c r="E41" i="1"/>
  <c r="D41" i="1"/>
  <c r="C41" i="1"/>
  <c r="M40" i="1"/>
  <c r="E40" i="1"/>
  <c r="D40" i="1"/>
  <c r="C40" i="1"/>
  <c r="M39" i="1"/>
  <c r="E39" i="1"/>
  <c r="D39" i="1"/>
  <c r="C39" i="1"/>
  <c r="M38" i="1"/>
  <c r="E38" i="1"/>
  <c r="D38" i="1"/>
  <c r="C38" i="1"/>
  <c r="M36" i="1"/>
  <c r="E36" i="1"/>
  <c r="D36" i="1"/>
  <c r="C36" i="1"/>
  <c r="M35" i="1"/>
  <c r="E35" i="1"/>
  <c r="D35" i="1"/>
  <c r="C35" i="1"/>
  <c r="M34" i="1"/>
  <c r="E34" i="1"/>
  <c r="D34" i="1"/>
  <c r="C34" i="1"/>
  <c r="M33" i="1"/>
  <c r="E33" i="1"/>
  <c r="D33" i="1"/>
  <c r="C33" i="1"/>
  <c r="M32" i="1"/>
  <c r="E32" i="1"/>
  <c r="D32" i="1"/>
  <c r="C32" i="1"/>
  <c r="M31" i="1"/>
  <c r="E31" i="1"/>
  <c r="D31" i="1"/>
  <c r="C31" i="1"/>
  <c r="M30" i="1"/>
  <c r="E30" i="1"/>
  <c r="D30" i="1"/>
  <c r="C30" i="1"/>
  <c r="M29" i="1"/>
  <c r="E29" i="1"/>
  <c r="D29" i="1"/>
  <c r="C29" i="1"/>
  <c r="M28" i="1"/>
  <c r="E28" i="1"/>
  <c r="D28" i="1"/>
  <c r="C28" i="1"/>
  <c r="M27" i="1"/>
  <c r="E27" i="1"/>
  <c r="D27" i="1"/>
  <c r="C27" i="1"/>
  <c r="M26" i="1"/>
  <c r="E26" i="1"/>
  <c r="D26" i="1"/>
  <c r="C26" i="1"/>
  <c r="M25" i="1"/>
  <c r="E25" i="1"/>
  <c r="D25" i="1"/>
  <c r="C25" i="1"/>
  <c r="M24" i="1"/>
  <c r="E24" i="1"/>
  <c r="D24" i="1"/>
  <c r="C24" i="1"/>
  <c r="M23" i="1"/>
  <c r="E23" i="1"/>
  <c r="D23" i="1"/>
  <c r="C23" i="1"/>
  <c r="M22" i="1"/>
  <c r="E22" i="1"/>
  <c r="D22" i="1"/>
  <c r="C22" i="1"/>
  <c r="M21" i="1"/>
  <c r="E21" i="1"/>
  <c r="D21" i="1"/>
  <c r="C21" i="1"/>
  <c r="M20" i="1"/>
  <c r="E20" i="1"/>
  <c r="D20" i="1"/>
  <c r="C20" i="1"/>
  <c r="M19" i="1"/>
  <c r="E19" i="1"/>
  <c r="D19" i="1"/>
  <c r="C19" i="1"/>
  <c r="M18" i="1"/>
  <c r="E18" i="1"/>
  <c r="D18" i="1"/>
  <c r="C18" i="1"/>
  <c r="M17" i="1"/>
  <c r="E17" i="1"/>
  <c r="D17" i="1"/>
  <c r="C17" i="1"/>
  <c r="M6" i="1"/>
  <c r="E6" i="1"/>
  <c r="C6" i="1"/>
  <c r="M5" i="1"/>
  <c r="E5" i="1"/>
  <c r="D5" i="1"/>
  <c r="C5" i="1"/>
  <c r="A328" i="1"/>
  <c r="A327" i="1"/>
  <c r="A204" i="1"/>
  <c r="A203"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6" i="1"/>
  <c r="BS81" i="1" l="1"/>
  <c r="BS79" i="1"/>
  <c r="BS80" i="1"/>
  <c r="BS76" i="1"/>
  <c r="BS74" i="1"/>
  <c r="BS89" i="1"/>
  <c r="BS78" i="1"/>
  <c r="BS91" i="1"/>
  <c r="BS69" i="1"/>
  <c r="BS75" i="1"/>
  <c r="BS77" i="1"/>
  <c r="BS82" i="1"/>
  <c r="BS129" i="1"/>
  <c r="BS127" i="1"/>
  <c r="BH7" i="1"/>
  <c r="AT235" i="1"/>
  <c r="AT94" i="1"/>
  <c r="AT68" i="1"/>
  <c r="AT60" i="1"/>
  <c r="BH60" i="1" s="1"/>
  <c r="AT135" i="1"/>
  <c r="BH135" i="1" s="1"/>
  <c r="AT62" i="1"/>
  <c r="BH62" i="1" s="1"/>
  <c r="AT61" i="1"/>
  <c r="BH61" i="1" s="1"/>
  <c r="AT64" i="1"/>
  <c r="BH64" i="1" s="1"/>
  <c r="AT63" i="1"/>
  <c r="BH63" i="1" s="1"/>
  <c r="AT65" i="1"/>
  <c r="BH65" i="1" s="1"/>
  <c r="AT95" i="1"/>
  <c r="BH95" i="1" s="1"/>
  <c r="AT66" i="1"/>
  <c r="AT67" i="1"/>
  <c r="BH67" i="1" s="1"/>
  <c r="AT97" i="1"/>
  <c r="BH97" i="1" s="1"/>
  <c r="AT230" i="1"/>
  <c r="BH230" i="1" s="1"/>
  <c r="AT236" i="1"/>
  <c r="AT200" i="1"/>
  <c r="BH200" i="1" s="1"/>
  <c r="AT201" i="1"/>
  <c r="BH201" i="1" s="1"/>
  <c r="AT136" i="1"/>
  <c r="BH136" i="1" s="1"/>
  <c r="AT121" i="1"/>
  <c r="AT107" i="1"/>
  <c r="AT96" i="1"/>
  <c r="AT124" i="1"/>
  <c r="AT137" i="1"/>
  <c r="BH137" i="1" s="1"/>
  <c r="AT140" i="1"/>
  <c r="BH140" i="1" s="1"/>
  <c r="AT118" i="1"/>
  <c r="AT138" i="1"/>
  <c r="BH138" i="1" s="1"/>
  <c r="AT139" i="1"/>
  <c r="BH139" i="1" s="1"/>
  <c r="AT122" i="1"/>
  <c r="AT119" i="1"/>
  <c r="AT120" i="1"/>
  <c r="AT59" i="1"/>
  <c r="AT117" i="1"/>
  <c r="AT123" i="1"/>
  <c r="BH123" i="1" s="1"/>
  <c r="AW58" i="1"/>
  <c r="BJ58" i="1"/>
  <c r="BK199" i="1"/>
  <c r="AX199" i="1"/>
  <c r="BK198" i="1"/>
  <c r="AX198" i="1"/>
  <c r="BK197" i="1"/>
  <c r="AX197" i="1"/>
  <c r="BK196" i="1"/>
  <c r="AX196" i="1"/>
  <c r="BK195" i="1"/>
  <c r="AX195" i="1"/>
  <c r="BH57" i="1"/>
  <c r="AU57" i="1"/>
  <c r="AT103" i="1"/>
  <c r="BH103" i="1" s="1"/>
  <c r="AT194" i="1"/>
  <c r="BH194" i="1" s="1"/>
  <c r="AT193" i="1"/>
  <c r="BH193" i="1" s="1"/>
  <c r="AT6" i="1"/>
  <c r="AT115" i="1"/>
  <c r="BH115" i="1" s="1"/>
  <c r="AT105" i="1"/>
  <c r="AT112" i="1"/>
  <c r="BH112" i="1" s="1"/>
  <c r="AT56" i="1"/>
  <c r="BH56" i="1" s="1"/>
  <c r="AT102" i="1"/>
  <c r="AT116" i="1"/>
  <c r="BH116" i="1" s="1"/>
  <c r="AT130" i="1"/>
  <c r="AT113" i="1"/>
  <c r="AT100" i="1"/>
  <c r="AT131" i="1"/>
  <c r="AT110" i="1"/>
  <c r="AT111" i="1"/>
  <c r="AT104" i="1"/>
  <c r="AT5" i="1"/>
  <c r="BH5" i="1" s="1"/>
  <c r="AT99" i="1"/>
  <c r="BH99" i="1" s="1"/>
  <c r="AT106" i="1"/>
  <c r="BH106" i="1" s="1"/>
  <c r="AT114" i="1"/>
  <c r="AT132" i="1"/>
  <c r="AT108" i="1"/>
  <c r="BH108" i="1" s="1"/>
  <c r="AT133" i="1"/>
  <c r="AT109" i="1"/>
  <c r="AT101" i="1"/>
  <c r="AT98" i="1"/>
  <c r="BK55" i="1"/>
  <c r="AX55" i="1"/>
  <c r="BH54" i="1"/>
  <c r="AU54" i="1"/>
  <c r="AV53" i="1"/>
  <c r="BI53" i="1"/>
  <c r="BH52" i="1"/>
  <c r="AU52" i="1"/>
  <c r="AU51" i="1"/>
  <c r="BH51" i="1"/>
  <c r="BH50" i="1"/>
  <c r="AU50" i="1"/>
  <c r="BH49" i="1"/>
  <c r="AU49" i="1"/>
  <c r="AU48" i="1"/>
  <c r="BH48" i="1"/>
  <c r="AW93" i="1"/>
  <c r="BK93" i="1" s="1"/>
  <c r="AU92" i="1"/>
  <c r="BH92" i="1"/>
  <c r="AU71" i="1"/>
  <c r="BH71" i="1"/>
  <c r="AU72" i="1"/>
  <c r="BH72" i="1"/>
  <c r="BL83" i="1"/>
  <c r="AX85" i="1"/>
  <c r="BK85" i="1"/>
  <c r="BM83" i="1"/>
  <c r="AU73" i="1"/>
  <c r="BH73" i="1"/>
  <c r="AX90" i="1"/>
  <c r="BK90" i="1"/>
  <c r="BL87" i="1"/>
  <c r="AY87" i="1"/>
  <c r="AW86" i="1"/>
  <c r="BJ86" i="1"/>
  <c r="BA83" i="1"/>
  <c r="BN83" i="1"/>
  <c r="AY88" i="1"/>
  <c r="BL88" i="1"/>
  <c r="AW84" i="1"/>
  <c r="BJ84" i="1"/>
  <c r="AU70" i="1"/>
  <c r="BH70" i="1"/>
  <c r="AU28" i="1"/>
  <c r="BH28" i="1"/>
  <c r="AZ17" i="1"/>
  <c r="BM17" i="1"/>
  <c r="BA10" i="1"/>
  <c r="BN10" i="1"/>
  <c r="BP11" i="1"/>
  <c r="BC11" i="1"/>
  <c r="BC9" i="1"/>
  <c r="BP9" i="1"/>
  <c r="AU4" i="1"/>
  <c r="AU7" i="1" s="1"/>
  <c r="N5" i="8"/>
  <c r="C6" i="8"/>
  <c r="A5" i="1"/>
  <c r="BI7" i="1" l="1"/>
  <c r="AU67" i="1"/>
  <c r="BI67" i="1" s="1"/>
  <c r="AU95" i="1"/>
  <c r="BI95" i="1" s="1"/>
  <c r="AU66" i="1"/>
  <c r="BI66" i="1" s="1"/>
  <c r="BH66" i="1"/>
  <c r="AU68" i="1"/>
  <c r="BH68" i="1"/>
  <c r="AU94" i="1"/>
  <c r="BI94" i="1" s="1"/>
  <c r="BH94" i="1"/>
  <c r="AU235" i="1"/>
  <c r="BI235" i="1" s="1"/>
  <c r="AU135" i="1"/>
  <c r="BI135" i="1" s="1"/>
  <c r="AU61" i="1"/>
  <c r="BI61" i="1" s="1"/>
  <c r="AU65" i="1"/>
  <c r="BI65" i="1" s="1"/>
  <c r="AU60" i="1"/>
  <c r="BI60" i="1" s="1"/>
  <c r="AU62" i="1"/>
  <c r="AU63" i="1"/>
  <c r="BI63" i="1" s="1"/>
  <c r="AU64" i="1"/>
  <c r="AU97" i="1"/>
  <c r="BI97" i="1" s="1"/>
  <c r="BH235" i="1"/>
  <c r="AU122" i="1"/>
  <c r="BI122" i="1" s="1"/>
  <c r="BH122" i="1"/>
  <c r="AU107" i="1"/>
  <c r="BH107" i="1"/>
  <c r="AU121" i="1"/>
  <c r="BI121" i="1" s="1"/>
  <c r="BH121" i="1"/>
  <c r="AU118" i="1"/>
  <c r="BI118" i="1" s="1"/>
  <c r="BH118" i="1"/>
  <c r="AU117" i="1"/>
  <c r="BI117" i="1" s="1"/>
  <c r="BH117" i="1"/>
  <c r="AU59" i="1"/>
  <c r="BI59" i="1" s="1"/>
  <c r="BH59" i="1"/>
  <c r="AU120" i="1"/>
  <c r="BI120" i="1" s="1"/>
  <c r="BH120" i="1"/>
  <c r="AU230" i="1"/>
  <c r="BI230" i="1" s="1"/>
  <c r="AU236" i="1"/>
  <c r="BI236" i="1" s="1"/>
  <c r="AU201" i="1"/>
  <c r="BI201" i="1" s="1"/>
  <c r="AU200" i="1"/>
  <c r="BI200" i="1" s="1"/>
  <c r="AU136" i="1"/>
  <c r="BI136" i="1" s="1"/>
  <c r="AU139" i="1"/>
  <c r="BI139" i="1" s="1"/>
  <c r="AU138" i="1"/>
  <c r="BI138" i="1" s="1"/>
  <c r="AU140" i="1"/>
  <c r="BI140" i="1" s="1"/>
  <c r="AU137" i="1"/>
  <c r="BI137" i="1" s="1"/>
  <c r="AU123" i="1"/>
  <c r="AU119" i="1"/>
  <c r="BI119" i="1" s="1"/>
  <c r="BH119" i="1"/>
  <c r="AU124" i="1"/>
  <c r="BI124" i="1" s="1"/>
  <c r="BH124" i="1"/>
  <c r="BH236" i="1"/>
  <c r="AU96" i="1"/>
  <c r="BI96" i="1" s="1"/>
  <c r="BH96" i="1"/>
  <c r="BK58" i="1"/>
  <c r="AX58" i="1"/>
  <c r="BL199" i="1"/>
  <c r="AY199" i="1"/>
  <c r="BL198" i="1"/>
  <c r="AY198" i="1"/>
  <c r="BL197" i="1"/>
  <c r="AY197" i="1"/>
  <c r="BL196" i="1"/>
  <c r="AY196" i="1"/>
  <c r="BL195" i="1"/>
  <c r="AY195" i="1"/>
  <c r="BI57" i="1"/>
  <c r="AV57" i="1"/>
  <c r="AU194" i="1"/>
  <c r="BI194" i="1" s="1"/>
  <c r="AU193" i="1"/>
  <c r="BI193" i="1" s="1"/>
  <c r="AU113" i="1"/>
  <c r="BI113" i="1" s="1"/>
  <c r="BH113" i="1"/>
  <c r="BH132" i="1"/>
  <c r="AU110" i="1"/>
  <c r="BH110" i="1"/>
  <c r="AU102" i="1"/>
  <c r="BH102" i="1"/>
  <c r="AU104" i="1"/>
  <c r="BH104" i="1"/>
  <c r="AU111" i="1"/>
  <c r="BI111" i="1" s="1"/>
  <c r="BH111" i="1"/>
  <c r="AU114" i="1"/>
  <c r="BI114" i="1" s="1"/>
  <c r="BH114" i="1"/>
  <c r="BH131" i="1"/>
  <c r="BH133" i="1"/>
  <c r="BH130" i="1"/>
  <c r="AU98" i="1"/>
  <c r="BH98" i="1"/>
  <c r="AU130" i="1"/>
  <c r="BI130" i="1" s="1"/>
  <c r="AU132" i="1"/>
  <c r="BI132" i="1" s="1"/>
  <c r="AU131" i="1"/>
  <c r="BI131" i="1" s="1"/>
  <c r="AU56" i="1"/>
  <c r="BI56" i="1" s="1"/>
  <c r="AU133" i="1"/>
  <c r="BI133" i="1" s="1"/>
  <c r="AU116" i="1"/>
  <c r="AU112" i="1"/>
  <c r="BI112" i="1" s="1"/>
  <c r="AU115" i="1"/>
  <c r="BI115" i="1" s="1"/>
  <c r="AU103" i="1"/>
  <c r="BI103" i="1" s="1"/>
  <c r="AU6" i="1"/>
  <c r="AU106" i="1"/>
  <c r="AU108" i="1"/>
  <c r="AU99" i="1"/>
  <c r="AU101" i="1"/>
  <c r="BH101" i="1"/>
  <c r="AU109" i="1"/>
  <c r="BH109" i="1"/>
  <c r="AU5" i="1"/>
  <c r="BI5" i="1" s="1"/>
  <c r="AU100" i="1"/>
  <c r="BI100" i="1" s="1"/>
  <c r="BH100" i="1"/>
  <c r="AU105" i="1"/>
  <c r="BI105" i="1" s="1"/>
  <c r="BH105" i="1"/>
  <c r="AY55" i="1"/>
  <c r="BL55" i="1"/>
  <c r="AV54" i="1"/>
  <c r="BI54" i="1"/>
  <c r="BJ53" i="1"/>
  <c r="AW53" i="1"/>
  <c r="BI52" i="1"/>
  <c r="AV52" i="1"/>
  <c r="AV51" i="1"/>
  <c r="BI51" i="1"/>
  <c r="BI50" i="1"/>
  <c r="AV50" i="1"/>
  <c r="BI49" i="1"/>
  <c r="AV49" i="1"/>
  <c r="AV48" i="1"/>
  <c r="BI48" i="1"/>
  <c r="AX93" i="1"/>
  <c r="AY93" i="1" s="1"/>
  <c r="AV92" i="1"/>
  <c r="BI92" i="1"/>
  <c r="AV71" i="1"/>
  <c r="BI71" i="1"/>
  <c r="AV72" i="1"/>
  <c r="BI72" i="1"/>
  <c r="AY85" i="1"/>
  <c r="BL85" i="1"/>
  <c r="AV73" i="1"/>
  <c r="BI73" i="1"/>
  <c r="AY90" i="1"/>
  <c r="BL90" i="1"/>
  <c r="BM87" i="1"/>
  <c r="AZ87" i="1"/>
  <c r="AZ88" i="1"/>
  <c r="BM88" i="1"/>
  <c r="AX84" i="1"/>
  <c r="BK84" i="1"/>
  <c r="BB83" i="1"/>
  <c r="BO83" i="1"/>
  <c r="AX86" i="1"/>
  <c r="BK86" i="1"/>
  <c r="AV70" i="1"/>
  <c r="BI70" i="1"/>
  <c r="BI28" i="1"/>
  <c r="AV28" i="1"/>
  <c r="BA17" i="1"/>
  <c r="BN17" i="1"/>
  <c r="BD9" i="1"/>
  <c r="BR9" i="1" s="1"/>
  <c r="BQ9" i="1"/>
  <c r="BQ11" i="1"/>
  <c r="BD11" i="1"/>
  <c r="BR11" i="1" s="1"/>
  <c r="BB10" i="1"/>
  <c r="BO10" i="1"/>
  <c r="BH6" i="1"/>
  <c r="AV4" i="1"/>
  <c r="AV7" i="1" s="1"/>
  <c r="D6" i="8"/>
  <c r="E6" i="8" s="1"/>
  <c r="F6" i="8" s="1"/>
  <c r="G6" i="8" s="1"/>
  <c r="H6" i="8" s="1"/>
  <c r="I6" i="8" s="1"/>
  <c r="J6" i="8" s="1"/>
  <c r="K6" i="8" s="1"/>
  <c r="L6" i="8" s="1"/>
  <c r="M6" i="8" s="1"/>
  <c r="BS11" i="1" l="1"/>
  <c r="BJ7" i="1"/>
  <c r="AV67" i="1"/>
  <c r="AV95" i="1"/>
  <c r="BJ95" i="1" s="1"/>
  <c r="AV68" i="1"/>
  <c r="BI68" i="1"/>
  <c r="AV62" i="1"/>
  <c r="BJ62" i="1" s="1"/>
  <c r="BI62" i="1"/>
  <c r="AV235" i="1"/>
  <c r="AV60" i="1"/>
  <c r="AV135" i="1"/>
  <c r="BJ135" i="1" s="1"/>
  <c r="AV61" i="1"/>
  <c r="AV65" i="1"/>
  <c r="BJ65" i="1" s="1"/>
  <c r="AV94" i="1"/>
  <c r="BJ94" i="1" s="1"/>
  <c r="AV66" i="1"/>
  <c r="BJ66" i="1" s="1"/>
  <c r="AV63" i="1"/>
  <c r="BJ63" i="1" s="1"/>
  <c r="AV97" i="1"/>
  <c r="BJ97" i="1" s="1"/>
  <c r="AV64" i="1"/>
  <c r="BJ64" i="1" s="1"/>
  <c r="BI64" i="1"/>
  <c r="AV230" i="1"/>
  <c r="BJ230" i="1" s="1"/>
  <c r="AV236" i="1"/>
  <c r="AV201" i="1"/>
  <c r="BJ201" i="1" s="1"/>
  <c r="AV137" i="1"/>
  <c r="BJ137" i="1" s="1"/>
  <c r="AV200" i="1"/>
  <c r="BJ200" i="1" s="1"/>
  <c r="AV136" i="1"/>
  <c r="BJ136" i="1" s="1"/>
  <c r="AV139" i="1"/>
  <c r="BJ139" i="1" s="1"/>
  <c r="AV138" i="1"/>
  <c r="BJ138" i="1" s="1"/>
  <c r="AV140" i="1"/>
  <c r="BJ140" i="1" s="1"/>
  <c r="AV122" i="1"/>
  <c r="BJ122" i="1" s="1"/>
  <c r="AV117" i="1"/>
  <c r="AV118" i="1"/>
  <c r="BJ118" i="1" s="1"/>
  <c r="AV120" i="1"/>
  <c r="BJ120" i="1" s="1"/>
  <c r="AV96" i="1"/>
  <c r="BJ96" i="1" s="1"/>
  <c r="AV59" i="1"/>
  <c r="BJ59" i="1" s="1"/>
  <c r="AV124" i="1"/>
  <c r="BJ124" i="1" s="1"/>
  <c r="AV121" i="1"/>
  <c r="AV119" i="1"/>
  <c r="BJ119" i="1" s="1"/>
  <c r="AV123" i="1"/>
  <c r="BJ123" i="1" s="1"/>
  <c r="BI123" i="1"/>
  <c r="AV107" i="1"/>
  <c r="BJ107" i="1" s="1"/>
  <c r="BI107" i="1"/>
  <c r="AY58" i="1"/>
  <c r="BL58" i="1"/>
  <c r="BM199" i="1"/>
  <c r="AZ199" i="1"/>
  <c r="BM198" i="1"/>
  <c r="AZ198" i="1"/>
  <c r="BM197" i="1"/>
  <c r="AZ197" i="1"/>
  <c r="BM196" i="1"/>
  <c r="AZ196" i="1"/>
  <c r="AW57" i="1"/>
  <c r="BJ57" i="1"/>
  <c r="BM195" i="1"/>
  <c r="AZ195" i="1"/>
  <c r="AV194" i="1"/>
  <c r="BJ194" i="1" s="1"/>
  <c r="AV193" i="1"/>
  <c r="BJ193" i="1" s="1"/>
  <c r="AV106" i="1"/>
  <c r="BI106" i="1"/>
  <c r="AV104" i="1"/>
  <c r="BJ104" i="1" s="1"/>
  <c r="BI104" i="1"/>
  <c r="AV109" i="1"/>
  <c r="BJ109" i="1" s="1"/>
  <c r="BI109" i="1"/>
  <c r="AV110" i="1"/>
  <c r="BJ110" i="1" s="1"/>
  <c r="BI110" i="1"/>
  <c r="AV98" i="1"/>
  <c r="BJ98" i="1" s="1"/>
  <c r="BI98" i="1"/>
  <c r="AV56" i="1"/>
  <c r="BJ56" i="1" s="1"/>
  <c r="AV130" i="1"/>
  <c r="BJ130" i="1" s="1"/>
  <c r="AV132" i="1"/>
  <c r="AV131" i="1"/>
  <c r="BJ131" i="1" s="1"/>
  <c r="AV133" i="1"/>
  <c r="BJ133" i="1" s="1"/>
  <c r="AV114" i="1"/>
  <c r="BJ114" i="1" s="1"/>
  <c r="AV105" i="1"/>
  <c r="BJ105" i="1" s="1"/>
  <c r="AV100" i="1"/>
  <c r="BJ100" i="1" s="1"/>
  <c r="AV113" i="1"/>
  <c r="AV111" i="1"/>
  <c r="BJ111" i="1" s="1"/>
  <c r="AV6" i="1"/>
  <c r="AV103" i="1"/>
  <c r="BJ103" i="1" s="1"/>
  <c r="AV112" i="1"/>
  <c r="BJ112" i="1" s="1"/>
  <c r="AV115" i="1"/>
  <c r="BJ115" i="1" s="1"/>
  <c r="AV101" i="1"/>
  <c r="BJ101" i="1" s="1"/>
  <c r="BI101" i="1"/>
  <c r="AV102" i="1"/>
  <c r="BI102" i="1"/>
  <c r="AV116" i="1"/>
  <c r="BJ116" i="1" s="1"/>
  <c r="BI116" i="1"/>
  <c r="AV99" i="1"/>
  <c r="BI99" i="1"/>
  <c r="AV5" i="1"/>
  <c r="AV108" i="1"/>
  <c r="BJ108" i="1" s="1"/>
  <c r="BI108" i="1"/>
  <c r="AZ55" i="1"/>
  <c r="BM55" i="1"/>
  <c r="BJ54" i="1"/>
  <c r="AW54" i="1"/>
  <c r="AX53" i="1"/>
  <c r="BK53" i="1"/>
  <c r="BJ52" i="1"/>
  <c r="AW52" i="1"/>
  <c r="AW51" i="1"/>
  <c r="BJ51" i="1"/>
  <c r="AW50" i="1"/>
  <c r="BJ50" i="1"/>
  <c r="BJ49" i="1"/>
  <c r="AW49" i="1"/>
  <c r="BJ48" i="1"/>
  <c r="AW48" i="1"/>
  <c r="BL93" i="1"/>
  <c r="AZ93" i="1"/>
  <c r="BM93" i="1"/>
  <c r="BJ92" i="1"/>
  <c r="AW92" i="1"/>
  <c r="AW71" i="1"/>
  <c r="BJ71" i="1"/>
  <c r="AW72" i="1"/>
  <c r="BJ72" i="1"/>
  <c r="AZ85" i="1"/>
  <c r="BM85" i="1"/>
  <c r="AW73" i="1"/>
  <c r="BJ73" i="1"/>
  <c r="AZ90" i="1"/>
  <c r="BM90" i="1"/>
  <c r="BC83" i="1"/>
  <c r="BP83" i="1"/>
  <c r="BN87" i="1"/>
  <c r="BA87" i="1"/>
  <c r="AY86" i="1"/>
  <c r="BL86" i="1"/>
  <c r="BA88" i="1"/>
  <c r="BN88" i="1"/>
  <c r="AY84" i="1"/>
  <c r="BL84" i="1"/>
  <c r="AW70" i="1"/>
  <c r="BJ70" i="1"/>
  <c r="BJ28" i="1"/>
  <c r="AW28" i="1"/>
  <c r="BO17" i="1"/>
  <c r="BB17" i="1"/>
  <c r="BP17" i="1" s="1"/>
  <c r="BC10" i="1"/>
  <c r="BP10" i="1"/>
  <c r="BE11" i="1"/>
  <c r="BE9" i="1"/>
  <c r="AW4" i="1"/>
  <c r="AW7" i="1" s="1"/>
  <c r="BI6" i="1"/>
  <c r="R4" i="1"/>
  <c r="S4" i="1" s="1"/>
  <c r="T4" i="1" s="1"/>
  <c r="U4" i="1" s="1"/>
  <c r="V4" i="1" s="1"/>
  <c r="W4" i="1" s="1"/>
  <c r="X4" i="1" s="1"/>
  <c r="Y4" i="1" s="1"/>
  <c r="Z4" i="1" s="1"/>
  <c r="AA4" i="1" s="1"/>
  <c r="AB4" i="1" s="1"/>
  <c r="BS17" i="1" l="1"/>
  <c r="BK7" i="1"/>
  <c r="AW67" i="1"/>
  <c r="BJ67" i="1"/>
  <c r="AW68" i="1"/>
  <c r="BJ68" i="1"/>
  <c r="BJ235" i="1"/>
  <c r="AW235" i="1"/>
  <c r="BK235" i="1" s="1"/>
  <c r="AW135" i="1"/>
  <c r="BK135" i="1" s="1"/>
  <c r="AW64" i="1"/>
  <c r="BK64" i="1" s="1"/>
  <c r="AW62" i="1"/>
  <c r="BK62" i="1" s="1"/>
  <c r="AW65" i="1"/>
  <c r="BK65" i="1" s="1"/>
  <c r="AW94" i="1"/>
  <c r="BK94" i="1" s="1"/>
  <c r="AW63" i="1"/>
  <c r="BK63" i="1" s="1"/>
  <c r="AW66" i="1"/>
  <c r="BK66" i="1" s="1"/>
  <c r="AW97" i="1"/>
  <c r="BK97" i="1" s="1"/>
  <c r="AW95" i="1"/>
  <c r="BK95" i="1" s="1"/>
  <c r="AW61" i="1"/>
  <c r="BK61" i="1" s="1"/>
  <c r="BJ61" i="1"/>
  <c r="AW60" i="1"/>
  <c r="BK60" i="1" s="1"/>
  <c r="BJ60" i="1"/>
  <c r="AW117" i="1"/>
  <c r="BJ117" i="1"/>
  <c r="AW230" i="1"/>
  <c r="BK230" i="1" s="1"/>
  <c r="AW236" i="1"/>
  <c r="BK236" i="1" s="1"/>
  <c r="AW201" i="1"/>
  <c r="BK201" i="1" s="1"/>
  <c r="AW140" i="1"/>
  <c r="BK140" i="1" s="1"/>
  <c r="AW139" i="1"/>
  <c r="BK139" i="1" s="1"/>
  <c r="AW137" i="1"/>
  <c r="BK137" i="1" s="1"/>
  <c r="AW136" i="1"/>
  <c r="AW138" i="1"/>
  <c r="BK138" i="1" s="1"/>
  <c r="AW200" i="1"/>
  <c r="BK200" i="1" s="1"/>
  <c r="AW107" i="1"/>
  <c r="BK107" i="1" s="1"/>
  <c r="AW59" i="1"/>
  <c r="BK59" i="1" s="1"/>
  <c r="AW122" i="1"/>
  <c r="BK122" i="1" s="1"/>
  <c r="AW96" i="1"/>
  <c r="BK96" i="1" s="1"/>
  <c r="AW124" i="1"/>
  <c r="BK124" i="1" s="1"/>
  <c r="AW118" i="1"/>
  <c r="BK118" i="1" s="1"/>
  <c r="AW119" i="1"/>
  <c r="BK119" i="1" s="1"/>
  <c r="AW123" i="1"/>
  <c r="BK123" i="1" s="1"/>
  <c r="AW120" i="1"/>
  <c r="BK120" i="1" s="1"/>
  <c r="AW121" i="1"/>
  <c r="BJ121" i="1"/>
  <c r="BJ236" i="1"/>
  <c r="BM58" i="1"/>
  <c r="AZ58" i="1"/>
  <c r="BN199" i="1"/>
  <c r="BA199" i="1"/>
  <c r="BN198" i="1"/>
  <c r="BA198" i="1"/>
  <c r="BN197" i="1"/>
  <c r="BA197" i="1"/>
  <c r="BN196" i="1"/>
  <c r="BA196" i="1"/>
  <c r="BA195" i="1"/>
  <c r="BN195" i="1"/>
  <c r="BK57" i="1"/>
  <c r="AX57" i="1"/>
  <c r="AW194" i="1"/>
  <c r="BK194" i="1" s="1"/>
  <c r="AW193" i="1"/>
  <c r="BK193" i="1" s="1"/>
  <c r="AW6" i="1"/>
  <c r="AW5" i="1"/>
  <c r="BJ132" i="1"/>
  <c r="AW102" i="1"/>
  <c r="BK102" i="1" s="1"/>
  <c r="BJ102" i="1"/>
  <c r="BJ6" i="1"/>
  <c r="AW133" i="1"/>
  <c r="BK133" i="1" s="1"/>
  <c r="AW56" i="1"/>
  <c r="AW130" i="1"/>
  <c r="AW132" i="1"/>
  <c r="BK132" i="1" s="1"/>
  <c r="AW131" i="1"/>
  <c r="BK131" i="1" s="1"/>
  <c r="AW110" i="1"/>
  <c r="AW104" i="1"/>
  <c r="BK104" i="1" s="1"/>
  <c r="AW98" i="1"/>
  <c r="BK98" i="1" s="1"/>
  <c r="AW116" i="1"/>
  <c r="BK116" i="1" s="1"/>
  <c r="AW109" i="1"/>
  <c r="BK109" i="1" s="1"/>
  <c r="AW101" i="1"/>
  <c r="BK101" i="1" s="1"/>
  <c r="AW108" i="1"/>
  <c r="BK108" i="1" s="1"/>
  <c r="AW100" i="1"/>
  <c r="BK100" i="1" s="1"/>
  <c r="AW114" i="1"/>
  <c r="BK114" i="1" s="1"/>
  <c r="AW105" i="1"/>
  <c r="BK105" i="1" s="1"/>
  <c r="AW111" i="1"/>
  <c r="BK111" i="1" s="1"/>
  <c r="AW115" i="1"/>
  <c r="BK115" i="1" s="1"/>
  <c r="AW103" i="1"/>
  <c r="BK103" i="1" s="1"/>
  <c r="AW112" i="1"/>
  <c r="BK112" i="1" s="1"/>
  <c r="AW99" i="1"/>
  <c r="BJ99" i="1"/>
  <c r="AW113" i="1"/>
  <c r="BK113" i="1" s="1"/>
  <c r="BJ113" i="1"/>
  <c r="AW106" i="1"/>
  <c r="BK106" i="1" s="1"/>
  <c r="BJ106" i="1"/>
  <c r="BA55" i="1"/>
  <c r="BN55" i="1"/>
  <c r="AX54" i="1"/>
  <c r="BK54" i="1"/>
  <c r="AY53" i="1"/>
  <c r="BL53" i="1"/>
  <c r="AX52" i="1"/>
  <c r="BK52" i="1"/>
  <c r="AX51" i="1"/>
  <c r="BK51" i="1"/>
  <c r="AX50" i="1"/>
  <c r="BK50" i="1"/>
  <c r="AX49" i="1"/>
  <c r="BK49" i="1"/>
  <c r="BK48" i="1"/>
  <c r="AX48" i="1"/>
  <c r="BN93" i="1"/>
  <c r="BA93" i="1"/>
  <c r="BK92" i="1"/>
  <c r="AX92" i="1"/>
  <c r="BK67" i="1"/>
  <c r="AX71" i="1"/>
  <c r="BK71" i="1"/>
  <c r="AX72" i="1"/>
  <c r="BK72" i="1"/>
  <c r="BA85" i="1"/>
  <c r="BN85" i="1"/>
  <c r="AX73" i="1"/>
  <c r="BK73" i="1"/>
  <c r="BA90" i="1"/>
  <c r="BN90" i="1"/>
  <c r="BD83" i="1"/>
  <c r="BQ83" i="1"/>
  <c r="AZ84" i="1"/>
  <c r="BM84" i="1"/>
  <c r="BB87" i="1"/>
  <c r="BO87" i="1"/>
  <c r="BM86" i="1"/>
  <c r="AZ86" i="1"/>
  <c r="BB88" i="1"/>
  <c r="BO88" i="1"/>
  <c r="AX70" i="1"/>
  <c r="BK70" i="1"/>
  <c r="AX28" i="1"/>
  <c r="BK28" i="1"/>
  <c r="BE17" i="1"/>
  <c r="BD10" i="1"/>
  <c r="BQ10" i="1"/>
  <c r="AX4" i="1"/>
  <c r="AX7" i="1" s="1"/>
  <c r="C23" i="8"/>
  <c r="BL7" i="1" l="1"/>
  <c r="AX95" i="1"/>
  <c r="BL95" i="1" s="1"/>
  <c r="AX235" i="1"/>
  <c r="BL235" i="1" s="1"/>
  <c r="AX135" i="1"/>
  <c r="AX61" i="1"/>
  <c r="BL61" i="1" s="1"/>
  <c r="AX60" i="1"/>
  <c r="BL60" i="1" s="1"/>
  <c r="AX64" i="1"/>
  <c r="BL64" i="1" s="1"/>
  <c r="AX62" i="1"/>
  <c r="BL62" i="1" s="1"/>
  <c r="AX65" i="1"/>
  <c r="BL65" i="1" s="1"/>
  <c r="AX94" i="1"/>
  <c r="BL94" i="1" s="1"/>
  <c r="AX66" i="1"/>
  <c r="BL66" i="1" s="1"/>
  <c r="AX63" i="1"/>
  <c r="BL63" i="1" s="1"/>
  <c r="AX97" i="1"/>
  <c r="BL97" i="1" s="1"/>
  <c r="AX67" i="1"/>
  <c r="BL67" i="1" s="1"/>
  <c r="AX68" i="1"/>
  <c r="BK68" i="1"/>
  <c r="AX121" i="1"/>
  <c r="BL121" i="1" s="1"/>
  <c r="BK121" i="1"/>
  <c r="AX230" i="1"/>
  <c r="BL230" i="1" s="1"/>
  <c r="AX236" i="1"/>
  <c r="AX201" i="1"/>
  <c r="BL201" i="1" s="1"/>
  <c r="AX136" i="1"/>
  <c r="BL136" i="1" s="1"/>
  <c r="AX137" i="1"/>
  <c r="AX139" i="1"/>
  <c r="BL139" i="1" s="1"/>
  <c r="AX138" i="1"/>
  <c r="AX140" i="1"/>
  <c r="AX107" i="1"/>
  <c r="BL107" i="1" s="1"/>
  <c r="AX118" i="1"/>
  <c r="BL118" i="1" s="1"/>
  <c r="AX200" i="1"/>
  <c r="BL200" i="1" s="1"/>
  <c r="AX120" i="1"/>
  <c r="BL120" i="1" s="1"/>
  <c r="AX96" i="1"/>
  <c r="BL96" i="1" s="1"/>
  <c r="AX124" i="1"/>
  <c r="BL124" i="1" s="1"/>
  <c r="AX122" i="1"/>
  <c r="BL122" i="1" s="1"/>
  <c r="AX123" i="1"/>
  <c r="BL123" i="1" s="1"/>
  <c r="AX119" i="1"/>
  <c r="BL119" i="1" s="1"/>
  <c r="AX59" i="1"/>
  <c r="BL59" i="1" s="1"/>
  <c r="BK136" i="1"/>
  <c r="AX117" i="1"/>
  <c r="BL117" i="1" s="1"/>
  <c r="BK117" i="1"/>
  <c r="BA58" i="1"/>
  <c r="BN58" i="1"/>
  <c r="BO199" i="1"/>
  <c r="BB199" i="1"/>
  <c r="BO198" i="1"/>
  <c r="BB198" i="1"/>
  <c r="BO197" i="1"/>
  <c r="BB197" i="1"/>
  <c r="BO196" i="1"/>
  <c r="BB196" i="1"/>
  <c r="BB195" i="1"/>
  <c r="BO195" i="1"/>
  <c r="BL57" i="1"/>
  <c r="AY57" i="1"/>
  <c r="AX194" i="1"/>
  <c r="BL194" i="1" s="1"/>
  <c r="AX193" i="1"/>
  <c r="BL193" i="1" s="1"/>
  <c r="AX6" i="1"/>
  <c r="AX56" i="1"/>
  <c r="BL56" i="1" s="1"/>
  <c r="BK56" i="1"/>
  <c r="AX99" i="1"/>
  <c r="BL99" i="1" s="1"/>
  <c r="BK99" i="1"/>
  <c r="AX110" i="1"/>
  <c r="BL110" i="1" s="1"/>
  <c r="BK110" i="1"/>
  <c r="AX5" i="1"/>
  <c r="AY4" i="1"/>
  <c r="AY7" i="1" s="1"/>
  <c r="AX130" i="1"/>
  <c r="AX131" i="1"/>
  <c r="AX132" i="1"/>
  <c r="AX133" i="1"/>
  <c r="AX102" i="1"/>
  <c r="BL102" i="1" s="1"/>
  <c r="AX116" i="1"/>
  <c r="BL116" i="1" s="1"/>
  <c r="AX98" i="1"/>
  <c r="BL98" i="1" s="1"/>
  <c r="AX106" i="1"/>
  <c r="BL106" i="1" s="1"/>
  <c r="AX109" i="1"/>
  <c r="BL109" i="1" s="1"/>
  <c r="AX104" i="1"/>
  <c r="BL104" i="1" s="1"/>
  <c r="AX113" i="1"/>
  <c r="AX101" i="1"/>
  <c r="BL101" i="1" s="1"/>
  <c r="AX105" i="1"/>
  <c r="BL105" i="1" s="1"/>
  <c r="AX100" i="1"/>
  <c r="BL100" i="1" s="1"/>
  <c r="AX111" i="1"/>
  <c r="BL111" i="1" s="1"/>
  <c r="AX108" i="1"/>
  <c r="BL108" i="1" s="1"/>
  <c r="AX114" i="1"/>
  <c r="BL114" i="1" s="1"/>
  <c r="AX115" i="1"/>
  <c r="BL115" i="1" s="1"/>
  <c r="AX112" i="1"/>
  <c r="BL112" i="1" s="1"/>
  <c r="AX103" i="1"/>
  <c r="BL103" i="1" s="1"/>
  <c r="BK130" i="1"/>
  <c r="BO55" i="1"/>
  <c r="BB55" i="1"/>
  <c r="BL54" i="1"/>
  <c r="AY54" i="1"/>
  <c r="BM53" i="1"/>
  <c r="AZ53" i="1"/>
  <c r="AY52" i="1"/>
  <c r="BL52" i="1"/>
  <c r="BL51" i="1"/>
  <c r="AY51" i="1"/>
  <c r="AY50" i="1"/>
  <c r="BL50" i="1"/>
  <c r="AY49" i="1"/>
  <c r="BL49" i="1"/>
  <c r="AY48" i="1"/>
  <c r="BL48" i="1"/>
  <c r="BB93" i="1"/>
  <c r="BO93" i="1"/>
  <c r="AY92" i="1"/>
  <c r="BL92" i="1"/>
  <c r="AY71" i="1"/>
  <c r="BL71" i="1"/>
  <c r="AY72" i="1"/>
  <c r="BL72" i="1"/>
  <c r="BB85" i="1"/>
  <c r="BO85" i="1"/>
  <c r="AY73" i="1"/>
  <c r="BL73" i="1"/>
  <c r="BB90" i="1"/>
  <c r="BO90" i="1"/>
  <c r="BR83" i="1"/>
  <c r="BS83" i="1" s="1"/>
  <c r="BE83" i="1"/>
  <c r="BN84" i="1"/>
  <c r="BA84" i="1"/>
  <c r="BC88" i="1"/>
  <c r="BP88" i="1"/>
  <c r="BA86" i="1"/>
  <c r="BN86" i="1"/>
  <c r="BC87" i="1"/>
  <c r="BP87" i="1"/>
  <c r="AY70" i="1"/>
  <c r="BL70" i="1"/>
  <c r="AY28" i="1"/>
  <c r="BL28" i="1"/>
  <c r="BR10" i="1"/>
  <c r="BS10" i="1" s="1"/>
  <c r="BE10" i="1"/>
  <c r="D23" i="8"/>
  <c r="C26" i="8"/>
  <c r="C27" i="8"/>
  <c r="C25" i="8"/>
  <c r="C24" i="8"/>
  <c r="C28" i="8"/>
  <c r="BM7" i="1" l="1"/>
  <c r="AY67" i="1"/>
  <c r="BL135" i="1"/>
  <c r="AY235" i="1"/>
  <c r="BM235" i="1" s="1"/>
  <c r="AY135" i="1"/>
  <c r="AY61" i="1"/>
  <c r="BM61" i="1" s="1"/>
  <c r="AY60" i="1"/>
  <c r="BM60" i="1" s="1"/>
  <c r="AY64" i="1"/>
  <c r="BM64" i="1" s="1"/>
  <c r="AY62" i="1"/>
  <c r="BM62" i="1" s="1"/>
  <c r="AY65" i="1"/>
  <c r="BM65" i="1" s="1"/>
  <c r="AY94" i="1"/>
  <c r="BM94" i="1" s="1"/>
  <c r="AY63" i="1"/>
  <c r="BM63" i="1" s="1"/>
  <c r="AY66" i="1"/>
  <c r="BM66" i="1" s="1"/>
  <c r="AY97" i="1"/>
  <c r="BM97" i="1" s="1"/>
  <c r="AY95" i="1"/>
  <c r="AY68" i="1"/>
  <c r="BL68" i="1"/>
  <c r="BL137" i="1"/>
  <c r="AY230" i="1"/>
  <c r="BM230" i="1" s="1"/>
  <c r="AY236" i="1"/>
  <c r="BM236" i="1" s="1"/>
  <c r="AY138" i="1"/>
  <c r="AY140" i="1"/>
  <c r="AY137" i="1"/>
  <c r="AY201" i="1"/>
  <c r="AY139" i="1"/>
  <c r="AY136" i="1"/>
  <c r="AY121" i="1"/>
  <c r="BM121" i="1" s="1"/>
  <c r="AY117" i="1"/>
  <c r="BM117" i="1" s="1"/>
  <c r="AY200" i="1"/>
  <c r="BM200" i="1" s="1"/>
  <c r="AY107" i="1"/>
  <c r="BM107" i="1" s="1"/>
  <c r="AY122" i="1"/>
  <c r="BM122" i="1" s="1"/>
  <c r="AY118" i="1"/>
  <c r="BM118" i="1" s="1"/>
  <c r="AY59" i="1"/>
  <c r="BM59" i="1" s="1"/>
  <c r="AY119" i="1"/>
  <c r="BM119" i="1" s="1"/>
  <c r="AY120" i="1"/>
  <c r="BM120" i="1" s="1"/>
  <c r="AY96" i="1"/>
  <c r="BM96" i="1" s="1"/>
  <c r="AY124" i="1"/>
  <c r="BM124" i="1" s="1"/>
  <c r="AY123" i="1"/>
  <c r="BM123" i="1" s="1"/>
  <c r="BL236" i="1"/>
  <c r="BL140" i="1"/>
  <c r="BL138" i="1"/>
  <c r="BB58" i="1"/>
  <c r="BO58" i="1"/>
  <c r="BP199" i="1"/>
  <c r="BC199" i="1"/>
  <c r="BP198" i="1"/>
  <c r="BC198" i="1"/>
  <c r="BP197" i="1"/>
  <c r="BC197" i="1"/>
  <c r="BP196" i="1"/>
  <c r="BC196" i="1"/>
  <c r="AZ57" i="1"/>
  <c r="BM57" i="1"/>
  <c r="BC195" i="1"/>
  <c r="BP195" i="1"/>
  <c r="AY194" i="1"/>
  <c r="BM194" i="1" s="1"/>
  <c r="AY193" i="1"/>
  <c r="BM193" i="1" s="1"/>
  <c r="AY5" i="1"/>
  <c r="AY131" i="1"/>
  <c r="BL131" i="1"/>
  <c r="AY133" i="1"/>
  <c r="BL133" i="1"/>
  <c r="AY132" i="1"/>
  <c r="BL132" i="1"/>
  <c r="AY130" i="1"/>
  <c r="BL130" i="1"/>
  <c r="AY113" i="1"/>
  <c r="BM113" i="1" s="1"/>
  <c r="BL113" i="1"/>
  <c r="AZ4" i="1"/>
  <c r="AZ7" i="1" s="1"/>
  <c r="AY56" i="1"/>
  <c r="BM56" i="1" s="1"/>
  <c r="AY102" i="1"/>
  <c r="BM102" i="1" s="1"/>
  <c r="AY110" i="1"/>
  <c r="BM110" i="1" s="1"/>
  <c r="AY99" i="1"/>
  <c r="BM99" i="1" s="1"/>
  <c r="AY98" i="1"/>
  <c r="BM98" i="1" s="1"/>
  <c r="AY106" i="1"/>
  <c r="BM106" i="1" s="1"/>
  <c r="AY109" i="1"/>
  <c r="BM109" i="1" s="1"/>
  <c r="AY116" i="1"/>
  <c r="BM116" i="1" s="1"/>
  <c r="AY101" i="1"/>
  <c r="BM101" i="1" s="1"/>
  <c r="AY104" i="1"/>
  <c r="AY100" i="1"/>
  <c r="BM100" i="1" s="1"/>
  <c r="AY108" i="1"/>
  <c r="AY105" i="1"/>
  <c r="BM105" i="1" s="1"/>
  <c r="AY111" i="1"/>
  <c r="BM111" i="1" s="1"/>
  <c r="AY114" i="1"/>
  <c r="BM114" i="1" s="1"/>
  <c r="AY115" i="1"/>
  <c r="BM115" i="1" s="1"/>
  <c r="AY112" i="1"/>
  <c r="BM112" i="1" s="1"/>
  <c r="AY103" i="1"/>
  <c r="AY6" i="1"/>
  <c r="BP55" i="1"/>
  <c r="BC55" i="1"/>
  <c r="AZ54" i="1"/>
  <c r="BM54" i="1"/>
  <c r="BN53" i="1"/>
  <c r="BA53" i="1"/>
  <c r="BM52" i="1"/>
  <c r="AZ52" i="1"/>
  <c r="BM51" i="1"/>
  <c r="AZ51" i="1"/>
  <c r="AZ50" i="1"/>
  <c r="BM50" i="1"/>
  <c r="BM49" i="1"/>
  <c r="AZ49" i="1"/>
  <c r="BM48" i="1"/>
  <c r="AZ48" i="1"/>
  <c r="BC93" i="1"/>
  <c r="BP93" i="1"/>
  <c r="AZ92" i="1"/>
  <c r="BM92" i="1"/>
  <c r="AZ71" i="1"/>
  <c r="BM71" i="1"/>
  <c r="AZ72" i="1"/>
  <c r="BM72" i="1"/>
  <c r="BC85" i="1"/>
  <c r="BP85" i="1"/>
  <c r="AZ73" i="1"/>
  <c r="BM73" i="1"/>
  <c r="BC90" i="1"/>
  <c r="BP90" i="1"/>
  <c r="BB86" i="1"/>
  <c r="BO86" i="1"/>
  <c r="BO84" i="1"/>
  <c r="BB84" i="1"/>
  <c r="BD87" i="1"/>
  <c r="BQ87" i="1"/>
  <c r="BD88" i="1"/>
  <c r="BQ88" i="1"/>
  <c r="AZ70" i="1"/>
  <c r="BM70" i="1"/>
  <c r="AZ28" i="1"/>
  <c r="BM28" i="1"/>
  <c r="D28" i="8"/>
  <c r="D26" i="8"/>
  <c r="D25" i="8"/>
  <c r="D27" i="8"/>
  <c r="D24" i="8"/>
  <c r="BN7" i="1" l="1"/>
  <c r="AZ95" i="1"/>
  <c r="AZ67" i="1"/>
  <c r="BM95" i="1"/>
  <c r="BM67" i="1"/>
  <c r="AZ135" i="1"/>
  <c r="BN135" i="1" s="1"/>
  <c r="BM135" i="1"/>
  <c r="AZ68" i="1"/>
  <c r="BM68" i="1"/>
  <c r="AZ235" i="1"/>
  <c r="BN235" i="1" s="1"/>
  <c r="AZ61" i="1"/>
  <c r="BN61" i="1" s="1"/>
  <c r="AZ60" i="1"/>
  <c r="BN60" i="1" s="1"/>
  <c r="AZ65" i="1"/>
  <c r="BN65" i="1" s="1"/>
  <c r="AZ62" i="1"/>
  <c r="BN62" i="1" s="1"/>
  <c r="AZ64" i="1"/>
  <c r="BN64" i="1" s="1"/>
  <c r="AZ63" i="1"/>
  <c r="BN63" i="1" s="1"/>
  <c r="AZ94" i="1"/>
  <c r="BN94" i="1" s="1"/>
  <c r="AZ66" i="1"/>
  <c r="BN66" i="1" s="1"/>
  <c r="AZ97" i="1"/>
  <c r="BN97" i="1" s="1"/>
  <c r="AZ137" i="1"/>
  <c r="BN137" i="1" s="1"/>
  <c r="BM137" i="1"/>
  <c r="BM201" i="1"/>
  <c r="AZ230" i="1"/>
  <c r="BN230" i="1" s="1"/>
  <c r="AZ236" i="1"/>
  <c r="AZ201" i="1"/>
  <c r="BN201" i="1" s="1"/>
  <c r="AZ121" i="1"/>
  <c r="BN121" i="1" s="1"/>
  <c r="AZ117" i="1"/>
  <c r="BN117" i="1" s="1"/>
  <c r="AZ200" i="1"/>
  <c r="BN200" i="1" s="1"/>
  <c r="AZ118" i="1"/>
  <c r="BN118" i="1" s="1"/>
  <c r="AZ122" i="1"/>
  <c r="BN122" i="1" s="1"/>
  <c r="AZ107" i="1"/>
  <c r="BN107" i="1" s="1"/>
  <c r="AZ120" i="1"/>
  <c r="BN120" i="1" s="1"/>
  <c r="AZ96" i="1"/>
  <c r="BN96" i="1" s="1"/>
  <c r="AZ124" i="1"/>
  <c r="BN124" i="1" s="1"/>
  <c r="AZ119" i="1"/>
  <c r="BN119" i="1" s="1"/>
  <c r="AZ59" i="1"/>
  <c r="BN59" i="1" s="1"/>
  <c r="AZ123" i="1"/>
  <c r="BN123" i="1" s="1"/>
  <c r="AZ140" i="1"/>
  <c r="BM140" i="1"/>
  <c r="AZ138" i="1"/>
  <c r="BM138" i="1"/>
  <c r="AZ136" i="1"/>
  <c r="BN136" i="1" s="1"/>
  <c r="BM136" i="1"/>
  <c r="AZ139" i="1"/>
  <c r="BN139" i="1" s="1"/>
  <c r="BM139" i="1"/>
  <c r="BC58" i="1"/>
  <c r="BP58" i="1"/>
  <c r="BQ199" i="1"/>
  <c r="BD199" i="1"/>
  <c r="BQ198" i="1"/>
  <c r="BD198" i="1"/>
  <c r="BQ197" i="1"/>
  <c r="BD197" i="1"/>
  <c r="BQ196" i="1"/>
  <c r="BD196" i="1"/>
  <c r="BD195" i="1"/>
  <c r="BQ195" i="1"/>
  <c r="BN57" i="1"/>
  <c r="BA57" i="1"/>
  <c r="AZ194" i="1"/>
  <c r="BN194" i="1" s="1"/>
  <c r="AZ193" i="1"/>
  <c r="BN193" i="1" s="1"/>
  <c r="AZ130" i="1"/>
  <c r="BM130" i="1"/>
  <c r="AZ108" i="1"/>
  <c r="BN108" i="1" s="1"/>
  <c r="BM108" i="1"/>
  <c r="AZ132" i="1"/>
  <c r="BM132" i="1"/>
  <c r="BA4" i="1"/>
  <c r="BA7" i="1" s="1"/>
  <c r="AZ56" i="1"/>
  <c r="AZ102" i="1"/>
  <c r="BN102" i="1" s="1"/>
  <c r="AZ110" i="1"/>
  <c r="BN110" i="1" s="1"/>
  <c r="AZ113" i="1"/>
  <c r="BN113" i="1" s="1"/>
  <c r="AZ99" i="1"/>
  <c r="BN99" i="1" s="1"/>
  <c r="AZ101" i="1"/>
  <c r="BN101" i="1" s="1"/>
  <c r="AZ106" i="1"/>
  <c r="BN106" i="1" s="1"/>
  <c r="AZ109" i="1"/>
  <c r="BN109" i="1" s="1"/>
  <c r="AZ98" i="1"/>
  <c r="BN98" i="1" s="1"/>
  <c r="AZ111" i="1"/>
  <c r="BN111" i="1" s="1"/>
  <c r="AZ116" i="1"/>
  <c r="BN116" i="1" s="1"/>
  <c r="AZ105" i="1"/>
  <c r="BN105" i="1" s="1"/>
  <c r="AZ114" i="1"/>
  <c r="BN114" i="1" s="1"/>
  <c r="AZ100" i="1"/>
  <c r="BN100" i="1" s="1"/>
  <c r="AZ112" i="1"/>
  <c r="BN112" i="1" s="1"/>
  <c r="AZ115" i="1"/>
  <c r="BN115" i="1" s="1"/>
  <c r="AZ5" i="1"/>
  <c r="AZ6" i="1"/>
  <c r="AZ104" i="1"/>
  <c r="BN104" i="1" s="1"/>
  <c r="BM104" i="1"/>
  <c r="AZ133" i="1"/>
  <c r="BM133" i="1"/>
  <c r="AZ131" i="1"/>
  <c r="BM131" i="1"/>
  <c r="AZ103" i="1"/>
  <c r="BN103" i="1" s="1"/>
  <c r="BM103" i="1"/>
  <c r="BD55" i="1"/>
  <c r="BQ55" i="1"/>
  <c r="BA54" i="1"/>
  <c r="BN54" i="1"/>
  <c r="BB53" i="1"/>
  <c r="BO53" i="1"/>
  <c r="BA52" i="1"/>
  <c r="BN52" i="1"/>
  <c r="BN51" i="1"/>
  <c r="BA51" i="1"/>
  <c r="BA50" i="1"/>
  <c r="BN50" i="1"/>
  <c r="BN49" i="1"/>
  <c r="BA49" i="1"/>
  <c r="BN48" i="1"/>
  <c r="BA48" i="1"/>
  <c r="BD93" i="1"/>
  <c r="BR93" i="1" s="1"/>
  <c r="BQ93" i="1"/>
  <c r="BS93" i="1" s="1"/>
  <c r="BA92" i="1"/>
  <c r="BN92" i="1"/>
  <c r="BA95" i="1"/>
  <c r="BN95" i="1"/>
  <c r="BA67" i="1"/>
  <c r="BN67" i="1"/>
  <c r="BA71" i="1"/>
  <c r="BN71" i="1"/>
  <c r="BA72" i="1"/>
  <c r="BN72" i="1"/>
  <c r="BD85" i="1"/>
  <c r="BR85" i="1" s="1"/>
  <c r="BQ85" i="1"/>
  <c r="BS85" i="1" s="1"/>
  <c r="BA73" i="1"/>
  <c r="BN73" i="1"/>
  <c r="BD90" i="1"/>
  <c r="BQ90" i="1"/>
  <c r="BR87" i="1"/>
  <c r="BS87" i="1" s="1"/>
  <c r="BE87" i="1"/>
  <c r="BC84" i="1"/>
  <c r="BP84" i="1"/>
  <c r="BR88" i="1"/>
  <c r="BS88" i="1" s="1"/>
  <c r="BE88" i="1"/>
  <c r="BC86" i="1"/>
  <c r="BP86" i="1"/>
  <c r="BA70" i="1"/>
  <c r="BN70" i="1"/>
  <c r="BA28" i="1"/>
  <c r="BN28" i="1"/>
  <c r="B29" i="8"/>
  <c r="B30" i="8" s="1"/>
  <c r="BO7" i="1" l="1"/>
  <c r="BA68" i="1"/>
  <c r="BN68" i="1"/>
  <c r="BA235" i="1"/>
  <c r="BO235" i="1" s="1"/>
  <c r="BA135" i="1"/>
  <c r="BA60" i="1"/>
  <c r="BO60" i="1" s="1"/>
  <c r="BA61" i="1"/>
  <c r="BA64" i="1"/>
  <c r="BO64" i="1" s="1"/>
  <c r="BA65" i="1"/>
  <c r="BO65" i="1" s="1"/>
  <c r="BA62" i="1"/>
  <c r="BO62" i="1" s="1"/>
  <c r="BA94" i="1"/>
  <c r="BO94" i="1" s="1"/>
  <c r="BA66" i="1"/>
  <c r="BO66" i="1" s="1"/>
  <c r="BA63" i="1"/>
  <c r="BO63" i="1" s="1"/>
  <c r="BA97" i="1"/>
  <c r="BO97" i="1" s="1"/>
  <c r="BN236" i="1"/>
  <c r="BN140" i="1"/>
  <c r="BA230" i="1"/>
  <c r="BO230" i="1" s="1"/>
  <c r="BA236" i="1"/>
  <c r="BO236" i="1" s="1"/>
  <c r="BA140" i="1"/>
  <c r="BO140" i="1" s="1"/>
  <c r="BA139" i="1"/>
  <c r="BA136" i="1"/>
  <c r="BA138" i="1"/>
  <c r="BO138" i="1" s="1"/>
  <c r="BA137" i="1"/>
  <c r="BA201" i="1"/>
  <c r="BO201" i="1" s="1"/>
  <c r="BA117" i="1"/>
  <c r="BA121" i="1"/>
  <c r="BA200" i="1"/>
  <c r="BO200" i="1" s="1"/>
  <c r="BA118" i="1"/>
  <c r="BO118" i="1" s="1"/>
  <c r="BA122" i="1"/>
  <c r="BO122" i="1" s="1"/>
  <c r="BA107" i="1"/>
  <c r="BO107" i="1" s="1"/>
  <c r="BA119" i="1"/>
  <c r="BO119" i="1" s="1"/>
  <c r="BA96" i="1"/>
  <c r="BO96" i="1" s="1"/>
  <c r="BA59" i="1"/>
  <c r="BO59" i="1" s="1"/>
  <c r="BA124" i="1"/>
  <c r="BO124" i="1" s="1"/>
  <c r="BA123" i="1"/>
  <c r="BO123" i="1" s="1"/>
  <c r="BA120" i="1"/>
  <c r="BO120" i="1" s="1"/>
  <c r="BN138" i="1"/>
  <c r="BD58" i="1"/>
  <c r="BQ58" i="1"/>
  <c r="BR199" i="1"/>
  <c r="BS199" i="1" s="1"/>
  <c r="BE199" i="1"/>
  <c r="BR198" i="1"/>
  <c r="BS198" i="1" s="1"/>
  <c r="BE198" i="1"/>
  <c r="BR197" i="1"/>
  <c r="BS197" i="1" s="1"/>
  <c r="BE197" i="1"/>
  <c r="BR196" i="1"/>
  <c r="BS196" i="1" s="1"/>
  <c r="BE196" i="1"/>
  <c r="BO57" i="1"/>
  <c r="BB57" i="1"/>
  <c r="BR195" i="1"/>
  <c r="BS195" i="1" s="1"/>
  <c r="BE195" i="1"/>
  <c r="BA194" i="1"/>
  <c r="BA193" i="1"/>
  <c r="BO193" i="1" s="1"/>
  <c r="BA6" i="1"/>
  <c r="BA5" i="1"/>
  <c r="BN56" i="1"/>
  <c r="BA131" i="1"/>
  <c r="BN131" i="1"/>
  <c r="BA133" i="1"/>
  <c r="BN133" i="1"/>
  <c r="BB4" i="1"/>
  <c r="BB7" i="1" s="1"/>
  <c r="BA56" i="1"/>
  <c r="BO56" i="1" s="1"/>
  <c r="BA99" i="1"/>
  <c r="BO99" i="1" s="1"/>
  <c r="BA110" i="1"/>
  <c r="BO110" i="1" s="1"/>
  <c r="BA113" i="1"/>
  <c r="BA104" i="1"/>
  <c r="BA102" i="1"/>
  <c r="BA106" i="1"/>
  <c r="BA98" i="1"/>
  <c r="BO98" i="1" s="1"/>
  <c r="BA111" i="1"/>
  <c r="BO111" i="1" s="1"/>
  <c r="BA116" i="1"/>
  <c r="BO116" i="1" s="1"/>
  <c r="BA109" i="1"/>
  <c r="BO109" i="1" s="1"/>
  <c r="BA101" i="1"/>
  <c r="BA108" i="1"/>
  <c r="BO108" i="1" s="1"/>
  <c r="BA100" i="1"/>
  <c r="BO100" i="1" s="1"/>
  <c r="BA105" i="1"/>
  <c r="BO105" i="1" s="1"/>
  <c r="BA103" i="1"/>
  <c r="BO103" i="1" s="1"/>
  <c r="BA114" i="1"/>
  <c r="BO114" i="1" s="1"/>
  <c r="BA115" i="1"/>
  <c r="BO115" i="1" s="1"/>
  <c r="BA112" i="1"/>
  <c r="BO112" i="1" s="1"/>
  <c r="BA130" i="1"/>
  <c r="BN130" i="1"/>
  <c r="BA132" i="1"/>
  <c r="BN132" i="1"/>
  <c r="BR55" i="1"/>
  <c r="BS55" i="1" s="1"/>
  <c r="BE55" i="1"/>
  <c r="BO54" i="1"/>
  <c r="BB54" i="1"/>
  <c r="BC53" i="1"/>
  <c r="BP53" i="1"/>
  <c r="BO52" i="1"/>
  <c r="BB52" i="1"/>
  <c r="BO51" i="1"/>
  <c r="BB51" i="1"/>
  <c r="BO50" i="1"/>
  <c r="BB50" i="1"/>
  <c r="BB49" i="1"/>
  <c r="BO49" i="1"/>
  <c r="BB48" i="1"/>
  <c r="BO48" i="1"/>
  <c r="BE93" i="1"/>
  <c r="BB92" i="1"/>
  <c r="BO92" i="1"/>
  <c r="BO95" i="1"/>
  <c r="BO67" i="1"/>
  <c r="BB71" i="1"/>
  <c r="BO71" i="1"/>
  <c r="BB72" i="1"/>
  <c r="BO72" i="1"/>
  <c r="BE85" i="1"/>
  <c r="BB73" i="1"/>
  <c r="BO73" i="1"/>
  <c r="BR90" i="1"/>
  <c r="BS90" i="1" s="1"/>
  <c r="BE90" i="1"/>
  <c r="BD84" i="1"/>
  <c r="BQ84" i="1"/>
  <c r="BQ86" i="1"/>
  <c r="BD86" i="1"/>
  <c r="BB70" i="1"/>
  <c r="BO70" i="1"/>
  <c r="BB28" i="1"/>
  <c r="BO28" i="1"/>
  <c r="C30" i="8"/>
  <c r="B31" i="8"/>
  <c r="C29" i="8"/>
  <c r="BP7" i="1" l="1"/>
  <c r="BO135" i="1"/>
  <c r="BB235" i="1"/>
  <c r="BP235" i="1" s="1"/>
  <c r="BB135" i="1"/>
  <c r="BP135" i="1" s="1"/>
  <c r="BB61" i="1"/>
  <c r="BP61" i="1" s="1"/>
  <c r="BB60" i="1"/>
  <c r="BP60" i="1" s="1"/>
  <c r="BB65" i="1"/>
  <c r="BB64" i="1"/>
  <c r="BB62" i="1"/>
  <c r="BB66" i="1"/>
  <c r="BP66" i="1" s="1"/>
  <c r="BB94" i="1"/>
  <c r="BP94" i="1" s="1"/>
  <c r="BB63" i="1"/>
  <c r="BP63" i="1" s="1"/>
  <c r="BB97" i="1"/>
  <c r="BP97" i="1" s="1"/>
  <c r="BB95" i="1"/>
  <c r="BP95" i="1" s="1"/>
  <c r="BB68" i="1"/>
  <c r="BO68" i="1"/>
  <c r="BB67" i="1"/>
  <c r="BP67" i="1" s="1"/>
  <c r="BO61" i="1"/>
  <c r="BO117" i="1"/>
  <c r="BO137" i="1"/>
  <c r="BB230" i="1"/>
  <c r="BP230" i="1" s="1"/>
  <c r="BB236" i="1"/>
  <c r="BP236" i="1" s="1"/>
  <c r="BB140" i="1"/>
  <c r="BP140" i="1" s="1"/>
  <c r="BB138" i="1"/>
  <c r="BB137" i="1"/>
  <c r="BP137" i="1" s="1"/>
  <c r="BB136" i="1"/>
  <c r="BB139" i="1"/>
  <c r="BP139" i="1" s="1"/>
  <c r="BB201" i="1"/>
  <c r="BP201" i="1" s="1"/>
  <c r="BB121" i="1"/>
  <c r="BP121" i="1" s="1"/>
  <c r="BB117" i="1"/>
  <c r="BP117" i="1" s="1"/>
  <c r="BB122" i="1"/>
  <c r="BB200" i="1"/>
  <c r="BB118" i="1"/>
  <c r="BB107" i="1"/>
  <c r="BB119" i="1"/>
  <c r="BP119" i="1" s="1"/>
  <c r="BB96" i="1"/>
  <c r="BP96" i="1" s="1"/>
  <c r="BB59" i="1"/>
  <c r="BP59" i="1" s="1"/>
  <c r="BB123" i="1"/>
  <c r="BP123" i="1" s="1"/>
  <c r="BB120" i="1"/>
  <c r="BP120" i="1" s="1"/>
  <c r="BB124" i="1"/>
  <c r="BP124" i="1" s="1"/>
  <c r="BO136" i="1"/>
  <c r="BO121" i="1"/>
  <c r="BO139" i="1"/>
  <c r="BR58" i="1"/>
  <c r="BS58" i="1" s="1"/>
  <c r="BE58" i="1"/>
  <c r="BP57" i="1"/>
  <c r="BC57" i="1"/>
  <c r="BB194" i="1"/>
  <c r="BP194" i="1" s="1"/>
  <c r="BB193" i="1"/>
  <c r="BP193" i="1" s="1"/>
  <c r="BO194" i="1"/>
  <c r="BB5" i="1"/>
  <c r="BB6" i="1"/>
  <c r="BB130" i="1"/>
  <c r="BO130" i="1"/>
  <c r="BO101" i="1"/>
  <c r="BO102" i="1"/>
  <c r="BB133" i="1"/>
  <c r="BO133" i="1"/>
  <c r="BB132" i="1"/>
  <c r="BO132" i="1"/>
  <c r="BO104" i="1"/>
  <c r="BO113" i="1"/>
  <c r="BB131" i="1"/>
  <c r="BO131" i="1"/>
  <c r="BO106" i="1"/>
  <c r="BC4" i="1"/>
  <c r="BC7" i="1" s="1"/>
  <c r="BB56" i="1"/>
  <c r="BP56" i="1" s="1"/>
  <c r="BB102" i="1"/>
  <c r="BP102" i="1" s="1"/>
  <c r="BB99" i="1"/>
  <c r="BB110" i="1"/>
  <c r="BP110" i="1" s="1"/>
  <c r="BB106" i="1"/>
  <c r="BP106" i="1" s="1"/>
  <c r="BB113" i="1"/>
  <c r="BP113" i="1" s="1"/>
  <c r="BB104" i="1"/>
  <c r="BP104" i="1" s="1"/>
  <c r="BB116" i="1"/>
  <c r="BB111" i="1"/>
  <c r="BP111" i="1" s="1"/>
  <c r="BB109" i="1"/>
  <c r="BB101" i="1"/>
  <c r="BB108" i="1"/>
  <c r="BP108" i="1" s="1"/>
  <c r="BB98" i="1"/>
  <c r="BB100" i="1"/>
  <c r="BP100" i="1" s="1"/>
  <c r="BB114" i="1"/>
  <c r="BP114" i="1" s="1"/>
  <c r="BB103" i="1"/>
  <c r="BP103" i="1" s="1"/>
  <c r="BB105" i="1"/>
  <c r="BP105" i="1" s="1"/>
  <c r="BB115" i="1"/>
  <c r="BP115" i="1" s="1"/>
  <c r="BB112" i="1"/>
  <c r="BP112" i="1" s="1"/>
  <c r="BP54" i="1"/>
  <c r="BC54" i="1"/>
  <c r="BD53" i="1"/>
  <c r="BQ53" i="1"/>
  <c r="BP52" i="1"/>
  <c r="BC52" i="1"/>
  <c r="BC51" i="1"/>
  <c r="BP51" i="1"/>
  <c r="BC50" i="1"/>
  <c r="BP50" i="1"/>
  <c r="BP49" i="1"/>
  <c r="BC49" i="1"/>
  <c r="BP48" i="1"/>
  <c r="BC48" i="1"/>
  <c r="BC92" i="1"/>
  <c r="BP92" i="1"/>
  <c r="BC71" i="1"/>
  <c r="BP71" i="1"/>
  <c r="BC72" i="1"/>
  <c r="BP72" i="1"/>
  <c r="BC73" i="1"/>
  <c r="BP73" i="1"/>
  <c r="BR86" i="1"/>
  <c r="BS86" i="1" s="1"/>
  <c r="BE86" i="1"/>
  <c r="BR84" i="1"/>
  <c r="BS84" i="1" s="1"/>
  <c r="BE84" i="1"/>
  <c r="BC70" i="1"/>
  <c r="BP70" i="1"/>
  <c r="BP28" i="1"/>
  <c r="BC28" i="1"/>
  <c r="D30" i="8"/>
  <c r="D29" i="8"/>
  <c r="C31" i="8"/>
  <c r="B32" i="8"/>
  <c r="BQ7" i="1" l="1"/>
  <c r="BC95" i="1"/>
  <c r="BC235" i="1"/>
  <c r="BQ235" i="1" s="1"/>
  <c r="BC135" i="1"/>
  <c r="BQ135" i="1" s="1"/>
  <c r="BC61" i="1"/>
  <c r="BQ61" i="1" s="1"/>
  <c r="BC60" i="1"/>
  <c r="BQ60" i="1" s="1"/>
  <c r="BC62" i="1"/>
  <c r="BQ62" i="1" s="1"/>
  <c r="BC65" i="1"/>
  <c r="BQ65" i="1" s="1"/>
  <c r="BC64" i="1"/>
  <c r="BQ64" i="1" s="1"/>
  <c r="BC94" i="1"/>
  <c r="BC63" i="1"/>
  <c r="BC66" i="1"/>
  <c r="BC97" i="1"/>
  <c r="BQ97" i="1" s="1"/>
  <c r="BP62" i="1"/>
  <c r="BC67" i="1"/>
  <c r="BP64" i="1"/>
  <c r="BC68" i="1"/>
  <c r="BP68" i="1"/>
  <c r="BP65" i="1"/>
  <c r="BP107" i="1"/>
  <c r="BP118" i="1"/>
  <c r="BC136" i="1"/>
  <c r="BP136" i="1"/>
  <c r="BP200" i="1"/>
  <c r="BC230" i="1"/>
  <c r="BQ230" i="1" s="1"/>
  <c r="BC236" i="1"/>
  <c r="BQ236" i="1" s="1"/>
  <c r="BC139" i="1"/>
  <c r="BC137" i="1"/>
  <c r="BQ137" i="1" s="1"/>
  <c r="BC140" i="1"/>
  <c r="BC138" i="1"/>
  <c r="BQ138" i="1" s="1"/>
  <c r="BC201" i="1"/>
  <c r="BQ201" i="1" s="1"/>
  <c r="BC117" i="1"/>
  <c r="BQ117" i="1" s="1"/>
  <c r="BC121" i="1"/>
  <c r="BC122" i="1"/>
  <c r="BQ122" i="1" s="1"/>
  <c r="BC118" i="1"/>
  <c r="BQ118" i="1" s="1"/>
  <c r="BC200" i="1"/>
  <c r="BQ200" i="1" s="1"/>
  <c r="BC107" i="1"/>
  <c r="BQ107" i="1" s="1"/>
  <c r="BC119" i="1"/>
  <c r="BQ119" i="1" s="1"/>
  <c r="BC59" i="1"/>
  <c r="BC123" i="1"/>
  <c r="BQ123" i="1" s="1"/>
  <c r="BC96" i="1"/>
  <c r="BC120" i="1"/>
  <c r="BC124" i="1"/>
  <c r="BP122" i="1"/>
  <c r="BP138" i="1"/>
  <c r="BD57" i="1"/>
  <c r="BQ57" i="1"/>
  <c r="BC5" i="1"/>
  <c r="BC194" i="1"/>
  <c r="BC193" i="1"/>
  <c r="BC6" i="1"/>
  <c r="BP116" i="1"/>
  <c r="BC133" i="1"/>
  <c r="BP133" i="1"/>
  <c r="BP98" i="1"/>
  <c r="BD4" i="1"/>
  <c r="BD7" i="1" s="1"/>
  <c r="BC56" i="1"/>
  <c r="BC113" i="1"/>
  <c r="BC104" i="1"/>
  <c r="BQ104" i="1" s="1"/>
  <c r="BC99" i="1"/>
  <c r="BQ99" i="1" s="1"/>
  <c r="BC110" i="1"/>
  <c r="BQ110" i="1" s="1"/>
  <c r="BC102" i="1"/>
  <c r="BQ102" i="1" s="1"/>
  <c r="BC106" i="1"/>
  <c r="BQ106" i="1" s="1"/>
  <c r="BC111" i="1"/>
  <c r="BQ111" i="1" s="1"/>
  <c r="BC116" i="1"/>
  <c r="BQ116" i="1" s="1"/>
  <c r="BC108" i="1"/>
  <c r="BC109" i="1"/>
  <c r="BQ109" i="1" s="1"/>
  <c r="BC98" i="1"/>
  <c r="BQ98" i="1" s="1"/>
  <c r="BC103" i="1"/>
  <c r="BQ103" i="1" s="1"/>
  <c r="BC114" i="1"/>
  <c r="BC105" i="1"/>
  <c r="BQ105" i="1" s="1"/>
  <c r="BC100" i="1"/>
  <c r="BC112" i="1"/>
  <c r="BQ112" i="1" s="1"/>
  <c r="BC115" i="1"/>
  <c r="BQ115" i="1" s="1"/>
  <c r="BC131" i="1"/>
  <c r="BP131" i="1"/>
  <c r="BC101" i="1"/>
  <c r="BQ101" i="1" s="1"/>
  <c r="BP101" i="1"/>
  <c r="BC132" i="1"/>
  <c r="BP132" i="1"/>
  <c r="BP109" i="1"/>
  <c r="BC130" i="1"/>
  <c r="BP130" i="1"/>
  <c r="BP99" i="1"/>
  <c r="BQ54" i="1"/>
  <c r="BD54" i="1"/>
  <c r="BR53" i="1"/>
  <c r="BS53" i="1" s="1"/>
  <c r="BE53" i="1"/>
  <c r="BD52" i="1"/>
  <c r="BQ52" i="1"/>
  <c r="BQ51" i="1"/>
  <c r="BD51" i="1"/>
  <c r="BQ50" i="1"/>
  <c r="BD50" i="1"/>
  <c r="BQ49" i="1"/>
  <c r="BD49" i="1"/>
  <c r="BD48" i="1"/>
  <c r="BQ48" i="1"/>
  <c r="BQ92" i="1"/>
  <c r="BD92" i="1"/>
  <c r="BD71" i="1"/>
  <c r="BQ71" i="1"/>
  <c r="BD72" i="1"/>
  <c r="BQ72" i="1"/>
  <c r="BD73" i="1"/>
  <c r="BQ73" i="1"/>
  <c r="BD70" i="1"/>
  <c r="BQ70" i="1"/>
  <c r="BQ28" i="1"/>
  <c r="BD28" i="1"/>
  <c r="C32" i="8"/>
  <c r="B33" i="8"/>
  <c r="D32" i="8"/>
  <c r="D31" i="8"/>
  <c r="BR7" i="1" l="1"/>
  <c r="BS7" i="1" s="1"/>
  <c r="BE7" i="1"/>
  <c r="BD67" i="1"/>
  <c r="BR67" i="1" s="1"/>
  <c r="BD95" i="1"/>
  <c r="BR95" i="1" s="1"/>
  <c r="BQ95" i="1"/>
  <c r="BS95" i="1" s="1"/>
  <c r="BD235" i="1"/>
  <c r="BD135" i="1"/>
  <c r="BR135" i="1" s="1"/>
  <c r="BS135" i="1" s="1"/>
  <c r="BD61" i="1"/>
  <c r="BR61" i="1" s="1"/>
  <c r="BS61" i="1" s="1"/>
  <c r="BD60" i="1"/>
  <c r="BD65" i="1"/>
  <c r="BD62" i="1"/>
  <c r="BD64" i="1"/>
  <c r="BD94" i="1"/>
  <c r="BR94" i="1" s="1"/>
  <c r="BD63" i="1"/>
  <c r="BR63" i="1" s="1"/>
  <c r="BD66" i="1"/>
  <c r="BR66" i="1" s="1"/>
  <c r="BD97" i="1"/>
  <c r="BQ63" i="1"/>
  <c r="BS63" i="1" s="1"/>
  <c r="BQ67" i="1"/>
  <c r="BS67" i="1" s="1"/>
  <c r="BQ94" i="1"/>
  <c r="BS94" i="1" s="1"/>
  <c r="BD68" i="1"/>
  <c r="BQ68" i="1"/>
  <c r="BQ66" i="1"/>
  <c r="BS66" i="1" s="1"/>
  <c r="BQ136" i="1"/>
  <c r="BQ140" i="1"/>
  <c r="BQ124" i="1"/>
  <c r="BQ120" i="1"/>
  <c r="BQ96" i="1"/>
  <c r="BQ139" i="1"/>
  <c r="BD230" i="1"/>
  <c r="BR230" i="1" s="1"/>
  <c r="BS230" i="1" s="1"/>
  <c r="BD236" i="1"/>
  <c r="BD136" i="1"/>
  <c r="BR136" i="1" s="1"/>
  <c r="BD140" i="1"/>
  <c r="BR140" i="1" s="1"/>
  <c r="BD139" i="1"/>
  <c r="BR139" i="1" s="1"/>
  <c r="BD138" i="1"/>
  <c r="BR138" i="1" s="1"/>
  <c r="BS138" i="1" s="1"/>
  <c r="BD137" i="1"/>
  <c r="BR137" i="1" s="1"/>
  <c r="BS137" i="1" s="1"/>
  <c r="BD201" i="1"/>
  <c r="BR201" i="1" s="1"/>
  <c r="BS201" i="1" s="1"/>
  <c r="BD117" i="1"/>
  <c r="BR117" i="1" s="1"/>
  <c r="BS117" i="1" s="1"/>
  <c r="BD121" i="1"/>
  <c r="BR121" i="1" s="1"/>
  <c r="BD107" i="1"/>
  <c r="BR107" i="1" s="1"/>
  <c r="BS107" i="1" s="1"/>
  <c r="BD118" i="1"/>
  <c r="BD122" i="1"/>
  <c r="BD200" i="1"/>
  <c r="BR200" i="1" s="1"/>
  <c r="BS200" i="1" s="1"/>
  <c r="BD59" i="1"/>
  <c r="BR59" i="1" s="1"/>
  <c r="BD124" i="1"/>
  <c r="BR124" i="1" s="1"/>
  <c r="BD123" i="1"/>
  <c r="BD119" i="1"/>
  <c r="BR119" i="1" s="1"/>
  <c r="BS119" i="1" s="1"/>
  <c r="BD120" i="1"/>
  <c r="BR120" i="1" s="1"/>
  <c r="BD96" i="1"/>
  <c r="BR96" i="1" s="1"/>
  <c r="BQ121" i="1"/>
  <c r="BS121" i="1" s="1"/>
  <c r="BQ59" i="1"/>
  <c r="BS59" i="1" s="1"/>
  <c r="BR57" i="1"/>
  <c r="BS57" i="1" s="1"/>
  <c r="BE57" i="1"/>
  <c r="BD5" i="1"/>
  <c r="BE5" i="1" s="1"/>
  <c r="BD194" i="1"/>
  <c r="BR194" i="1" s="1"/>
  <c r="BD193" i="1"/>
  <c r="BR193" i="1" s="1"/>
  <c r="BQ193" i="1"/>
  <c r="BS193" i="1" s="1"/>
  <c r="BQ194" i="1"/>
  <c r="BS194" i="1" s="1"/>
  <c r="BD6" i="1"/>
  <c r="BE6" i="1" s="1"/>
  <c r="BQ56" i="1"/>
  <c r="BQ100" i="1"/>
  <c r="BQ114" i="1"/>
  <c r="BD56" i="1"/>
  <c r="BR56" i="1" s="1"/>
  <c r="BD102" i="1"/>
  <c r="BD110" i="1"/>
  <c r="BD101" i="1"/>
  <c r="BD113" i="1"/>
  <c r="BR113" i="1" s="1"/>
  <c r="BD99" i="1"/>
  <c r="BD106" i="1"/>
  <c r="BD104" i="1"/>
  <c r="BR104" i="1" s="1"/>
  <c r="BS104" i="1" s="1"/>
  <c r="BD111" i="1"/>
  <c r="BD98" i="1"/>
  <c r="BD116" i="1"/>
  <c r="BR116" i="1" s="1"/>
  <c r="BS116" i="1" s="1"/>
  <c r="BD109" i="1"/>
  <c r="BR109" i="1" s="1"/>
  <c r="BS109" i="1" s="1"/>
  <c r="BD108" i="1"/>
  <c r="BR108" i="1" s="1"/>
  <c r="BD114" i="1"/>
  <c r="BR114" i="1" s="1"/>
  <c r="BD105" i="1"/>
  <c r="BD103" i="1"/>
  <c r="BR103" i="1" s="1"/>
  <c r="BS103" i="1" s="1"/>
  <c r="BD100" i="1"/>
  <c r="BR100" i="1" s="1"/>
  <c r="BD112" i="1"/>
  <c r="BR112" i="1" s="1"/>
  <c r="BS112" i="1" s="1"/>
  <c r="BD115" i="1"/>
  <c r="BD130" i="1"/>
  <c r="BQ130" i="1"/>
  <c r="BD132" i="1"/>
  <c r="BQ132" i="1"/>
  <c r="BD131" i="1"/>
  <c r="BQ131" i="1"/>
  <c r="BQ108" i="1"/>
  <c r="BS108" i="1" s="1"/>
  <c r="BD133" i="1"/>
  <c r="BQ133" i="1"/>
  <c r="BQ113" i="1"/>
  <c r="BS113" i="1" s="1"/>
  <c r="BR54" i="1"/>
  <c r="BS54" i="1" s="1"/>
  <c r="BE54" i="1"/>
  <c r="BR52" i="1"/>
  <c r="BS52" i="1" s="1"/>
  <c r="BE52" i="1"/>
  <c r="BR51" i="1"/>
  <c r="BS51" i="1" s="1"/>
  <c r="BE51" i="1"/>
  <c r="BR50" i="1"/>
  <c r="BS50" i="1" s="1"/>
  <c r="BE50" i="1"/>
  <c r="BR49" i="1"/>
  <c r="BS49" i="1" s="1"/>
  <c r="BE49" i="1"/>
  <c r="BR48" i="1"/>
  <c r="BS48" i="1" s="1"/>
  <c r="BE48" i="1"/>
  <c r="BR92" i="1"/>
  <c r="BS92" i="1" s="1"/>
  <c r="BE92" i="1"/>
  <c r="BE67" i="1"/>
  <c r="BR71" i="1"/>
  <c r="BS71" i="1" s="1"/>
  <c r="BE71" i="1"/>
  <c r="BR72" i="1"/>
  <c r="BS72" i="1" s="1"/>
  <c r="BE72" i="1"/>
  <c r="BR73" i="1"/>
  <c r="BS73" i="1" s="1"/>
  <c r="BE73" i="1"/>
  <c r="BR70" i="1"/>
  <c r="BS70" i="1" s="1"/>
  <c r="BE70" i="1"/>
  <c r="BR28" i="1"/>
  <c r="BS28" i="1" s="1"/>
  <c r="BE28" i="1"/>
  <c r="C33" i="8"/>
  <c r="B34" i="8"/>
  <c r="B3" i="8" s="1" a="1"/>
  <c r="BS114" i="1" l="1"/>
  <c r="BS100" i="1"/>
  <c r="BS56" i="1"/>
  <c r="BS139" i="1"/>
  <c r="BS96" i="1"/>
  <c r="BS120" i="1"/>
  <c r="BS124" i="1"/>
  <c r="BS140" i="1"/>
  <c r="BS136" i="1"/>
  <c r="BE95" i="1"/>
  <c r="BE94" i="1"/>
  <c r="BE135" i="1"/>
  <c r="BR65" i="1"/>
  <c r="BS65" i="1" s="1"/>
  <c r="BE65" i="1"/>
  <c r="BR60" i="1"/>
  <c r="BS60" i="1" s="1"/>
  <c r="BE60" i="1"/>
  <c r="BR68" i="1"/>
  <c r="BS68" i="1" s="1"/>
  <c r="BE68" i="1"/>
  <c r="BR97" i="1"/>
  <c r="BS97" i="1" s="1"/>
  <c r="BE97" i="1"/>
  <c r="BE61" i="1"/>
  <c r="BR235" i="1"/>
  <c r="BS235" i="1" s="1"/>
  <c r="BE235" i="1"/>
  <c r="BR64" i="1"/>
  <c r="BS64" i="1" s="1"/>
  <c r="BE64" i="1"/>
  <c r="BE66" i="1"/>
  <c r="BE63" i="1"/>
  <c r="BR62" i="1"/>
  <c r="BS62" i="1" s="1"/>
  <c r="BE62" i="1"/>
  <c r="BE230" i="1"/>
  <c r="BE121" i="1"/>
  <c r="BE137" i="1"/>
  <c r="BE117" i="1"/>
  <c r="BE107" i="1"/>
  <c r="BE139" i="1"/>
  <c r="BE120" i="1"/>
  <c r="BE140" i="1"/>
  <c r="BR118" i="1"/>
  <c r="BS118" i="1" s="1"/>
  <c r="BE118" i="1"/>
  <c r="BE138" i="1"/>
  <c r="BE119" i="1"/>
  <c r="BE59" i="1"/>
  <c r="BE201" i="1"/>
  <c r="BE136" i="1"/>
  <c r="BR122" i="1"/>
  <c r="BS122" i="1" s="1"/>
  <c r="BE122" i="1"/>
  <c r="BE96" i="1"/>
  <c r="BE200" i="1"/>
  <c r="BR123" i="1"/>
  <c r="BS123" i="1" s="1"/>
  <c r="BE123" i="1"/>
  <c r="BE124" i="1"/>
  <c r="BR236" i="1"/>
  <c r="BS236" i="1" s="1"/>
  <c r="BE236" i="1"/>
  <c r="BE194" i="1"/>
  <c r="BE193" i="1"/>
  <c r="BE109" i="1"/>
  <c r="BE112" i="1"/>
  <c r="BE114" i="1"/>
  <c r="BE103" i="1"/>
  <c r="BE56" i="1"/>
  <c r="BE108" i="1"/>
  <c r="BR98" i="1"/>
  <c r="BS98" i="1" s="1"/>
  <c r="BE98" i="1"/>
  <c r="BR101" i="1"/>
  <c r="BS101" i="1" s="1"/>
  <c r="BE101" i="1"/>
  <c r="BE104" i="1"/>
  <c r="BR111" i="1"/>
  <c r="BS111" i="1" s="1"/>
  <c r="BE111" i="1"/>
  <c r="BR110" i="1"/>
  <c r="BS110" i="1" s="1"/>
  <c r="BE110" i="1"/>
  <c r="BE100" i="1"/>
  <c r="BR132" i="1"/>
  <c r="BS132" i="1" s="1"/>
  <c r="BE132" i="1"/>
  <c r="BE115" i="1"/>
  <c r="BR115" i="1"/>
  <c r="BS115" i="1" s="1"/>
  <c r="BE116" i="1"/>
  <c r="BR102" i="1"/>
  <c r="BS102" i="1" s="1"/>
  <c r="BE102" i="1"/>
  <c r="BR133" i="1"/>
  <c r="BS133" i="1" s="1"/>
  <c r="BE133" i="1"/>
  <c r="BE113" i="1"/>
  <c r="BR105" i="1"/>
  <c r="BS105" i="1" s="1"/>
  <c r="BE105" i="1"/>
  <c r="BR130" i="1"/>
  <c r="BS130" i="1" s="1"/>
  <c r="BE130" i="1"/>
  <c r="BR131" i="1"/>
  <c r="BS131" i="1" s="1"/>
  <c r="BE131" i="1"/>
  <c r="BR106" i="1"/>
  <c r="BS106" i="1" s="1"/>
  <c r="BE106" i="1"/>
  <c r="BR99" i="1"/>
  <c r="BS99" i="1" s="1"/>
  <c r="BE99" i="1"/>
  <c r="D3" i="8"/>
  <c r="F3" i="8"/>
  <c r="C3" i="8"/>
  <c r="G3" i="8"/>
  <c r="E3" i="8"/>
  <c r="B3" i="8"/>
  <c r="B4" i="8" s="1"/>
  <c r="C4" i="8" s="1"/>
  <c r="D4" i="8" s="1"/>
  <c r="E4" i="8" s="1"/>
  <c r="F4" i="8" s="1"/>
  <c r="G4" i="8" s="1"/>
  <c r="I3" i="8"/>
  <c r="H3" i="8"/>
  <c r="N3" i="8" s="1"/>
  <c r="J3" i="8"/>
  <c r="K3" i="8"/>
  <c r="L3" i="8"/>
  <c r="C34" i="8"/>
  <c r="D40" i="8" s="1"/>
  <c r="M3" i="8"/>
  <c r="D44" i="8"/>
  <c r="D39" i="8"/>
  <c r="D41" i="8"/>
  <c r="D33" i="8"/>
  <c r="D42" i="8"/>
  <c r="D38" i="8"/>
  <c r="BE1" i="1" l="1"/>
  <c r="M4" i="8"/>
  <c r="H4" i="8"/>
  <c r="I4" i="8" s="1"/>
  <c r="J4" i="8" s="1"/>
  <c r="K4" i="8" s="1"/>
  <c r="L4" i="8" s="1"/>
  <c r="D34" i="8"/>
  <c r="D45" i="8"/>
  <c r="D43" i="8"/>
  <c r="D35" i="8"/>
  <c r="D37" i="8"/>
  <c r="D36" i="8"/>
  <c r="B7" i="8" l="1" a="1"/>
  <c r="D7" i="8" s="1"/>
  <c r="BI8" i="1" s="1"/>
  <c r="J7" i="8" l="1"/>
  <c r="BO8" i="1" s="1"/>
  <c r="B7" i="8"/>
  <c r="L7" i="8"/>
  <c r="BQ8" i="1" s="1"/>
  <c r="M7" i="8"/>
  <c r="H7" i="8"/>
  <c r="BM8" i="1" s="1"/>
  <c r="K7" i="8"/>
  <c r="BP8" i="1" s="1"/>
  <c r="G7" i="8"/>
  <c r="BL8" i="1" s="1"/>
  <c r="F7" i="8"/>
  <c r="E7" i="8"/>
  <c r="I7" i="8"/>
  <c r="BN8" i="1" s="1"/>
  <c r="C7" i="8"/>
  <c r="BJ8" i="1" l="1"/>
  <c r="BK8" i="1"/>
  <c r="N7" i="8"/>
  <c r="BR8" i="1"/>
  <c r="BH8" i="1"/>
  <c r="BJ5" i="1" l="1"/>
  <c r="BK6" i="1"/>
  <c r="BH9" i="1"/>
  <c r="BS9" i="1" s="1"/>
  <c r="BG8" i="1"/>
  <c r="BS8" i="1" s="1"/>
  <c r="BL6" i="1" l="1"/>
  <c r="BK5" i="1"/>
  <c r="BM6" i="1" l="1"/>
  <c r="BL5" i="1"/>
  <c r="BM5" i="1" l="1"/>
  <c r="BN6" i="1"/>
  <c r="BN5" i="1" l="1"/>
  <c r="BO6" i="1"/>
  <c r="BO5" i="1" l="1"/>
  <c r="BP6" i="1"/>
  <c r="BP5" i="1" l="1"/>
  <c r="BR6" i="1"/>
  <c r="BQ6" i="1"/>
  <c r="BS6" i="1" l="1"/>
  <c r="BV6" i="1" s="1"/>
  <c r="BR5" i="1"/>
  <c r="BQ5" i="1"/>
  <c r="BS5" i="1" s="1"/>
  <c r="BS1" i="1" l="1"/>
  <c r="R1" i="17"/>
  <c r="S3" i="22"/>
</calcChain>
</file>

<file path=xl/sharedStrings.xml><?xml version="1.0" encoding="utf-8"?>
<sst xmlns="http://schemas.openxmlformats.org/spreadsheetml/2006/main" count="9136" uniqueCount="921">
  <si>
    <t>Empresa</t>
  </si>
  <si>
    <t>Unidade</t>
  </si>
  <si>
    <t>Tipo</t>
  </si>
  <si>
    <t>Área</t>
  </si>
  <si>
    <t>Departamento</t>
  </si>
  <si>
    <t>CENTRO DE CUSTO</t>
  </si>
  <si>
    <t>Responsável</t>
  </si>
  <si>
    <t>Martini Meat</t>
  </si>
  <si>
    <t>Paranaguá</t>
  </si>
  <si>
    <t>Carga Geral</t>
  </si>
  <si>
    <t>Operação</t>
  </si>
  <si>
    <t>TI</t>
  </si>
  <si>
    <t>CG-PNG | TI</t>
  </si>
  <si>
    <t>Alexandre Ayabe</t>
  </si>
  <si>
    <t>Frigorífico</t>
  </si>
  <si>
    <t>FG-PNG | TI</t>
  </si>
  <si>
    <t>Pátio</t>
  </si>
  <si>
    <t>PT-PNG | TI</t>
  </si>
  <si>
    <t>RATEIO Unidade</t>
  </si>
  <si>
    <t>PNG | TI</t>
  </si>
  <si>
    <t>Rio Grande</t>
  </si>
  <si>
    <t>FG-RGD | TI</t>
  </si>
  <si>
    <t>PT-RGD | TI</t>
  </si>
  <si>
    <t>RGD | TI</t>
  </si>
  <si>
    <t>Ponta Grossa</t>
  </si>
  <si>
    <t>CG-PTG | TI</t>
  </si>
  <si>
    <t>Itajaí</t>
  </si>
  <si>
    <t>FG-ITJ | TI</t>
  </si>
  <si>
    <t>PT-ITJ | TI</t>
  </si>
  <si>
    <t>ITJ | TI</t>
  </si>
  <si>
    <t>Recife 2</t>
  </si>
  <si>
    <t>FG-PE2 | TI</t>
  </si>
  <si>
    <t>BU-MMAZ</t>
  </si>
  <si>
    <t>G&amp;A</t>
  </si>
  <si>
    <t>BU</t>
  </si>
  <si>
    <t>BU-MMAZ | TI</t>
  </si>
  <si>
    <t>Transporte</t>
  </si>
  <si>
    <t>BU-TR</t>
  </si>
  <si>
    <t>BU-MMTR | TI</t>
  </si>
  <si>
    <t>MRV</t>
  </si>
  <si>
    <t>Passo Fundo</t>
  </si>
  <si>
    <t>FG-PSF | TI</t>
  </si>
  <si>
    <t>Velopark</t>
  </si>
  <si>
    <t>FG-VLP | TI</t>
  </si>
  <si>
    <t>BU-MRV</t>
  </si>
  <si>
    <t>BU-MRV | TI</t>
  </si>
  <si>
    <t>SKM</t>
  </si>
  <si>
    <t>G100B</t>
  </si>
  <si>
    <t>FG-GRUB | TI</t>
  </si>
  <si>
    <t>BU-SKM</t>
  </si>
  <si>
    <t>BU-GRU | TI</t>
  </si>
  <si>
    <t>Cone Sul</t>
  </si>
  <si>
    <t>Plataforma</t>
  </si>
  <si>
    <t>PL</t>
  </si>
  <si>
    <t>PL | TI</t>
  </si>
  <si>
    <t>Orçamento</t>
  </si>
  <si>
    <t>BRL'000 (sem Inflação)</t>
  </si>
  <si>
    <t>BRL'000</t>
  </si>
  <si>
    <t>USD'000</t>
  </si>
  <si>
    <t>Cenário</t>
  </si>
  <si>
    <t>Ano</t>
  </si>
  <si>
    <t>Fornecedor</t>
  </si>
  <si>
    <t>Descrição Global</t>
  </si>
  <si>
    <t>Descrição</t>
  </si>
  <si>
    <t>Categoría</t>
  </si>
  <si>
    <t>Recorrência</t>
  </si>
  <si>
    <t>Prioridade</t>
  </si>
  <si>
    <t>Descr Centro de custo</t>
  </si>
  <si>
    <t>Despesa [ KPI ]</t>
  </si>
  <si>
    <t>Mes de reajuste (inflação)</t>
  </si>
  <si>
    <t>Moeda</t>
  </si>
  <si>
    <t>BG.2026</t>
  </si>
  <si>
    <t>-</t>
  </si>
  <si>
    <t>DRE [ KPI ]</t>
  </si>
  <si>
    <t>SPRO</t>
  </si>
  <si>
    <t>Applications support and maintenance</t>
  </si>
  <si>
    <t>SAP R3 - Licença</t>
  </si>
  <si>
    <t>Existente</t>
  </si>
  <si>
    <t>Mensal</t>
  </si>
  <si>
    <t>Contrato em Curso</t>
  </si>
  <si>
    <t>Licença SAP</t>
  </si>
  <si>
    <t>BRL</t>
  </si>
  <si>
    <t>OT/SCADA SYSTEMS</t>
  </si>
  <si>
    <t xml:space="preserve">Cybersecurity </t>
  </si>
  <si>
    <t>Novo</t>
  </si>
  <si>
    <t>Annual</t>
  </si>
  <si>
    <t>Alta - Para a operação</t>
  </si>
  <si>
    <t>Outras licenças</t>
  </si>
  <si>
    <t>USD</t>
  </si>
  <si>
    <t>RAVANEDA</t>
  </si>
  <si>
    <t>SAP R3 - AMS</t>
  </si>
  <si>
    <t>Manutenção de Informática</t>
  </si>
  <si>
    <t>SEIDOR</t>
  </si>
  <si>
    <t>SAP S4 - Licença</t>
  </si>
  <si>
    <t>Baixa - Eficiência</t>
  </si>
  <si>
    <t>BU-RJ | TI</t>
  </si>
  <si>
    <t>CP | TI</t>
  </si>
  <si>
    <t>SAP S4 - AMS</t>
  </si>
  <si>
    <t>SAP S4 - VPN</t>
  </si>
  <si>
    <t>INFIOS US,INC</t>
  </si>
  <si>
    <t>Licença WMS (%Net Sales)</t>
  </si>
  <si>
    <t>Licença WMS-KORBER</t>
  </si>
  <si>
    <t>VPN WMS (%Net Sales)</t>
  </si>
  <si>
    <t xml:space="preserve">frigorífico </t>
  </si>
  <si>
    <t>Desenvolvimentos melhoria Korber</t>
  </si>
  <si>
    <t>desenvolvimento melhoria WMS</t>
  </si>
  <si>
    <t>Softwares</t>
  </si>
  <si>
    <t>BOSSTECH</t>
  </si>
  <si>
    <t>Licença YMS (%Net Sales)</t>
  </si>
  <si>
    <t>NS TECH</t>
  </si>
  <si>
    <t>Licença KMM Transporte</t>
  </si>
  <si>
    <t>TR | TI</t>
  </si>
  <si>
    <t>KMM TOS</t>
  </si>
  <si>
    <t>Sistema Terminal Portuário Paranaguá</t>
  </si>
  <si>
    <t>TRIZZY</t>
  </si>
  <si>
    <t>Sistema de agendamento</t>
  </si>
  <si>
    <t>FLUKE</t>
  </si>
  <si>
    <t xml:space="preserve">EMAINT - Software  manutenção </t>
  </si>
  <si>
    <t>BRIVO</t>
  </si>
  <si>
    <t>Controle de acessos</t>
  </si>
  <si>
    <t>Anual</t>
  </si>
  <si>
    <t>Média - Impacta a operação</t>
  </si>
  <si>
    <t>CONVERGENT</t>
  </si>
  <si>
    <t>IT Maintenance and Services</t>
  </si>
  <si>
    <t>EAGLE EYES - Sistema CFTV</t>
  </si>
  <si>
    <t xml:space="preserve">Forticlient + Fortimail </t>
  </si>
  <si>
    <t>Digital Security</t>
  </si>
  <si>
    <t>Forticlient + Fortimail (Licenças de endpoint, AntiSpam e Antivirus)</t>
  </si>
  <si>
    <t>ITHOEN</t>
  </si>
  <si>
    <t>Sistema de gestão de RH Senior</t>
  </si>
  <si>
    <t>OI/VIVO</t>
  </si>
  <si>
    <t>Telefonia Fixa</t>
  </si>
  <si>
    <t>Telefonia &amp; Internet</t>
  </si>
  <si>
    <t>VERIFICAR</t>
  </si>
  <si>
    <t>ALHAMBRA</t>
  </si>
  <si>
    <t>Internet</t>
  </si>
  <si>
    <t>INTERFIBRAS TELECOMUNICAÇÕES LTDA</t>
  </si>
  <si>
    <t xml:space="preserve"> INTERNET - RODONÓPOLIS</t>
  </si>
  <si>
    <t>M. F. D. LARSEN LTDA</t>
  </si>
  <si>
    <t xml:space="preserve"> INTERNET - CAARAPO</t>
  </si>
  <si>
    <t>ROBSON GALASSI</t>
  </si>
  <si>
    <t xml:space="preserve"> INTERNET - DOURADOS</t>
  </si>
  <si>
    <t>RODRIGO BORGHI DA SILVA &amp; CIA LTDA</t>
  </si>
  <si>
    <t xml:space="preserve"> INTERNET - JACAREZINHO </t>
  </si>
  <si>
    <t>IVR INFORMATICA LTDA</t>
  </si>
  <si>
    <t xml:space="preserve"> INTERNET - SIDROLANDIA</t>
  </si>
  <si>
    <t>ITELFIBRA TELECOMUNICACOES LTDA</t>
  </si>
  <si>
    <t xml:space="preserve"> INTERNET - ITAPOA</t>
  </si>
  <si>
    <t xml:space="preserve">RAZAOINFO INTERNET LTDA                    </t>
  </si>
  <si>
    <t xml:space="preserve"> INTERNET - PASSO FUNDO</t>
  </si>
  <si>
    <t>GEOVANI FABRICIO WELTER</t>
  </si>
  <si>
    <t xml:space="preserve"> INTERNET - ITAPEJARA</t>
  </si>
  <si>
    <t>Claro Net</t>
  </si>
  <si>
    <t>INTERNET - SANTOS</t>
  </si>
  <si>
    <t>TELMEX (EMBRATEL)</t>
  </si>
  <si>
    <t xml:space="preserve">INTERNET - ITAJAÍ </t>
  </si>
  <si>
    <t>COPYLINE</t>
  </si>
  <si>
    <t>Outsourcing de impressão (Copyline + impriservice)</t>
  </si>
  <si>
    <t>Aluguel - Máq./Equipto.</t>
  </si>
  <si>
    <t>NOVENTIQ</t>
  </si>
  <si>
    <t>Office 365 (e-mail, sharepont, PBI)</t>
  </si>
  <si>
    <t>Licenciamento workday</t>
  </si>
  <si>
    <t>WORKDAY - Licença</t>
  </si>
  <si>
    <t>Workday AMS</t>
  </si>
  <si>
    <t>WORKDAY - AMS</t>
  </si>
  <si>
    <t>GATE7</t>
  </si>
  <si>
    <t>Hosting Datacenter</t>
  </si>
  <si>
    <t>SOFTWARE.COM.BR</t>
  </si>
  <si>
    <t>ThinkCell - Addon Excell (3 PL 7 CP)</t>
  </si>
  <si>
    <t>PROLOG</t>
  </si>
  <si>
    <t>Sistema de gestão de PNEUS de frota</t>
  </si>
  <si>
    <t>SENIOR</t>
  </si>
  <si>
    <t>Sistema de controle de pausa termica</t>
  </si>
  <si>
    <t xml:space="preserve">Digitech </t>
  </si>
  <si>
    <t>Outsoursing TI</t>
  </si>
  <si>
    <t>Terceiros PJ</t>
  </si>
  <si>
    <t>Consultoria Sap</t>
  </si>
  <si>
    <t>Consultor SAP</t>
  </si>
  <si>
    <t>Consultoria</t>
  </si>
  <si>
    <t>*A DEFINIR*</t>
  </si>
  <si>
    <t>Manutenção Infra (Rede, CFTV, WIFI, Notebook)</t>
  </si>
  <si>
    <t>Pontual</t>
  </si>
  <si>
    <t>LC-PE1 | TI</t>
  </si>
  <si>
    <t>ClaraNet</t>
  </si>
  <si>
    <t>SAP R3 - Conta de email (legado)</t>
  </si>
  <si>
    <t>Integrações de sistemas novos contratos (180h/mes)</t>
  </si>
  <si>
    <t>GFB Soluções - VISYS</t>
  </si>
  <si>
    <t>Solução de Tarifação (Revisar e cancelar se possivel)</t>
  </si>
  <si>
    <t>DataSite Brasil</t>
  </si>
  <si>
    <t>Processamento de dados (Revisar e cancelar se possivel)</t>
  </si>
  <si>
    <t>DataTransp</t>
  </si>
  <si>
    <t>Sistema legado do Transporte</t>
  </si>
  <si>
    <t>TAMA ANALISE E GERENCIAMENTO DE SIS</t>
  </si>
  <si>
    <t>Sistema Transporte Jornada do Motorista</t>
  </si>
  <si>
    <t>SANTA CATARINA INFORMATICA LTDA</t>
  </si>
  <si>
    <t>Sistema Unico da contabilidade Transporte</t>
  </si>
  <si>
    <t>M.GOM REPARACAO E MANUTENCAO DE COM</t>
  </si>
  <si>
    <t>Manutenção software unico transporte</t>
  </si>
  <si>
    <t>DD Design Tecnologia (Portal Logistico)</t>
  </si>
  <si>
    <t>Desenvolvimento de software transporte</t>
  </si>
  <si>
    <t>SINLOG SISTEMAS EM LOGISTICA SA</t>
  </si>
  <si>
    <t>Sistema do transporte logistiga</t>
  </si>
  <si>
    <t>FRETEBRAS INTERNET E SERVICOS LTDA</t>
  </si>
  <si>
    <t>SOFTWARE - CAPTAÇÃO DE FRETE</t>
  </si>
  <si>
    <t>Douglas Duarte</t>
  </si>
  <si>
    <t>Desenvolvimento de sistemas</t>
  </si>
  <si>
    <t>Squad dedicada do TMS 2 desenvolvedor 1 PO da NStech.</t>
  </si>
  <si>
    <t>Y3 Gestão em telecom e comercio</t>
  </si>
  <si>
    <t>Sistema de controle de dispositivo MDM (%Net Sales)</t>
  </si>
  <si>
    <t>PUCC - BBX SOLUTIONS LTDA ME</t>
  </si>
  <si>
    <t>Sistema de gestão de contas TIM (%Net Sales)</t>
  </si>
  <si>
    <t>VEPER(Manutenção totens, cancelas e torniquetes)</t>
  </si>
  <si>
    <t>Manutenção de controle de acessos Paranaguá</t>
  </si>
  <si>
    <t>Pentest</t>
  </si>
  <si>
    <t>Consultoria de segurança da informação</t>
  </si>
  <si>
    <t>Hash Data</t>
  </si>
  <si>
    <t>Sistema de formulários de qualidade (%Net Sales)</t>
  </si>
  <si>
    <t>4Sys</t>
  </si>
  <si>
    <t>Sistema de integração entre Korber x Hana x 4tax (Todas empresas SKM, MRV)</t>
  </si>
  <si>
    <t>Starlink</t>
  </si>
  <si>
    <t>Internet movel</t>
  </si>
  <si>
    <t>Manutenção coletores</t>
  </si>
  <si>
    <t>Serviços de assistencia tecnica para coletores</t>
  </si>
  <si>
    <t>Datalake</t>
  </si>
  <si>
    <t>IT Infrastructure and network</t>
  </si>
  <si>
    <t xml:space="preserve">Datalake BI analytics </t>
  </si>
  <si>
    <t>Softexpert Mysig</t>
  </si>
  <si>
    <t>Mysig sistema de qualidade</t>
  </si>
  <si>
    <t>CMR Software</t>
  </si>
  <si>
    <t>Gestão de clientes</t>
  </si>
  <si>
    <t>Celulares TIM</t>
  </si>
  <si>
    <t>Telefonia movel</t>
  </si>
  <si>
    <t>Correios</t>
  </si>
  <si>
    <t>Travel and Oders Expenses</t>
  </si>
  <si>
    <t>Despesa de despachos TI (escritorio SP)</t>
  </si>
  <si>
    <t>Outros serviços PJ</t>
  </si>
  <si>
    <t>M.A.B Instalações</t>
  </si>
  <si>
    <t>Manutenção CCTV paranaguá Redex</t>
  </si>
  <si>
    <t>Suprimentos de TI</t>
  </si>
  <si>
    <t>Despesas com suprimentos de TI perifericos</t>
  </si>
  <si>
    <t>Anydesk (suporte remoto)</t>
  </si>
  <si>
    <t>Software de acesso remoto</t>
  </si>
  <si>
    <t>Celulares Claro</t>
  </si>
  <si>
    <t>Passagem</t>
  </si>
  <si>
    <t>Visita unidade - ALDIR</t>
  </si>
  <si>
    <t>Viagens</t>
  </si>
  <si>
    <t>Hotel</t>
  </si>
  <si>
    <t>Locação Carro</t>
  </si>
  <si>
    <t>Reembolso</t>
  </si>
  <si>
    <t>Visita unidade - DIVAR</t>
  </si>
  <si>
    <t>Visita unidade - LEONARDO</t>
  </si>
  <si>
    <t>Visita unidade - AYABE</t>
  </si>
  <si>
    <t>FLYTOUR</t>
  </si>
  <si>
    <t>Visita UY - LF</t>
  </si>
  <si>
    <t>Visita UY - LF (taxi, refeição)</t>
  </si>
  <si>
    <t>Visita UY - AA</t>
  </si>
  <si>
    <t>Visita UY - AA (taxi, refeição)</t>
  </si>
  <si>
    <t>Visita unidade - IGOR</t>
  </si>
  <si>
    <t>Locação</t>
  </si>
  <si>
    <t>Deslocamento unidades</t>
  </si>
  <si>
    <t>Visita unidade</t>
  </si>
  <si>
    <t>EMBRATEL</t>
  </si>
  <si>
    <t>UY Frimosa</t>
  </si>
  <si>
    <t>TELACAR SAS</t>
  </si>
  <si>
    <t>Suporte ao sistema de RH Workday</t>
  </si>
  <si>
    <t>LNX NETWORK SRL</t>
  </si>
  <si>
    <t xml:space="preserve">Pentest (UY) </t>
  </si>
  <si>
    <t xml:space="preserve">Forticlient  84 usr + Fortimail 67 usr (UY) </t>
  </si>
  <si>
    <t>Desarrollo mejoras Korber</t>
  </si>
  <si>
    <t>Necesidades puntuales para desarrollar por korber</t>
  </si>
  <si>
    <t>Licencias WMS Korber - P9 - 11 usr</t>
  </si>
  <si>
    <t xml:space="preserve"> </t>
  </si>
  <si>
    <t xml:space="preserve">Licencias WMS Korber - P5 P6 - 14 usr, P7, P8 - 9 usr </t>
  </si>
  <si>
    <t>UY Tamiley</t>
  </si>
  <si>
    <t>TAMILEY SA</t>
  </si>
  <si>
    <t>Licencias WMS Korber - Planta Cibils - 10 usr</t>
  </si>
  <si>
    <t>AMS SAP + SOPORTE BASIS</t>
  </si>
  <si>
    <t>Licenciamiento SAP 7.2 (UY)</t>
  </si>
  <si>
    <t>BETOROL SAS</t>
  </si>
  <si>
    <t>EMAINT ENTERPRISES LLC</t>
  </si>
  <si>
    <t>Licencia E-Maint Enterprise Unlimited - 1 usr</t>
  </si>
  <si>
    <t>ANTEL</t>
  </si>
  <si>
    <t>Enlace Internet Principal - 1Gbps</t>
  </si>
  <si>
    <t>ENALUR SA</t>
  </si>
  <si>
    <t>Internet Secundario Dedicado 200Mbps (UY)</t>
  </si>
  <si>
    <t>Telefonía Fija</t>
  </si>
  <si>
    <t xml:space="preserve">AM WIRELESS </t>
  </si>
  <si>
    <t>Telefonía Celular Claro</t>
  </si>
  <si>
    <t>CCTV</t>
  </si>
  <si>
    <t>Servicios Reparaciones CCTV</t>
  </si>
  <si>
    <t xml:space="preserve">PHITEL </t>
  </si>
  <si>
    <t>Mantenimiento redes (UY)</t>
  </si>
  <si>
    <t>TELECTRÓNICA</t>
  </si>
  <si>
    <t>Mantenimiento impresoras Zebra</t>
  </si>
  <si>
    <t>EQUIPAMIENTO LÁSER</t>
  </si>
  <si>
    <t>Alquiler de Impresoras (UY)</t>
  </si>
  <si>
    <t>URUWARE SOFTWARE</t>
  </si>
  <si>
    <t>Factura electrónica UCFE</t>
  </si>
  <si>
    <t>ENTIS LTDA</t>
  </si>
  <si>
    <t>Software RRHH Salarios</t>
  </si>
  <si>
    <t>Software y Hosting marcas personal</t>
  </si>
  <si>
    <t>Hosting recibos sueldo</t>
  </si>
  <si>
    <t>ASEQUIS SA</t>
  </si>
  <si>
    <t>Mantenimiento Modulo Sistema Congelado</t>
  </si>
  <si>
    <t>NOVENTIQ INTERNATIONAL COLOMBIA SAS</t>
  </si>
  <si>
    <t>Office 365 (8 O365 E1 + 37 O365 E3 + EMS E3 37)</t>
  </si>
  <si>
    <t>MINDS GROUP</t>
  </si>
  <si>
    <t>2 Licencias Anuales Eforms</t>
  </si>
  <si>
    <t>Licenças sistema de RH Workday</t>
  </si>
  <si>
    <t>MARBUS</t>
  </si>
  <si>
    <t>Mantenimiento Cygnus WMS</t>
  </si>
  <si>
    <t>ARNALDO CASTRO</t>
  </si>
  <si>
    <t>Licencias Eagle Eye</t>
  </si>
  <si>
    <t>Brivo</t>
  </si>
  <si>
    <t>LicencIa BRIVO (C.A.)</t>
  </si>
  <si>
    <t>Licenciamiento Forti (No aplica 2026)</t>
  </si>
  <si>
    <t>CCTV Polo Oeste</t>
  </si>
  <si>
    <t>CLOCK D'ARGENT</t>
  </si>
  <si>
    <t>Mantenimiento UPS</t>
  </si>
  <si>
    <t>Enlace Internet Principal - 500mbps</t>
  </si>
  <si>
    <t>Telefonia Fija</t>
  </si>
  <si>
    <t>Office 365 (3 O365 E1 + 7 O365 E3 + EMS E3 7)</t>
  </si>
  <si>
    <t>IMPORTSYS LTDA</t>
  </si>
  <si>
    <t>Software Depósito Fiscal Importsys</t>
  </si>
  <si>
    <t>Office 365 (2 O365 E1 + 5 O365 E3 + EMS E3 5)</t>
  </si>
  <si>
    <t>BERSIDAL SA</t>
  </si>
  <si>
    <t>Software ADUANA-Consulta clientes</t>
  </si>
  <si>
    <t>NIVAMÉRICA</t>
  </si>
  <si>
    <t>Impresoras (suministro tóner y Sertec)</t>
  </si>
  <si>
    <t>Compumarket</t>
  </si>
  <si>
    <t>Insumos varios</t>
  </si>
  <si>
    <t>Material de uso e consumo</t>
  </si>
  <si>
    <t>softExpert HQSE</t>
  </si>
  <si>
    <t>Entrenamientos</t>
  </si>
  <si>
    <t>Capacitaciones IT (IA , Excel N1, N2)</t>
  </si>
  <si>
    <t>Treinamentos</t>
  </si>
  <si>
    <t>PY Frimosa</t>
  </si>
  <si>
    <t xml:space="preserve">FRIGORIFICO MODELO PY S.A. </t>
  </si>
  <si>
    <t>Carlos Gastón</t>
  </si>
  <si>
    <t xml:space="preserve">IT Maintenance and Services </t>
  </si>
  <si>
    <t>Honorarios y consultoría de TI</t>
  </si>
  <si>
    <t>Honorarios y consultoría de TI platataforma</t>
  </si>
  <si>
    <t xml:space="preserve">Kiga </t>
  </si>
  <si>
    <t>Servicio de software de facturación electrónica</t>
  </si>
  <si>
    <t>TEISA</t>
  </si>
  <si>
    <t>Servicio de internet</t>
  </si>
  <si>
    <t xml:space="preserve">Núcleo </t>
  </si>
  <si>
    <t>AMX</t>
  </si>
  <si>
    <t>Servicio telefónico</t>
  </si>
  <si>
    <t>Licencias SAP</t>
  </si>
  <si>
    <t>Trimestral</t>
  </si>
  <si>
    <t>3PL Hosting and Database Administration Services</t>
  </si>
  <si>
    <t>SoftExpert HQSE</t>
  </si>
  <si>
    <t>Contas de email, Sharepoint, PowerBI</t>
  </si>
  <si>
    <t>Licencia</t>
  </si>
  <si>
    <t>Honorararios por auditoría IT Pentest</t>
  </si>
  <si>
    <t>Insumos informáticos</t>
  </si>
  <si>
    <t>licencia</t>
  </si>
  <si>
    <t>Telefonia Celular</t>
  </si>
  <si>
    <t>Telefonia e Internet</t>
  </si>
  <si>
    <t>Impresora</t>
  </si>
  <si>
    <t>d</t>
  </si>
  <si>
    <t>Reparaciones cctv</t>
  </si>
  <si>
    <t>Dolar</t>
  </si>
  <si>
    <t/>
  </si>
  <si>
    <t>VALOR</t>
  </si>
  <si>
    <t>(Tudo)</t>
  </si>
  <si>
    <t>2026.01</t>
  </si>
  <si>
    <t>2026.02</t>
  </si>
  <si>
    <t>2026.03</t>
  </si>
  <si>
    <t>2026.04</t>
  </si>
  <si>
    <t>2026.05</t>
  </si>
  <si>
    <t>2026.06</t>
  </si>
  <si>
    <t>2026.07</t>
  </si>
  <si>
    <t>2026.08</t>
  </si>
  <si>
    <t>2026.09</t>
  </si>
  <si>
    <t>2026.10</t>
  </si>
  <si>
    <t>2026.11</t>
  </si>
  <si>
    <t>2026.12</t>
  </si>
  <si>
    <t>FY.2026</t>
  </si>
  <si>
    <t>(vazio)</t>
  </si>
  <si>
    <t>BRIVO Total</t>
  </si>
  <si>
    <t>URUWARE SOFTWARE Total</t>
  </si>
  <si>
    <t>ENTIS LTDA Total</t>
  </si>
  <si>
    <t>ASEQUIS SA Total</t>
  </si>
  <si>
    <t>Licenciamento workday Total</t>
  </si>
  <si>
    <t>MARBUS Total</t>
  </si>
  <si>
    <t>IMPORTSYS LTDA Total</t>
  </si>
  <si>
    <t>Softwares Total</t>
  </si>
  <si>
    <t>EQUIPAMIENTO LÁSER Total</t>
  </si>
  <si>
    <t>Aluguel - Máq./Equipto. Total</t>
  </si>
  <si>
    <t>SEIDOR USA CORPORATION</t>
  </si>
  <si>
    <t>SEIDOR USA CORPORATION Total</t>
  </si>
  <si>
    <t>Licença SAP Total</t>
  </si>
  <si>
    <t>Workday AMS Total</t>
  </si>
  <si>
    <t>LNX NETWORK SRL Total</t>
  </si>
  <si>
    <t>VPN Korber</t>
  </si>
  <si>
    <t>INFIOS US,INC Total</t>
  </si>
  <si>
    <t>CCTV Total</t>
  </si>
  <si>
    <t>PHITEL  Total</t>
  </si>
  <si>
    <t>TELECTRÓNICA Total</t>
  </si>
  <si>
    <t>CLOCK D'ARGENT Total</t>
  </si>
  <si>
    <t>Manutenção de Informática Total</t>
  </si>
  <si>
    <t>EMAINT ENTERPRISES LLC Total</t>
  </si>
  <si>
    <t>NOVENTIQ INTERNATIONAL COLOMBIA SAS Total</t>
  </si>
  <si>
    <t>MINDS GROUP Total</t>
  </si>
  <si>
    <t>ARNALDO CASTRO Total</t>
  </si>
  <si>
    <t>Forticlient + Fortimail  Total</t>
  </si>
  <si>
    <t>BERSIDAL SA Total</t>
  </si>
  <si>
    <t>Outras licenças Total</t>
  </si>
  <si>
    <t>Licença WMS-KORBER Total</t>
  </si>
  <si>
    <t>ANTEL Total</t>
  </si>
  <si>
    <t>ENALUR SA Total</t>
  </si>
  <si>
    <t>AM WIRELESS  Total</t>
  </si>
  <si>
    <t>Telefonia &amp; Internet Total</t>
  </si>
  <si>
    <t xml:space="preserve"> Total</t>
  </si>
  <si>
    <t>Custo Fixo</t>
  </si>
  <si>
    <t>Transportes</t>
  </si>
  <si>
    <t>NS TECH Total</t>
  </si>
  <si>
    <t>TRIZZY Total</t>
  </si>
  <si>
    <t>PROLOG Total</t>
  </si>
  <si>
    <t>SINLOG SISTEMAS EM LOGISTICA SA Total</t>
  </si>
  <si>
    <t>FRETEBRAS INTERNET E SERVICOS LTDA Total</t>
  </si>
  <si>
    <t>SENIOR Total</t>
  </si>
  <si>
    <t>KMM TOS Total</t>
  </si>
  <si>
    <t>COPYLINE Total</t>
  </si>
  <si>
    <t>Digitech  Total</t>
  </si>
  <si>
    <t>Terceiros PJ Total</t>
  </si>
  <si>
    <t>Recife 1</t>
  </si>
  <si>
    <t>GFB Soluções - VISYS Total</t>
  </si>
  <si>
    <t>DD Design Tecnologia (Portal Logistico) Total</t>
  </si>
  <si>
    <t xml:space="preserve">Essencia </t>
  </si>
  <si>
    <t>Desenvolvimento de sistemas (GAPs Korber x Regras de exportação)</t>
  </si>
  <si>
    <t>Essencia  Total</t>
  </si>
  <si>
    <t>Douglas Duarte Total</t>
  </si>
  <si>
    <t>Squad dedicada do TMS 2 desenvolvedor 1 PO da NStech. Total</t>
  </si>
  <si>
    <t>VEPER(Manutenção totens, cancelas e torniquetes) Total</t>
  </si>
  <si>
    <t>Manutenção coletores Total</t>
  </si>
  <si>
    <t>M.A.B Instalações Total</t>
  </si>
  <si>
    <t>*A DEFINIR* Total</t>
  </si>
  <si>
    <t>FLUKE Total</t>
  </si>
  <si>
    <t>KORBER</t>
  </si>
  <si>
    <t>KORBER Total</t>
  </si>
  <si>
    <t>DataTransp Total</t>
  </si>
  <si>
    <t>TAMA ANALISE E GERENCIAMENTO DE SIS Total</t>
  </si>
  <si>
    <t>SANTA CATARINA INFORMATICA LTDA Total</t>
  </si>
  <si>
    <t>M.GOM REPARACAO E MANUTENCAO DE COM Total</t>
  </si>
  <si>
    <t>BOSSTECH Total</t>
  </si>
  <si>
    <t>OI/VIVO Total</t>
  </si>
  <si>
    <t>VERIFICAR Total</t>
  </si>
  <si>
    <t>ALHAMBRA Total</t>
  </si>
  <si>
    <t>Celulares Claro Total</t>
  </si>
  <si>
    <t>EMBRATEL Total</t>
  </si>
  <si>
    <t>Custo Fixo Total</t>
  </si>
  <si>
    <t>G&amp;A BU</t>
  </si>
  <si>
    <t>4Sys Total</t>
  </si>
  <si>
    <t>SPRO Total</t>
  </si>
  <si>
    <t>BU-RJ</t>
  </si>
  <si>
    <t>SEIDOR Total</t>
  </si>
  <si>
    <t>RAVANEDA Total</t>
  </si>
  <si>
    <t>GATE7 Total</t>
  </si>
  <si>
    <t>Datalake Total</t>
  </si>
  <si>
    <t>Suprimentos de TI Total</t>
  </si>
  <si>
    <t>NOVENTIQ Total</t>
  </si>
  <si>
    <t>CONVERGENT Total</t>
  </si>
  <si>
    <t>ITHOEN Total</t>
  </si>
  <si>
    <t>ClaraNet Total</t>
  </si>
  <si>
    <t>DataSite Brasil Total</t>
  </si>
  <si>
    <t>Y3 Gestão em telecom e comercio Total</t>
  </si>
  <si>
    <t>PUCC - BBX SOLUTIONS LTDA ME Total</t>
  </si>
  <si>
    <t>Hash Data Total</t>
  </si>
  <si>
    <t>Softexpert Mysig Total</t>
  </si>
  <si>
    <t>INTERFIBRAS TELECOMUNICAÇÕES LTDA Total</t>
  </si>
  <si>
    <t>M. F. D. LARSEN LTDA Total</t>
  </si>
  <si>
    <t>ROBSON GALASSI Total</t>
  </si>
  <si>
    <t>RODRIGO BORGHI DA SILVA &amp; CIA LTDA Total</t>
  </si>
  <si>
    <t>IVR INFORMATICA LTDA Total</t>
  </si>
  <si>
    <t>ITELFIBRA TELECOMUNICACOES LTDA Total</t>
  </si>
  <si>
    <t>RAZAOINFO INTERNET LTDA                     Total</t>
  </si>
  <si>
    <t>GEOVANI FABRICIO WELTER Total</t>
  </si>
  <si>
    <t>Claro Net Total</t>
  </si>
  <si>
    <t>TELMEX (EMBRATEL) Total</t>
  </si>
  <si>
    <t>Starlink Total</t>
  </si>
  <si>
    <t>Celulares TIM Total</t>
  </si>
  <si>
    <t>G&amp;A BU Total</t>
  </si>
  <si>
    <t>G&amp;A PL</t>
  </si>
  <si>
    <t>Consultoria Sap Total</t>
  </si>
  <si>
    <t>Consultoria Total</t>
  </si>
  <si>
    <t>Correios Total</t>
  </si>
  <si>
    <t>Outros serviços PJ Total</t>
  </si>
  <si>
    <t>FLYTOUR Total</t>
  </si>
  <si>
    <t>Passagem Total</t>
  </si>
  <si>
    <t>Hotel Total</t>
  </si>
  <si>
    <t>Locação Total</t>
  </si>
  <si>
    <t>Reembolso Total</t>
  </si>
  <si>
    <t>Deslocamento unidades Total</t>
  </si>
  <si>
    <t>Locação Carro Total</t>
  </si>
  <si>
    <t>Viagens Total</t>
  </si>
  <si>
    <t>Pentest Total</t>
  </si>
  <si>
    <t>CMR Software Total</t>
  </si>
  <si>
    <t>Anydesk (suporte remoto) Total</t>
  </si>
  <si>
    <t>SOFTWARE.COM.BR Total</t>
  </si>
  <si>
    <t>G&amp;A PL Total</t>
  </si>
  <si>
    <t>G&amp;A CP</t>
  </si>
  <si>
    <t>Corporativo</t>
  </si>
  <si>
    <t>G&amp;A CP Total</t>
  </si>
  <si>
    <t>Kiga  Total</t>
  </si>
  <si>
    <t>e365</t>
  </si>
  <si>
    <t>e365 Total</t>
  </si>
  <si>
    <t>Carlos Gastón Total</t>
  </si>
  <si>
    <t>LNX Network</t>
  </si>
  <si>
    <t>LNX Network Total</t>
  </si>
  <si>
    <t>Entrenamientos Total</t>
  </si>
  <si>
    <t>Treinamentos Total</t>
  </si>
  <si>
    <t>SAP Hana</t>
  </si>
  <si>
    <t>SAP Hana Total</t>
  </si>
  <si>
    <t>NIVAMÉRICA Total</t>
  </si>
  <si>
    <t>Sap Hana AMS</t>
  </si>
  <si>
    <t>Sap Hana AMS Total</t>
  </si>
  <si>
    <t>Anydesk</t>
  </si>
  <si>
    <t>Anydesk Total</t>
  </si>
  <si>
    <t>KORBER INFIOS US,INC</t>
  </si>
  <si>
    <t>KORBER INFIOS US,INC Total</t>
  </si>
  <si>
    <t>TEISA Total</t>
  </si>
  <si>
    <t>Núcleo  Total</t>
  </si>
  <si>
    <t>AMX Total</t>
  </si>
  <si>
    <t>Compumarket Total</t>
  </si>
  <si>
    <t>Material de uso e consumo Total</t>
  </si>
  <si>
    <t>(vazio) Total</t>
  </si>
  <si>
    <t>Total Geral</t>
  </si>
  <si>
    <t>Despesa</t>
  </si>
  <si>
    <t>DRE [ 01 ]</t>
  </si>
  <si>
    <t>Energia Elétrica - Instalações</t>
  </si>
  <si>
    <t>Energia elétrica</t>
  </si>
  <si>
    <t>Manutenção - Instalações</t>
  </si>
  <si>
    <t>Manutenção</t>
  </si>
  <si>
    <t>Manutenção - Veículos</t>
  </si>
  <si>
    <t>Manutenção - Outros Equip.</t>
  </si>
  <si>
    <t>Aluguel - Imóveis</t>
  </si>
  <si>
    <t>Aluguel</t>
  </si>
  <si>
    <t>Aluguel - Veículos</t>
  </si>
  <si>
    <t>Aluguel - Outros</t>
  </si>
  <si>
    <t>Seguro - Predial</t>
  </si>
  <si>
    <t>Seguros</t>
  </si>
  <si>
    <t>Seguro - Mercadoria</t>
  </si>
  <si>
    <t>Seguro - Veículos</t>
  </si>
  <si>
    <t>Seguro - Carga</t>
  </si>
  <si>
    <t>Seguro - D&amp;O</t>
  </si>
  <si>
    <t>Seguro - Outros</t>
  </si>
  <si>
    <t>Condomínio</t>
  </si>
  <si>
    <t>Facilities</t>
  </si>
  <si>
    <t>IPTU</t>
  </si>
  <si>
    <t>Água e Esgoto</t>
  </si>
  <si>
    <t>Combustivel - Frota leve</t>
  </si>
  <si>
    <t>Combustivel</t>
  </si>
  <si>
    <t>Combustivel - Insumo</t>
  </si>
  <si>
    <t>Assessoria</t>
  </si>
  <si>
    <t>Serviços</t>
  </si>
  <si>
    <t>Segurança e vigilância</t>
  </si>
  <si>
    <t>IT</t>
  </si>
  <si>
    <t>Material de Segurança e EPI</t>
  </si>
  <si>
    <t>Materiais</t>
  </si>
  <si>
    <t>Material de Embalagem</t>
  </si>
  <si>
    <t>Material de expediente</t>
  </si>
  <si>
    <t>Material de limpeza</t>
  </si>
  <si>
    <t>Outros</t>
  </si>
  <si>
    <t>Impostos</t>
  </si>
  <si>
    <t>Taxas</t>
  </si>
  <si>
    <t>Contribuições</t>
  </si>
  <si>
    <t>DRE [ ZCO ]</t>
  </si>
  <si>
    <t>AUX</t>
  </si>
  <si>
    <t>LC-PE1 | Real Estate</t>
  </si>
  <si>
    <t>Real Estate</t>
  </si>
  <si>
    <t>Patrick Ghelfi</t>
  </si>
  <si>
    <t>Custo Indireto</t>
  </si>
  <si>
    <t>LC-PE1 | Manutenção</t>
  </si>
  <si>
    <t>Fábio Sant Anna</t>
  </si>
  <si>
    <t>Custo Direto</t>
  </si>
  <si>
    <t>LC-PE1 | ADM &amp; Facilities</t>
  </si>
  <si>
    <t>ADM &amp; Facilities</t>
  </si>
  <si>
    <t>LC-PE1 | Jurídico</t>
  </si>
  <si>
    <t>Jurídico</t>
  </si>
  <si>
    <t>Fabiane Ortiz</t>
  </si>
  <si>
    <t>LC-PE1 | Seguros</t>
  </si>
  <si>
    <t>Luciane Barbosa</t>
  </si>
  <si>
    <t>LC-PE2 | Real Estate</t>
  </si>
  <si>
    <t>LC-PE2 | Manutenção</t>
  </si>
  <si>
    <t>LC-PE2 | ADM &amp; Facilities</t>
  </si>
  <si>
    <t>LC-PE2 | Jurídico</t>
  </si>
  <si>
    <t>LC-PE2 | Seguros</t>
  </si>
  <si>
    <t>LC-ITJ | Real Estate</t>
  </si>
  <si>
    <t>Itajaí Aurora</t>
  </si>
  <si>
    <t>LC-ITJ | Manutenção</t>
  </si>
  <si>
    <t>LC-ITJ | ADM &amp; Facilities</t>
  </si>
  <si>
    <t>LC-ITJ | Jurídico</t>
  </si>
  <si>
    <t>LC-ITJ | Seguros</t>
  </si>
  <si>
    <t>FG-PE2 | Operação Armazenagem</t>
  </si>
  <si>
    <t>Operação Frio</t>
  </si>
  <si>
    <t>Wanderson Brandao</t>
  </si>
  <si>
    <t>FG-PE2 | Operação Movimentação</t>
  </si>
  <si>
    <t>FG-PE2 | Manutenção</t>
  </si>
  <si>
    <t>FG-PE2 | Qualidade</t>
  </si>
  <si>
    <t>Qualidade</t>
  </si>
  <si>
    <t>Simone Rodrigues</t>
  </si>
  <si>
    <t>FG-PE2 | Certificação</t>
  </si>
  <si>
    <t>FG-PE2 | ADM &amp; Facilities</t>
  </si>
  <si>
    <t>FG-PE2 | Seguros</t>
  </si>
  <si>
    <t>FG-PE2 | Jurídico</t>
  </si>
  <si>
    <t>FG-PE2 | RH</t>
  </si>
  <si>
    <t>Recursos Humanos</t>
  </si>
  <si>
    <t>Pedro Melo</t>
  </si>
  <si>
    <t>CG-PTG | Operação Armazenagem</t>
  </si>
  <si>
    <t>Operação Seco</t>
  </si>
  <si>
    <t>Fabio Cox</t>
  </si>
  <si>
    <t>CG-PTG | Operação Movimentação</t>
  </si>
  <si>
    <t>CG-PTG | Manutenção</t>
  </si>
  <si>
    <t>CG-PTG | Qualidade</t>
  </si>
  <si>
    <t>CG-PTG | Certificação</t>
  </si>
  <si>
    <t>CG-PTG | ADM &amp; Facilities</t>
  </si>
  <si>
    <t>CG-PTG | Seguros</t>
  </si>
  <si>
    <t>CG-PTG | Jurídico</t>
  </si>
  <si>
    <t>CG-PTG | RH</t>
  </si>
  <si>
    <t>CG-PNG | Operação Armazenagem</t>
  </si>
  <si>
    <t>Leonardo Pontin</t>
  </si>
  <si>
    <t>CG-PNG | Operação Movimentação</t>
  </si>
  <si>
    <t>CG-PNG | Manutenção</t>
  </si>
  <si>
    <t>CG-PNG | Qualidade</t>
  </si>
  <si>
    <t>CG-PNG | Certificação</t>
  </si>
  <si>
    <t>CG-PNG | ADM &amp; Facilities</t>
  </si>
  <si>
    <t>CG-PNG | Seguros</t>
  </si>
  <si>
    <t>CG-PNG | Jurídico</t>
  </si>
  <si>
    <t>CG-PNG | RH</t>
  </si>
  <si>
    <t>FG-PNG | Operação Armazenagem</t>
  </si>
  <si>
    <t>FG-PNG | Operação Movimentação</t>
  </si>
  <si>
    <t>FG-PNG | Manutenção</t>
  </si>
  <si>
    <t>FG-PNG | Qualidade</t>
  </si>
  <si>
    <t>FG-PNG | Certificação</t>
  </si>
  <si>
    <t>FG-PNG | ADM &amp; Facilities</t>
  </si>
  <si>
    <t>FG-PNG | Seguros</t>
  </si>
  <si>
    <t>FG-PNG | Jurídico</t>
  </si>
  <si>
    <t>FG-PNG | RH</t>
  </si>
  <si>
    <t>PT-PNG | Terminal Armazenagem</t>
  </si>
  <si>
    <t>Operação Pátio</t>
  </si>
  <si>
    <t>PT-PNG | Terminal Movimentação</t>
  </si>
  <si>
    <t>PT-PNG | Manutenção</t>
  </si>
  <si>
    <t>PT-PNG | Qualidade</t>
  </si>
  <si>
    <t>PT-PNG | Certificação</t>
  </si>
  <si>
    <t>PT-PNG | ADM &amp; Facilities</t>
  </si>
  <si>
    <t>PT-PNG | Seguros</t>
  </si>
  <si>
    <t>PT-PNG | Jurídico</t>
  </si>
  <si>
    <t>PT-PNG | RH</t>
  </si>
  <si>
    <t>PNG | Manutenção</t>
  </si>
  <si>
    <t>PNG | Qualidade</t>
  </si>
  <si>
    <t>PNG | Certificação</t>
  </si>
  <si>
    <t>PNG | ADM &amp; Facilities</t>
  </si>
  <si>
    <t>PNG | Seguros</t>
  </si>
  <si>
    <t>PNG | Jurídico</t>
  </si>
  <si>
    <t>PNG | RH</t>
  </si>
  <si>
    <t>FG-ITJ | Operação Armazenagem</t>
  </si>
  <si>
    <t>William Monteiro</t>
  </si>
  <si>
    <t>FG-ITJ | Operação Movimentação</t>
  </si>
  <si>
    <t>FG-ITJ | Manutenção</t>
  </si>
  <si>
    <t>FG-ITJ | Qualidade</t>
  </si>
  <si>
    <t>FG-ITJ | Certificação</t>
  </si>
  <si>
    <t>FG-ITJ | ADM &amp; Facilities</t>
  </si>
  <si>
    <t>FG-ITJ | Seguros</t>
  </si>
  <si>
    <t>FG-ITJ | Jurídico</t>
  </si>
  <si>
    <t>FG-ITJ | RH</t>
  </si>
  <si>
    <t>PT-ITJ | Terminal Armazenagem</t>
  </si>
  <si>
    <t>PT-ITJ | Terminal Movimentação</t>
  </si>
  <si>
    <t>PT-ITJ | Manutenção</t>
  </si>
  <si>
    <t>PT-ITJ | Qualidade</t>
  </si>
  <si>
    <t>PT-ITJ | Certificação</t>
  </si>
  <si>
    <t>PT-ITJ | ADM &amp; Facilities</t>
  </si>
  <si>
    <t>PT-ITJ | Seguros</t>
  </si>
  <si>
    <t>PT-ITJ | Jurídico</t>
  </si>
  <si>
    <t>PT-ITJ | RH</t>
  </si>
  <si>
    <t>ITJ | Manutenção</t>
  </si>
  <si>
    <t>ITJ | Qualidade</t>
  </si>
  <si>
    <t>ITJ | Certificação</t>
  </si>
  <si>
    <t>ITJ | ADM &amp; Facilities</t>
  </si>
  <si>
    <t>ITJ | Seguros</t>
  </si>
  <si>
    <t>ITJ | Jurídico</t>
  </si>
  <si>
    <t>ITJ | RH</t>
  </si>
  <si>
    <t>FG-RGD | Operação Armazenagem</t>
  </si>
  <si>
    <t>Affonso Silva</t>
  </si>
  <si>
    <t>FG-RGD | Operação Movimentação</t>
  </si>
  <si>
    <t>FG-RGD | Manutenção</t>
  </si>
  <si>
    <t>FG-RGD | Qualidade</t>
  </si>
  <si>
    <t>FG-RGD | Certificação</t>
  </si>
  <si>
    <t>FG-RGD | ADM &amp; Facilities</t>
  </si>
  <si>
    <t>FG-RGD | Seguros</t>
  </si>
  <si>
    <t>GG-RGD | Jurídico</t>
  </si>
  <si>
    <t>FG-RGD | RH</t>
  </si>
  <si>
    <t>PT-RGD | Terminal Armazenagem</t>
  </si>
  <si>
    <t>PT-RGD | Terminal Movimentação</t>
  </si>
  <si>
    <t>PT-RGD | Manutenção</t>
  </si>
  <si>
    <t>PT-RGD | Qualidade</t>
  </si>
  <si>
    <t>PT-RGD | Certificação</t>
  </si>
  <si>
    <t>PT-RGD | ADM &amp; Facilities</t>
  </si>
  <si>
    <t>PT-RGD | Seguros</t>
  </si>
  <si>
    <t>PT-RGD | Jurídico</t>
  </si>
  <si>
    <t>PT-RGD | RH</t>
  </si>
  <si>
    <t>RGD | Manutenção</t>
  </si>
  <si>
    <t>RGD | Qualidade</t>
  </si>
  <si>
    <t>RGD | Certificação</t>
  </si>
  <si>
    <t>RGD | ADM &amp; Facilities</t>
  </si>
  <si>
    <t>RGD | Seguros</t>
  </si>
  <si>
    <t>RGD | Jurídico</t>
  </si>
  <si>
    <t>RGD | RH</t>
  </si>
  <si>
    <t>LC-VLP | Real Estate</t>
  </si>
  <si>
    <t>LC-VLP | Manutenção</t>
  </si>
  <si>
    <t>LC-VLP | ADM &amp; Facilities</t>
  </si>
  <si>
    <t>LC-VLP | Jurídico</t>
  </si>
  <si>
    <t>LC-VLP | Seguros</t>
  </si>
  <si>
    <t>LC-PSF | Real Estate</t>
  </si>
  <si>
    <t>LC-PSF | Manutenção</t>
  </si>
  <si>
    <t>LC-PSF | ADM &amp; Facilities</t>
  </si>
  <si>
    <t>LC-PSF | Jurídico</t>
  </si>
  <si>
    <t>LC-PSF | Seguros</t>
  </si>
  <si>
    <t>FG-PSF | Operação Armazenagem</t>
  </si>
  <si>
    <t>Juliano Molin</t>
  </si>
  <si>
    <t>FG-PSF | Operação Movimentação</t>
  </si>
  <si>
    <t>FG-PSF | Manutenção</t>
  </si>
  <si>
    <t>FG-PSF | Qualidade</t>
  </si>
  <si>
    <t>FG-PSF | Certificação</t>
  </si>
  <si>
    <t>FG-PSF | ADM &amp; Facilities</t>
  </si>
  <si>
    <t>FG-PSF | Seguros</t>
  </si>
  <si>
    <t>FG-PSF | Jurídico</t>
  </si>
  <si>
    <t>FG-PSF | RH</t>
  </si>
  <si>
    <t>FG-VLP | Operação Armazenagem</t>
  </si>
  <si>
    <t>FG-VLP | Operação Movimentação</t>
  </si>
  <si>
    <t>FG-VLP | Manutenção</t>
  </si>
  <si>
    <t>FG-VLP | Qualidade</t>
  </si>
  <si>
    <t>FG-VLP | Certificação</t>
  </si>
  <si>
    <t>FG-VLP | ADM &amp; Facilities</t>
  </si>
  <si>
    <t>FG-VLP | Seguros</t>
  </si>
  <si>
    <t>FG-VLP | Jurídico</t>
  </si>
  <si>
    <t>FG-VLP | RH</t>
  </si>
  <si>
    <t>LC-GRUA | Real Estate</t>
  </si>
  <si>
    <t>G100A</t>
  </si>
  <si>
    <t>LC-GRUA | Manutenção</t>
  </si>
  <si>
    <t>LC-GRUA | ADM &amp; Facilities</t>
  </si>
  <si>
    <t>LC-GRUA | Jurídico</t>
  </si>
  <si>
    <t>LC-GRUA | Seguros</t>
  </si>
  <si>
    <t>LC-GRUB | Real Estate</t>
  </si>
  <si>
    <t>LC-GRUB | Manutenção</t>
  </si>
  <si>
    <t>LC-GRUB | ADM &amp; Facilities</t>
  </si>
  <si>
    <t>LC-GRUB | Jurídico</t>
  </si>
  <si>
    <t>LC-GRUB | Seguros</t>
  </si>
  <si>
    <t>FG-GRUB | Operação Armazenagem</t>
  </si>
  <si>
    <t>Guilherme Gandara</t>
  </si>
  <si>
    <t>FG-GRUB | Operação Movimentação</t>
  </si>
  <si>
    <t>FG-GRUB | Manutenção</t>
  </si>
  <si>
    <t>FG-GRUB | Qualidade</t>
  </si>
  <si>
    <t>FG-GRUB | Certificação</t>
  </si>
  <si>
    <t>FG-GRUB | ADM &amp; Facilities</t>
  </si>
  <si>
    <t>FG-GRUB | Jurídico</t>
  </si>
  <si>
    <t>FG-GRUB | Seguros</t>
  </si>
  <si>
    <t>FG-GRUB | RH</t>
  </si>
  <si>
    <t>LC-RJ | Real Estate</t>
  </si>
  <si>
    <t>Rio de Janeiro</t>
  </si>
  <si>
    <t>RJ</t>
  </si>
  <si>
    <t>LC-RJ | Manutenção</t>
  </si>
  <si>
    <t>LC-RJ | ADM &amp; Facilities</t>
  </si>
  <si>
    <t>LC-RJ | Jurídico</t>
  </si>
  <si>
    <t>LC-RJ | Seguros</t>
  </si>
  <si>
    <t>BU-MMAZ | Gestão Operacional</t>
  </si>
  <si>
    <t>Luiz Rossi</t>
  </si>
  <si>
    <t>BU-MMAZ | Operação</t>
  </si>
  <si>
    <t>BU-MMAZ | PCO</t>
  </si>
  <si>
    <t>BU-MMAZ | Manutenção</t>
  </si>
  <si>
    <t>BU-MMAZ | Saúde, Segurança, Meio ambiente</t>
  </si>
  <si>
    <t>EHS</t>
  </si>
  <si>
    <t>BU-MMAZ | Qualidade</t>
  </si>
  <si>
    <t>BU-MMAZ | Seguros</t>
  </si>
  <si>
    <t>BU-MMAZ | Comercial</t>
  </si>
  <si>
    <t>Comercial</t>
  </si>
  <si>
    <t>Marcelo Ostrowski</t>
  </si>
  <si>
    <t>BU-MMAZ | Faturamento</t>
  </si>
  <si>
    <t>Faturamento</t>
  </si>
  <si>
    <t>BU-MMAZ | Jurídico</t>
  </si>
  <si>
    <t>BU-MMAZ | Suprimentos</t>
  </si>
  <si>
    <t>Suprimentos</t>
  </si>
  <si>
    <t>Fabio Sturian</t>
  </si>
  <si>
    <t>BU-MMAZ | Tesouraria</t>
  </si>
  <si>
    <t>Financeiro</t>
  </si>
  <si>
    <t>Adriana Farias</t>
  </si>
  <si>
    <t>BU-MMAZ | Contábil &amp; Tax</t>
  </si>
  <si>
    <t>Eliezer Souza</t>
  </si>
  <si>
    <t>BU-MMAZ | RH</t>
  </si>
  <si>
    <t>BU-MMAZ | ADM &amp; Facilities</t>
  </si>
  <si>
    <t>Adilson Assunção</t>
  </si>
  <si>
    <t>BU-MMTR | Gestão Operacional</t>
  </si>
  <si>
    <t>Reinaldo Watanabe</t>
  </si>
  <si>
    <t>BU-MMTR | Operação</t>
  </si>
  <si>
    <t>BU-MMTR | Gerenciamento de Risco</t>
  </si>
  <si>
    <t>BU-MMTR | Manutenção</t>
  </si>
  <si>
    <t>BU-MMTR | Saúde, Segurança, Meio ambiente</t>
  </si>
  <si>
    <t>BU-MMTR | Qualidade</t>
  </si>
  <si>
    <t>BU-MMTR | Seguros</t>
  </si>
  <si>
    <t>BU-MMTR | Comercial</t>
  </si>
  <si>
    <t>BU-MMTR | Faturamento</t>
  </si>
  <si>
    <t>BU-MMTR | Jurídico</t>
  </si>
  <si>
    <t>BU-MMTR | Suprimentos</t>
  </si>
  <si>
    <t>BU-MMTR | Tesouraria</t>
  </si>
  <si>
    <t>BU-MMTR | Contábil &amp; Tax</t>
  </si>
  <si>
    <t>BU-MMTR | RH</t>
  </si>
  <si>
    <t>BU-MMTR | ADM &amp; Facilities</t>
  </si>
  <si>
    <t>BU-MRV | Gestão Operacional</t>
  </si>
  <si>
    <t>BU-MRV | Operação</t>
  </si>
  <si>
    <t>BU-MRV | PCO</t>
  </si>
  <si>
    <t>BU-MRV | Manutenção</t>
  </si>
  <si>
    <t>BU-MRV | Saúde, Segurança, Meio ambiente</t>
  </si>
  <si>
    <t>BU-MRV | Qualidade</t>
  </si>
  <si>
    <t>BU-MRV | Seguros</t>
  </si>
  <si>
    <t>BU-MRV | Comercial</t>
  </si>
  <si>
    <t>BU-MRV | Faturamento</t>
  </si>
  <si>
    <t>BU-MRV | Jurídico</t>
  </si>
  <si>
    <t>BU-MRV | Suprimentos</t>
  </si>
  <si>
    <t>BU-MRV | Tesouraria</t>
  </si>
  <si>
    <t>BU-MRV | Contábil &amp; Tax</t>
  </si>
  <si>
    <t>BU-MRV | RH</t>
  </si>
  <si>
    <t>BU-MRV | ADM &amp; Facilities</t>
  </si>
  <si>
    <t>BU-GRU | Gestão Operacional</t>
  </si>
  <si>
    <t>BU-GRU | Operação</t>
  </si>
  <si>
    <t>BU-GRU | PCO</t>
  </si>
  <si>
    <t>BU-GRU | Manutenção</t>
  </si>
  <si>
    <t>BU-GRU | Saúde, Segurança, Meio ambiente</t>
  </si>
  <si>
    <t>BU-GRU | Qualidade</t>
  </si>
  <si>
    <t>BU-GRU | Seguros</t>
  </si>
  <si>
    <t>BU-GRU | Comercial</t>
  </si>
  <si>
    <t>BU-GRU | Faturamento</t>
  </si>
  <si>
    <t>BU-GRU | Jurídico</t>
  </si>
  <si>
    <t>BU-GRU | Suprimentos</t>
  </si>
  <si>
    <t>BU-GRU | Tesouraria</t>
  </si>
  <si>
    <t>BU-GRU | Contábil &amp; Tax</t>
  </si>
  <si>
    <t>BU-GRU | RH</t>
  </si>
  <si>
    <t>BU-GRU | ADM &amp; Facilities</t>
  </si>
  <si>
    <t>PL | Gestão Executiva</t>
  </si>
  <si>
    <t>Executivos</t>
  </si>
  <si>
    <t>Evandro Calanca</t>
  </si>
  <si>
    <t>PL | Operação</t>
  </si>
  <si>
    <t>PL | Seguros</t>
  </si>
  <si>
    <t>PL | Comercial</t>
  </si>
  <si>
    <t>PL | Comunicação</t>
  </si>
  <si>
    <t>Comunicação</t>
  </si>
  <si>
    <t>Paula Gallego</t>
  </si>
  <si>
    <t>PL | Jurídico</t>
  </si>
  <si>
    <t>PL | Transformação</t>
  </si>
  <si>
    <t>Transformação</t>
  </si>
  <si>
    <t>Ricardo Lins</t>
  </si>
  <si>
    <t>PL | Tesouraria</t>
  </si>
  <si>
    <t>PL | Contábil &amp; Tax</t>
  </si>
  <si>
    <t>PL | FP&amp;A</t>
  </si>
  <si>
    <t>Rodrigo Chu</t>
  </si>
  <si>
    <t>PL | RH</t>
  </si>
  <si>
    <t>PL | ADM &amp; Facilities</t>
  </si>
  <si>
    <t>Noel Colmenero</t>
  </si>
  <si>
    <t>CP | Gestão Executiva</t>
  </si>
  <si>
    <t>CP</t>
  </si>
  <si>
    <t>Pedro Moreira</t>
  </si>
  <si>
    <t>LATAM</t>
  </si>
  <si>
    <t>CP | Operação</t>
  </si>
  <si>
    <t>Ricardo Jacob</t>
  </si>
  <si>
    <t>CP | Seguros</t>
  </si>
  <si>
    <t>CP | Comunicação</t>
  </si>
  <si>
    <t>Leticia Jucha</t>
  </si>
  <si>
    <t>CP | Jurídico</t>
  </si>
  <si>
    <t>CP | Suprimentos</t>
  </si>
  <si>
    <t>CP | Tesouraria</t>
  </si>
  <si>
    <t>Elton Martins</t>
  </si>
  <si>
    <t>CP | Contábil &amp; Tax</t>
  </si>
  <si>
    <t>Thais Fuzetti</t>
  </si>
  <si>
    <t>CP | FP&amp;A</t>
  </si>
  <si>
    <t>Juan Hurtado</t>
  </si>
  <si>
    <t>CP | RH</t>
  </si>
  <si>
    <t>Daniel Matamala</t>
  </si>
  <si>
    <t>Jimmy Espinosa</t>
  </si>
  <si>
    <t>CP | ADM &amp; Facilities</t>
  </si>
  <si>
    <t>Applications support and maintenance Total</t>
  </si>
  <si>
    <t>G100B Total</t>
  </si>
  <si>
    <t>BU-SKM Total</t>
  </si>
  <si>
    <t>SKM Total</t>
  </si>
  <si>
    <t>Macroindicadores</t>
  </si>
  <si>
    <t>USD/BRL</t>
  </si>
  <si>
    <t>Inflação Mensal 2025</t>
  </si>
  <si>
    <t>Inflação Acumulada 2025</t>
  </si>
  <si>
    <t>Inflação Mensal 2026</t>
  </si>
  <si>
    <t>Inflação Acumulada 2026</t>
  </si>
  <si>
    <t>Inflação 12m 2026</t>
  </si>
  <si>
    <t>Fator</t>
  </si>
  <si>
    <t>LTM</t>
  </si>
  <si>
    <t>SAP R3 (Licença + AMS)</t>
  </si>
  <si>
    <t>Revenues</t>
  </si>
  <si>
    <t>BG.2026 (V008)</t>
  </si>
  <si>
    <t>2025.YTDJul</t>
  </si>
  <si>
    <t>TR</t>
  </si>
  <si>
    <t>Faturamento | Plugagem (BRL'000)</t>
  </si>
  <si>
    <t>Frig_Paranaguá</t>
  </si>
  <si>
    <t>Subtotal</t>
  </si>
  <si>
    <t>Frig_Rio_Grande</t>
  </si>
  <si>
    <t>LC-ITJ | TI</t>
  </si>
  <si>
    <t>Frig_Itajaí</t>
  </si>
  <si>
    <t>LC-PE2 | TI</t>
  </si>
  <si>
    <t>LC-GRUA | TI</t>
  </si>
  <si>
    <t>Duque</t>
  </si>
  <si>
    <t>LC-RJ | TI</t>
  </si>
  <si>
    <t>SAP S4 (Licença + AMS)</t>
  </si>
  <si>
    <t>WMS (Licença e VPN)</t>
  </si>
  <si>
    <t>YMS (Licença e VPN)</t>
  </si>
  <si>
    <t>TRIZZY (Sistema de agendamento)</t>
  </si>
  <si>
    <t>EMAINT (Sistema de manutenção)</t>
  </si>
  <si>
    <t>Pausa térmica</t>
  </si>
  <si>
    <t>Office 365, Gate7, Integração sistemas</t>
  </si>
  <si>
    <t>Workday (Licença)</t>
  </si>
  <si>
    <t>Sistema de controle de dispositivo MDM</t>
  </si>
  <si>
    <t>Y3, DataLake</t>
  </si>
  <si>
    <t>PUCC, HashData, Starlink, 4Sys, Mysig</t>
  </si>
  <si>
    <t>&gt; medição TI</t>
  </si>
  <si>
    <t>&gt;%Faturamento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</si>
</sst>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mmm;@"/>
    <numFmt numFmtId="165" formatCode="0.0%"/>
    <numFmt numFmtId="166" formatCode="_(* #,##0_);_(* \(#,##0\);_(* &quot;-&quot;??_);_(@_)"/>
    <numFmt numFmtId="167" formatCode="#,##0.0"/>
    <numFmt numFmtId="168" formatCode="#,##0;[Red]\-#,##0"/>
    <numFmt numFmtId="169" formatCode="_-* #,##0.000_-;\-* #,##0.000_-;_-* &quot;-&quot;??_-;_-@_-"/>
    <numFmt numFmtId="170" formatCode="_-* #,##0_-;\-* #,##0_-;_-* &quot;-&quot;??_-;_-@_-"/>
  </numFmts>
  <fonts count="33">
    <font>
      <sz val="12"/>
      <color theme="1"/>
      <name val="Segoe UI"/>
      <family val="2"/>
    </font>
    <font>
      <sz val="12"/>
      <color theme="1"/>
      <name val="Segoe UI"/>
      <family val="2"/>
    </font>
    <font>
      <sz val="12"/>
      <color theme="1"/>
      <name val="Montserrat"/>
    </font>
    <font>
      <sz val="10"/>
      <color theme="3"/>
      <name val="Montserrat"/>
    </font>
    <font>
      <sz val="10"/>
      <color theme="2"/>
      <name val="Montserrat"/>
    </font>
    <font>
      <sz val="12"/>
      <color theme="2"/>
      <name val="Montserrat"/>
    </font>
    <font>
      <sz val="11"/>
      <color theme="1"/>
      <name val="Aptos Narrow"/>
      <family val="2"/>
      <charset val="238"/>
      <scheme val="minor"/>
    </font>
    <font>
      <b/>
      <sz val="12"/>
      <color rgb="FFF5F5F6"/>
      <name val="Montserrat"/>
    </font>
    <font>
      <sz val="12"/>
      <color rgb="FF1C2543"/>
      <name val="Montserrat"/>
    </font>
    <font>
      <sz val="10"/>
      <color rgb="FF747481"/>
      <name val="Montserrat"/>
    </font>
    <font>
      <sz val="10"/>
      <color rgb="FFF5F5F6"/>
      <name val="Montserrat"/>
    </font>
    <font>
      <sz val="12"/>
      <color rgb="FF223262"/>
      <name val="Montserrat"/>
    </font>
    <font>
      <sz val="10"/>
      <color rgb="FF223262"/>
      <name val="Montserrat"/>
    </font>
    <font>
      <sz val="10"/>
      <color rgb="FF1C2543"/>
      <name val="Montserrat"/>
    </font>
    <font>
      <sz val="10"/>
      <color theme="1"/>
      <name val="Segoe UI"/>
      <family val="2"/>
    </font>
    <font>
      <b/>
      <sz val="10"/>
      <color rgb="FFF5F5F6"/>
      <name val="Montserrat"/>
    </font>
    <font>
      <sz val="10"/>
      <color rgb="FFF5F5F6"/>
      <name val="Montserrat SemiBold"/>
    </font>
    <font>
      <sz val="10"/>
      <color theme="2"/>
      <name val="Montserrat SemiBold"/>
    </font>
    <font>
      <sz val="12"/>
      <color theme="8"/>
      <name val="Montserrat"/>
    </font>
    <font>
      <sz val="12"/>
      <color theme="7"/>
      <name val="Montserrat"/>
    </font>
    <font>
      <sz val="12"/>
      <color theme="5"/>
      <name val="Montserrat"/>
    </font>
    <font>
      <sz val="12"/>
      <color theme="2" tint="-0.499984740745262"/>
      <name val="Montserrat"/>
    </font>
    <font>
      <b/>
      <sz val="12"/>
      <color theme="1"/>
      <name val="Segoe UI"/>
      <family val="2"/>
    </font>
    <font>
      <i/>
      <sz val="10"/>
      <color theme="1"/>
      <name val="Segoe UI"/>
      <family val="2"/>
    </font>
    <font>
      <b/>
      <i/>
      <sz val="10"/>
      <color theme="1"/>
      <name val="Segoe UI"/>
      <family val="2"/>
    </font>
    <font>
      <sz val="12"/>
      <color theme="8"/>
      <name val="Segoe UI"/>
      <family val="2"/>
    </font>
    <font>
      <i/>
      <sz val="10"/>
      <color theme="7"/>
      <name val="Segoe UI"/>
      <family val="2"/>
    </font>
    <font>
      <sz val="12"/>
      <color theme="7"/>
      <name val="Segoe UI"/>
      <family val="2"/>
    </font>
    <font>
      <sz val="10"/>
      <color theme="2"/>
      <name val="Aptos Display"/>
      <family val="2"/>
      <scheme val="major"/>
    </font>
    <font>
      <sz val="10"/>
      <color theme="3"/>
      <name val="Aptos Display"/>
      <family val="2"/>
      <scheme val="major"/>
    </font>
    <font>
      <sz val="10"/>
      <color rgb="FFF5F5F6"/>
      <name val="Aptos Display"/>
      <family val="2"/>
      <scheme val="major"/>
    </font>
    <font>
      <sz val="10"/>
      <color rgb="FF223262"/>
      <name val="Aptos Display"/>
      <family val="2"/>
      <scheme val="major"/>
    </font>
    <font>
      <sz val="10"/>
      <color rgb="FF747481"/>
      <name val="Aptos Display"/>
      <family val="2"/>
      <scheme val="major"/>
    </font>
  </fonts>
  <fills count="24">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223262"/>
        <bgColor indexed="64"/>
      </patternFill>
    </fill>
    <fill>
      <patternFill patternType="solid">
        <fgColor rgb="FFDADADE"/>
        <bgColor indexed="64"/>
      </patternFill>
    </fill>
    <fill>
      <patternFill patternType="solid">
        <fgColor rgb="FFDDEBF7"/>
        <bgColor indexed="64"/>
      </patternFill>
    </fill>
    <fill>
      <patternFill patternType="solid">
        <fgColor rgb="FF3A4D8B"/>
        <bgColor indexed="64"/>
      </patternFill>
    </fill>
    <fill>
      <patternFill patternType="solid">
        <fgColor rgb="FFF5F5F6"/>
        <bgColor indexed="64"/>
      </patternFill>
    </fill>
    <fill>
      <patternFill patternType="solid">
        <fgColor rgb="FF747481"/>
        <bgColor indexed="64"/>
      </patternFill>
    </fill>
    <fill>
      <patternFill patternType="solid">
        <fgColor rgb="FFFFFFFF"/>
        <bgColor indexed="64"/>
      </patternFill>
    </fill>
    <fill>
      <patternFill patternType="solid">
        <fgColor rgb="FFC7D0EB"/>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99"/>
        <bgColor indexed="64"/>
      </patternFill>
    </fill>
    <fill>
      <patternFill patternType="solid">
        <fgColor theme="4" tint="0.79998168889431442"/>
        <bgColor theme="4" tint="0.79998168889431442"/>
      </patternFill>
    </fill>
    <fill>
      <patternFill patternType="solid">
        <fgColor theme="9" tint="0.79998168889431442"/>
        <bgColor indexed="64"/>
      </patternFill>
    </fill>
  </fills>
  <borders count="1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style="thin">
        <color rgb="FFF5F5F6"/>
      </top>
      <bottom style="thin">
        <color rgb="FFF5F5F6"/>
      </bottom>
      <diagonal/>
    </border>
    <border>
      <left style="thin">
        <color rgb="FF747481"/>
      </left>
      <right style="thin">
        <color rgb="FF747481"/>
      </right>
      <top style="thin">
        <color rgb="FF747481"/>
      </top>
      <bottom style="thin">
        <color rgb="FF747481"/>
      </bottom>
      <diagonal/>
    </border>
    <border>
      <left style="dashed">
        <color theme="5"/>
      </left>
      <right style="dashed">
        <color theme="5"/>
      </right>
      <top style="dashed">
        <color theme="5"/>
      </top>
      <bottom/>
      <diagonal/>
    </border>
    <border>
      <left style="dashed">
        <color theme="5"/>
      </left>
      <right style="dashed">
        <color theme="5"/>
      </right>
      <top/>
      <bottom/>
      <diagonal/>
    </border>
    <border>
      <left style="dashed">
        <color theme="5"/>
      </left>
      <right style="dashed">
        <color theme="5"/>
      </right>
      <top/>
      <bottom style="dashed">
        <color theme="5"/>
      </bottom>
      <diagonal/>
    </border>
    <border>
      <left/>
      <right/>
      <top/>
      <bottom style="thin">
        <color theme="4" tint="0.39997558519241921"/>
      </bottom>
      <diagonal/>
    </border>
    <border>
      <left/>
      <right/>
      <top style="thin">
        <color theme="2" tint="-0.499984740745262"/>
      </top>
      <bottom style="thin">
        <color theme="2" tint="-0.499984740745262"/>
      </bottom>
      <diagonal/>
    </border>
    <border>
      <left/>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s>
  <cellStyleXfs count="4">
    <xf numFmtId="0" fontId="0" fillId="0" borderId="0"/>
    <xf numFmtId="43" fontId="1" fillId="0" borderId="0" applyFont="0" applyFill="0" applyBorder="0" applyAlignment="0" applyProtection="0"/>
    <xf numFmtId="0" fontId="6" fillId="0" borderId="0"/>
    <xf numFmtId="9" fontId="1" fillId="0" borderId="0" applyFont="0" applyFill="0" applyBorder="0" applyAlignment="0" applyProtection="0"/>
  </cellStyleXfs>
  <cellXfs count="137">
    <xf numFmtId="0" fontId="0" fillId="0" borderId="0" xfId="0"/>
    <xf numFmtId="0" fontId="2" fillId="0" borderId="0" xfId="0" applyFont="1"/>
    <xf numFmtId="0" fontId="5" fillId="2" borderId="0" xfId="0" applyFont="1" applyFill="1"/>
    <xf numFmtId="0" fontId="7" fillId="6" borderId="1" xfId="2" applyFont="1" applyFill="1" applyBorder="1" applyAlignment="1">
      <alignment vertical="center"/>
    </xf>
    <xf numFmtId="0" fontId="8" fillId="0" borderId="0" xfId="2" applyFont="1" applyAlignment="1">
      <alignment vertical="center"/>
    </xf>
    <xf numFmtId="0" fontId="2" fillId="3" borderId="0" xfId="0" applyFont="1" applyFill="1"/>
    <xf numFmtId="0" fontId="4" fillId="11" borderId="0" xfId="0" applyFont="1" applyFill="1" applyAlignment="1">
      <alignment horizontal="left" vertical="top"/>
    </xf>
    <xf numFmtId="0" fontId="4" fillId="6" borderId="0" xfId="0" applyFont="1" applyFill="1" applyAlignment="1">
      <alignment horizontal="left" vertical="top"/>
    </xf>
    <xf numFmtId="0" fontId="3" fillId="0" borderId="0" xfId="0" applyFont="1" applyAlignment="1">
      <alignment horizontal="left" vertical="top"/>
    </xf>
    <xf numFmtId="0" fontId="9" fillId="12" borderId="0" xfId="0" applyFont="1" applyFill="1" applyAlignment="1">
      <alignment horizontal="left" vertical="top"/>
    </xf>
    <xf numFmtId="0" fontId="3" fillId="10" borderId="0" xfId="0" applyFont="1" applyFill="1" applyAlignment="1" applyProtection="1">
      <alignment horizontal="left" vertical="top"/>
      <protection locked="0"/>
    </xf>
    <xf numFmtId="0" fontId="3" fillId="8" borderId="0" xfId="0" applyFont="1" applyFill="1" applyAlignment="1" applyProtection="1">
      <alignment horizontal="left" vertical="top"/>
      <protection locked="0"/>
    </xf>
    <xf numFmtId="164" fontId="3" fillId="8" borderId="0" xfId="0" applyNumberFormat="1" applyFont="1" applyFill="1" applyAlignment="1" applyProtection="1">
      <alignment horizontal="left" vertical="top"/>
      <protection locked="0"/>
    </xf>
    <xf numFmtId="0" fontId="11" fillId="3" borderId="2" xfId="2" applyFont="1" applyFill="1" applyBorder="1" applyAlignment="1">
      <alignment horizontal="left" vertical="center"/>
    </xf>
    <xf numFmtId="0" fontId="11" fillId="3" borderId="3" xfId="2" applyFont="1" applyFill="1" applyBorder="1" applyAlignment="1">
      <alignment horizontal="left" vertical="center"/>
    </xf>
    <xf numFmtId="0" fontId="11" fillId="3" borderId="2" xfId="2" applyFont="1" applyFill="1" applyBorder="1" applyAlignment="1">
      <alignment vertical="center"/>
    </xf>
    <xf numFmtId="0" fontId="10" fillId="9" borderId="4" xfId="0" applyFont="1" applyFill="1" applyBorder="1" applyAlignment="1">
      <alignment horizontal="centerContinuous" vertical="top"/>
    </xf>
    <xf numFmtId="0" fontId="4" fillId="6" borderId="5" xfId="0" applyFont="1" applyFill="1" applyBorder="1" applyAlignment="1">
      <alignment horizontal="left" vertical="top"/>
    </xf>
    <xf numFmtId="0" fontId="12" fillId="13" borderId="0" xfId="0" applyFont="1" applyFill="1" applyAlignment="1">
      <alignment horizontal="left" vertical="top"/>
    </xf>
    <xf numFmtId="0" fontId="13" fillId="0" borderId="0" xfId="2" applyFont="1" applyAlignment="1">
      <alignment vertical="center"/>
    </xf>
    <xf numFmtId="0" fontId="14" fillId="0" borderId="0" xfId="0" applyFont="1"/>
    <xf numFmtId="0" fontId="15" fillId="6" borderId="1" xfId="2" applyFont="1" applyFill="1" applyBorder="1" applyAlignment="1">
      <alignment vertical="center"/>
    </xf>
    <xf numFmtId="0" fontId="14" fillId="8" borderId="1" xfId="0" applyFont="1" applyFill="1" applyBorder="1"/>
    <xf numFmtId="10" fontId="14" fillId="8" borderId="1" xfId="3" applyNumberFormat="1" applyFont="1" applyFill="1" applyBorder="1"/>
    <xf numFmtId="10" fontId="14" fillId="13" borderId="1" xfId="3" applyNumberFormat="1" applyFont="1" applyFill="1" applyBorder="1"/>
    <xf numFmtId="0" fontId="10" fillId="11" borderId="0" xfId="0" applyFont="1" applyFill="1" applyAlignment="1">
      <alignment horizontal="left" vertical="top"/>
    </xf>
    <xf numFmtId="16" fontId="14" fillId="0" borderId="0" xfId="0" applyNumberFormat="1" applyFont="1"/>
    <xf numFmtId="10" fontId="14" fillId="0" borderId="0" xfId="0" applyNumberFormat="1" applyFont="1"/>
    <xf numFmtId="14" fontId="13" fillId="0" borderId="0" xfId="2" applyNumberFormat="1" applyFont="1" applyAlignment="1">
      <alignment vertical="center"/>
    </xf>
    <xf numFmtId="165" fontId="14" fillId="0" borderId="0" xfId="3" applyNumberFormat="1" applyFont="1"/>
    <xf numFmtId="10" fontId="14" fillId="0" borderId="0" xfId="3" applyNumberFormat="1" applyFont="1"/>
    <xf numFmtId="0" fontId="18" fillId="0" borderId="0" xfId="0" applyFont="1"/>
    <xf numFmtId="0" fontId="18" fillId="14" borderId="0" xfId="0" applyFont="1" applyFill="1"/>
    <xf numFmtId="0" fontId="0" fillId="0" borderId="0" xfId="0" pivotButton="1"/>
    <xf numFmtId="0" fontId="16" fillId="6" borderId="0" xfId="2" applyFont="1" applyFill="1" applyAlignment="1">
      <alignment vertical="center"/>
    </xf>
    <xf numFmtId="164" fontId="17" fillId="6" borderId="1" xfId="0" applyNumberFormat="1" applyFont="1" applyFill="1" applyBorder="1" applyAlignment="1">
      <alignment horizontal="right" vertical="top"/>
    </xf>
    <xf numFmtId="0" fontId="17" fillId="6" borderId="1" xfId="0" applyFont="1" applyFill="1" applyBorder="1" applyAlignment="1">
      <alignment horizontal="right" vertical="top"/>
    </xf>
    <xf numFmtId="0" fontId="3" fillId="13" borderId="5" xfId="0" applyFont="1" applyFill="1" applyBorder="1" applyAlignment="1" applyProtection="1">
      <alignment horizontal="left" vertical="top"/>
      <protection locked="0"/>
    </xf>
    <xf numFmtId="0" fontId="3" fillId="0" borderId="0" xfId="0" applyFont="1" applyAlignment="1" applyProtection="1">
      <alignment horizontal="left" vertical="top"/>
      <protection locked="0"/>
    </xf>
    <xf numFmtId="39" fontId="9" fillId="7" borderId="0" xfId="0" applyNumberFormat="1" applyFont="1" applyFill="1" applyAlignment="1">
      <alignment vertical="top"/>
    </xf>
    <xf numFmtId="39" fontId="10" fillId="11" borderId="0" xfId="1" applyNumberFormat="1" applyFont="1" applyFill="1" applyAlignment="1" applyProtection="1">
      <alignment vertical="top"/>
    </xf>
    <xf numFmtId="39" fontId="3" fillId="8" borderId="0" xfId="0" applyNumberFormat="1" applyFont="1" applyFill="1" applyAlignment="1" applyProtection="1">
      <alignment vertical="top"/>
      <protection locked="0"/>
    </xf>
    <xf numFmtId="166" fontId="0" fillId="0" borderId="0" xfId="0" applyNumberFormat="1"/>
    <xf numFmtId="40" fontId="3" fillId="13" borderId="5" xfId="0" applyNumberFormat="1" applyFont="1" applyFill="1" applyBorder="1" applyAlignment="1">
      <alignment vertical="top"/>
    </xf>
    <xf numFmtId="166" fontId="0" fillId="5" borderId="0" xfId="1" applyNumberFormat="1" applyFont="1" applyFill="1"/>
    <xf numFmtId="0" fontId="3" fillId="13" borderId="5" xfId="0" applyFont="1" applyFill="1" applyBorder="1" applyAlignment="1">
      <alignment horizontal="left" vertical="top"/>
    </xf>
    <xf numFmtId="0" fontId="19" fillId="15" borderId="0" xfId="0" applyFont="1" applyFill="1"/>
    <xf numFmtId="0" fontId="19" fillId="0" borderId="0" xfId="0" applyFont="1"/>
    <xf numFmtId="0" fontId="20" fillId="0" borderId="0" xfId="0" applyFont="1"/>
    <xf numFmtId="0" fontId="20" fillId="16" borderId="0" xfId="0" applyFont="1" applyFill="1"/>
    <xf numFmtId="0" fontId="5" fillId="17" borderId="0" xfId="0" applyFont="1" applyFill="1"/>
    <xf numFmtId="0" fontId="21" fillId="4" borderId="0" xfId="0" applyFont="1" applyFill="1"/>
    <xf numFmtId="0" fontId="0" fillId="4" borderId="0" xfId="0" applyFill="1"/>
    <xf numFmtId="0" fontId="0" fillId="18" borderId="0" xfId="0" applyFill="1"/>
    <xf numFmtId="9" fontId="0" fillId="0" borderId="0" xfId="0" applyNumberFormat="1"/>
    <xf numFmtId="165" fontId="0" fillId="0" borderId="0" xfId="0" applyNumberFormat="1"/>
    <xf numFmtId="0" fontId="23" fillId="0" borderId="0" xfId="0" applyFont="1"/>
    <xf numFmtId="165" fontId="23" fillId="0" borderId="0" xfId="0" applyNumberFormat="1" applyFont="1"/>
    <xf numFmtId="165" fontId="0" fillId="4" borderId="0" xfId="0" applyNumberFormat="1" applyFill="1"/>
    <xf numFmtId="0" fontId="22" fillId="20" borderId="0" xfId="0" applyFont="1" applyFill="1"/>
    <xf numFmtId="9" fontId="22" fillId="20" borderId="0" xfId="0" applyNumberFormat="1" applyFont="1" applyFill="1"/>
    <xf numFmtId="0" fontId="23" fillId="4" borderId="0" xfId="0" applyFont="1" applyFill="1"/>
    <xf numFmtId="165" fontId="23" fillId="4" borderId="0" xfId="0" applyNumberFormat="1" applyFont="1" applyFill="1"/>
    <xf numFmtId="0" fontId="22" fillId="0" borderId="0" xfId="0" applyFont="1"/>
    <xf numFmtId="0" fontId="22" fillId="19" borderId="0" xfId="0" applyFont="1" applyFill="1"/>
    <xf numFmtId="9" fontId="22" fillId="19" borderId="0" xfId="0" applyNumberFormat="1" applyFont="1" applyFill="1"/>
    <xf numFmtId="167" fontId="0" fillId="4" borderId="0" xfId="0" applyNumberFormat="1" applyFill="1"/>
    <xf numFmtId="0" fontId="24" fillId="0" borderId="0" xfId="0" applyFont="1"/>
    <xf numFmtId="167" fontId="22" fillId="21" borderId="0" xfId="0" applyNumberFormat="1" applyFont="1" applyFill="1"/>
    <xf numFmtId="0" fontId="25" fillId="0" borderId="0" xfId="0" applyFont="1"/>
    <xf numFmtId="167" fontId="25" fillId="4" borderId="0" xfId="0" applyNumberFormat="1" applyFont="1" applyFill="1"/>
    <xf numFmtId="0" fontId="26" fillId="0" borderId="0" xfId="0" applyFont="1"/>
    <xf numFmtId="167" fontId="27" fillId="4" borderId="0" xfId="0" applyNumberFormat="1" applyFont="1" applyFill="1"/>
    <xf numFmtId="0" fontId="0" fillId="0" borderId="0" xfId="0" applyAlignment="1">
      <alignment horizontal="center"/>
    </xf>
    <xf numFmtId="0" fontId="24" fillId="5" borderId="0" xfId="0" applyFont="1" applyFill="1"/>
    <xf numFmtId="0" fontId="23" fillId="5" borderId="0" xfId="0" applyFont="1" applyFill="1"/>
    <xf numFmtId="9" fontId="23" fillId="4" borderId="0" xfId="0" applyNumberFormat="1" applyFont="1" applyFill="1"/>
    <xf numFmtId="9" fontId="23" fillId="0" borderId="0" xfId="0" applyNumberFormat="1" applyFont="1"/>
    <xf numFmtId="9" fontId="0" fillId="4" borderId="0" xfId="0" applyNumberFormat="1" applyFill="1"/>
    <xf numFmtId="0" fontId="22" fillId="4" borderId="0" xfId="0" applyFont="1" applyFill="1"/>
    <xf numFmtId="166" fontId="22" fillId="4" borderId="0" xfId="1" applyNumberFormat="1" applyFont="1" applyFill="1"/>
    <xf numFmtId="0" fontId="22" fillId="4" borderId="0" xfId="0" applyFont="1" applyFill="1" applyAlignment="1">
      <alignment horizontal="right"/>
    </xf>
    <xf numFmtId="3" fontId="0" fillId="0" borderId="0" xfId="0" applyNumberFormat="1"/>
    <xf numFmtId="3" fontId="0" fillId="5" borderId="0" xfId="0" applyNumberFormat="1" applyFill="1"/>
    <xf numFmtId="166" fontId="1" fillId="4" borderId="0" xfId="1" applyNumberFormat="1" applyFont="1" applyFill="1"/>
    <xf numFmtId="0" fontId="22" fillId="0" borderId="0" xfId="0" applyFont="1" applyAlignment="1">
      <alignment horizontal="right"/>
    </xf>
    <xf numFmtId="166" fontId="22" fillId="0" borderId="0" xfId="1" applyNumberFormat="1" applyFont="1" applyFill="1"/>
    <xf numFmtId="166" fontId="1" fillId="0" borderId="0" xfId="1" applyNumberFormat="1" applyFont="1" applyFill="1"/>
    <xf numFmtId="9" fontId="22" fillId="20" borderId="6" xfId="0" applyNumberFormat="1" applyFont="1" applyFill="1" applyBorder="1"/>
    <xf numFmtId="9" fontId="0" fillId="0" borderId="7" xfId="0" applyNumberFormat="1" applyBorder="1"/>
    <xf numFmtId="9" fontId="0" fillId="4" borderId="7" xfId="0" applyNumberFormat="1" applyFill="1" applyBorder="1"/>
    <xf numFmtId="9" fontId="23" fillId="0" borderId="7" xfId="0" applyNumberFormat="1" applyFont="1" applyBorder="1"/>
    <xf numFmtId="9" fontId="0" fillId="0" borderId="8" xfId="0" applyNumberFormat="1" applyBorder="1"/>
    <xf numFmtId="9" fontId="0" fillId="4" borderId="8" xfId="0" applyNumberFormat="1" applyFill="1" applyBorder="1"/>
    <xf numFmtId="9" fontId="22" fillId="19" borderId="6" xfId="0" applyNumberFormat="1" applyFont="1" applyFill="1" applyBorder="1"/>
    <xf numFmtId="9" fontId="23" fillId="4" borderId="7" xfId="0" applyNumberFormat="1" applyFont="1" applyFill="1" applyBorder="1"/>
    <xf numFmtId="165" fontId="0" fillId="0" borderId="7" xfId="0" applyNumberFormat="1" applyBorder="1"/>
    <xf numFmtId="165" fontId="23" fillId="0" borderId="7" xfId="0" applyNumberFormat="1" applyFont="1" applyBorder="1"/>
    <xf numFmtId="165" fontId="0" fillId="4" borderId="7" xfId="0" applyNumberFormat="1" applyFill="1" applyBorder="1"/>
    <xf numFmtId="165" fontId="0" fillId="4" borderId="8" xfId="0" applyNumberFormat="1" applyFill="1" applyBorder="1"/>
    <xf numFmtId="165" fontId="23" fillId="4" borderId="7" xfId="0" applyNumberFormat="1" applyFont="1" applyFill="1" applyBorder="1"/>
    <xf numFmtId="38" fontId="0" fillId="0" borderId="0" xfId="0" applyNumberFormat="1"/>
    <xf numFmtId="38" fontId="0" fillId="4" borderId="0" xfId="0" applyNumberFormat="1" applyFill="1"/>
    <xf numFmtId="38" fontId="0" fillId="18" borderId="0" xfId="0" applyNumberFormat="1" applyFill="1"/>
    <xf numFmtId="0" fontId="22" fillId="22" borderId="9" xfId="0" applyFont="1" applyFill="1" applyBorder="1" applyAlignment="1">
      <alignment horizontal="center"/>
    </xf>
    <xf numFmtId="0" fontId="28" fillId="6" borderId="0" xfId="0" applyFont="1" applyFill="1" applyAlignment="1">
      <alignment horizontal="left" vertical="top"/>
    </xf>
    <xf numFmtId="0" fontId="28" fillId="9" borderId="0" xfId="0" applyFont="1" applyFill="1" applyAlignment="1">
      <alignment horizontal="left" vertical="top"/>
    </xf>
    <xf numFmtId="164" fontId="28" fillId="9" borderId="0" xfId="0" applyNumberFormat="1" applyFont="1" applyFill="1" applyAlignment="1">
      <alignment horizontal="left" vertical="top"/>
    </xf>
    <xf numFmtId="0" fontId="29" fillId="0" borderId="0" xfId="0" applyFont="1" applyAlignment="1">
      <alignment horizontal="left" vertical="top"/>
    </xf>
    <xf numFmtId="164" fontId="30" fillId="9" borderId="0" xfId="0" applyNumberFormat="1" applyFont="1" applyFill="1" applyAlignment="1">
      <alignment horizontal="left" vertical="top"/>
    </xf>
    <xf numFmtId="0" fontId="30" fillId="9" borderId="0" xfId="0" applyFont="1" applyFill="1" applyAlignment="1">
      <alignment horizontal="left" vertical="top"/>
    </xf>
    <xf numFmtId="0" fontId="31" fillId="13" borderId="0" xfId="0" applyFont="1" applyFill="1" applyAlignment="1">
      <alignment horizontal="left" vertical="top"/>
    </xf>
    <xf numFmtId="0" fontId="29" fillId="10" borderId="0" xfId="0" applyFont="1" applyFill="1" applyAlignment="1" applyProtection="1">
      <alignment horizontal="left" vertical="top"/>
      <protection locked="0"/>
    </xf>
    <xf numFmtId="0" fontId="29" fillId="8" borderId="0" xfId="0" applyFont="1" applyFill="1" applyAlignment="1" applyProtection="1">
      <alignment horizontal="left" vertical="top"/>
      <protection locked="0"/>
    </xf>
    <xf numFmtId="164" fontId="29" fillId="8" borderId="0" xfId="0" applyNumberFormat="1" applyFont="1" applyFill="1" applyAlignment="1" applyProtection="1">
      <alignment horizontal="left" vertical="top"/>
      <protection locked="0"/>
    </xf>
    <xf numFmtId="39" fontId="29" fillId="8" borderId="0" xfId="0" applyNumberFormat="1" applyFont="1" applyFill="1" applyAlignment="1" applyProtection="1">
      <alignment vertical="top"/>
      <protection locked="0"/>
    </xf>
    <xf numFmtId="39" fontId="29" fillId="4" borderId="0" xfId="1" applyNumberFormat="1" applyFont="1" applyFill="1" applyAlignment="1">
      <alignment vertical="top"/>
    </xf>
    <xf numFmtId="39" fontId="32" fillId="7" borderId="0" xfId="0" applyNumberFormat="1" applyFont="1" applyFill="1" applyAlignment="1">
      <alignment vertical="top"/>
    </xf>
    <xf numFmtId="39" fontId="30" fillId="11" borderId="0" xfId="1" applyNumberFormat="1" applyFont="1" applyFill="1" applyAlignment="1" applyProtection="1">
      <alignment vertical="top"/>
    </xf>
    <xf numFmtId="0" fontId="29" fillId="0" borderId="0" xfId="0" applyFont="1" applyAlignment="1" applyProtection="1">
      <alignment horizontal="left" vertical="top"/>
      <protection locked="0"/>
    </xf>
    <xf numFmtId="39" fontId="29" fillId="5" borderId="0" xfId="0" applyNumberFormat="1" applyFont="1" applyFill="1" applyAlignment="1" applyProtection="1">
      <alignment vertical="top"/>
      <protection locked="0"/>
    </xf>
    <xf numFmtId="168" fontId="0" fillId="0" borderId="0" xfId="0" applyNumberFormat="1"/>
    <xf numFmtId="0" fontId="0" fillId="4" borderId="10" xfId="0" applyFill="1" applyBorder="1"/>
    <xf numFmtId="168" fontId="0" fillId="4" borderId="10" xfId="0" applyNumberFormat="1" applyFill="1" applyBorder="1"/>
    <xf numFmtId="0" fontId="0" fillId="20" borderId="11" xfId="0" applyFill="1" applyBorder="1"/>
    <xf numFmtId="168" fontId="0" fillId="20" borderId="11" xfId="0" applyNumberFormat="1" applyFill="1" applyBorder="1"/>
    <xf numFmtId="4" fontId="0" fillId="0" borderId="0" xfId="0" applyNumberFormat="1"/>
    <xf numFmtId="169" fontId="0" fillId="0" borderId="12" xfId="1" applyNumberFormat="1" applyFont="1" applyBorder="1"/>
    <xf numFmtId="43" fontId="0" fillId="0" borderId="12" xfId="1" applyFont="1" applyBorder="1"/>
    <xf numFmtId="43" fontId="0" fillId="0" borderId="13" xfId="1" applyFont="1" applyBorder="1"/>
    <xf numFmtId="43" fontId="0" fillId="23" borderId="12" xfId="1" applyFont="1" applyFill="1" applyBorder="1"/>
    <xf numFmtId="43" fontId="0" fillId="0" borderId="14" xfId="1" applyFont="1" applyBorder="1"/>
    <xf numFmtId="1" fontId="0" fillId="0" borderId="13" xfId="0" applyNumberFormat="1" applyBorder="1"/>
    <xf numFmtId="170" fontId="0" fillId="0" borderId="13" xfId="1" applyNumberFormat="1" applyFont="1" applyBorder="1"/>
    <xf numFmtId="43" fontId="0" fillId="0" borderId="15" xfId="1" applyFont="1" applyBorder="1"/>
    <xf numFmtId="43" fontId="0" fillId="0" borderId="0" xfId="1" applyFont="1"/>
    <xf numFmtId="39" fontId="3" fillId="0" borderId="0" xfId="0" applyNumberFormat="1" applyFont="1" applyAlignment="1">
      <alignment horizontal="left" vertical="top"/>
    </xf>
  </cellXfs>
  <cellStyles count="4">
    <cellStyle name="Normal" xfId="0" builtinId="0"/>
    <cellStyle name="Normal 2" xfId="2" xr:uid="{9F3563BC-6DB2-4A4B-AD15-E8EB51F2BFD0}"/>
    <cellStyle name="Porcentagem" xfId="3" builtinId="5"/>
    <cellStyle name="Vírgula" xfId="1" builtinId="3"/>
  </cellStyles>
  <dxfs count="49">
    <dxf>
      <fill>
        <patternFill>
          <bgColor rgb="FFFFFFCC"/>
        </patternFill>
      </fill>
    </dxf>
    <dxf>
      <fill>
        <patternFill>
          <bgColor rgb="FFFFFFCC"/>
        </patternFill>
      </fill>
    </dxf>
    <dxf>
      <font>
        <color rgb="FF92223E"/>
      </font>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numFmt numFmtId="168" formatCode="#,##0;[Red]\-#,##0"/>
    </dxf>
    <dxf>
      <fill>
        <patternFill patternType="solid">
          <bgColor theme="2" tint="-9.9978637043366805E-2"/>
        </patternFill>
      </fill>
    </dxf>
    <dxf>
      <fill>
        <patternFill patternType="solid">
          <bgColor theme="2" tint="-9.9978637043366805E-2"/>
        </patternFill>
      </fill>
    </dxf>
    <dxf>
      <fill>
        <patternFill>
          <bgColor theme="1" tint="0.749992370372631"/>
        </patternFill>
      </fill>
    </dxf>
    <dxf>
      <fill>
        <patternFill patternType="solid">
          <bgColor theme="3" tint="0.79998168889431442"/>
        </patternFill>
      </fill>
    </dxf>
    <dxf>
      <fill>
        <patternFill patternType="solid">
          <bgColor theme="2" tint="-9.9978637043366805E-2"/>
        </patternFill>
      </fill>
    </dxf>
    <dxf>
      <border>
        <top style="thin">
          <color theme="2" tint="-0.499984740745262"/>
        </top>
        <bottom style="thin">
          <color theme="2" tint="-0.499984740745262"/>
        </bottom>
      </border>
    </dxf>
    <dxf>
      <border>
        <top style="thin">
          <color theme="3"/>
        </top>
        <bottom style="thin">
          <color theme="3"/>
        </bottom>
      </border>
    </dxf>
    <dxf>
      <fill>
        <patternFill patternType="solid">
          <bgColor rgb="FFDADADE"/>
        </patternFill>
      </fill>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numFmt numFmtId="6" formatCode="#,##0_);[Red]\(#,##0\)"/>
    </dxf>
    <dxf>
      <fill>
        <patternFill patternType="solid">
          <bgColor theme="1" tint="0.89999084444715716"/>
        </patternFill>
      </fill>
    </dxf>
    <dxf>
      <fill>
        <patternFill patternType="solid">
          <bgColor theme="2" tint="-9.9978637043366805E-2"/>
        </patternFill>
      </fill>
    </dxf>
    <dxf>
      <fill>
        <patternFill patternType="solid">
          <bgColor theme="2" tint="-9.9978637043366805E-2"/>
        </patternFill>
      </fill>
    </dxf>
    <dxf>
      <fill>
        <patternFill>
          <bgColor theme="1" tint="0.749992370372631"/>
        </patternFill>
      </fill>
    </dxf>
  </dxfs>
  <tableStyles count="0" defaultTableStyle="TableStyleMedium2" defaultPivotStyle="PivotStyleLight16"/>
  <colors>
    <mruColors>
      <color rgb="FFFFFF99"/>
      <color rgb="FFFFFFCC"/>
      <color rgb="FFDDEBF7"/>
      <color rgb="FF3A4D8B"/>
      <color rgb="FF747481"/>
      <color rgb="FFC7D0EB"/>
      <color rgb="FFDADADE"/>
      <color rgb="FF3A9335"/>
      <color rgb="FF6C80C1"/>
      <color rgb="FFD1EE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758826</xdr:colOff>
      <xdr:row>3</xdr:row>
      <xdr:rowOff>74295</xdr:rowOff>
    </xdr:to>
    <mc:AlternateContent xmlns:mc="http://schemas.openxmlformats.org/markup-compatibility/2006" xmlns:a14="http://schemas.microsoft.com/office/drawing/2010/main">
      <mc:Choice Requires="a14">
        <xdr:graphicFrame macro="">
          <xdr:nvGraphicFramePr>
            <xdr:cNvPr id="6" name="Empresa">
              <a:extLst>
                <a:ext uri="{FF2B5EF4-FFF2-40B4-BE49-F238E27FC236}">
                  <a16:creationId xmlns:a16="http://schemas.microsoft.com/office/drawing/2014/main" id="{5CCE3EF3-2DF0-4D66-823C-24FE5D3011F2}"/>
                </a:ext>
              </a:extLst>
            </xdr:cNvPr>
            <xdr:cNvGraphicFramePr/>
          </xdr:nvGraphicFramePr>
          <xdr:xfrm>
            <a:off x="0" y="0"/>
            <a:ext cx="0" cy="0"/>
          </xdr:xfrm>
          <a:graphic>
            <a:graphicData uri="http://schemas.microsoft.com/office/drawing/2010/slicer">
              <sle:slicer xmlns:sle="http://schemas.microsoft.com/office/drawing/2010/slicer" name="Empresa"/>
            </a:graphicData>
          </a:graphic>
        </xdr:graphicFrame>
      </mc:Choice>
      <mc:Fallback xmlns="">
        <xdr:sp macro="" textlink="">
          <xdr:nvSpPr>
            <xdr:cNvPr id="0" name=""/>
            <xdr:cNvSpPr>
              <a:spLocks noTextEdit="1"/>
            </xdr:cNvSpPr>
          </xdr:nvSpPr>
          <xdr:spPr>
            <a:xfrm>
              <a:off x="0" y="0"/>
              <a:ext cx="1097280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123825</xdr:rowOff>
    </xdr:from>
    <xdr:to>
      <xdr:col>3</xdr:col>
      <xdr:colOff>609600</xdr:colOff>
      <xdr:row>9</xdr:row>
      <xdr:rowOff>180975</xdr:rowOff>
    </xdr:to>
    <mc:AlternateContent xmlns:mc="http://schemas.openxmlformats.org/markup-compatibility/2006" xmlns:a14="http://schemas.microsoft.com/office/drawing/2010/main">
      <mc:Choice Requires="a14">
        <xdr:graphicFrame macro="">
          <xdr:nvGraphicFramePr>
            <xdr:cNvPr id="10" name="Unidade">
              <a:extLst>
                <a:ext uri="{FF2B5EF4-FFF2-40B4-BE49-F238E27FC236}">
                  <a16:creationId xmlns:a16="http://schemas.microsoft.com/office/drawing/2014/main" id="{B7F659DD-F15E-4EB8-BF80-C775A34F2DF4}"/>
                </a:ext>
              </a:extLst>
            </xdr:cNvPr>
            <xdr:cNvGraphicFramePr/>
          </xdr:nvGraphicFramePr>
          <xdr:xfrm>
            <a:off x="0" y="0"/>
            <a:ext cx="0" cy="0"/>
          </xdr:xfrm>
          <a:graphic>
            <a:graphicData uri="http://schemas.microsoft.com/office/drawing/2010/slicer">
              <sle:slicer xmlns:sle="http://schemas.microsoft.com/office/drawing/2010/slicer" name="Unidade"/>
            </a:graphicData>
          </a:graphic>
        </xdr:graphicFrame>
      </mc:Choice>
      <mc:Fallback xmlns="">
        <xdr:sp macro="" textlink="">
          <xdr:nvSpPr>
            <xdr:cNvPr id="0" name=""/>
            <xdr:cNvSpPr>
              <a:spLocks noTextEdit="1"/>
            </xdr:cNvSpPr>
          </xdr:nvSpPr>
          <xdr:spPr>
            <a:xfrm>
              <a:off x="0" y="781050"/>
              <a:ext cx="5029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695321</xdr:colOff>
      <xdr:row>3</xdr:row>
      <xdr:rowOff>123825</xdr:rowOff>
    </xdr:from>
    <xdr:to>
      <xdr:col>8</xdr:col>
      <xdr:colOff>759457</xdr:colOff>
      <xdr:row>9</xdr:row>
      <xdr:rowOff>180975</xdr:rowOff>
    </xdr:to>
    <mc:AlternateContent xmlns:mc="http://schemas.openxmlformats.org/markup-compatibility/2006" xmlns:a14="http://schemas.microsoft.com/office/drawing/2010/main">
      <mc:Choice Requires="a14">
        <xdr:graphicFrame macro="">
          <xdr:nvGraphicFramePr>
            <xdr:cNvPr id="12" name="Tipo">
              <a:extLst>
                <a:ext uri="{FF2B5EF4-FFF2-40B4-BE49-F238E27FC236}">
                  <a16:creationId xmlns:a16="http://schemas.microsoft.com/office/drawing/2014/main" id="{7176A879-28F1-C730-71CE-26B614D8094D}"/>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5114921" y="781050"/>
              <a:ext cx="585216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2657474</xdr:colOff>
      <xdr:row>0</xdr:row>
      <xdr:rowOff>0</xdr:rowOff>
    </xdr:from>
    <xdr:to>
      <xdr:col>9</xdr:col>
      <xdr:colOff>311150</xdr:colOff>
      <xdr:row>10</xdr:row>
      <xdr:rowOff>10160</xdr:rowOff>
    </xdr:to>
    <mc:AlternateContent xmlns:mc="http://schemas.openxmlformats.org/markup-compatibility/2006" xmlns:a14="http://schemas.microsoft.com/office/drawing/2010/main">
      <mc:Choice Requires="a14">
        <xdr:graphicFrame macro="">
          <xdr:nvGraphicFramePr>
            <xdr:cNvPr id="14" name="Responsável">
              <a:extLst>
                <a:ext uri="{FF2B5EF4-FFF2-40B4-BE49-F238E27FC236}">
                  <a16:creationId xmlns:a16="http://schemas.microsoft.com/office/drawing/2014/main" id="{7015E7FB-E847-4E41-9948-AAD6FFA30972}"/>
                </a:ext>
              </a:extLst>
            </xdr:cNvPr>
            <xdr:cNvGraphicFramePr/>
          </xdr:nvGraphicFramePr>
          <xdr:xfrm>
            <a:off x="0" y="0"/>
            <a:ext cx="0" cy="0"/>
          </xdr:xfrm>
          <a:graphic>
            <a:graphicData uri="http://schemas.microsoft.com/office/drawing/2010/slicer">
              <sle:slicer xmlns:sle="http://schemas.microsoft.com/office/drawing/2010/slicer" name="Responsável"/>
            </a:graphicData>
          </a:graphic>
        </xdr:graphicFrame>
      </mc:Choice>
      <mc:Fallback xmlns="">
        <xdr:sp macro="" textlink="">
          <xdr:nvSpPr>
            <xdr:cNvPr id="0" name=""/>
            <xdr:cNvSpPr>
              <a:spLocks noTextEdit="1"/>
            </xdr:cNvSpPr>
          </xdr:nvSpPr>
          <xdr:spPr>
            <a:xfrm>
              <a:off x="11239499" y="0"/>
              <a:ext cx="1828801"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409575</xdr:colOff>
      <xdr:row>0</xdr:row>
      <xdr:rowOff>0</xdr:rowOff>
    </xdr:from>
    <xdr:to>
      <xdr:col>11</xdr:col>
      <xdr:colOff>714375</xdr:colOff>
      <xdr:row>10</xdr:row>
      <xdr:rowOff>10160</xdr:rowOff>
    </xdr:to>
    <mc:AlternateContent xmlns:mc="http://schemas.openxmlformats.org/markup-compatibility/2006" xmlns:a14="http://schemas.microsoft.com/office/drawing/2010/main">
      <mc:Choice Requires="a14">
        <xdr:graphicFrame macro="">
          <xdr:nvGraphicFramePr>
            <xdr:cNvPr id="16" name="Departamento">
              <a:extLst>
                <a:ext uri="{FF2B5EF4-FFF2-40B4-BE49-F238E27FC236}">
                  <a16:creationId xmlns:a16="http://schemas.microsoft.com/office/drawing/2014/main" id="{854A2596-AD54-47B9-9228-992EAC0D3591}"/>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13173075" y="0"/>
              <a:ext cx="182880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419100</xdr:colOff>
      <xdr:row>0</xdr:row>
      <xdr:rowOff>28575</xdr:rowOff>
    </xdr:from>
    <xdr:to>
      <xdr:col>9</xdr:col>
      <xdr:colOff>358140</xdr:colOff>
      <xdr:row>2</xdr:row>
      <xdr:rowOff>150495</xdr:rowOff>
    </xdr:to>
    <xdr:sp macro="" textlink="">
      <xdr:nvSpPr>
        <xdr:cNvPr id="7" name="TextBox 6">
          <a:extLst>
            <a:ext uri="{FF2B5EF4-FFF2-40B4-BE49-F238E27FC236}">
              <a16:creationId xmlns:a16="http://schemas.microsoft.com/office/drawing/2014/main" id="{742B8AF2-8394-45CC-A0F8-50F8124113EA}"/>
            </a:ext>
          </a:extLst>
        </xdr:cNvPr>
        <xdr:cNvSpPr txBox="1"/>
      </xdr:nvSpPr>
      <xdr:spPr>
        <a:xfrm>
          <a:off x="6238875" y="28575"/>
          <a:ext cx="1005840" cy="502920"/>
        </a:xfrm>
        <a:prstGeom prst="rect">
          <a:avLst/>
        </a:prstGeom>
        <a:solidFill>
          <a:schemeClr val="bg2">
            <a:lumMod val="90000"/>
          </a:schemeClr>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pPr marL="0" indent="0"/>
          <a:r>
            <a:rPr lang="en-US" sz="800">
              <a:solidFill>
                <a:schemeClr val="tx2"/>
              </a:solidFill>
              <a:latin typeface="+mn-lt"/>
              <a:ea typeface="+mn-ea"/>
              <a:cs typeface="+mn-cs"/>
            </a:rPr>
            <a:t>PNG = Paranaguá</a:t>
          </a:r>
        </a:p>
        <a:p>
          <a:pPr marL="0" indent="0"/>
          <a:r>
            <a:rPr lang="en-US" sz="800">
              <a:solidFill>
                <a:schemeClr val="tx2"/>
              </a:solidFill>
              <a:latin typeface="+mn-lt"/>
              <a:ea typeface="+mn-ea"/>
              <a:cs typeface="+mn-cs"/>
            </a:rPr>
            <a:t>ITJ = Itajaí</a:t>
          </a:r>
        </a:p>
        <a:p>
          <a:pPr marL="0" indent="0"/>
          <a:r>
            <a:rPr lang="en-US" sz="800">
              <a:solidFill>
                <a:schemeClr val="tx2"/>
              </a:solidFill>
              <a:latin typeface="+mn-lt"/>
              <a:ea typeface="+mn-ea"/>
              <a:cs typeface="+mn-cs"/>
            </a:rPr>
            <a:t>RGD = Rio Grande</a:t>
          </a:r>
        </a:p>
        <a:p>
          <a:pPr marL="0" indent="0"/>
          <a:r>
            <a:rPr lang="en-US" sz="800">
              <a:solidFill>
                <a:schemeClr val="tx2"/>
              </a:solidFill>
              <a:latin typeface="+mn-lt"/>
              <a:ea typeface="+mn-ea"/>
              <a:cs typeface="+mn-cs"/>
            </a:rPr>
            <a:t>PTG = Ponta Grossa</a:t>
          </a:r>
        </a:p>
      </xdr:txBody>
    </xdr:sp>
    <xdr:clientData/>
  </xdr:twoCellAnchor>
  <xdr:twoCellAnchor>
    <xdr:from>
      <xdr:col>9</xdr:col>
      <xdr:colOff>409574</xdr:colOff>
      <xdr:row>0</xdr:row>
      <xdr:rowOff>28575</xdr:rowOff>
    </xdr:from>
    <xdr:to>
      <xdr:col>10</xdr:col>
      <xdr:colOff>348614</xdr:colOff>
      <xdr:row>2</xdr:row>
      <xdr:rowOff>150495</xdr:rowOff>
    </xdr:to>
    <xdr:sp macro="" textlink="">
      <xdr:nvSpPr>
        <xdr:cNvPr id="8" name="TextBox 7">
          <a:extLst>
            <a:ext uri="{FF2B5EF4-FFF2-40B4-BE49-F238E27FC236}">
              <a16:creationId xmlns:a16="http://schemas.microsoft.com/office/drawing/2014/main" id="{FD396353-FE0C-4B87-A260-A2B8053CD0BC}"/>
            </a:ext>
          </a:extLst>
        </xdr:cNvPr>
        <xdr:cNvSpPr txBox="1"/>
      </xdr:nvSpPr>
      <xdr:spPr>
        <a:xfrm>
          <a:off x="7296149" y="28575"/>
          <a:ext cx="1005840" cy="502920"/>
        </a:xfrm>
        <a:prstGeom prst="rect">
          <a:avLst/>
        </a:prstGeom>
        <a:solidFill>
          <a:schemeClr val="bg2">
            <a:lumMod val="90000"/>
          </a:schemeClr>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pPr marL="0" indent="0"/>
          <a:r>
            <a:rPr lang="en-US" sz="800">
              <a:solidFill>
                <a:schemeClr val="tx2"/>
              </a:solidFill>
              <a:latin typeface="+mn-lt"/>
              <a:ea typeface="+mn-ea"/>
              <a:cs typeface="+mn-cs"/>
            </a:rPr>
            <a:t>VLP = Velopark</a:t>
          </a:r>
        </a:p>
        <a:p>
          <a:pPr marL="0" indent="0"/>
          <a:r>
            <a:rPr lang="en-US" sz="800">
              <a:solidFill>
                <a:schemeClr val="tx2"/>
              </a:solidFill>
              <a:latin typeface="+mn-lt"/>
              <a:ea typeface="+mn-ea"/>
              <a:cs typeface="+mn-cs"/>
            </a:rPr>
            <a:t>PSF = Passo Fundo</a:t>
          </a:r>
        </a:p>
        <a:p>
          <a:pPr marL="0" indent="0"/>
          <a:r>
            <a:rPr lang="en-US" sz="800">
              <a:solidFill>
                <a:schemeClr val="tx2"/>
              </a:solidFill>
              <a:latin typeface="+mn-lt"/>
              <a:ea typeface="+mn-ea"/>
              <a:cs typeface="+mn-cs"/>
            </a:rPr>
            <a:t>GRUA = MB</a:t>
          </a:r>
        </a:p>
        <a:p>
          <a:pPr marL="0" indent="0"/>
          <a:r>
            <a:rPr lang="en-US" sz="800">
              <a:solidFill>
                <a:schemeClr val="tx2"/>
              </a:solidFill>
              <a:latin typeface="+mn-lt"/>
              <a:ea typeface="+mn-ea"/>
              <a:cs typeface="+mn-cs"/>
            </a:rPr>
            <a:t>GRUB = G100</a:t>
          </a:r>
        </a:p>
      </xdr:txBody>
    </xdr:sp>
    <xdr:clientData/>
  </xdr:twoCellAnchor>
  <xdr:twoCellAnchor>
    <xdr:from>
      <xdr:col>10</xdr:col>
      <xdr:colOff>409575</xdr:colOff>
      <xdr:row>0</xdr:row>
      <xdr:rowOff>28575</xdr:rowOff>
    </xdr:from>
    <xdr:to>
      <xdr:col>11</xdr:col>
      <xdr:colOff>57150</xdr:colOff>
      <xdr:row>2</xdr:row>
      <xdr:rowOff>150495</xdr:rowOff>
    </xdr:to>
    <xdr:sp macro="" textlink="">
      <xdr:nvSpPr>
        <xdr:cNvPr id="10" name="TextBox 9">
          <a:extLst>
            <a:ext uri="{FF2B5EF4-FFF2-40B4-BE49-F238E27FC236}">
              <a16:creationId xmlns:a16="http://schemas.microsoft.com/office/drawing/2014/main" id="{4C63CC0A-6BBA-49CB-8B29-5C62B0EDE166}"/>
            </a:ext>
          </a:extLst>
        </xdr:cNvPr>
        <xdr:cNvSpPr txBox="1"/>
      </xdr:nvSpPr>
      <xdr:spPr>
        <a:xfrm>
          <a:off x="8362950" y="28575"/>
          <a:ext cx="1000125" cy="502920"/>
        </a:xfrm>
        <a:prstGeom prst="rect">
          <a:avLst/>
        </a:prstGeom>
        <a:solidFill>
          <a:schemeClr val="bg2">
            <a:lumMod val="90000"/>
          </a:schemeClr>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pPr marL="0" indent="0"/>
          <a:r>
            <a:rPr lang="en-US" sz="800">
              <a:solidFill>
                <a:schemeClr val="tx2"/>
              </a:solidFill>
              <a:latin typeface="+mn-lt"/>
              <a:ea typeface="+mn-ea"/>
              <a:cs typeface="+mn-cs"/>
            </a:rPr>
            <a:t>PE1 = Recife 1 (XP)</a:t>
          </a:r>
        </a:p>
        <a:p>
          <a:pPr marL="0" indent="0"/>
          <a:r>
            <a:rPr lang="en-US" sz="800">
              <a:solidFill>
                <a:schemeClr val="tx2"/>
              </a:solidFill>
              <a:latin typeface="+mn-lt"/>
              <a:ea typeface="+mn-ea"/>
              <a:cs typeface="+mn-cs"/>
            </a:rPr>
            <a:t>PE2 = Recife 2 (CS)</a:t>
          </a:r>
        </a:p>
        <a:p>
          <a:pPr marL="0" indent="0"/>
          <a:r>
            <a:rPr lang="en-US" sz="800">
              <a:solidFill>
                <a:schemeClr val="tx2"/>
              </a:solidFill>
              <a:latin typeface="+mn-lt"/>
              <a:ea typeface="+mn-ea"/>
              <a:cs typeface="+mn-cs"/>
            </a:rPr>
            <a:t>RJ = Duque</a:t>
          </a:r>
        </a:p>
        <a:p>
          <a:pPr marL="0" indent="0"/>
          <a:r>
            <a:rPr lang="en-US" sz="800">
              <a:solidFill>
                <a:schemeClr val="tx2"/>
              </a:solidFill>
              <a:latin typeface="+mn-lt"/>
              <a:ea typeface="+mn-ea"/>
              <a:cs typeface="+mn-cs"/>
            </a:rPr>
            <a:t>TR = Transporte</a:t>
          </a:r>
        </a:p>
      </xdr:txBody>
    </xdr:sp>
    <xdr:clientData/>
  </xdr:twoCellAnchor>
  <xdr:twoCellAnchor>
    <xdr:from>
      <xdr:col>7</xdr:col>
      <xdr:colOff>1133475</xdr:colOff>
      <xdr:row>0</xdr:row>
      <xdr:rowOff>28575</xdr:rowOff>
    </xdr:from>
    <xdr:to>
      <xdr:col>8</xdr:col>
      <xdr:colOff>358140</xdr:colOff>
      <xdr:row>2</xdr:row>
      <xdr:rowOff>150495</xdr:rowOff>
    </xdr:to>
    <xdr:sp macro="" textlink="">
      <xdr:nvSpPr>
        <xdr:cNvPr id="12" name="TextBox 11">
          <a:extLst>
            <a:ext uri="{FF2B5EF4-FFF2-40B4-BE49-F238E27FC236}">
              <a16:creationId xmlns:a16="http://schemas.microsoft.com/office/drawing/2014/main" id="{BBDEBA5A-6335-4790-9A78-0C25DA4A8F4E}"/>
            </a:ext>
          </a:extLst>
        </xdr:cNvPr>
        <xdr:cNvSpPr txBox="1"/>
      </xdr:nvSpPr>
      <xdr:spPr>
        <a:xfrm>
          <a:off x="5172075" y="28575"/>
          <a:ext cx="1005840" cy="502920"/>
        </a:xfrm>
        <a:prstGeom prst="rect">
          <a:avLst/>
        </a:prstGeom>
        <a:solidFill>
          <a:schemeClr val="bg2">
            <a:lumMod val="90000"/>
          </a:schemeClr>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pPr marL="0" indent="0"/>
          <a:r>
            <a:rPr lang="en-US" sz="800">
              <a:solidFill>
                <a:schemeClr val="tx2"/>
              </a:solidFill>
              <a:latin typeface="+mn-lt"/>
              <a:ea typeface="+mn-ea"/>
              <a:cs typeface="+mn-cs"/>
            </a:rPr>
            <a:t>FG = Frigorífico</a:t>
          </a:r>
        </a:p>
        <a:p>
          <a:pPr marL="0" indent="0"/>
          <a:r>
            <a:rPr lang="en-US" sz="800">
              <a:solidFill>
                <a:schemeClr val="tx2"/>
              </a:solidFill>
              <a:latin typeface="+mn-lt"/>
              <a:ea typeface="+mn-ea"/>
              <a:cs typeface="+mn-cs"/>
            </a:rPr>
            <a:t>CG = Carga Geral</a:t>
          </a:r>
        </a:p>
        <a:p>
          <a:pPr marL="0" indent="0"/>
          <a:r>
            <a:rPr lang="en-US" sz="800">
              <a:solidFill>
                <a:schemeClr val="tx2"/>
              </a:solidFill>
              <a:latin typeface="+mn-lt"/>
              <a:ea typeface="+mn-ea"/>
              <a:cs typeface="+mn-cs"/>
            </a:rPr>
            <a:t>PT = Patio</a:t>
          </a:r>
        </a:p>
        <a:p>
          <a:pPr marL="0" indent="0"/>
          <a:r>
            <a:rPr lang="en-US" sz="800">
              <a:solidFill>
                <a:schemeClr val="tx2"/>
              </a:solidFill>
              <a:latin typeface="+mn-lt"/>
              <a:ea typeface="+mn-ea"/>
              <a:cs typeface="+mn-cs"/>
            </a:rPr>
            <a:t>LC = Locação</a:t>
          </a:r>
        </a:p>
      </xdr:txBody>
    </xdr:sp>
    <xdr:clientData/>
  </xdr:twoCellAnchor>
  <xdr:twoCellAnchor>
    <xdr:from>
      <xdr:col>7</xdr:col>
      <xdr:colOff>66675</xdr:colOff>
      <xdr:row>0</xdr:row>
      <xdr:rowOff>28575</xdr:rowOff>
    </xdr:from>
    <xdr:to>
      <xdr:col>7</xdr:col>
      <xdr:colOff>1072515</xdr:colOff>
      <xdr:row>2</xdr:row>
      <xdr:rowOff>150495</xdr:rowOff>
    </xdr:to>
    <xdr:sp macro="" textlink="">
      <xdr:nvSpPr>
        <xdr:cNvPr id="13" name="TextBox 12">
          <a:extLst>
            <a:ext uri="{FF2B5EF4-FFF2-40B4-BE49-F238E27FC236}">
              <a16:creationId xmlns:a16="http://schemas.microsoft.com/office/drawing/2014/main" id="{F0977A17-8160-4E49-AC94-E9DC0B7CEC19}"/>
            </a:ext>
          </a:extLst>
        </xdr:cNvPr>
        <xdr:cNvSpPr txBox="1"/>
      </xdr:nvSpPr>
      <xdr:spPr>
        <a:xfrm>
          <a:off x="4105275" y="28575"/>
          <a:ext cx="1005840" cy="502920"/>
        </a:xfrm>
        <a:prstGeom prst="rect">
          <a:avLst/>
        </a:prstGeom>
        <a:solidFill>
          <a:schemeClr val="bg2">
            <a:lumMod val="90000"/>
          </a:schemeClr>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r>
            <a:rPr lang="en-US" sz="800">
              <a:solidFill>
                <a:schemeClr val="tx2"/>
              </a:solidFill>
            </a:rPr>
            <a:t>PL</a:t>
          </a:r>
          <a:r>
            <a:rPr lang="en-US" sz="800" baseline="0">
              <a:solidFill>
                <a:schemeClr val="tx2"/>
              </a:solidFill>
            </a:rPr>
            <a:t> = Plataforma</a:t>
          </a:r>
        </a:p>
        <a:p>
          <a:r>
            <a:rPr lang="en-US" sz="800" baseline="0">
              <a:solidFill>
                <a:schemeClr val="tx2"/>
              </a:solidFill>
            </a:rPr>
            <a:t>BU = Business</a:t>
          </a:r>
        </a:p>
        <a:p>
          <a:r>
            <a:rPr lang="en-US" sz="800" baseline="0">
              <a:solidFill>
                <a:schemeClr val="tx2"/>
              </a:solidFill>
            </a:rPr>
            <a:t>CP = Corporativo</a:t>
          </a:r>
        </a:p>
        <a:p>
          <a:r>
            <a:rPr lang="en-US" sz="800" baseline="0">
              <a:solidFill>
                <a:schemeClr val="tx2"/>
              </a:solidFill>
            </a:rPr>
            <a:t>IN = Integração</a:t>
          </a:r>
          <a:endParaRPr lang="en-US" sz="800">
            <a:solidFill>
              <a:schemeClr val="tx2"/>
            </a:solidFill>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Inicio/brasil/Integrao/FP&amp;A%20-%20Cono%20Sur/2026/003.%20Budget/002%20.%20Budget%20Gross%20Revenue/Faturamento_por_Opera&#231;&#227;o%20-%20Em%20constru&#231;&#227;o_v08.xlsx" TargetMode="External"/><Relationship Id="rId2" Type="http://schemas.openxmlformats.org/officeDocument/2006/relationships/externalLinkPath" Target="https://emergentcoldlatam.sharepoint.com/sites/Inicio/brasil/Integrao/FP&amp;A%20-%20Cono%20Sur/2026/003.%20Budget/002%20.%20Budget%20Gross%20Revenue/Faturamento_por_Opera&#231;&#227;o%20-%20Em%20constru&#231;&#227;o_v08.xlsx" TargetMode="External"/><Relationship Id="rId1" Type="http://schemas.openxmlformats.org/officeDocument/2006/relationships/externalLinkPath" Target="/sites/Inicio/brasil/Integrao/FP&amp;A%20-%20Cono%20Sur/2026/003.%20Budget/002%20.%20Budget%20Gross%20Revenue/Faturamento_por_Opera&#231;&#227;o%20-%20Em%20constru&#231;&#227;o_v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o_2"/>
      <sheetName val="RESUMO"/>
      <sheetName val="Planilha1"/>
      <sheetName val="RESUMO_Final"/>
      <sheetName val="MOB Direta"/>
      <sheetName val="Planilha2"/>
      <sheetName val="Base"/>
      <sheetName val="Planilha5"/>
      <sheetName val="Planilha3"/>
      <sheetName val="To Dos"/>
      <sheetName val="Reajustes (%)"/>
      <sheetName val="Clientes com TOP"/>
      <sheetName val="Data_Base_Contratos"/>
      <sheetName val="Gráficos"/>
      <sheetName val="Impacto Gripe"/>
      <sheetName val="Resumo MOB "/>
      <sheetName val="Base MOB"/>
      <sheetName val="Planilha19"/>
      <sheetName val="Mão de Obra"/>
      <sheetName val="Check CC PLanta"/>
      <sheetName val="Planilha4"/>
      <sheetName val="Base (2)"/>
      <sheetName val="Base MOB Variável"/>
      <sheetName val="ApoioMOB Direta Variável Volume"/>
    </sheetNames>
    <sheetDataSet>
      <sheetData sheetId="0"/>
      <sheetData sheetId="1"/>
      <sheetData sheetId="2"/>
      <sheetData sheetId="3">
        <row r="10">
          <cell r="H10">
            <v>33367.858211976702</v>
          </cell>
        </row>
        <row r="16">
          <cell r="H16">
            <v>53605.880052893401</v>
          </cell>
        </row>
        <row r="22">
          <cell r="H22">
            <v>10733.493532566479</v>
          </cell>
        </row>
        <row r="29">
          <cell r="H29">
            <v>10916.78527250532</v>
          </cell>
        </row>
        <row r="36">
          <cell r="H36">
            <v>26189.55824493607</v>
          </cell>
        </row>
        <row r="41">
          <cell r="H41">
            <v>15884.50356300318</v>
          </cell>
        </row>
        <row r="49">
          <cell r="H49">
            <v>9082.0637161279992</v>
          </cell>
        </row>
        <row r="50">
          <cell r="H50">
            <v>13049.578585758871</v>
          </cell>
        </row>
        <row r="56">
          <cell r="H56">
            <v>10644.716975933999</v>
          </cell>
        </row>
        <row r="62">
          <cell r="H62">
            <v>32604.756341138462</v>
          </cell>
        </row>
        <row r="69">
          <cell r="H69">
            <v>3319.2036054216001</v>
          </cell>
        </row>
        <row r="75">
          <cell r="H75">
            <v>39838.019200000002</v>
          </cell>
        </row>
        <row r="83">
          <cell r="H83">
            <v>21803.038079999998</v>
          </cell>
        </row>
        <row r="84">
          <cell r="H84">
            <v>27316.6293769</v>
          </cell>
        </row>
      </sheetData>
      <sheetData sheetId="4"/>
      <sheetData sheetId="5"/>
      <sheetData sheetId="6">
        <row r="2">
          <cell r="B2" t="str">
            <v>UNIDADE</v>
          </cell>
          <cell r="D2" t="str">
            <v>OPERAÇÃO</v>
          </cell>
          <cell r="E2" t="str">
            <v>CLIENTE</v>
          </cell>
          <cell r="CD2" t="str">
            <v>TOTAL 2026</v>
          </cell>
        </row>
        <row r="3">
          <cell r="B3" t="str">
            <v>Frig_Itajaí</v>
          </cell>
          <cell r="D3" t="str">
            <v>Faturamento Bruto</v>
          </cell>
          <cell r="E3" t="str">
            <v>Gross Revenue</v>
          </cell>
          <cell r="CD3">
            <v>33367.858211976702</v>
          </cell>
        </row>
        <row r="5">
          <cell r="B5" t="str">
            <v>Frig_Itajaí</v>
          </cell>
          <cell r="D5" t="str">
            <v>Faturamento Bruto</v>
          </cell>
          <cell r="E5" t="str">
            <v>BRF S.A</v>
          </cell>
          <cell r="CD5">
            <v>19073.327597706819</v>
          </cell>
        </row>
        <row r="6">
          <cell r="B6" t="str">
            <v>Frig_Itajaí</v>
          </cell>
          <cell r="D6" t="str">
            <v>Faturamento Bruto</v>
          </cell>
          <cell r="E6" t="str">
            <v>CAMIL</v>
          </cell>
          <cell r="CD6">
            <v>0</v>
          </cell>
        </row>
        <row r="7">
          <cell r="B7" t="str">
            <v>Frig_Itajaí</v>
          </cell>
          <cell r="D7" t="str">
            <v>Faturamento Bruto</v>
          </cell>
          <cell r="E7" t="str">
            <v>CARRER ALIMENTOS LTDA</v>
          </cell>
          <cell r="CD7">
            <v>0</v>
          </cell>
        </row>
        <row r="8">
          <cell r="B8" t="str">
            <v>Frig_Itajaí</v>
          </cell>
          <cell r="D8" t="str">
            <v>Faturamento Bruto</v>
          </cell>
          <cell r="E8" t="str">
            <v>COOPERATIVA DALIA ALIMENTOS LTDA</v>
          </cell>
          <cell r="CD8">
            <v>1413.340363114914</v>
          </cell>
        </row>
        <row r="9">
          <cell r="B9" t="str">
            <v>Frig_Itajaí</v>
          </cell>
          <cell r="D9" t="str">
            <v>Faturamento Bruto</v>
          </cell>
          <cell r="E9" t="str">
            <v>GDC ALIMENTOS S.A</v>
          </cell>
          <cell r="CD9">
            <v>6846.3808374998844</v>
          </cell>
        </row>
        <row r="10">
          <cell r="B10" t="str">
            <v>Frig_Itajaí</v>
          </cell>
          <cell r="D10" t="str">
            <v>Faturamento Bruto</v>
          </cell>
          <cell r="E10" t="str">
            <v>OPORTUNIDADE OCIOSIDADE GDC - POSIÇÕES VAZIAS</v>
          </cell>
          <cell r="CD10">
            <v>0</v>
          </cell>
        </row>
        <row r="11">
          <cell r="B11" t="str">
            <v>Frig_Itajaí</v>
          </cell>
          <cell r="D11" t="str">
            <v>Faturamento Bruto</v>
          </cell>
          <cell r="E11" t="str">
            <v>PARKER-MIGLIORINI INTERNATIONAL DO</v>
          </cell>
          <cell r="CD11">
            <v>2535.38915365508</v>
          </cell>
        </row>
        <row r="12">
          <cell r="B12" t="str">
            <v>Frig_Itajaí</v>
          </cell>
          <cell r="D12" t="str">
            <v>Faturamento Bruto</v>
          </cell>
          <cell r="E12" t="str">
            <v>FRIGORIFICO RAINHA DA PAZ LTDA.</v>
          </cell>
          <cell r="CD12">
            <v>0</v>
          </cell>
        </row>
        <row r="13">
          <cell r="B13" t="str">
            <v>Frig_Itajaí</v>
          </cell>
          <cell r="D13" t="str">
            <v>Faturamento Bruto</v>
          </cell>
          <cell r="E13" t="str">
            <v>SEARA</v>
          </cell>
          <cell r="CD13">
            <v>0</v>
          </cell>
        </row>
        <row r="14">
          <cell r="B14" t="str">
            <v>Frig_Itajaí</v>
          </cell>
          <cell r="D14" t="str">
            <v>Faturamento Bruto</v>
          </cell>
          <cell r="E14" t="str">
            <v>TIMBRO</v>
          </cell>
          <cell r="CD14">
            <v>0</v>
          </cell>
        </row>
        <row r="15">
          <cell r="B15" t="str">
            <v>Frig_Itajaí</v>
          </cell>
          <cell r="D15" t="str">
            <v>Faturamento Bruto</v>
          </cell>
          <cell r="E15" t="str">
            <v>AVENORTE AVICOLA CIANORTE LTDA</v>
          </cell>
          <cell r="CD15">
            <v>0</v>
          </cell>
        </row>
        <row r="16">
          <cell r="B16" t="str">
            <v>Frig_Itajaí</v>
          </cell>
          <cell r="D16" t="str">
            <v>Faturamento Bruto</v>
          </cell>
          <cell r="E16" t="str">
            <v>LAMB WESTON</v>
          </cell>
          <cell r="CD16">
            <v>3499.4202599999999</v>
          </cell>
        </row>
        <row r="17">
          <cell r="B17" t="str">
            <v>Frig_Itajaí</v>
          </cell>
          <cell r="D17" t="str">
            <v>Faturamento Bruto</v>
          </cell>
          <cell r="E17" t="str">
            <v>COOPERATIVA CENTRAL AURORA ALIMENTO</v>
          </cell>
          <cell r="CD17">
            <v>0</v>
          </cell>
        </row>
        <row r="18">
          <cell r="B18" t="str">
            <v>Frig_Itajaí</v>
          </cell>
          <cell r="D18" t="str">
            <v>Faturamento Bruto</v>
          </cell>
          <cell r="E18" t="str">
            <v>NATURAFRIG ALIMENTOS LTDA</v>
          </cell>
          <cell r="CD18">
            <v>0</v>
          </cell>
        </row>
        <row r="19">
          <cell r="B19" t="str">
            <v>Frig_Itajaí</v>
          </cell>
          <cell r="D19" t="str">
            <v>Armazenagem (posição palet)</v>
          </cell>
          <cell r="E19" t="str">
            <v>Subtotal</v>
          </cell>
          <cell r="CD19">
            <v>15370.83333333333</v>
          </cell>
        </row>
        <row r="20">
          <cell r="B20" t="str">
            <v>Frig_Itajaí</v>
          </cell>
          <cell r="D20" t="str">
            <v>Armazenagem (posição palet)</v>
          </cell>
          <cell r="E20" t="str">
            <v>BRF S.A</v>
          </cell>
          <cell r="CD20">
            <v>4670.833333333333</v>
          </cell>
        </row>
        <row r="21">
          <cell r="B21" t="str">
            <v>Frig_Itajaí</v>
          </cell>
          <cell r="D21" t="str">
            <v>Armazenagem (posição palet)</v>
          </cell>
          <cell r="E21" t="str">
            <v>BRF S.A AVES</v>
          </cell>
          <cell r="CD21">
            <v>1868.333333333333</v>
          </cell>
        </row>
        <row r="22">
          <cell r="B22" t="str">
            <v>Frig_Itajaí</v>
          </cell>
          <cell r="D22" t="str">
            <v>Armazenagem (posição palet)</v>
          </cell>
          <cell r="E22" t="str">
            <v>BRF S.A SUINOS</v>
          </cell>
          <cell r="CD22">
            <v>2802.5</v>
          </cell>
        </row>
        <row r="23">
          <cell r="B23" t="str">
            <v>Frig_Itajaí</v>
          </cell>
          <cell r="D23" t="str">
            <v>Armazenagem (posição palet)</v>
          </cell>
          <cell r="E23" t="str">
            <v>CAMIL</v>
          </cell>
          <cell r="CD23">
            <v>0</v>
          </cell>
        </row>
        <row r="24">
          <cell r="B24" t="str">
            <v>Frig_Itajaí</v>
          </cell>
          <cell r="D24" t="str">
            <v>Armazenagem (posição palet)</v>
          </cell>
          <cell r="E24" t="str">
            <v>CARRER ALIMENTOS LTDA</v>
          </cell>
          <cell r="CD24">
            <v>0</v>
          </cell>
        </row>
        <row r="25">
          <cell r="B25" t="str">
            <v>Frig_Itajaí</v>
          </cell>
          <cell r="D25" t="str">
            <v>Armazenagem (posição palet)</v>
          </cell>
          <cell r="E25" t="str">
            <v>COOPERATIVA DALIA ALIMENTOS LTDA</v>
          </cell>
          <cell r="CD25">
            <v>250</v>
          </cell>
        </row>
        <row r="26">
          <cell r="B26" t="str">
            <v>Frig_Itajaí</v>
          </cell>
          <cell r="D26" t="str">
            <v>Armazenagem (posição palet)</v>
          </cell>
          <cell r="E26" t="str">
            <v>GDC ALIMENTOS S.A - POSIÇÕES CHEIAS</v>
          </cell>
          <cell r="CD26">
            <v>4250</v>
          </cell>
        </row>
        <row r="27">
          <cell r="B27" t="str">
            <v>Frig_Itajaí</v>
          </cell>
          <cell r="D27" t="str">
            <v>Armazenagem (posição palet)</v>
          </cell>
          <cell r="E27" t="str">
            <v>GDC ALIMENTOS S.A - POSIÇÕES VAZIAS</v>
          </cell>
          <cell r="CD27">
            <v>2250</v>
          </cell>
        </row>
        <row r="28">
          <cell r="B28" t="str">
            <v>Frig_Itajaí</v>
          </cell>
          <cell r="D28" t="str">
            <v>Armazenagem (posição palet)</v>
          </cell>
          <cell r="E28" t="str">
            <v>OPORTUNIDADE OCIOSIDADE GDC - POSIÇÕES VAZIAS</v>
          </cell>
          <cell r="CD28">
            <v>0</v>
          </cell>
        </row>
        <row r="29">
          <cell r="B29" t="str">
            <v>Frig_Itajaí</v>
          </cell>
          <cell r="D29" t="str">
            <v>Armazenagem (posição palet)</v>
          </cell>
          <cell r="E29" t="str">
            <v>PARKER-MIGLIORINI INTERNATIONAL DO</v>
          </cell>
          <cell r="CD29">
            <v>2450</v>
          </cell>
        </row>
        <row r="30">
          <cell r="B30" t="str">
            <v>Frig_Itajaí</v>
          </cell>
          <cell r="D30" t="str">
            <v>Armazenagem (posição palet)</v>
          </cell>
          <cell r="E30" t="str">
            <v>FRIGORIFICO RAINHA DA PAZ LTDA.</v>
          </cell>
          <cell r="CD30">
            <v>0</v>
          </cell>
        </row>
        <row r="31">
          <cell r="B31" t="str">
            <v>Frig_Itajaí</v>
          </cell>
          <cell r="D31" t="str">
            <v>Armazenagem (posição palet)</v>
          </cell>
          <cell r="E31" t="str">
            <v>SEARA</v>
          </cell>
          <cell r="CD31">
            <v>0</v>
          </cell>
        </row>
        <row r="32">
          <cell r="B32" t="str">
            <v>Frig_Itajaí</v>
          </cell>
          <cell r="D32" t="str">
            <v>Armazenagem (posição palet)</v>
          </cell>
          <cell r="E32" t="str">
            <v>TIMBRO</v>
          </cell>
          <cell r="CD32">
            <v>0</v>
          </cell>
        </row>
        <row r="33">
          <cell r="B33" t="str">
            <v>Frig_Itajaí</v>
          </cell>
          <cell r="D33" t="str">
            <v>Armazenagem (posição palet)</v>
          </cell>
          <cell r="E33" t="str">
            <v>AVENORTE AVICOLA CIANORTE LTDA</v>
          </cell>
          <cell r="CD33">
            <v>0</v>
          </cell>
        </row>
        <row r="34">
          <cell r="B34" t="str">
            <v>Frig_Itajaí</v>
          </cell>
          <cell r="D34" t="str">
            <v>Armazenagem (posição palet)</v>
          </cell>
          <cell r="E34" t="str">
            <v>LAMB WESTON</v>
          </cell>
          <cell r="CD34">
            <v>1500</v>
          </cell>
        </row>
        <row r="35">
          <cell r="B35" t="str">
            <v>Frig_Itajaí</v>
          </cell>
          <cell r="D35" t="str">
            <v>Armazenagem (posição palet)</v>
          </cell>
          <cell r="E35" t="str">
            <v>COOPERATIVA CENTRAL AURORA ALIMENTO</v>
          </cell>
          <cell r="CD35">
            <v>0</v>
          </cell>
        </row>
        <row r="36">
          <cell r="B36" t="str">
            <v>Frig_Itajaí</v>
          </cell>
          <cell r="D36" t="str">
            <v>Armazenagem (posição palet)</v>
          </cell>
          <cell r="E36" t="str">
            <v>NATURAFRIG ALIMENTOS LTDA</v>
          </cell>
          <cell r="CD36">
            <v>0</v>
          </cell>
        </row>
        <row r="37">
          <cell r="B37" t="str">
            <v>Frig_Itajaí</v>
          </cell>
          <cell r="D37" t="str">
            <v>Capacidade Total PP</v>
          </cell>
          <cell r="E37" t="str">
            <v>CAPACIDADE</v>
          </cell>
          <cell r="CD37">
            <v>17500</v>
          </cell>
        </row>
        <row r="38">
          <cell r="B38" t="str">
            <v>Frig_Itajaí</v>
          </cell>
          <cell r="D38" t="str">
            <v>Armazenagem (posição palet) - PROPORÇÃO MENSAL</v>
          </cell>
          <cell r="E38" t="str">
            <v>Subtotal</v>
          </cell>
          <cell r="CD38">
            <v>8.3333333333333301E-2</v>
          </cell>
        </row>
        <row r="39">
          <cell r="B39" t="str">
            <v>Frig_Itajaí</v>
          </cell>
          <cell r="D39" t="str">
            <v>Armazenagem (posição palet) - PROPORÇÃO MENSAL</v>
          </cell>
          <cell r="E39" t="str">
            <v>BRF S.A</v>
          </cell>
          <cell r="CD39">
            <v>8.3333333333333301E-2</v>
          </cell>
        </row>
        <row r="40">
          <cell r="B40" t="str">
            <v>Frig_Itajaí</v>
          </cell>
          <cell r="D40" t="str">
            <v>Armazenagem (posição palet) - PROPORÇÃO MENSAL</v>
          </cell>
          <cell r="E40" t="str">
            <v>CAMIL</v>
          </cell>
          <cell r="CD40">
            <v>0</v>
          </cell>
        </row>
        <row r="41">
          <cell r="B41" t="str">
            <v>Frig_Itajaí</v>
          </cell>
          <cell r="D41" t="str">
            <v>Armazenagem (posição palet) - PROPORÇÃO MENSAL</v>
          </cell>
          <cell r="E41" t="str">
            <v>CARRER ALIMENTOS LTDA</v>
          </cell>
          <cell r="CD41">
            <v>0</v>
          </cell>
        </row>
        <row r="42">
          <cell r="B42" t="str">
            <v>Frig_Itajaí</v>
          </cell>
          <cell r="D42" t="str">
            <v>Armazenagem (posição palet) - PROPORÇÃO MENSAL</v>
          </cell>
          <cell r="E42" t="str">
            <v>COOPERATIVA DALIA ALIMENTOS LTDA</v>
          </cell>
          <cell r="CD42">
            <v>8.3333333333333301E-2</v>
          </cell>
        </row>
        <row r="43">
          <cell r="B43" t="str">
            <v>Frig_Itajaí</v>
          </cell>
          <cell r="D43" t="str">
            <v>Armazenagem (posição palet) - PROPORÇÃO MENSAL</v>
          </cell>
          <cell r="E43" t="str">
            <v>GDC ALIMENTOS S.A - POSIÇÕES CHEIAS</v>
          </cell>
          <cell r="CD43">
            <v>8.3333333333333301E-2</v>
          </cell>
        </row>
        <row r="44">
          <cell r="B44" t="str">
            <v>Frig_Itajaí</v>
          </cell>
          <cell r="D44" t="str">
            <v>Armazenagem (posição palet) - PROPORÇÃO MENSAL</v>
          </cell>
          <cell r="E44" t="str">
            <v>GDC ALIMENTOS S.A - POSIÇÕES VAZIAS</v>
          </cell>
          <cell r="CD44">
            <v>8.3333333333333301E-2</v>
          </cell>
        </row>
        <row r="45">
          <cell r="B45" t="str">
            <v>Frig_Itajaí</v>
          </cell>
          <cell r="D45" t="str">
            <v>Armazenagem (posição palet) - PROPORÇÃO MENSAL</v>
          </cell>
          <cell r="E45" t="str">
            <v>OPORTUNIDADE OCIOSIDADE GDC - POSIÇÕES VAZIAS</v>
          </cell>
          <cell r="CD45">
            <v>0</v>
          </cell>
        </row>
        <row r="46">
          <cell r="B46" t="str">
            <v>Frig_Itajaí</v>
          </cell>
          <cell r="D46" t="str">
            <v>Armazenagem (posição palet) - PROPORÇÃO MENSAL</v>
          </cell>
          <cell r="E46" t="str">
            <v>PARKER-MIGLIORINI INTERNATIONAL DO</v>
          </cell>
          <cell r="CD46">
            <v>8.3333333333333301E-2</v>
          </cell>
        </row>
        <row r="47">
          <cell r="B47" t="str">
            <v>Frig_Itajaí</v>
          </cell>
          <cell r="D47" t="str">
            <v>Armazenagem (posição palet) - PROPORÇÃO MENSAL</v>
          </cell>
          <cell r="E47" t="str">
            <v>FRIGORIFICO RAINHA DA PAZ LTDA.</v>
          </cell>
          <cell r="CD47">
            <v>0</v>
          </cell>
        </row>
        <row r="48">
          <cell r="B48" t="str">
            <v>Frig_Itajaí</v>
          </cell>
          <cell r="D48" t="str">
            <v>Armazenagem (posição palet) - PROPORÇÃO MENSAL</v>
          </cell>
          <cell r="E48" t="str">
            <v>SEARA</v>
          </cell>
          <cell r="CD48">
            <v>0</v>
          </cell>
        </row>
        <row r="49">
          <cell r="B49" t="str">
            <v>Frig_Itajaí</v>
          </cell>
          <cell r="D49" t="str">
            <v>Armazenagem (posição palet) - PROPORÇÃO MENSAL</v>
          </cell>
          <cell r="E49" t="str">
            <v>TIMBRO</v>
          </cell>
          <cell r="CD49">
            <v>0</v>
          </cell>
        </row>
        <row r="50">
          <cell r="B50" t="str">
            <v>Frig_Itajaí</v>
          </cell>
          <cell r="D50" t="str">
            <v>Armazenagem (posição palet) - PROPORÇÃO MENSAL</v>
          </cell>
          <cell r="E50" t="str">
            <v>AVENORTE AVICOLA CIANORTE LTDA</v>
          </cell>
          <cell r="CD50">
            <v>0</v>
          </cell>
        </row>
        <row r="51">
          <cell r="B51" t="str">
            <v>Frig_Itajaí</v>
          </cell>
          <cell r="D51" t="str">
            <v>Armazenagem (posição palet) - PROPORÇÃO MENSAL</v>
          </cell>
          <cell r="E51" t="str">
            <v>LAMB WESTON</v>
          </cell>
          <cell r="CD51">
            <v>8.3333333333333301E-2</v>
          </cell>
        </row>
        <row r="52">
          <cell r="B52" t="str">
            <v>Frig_Itajaí</v>
          </cell>
          <cell r="D52" t="str">
            <v>Armazenagem (posição palet) - PROPORÇÃO MENSAL</v>
          </cell>
          <cell r="E52" t="str">
            <v>COOPERATIVA CENTRAL AURORA ALIMENTO</v>
          </cell>
          <cell r="CD52">
            <v>0</v>
          </cell>
        </row>
        <row r="53">
          <cell r="B53" t="str">
            <v>Frig_Itajaí</v>
          </cell>
          <cell r="D53" t="str">
            <v>Armazenagem (posição palet) - PROPORÇÃO MENSAL</v>
          </cell>
          <cell r="E53" t="str">
            <v>NATURAFRIG ALIMENTOS LTDA</v>
          </cell>
          <cell r="CD53">
            <v>0</v>
          </cell>
        </row>
        <row r="54">
          <cell r="B54" t="str">
            <v>Frig_Itajaí</v>
          </cell>
          <cell r="D54" t="str">
            <v>Armazenagem (%)</v>
          </cell>
          <cell r="E54" t="str">
            <v>Subtotal</v>
          </cell>
          <cell r="CD54">
            <v>0.87833333333333297</v>
          </cell>
        </row>
        <row r="55">
          <cell r="B55" t="str">
            <v>Frig_Itajaí</v>
          </cell>
          <cell r="D55" t="str">
            <v>Armazenagem (%)</v>
          </cell>
          <cell r="E55" t="str">
            <v>BRF S.A</v>
          </cell>
          <cell r="CD55">
            <v>0.26690476190476198</v>
          </cell>
        </row>
        <row r="56">
          <cell r="B56" t="str">
            <v>Frig_Itajaí</v>
          </cell>
          <cell r="D56" t="str">
            <v>Armazenagem (%)</v>
          </cell>
          <cell r="E56" t="str">
            <v>CAMIL</v>
          </cell>
          <cell r="CD56">
            <v>0</v>
          </cell>
        </row>
        <row r="57">
          <cell r="B57" t="str">
            <v>Frig_Itajaí</v>
          </cell>
          <cell r="D57" t="str">
            <v>Armazenagem (%)</v>
          </cell>
          <cell r="E57" t="str">
            <v>CARRER ALIMENTOS LTDA</v>
          </cell>
          <cell r="CD57">
            <v>0</v>
          </cell>
        </row>
        <row r="58">
          <cell r="B58" t="str">
            <v>Frig_Itajaí</v>
          </cell>
          <cell r="D58" t="str">
            <v>Armazenagem (%)</v>
          </cell>
          <cell r="E58" t="str">
            <v>COOPERATIVA DALIA ALIMENTOS LTDA</v>
          </cell>
          <cell r="CD58">
            <v>1.4285714285714299E-2</v>
          </cell>
        </row>
        <row r="59">
          <cell r="B59" t="str">
            <v>Frig_Itajaí</v>
          </cell>
          <cell r="D59" t="str">
            <v>Armazenagem (%)</v>
          </cell>
          <cell r="E59" t="str">
            <v>GDC ALIMENTOS S.A - POSIÇÕES CHEIAS</v>
          </cell>
          <cell r="CD59">
            <v>0.24285714285714299</v>
          </cell>
        </row>
        <row r="60">
          <cell r="B60" t="str">
            <v>Frig_Itajaí</v>
          </cell>
          <cell r="D60" t="str">
            <v>Armazenagem (%)</v>
          </cell>
          <cell r="E60" t="str">
            <v>GDC ALIMENTOS S.A - POSIÇÕES VAZIAS</v>
          </cell>
          <cell r="CD60">
            <v>0.128571428571429</v>
          </cell>
        </row>
        <row r="61">
          <cell r="B61" t="str">
            <v>Frig_Itajaí</v>
          </cell>
          <cell r="D61" t="str">
            <v>Armazenagem (%)</v>
          </cell>
          <cell r="E61" t="str">
            <v>OPORTUNIDADE OCIOSIDADE GDC - POSIÇÕES VAZIAS</v>
          </cell>
          <cell r="CD61">
            <v>0</v>
          </cell>
        </row>
        <row r="62">
          <cell r="B62" t="str">
            <v>Frig_Itajaí</v>
          </cell>
          <cell r="D62" t="str">
            <v>Armazenagem (%)</v>
          </cell>
          <cell r="E62" t="str">
            <v>PARKER-MIGLIORINI INTERNATIONAL DO</v>
          </cell>
          <cell r="CD62">
            <v>0.14000000000000001</v>
          </cell>
        </row>
        <row r="63">
          <cell r="B63" t="str">
            <v>Frig_Itajaí</v>
          </cell>
          <cell r="D63" t="str">
            <v>Armazenagem (%)</v>
          </cell>
          <cell r="E63" t="str">
            <v>FRIGORIFICO RAINHA DA PAZ LTDA.</v>
          </cell>
          <cell r="CD63">
            <v>0</v>
          </cell>
        </row>
        <row r="64">
          <cell r="B64" t="str">
            <v>Frig_Itajaí</v>
          </cell>
          <cell r="D64" t="str">
            <v>Armazenagem (%)</v>
          </cell>
          <cell r="E64" t="str">
            <v>SEARA</v>
          </cell>
          <cell r="CD64">
            <v>0</v>
          </cell>
        </row>
        <row r="65">
          <cell r="B65" t="str">
            <v>Frig_Itajaí</v>
          </cell>
          <cell r="D65" t="str">
            <v>Armazenagem (%)</v>
          </cell>
          <cell r="E65" t="str">
            <v>TIMBRO</v>
          </cell>
          <cell r="CD65">
            <v>0</v>
          </cell>
        </row>
        <row r="66">
          <cell r="B66" t="str">
            <v>Frig_Itajaí</v>
          </cell>
          <cell r="D66" t="str">
            <v>Armazenagem (%)</v>
          </cell>
          <cell r="E66" t="str">
            <v>AVENORTE AVICOLA CIANORTE LTDA</v>
          </cell>
          <cell r="CD66">
            <v>0</v>
          </cell>
        </row>
        <row r="67">
          <cell r="B67" t="str">
            <v>Frig_Itajaí</v>
          </cell>
          <cell r="D67" t="str">
            <v>Armazenagem (%)</v>
          </cell>
          <cell r="E67" t="str">
            <v>LAMB WESTON</v>
          </cell>
          <cell r="CD67">
            <v>8.5714285714285701E-2</v>
          </cell>
        </row>
        <row r="68">
          <cell r="B68" t="str">
            <v>Frig_Itajaí</v>
          </cell>
          <cell r="D68" t="str">
            <v>Armazenagem (%)</v>
          </cell>
          <cell r="E68" t="str">
            <v>COOPERATIVA CENTRAL AURORA ALIMENTO</v>
          </cell>
          <cell r="CD68">
            <v>0</v>
          </cell>
        </row>
        <row r="69">
          <cell r="B69" t="str">
            <v>Frig_Itajaí</v>
          </cell>
          <cell r="D69" t="str">
            <v>Armazenagem (%)</v>
          </cell>
          <cell r="E69" t="str">
            <v>NATURAFRIG ALIMENTOS LTDA</v>
          </cell>
          <cell r="CD69">
            <v>0</v>
          </cell>
        </row>
        <row r="70">
          <cell r="B70" t="str">
            <v>Frig_Itajaí</v>
          </cell>
          <cell r="D70" t="str">
            <v>Faturamento | Armazenagem (BRL'000)</v>
          </cell>
          <cell r="E70" t="str">
            <v>Subtotal</v>
          </cell>
          <cell r="CD70">
            <v>19097.793170585559</v>
          </cell>
        </row>
        <row r="71">
          <cell r="B71" t="str">
            <v>Frig_Itajaí</v>
          </cell>
          <cell r="D71" t="str">
            <v>Faturamento | Armazenagem (BRL'000)</v>
          </cell>
          <cell r="E71" t="str">
            <v>BRF S.A</v>
          </cell>
          <cell r="CD71">
            <v>8207.2732179573595</v>
          </cell>
        </row>
        <row r="72">
          <cell r="B72" t="str">
            <v>Frig_Itajaí</v>
          </cell>
          <cell r="D72" t="str">
            <v>Faturamento | Armazenagem (BRL'000)</v>
          </cell>
          <cell r="E72" t="str">
            <v>BRF S.A AVES</v>
          </cell>
          <cell r="CD72">
            <v>3282.909287182943</v>
          </cell>
        </row>
        <row r="73">
          <cell r="B73" t="str">
            <v>Frig_Itajaí</v>
          </cell>
          <cell r="D73" t="str">
            <v>Faturamento | Armazenagem (BRL'000)</v>
          </cell>
          <cell r="E73" t="str">
            <v>BRF S.A SUINOS</v>
          </cell>
          <cell r="CD73">
            <v>4924.3639307744152</v>
          </cell>
        </row>
        <row r="74">
          <cell r="B74" t="str">
            <v>Frig_Itajaí</v>
          </cell>
          <cell r="D74" t="str">
            <v>Faturamento | Armazenagem (BRL'000)</v>
          </cell>
          <cell r="E74" t="str">
            <v>CAMIL</v>
          </cell>
          <cell r="CD74">
            <v>0</v>
          </cell>
        </row>
        <row r="75">
          <cell r="B75" t="str">
            <v>Frig_Itajaí</v>
          </cell>
          <cell r="D75" t="str">
            <v>Faturamento | Armazenagem (BRL'000)</v>
          </cell>
          <cell r="E75" t="str">
            <v>CARRER ALIMENTOS LTDA</v>
          </cell>
          <cell r="CD75">
            <v>0</v>
          </cell>
        </row>
        <row r="76">
          <cell r="B76" t="str">
            <v>Frig_Itajaí</v>
          </cell>
          <cell r="D76" t="str">
            <v>Faturamento | Armazenagem (BRL'000)</v>
          </cell>
          <cell r="E76" t="str">
            <v>COOPERATIVA DALIA ALIMENTOS LTDA</v>
          </cell>
          <cell r="CD76">
            <v>891.79083937311896</v>
          </cell>
        </row>
        <row r="77">
          <cell r="B77" t="str">
            <v>Frig_Itajaí</v>
          </cell>
          <cell r="D77" t="str">
            <v>Faturamento | Armazenagem (BRL'000)</v>
          </cell>
          <cell r="E77" t="str">
            <v>GDC ALIMENTOS S.A - POSIÇÕES CHEIAS</v>
          </cell>
          <cell r="CD77">
            <v>3959.0350416000001</v>
          </cell>
        </row>
        <row r="78">
          <cell r="B78" t="str">
            <v>Frig_Itajaí</v>
          </cell>
          <cell r="D78" t="str">
            <v>Faturamento | Armazenagem (BRL'000)</v>
          </cell>
          <cell r="E78" t="str">
            <v>GDC ALIMENTOS S.A - POSIÇÕES VAZIAS</v>
          </cell>
          <cell r="CD78">
            <v>1480.5799179999999</v>
          </cell>
        </row>
        <row r="79">
          <cell r="B79" t="str">
            <v>Frig_Itajaí</v>
          </cell>
          <cell r="D79" t="str">
            <v>Faturamento | Armazenagem (BRL'000)</v>
          </cell>
          <cell r="E79" t="str">
            <v>OPORTUNIDADE OCIOSIDADE GDC - POSIÇÕES VAZIAS</v>
          </cell>
          <cell r="CD79">
            <v>0</v>
          </cell>
        </row>
        <row r="80">
          <cell r="B80" t="str">
            <v>Frig_Itajaí</v>
          </cell>
          <cell r="D80" t="str">
            <v>Faturamento | Armazenagem (BRL'000)</v>
          </cell>
          <cell r="E80" t="str">
            <v>PARKER-MIGLIORINI INTERNATIONAL DO</v>
          </cell>
          <cell r="CD80">
            <v>2535.38915365508</v>
          </cell>
        </row>
        <row r="81">
          <cell r="B81" t="str">
            <v>Frig_Itajaí</v>
          </cell>
          <cell r="D81" t="str">
            <v>Faturamento | Armazenagem (BRL'000)</v>
          </cell>
          <cell r="E81" t="str">
            <v>FRIGORIFICO RAINHA DA PAZ LTDA.</v>
          </cell>
          <cell r="CD81">
            <v>0</v>
          </cell>
        </row>
        <row r="82">
          <cell r="B82" t="str">
            <v>Frig_Itajaí</v>
          </cell>
          <cell r="D82" t="str">
            <v>Faturamento | Armazenagem (BRL'000)</v>
          </cell>
          <cell r="E82" t="str">
            <v>SEARA</v>
          </cell>
          <cell r="CD82">
            <v>0</v>
          </cell>
        </row>
        <row r="83">
          <cell r="B83" t="str">
            <v>Frig_Itajaí</v>
          </cell>
          <cell r="D83" t="str">
            <v>Faturamento | Armazenagem (BRL'000)</v>
          </cell>
          <cell r="E83" t="str">
            <v>TIMBRO</v>
          </cell>
          <cell r="CD83">
            <v>0</v>
          </cell>
        </row>
        <row r="84">
          <cell r="B84" t="str">
            <v>Frig_Itajaí</v>
          </cell>
          <cell r="D84" t="str">
            <v>Faturamento | Armazenagem (BRL'000)</v>
          </cell>
          <cell r="E84" t="str">
            <v>AVENORTE AVICOLA CIANORTE LTDA</v>
          </cell>
          <cell r="CD84">
            <v>0</v>
          </cell>
        </row>
        <row r="85">
          <cell r="B85" t="str">
            <v>Frig_Itajaí</v>
          </cell>
          <cell r="D85" t="str">
            <v>Faturamento | Armazenagem (BRL'000)</v>
          </cell>
          <cell r="E85" t="str">
            <v>LAMB WESTON</v>
          </cell>
          <cell r="CD85">
            <v>2023.724999999999</v>
          </cell>
        </row>
        <row r="86">
          <cell r="B86" t="str">
            <v>Frig_Itajaí</v>
          </cell>
          <cell r="D86" t="str">
            <v>Faturamento | Armazenagem (BRL'000)</v>
          </cell>
          <cell r="E86" t="str">
            <v>COOPERATIVA CENTRAL AURORA ALIMENTO</v>
          </cell>
          <cell r="CD86">
            <v>0</v>
          </cell>
        </row>
        <row r="87">
          <cell r="B87" t="str">
            <v>Frig_Itajaí</v>
          </cell>
          <cell r="D87" t="str">
            <v>Faturamento | Armazenagem (BRL'000)</v>
          </cell>
          <cell r="E87" t="str">
            <v>NATURAFRIG ALIMENTOS LTDA</v>
          </cell>
          <cell r="CD87">
            <v>0</v>
          </cell>
        </row>
        <row r="88">
          <cell r="B88" t="str">
            <v>Frig_Itajaí</v>
          </cell>
          <cell r="D88" t="str">
            <v>Ticket Médio | Armazenagem (BRL)</v>
          </cell>
          <cell r="E88" t="str">
            <v>Subtotal</v>
          </cell>
          <cell r="CD88">
            <v>103.4041673235823</v>
          </cell>
        </row>
        <row r="89">
          <cell r="B89" t="str">
            <v>Frig_Itajaí</v>
          </cell>
          <cell r="D89" t="str">
            <v>Ticket Médio | Armazenagem (BRL)</v>
          </cell>
          <cell r="E89" t="str">
            <v>BRF S.A</v>
          </cell>
          <cell r="CD89">
            <v>146.4050387892747</v>
          </cell>
        </row>
        <row r="90">
          <cell r="B90" t="str">
            <v>Frig_Itajaí</v>
          </cell>
          <cell r="D90" t="str">
            <v>Ticket Médio | Armazenagem (BRL)</v>
          </cell>
          <cell r="E90" t="str">
            <v>BRF S.A AVES</v>
          </cell>
          <cell r="CD90">
            <v>142.7449128195428</v>
          </cell>
        </row>
        <row r="91">
          <cell r="B91" t="str">
            <v>Frig_Itajaí</v>
          </cell>
          <cell r="D91" t="str">
            <v>Ticket Médio | Armazenagem (BRL)</v>
          </cell>
          <cell r="E91" t="str">
            <v>BRF S.A SUINOS</v>
          </cell>
          <cell r="CD91">
            <v>136.87391063252559</v>
          </cell>
        </row>
        <row r="92">
          <cell r="B92" t="str">
            <v>Frig_Itajaí</v>
          </cell>
          <cell r="D92" t="str">
            <v>Ticket Médio | Armazenagem (BRL)</v>
          </cell>
          <cell r="E92" t="str">
            <v>CAMIL</v>
          </cell>
          <cell r="CD92">
            <v>0</v>
          </cell>
        </row>
        <row r="93">
          <cell r="B93" t="str">
            <v>Frig_Itajaí</v>
          </cell>
          <cell r="D93" t="str">
            <v>Ticket Médio | Armazenagem (BRL)</v>
          </cell>
          <cell r="E93" t="str">
            <v>CARRER ALIMENTOS LTDA</v>
          </cell>
          <cell r="CD93">
            <v>0</v>
          </cell>
        </row>
        <row r="94">
          <cell r="B94" t="str">
            <v>Frig_Itajaí</v>
          </cell>
          <cell r="D94" t="str">
            <v>Ticket Médio | Armazenagem (BRL)</v>
          </cell>
          <cell r="E94" t="str">
            <v>COOPERATIVA DALIA ALIMENTOS LTDA</v>
          </cell>
          <cell r="CD94">
            <v>297.26361312437302</v>
          </cell>
        </row>
        <row r="95">
          <cell r="B95" t="str">
            <v>Frig_Itajaí</v>
          </cell>
          <cell r="D95" t="str">
            <v>Ticket Médio | Armazenagem (BRL)</v>
          </cell>
          <cell r="E95" t="str">
            <v>GDC ALIMENTOS S.A - POSIÇÕES CHEIAS</v>
          </cell>
          <cell r="CD95">
            <v>77.009749866666667</v>
          </cell>
        </row>
        <row r="96">
          <cell r="B96" t="str">
            <v>Frig_Itajaí</v>
          </cell>
          <cell r="D96" t="str">
            <v>Ticket Médio | Armazenagem (BRL)</v>
          </cell>
          <cell r="E96" t="str">
            <v>GDC ALIMENTOS S.A - POSIÇÕES VAZIAS</v>
          </cell>
          <cell r="CD96">
            <v>55.680847866666667</v>
          </cell>
        </row>
        <row r="97">
          <cell r="B97" t="str">
            <v>Frig_Itajaí</v>
          </cell>
          <cell r="D97" t="str">
            <v>Ticket Médio | Armazenagem (BRL)</v>
          </cell>
          <cell r="E97" t="str">
            <v>OPORTUNIDADE OCIOSIDADE GDC - POSIÇÕES VAZIAS</v>
          </cell>
          <cell r="CD97">
            <v>0</v>
          </cell>
        </row>
        <row r="98">
          <cell r="B98" t="str">
            <v>Frig_Itajaí</v>
          </cell>
          <cell r="D98" t="str">
            <v>Ticket Médio | Armazenagem (BRL)</v>
          </cell>
          <cell r="E98" t="str">
            <v>PARKER-MIGLIORINI INTERNATIONAL DO</v>
          </cell>
          <cell r="CD98">
            <v>86.237726314798593</v>
          </cell>
        </row>
        <row r="99">
          <cell r="B99" t="str">
            <v>Frig_Itajaí</v>
          </cell>
          <cell r="D99" t="str">
            <v>Ticket Médio | Armazenagem (BRL)</v>
          </cell>
          <cell r="E99" t="str">
            <v>FRIGORIFICO RAINHA DA PAZ LTDA.</v>
          </cell>
          <cell r="CD99">
            <v>0</v>
          </cell>
        </row>
        <row r="100">
          <cell r="B100" t="str">
            <v>Frig_Itajaí</v>
          </cell>
          <cell r="D100" t="str">
            <v>Ticket Médio | Armazenagem (BRL)</v>
          </cell>
          <cell r="E100" t="str">
            <v>SEARA</v>
          </cell>
          <cell r="CD100">
            <v>0</v>
          </cell>
        </row>
        <row r="101">
          <cell r="B101" t="str">
            <v>Frig_Itajaí</v>
          </cell>
          <cell r="D101" t="str">
            <v>Ticket Médio | Armazenagem (BRL)</v>
          </cell>
          <cell r="E101" t="str">
            <v>TIMBRO</v>
          </cell>
          <cell r="CD101">
            <v>0</v>
          </cell>
        </row>
        <row r="102">
          <cell r="B102" t="str">
            <v>Frig_Itajaí</v>
          </cell>
          <cell r="D102" t="str">
            <v>Ticket Médio | Armazenagem (BRL)</v>
          </cell>
          <cell r="E102" t="str">
            <v>AVENORTE AVICOLA CIANORTE LTDA</v>
          </cell>
          <cell r="CD102">
            <v>94.483397662982455</v>
          </cell>
        </row>
        <row r="103">
          <cell r="B103" t="str">
            <v>Frig_Itajaí</v>
          </cell>
          <cell r="D103" t="str">
            <v>Ticket Médio | Armazenagem (BRL)</v>
          </cell>
          <cell r="E103" t="str">
            <v>LAMB WESTON</v>
          </cell>
          <cell r="CD103">
            <v>112.4291666666667</v>
          </cell>
        </row>
        <row r="104">
          <cell r="B104" t="str">
            <v>Frig_Itajaí</v>
          </cell>
          <cell r="D104" t="str">
            <v>Ticket Médio | Armazenagem (BRL)</v>
          </cell>
          <cell r="E104" t="str">
            <v>COOPERATIVA CENTRAL AURORA ALIMENTO</v>
          </cell>
          <cell r="CD104">
            <v>0</v>
          </cell>
        </row>
        <row r="105">
          <cell r="B105" t="str">
            <v>Frig_Itajaí</v>
          </cell>
          <cell r="D105" t="str">
            <v>Ticket Médio | Armazenagem (BRL)</v>
          </cell>
          <cell r="E105" t="str">
            <v>NATURAFRIG ALIMENTOS LTDA</v>
          </cell>
          <cell r="CD105">
            <v>0</v>
          </cell>
        </row>
        <row r="106">
          <cell r="B106" t="str">
            <v>Frig_Itajaí</v>
          </cell>
          <cell r="D106" t="str">
            <v>Movimentação (Toneladas)</v>
          </cell>
          <cell r="E106" t="str">
            <v>Subtotal</v>
          </cell>
          <cell r="CD106">
            <v>166336.33333333331</v>
          </cell>
        </row>
        <row r="107">
          <cell r="B107" t="str">
            <v>Frig_Itajaí</v>
          </cell>
          <cell r="D107" t="str">
            <v>Movimentação (Toneladas)</v>
          </cell>
          <cell r="E107" t="str">
            <v>BRF S.A</v>
          </cell>
          <cell r="CD107">
            <v>128915</v>
          </cell>
        </row>
        <row r="108">
          <cell r="B108" t="str">
            <v>Frig_Itajaí</v>
          </cell>
          <cell r="D108" t="str">
            <v>Movimentação (Toneladas)</v>
          </cell>
          <cell r="E108" t="str">
            <v>BRF S.A AVES</v>
          </cell>
          <cell r="CD108">
            <v>35872</v>
          </cell>
        </row>
        <row r="109">
          <cell r="B109" t="str">
            <v>Frig_Itajaí</v>
          </cell>
          <cell r="D109" t="str">
            <v>Movimentação (Toneladas)</v>
          </cell>
          <cell r="E109" t="str">
            <v>BRF S.A SUINOS</v>
          </cell>
          <cell r="CD109">
            <v>100890</v>
          </cell>
        </row>
        <row r="110">
          <cell r="B110" t="str">
            <v>Frig_Itajaí</v>
          </cell>
          <cell r="D110" t="str">
            <v>Movimentação (Toneladas)</v>
          </cell>
          <cell r="E110" t="str">
            <v>CAMIL</v>
          </cell>
          <cell r="CD110">
            <v>0</v>
          </cell>
        </row>
        <row r="111">
          <cell r="B111" t="str">
            <v>Frig_Itajaí</v>
          </cell>
          <cell r="D111" t="str">
            <v>Movimentação (Toneladas)</v>
          </cell>
          <cell r="E111" t="str">
            <v>CARRER ALIMENTOS LTDA</v>
          </cell>
          <cell r="CD111">
            <v>0</v>
          </cell>
        </row>
        <row r="112">
          <cell r="B112" t="str">
            <v>Frig_Itajaí</v>
          </cell>
          <cell r="D112" t="str">
            <v>Movimentação (Toneladas)</v>
          </cell>
          <cell r="E112" t="str">
            <v>COOPERATIVA DALIA ALIMENTOS LTDA</v>
          </cell>
          <cell r="CD112">
            <v>6000</v>
          </cell>
        </row>
        <row r="113">
          <cell r="B113" t="str">
            <v>Frig_Itajaí</v>
          </cell>
          <cell r="D113" t="str">
            <v>Movimentação (Toneladas)</v>
          </cell>
          <cell r="E113" t="str">
            <v>GDC ALIMENTOS S.A - POSIÇÕES CHEIAS</v>
          </cell>
          <cell r="CD113">
            <v>15850</v>
          </cell>
        </row>
        <row r="114">
          <cell r="B114" t="str">
            <v>Frig_Itajaí</v>
          </cell>
          <cell r="D114" t="str">
            <v>Movimentação (Toneladas)</v>
          </cell>
          <cell r="E114" t="str">
            <v>OPORTUNIDADE OCIOSIDADE GDC - POSIÇÕES VAZIAS</v>
          </cell>
          <cell r="CD114">
            <v>0</v>
          </cell>
        </row>
        <row r="115">
          <cell r="B115" t="str">
            <v>Frig_Itajaí</v>
          </cell>
          <cell r="D115" t="str">
            <v>Movimentação (Toneladas)</v>
          </cell>
          <cell r="E115" t="str">
            <v>PARKER-MIGLIORINI INTERNATIONAL DO</v>
          </cell>
          <cell r="CD115">
            <v>0</v>
          </cell>
        </row>
        <row r="116">
          <cell r="B116" t="str">
            <v>Frig_Itajaí</v>
          </cell>
          <cell r="D116" t="str">
            <v>Movimentação (Toneladas)</v>
          </cell>
          <cell r="E116" t="str">
            <v>FRIGORIFICO RAINHA DA PAZ LTDA.</v>
          </cell>
          <cell r="CD116">
            <v>0</v>
          </cell>
        </row>
        <row r="117">
          <cell r="B117" t="str">
            <v>Frig_Itajaí</v>
          </cell>
          <cell r="D117" t="str">
            <v>Movimentação (Toneladas)</v>
          </cell>
          <cell r="E117" t="str">
            <v>SEARA</v>
          </cell>
          <cell r="CD117">
            <v>0</v>
          </cell>
        </row>
        <row r="118">
          <cell r="B118" t="str">
            <v>Frig_Itajaí</v>
          </cell>
          <cell r="D118" t="str">
            <v>Movimentação (Toneladas)</v>
          </cell>
          <cell r="E118" t="str">
            <v>TIMBRO</v>
          </cell>
          <cell r="CD118">
            <v>0</v>
          </cell>
        </row>
        <row r="119">
          <cell r="B119" t="str">
            <v>Frig_Itajaí</v>
          </cell>
          <cell r="D119" t="str">
            <v>Movimentação (Toneladas)</v>
          </cell>
          <cell r="E119" t="str">
            <v>AVENORTE AVICOLA CIANORTE LTDA</v>
          </cell>
          <cell r="CD119">
            <v>0</v>
          </cell>
        </row>
        <row r="120">
          <cell r="B120" t="str">
            <v>Frig_Itajaí</v>
          </cell>
          <cell r="D120" t="str">
            <v>Movimentação (Toneladas)</v>
          </cell>
          <cell r="E120" t="str">
            <v>LAMB WESTON</v>
          </cell>
          <cell r="CD120">
            <v>15571.33333333333</v>
          </cell>
        </row>
        <row r="121">
          <cell r="B121" t="str">
            <v>Frig_Itajaí</v>
          </cell>
          <cell r="D121" t="str">
            <v>Movimentação (Toneladas)</v>
          </cell>
          <cell r="E121" t="str">
            <v>COOPERATIVA CENTRAL AURORA ALIMENTO</v>
          </cell>
          <cell r="CD121">
            <v>0</v>
          </cell>
        </row>
        <row r="122">
          <cell r="B122" t="str">
            <v>Frig_Itajaí</v>
          </cell>
          <cell r="D122" t="str">
            <v>Movimentação (Toneladas)</v>
          </cell>
          <cell r="E122" t="str">
            <v>NATURAFRIG ALIMENTOS LTDA</v>
          </cell>
          <cell r="CD122">
            <v>0</v>
          </cell>
        </row>
        <row r="123">
          <cell r="B123" t="str">
            <v>Frig_Itajaí</v>
          </cell>
          <cell r="D123" t="str">
            <v>Giro</v>
          </cell>
          <cell r="E123" t="str">
            <v>Subtotal</v>
          </cell>
        </row>
        <row r="124">
          <cell r="B124" t="str">
            <v>Frig_Itajaí</v>
          </cell>
          <cell r="D124" t="str">
            <v>Giro</v>
          </cell>
          <cell r="E124" t="str">
            <v>BRF S.A</v>
          </cell>
        </row>
        <row r="125">
          <cell r="B125" t="str">
            <v>Frig_Itajaí</v>
          </cell>
          <cell r="D125" t="str">
            <v>Giro</v>
          </cell>
          <cell r="E125" t="str">
            <v>BRF S.A AVES</v>
          </cell>
        </row>
        <row r="126">
          <cell r="B126" t="str">
            <v>Frig_Itajaí</v>
          </cell>
          <cell r="D126" t="str">
            <v>Giro</v>
          </cell>
          <cell r="E126" t="str">
            <v>BRF S.A SUINOS</v>
          </cell>
        </row>
        <row r="127">
          <cell r="B127" t="str">
            <v>Frig_Itajaí</v>
          </cell>
          <cell r="D127" t="str">
            <v>Giro</v>
          </cell>
          <cell r="E127" t="str">
            <v>CAMIL</v>
          </cell>
        </row>
        <row r="128">
          <cell r="B128" t="str">
            <v>Frig_Itajaí</v>
          </cell>
          <cell r="D128" t="str">
            <v>Giro</v>
          </cell>
          <cell r="E128" t="str">
            <v>CARRER ALIMENTOS LTDA</v>
          </cell>
        </row>
        <row r="129">
          <cell r="B129" t="str">
            <v>Frig_Itajaí</v>
          </cell>
          <cell r="D129" t="str">
            <v>Giro</v>
          </cell>
          <cell r="E129" t="str">
            <v>COOPERATIVA DALIA ALIMENTOS LTDA</v>
          </cell>
        </row>
        <row r="130">
          <cell r="B130" t="str">
            <v>Frig_Itajaí</v>
          </cell>
          <cell r="D130" t="str">
            <v>Giro</v>
          </cell>
          <cell r="E130" t="str">
            <v>GDC ALIMENTOS S.A - POSIÇÕES CHEIAS</v>
          </cell>
        </row>
        <row r="131">
          <cell r="B131" t="str">
            <v>Frig_Itajaí</v>
          </cell>
          <cell r="D131" t="str">
            <v>Giro</v>
          </cell>
          <cell r="E131" t="str">
            <v>OPORTUNIDADE OCIOSIDADE GDC - POSIÇÕES VAZIAS</v>
          </cell>
        </row>
        <row r="132">
          <cell r="B132" t="str">
            <v>Frig_Itajaí</v>
          </cell>
          <cell r="D132" t="str">
            <v>Giro</v>
          </cell>
          <cell r="E132" t="str">
            <v>PARKER-MIGLIORINI INTERNATIONAL DO</v>
          </cell>
        </row>
        <row r="133">
          <cell r="B133" t="str">
            <v>Frig_Itajaí</v>
          </cell>
          <cell r="D133" t="str">
            <v>Giro</v>
          </cell>
          <cell r="E133" t="str">
            <v>FRIGORIFICO RAINHA DA PAZ LTDA.</v>
          </cell>
        </row>
        <row r="134">
          <cell r="B134" t="str">
            <v>Frig_Itajaí</v>
          </cell>
          <cell r="D134" t="str">
            <v>Giro</v>
          </cell>
          <cell r="E134" t="str">
            <v>SEARA</v>
          </cell>
        </row>
        <row r="135">
          <cell r="B135" t="str">
            <v>Frig_Itajaí</v>
          </cell>
          <cell r="D135" t="str">
            <v>Giro</v>
          </cell>
          <cell r="E135" t="str">
            <v>TIMBRO</v>
          </cell>
        </row>
        <row r="136">
          <cell r="B136" t="str">
            <v>Frig_Itajaí</v>
          </cell>
          <cell r="D136" t="str">
            <v>Giro</v>
          </cell>
          <cell r="E136" t="str">
            <v>AVENORTE AVICOLA CIANORTE LTDA</v>
          </cell>
        </row>
        <row r="137">
          <cell r="B137" t="str">
            <v>Frig_Itajaí</v>
          </cell>
          <cell r="D137" t="str">
            <v>Giro</v>
          </cell>
          <cell r="E137" t="str">
            <v>LAMB WESTON</v>
          </cell>
        </row>
        <row r="138">
          <cell r="B138" t="str">
            <v>Frig_Itajaí</v>
          </cell>
          <cell r="D138" t="str">
            <v>Giro</v>
          </cell>
          <cell r="E138" t="str">
            <v>COOPERATIVA CENTRAL AURORA ALIMENTO</v>
          </cell>
        </row>
        <row r="139">
          <cell r="B139" t="str">
            <v>Frig_Itajaí</v>
          </cell>
          <cell r="D139" t="str">
            <v>Giro</v>
          </cell>
          <cell r="E139" t="str">
            <v>NATURAFRIG ALIMENTOS LTDA</v>
          </cell>
        </row>
        <row r="140">
          <cell r="B140" t="str">
            <v>Frig_Itajaí</v>
          </cell>
          <cell r="D140" t="str">
            <v>Faturamento | Movimentação (BRL'000)</v>
          </cell>
          <cell r="E140" t="str">
            <v>Subtotal</v>
          </cell>
          <cell r="CD140">
            <v>7359.4266345280857</v>
          </cell>
        </row>
        <row r="141">
          <cell r="B141" t="str">
            <v>Frig_Itajaí</v>
          </cell>
          <cell r="D141" t="str">
            <v>Faturamento | Movimentação (BRL'000)</v>
          </cell>
          <cell r="E141" t="str">
            <v>BRF S.A</v>
          </cell>
          <cell r="CD141">
            <v>5510.6137734335834</v>
          </cell>
        </row>
        <row r="142">
          <cell r="B142" t="str">
            <v>Frig_Itajaí</v>
          </cell>
          <cell r="D142" t="str">
            <v>Faturamento | Movimentação (BRL'000)</v>
          </cell>
          <cell r="E142" t="str">
            <v>CAMIL</v>
          </cell>
          <cell r="CD142">
            <v>0</v>
          </cell>
        </row>
        <row r="143">
          <cell r="B143" t="str">
            <v>Frig_Itajaí</v>
          </cell>
          <cell r="D143" t="str">
            <v>Faturamento | Movimentação (BRL'000)</v>
          </cell>
          <cell r="E143" t="str">
            <v>CARRER ALIMENTOS LTDA</v>
          </cell>
          <cell r="CD143">
            <v>0</v>
          </cell>
        </row>
        <row r="144">
          <cell r="B144" t="str">
            <v>Frig_Itajaí</v>
          </cell>
          <cell r="D144" t="str">
            <v>Faturamento | Movimentação (BRL'000)</v>
          </cell>
          <cell r="E144" t="str">
            <v>COOPERATIVA DALIA ALIMENTOS LTDA</v>
          </cell>
          <cell r="CD144">
            <v>0</v>
          </cell>
        </row>
        <row r="145">
          <cell r="B145" t="str">
            <v>Frig_Itajaí</v>
          </cell>
          <cell r="D145" t="str">
            <v>Faturamento | Movimentação (BRL'000)</v>
          </cell>
          <cell r="E145" t="str">
            <v>GDC ALIMENTOS S.A - POSIÇÕES CHEIAS</v>
          </cell>
          <cell r="CD145">
            <v>373.11760109450341</v>
          </cell>
        </row>
        <row r="146">
          <cell r="B146" t="str">
            <v>Frig_Itajaí</v>
          </cell>
          <cell r="D146" t="str">
            <v>Faturamento | Movimentação (BRL'000)</v>
          </cell>
          <cell r="E146" t="str">
            <v>OPORTUNIDADE OCIOSIDADE GDC - POSIÇÕES VAZIAS</v>
          </cell>
          <cell r="CD146">
            <v>0</v>
          </cell>
        </row>
        <row r="147">
          <cell r="B147" t="str">
            <v>Frig_Itajaí</v>
          </cell>
          <cell r="D147" t="str">
            <v>Faturamento | Movimentação (BRL'000)</v>
          </cell>
          <cell r="E147" t="str">
            <v>PARKER-MIGLIORINI INTERNATIONAL DO</v>
          </cell>
          <cell r="CD147">
            <v>0</v>
          </cell>
        </row>
        <row r="148">
          <cell r="B148" t="str">
            <v>Frig_Itajaí</v>
          </cell>
          <cell r="D148" t="str">
            <v>Faturamento | Movimentação (BRL'000)</v>
          </cell>
          <cell r="E148" t="str">
            <v>FRIGORIFICO RAINHA DA PAZ LTDA.</v>
          </cell>
          <cell r="CD148">
            <v>0</v>
          </cell>
        </row>
        <row r="149">
          <cell r="B149" t="str">
            <v>Frig_Itajaí</v>
          </cell>
          <cell r="D149" t="str">
            <v>Faturamento | Movimentação (BRL'000)</v>
          </cell>
          <cell r="E149" t="str">
            <v>SEARA</v>
          </cell>
          <cell r="CD149">
            <v>0</v>
          </cell>
        </row>
        <row r="150">
          <cell r="B150" t="str">
            <v>Frig_Itajaí</v>
          </cell>
          <cell r="D150" t="str">
            <v>Faturamento | Movimentação (BRL'000)</v>
          </cell>
          <cell r="E150" t="str">
            <v>TIMBRO</v>
          </cell>
          <cell r="CD150">
            <v>0</v>
          </cell>
        </row>
        <row r="151">
          <cell r="B151" t="str">
            <v>Frig_Itajaí</v>
          </cell>
          <cell r="D151" t="str">
            <v>Faturamento | Movimentação (BRL'000)</v>
          </cell>
          <cell r="E151" t="str">
            <v>AVENORTE AVICOLA CIANORTE LTDA</v>
          </cell>
          <cell r="CD151">
            <v>0</v>
          </cell>
        </row>
        <row r="152">
          <cell r="B152" t="str">
            <v>Frig_Itajaí</v>
          </cell>
          <cell r="D152" t="str">
            <v>Faturamento | Movimentação (BRL'000)</v>
          </cell>
          <cell r="E152" t="str">
            <v>LAMB WESTON</v>
          </cell>
          <cell r="CD152">
            <v>1475.69526</v>
          </cell>
        </row>
        <row r="153">
          <cell r="B153" t="str">
            <v>Frig_Itajaí</v>
          </cell>
          <cell r="D153" t="str">
            <v>Faturamento | Movimentação (BRL'000)</v>
          </cell>
          <cell r="E153" t="str">
            <v>COOPERATIVA CENTRAL AURORA ALIMENTO</v>
          </cell>
          <cell r="CD153">
            <v>0</v>
          </cell>
        </row>
        <row r="154">
          <cell r="B154" t="str">
            <v>Frig_Itajaí</v>
          </cell>
          <cell r="D154" t="str">
            <v>Faturamento | Movimentação (BRL'000)</v>
          </cell>
          <cell r="E154" t="str">
            <v>NATURAFRIG ALIMENTOS LTDA</v>
          </cell>
          <cell r="CD154">
            <v>0</v>
          </cell>
        </row>
        <row r="155">
          <cell r="B155" t="str">
            <v>Frig_Itajaí</v>
          </cell>
          <cell r="D155" t="str">
            <v>Ticket Médio | Movimentação (BRL)</v>
          </cell>
          <cell r="E155" t="str">
            <v>Subtotal</v>
          </cell>
          <cell r="CD155">
            <v>44.268553202285041</v>
          </cell>
        </row>
        <row r="156">
          <cell r="B156" t="str">
            <v>Frig_Itajaí</v>
          </cell>
          <cell r="D156" t="str">
            <v>Ticket Médio | Movimentação (BRL)</v>
          </cell>
          <cell r="E156" t="str">
            <v>BRF S.A</v>
          </cell>
          <cell r="CD156">
            <v>42.739483564144066</v>
          </cell>
        </row>
        <row r="157">
          <cell r="B157" t="str">
            <v>Frig_Itajaí</v>
          </cell>
          <cell r="D157" t="str">
            <v>Ticket Médio | Movimentação (BRL)</v>
          </cell>
          <cell r="E157" t="str">
            <v>CAMIL</v>
          </cell>
          <cell r="CD157">
            <v>0</v>
          </cell>
        </row>
        <row r="158">
          <cell r="B158" t="str">
            <v>Frig_Itajaí</v>
          </cell>
          <cell r="D158" t="str">
            <v>Ticket Médio | Movimentação (BRL)</v>
          </cell>
          <cell r="E158" t="str">
            <v>CARRER ALIMENTOS LTDA</v>
          </cell>
          <cell r="CD158">
            <v>0</v>
          </cell>
        </row>
        <row r="159">
          <cell r="B159" t="str">
            <v>Frig_Itajaí</v>
          </cell>
          <cell r="D159" t="str">
            <v>Ticket Médio | Movimentação (BRL)</v>
          </cell>
          <cell r="E159" t="str">
            <v>COOPERATIVA DALIA ALIMENTOS LTDA</v>
          </cell>
          <cell r="CD159">
            <v>0</v>
          </cell>
        </row>
        <row r="160">
          <cell r="B160" t="str">
            <v>Frig_Itajaí</v>
          </cell>
          <cell r="D160" t="str">
            <v>Ticket Médio | Movimentação (BRL)</v>
          </cell>
          <cell r="E160" t="str">
            <v>GDC ALIMENTOS S.A - POSIÇÕES CHEIAS</v>
          </cell>
          <cell r="CD160">
            <v>23.58757583981026</v>
          </cell>
        </row>
        <row r="161">
          <cell r="B161" t="str">
            <v>Frig_Itajaí</v>
          </cell>
          <cell r="D161" t="str">
            <v>Ticket Médio | Movimentação (BRL)</v>
          </cell>
          <cell r="E161" t="str">
            <v>OPORTUNIDADE OCIOSIDADE GDC - POSIÇÕES VAZIAS</v>
          </cell>
          <cell r="CD161">
            <v>0</v>
          </cell>
        </row>
        <row r="162">
          <cell r="B162" t="str">
            <v>Frig_Itajaí</v>
          </cell>
          <cell r="D162" t="str">
            <v>Ticket Médio | Movimentação (BRL)</v>
          </cell>
          <cell r="E162" t="str">
            <v>PARKER-MIGLIORINI INTERNATIONAL DO</v>
          </cell>
          <cell r="CD162">
            <v>0</v>
          </cell>
        </row>
        <row r="163">
          <cell r="B163" t="str">
            <v>Frig_Itajaí</v>
          </cell>
          <cell r="D163" t="str">
            <v>Ticket Médio | Movimentação (BRL)</v>
          </cell>
          <cell r="E163" t="str">
            <v>FRIGORIFICO RAINHA DA PAZ LTDA.</v>
          </cell>
          <cell r="CD163">
            <v>0</v>
          </cell>
        </row>
        <row r="164">
          <cell r="B164" t="str">
            <v>Frig_Itajaí</v>
          </cell>
          <cell r="D164" t="str">
            <v>Ticket Médio | Movimentação (BRL)</v>
          </cell>
          <cell r="E164" t="str">
            <v>SEARA</v>
          </cell>
          <cell r="CD164">
            <v>0</v>
          </cell>
        </row>
        <row r="165">
          <cell r="B165" t="str">
            <v>Frig_Itajaí</v>
          </cell>
          <cell r="D165" t="str">
            <v>Ticket Médio | Movimentação (BRL)</v>
          </cell>
          <cell r="E165" t="str">
            <v>TIMBRO</v>
          </cell>
          <cell r="CD165">
            <v>0</v>
          </cell>
        </row>
        <row r="166">
          <cell r="B166" t="str">
            <v>Frig_Itajaí</v>
          </cell>
          <cell r="D166" t="str">
            <v>Ticket Médio | Movimentação (BRL)</v>
          </cell>
          <cell r="E166" t="str">
            <v>AVENORTE AVICOLA CIANORTE LTDA</v>
          </cell>
          <cell r="CD166">
            <v>34.217375655468402</v>
          </cell>
        </row>
        <row r="167">
          <cell r="B167" t="str">
            <v>Frig_Itajaí</v>
          </cell>
          <cell r="D167" t="str">
            <v>Ticket Médio | Movimentação (BRL)</v>
          </cell>
          <cell r="E167" t="str">
            <v>LAMB WESTON</v>
          </cell>
          <cell r="CD167">
            <v>94.77</v>
          </cell>
        </row>
        <row r="168">
          <cell r="B168" t="str">
            <v>Frig_Itajaí</v>
          </cell>
          <cell r="D168" t="str">
            <v>Ticket Médio | Movimentação (BRL)</v>
          </cell>
          <cell r="E168" t="str">
            <v>COOPERATIVA CENTRAL AURORA ALIMENTO</v>
          </cell>
          <cell r="CD168">
            <v>56.469785277759378</v>
          </cell>
        </row>
        <row r="169">
          <cell r="B169" t="str">
            <v>Frig_Itajaí</v>
          </cell>
          <cell r="D169" t="str">
            <v>Ticket Médio | Movimentação (BRL)</v>
          </cell>
          <cell r="E169" t="str">
            <v>NATURAFRIG ALIMENTOS LTDA</v>
          </cell>
          <cell r="CD169">
            <v>0</v>
          </cell>
        </row>
        <row r="170">
          <cell r="B170" t="str">
            <v>Frig_Itajaí</v>
          </cell>
          <cell r="D170" t="str">
            <v>Locação</v>
          </cell>
          <cell r="E170" t="str">
            <v>Subtotal</v>
          </cell>
          <cell r="CD170">
            <v>0</v>
          </cell>
        </row>
        <row r="171">
          <cell r="B171" t="str">
            <v>Frig_Itajaí</v>
          </cell>
          <cell r="D171" t="str">
            <v>Locação</v>
          </cell>
          <cell r="E171" t="str">
            <v>BRF S.A</v>
          </cell>
          <cell r="CD171">
            <v>0</v>
          </cell>
        </row>
        <row r="172">
          <cell r="B172" t="str">
            <v>Frig_Itajaí</v>
          </cell>
          <cell r="D172" t="str">
            <v>Locação</v>
          </cell>
          <cell r="E172" t="str">
            <v>CAMIL</v>
          </cell>
          <cell r="CD172">
            <v>0</v>
          </cell>
        </row>
        <row r="173">
          <cell r="B173" t="str">
            <v>Frig_Itajaí</v>
          </cell>
          <cell r="D173" t="str">
            <v>Locação</v>
          </cell>
          <cell r="E173" t="str">
            <v>CARRER ALIMENTOS LTDA</v>
          </cell>
          <cell r="CD173">
            <v>0</v>
          </cell>
        </row>
        <row r="174">
          <cell r="B174" t="str">
            <v>Frig_Itajaí</v>
          </cell>
          <cell r="D174" t="str">
            <v>Locação</v>
          </cell>
          <cell r="E174" t="str">
            <v>COOPERATIVA DALIA ALIMENTOS LTDA</v>
          </cell>
          <cell r="CD174">
            <v>0</v>
          </cell>
        </row>
        <row r="175">
          <cell r="B175" t="str">
            <v>Frig_Itajaí</v>
          </cell>
          <cell r="D175" t="str">
            <v>Locação</v>
          </cell>
          <cell r="E175" t="str">
            <v>GDC ALIMENTOS S.A - POSIÇÕES CHEIAS</v>
          </cell>
          <cell r="CD175">
            <v>0</v>
          </cell>
        </row>
        <row r="176">
          <cell r="B176" t="str">
            <v>Frig_Itajaí</v>
          </cell>
          <cell r="D176" t="str">
            <v>Locação</v>
          </cell>
          <cell r="E176" t="str">
            <v>OPORTUNIDADE OCIOSIDADE GDC - POSIÇÕES VAZIAS</v>
          </cell>
          <cell r="CD176">
            <v>0</v>
          </cell>
        </row>
        <row r="177">
          <cell r="B177" t="str">
            <v>Frig_Itajaí</v>
          </cell>
          <cell r="D177" t="str">
            <v>Locação</v>
          </cell>
          <cell r="E177" t="str">
            <v>PARKER-MIGLIORINI INTERNATIONAL DO</v>
          </cell>
          <cell r="CD177">
            <v>0</v>
          </cell>
        </row>
        <row r="178">
          <cell r="B178" t="str">
            <v>Frig_Itajaí</v>
          </cell>
          <cell r="D178" t="str">
            <v>Locação</v>
          </cell>
          <cell r="E178" t="str">
            <v>FRIGORIFICO RAINHA DA PAZ LTDA.</v>
          </cell>
          <cell r="CD178">
            <v>0</v>
          </cell>
        </row>
        <row r="179">
          <cell r="B179" t="str">
            <v>Frig_Itajaí</v>
          </cell>
          <cell r="D179" t="str">
            <v>Locação</v>
          </cell>
          <cell r="E179" t="str">
            <v>SEARA</v>
          </cell>
          <cell r="CD179">
            <v>0</v>
          </cell>
        </row>
        <row r="180">
          <cell r="B180" t="str">
            <v>Frig_Itajaí</v>
          </cell>
          <cell r="D180" t="str">
            <v>Locação</v>
          </cell>
          <cell r="E180" t="str">
            <v>TIMBRO</v>
          </cell>
          <cell r="CD180">
            <v>0</v>
          </cell>
        </row>
        <row r="181">
          <cell r="B181" t="str">
            <v>Frig_Itajaí</v>
          </cell>
          <cell r="D181" t="str">
            <v>Locação</v>
          </cell>
          <cell r="E181" t="str">
            <v>AVENORTE AVICOLA CIANORTE LTDA</v>
          </cell>
          <cell r="CD181">
            <v>0</v>
          </cell>
        </row>
        <row r="182">
          <cell r="B182" t="str">
            <v>Frig_Itajaí</v>
          </cell>
          <cell r="D182" t="str">
            <v>Locação</v>
          </cell>
          <cell r="E182" t="str">
            <v>LAMB WESTON</v>
          </cell>
          <cell r="CD182">
            <v>0</v>
          </cell>
        </row>
        <row r="183">
          <cell r="B183" t="str">
            <v>Frig_Itajaí</v>
          </cell>
          <cell r="D183" t="str">
            <v>Locação</v>
          </cell>
          <cell r="E183" t="str">
            <v>COOPERATIVA CENTRAL AURORA ALIMENTO</v>
          </cell>
          <cell r="CD183">
            <v>0</v>
          </cell>
        </row>
        <row r="184">
          <cell r="B184" t="str">
            <v>Frig_Itajaí</v>
          </cell>
          <cell r="D184" t="str">
            <v>Locação</v>
          </cell>
          <cell r="E184" t="str">
            <v>NATURAFRIG ALIMENTOS LTDA</v>
          </cell>
          <cell r="CD184">
            <v>0</v>
          </cell>
        </row>
        <row r="185">
          <cell r="B185" t="str">
            <v>Frig_Itajaí</v>
          </cell>
          <cell r="D185" t="str">
            <v>Faturamento | Locação (BRL'000)</v>
          </cell>
          <cell r="E185" t="str">
            <v>Subtotal</v>
          </cell>
          <cell r="CD185">
            <v>0</v>
          </cell>
        </row>
        <row r="186">
          <cell r="B186" t="str">
            <v>Frig_Itajaí</v>
          </cell>
          <cell r="D186" t="str">
            <v>Faturamento | Locação (BRL'000)</v>
          </cell>
          <cell r="E186" t="str">
            <v>BRF S.A</v>
          </cell>
          <cell r="CD186">
            <v>0</v>
          </cell>
        </row>
        <row r="187">
          <cell r="B187" t="str">
            <v>Frig_Itajaí</v>
          </cell>
          <cell r="D187" t="str">
            <v>Faturamento | Locação (BRL'000)</v>
          </cell>
          <cell r="E187" t="str">
            <v>CAMIL</v>
          </cell>
          <cell r="CD187">
            <v>0</v>
          </cell>
        </row>
        <row r="188">
          <cell r="B188" t="str">
            <v>Frig_Itajaí</v>
          </cell>
          <cell r="D188" t="str">
            <v>Faturamento | Locação (BRL'000)</v>
          </cell>
          <cell r="E188" t="str">
            <v>CARRER ALIMENTOS LTDA</v>
          </cell>
          <cell r="CD188">
            <v>0</v>
          </cell>
        </row>
        <row r="189">
          <cell r="B189" t="str">
            <v>Frig_Itajaí</v>
          </cell>
          <cell r="D189" t="str">
            <v>Faturamento | Locação (BRL'000)</v>
          </cell>
          <cell r="E189" t="str">
            <v>COOPERATIVA DALIA ALIMENTOS LTDA</v>
          </cell>
          <cell r="CD189">
            <v>0</v>
          </cell>
        </row>
        <row r="190">
          <cell r="B190" t="str">
            <v>Frig_Itajaí</v>
          </cell>
          <cell r="D190" t="str">
            <v>Faturamento | Locação (BRL'000)</v>
          </cell>
          <cell r="E190" t="str">
            <v>GDC ALIMENTOS S.A - POSIÇÕES CHEIAS</v>
          </cell>
          <cell r="CD190">
            <v>0</v>
          </cell>
        </row>
        <row r="191">
          <cell r="B191" t="str">
            <v>Frig_Itajaí</v>
          </cell>
          <cell r="D191" t="str">
            <v>Faturamento | Locação (BRL'000)</v>
          </cell>
          <cell r="E191" t="str">
            <v>OPORTUNIDADE OCIOSIDADE GDC - POSIÇÕES VAZIAS</v>
          </cell>
          <cell r="CD191">
            <v>0</v>
          </cell>
        </row>
        <row r="192">
          <cell r="B192" t="str">
            <v>Frig_Itajaí</v>
          </cell>
          <cell r="D192" t="str">
            <v>Faturamento | Locação (BRL'000)</v>
          </cell>
          <cell r="E192" t="str">
            <v>PARKER-MIGLIORINI INTERNATIONAL DO</v>
          </cell>
          <cell r="CD192">
            <v>0</v>
          </cell>
        </row>
        <row r="193">
          <cell r="B193" t="str">
            <v>Frig_Itajaí</v>
          </cell>
          <cell r="D193" t="str">
            <v>Faturamento | Locação (BRL'000)</v>
          </cell>
          <cell r="E193" t="str">
            <v>FRIGORIFICO RAINHA DA PAZ LTDA.</v>
          </cell>
          <cell r="CD193">
            <v>0</v>
          </cell>
        </row>
        <row r="194">
          <cell r="B194" t="str">
            <v>Frig_Itajaí</v>
          </cell>
          <cell r="D194" t="str">
            <v>Faturamento | Locação (BRL'000)</v>
          </cell>
          <cell r="E194" t="str">
            <v>SEARA</v>
          </cell>
          <cell r="CD194">
            <v>0</v>
          </cell>
        </row>
        <row r="195">
          <cell r="B195" t="str">
            <v>Frig_Itajaí</v>
          </cell>
          <cell r="D195" t="str">
            <v>Faturamento | Locação (BRL'000)</v>
          </cell>
          <cell r="E195" t="str">
            <v>TIMBRO</v>
          </cell>
          <cell r="CD195">
            <v>0</v>
          </cell>
        </row>
        <row r="196">
          <cell r="B196" t="str">
            <v>Frig_Itajaí</v>
          </cell>
          <cell r="D196" t="str">
            <v>Faturamento | Locação (BRL'000)</v>
          </cell>
          <cell r="E196" t="str">
            <v>AVENORTE AVICOLA CIANORTE LTDA</v>
          </cell>
          <cell r="CD196">
            <v>0</v>
          </cell>
        </row>
        <row r="197">
          <cell r="B197" t="str">
            <v>Frig_Itajaí</v>
          </cell>
          <cell r="D197" t="str">
            <v>Faturamento | Locação (BRL'000)</v>
          </cell>
          <cell r="E197" t="str">
            <v>LAMB WESTON</v>
          </cell>
          <cell r="CD197">
            <v>0</v>
          </cell>
        </row>
        <row r="198">
          <cell r="B198" t="str">
            <v>Frig_Itajaí</v>
          </cell>
          <cell r="D198" t="str">
            <v>Faturamento | Locação (BRL'000)</v>
          </cell>
          <cell r="E198" t="str">
            <v>COOPERATIVA CENTRAL AURORA ALIMENTO</v>
          </cell>
          <cell r="CD198">
            <v>0</v>
          </cell>
        </row>
        <row r="199">
          <cell r="B199" t="str">
            <v>Frig_Itajaí</v>
          </cell>
          <cell r="D199" t="str">
            <v>Faturamento | Locação (BRL'000)</v>
          </cell>
          <cell r="E199" t="str">
            <v>NATURAFRIG ALIMENTOS LTDA</v>
          </cell>
          <cell r="CD199">
            <v>0</v>
          </cell>
        </row>
        <row r="200">
          <cell r="B200" t="str">
            <v>Frig_Itajaí</v>
          </cell>
          <cell r="D200" t="str">
            <v>Ticket Médio | Locação (BRL)</v>
          </cell>
          <cell r="E200" t="str">
            <v>Subtotal</v>
          </cell>
          <cell r="CD200">
            <v>0</v>
          </cell>
        </row>
        <row r="201">
          <cell r="B201" t="str">
            <v>Frig_Itajaí</v>
          </cell>
          <cell r="D201" t="str">
            <v>Ticket Médio | Locação (BRL)</v>
          </cell>
          <cell r="E201" t="str">
            <v>BRF S.A</v>
          </cell>
          <cell r="CD201">
            <v>0</v>
          </cell>
        </row>
        <row r="202">
          <cell r="B202" t="str">
            <v>Frig_Itajaí</v>
          </cell>
          <cell r="D202" t="str">
            <v>Ticket Médio | Locação (BRL)</v>
          </cell>
          <cell r="E202" t="str">
            <v>CAMIL</v>
          </cell>
          <cell r="CD202">
            <v>0</v>
          </cell>
        </row>
        <row r="203">
          <cell r="B203" t="str">
            <v>Frig_Itajaí</v>
          </cell>
          <cell r="D203" t="str">
            <v>Ticket Médio | Locação (BRL)</v>
          </cell>
          <cell r="E203" t="str">
            <v>CARRER ALIMENTOS LTDA</v>
          </cell>
          <cell r="CD203">
            <v>0</v>
          </cell>
        </row>
        <row r="204">
          <cell r="B204" t="str">
            <v>Frig_Itajaí</v>
          </cell>
          <cell r="D204" t="str">
            <v>Ticket Médio | Locação (BRL)</v>
          </cell>
          <cell r="E204" t="str">
            <v>COOPERATIVA DALIA ALIMENTOS LTDA</v>
          </cell>
          <cell r="CD204">
            <v>0</v>
          </cell>
        </row>
        <row r="205">
          <cell r="B205" t="str">
            <v>Frig_Itajaí</v>
          </cell>
          <cell r="D205" t="str">
            <v>Ticket Médio | Locação (BRL)</v>
          </cell>
          <cell r="E205" t="str">
            <v>GDC ALIMENTOS S.A - POSIÇÕES CHEIAS</v>
          </cell>
          <cell r="CD205">
            <v>0</v>
          </cell>
        </row>
        <row r="206">
          <cell r="B206" t="str">
            <v>Frig_Itajaí</v>
          </cell>
          <cell r="D206" t="str">
            <v>Ticket Médio | Locação (BRL)</v>
          </cell>
          <cell r="E206" t="str">
            <v>OPORTUNIDADE OCIOSIDADE GDC - POSIÇÕES VAZIAS</v>
          </cell>
          <cell r="CD206">
            <v>0</v>
          </cell>
        </row>
        <row r="207">
          <cell r="B207" t="str">
            <v>Frig_Itajaí</v>
          </cell>
          <cell r="D207" t="str">
            <v>Ticket Médio | Locação (BRL)</v>
          </cell>
          <cell r="E207" t="str">
            <v>PARKER-MIGLIORINI INTERNATIONAL DO</v>
          </cell>
          <cell r="CD207">
            <v>0</v>
          </cell>
        </row>
        <row r="208">
          <cell r="B208" t="str">
            <v>Frig_Itajaí</v>
          </cell>
          <cell r="D208" t="str">
            <v>Ticket Médio | Locação (BRL)</v>
          </cell>
          <cell r="E208" t="str">
            <v>FRIGORIFICO RAINHA DA PAZ LTDA.</v>
          </cell>
          <cell r="CD208">
            <v>0</v>
          </cell>
        </row>
        <row r="209">
          <cell r="B209" t="str">
            <v>Frig_Itajaí</v>
          </cell>
          <cell r="D209" t="str">
            <v>Ticket Médio | Locação (BRL)</v>
          </cell>
          <cell r="E209" t="str">
            <v>SEARA</v>
          </cell>
          <cell r="CD209">
            <v>0</v>
          </cell>
        </row>
        <row r="210">
          <cell r="B210" t="str">
            <v>Frig_Itajaí</v>
          </cell>
          <cell r="D210" t="str">
            <v>Ticket Médio | Locação (BRL)</v>
          </cell>
          <cell r="E210" t="str">
            <v>TIMBRO</v>
          </cell>
          <cell r="CD210">
            <v>0</v>
          </cell>
        </row>
        <row r="211">
          <cell r="B211" t="str">
            <v>Frig_Itajaí</v>
          </cell>
          <cell r="D211" t="str">
            <v>Ticket Médio | Locação (BRL)</v>
          </cell>
          <cell r="E211" t="str">
            <v>AVENORTE AVICOLA CIANORTE LTDA</v>
          </cell>
          <cell r="CD211">
            <v>0</v>
          </cell>
        </row>
        <row r="212">
          <cell r="B212" t="str">
            <v>Frig_Itajaí</v>
          </cell>
          <cell r="D212" t="str">
            <v>Ticket Médio | Locação (BRL)</v>
          </cell>
          <cell r="E212" t="str">
            <v>LAMB WESTON</v>
          </cell>
          <cell r="CD212">
            <v>0</v>
          </cell>
        </row>
        <row r="213">
          <cell r="B213" t="str">
            <v>Frig_Itajaí</v>
          </cell>
          <cell r="D213" t="str">
            <v>Ticket Médio | Locação (BRL)</v>
          </cell>
          <cell r="E213" t="str">
            <v>COOPERATIVA CENTRAL AURORA ALIMENTO</v>
          </cell>
          <cell r="CD213">
            <v>0</v>
          </cell>
        </row>
        <row r="214">
          <cell r="B214" t="str">
            <v>Frig_Itajaí</v>
          </cell>
          <cell r="D214" t="str">
            <v>Ticket Médio | Locação (BRL)</v>
          </cell>
          <cell r="E214" t="str">
            <v>NATURAFRIG ALIMENTOS LTDA</v>
          </cell>
          <cell r="CD214">
            <v>0</v>
          </cell>
        </row>
        <row r="215">
          <cell r="B215" t="str">
            <v>Frig_Itajaí</v>
          </cell>
          <cell r="D215" t="str">
            <v>Plugagem</v>
          </cell>
          <cell r="E215" t="str">
            <v>Subtotal</v>
          </cell>
          <cell r="CD215">
            <v>17756.047352053291</v>
          </cell>
        </row>
        <row r="216">
          <cell r="B216" t="str">
            <v>Frig_Itajaí</v>
          </cell>
          <cell r="D216" t="str">
            <v>Plugagem</v>
          </cell>
          <cell r="E216" t="str">
            <v>BRF S.A</v>
          </cell>
          <cell r="CD216">
            <v>15526.358363214509</v>
          </cell>
        </row>
        <row r="217">
          <cell r="B217" t="str">
            <v>Frig_Itajaí</v>
          </cell>
          <cell r="D217" t="str">
            <v>Plugagem</v>
          </cell>
          <cell r="E217" t="str">
            <v>CAMIL</v>
          </cell>
          <cell r="CD217">
            <v>0</v>
          </cell>
        </row>
        <row r="218">
          <cell r="B218" t="str">
            <v>Frig_Itajaí</v>
          </cell>
          <cell r="D218" t="str">
            <v>Plugagem</v>
          </cell>
          <cell r="E218" t="str">
            <v>CARRER ALIMENTOS LTDA</v>
          </cell>
          <cell r="CD218">
            <v>0</v>
          </cell>
        </row>
        <row r="219">
          <cell r="B219" t="str">
            <v>Frig_Itajaí</v>
          </cell>
          <cell r="D219" t="str">
            <v>Plugagem</v>
          </cell>
          <cell r="E219" t="str">
            <v>COOPERATIVA DALIA ALIMENTOS LTDA</v>
          </cell>
          <cell r="CD219">
            <v>2229.68898883878</v>
          </cell>
        </row>
        <row r="220">
          <cell r="B220" t="str">
            <v>Frig_Itajaí</v>
          </cell>
          <cell r="D220" t="str">
            <v>Plugagem</v>
          </cell>
          <cell r="E220" t="str">
            <v>GDC ALIMENTOS S.A - POSIÇÕES CHEIAS</v>
          </cell>
          <cell r="CD220">
            <v>0</v>
          </cell>
        </row>
        <row r="221">
          <cell r="B221" t="str">
            <v>Frig_Itajaí</v>
          </cell>
          <cell r="D221" t="str">
            <v>Plugagem</v>
          </cell>
          <cell r="E221" t="str">
            <v>OPORTUNIDADE OCIOSIDADE GDC - POSIÇÕES VAZIAS</v>
          </cell>
          <cell r="CD221">
            <v>0</v>
          </cell>
        </row>
        <row r="222">
          <cell r="B222" t="str">
            <v>Frig_Itajaí</v>
          </cell>
          <cell r="D222" t="str">
            <v>Plugagem</v>
          </cell>
          <cell r="E222" t="str">
            <v>PARKER-MIGLIORINI INTERNATIONAL DO</v>
          </cell>
          <cell r="CD222">
            <v>0</v>
          </cell>
        </row>
        <row r="223">
          <cell r="B223" t="str">
            <v>Frig_Itajaí</v>
          </cell>
          <cell r="D223" t="str">
            <v>Plugagem</v>
          </cell>
          <cell r="E223" t="str">
            <v>FRIGORIFICO RAINHA DA PAZ LTDA.</v>
          </cell>
          <cell r="CD223">
            <v>0</v>
          </cell>
        </row>
        <row r="224">
          <cell r="B224" t="str">
            <v>Frig_Itajaí</v>
          </cell>
          <cell r="D224" t="str">
            <v>Plugagem</v>
          </cell>
          <cell r="E224" t="str">
            <v>SEARA</v>
          </cell>
          <cell r="CD224">
            <v>0</v>
          </cell>
        </row>
        <row r="225">
          <cell r="B225" t="str">
            <v>Frig_Itajaí</v>
          </cell>
          <cell r="D225" t="str">
            <v>Plugagem</v>
          </cell>
          <cell r="E225" t="str">
            <v>TIMBRO</v>
          </cell>
          <cell r="CD225">
            <v>0</v>
          </cell>
        </row>
        <row r="226">
          <cell r="B226" t="str">
            <v>Frig_Itajaí</v>
          </cell>
          <cell r="D226" t="str">
            <v>Plugagem</v>
          </cell>
          <cell r="E226" t="str">
            <v>AVENORTE AVICOLA CIANORTE LTDA</v>
          </cell>
          <cell r="CD226">
            <v>0</v>
          </cell>
        </row>
        <row r="227">
          <cell r="B227" t="str">
            <v>Frig_Itajaí</v>
          </cell>
          <cell r="D227" t="str">
            <v>Plugagem</v>
          </cell>
          <cell r="E227" t="str">
            <v>LAMB WESTON</v>
          </cell>
          <cell r="CD227">
            <v>0</v>
          </cell>
        </row>
        <row r="228">
          <cell r="B228" t="str">
            <v>Frig_Itajaí</v>
          </cell>
          <cell r="D228" t="str">
            <v>Plugagem</v>
          </cell>
          <cell r="E228" t="str">
            <v>COOPERATIVA CENTRAL AURORA ALIMENTO</v>
          </cell>
          <cell r="CD228">
            <v>0</v>
          </cell>
        </row>
        <row r="229">
          <cell r="B229" t="str">
            <v>Frig_Itajaí</v>
          </cell>
          <cell r="D229" t="str">
            <v>Plugagem</v>
          </cell>
          <cell r="E229" t="str">
            <v>NATURAFRIG ALIMENTOS LTDA</v>
          </cell>
          <cell r="CD229">
            <v>0</v>
          </cell>
        </row>
        <row r="230">
          <cell r="B230" t="str">
            <v>Frig_Itajaí</v>
          </cell>
          <cell r="D230" t="str">
            <v>Faturamento | Plugagem (BRL'000)</v>
          </cell>
          <cell r="E230" t="str">
            <v>Subtotal</v>
          </cell>
          <cell r="CD230">
            <v>2194.2116837615699</v>
          </cell>
        </row>
        <row r="231">
          <cell r="B231" t="str">
            <v>Frig_Itajaí</v>
          </cell>
          <cell r="D231" t="str">
            <v>Faturamento | Plugagem (BRL'000)</v>
          </cell>
          <cell r="E231" t="str">
            <v>BRF S.A</v>
          </cell>
          <cell r="CD231">
            <v>1741.5823440725189</v>
          </cell>
        </row>
        <row r="232">
          <cell r="B232" t="str">
            <v>Frig_Itajaí</v>
          </cell>
          <cell r="D232" t="str">
            <v>Faturamento | Plugagem (BRL'000)</v>
          </cell>
          <cell r="E232" t="str">
            <v>CAMIL</v>
          </cell>
          <cell r="CD232">
            <v>0</v>
          </cell>
        </row>
        <row r="233">
          <cell r="B233" t="str">
            <v>Frig_Itajaí</v>
          </cell>
          <cell r="D233" t="str">
            <v>Faturamento | Plugagem (BRL'000)</v>
          </cell>
          <cell r="E233" t="str">
            <v>CARRER ALIMENTOS LTDA</v>
          </cell>
          <cell r="CD233">
            <v>0</v>
          </cell>
        </row>
        <row r="234">
          <cell r="B234" t="str">
            <v>Frig_Itajaí</v>
          </cell>
          <cell r="D234" t="str">
            <v>Faturamento | Plugagem (BRL'000)</v>
          </cell>
          <cell r="E234" t="str">
            <v>COOPERATIVA DALIA ALIMENTOS LTDA</v>
          </cell>
          <cell r="CD234">
            <v>452.6293396890502</v>
          </cell>
        </row>
        <row r="235">
          <cell r="B235" t="str">
            <v>Frig_Itajaí</v>
          </cell>
          <cell r="D235" t="str">
            <v>Faturamento | Plugagem (BRL'000)</v>
          </cell>
          <cell r="E235" t="str">
            <v>GDC ALIMENTOS S.A - POSIÇÕES CHEIAS</v>
          </cell>
          <cell r="CD235">
            <v>0</v>
          </cell>
        </row>
        <row r="236">
          <cell r="B236" t="str">
            <v>Frig_Itajaí</v>
          </cell>
          <cell r="D236" t="str">
            <v>Faturamento | Plugagem (BRL'000)</v>
          </cell>
          <cell r="E236" t="str">
            <v>OPORTUNIDADE OCIOSIDADE GDC - POSIÇÕES VAZIAS</v>
          </cell>
          <cell r="CD236">
            <v>0</v>
          </cell>
        </row>
        <row r="237">
          <cell r="B237" t="str">
            <v>Frig_Itajaí</v>
          </cell>
          <cell r="D237" t="str">
            <v>Faturamento | Plugagem (BRL'000)</v>
          </cell>
          <cell r="E237" t="str">
            <v>PARKER-MIGLIORINI INTERNATIONAL DO</v>
          </cell>
          <cell r="CD237">
            <v>0</v>
          </cell>
        </row>
        <row r="238">
          <cell r="B238" t="str">
            <v>Frig_Itajaí</v>
          </cell>
          <cell r="D238" t="str">
            <v>Faturamento | Plugagem (BRL'000)</v>
          </cell>
          <cell r="E238" t="str">
            <v>FRIGORIFICO RAINHA DA PAZ LTDA.</v>
          </cell>
          <cell r="CD238">
            <v>0</v>
          </cell>
        </row>
        <row r="239">
          <cell r="B239" t="str">
            <v>Frig_Itajaí</v>
          </cell>
          <cell r="D239" t="str">
            <v>Faturamento | Plugagem (BRL'000)</v>
          </cell>
          <cell r="E239" t="str">
            <v>SEARA</v>
          </cell>
          <cell r="CD239">
            <v>0</v>
          </cell>
        </row>
        <row r="240">
          <cell r="B240" t="str">
            <v>Frig_Itajaí</v>
          </cell>
          <cell r="D240" t="str">
            <v>Faturamento | Plugagem (BRL'000)</v>
          </cell>
          <cell r="E240" t="str">
            <v>TIMBRO</v>
          </cell>
          <cell r="CD240">
            <v>0</v>
          </cell>
        </row>
        <row r="241">
          <cell r="B241" t="str">
            <v>Frig_Itajaí</v>
          </cell>
          <cell r="D241" t="str">
            <v>Faturamento | Plugagem (BRL'000)</v>
          </cell>
          <cell r="E241" t="str">
            <v>AVENORTE AVICOLA CIANORTE LTDA</v>
          </cell>
          <cell r="CD241">
            <v>0</v>
          </cell>
        </row>
        <row r="242">
          <cell r="B242" t="str">
            <v>Frig_Itajaí</v>
          </cell>
          <cell r="D242" t="str">
            <v>Faturamento | Plugagem (BRL'000)</v>
          </cell>
          <cell r="E242" t="str">
            <v>LAMB WESTON</v>
          </cell>
          <cell r="CD242">
            <v>0</v>
          </cell>
        </row>
        <row r="243">
          <cell r="B243" t="str">
            <v>Frig_Itajaí</v>
          </cell>
          <cell r="D243" t="str">
            <v>Faturamento | Plugagem (BRL'000)</v>
          </cell>
          <cell r="E243" t="str">
            <v>COOPERATIVA CENTRAL AURORA ALIMENTO</v>
          </cell>
          <cell r="CD243">
            <v>0</v>
          </cell>
        </row>
        <row r="244">
          <cell r="B244" t="str">
            <v>Frig_Itajaí</v>
          </cell>
          <cell r="D244" t="str">
            <v>Faturamento | Plugagem (BRL'000)</v>
          </cell>
          <cell r="E244" t="str">
            <v>NATURAFRIG ALIMENTOS LTDA</v>
          </cell>
          <cell r="CD244">
            <v>0</v>
          </cell>
        </row>
        <row r="245">
          <cell r="B245" t="str">
            <v>Frig_Itajaí</v>
          </cell>
          <cell r="D245" t="str">
            <v>Ticket Médio | Plugagem (BRL)</v>
          </cell>
          <cell r="E245" t="str">
            <v>Subtotal</v>
          </cell>
          <cell r="CD245">
            <v>123.6843219944259</v>
          </cell>
        </row>
        <row r="246">
          <cell r="B246" t="str">
            <v>Frig_Itajaí</v>
          </cell>
          <cell r="D246" t="str">
            <v>Ticket Médio | Plugagem (BRL)</v>
          </cell>
          <cell r="E246" t="str">
            <v>BRF S.A</v>
          </cell>
          <cell r="CD246">
            <v>112.1488256944413</v>
          </cell>
        </row>
        <row r="247">
          <cell r="B247" t="str">
            <v>Frig_Itajaí</v>
          </cell>
          <cell r="D247" t="str">
            <v>Ticket Médio | Plugagem (BRL)</v>
          </cell>
          <cell r="E247" t="str">
            <v>CAMIL</v>
          </cell>
          <cell r="CD247">
            <v>0</v>
          </cell>
        </row>
        <row r="248">
          <cell r="B248" t="str">
            <v>Frig_Itajaí</v>
          </cell>
          <cell r="D248" t="str">
            <v>Ticket Médio | Plugagem (BRL)</v>
          </cell>
          <cell r="E248" t="str">
            <v>CARRER ALIMENTOS LTDA</v>
          </cell>
          <cell r="CD248">
            <v>0</v>
          </cell>
        </row>
        <row r="249">
          <cell r="B249" t="str">
            <v>Frig_Itajaí</v>
          </cell>
          <cell r="D249" t="str">
            <v>Ticket Médio | Plugagem (BRL)</v>
          </cell>
          <cell r="E249" t="str">
            <v>COOPERATIVA DALIA ALIMENTOS LTDA</v>
          </cell>
          <cell r="CD249">
            <v>203.00111000000001</v>
          </cell>
        </row>
        <row r="250">
          <cell r="B250" t="str">
            <v>Frig_Itajaí</v>
          </cell>
          <cell r="D250" t="str">
            <v>Ticket Médio | Plugagem (BRL)</v>
          </cell>
          <cell r="E250" t="str">
            <v>GDC ALIMENTOS S.A - POSIÇÕES CHEIAS</v>
          </cell>
          <cell r="CD250">
            <v>0</v>
          </cell>
        </row>
        <row r="251">
          <cell r="B251" t="str">
            <v>Frig_Itajaí</v>
          </cell>
          <cell r="D251" t="str">
            <v>Ticket Médio | Plugagem (BRL)</v>
          </cell>
          <cell r="E251" t="str">
            <v>OPORTUNIDADE OCIOSIDADE GDC - POSIÇÕES VAZIAS</v>
          </cell>
          <cell r="CD251">
            <v>0</v>
          </cell>
        </row>
        <row r="252">
          <cell r="B252" t="str">
            <v>Frig_Itajaí</v>
          </cell>
          <cell r="D252" t="str">
            <v>Ticket Médio | Plugagem (BRL)</v>
          </cell>
          <cell r="E252" t="str">
            <v>PARKER-MIGLIORINI INTERNATIONAL DO</v>
          </cell>
          <cell r="CD252">
            <v>114.33724087500011</v>
          </cell>
        </row>
        <row r="253">
          <cell r="B253" t="str">
            <v>Frig_Itajaí</v>
          </cell>
          <cell r="D253" t="str">
            <v>Ticket Médio | Plugagem (BRL)</v>
          </cell>
          <cell r="E253" t="str">
            <v>FRIGORIFICO RAINHA DA PAZ LTDA.</v>
          </cell>
          <cell r="CD253">
            <v>0</v>
          </cell>
        </row>
        <row r="254">
          <cell r="B254" t="str">
            <v>Frig_Itajaí</v>
          </cell>
          <cell r="D254" t="str">
            <v>Ticket Médio | Plugagem (BRL)</v>
          </cell>
          <cell r="E254" t="str">
            <v>SEARA</v>
          </cell>
          <cell r="CD254">
            <v>0</v>
          </cell>
        </row>
        <row r="255">
          <cell r="B255" t="str">
            <v>Frig_Itajaí</v>
          </cell>
          <cell r="D255" t="str">
            <v>Ticket Médio | Plugagem (BRL)</v>
          </cell>
          <cell r="E255" t="str">
            <v>TIMBRO</v>
          </cell>
          <cell r="CD255">
            <v>0</v>
          </cell>
        </row>
        <row r="256">
          <cell r="B256" t="str">
            <v>Frig_Itajaí</v>
          </cell>
          <cell r="D256" t="str">
            <v>Ticket Médio | Plugagem (BRL)</v>
          </cell>
          <cell r="E256" t="str">
            <v>AVENORTE AVICOLA CIANORTE LTDA</v>
          </cell>
          <cell r="CD256">
            <v>0</v>
          </cell>
        </row>
        <row r="257">
          <cell r="B257" t="str">
            <v>Frig_Itajaí</v>
          </cell>
          <cell r="D257" t="str">
            <v>Ticket Médio | Plugagem (BRL)</v>
          </cell>
          <cell r="E257" t="str">
            <v>LAMB WESTON</v>
          </cell>
          <cell r="CD257">
            <v>136.88999999999999</v>
          </cell>
        </row>
        <row r="258">
          <cell r="B258" t="str">
            <v>Frig_Itajaí</v>
          </cell>
          <cell r="D258" t="str">
            <v>Ticket Médio | Plugagem (BRL)</v>
          </cell>
          <cell r="E258" t="str">
            <v>COOPERATIVA CENTRAL AURORA ALIMENTO</v>
          </cell>
          <cell r="CD258">
            <v>136.52353355591231</v>
          </cell>
        </row>
        <row r="259">
          <cell r="B259" t="str">
            <v>Frig_Itajaí</v>
          </cell>
          <cell r="D259" t="str">
            <v>Ticket Médio | Plugagem (BRL)</v>
          </cell>
          <cell r="E259" t="str">
            <v>NATURAFRIG ALIMENTOS LTDA</v>
          </cell>
          <cell r="CD259">
            <v>0</v>
          </cell>
        </row>
        <row r="260">
          <cell r="B260" t="str">
            <v>Frig_Itajaí</v>
          </cell>
          <cell r="D260" t="str">
            <v>Faturamento | Adicional (BRL'000)</v>
          </cell>
          <cell r="E260" t="str">
            <v>Subtotal</v>
          </cell>
          <cell r="CD260">
            <v>4647.5065390487352</v>
          </cell>
        </row>
        <row r="261">
          <cell r="B261" t="str">
            <v>Frig_Itajaí</v>
          </cell>
          <cell r="D261" t="str">
            <v>Faturamento | Adicional (BRL'000)</v>
          </cell>
          <cell r="E261" t="str">
            <v>BRF S.A</v>
          </cell>
          <cell r="CD261">
            <v>3613.8582622433528</v>
          </cell>
        </row>
        <row r="262">
          <cell r="B262" t="str">
            <v>Frig_Itajaí</v>
          </cell>
          <cell r="D262" t="str">
            <v>Faturamento | Adicional (BRL'000)</v>
          </cell>
          <cell r="E262" t="str">
            <v>CAMIL</v>
          </cell>
          <cell r="CD262">
            <v>0</v>
          </cell>
        </row>
        <row r="263">
          <cell r="B263" t="str">
            <v>Frig_Itajaí</v>
          </cell>
          <cell r="D263" t="str">
            <v>Faturamento | Adicional (BRL'000)</v>
          </cell>
          <cell r="E263" t="str">
            <v>CARRER ALIMENTOS LTDA</v>
          </cell>
          <cell r="CD263">
            <v>0</v>
          </cell>
        </row>
        <row r="264">
          <cell r="B264" t="str">
            <v>Frig_Itajaí</v>
          </cell>
          <cell r="D264" t="str">
            <v>Faturamento | Adicional (BRL'000)</v>
          </cell>
          <cell r="E264" t="str">
            <v>COOPERATIVA DALIA ALIMENTOS LTDA</v>
          </cell>
          <cell r="CD264">
            <v>0</v>
          </cell>
        </row>
        <row r="265">
          <cell r="B265" t="str">
            <v>Frig_Itajaí</v>
          </cell>
          <cell r="D265" t="str">
            <v>Faturamento | Adicional (BRL'000)</v>
          </cell>
          <cell r="E265" t="str">
            <v>GDC ALIMENTOS S.A - POSIÇÕES CHEIAS</v>
          </cell>
          <cell r="CD265">
            <v>1033.6482768053811</v>
          </cell>
        </row>
        <row r="266">
          <cell r="B266" t="str">
            <v>Frig_Itajaí</v>
          </cell>
          <cell r="D266" t="str">
            <v>Faturamento | Adicional (BRL'000)</v>
          </cell>
          <cell r="E266" t="str">
            <v>OPORTUNIDADE OCIOSIDADE GDC - POSIÇÕES VAZIAS</v>
          </cell>
          <cell r="CD266">
            <v>0</v>
          </cell>
        </row>
        <row r="267">
          <cell r="B267" t="str">
            <v>Frig_Itajaí</v>
          </cell>
          <cell r="D267" t="str">
            <v>Faturamento | Adicional (BRL'000)</v>
          </cell>
          <cell r="E267" t="str">
            <v>PARKER-MIGLIORINI INTERNATIONAL DO</v>
          </cell>
          <cell r="CD267">
            <v>0</v>
          </cell>
        </row>
        <row r="268">
          <cell r="B268" t="str">
            <v>Frig_Itajaí</v>
          </cell>
          <cell r="D268" t="str">
            <v>Faturamento | Adicional (BRL'000)</v>
          </cell>
          <cell r="E268" t="str">
            <v>FRIGORIFICO RAINHA DA PAZ LTDA.</v>
          </cell>
          <cell r="CD268">
            <v>0</v>
          </cell>
        </row>
        <row r="269">
          <cell r="B269" t="str">
            <v>Frig_Itajaí</v>
          </cell>
          <cell r="D269" t="str">
            <v>Faturamento | Adicional (BRL'000)</v>
          </cell>
          <cell r="E269" t="str">
            <v>SEARA</v>
          </cell>
          <cell r="CD269">
            <v>0</v>
          </cell>
        </row>
        <row r="270">
          <cell r="B270" t="str">
            <v>Frig_Itajaí</v>
          </cell>
          <cell r="D270" t="str">
            <v>Faturamento | Adicional (BRL'000)</v>
          </cell>
          <cell r="E270" t="str">
            <v>TIMBRO</v>
          </cell>
          <cell r="CD270">
            <v>0</v>
          </cell>
        </row>
        <row r="271">
          <cell r="B271" t="str">
            <v>Frig_Itajaí</v>
          </cell>
          <cell r="D271" t="str">
            <v>Faturamento | Adicional (BRL'000)</v>
          </cell>
          <cell r="E271" t="str">
            <v>AVENORTE AVICOLA CIANORTE LTDA</v>
          </cell>
          <cell r="CD271">
            <v>0</v>
          </cell>
        </row>
        <row r="272">
          <cell r="B272" t="str">
            <v>Frig_Itajaí</v>
          </cell>
          <cell r="D272" t="str">
            <v>Faturamento | Adicional (BRL'000)</v>
          </cell>
          <cell r="E272" t="str">
            <v>LAMB WESTON</v>
          </cell>
          <cell r="CD272">
            <v>0</v>
          </cell>
        </row>
        <row r="273">
          <cell r="B273" t="str">
            <v>Frig_Itajaí</v>
          </cell>
          <cell r="D273" t="str">
            <v>Faturamento | Adicional (BRL'000)</v>
          </cell>
          <cell r="E273" t="str">
            <v>COOPERATIVA CENTRAL AURORA ALIMENTO</v>
          </cell>
          <cell r="CD273">
            <v>0</v>
          </cell>
        </row>
        <row r="274">
          <cell r="B274" t="str">
            <v>Frig_Itajaí</v>
          </cell>
          <cell r="D274" t="str">
            <v>Faturamento | Adicional (BRL'000)</v>
          </cell>
          <cell r="E274" t="str">
            <v>NATURAFRIG ALIMENTOS LTDA</v>
          </cell>
          <cell r="CD274">
            <v>0</v>
          </cell>
        </row>
        <row r="275">
          <cell r="B275" t="str">
            <v>Frig_Itajaí</v>
          </cell>
          <cell r="D275" t="str">
            <v>Faturamento | Seguros (BRL'000)</v>
          </cell>
          <cell r="E275" t="str">
            <v>Subtotal</v>
          </cell>
          <cell r="CD275">
            <v>68.920184052745824</v>
          </cell>
        </row>
        <row r="276">
          <cell r="B276" t="str">
            <v>Frig_Itajaí</v>
          </cell>
          <cell r="D276" t="str">
            <v>Faturamento | Seguros (BRL'000)</v>
          </cell>
          <cell r="E276" t="str">
            <v>BRF S.A</v>
          </cell>
          <cell r="CD276">
            <v>0</v>
          </cell>
        </row>
        <row r="277">
          <cell r="B277" t="str">
            <v>Frig_Itajaí</v>
          </cell>
          <cell r="D277" t="str">
            <v>Faturamento | Seguros (BRL'000)</v>
          </cell>
          <cell r="E277" t="str">
            <v>CAMIL</v>
          </cell>
          <cell r="CD277">
            <v>0</v>
          </cell>
        </row>
        <row r="278">
          <cell r="B278" t="str">
            <v>Frig_Itajaí</v>
          </cell>
          <cell r="D278" t="str">
            <v>Faturamento | Seguros (BRL'000)</v>
          </cell>
          <cell r="E278" t="str">
            <v>CARRER ALIMENTOS LTDA</v>
          </cell>
          <cell r="CD278">
            <v>0</v>
          </cell>
        </row>
        <row r="279">
          <cell r="B279" t="str">
            <v>Frig_Itajaí</v>
          </cell>
          <cell r="D279" t="str">
            <v>Faturamento | Seguros (BRL'000)</v>
          </cell>
          <cell r="E279" t="str">
            <v>COOPERATIVA DALIA ALIMENTOS LTDA</v>
          </cell>
          <cell r="CD279">
            <v>68.920184052745824</v>
          </cell>
        </row>
        <row r="280">
          <cell r="B280" t="str">
            <v>Frig_Itajaí</v>
          </cell>
          <cell r="D280" t="str">
            <v>Faturamento | Seguros (BRL'000)</v>
          </cell>
          <cell r="E280" t="str">
            <v>GDC ALIMENTOS S.A - POSIÇÕES CHEIAS</v>
          </cell>
          <cell r="CD280">
            <v>0</v>
          </cell>
        </row>
        <row r="281">
          <cell r="B281" t="str">
            <v>Frig_Itajaí</v>
          </cell>
          <cell r="D281" t="str">
            <v>Faturamento | Seguros (BRL'000)</v>
          </cell>
          <cell r="E281" t="str">
            <v>OPORTUNIDADE OCIOSIDADE GDC - POSIÇÕES VAZIAS</v>
          </cell>
          <cell r="CD281">
            <v>0</v>
          </cell>
        </row>
        <row r="282">
          <cell r="B282" t="str">
            <v>Frig_Itajaí</v>
          </cell>
          <cell r="D282" t="str">
            <v>Faturamento | Seguros (BRL'000)</v>
          </cell>
          <cell r="E282" t="str">
            <v>PARKER-MIGLIORINI INTERNATIONAL DO</v>
          </cell>
          <cell r="CD282">
            <v>0</v>
          </cell>
        </row>
        <row r="283">
          <cell r="B283" t="str">
            <v>Frig_Itajaí</v>
          </cell>
          <cell r="D283" t="str">
            <v>Faturamento | Seguros (BRL'000)</v>
          </cell>
          <cell r="E283" t="str">
            <v>FRIGORIFICO RAINHA DA PAZ LTDA.</v>
          </cell>
          <cell r="CD283">
            <v>0</v>
          </cell>
        </row>
        <row r="284">
          <cell r="B284" t="str">
            <v>Frig_Itajaí</v>
          </cell>
          <cell r="D284" t="str">
            <v>Faturamento | Seguros (BRL'000)</v>
          </cell>
          <cell r="E284" t="str">
            <v>SEARA</v>
          </cell>
          <cell r="CD284">
            <v>0</v>
          </cell>
        </row>
        <row r="285">
          <cell r="B285" t="str">
            <v>Frig_Itajaí</v>
          </cell>
          <cell r="D285" t="str">
            <v>Faturamento | Seguros (BRL'000)</v>
          </cell>
          <cell r="E285" t="str">
            <v>TIMBRO</v>
          </cell>
          <cell r="CD285">
            <v>0</v>
          </cell>
        </row>
        <row r="286">
          <cell r="B286" t="str">
            <v>Frig_Itajaí</v>
          </cell>
          <cell r="D286" t="str">
            <v>Faturamento | Seguros (BRL'000)</v>
          </cell>
          <cell r="E286" t="str">
            <v>AVENORTE AVICOLA CIANORTE LTDA</v>
          </cell>
          <cell r="CD286">
            <v>0</v>
          </cell>
        </row>
        <row r="287">
          <cell r="B287" t="str">
            <v>Frig_Itajaí</v>
          </cell>
          <cell r="D287" t="str">
            <v>Faturamento | Seguros (BRL'000)</v>
          </cell>
          <cell r="E287" t="str">
            <v>LAMB WESTON</v>
          </cell>
          <cell r="CD287">
            <v>0</v>
          </cell>
        </row>
        <row r="288">
          <cell r="B288" t="str">
            <v>Frig_Itajaí</v>
          </cell>
          <cell r="D288" t="str">
            <v>Faturamento | Seguros (BRL'000)</v>
          </cell>
          <cell r="E288" t="str">
            <v>COOPERATIVA CENTRAL AURORA ALIMENTO</v>
          </cell>
          <cell r="CD288">
            <v>0</v>
          </cell>
        </row>
        <row r="289">
          <cell r="B289" t="str">
            <v>Frig_Itajaí</v>
          </cell>
          <cell r="D289" t="str">
            <v>Faturamento | Seguros (BRL'000)</v>
          </cell>
          <cell r="E289" t="str">
            <v>NATURAFRIG ALIMENTOS LTDA</v>
          </cell>
          <cell r="CD289">
            <v>0</v>
          </cell>
        </row>
        <row r="290">
          <cell r="B290" t="str">
            <v>Frig_Paranaguá</v>
          </cell>
          <cell r="D290" t="str">
            <v>Faturamento Bruto</v>
          </cell>
          <cell r="E290" t="str">
            <v>Gross Revenue</v>
          </cell>
          <cell r="CD290">
            <v>53605.880052893401</v>
          </cell>
        </row>
        <row r="292">
          <cell r="B292" t="str">
            <v>Frig_Paranaguá</v>
          </cell>
          <cell r="D292" t="str">
            <v>Faturamento Bruto</v>
          </cell>
          <cell r="E292" t="str">
            <v>AGROINDUSTRIAL IRMAOS DALLA COSTA L</v>
          </cell>
          <cell r="CD292">
            <v>0</v>
          </cell>
        </row>
        <row r="293">
          <cell r="B293" t="str">
            <v>Frig_Paranaguá</v>
          </cell>
          <cell r="D293" t="str">
            <v>Faturamento Bruto</v>
          </cell>
          <cell r="E293" t="str">
            <v>AGROPRATINHA S/A</v>
          </cell>
          <cell r="CD293">
            <v>8928.8334938706394</v>
          </cell>
        </row>
        <row r="294">
          <cell r="B294" t="str">
            <v>Frig_Paranaguá</v>
          </cell>
          <cell r="D294" t="str">
            <v>Faturamento Bruto</v>
          </cell>
          <cell r="E294" t="str">
            <v>AVENORTE AVICOLA CIANORTE LTDA</v>
          </cell>
          <cell r="CD294">
            <v>2232.6917755332829</v>
          </cell>
        </row>
        <row r="295">
          <cell r="B295" t="str">
            <v>Frig_Paranaguá</v>
          </cell>
          <cell r="D295" t="str">
            <v>Faturamento Bruto</v>
          </cell>
          <cell r="E295" t="str">
            <v>BELLO ALIMENTOS LTDA</v>
          </cell>
          <cell r="CD295">
            <v>0</v>
          </cell>
        </row>
        <row r="296">
          <cell r="B296" t="str">
            <v>Frig_Paranaguá</v>
          </cell>
          <cell r="D296" t="str">
            <v>Faturamento Bruto</v>
          </cell>
          <cell r="E296" t="str">
            <v>BMG FOODS IMPORTACAO</v>
          </cell>
          <cell r="CD296">
            <v>2879.229084015908</v>
          </cell>
        </row>
        <row r="297">
          <cell r="B297" t="str">
            <v>Frig_Paranaguá</v>
          </cell>
          <cell r="D297" t="str">
            <v>Faturamento Bruto</v>
          </cell>
          <cell r="E297" t="str">
            <v>BRF S.A</v>
          </cell>
          <cell r="CD297">
            <v>13625.523327425921</v>
          </cell>
        </row>
        <row r="298">
          <cell r="B298" t="str">
            <v>Frig_Paranaguá</v>
          </cell>
          <cell r="D298" t="str">
            <v>Faturamento Bruto</v>
          </cell>
          <cell r="E298" t="str">
            <v>C.VALE - COOPERATIVA AGROINDUSTRIAL</v>
          </cell>
          <cell r="CD298">
            <v>0</v>
          </cell>
        </row>
        <row r="299">
          <cell r="B299" t="str">
            <v>Frig_Paranaguá</v>
          </cell>
          <cell r="D299" t="str">
            <v>Faturamento Bruto</v>
          </cell>
          <cell r="E299" t="str">
            <v>CIA IGUACU DE CAFE SOLUVEL</v>
          </cell>
          <cell r="CD299">
            <v>838.90360302937165</v>
          </cell>
        </row>
        <row r="300">
          <cell r="B300" t="str">
            <v>Frig_Paranaguá</v>
          </cell>
          <cell r="D300" t="str">
            <v>Faturamento Bruto</v>
          </cell>
          <cell r="E300" t="str">
            <v>COACIPAR COOPERATIVA DE AGRICULTURA</v>
          </cell>
          <cell r="CD300">
            <v>491.525460630944</v>
          </cell>
        </row>
        <row r="301">
          <cell r="B301" t="str">
            <v>Frig_Paranaguá</v>
          </cell>
          <cell r="D301" t="str">
            <v>Faturamento Bruto</v>
          </cell>
          <cell r="E301" t="str">
            <v>CONCEN INDUSTRIA</v>
          </cell>
          <cell r="CD301">
            <v>0</v>
          </cell>
        </row>
        <row r="302">
          <cell r="B302" t="str">
            <v>Frig_Paranaguá</v>
          </cell>
          <cell r="D302" t="str">
            <v>Faturamento Bruto</v>
          </cell>
          <cell r="E302" t="str">
            <v>FRANGOS PIONEIRO INDUSTRIA E COMERC</v>
          </cell>
          <cell r="CD302">
            <v>349.1529411724137</v>
          </cell>
        </row>
        <row r="303">
          <cell r="B303" t="str">
            <v>Frig_Paranaguá</v>
          </cell>
          <cell r="D303" t="str">
            <v>Faturamento Bruto</v>
          </cell>
          <cell r="E303" t="str">
            <v>FRIGOSUL FRIGORIFICO SUL LTDA</v>
          </cell>
          <cell r="CD303">
            <v>316.64569335717403</v>
          </cell>
        </row>
        <row r="304">
          <cell r="B304" t="str">
            <v>Frig_Paranaguá</v>
          </cell>
          <cell r="D304" t="str">
            <v>Faturamento Bruto</v>
          </cell>
          <cell r="E304" t="str">
            <v>FRIMESA COOPERATIVA CENTRAL</v>
          </cell>
          <cell r="CD304">
            <v>0</v>
          </cell>
        </row>
        <row r="305">
          <cell r="B305" t="str">
            <v>Frig_Paranaguá</v>
          </cell>
          <cell r="D305" t="str">
            <v>Faturamento Bruto</v>
          </cell>
          <cell r="E305" t="str">
            <v>GARRA INTERNATIONAL LTDA</v>
          </cell>
          <cell r="CD305">
            <v>0</v>
          </cell>
        </row>
        <row r="306">
          <cell r="B306" t="str">
            <v>Frig_Paranaguá</v>
          </cell>
          <cell r="D306" t="str">
            <v>Faturamento Bruto</v>
          </cell>
          <cell r="E306" t="str">
            <v>GDC ALIMENTOS S.A</v>
          </cell>
          <cell r="CD306">
            <v>0</v>
          </cell>
        </row>
        <row r="307">
          <cell r="B307" t="str">
            <v>Frig_Paranaguá</v>
          </cell>
          <cell r="D307" t="str">
            <v>Faturamento Bruto</v>
          </cell>
          <cell r="E307" t="str">
            <v>GONCALVES &amp; TORTOLA S/A</v>
          </cell>
          <cell r="CD307">
            <v>5665.4532606828998</v>
          </cell>
        </row>
        <row r="308">
          <cell r="B308" t="str">
            <v>Frig_Paranaguá</v>
          </cell>
          <cell r="D308" t="str">
            <v>Faturamento Bruto</v>
          </cell>
          <cell r="E308" t="str">
            <v>JAGUAFRANGOS INDUSTRIA E COMERCIO</v>
          </cell>
          <cell r="CD308">
            <v>0</v>
          </cell>
        </row>
        <row r="309">
          <cell r="B309" t="str">
            <v>Frig_Paranaguá</v>
          </cell>
          <cell r="D309" t="str">
            <v>Faturamento Bruto</v>
          </cell>
          <cell r="E309" t="str">
            <v>JBS GROUP</v>
          </cell>
          <cell r="CD309">
            <v>0</v>
          </cell>
        </row>
        <row r="310">
          <cell r="B310" t="str">
            <v>Frig_Paranaguá</v>
          </cell>
          <cell r="D310" t="str">
            <v>Faturamento Bruto</v>
          </cell>
          <cell r="E310" t="str">
            <v>JBS FRIBOI</v>
          </cell>
          <cell r="CD310">
            <v>13750.73798674777</v>
          </cell>
        </row>
        <row r="311">
          <cell r="B311" t="str">
            <v>Frig_Paranaguá</v>
          </cell>
          <cell r="D311" t="str">
            <v>Faturamento Bruto</v>
          </cell>
          <cell r="E311" t="str">
            <v>LAR COOPERATIVA AGROINDUSTRIAL</v>
          </cell>
          <cell r="CD311">
            <v>0</v>
          </cell>
        </row>
        <row r="312">
          <cell r="B312" t="str">
            <v>Frig_Paranaguá</v>
          </cell>
          <cell r="D312" t="str">
            <v>Faturamento Bruto</v>
          </cell>
          <cell r="E312" t="str">
            <v>LOUIS DREYFUS COMPANY SUCOS S.A.</v>
          </cell>
          <cell r="CD312">
            <v>616.73288242707542</v>
          </cell>
        </row>
        <row r="313">
          <cell r="B313" t="str">
            <v>Frig_Paranaguá</v>
          </cell>
          <cell r="D313" t="str">
            <v>Faturamento Bruto</v>
          </cell>
          <cell r="E313" t="str">
            <v>MAR TERRA IND E COMERCIO DE PESCADO</v>
          </cell>
          <cell r="CD313">
            <v>0</v>
          </cell>
        </row>
        <row r="314">
          <cell r="B314" t="str">
            <v>Frig_Paranaguá</v>
          </cell>
          <cell r="D314" t="str">
            <v>Faturamento Bruto</v>
          </cell>
          <cell r="E314" t="str">
            <v>MARFRIG GLOBAL FOODS S.A</v>
          </cell>
          <cell r="CD314">
            <v>0</v>
          </cell>
        </row>
        <row r="315">
          <cell r="B315" t="str">
            <v>Frig_Paranaguá</v>
          </cell>
          <cell r="D315" t="str">
            <v>Faturamento Bruto</v>
          </cell>
          <cell r="E315" t="str">
            <v>MINERVA S A</v>
          </cell>
          <cell r="CD315">
            <v>0</v>
          </cell>
        </row>
        <row r="316">
          <cell r="B316" t="str">
            <v>Frig_Paranaguá</v>
          </cell>
          <cell r="D316" t="str">
            <v>Faturamento Bruto</v>
          </cell>
          <cell r="E316" t="str">
            <v>Cliente Novo 1</v>
          </cell>
          <cell r="CD316">
            <v>3122</v>
          </cell>
        </row>
        <row r="317">
          <cell r="B317" t="str">
            <v>Frig_Paranaguá</v>
          </cell>
          <cell r="D317" t="str">
            <v>Faturamento Bruto</v>
          </cell>
          <cell r="E317" t="str">
            <v>PAMPEANO ALIMENTOS S/A</v>
          </cell>
          <cell r="CD317">
            <v>0</v>
          </cell>
        </row>
        <row r="318">
          <cell r="B318" t="str">
            <v>Frig_Paranaguá</v>
          </cell>
          <cell r="D318" t="str">
            <v>Faturamento Bruto</v>
          </cell>
          <cell r="E318" t="str">
            <v>PLUSVAL AGROAVICOLA LTDA</v>
          </cell>
          <cell r="CD318">
            <v>0</v>
          </cell>
        </row>
        <row r="319">
          <cell r="B319" t="str">
            <v>Frig_Paranaguá</v>
          </cell>
          <cell r="D319" t="str">
            <v>Faturamento Bruto</v>
          </cell>
          <cell r="E319" t="str">
            <v>PRIMA FOODS S.A.</v>
          </cell>
          <cell r="CD319">
            <v>0</v>
          </cell>
        </row>
        <row r="320">
          <cell r="B320" t="str">
            <v>Frig_Paranaguá</v>
          </cell>
          <cell r="D320" t="str">
            <v>Faturamento Bruto</v>
          </cell>
          <cell r="E320" t="str">
            <v>SOMAVE AGROINDUSTRIAL LTDA</v>
          </cell>
          <cell r="CD320">
            <v>0</v>
          </cell>
        </row>
        <row r="321">
          <cell r="B321" t="str">
            <v>Frig_Paranaguá</v>
          </cell>
          <cell r="D321" t="str">
            <v>Faturamento Bruto</v>
          </cell>
          <cell r="E321" t="str">
            <v>VIBRA AGROINDUSTRIAL S/A</v>
          </cell>
          <cell r="CD321">
            <v>788.45054400000038</v>
          </cell>
        </row>
        <row r="322">
          <cell r="B322" t="str">
            <v>Frig_Paranaguá</v>
          </cell>
          <cell r="D322" t="str">
            <v>Armazenagem (posição palet)</v>
          </cell>
          <cell r="E322" t="str">
            <v>Subtotal</v>
          </cell>
          <cell r="CD322">
            <v>15788.074687051139</v>
          </cell>
        </row>
        <row r="323">
          <cell r="B323" t="str">
            <v>Frig_Paranaguá</v>
          </cell>
          <cell r="D323" t="str">
            <v>Armazenagem (posição palet)</v>
          </cell>
          <cell r="E323" t="str">
            <v>AGROINDUSTRIAL IRMAOS DALLA COSTA L</v>
          </cell>
          <cell r="CD323">
            <v>0</v>
          </cell>
        </row>
        <row r="324">
          <cell r="B324" t="str">
            <v>Frig_Paranaguá</v>
          </cell>
          <cell r="D324" t="str">
            <v>Armazenagem (posição palet)</v>
          </cell>
          <cell r="E324" t="str">
            <v>AGROPRATINHA S/A</v>
          </cell>
          <cell r="CD324">
            <v>4916.6666666666661</v>
          </cell>
        </row>
        <row r="325">
          <cell r="B325" t="str">
            <v>Frig_Paranaguá</v>
          </cell>
          <cell r="D325" t="str">
            <v>Armazenagem (posição palet)</v>
          </cell>
          <cell r="E325" t="str">
            <v>AVENORTE AVICOLA CIANORTE LTDA - FINANCEIRO</v>
          </cell>
          <cell r="CD325">
            <v>250</v>
          </cell>
        </row>
        <row r="326">
          <cell r="B326" t="str">
            <v>Frig_Paranaguá</v>
          </cell>
          <cell r="D326" t="str">
            <v>Armazenagem (posição palet)</v>
          </cell>
          <cell r="E326" t="str">
            <v>BELLO ALIMENTOS LTDA</v>
          </cell>
          <cell r="CD326">
            <v>0</v>
          </cell>
        </row>
        <row r="327">
          <cell r="B327" t="str">
            <v>Frig_Paranaguá</v>
          </cell>
          <cell r="D327" t="str">
            <v>Armazenagem (posição palet)</v>
          </cell>
          <cell r="E327" t="str">
            <v>BMG FOODS IMPORTACAO</v>
          </cell>
          <cell r="CD327">
            <v>0</v>
          </cell>
        </row>
        <row r="328">
          <cell r="B328" t="str">
            <v>Frig_Paranaguá</v>
          </cell>
          <cell r="D328" t="str">
            <v>Armazenagem (posição palet)</v>
          </cell>
          <cell r="E328" t="str">
            <v>BRF S.A - FINANCEIRO</v>
          </cell>
          <cell r="CD328">
            <v>5041.6666666666661</v>
          </cell>
        </row>
        <row r="329">
          <cell r="B329" t="str">
            <v>Frig_Paranaguá</v>
          </cell>
          <cell r="D329" t="str">
            <v>Armazenagem (posição palet)</v>
          </cell>
          <cell r="E329" t="str">
            <v>C.VALE - COOPERATIVA AGROINDUSTRIAL</v>
          </cell>
          <cell r="CD329">
            <v>0</v>
          </cell>
        </row>
        <row r="330">
          <cell r="B330" t="str">
            <v>Frig_Paranaguá</v>
          </cell>
          <cell r="D330" t="str">
            <v>Armazenagem (posição palet)</v>
          </cell>
          <cell r="E330" t="str">
            <v>CIA IGUACU DE CAFE SOLUVEL</v>
          </cell>
          <cell r="CD330">
            <v>350</v>
          </cell>
        </row>
        <row r="331">
          <cell r="B331" t="str">
            <v>Frig_Paranaguá</v>
          </cell>
          <cell r="D331" t="str">
            <v>Armazenagem (posição palet)</v>
          </cell>
          <cell r="E331" t="str">
            <v>COACIPAR COOPERATIVA DE AGRICULTURA</v>
          </cell>
          <cell r="CD331">
            <v>266.66666666666657</v>
          </cell>
        </row>
        <row r="332">
          <cell r="B332" t="str">
            <v>Frig_Paranaguá</v>
          </cell>
          <cell r="D332" t="str">
            <v>Armazenagem (posição palet)</v>
          </cell>
          <cell r="E332" t="str">
            <v>CONCEN INDUSTRIA</v>
          </cell>
          <cell r="CD332">
            <v>0</v>
          </cell>
        </row>
        <row r="333">
          <cell r="B333" t="str">
            <v>Frig_Paranaguá</v>
          </cell>
          <cell r="D333" t="str">
            <v>Armazenagem (posição palet)</v>
          </cell>
          <cell r="E333" t="str">
            <v>FRANGOS PIONEIRO INDUSTRIA E COMERC</v>
          </cell>
          <cell r="CD333">
            <v>0</v>
          </cell>
        </row>
        <row r="334">
          <cell r="B334" t="str">
            <v>Frig_Paranaguá</v>
          </cell>
          <cell r="D334" t="str">
            <v>Armazenagem (posição palet)</v>
          </cell>
          <cell r="E334" t="str">
            <v>FRIGOSUL FRIGORIFICO SUL LTDA</v>
          </cell>
          <cell r="CD334">
            <v>0</v>
          </cell>
        </row>
        <row r="335">
          <cell r="B335" t="str">
            <v>Frig_Paranaguá</v>
          </cell>
          <cell r="D335" t="str">
            <v>Armazenagem (posição palet)</v>
          </cell>
          <cell r="E335" t="str">
            <v>FRIMESA COOPERATIVA CENTRAL</v>
          </cell>
          <cell r="CD335">
            <v>0</v>
          </cell>
        </row>
        <row r="336">
          <cell r="B336" t="str">
            <v>Frig_Paranaguá</v>
          </cell>
          <cell r="D336" t="str">
            <v>Armazenagem (posição palet)</v>
          </cell>
          <cell r="E336" t="str">
            <v>GARRA INTERNATIONAL LTDA</v>
          </cell>
          <cell r="CD336">
            <v>0</v>
          </cell>
        </row>
        <row r="337">
          <cell r="B337" t="str">
            <v>Frig_Paranaguá</v>
          </cell>
          <cell r="D337" t="str">
            <v>Armazenagem (posição palet)</v>
          </cell>
          <cell r="E337" t="str">
            <v>GDC ALIMENTOS S.A</v>
          </cell>
          <cell r="CD337">
            <v>0</v>
          </cell>
        </row>
        <row r="338">
          <cell r="B338" t="str">
            <v>Frig_Paranaguá</v>
          </cell>
          <cell r="D338" t="str">
            <v>Armazenagem (posição palet)</v>
          </cell>
          <cell r="E338" t="str">
            <v>GONCALVES &amp; TORTOLA S/A</v>
          </cell>
          <cell r="CD338">
            <v>0</v>
          </cell>
        </row>
        <row r="339">
          <cell r="B339" t="str">
            <v>Frig_Paranaguá</v>
          </cell>
          <cell r="D339" t="str">
            <v>Armazenagem (posição palet)</v>
          </cell>
          <cell r="E339" t="str">
            <v>JAGUAFRANGOS INDUSTRIA E COMERCIO</v>
          </cell>
          <cell r="CD339">
            <v>0</v>
          </cell>
        </row>
        <row r="340">
          <cell r="B340" t="str">
            <v>Frig_Paranaguá</v>
          </cell>
          <cell r="D340" t="str">
            <v>Armazenagem (posição palet)</v>
          </cell>
          <cell r="E340" t="str">
            <v>JBS GROUP</v>
          </cell>
          <cell r="CD340">
            <v>0</v>
          </cell>
        </row>
        <row r="341">
          <cell r="B341" t="str">
            <v>Frig_Paranaguá</v>
          </cell>
          <cell r="D341" t="str">
            <v>Armazenagem (posição palet)</v>
          </cell>
          <cell r="E341" t="str">
            <v>JBS FRIBOI</v>
          </cell>
          <cell r="CD341">
            <v>2875</v>
          </cell>
        </row>
        <row r="342">
          <cell r="B342" t="str">
            <v>Frig_Paranaguá</v>
          </cell>
          <cell r="D342" t="str">
            <v>Armazenagem (posição palet)</v>
          </cell>
          <cell r="E342" t="str">
            <v>LAR COOPERATIVA AGROINDUSTRIAL - FINANCEIRO</v>
          </cell>
          <cell r="CD342">
            <v>0</v>
          </cell>
        </row>
        <row r="343">
          <cell r="B343" t="str">
            <v>Frig_Paranaguá</v>
          </cell>
          <cell r="D343" t="str">
            <v>Armazenagem (posição palet)</v>
          </cell>
          <cell r="E343" t="str">
            <v>LOUIS DREYFUS COMPANY SUCOS S.A.</v>
          </cell>
          <cell r="CD343">
            <v>229.74135371780159</v>
          </cell>
        </row>
        <row r="344">
          <cell r="B344" t="str">
            <v>Frig_Paranaguá</v>
          </cell>
          <cell r="D344" t="str">
            <v>Armazenagem (posição palet)</v>
          </cell>
          <cell r="E344" t="str">
            <v>MAR TERRA IND E COMERCIO DE PESCADO</v>
          </cell>
          <cell r="CD344">
            <v>0</v>
          </cell>
        </row>
        <row r="345">
          <cell r="B345" t="str">
            <v>Frig_Paranaguá</v>
          </cell>
          <cell r="D345" t="str">
            <v>Armazenagem (posição palet)</v>
          </cell>
          <cell r="E345" t="str">
            <v>MARFRIG GLOBAL FOODS S.A</v>
          </cell>
          <cell r="CD345">
            <v>0</v>
          </cell>
        </row>
        <row r="346">
          <cell r="B346" t="str">
            <v>Frig_Paranaguá</v>
          </cell>
          <cell r="D346" t="str">
            <v>Armazenagem (posição palet)</v>
          </cell>
          <cell r="E346" t="str">
            <v>MINERVA S A</v>
          </cell>
          <cell r="CD346">
            <v>0</v>
          </cell>
        </row>
        <row r="347">
          <cell r="B347" t="str">
            <v>Frig_Paranaguá</v>
          </cell>
          <cell r="D347" t="str">
            <v>Armazenagem (posição palet)</v>
          </cell>
          <cell r="E347" t="str">
            <v>Cliente Novo 1</v>
          </cell>
          <cell r="CD347">
            <v>1858.333333333333</v>
          </cell>
        </row>
        <row r="348">
          <cell r="B348" t="str">
            <v>Frig_Paranaguá</v>
          </cell>
          <cell r="D348" t="str">
            <v>Armazenagem (posição palet)</v>
          </cell>
          <cell r="E348" t="str">
            <v>PAMPEANO ALIMENTOS S/A</v>
          </cell>
          <cell r="CD348">
            <v>0</v>
          </cell>
        </row>
        <row r="349">
          <cell r="B349" t="str">
            <v>Frig_Paranaguá</v>
          </cell>
          <cell r="D349" t="str">
            <v>Armazenagem (posição palet)</v>
          </cell>
          <cell r="E349" t="str">
            <v>PLUSVAL AGROAVICOLA LTDA</v>
          </cell>
          <cell r="CD349">
            <v>0</v>
          </cell>
        </row>
        <row r="350">
          <cell r="B350" t="str">
            <v>Frig_Paranaguá</v>
          </cell>
          <cell r="D350" t="str">
            <v>Armazenagem (posição palet)</v>
          </cell>
          <cell r="E350" t="str">
            <v>PRIMA FOODS S.A.</v>
          </cell>
          <cell r="CD350">
            <v>0</v>
          </cell>
        </row>
        <row r="351">
          <cell r="B351" t="str">
            <v>Frig_Paranaguá</v>
          </cell>
          <cell r="D351" t="str">
            <v>Armazenagem (posição palet)</v>
          </cell>
          <cell r="E351" t="str">
            <v>SOMAVE AGROINDUSTRIAL LTDA</v>
          </cell>
          <cell r="CD351">
            <v>0</v>
          </cell>
        </row>
        <row r="352">
          <cell r="B352" t="str">
            <v>Frig_Paranaguá</v>
          </cell>
          <cell r="D352" t="str">
            <v>Armazenagem (posição palet)</v>
          </cell>
          <cell r="E352" t="str">
            <v>VIBRA AGROINDUSTRIAL S/A FINANCEIRO</v>
          </cell>
          <cell r="CD352">
            <v>0</v>
          </cell>
        </row>
        <row r="353">
          <cell r="B353" t="str">
            <v>Frig_Paranaguá</v>
          </cell>
          <cell r="D353" t="str">
            <v>Capacidade Total PP</v>
          </cell>
          <cell r="E353" t="str">
            <v>CAPACIDADE</v>
          </cell>
          <cell r="CD353">
            <v>25650</v>
          </cell>
        </row>
        <row r="354">
          <cell r="B354" t="str">
            <v>Frig_Paranaguá</v>
          </cell>
          <cell r="D354" t="str">
            <v>Armazenagem (%)</v>
          </cell>
          <cell r="E354" t="str">
            <v>Subtotal</v>
          </cell>
          <cell r="CD354">
            <v>0.61551948097665199</v>
          </cell>
        </row>
        <row r="355">
          <cell r="B355" t="str">
            <v>Frig_Paranaguá</v>
          </cell>
          <cell r="D355" t="str">
            <v>Armazenagem (%)</v>
          </cell>
          <cell r="E355" t="str">
            <v>AGROINDUSTRIAL IRMAOS DALLA COSTA L</v>
          </cell>
          <cell r="CD355">
            <v>0</v>
          </cell>
        </row>
        <row r="356">
          <cell r="B356" t="str">
            <v>Frig_Paranaguá</v>
          </cell>
          <cell r="D356" t="str">
            <v>Armazenagem (%)</v>
          </cell>
          <cell r="E356" t="str">
            <v>AGROPRATINHA S/A</v>
          </cell>
          <cell r="CD356">
            <v>0.191682910981157</v>
          </cell>
        </row>
        <row r="357">
          <cell r="B357" t="str">
            <v>Frig_Paranaguá</v>
          </cell>
          <cell r="D357" t="str">
            <v>Armazenagem (%)</v>
          </cell>
          <cell r="E357" t="str">
            <v>AVENORTE AVICOLA CIANORTE LTDA - FINANCEIRO</v>
          </cell>
          <cell r="CD357">
            <v>9.7465886939571093E-3</v>
          </cell>
        </row>
        <row r="358">
          <cell r="B358" t="str">
            <v>Frig_Paranaguá</v>
          </cell>
          <cell r="D358" t="str">
            <v>Armazenagem (%)</v>
          </cell>
          <cell r="E358" t="str">
            <v>BELLO ALIMENTOS LTDA</v>
          </cell>
          <cell r="CD358">
            <v>0</v>
          </cell>
        </row>
        <row r="359">
          <cell r="B359" t="str">
            <v>Frig_Paranaguá</v>
          </cell>
          <cell r="D359" t="str">
            <v>Armazenagem (%)</v>
          </cell>
          <cell r="E359" t="str">
            <v>BMG FOODS IMPORTACAO</v>
          </cell>
          <cell r="CD359">
            <v>0</v>
          </cell>
        </row>
        <row r="360">
          <cell r="B360" t="str">
            <v>Frig_Paranaguá</v>
          </cell>
          <cell r="D360" t="str">
            <v>Armazenagem (%)</v>
          </cell>
          <cell r="E360" t="str">
            <v>BRF S.A - FINANCEIRO</v>
          </cell>
          <cell r="CD360">
            <v>0.196556205328135</v>
          </cell>
        </row>
        <row r="361">
          <cell r="B361" t="str">
            <v>Frig_Paranaguá</v>
          </cell>
          <cell r="D361" t="str">
            <v>Armazenagem (%)</v>
          </cell>
          <cell r="E361" t="str">
            <v>C.VALE - COOPERATIVA AGROINDUSTRIAL</v>
          </cell>
          <cell r="CD361">
            <v>0</v>
          </cell>
        </row>
        <row r="362">
          <cell r="B362" t="str">
            <v>Frig_Paranaguá</v>
          </cell>
          <cell r="D362" t="str">
            <v>Armazenagem (%)</v>
          </cell>
          <cell r="E362" t="str">
            <v>CIA IGUACU DE CAFE SOLUVEL</v>
          </cell>
          <cell r="CD362">
            <v>1.364522417154E-2</v>
          </cell>
        </row>
        <row r="363">
          <cell r="B363" t="str">
            <v>Frig_Paranaguá</v>
          </cell>
          <cell r="D363" t="str">
            <v>Armazenagem (%)</v>
          </cell>
          <cell r="E363" t="str">
            <v>COACIPAR COOPERATIVA DE AGRICULTURA</v>
          </cell>
          <cell r="CD363">
            <v>1.0396361273554301E-2</v>
          </cell>
        </row>
        <row r="364">
          <cell r="B364" t="str">
            <v>Frig_Paranaguá</v>
          </cell>
          <cell r="D364" t="str">
            <v>Armazenagem (%)</v>
          </cell>
          <cell r="E364" t="str">
            <v>CONCEN INDUSTRIA</v>
          </cell>
          <cell r="CD364">
            <v>0</v>
          </cell>
        </row>
        <row r="365">
          <cell r="B365" t="str">
            <v>Frig_Paranaguá</v>
          </cell>
          <cell r="D365" t="str">
            <v>Armazenagem (%)</v>
          </cell>
          <cell r="E365" t="str">
            <v>FRANGOS PIONEIRO INDUSTRIA E COMERC</v>
          </cell>
          <cell r="CD365">
            <v>0</v>
          </cell>
        </row>
        <row r="366">
          <cell r="B366" t="str">
            <v>Frig_Paranaguá</v>
          </cell>
          <cell r="D366" t="str">
            <v>Armazenagem (%)</v>
          </cell>
          <cell r="E366" t="str">
            <v>FRIGOSUL FRIGORIFICO SUL LTDA</v>
          </cell>
          <cell r="CD366">
            <v>0</v>
          </cell>
        </row>
        <row r="367">
          <cell r="B367" t="str">
            <v>Frig_Paranaguá</v>
          </cell>
          <cell r="D367" t="str">
            <v>Armazenagem (%)</v>
          </cell>
          <cell r="E367" t="str">
            <v>FRIMESA COOPERATIVA CENTRAL</v>
          </cell>
          <cell r="CD367">
            <v>0</v>
          </cell>
        </row>
        <row r="368">
          <cell r="B368" t="str">
            <v>Frig_Paranaguá</v>
          </cell>
          <cell r="D368" t="str">
            <v>Armazenagem (%)</v>
          </cell>
          <cell r="E368" t="str">
            <v>GARRA INTERNATIONAL LTDA</v>
          </cell>
          <cell r="CD368">
            <v>0</v>
          </cell>
        </row>
        <row r="369">
          <cell r="B369" t="str">
            <v>Frig_Paranaguá</v>
          </cell>
          <cell r="D369" t="str">
            <v>Armazenagem (%)</v>
          </cell>
          <cell r="E369" t="str">
            <v>GDC ALIMENTOS S.A</v>
          </cell>
          <cell r="CD369">
            <v>0</v>
          </cell>
        </row>
        <row r="370">
          <cell r="B370" t="str">
            <v>Frig_Paranaguá</v>
          </cell>
          <cell r="D370" t="str">
            <v>Armazenagem (%)</v>
          </cell>
          <cell r="E370" t="str">
            <v>GONCALVES &amp; TORTOLA S/A</v>
          </cell>
          <cell r="CD370">
            <v>0</v>
          </cell>
        </row>
        <row r="371">
          <cell r="B371" t="str">
            <v>Frig_Paranaguá</v>
          </cell>
          <cell r="D371" t="str">
            <v>Armazenagem (%)</v>
          </cell>
          <cell r="E371" t="str">
            <v>JAGUAFRANGOS INDUSTRIA E COMERCIO</v>
          </cell>
          <cell r="CD371">
            <v>0</v>
          </cell>
        </row>
        <row r="372">
          <cell r="B372" t="str">
            <v>Frig_Paranaguá</v>
          </cell>
          <cell r="D372" t="str">
            <v>Armazenagem (%)</v>
          </cell>
          <cell r="E372" t="str">
            <v>JBS GROUP</v>
          </cell>
          <cell r="CD372">
            <v>0</v>
          </cell>
        </row>
        <row r="373">
          <cell r="B373" t="str">
            <v>Frig_Paranaguá</v>
          </cell>
          <cell r="D373" t="str">
            <v>Armazenagem (%)</v>
          </cell>
          <cell r="E373" t="str">
            <v>JBS FRIBOI</v>
          </cell>
          <cell r="CD373">
            <v>0.112085769980507</v>
          </cell>
        </row>
        <row r="374">
          <cell r="B374" t="str">
            <v>Frig_Paranaguá</v>
          </cell>
          <cell r="D374" t="str">
            <v>Armazenagem (%)</v>
          </cell>
          <cell r="E374" t="str">
            <v>LAR COOPERATIVA AGROINDUSTRIAL - FINANCEIRO</v>
          </cell>
          <cell r="CD374">
            <v>0</v>
          </cell>
        </row>
        <row r="375">
          <cell r="B375" t="str">
            <v>Frig_Paranaguá</v>
          </cell>
          <cell r="D375" t="str">
            <v>Armazenagem (%)</v>
          </cell>
          <cell r="E375" t="str">
            <v>LOUIS DREYFUS COMPANY SUCOS S.A.</v>
          </cell>
          <cell r="CD375">
            <v>8.9567779227213099E-3</v>
          </cell>
        </row>
        <row r="376">
          <cell r="B376" t="str">
            <v>Frig_Paranaguá</v>
          </cell>
          <cell r="D376" t="str">
            <v>Armazenagem (%)</v>
          </cell>
          <cell r="E376" t="str">
            <v>MAR TERRA IND E COMERCIO DE PESCADO</v>
          </cell>
          <cell r="CD376">
            <v>0</v>
          </cell>
        </row>
        <row r="377">
          <cell r="B377" t="str">
            <v>Frig_Paranaguá</v>
          </cell>
          <cell r="D377" t="str">
            <v>Armazenagem (%)</v>
          </cell>
          <cell r="E377" t="str">
            <v>MARFRIG GLOBAL FOODS S.A</v>
          </cell>
          <cell r="CD377">
            <v>0</v>
          </cell>
        </row>
        <row r="378">
          <cell r="B378" t="str">
            <v>Frig_Paranaguá</v>
          </cell>
          <cell r="D378" t="str">
            <v>Armazenagem (%)</v>
          </cell>
          <cell r="E378" t="str">
            <v>MINERVA S A</v>
          </cell>
          <cell r="CD378">
            <v>0</v>
          </cell>
        </row>
        <row r="379">
          <cell r="B379" t="str">
            <v>Frig_Paranaguá</v>
          </cell>
          <cell r="D379" t="str">
            <v>Armazenagem (%)</v>
          </cell>
          <cell r="E379" t="str">
            <v>Cliente Novo 1</v>
          </cell>
          <cell r="CD379">
            <v>7.2449642625081204E-2</v>
          </cell>
        </row>
        <row r="380">
          <cell r="B380" t="str">
            <v>Frig_Paranaguá</v>
          </cell>
          <cell r="D380" t="str">
            <v>Armazenagem (%)</v>
          </cell>
          <cell r="E380" t="str">
            <v>PAMPEANO ALIMENTOS S/A</v>
          </cell>
          <cell r="CD380">
            <v>0</v>
          </cell>
        </row>
        <row r="381">
          <cell r="B381" t="str">
            <v>Frig_Paranaguá</v>
          </cell>
          <cell r="D381" t="str">
            <v>Armazenagem (%)</v>
          </cell>
          <cell r="E381" t="str">
            <v>PLUSVAL AGROAVICOLA LTDA</v>
          </cell>
          <cell r="CD381">
            <v>0</v>
          </cell>
        </row>
        <row r="382">
          <cell r="B382" t="str">
            <v>Frig_Paranaguá</v>
          </cell>
          <cell r="D382" t="str">
            <v>Armazenagem (%)</v>
          </cell>
          <cell r="E382" t="str">
            <v>PRIMA FOODS S.A.</v>
          </cell>
          <cell r="CD382">
            <v>0</v>
          </cell>
        </row>
        <row r="383">
          <cell r="B383" t="str">
            <v>Frig_Paranaguá</v>
          </cell>
          <cell r="D383" t="str">
            <v>Armazenagem (%)</v>
          </cell>
          <cell r="E383" t="str">
            <v>SOMAVE AGROINDUSTRIAL LTDA</v>
          </cell>
          <cell r="CD383">
            <v>0</v>
          </cell>
        </row>
        <row r="384">
          <cell r="B384" t="str">
            <v>Frig_Paranaguá</v>
          </cell>
          <cell r="D384" t="str">
            <v>Armazenagem (%)</v>
          </cell>
          <cell r="E384" t="str">
            <v>VIBRA AGROINDUSTRIAL S/A FINANCEIRO</v>
          </cell>
          <cell r="CD384">
            <v>0</v>
          </cell>
        </row>
        <row r="385">
          <cell r="B385" t="str">
            <v>Frig_Paranaguá</v>
          </cell>
          <cell r="D385" t="str">
            <v>Faturamento | Armazenagem (BRL'000)</v>
          </cell>
          <cell r="E385" t="str">
            <v>Subtotal</v>
          </cell>
          <cell r="CD385">
            <v>22404.3506873019</v>
          </cell>
        </row>
        <row r="386">
          <cell r="B386" t="str">
            <v>Frig_Paranaguá</v>
          </cell>
          <cell r="D386" t="str">
            <v>Faturamento | Armazenagem (BRL'000)</v>
          </cell>
          <cell r="E386" t="str">
            <v>AGROINDUSTRIAL IRMAOS DALLA COSTA L</v>
          </cell>
          <cell r="CD386">
            <v>0</v>
          </cell>
        </row>
        <row r="387">
          <cell r="B387" t="str">
            <v>Frig_Paranaguá</v>
          </cell>
          <cell r="D387" t="str">
            <v>Faturamento | Armazenagem (BRL'000)</v>
          </cell>
          <cell r="E387" t="str">
            <v>AGROPRATINHA S/A</v>
          </cell>
          <cell r="CD387">
            <v>5907.9833602520357</v>
          </cell>
        </row>
        <row r="388">
          <cell r="B388" t="str">
            <v>Frig_Paranaguá</v>
          </cell>
          <cell r="D388" t="str">
            <v>Faturamento | Armazenagem (BRL'000)</v>
          </cell>
          <cell r="E388" t="str">
            <v>AVENORTE AVICOLA CIANORTE LTDA - FINANCEIRO</v>
          </cell>
          <cell r="CD388">
            <v>292.2181652869919</v>
          </cell>
        </row>
        <row r="389">
          <cell r="B389" t="str">
            <v>Frig_Paranaguá</v>
          </cell>
          <cell r="D389" t="str">
            <v>Faturamento | Armazenagem (BRL'000)</v>
          </cell>
          <cell r="E389" t="str">
            <v>BELLO ALIMENTOS LTDA</v>
          </cell>
          <cell r="CD389">
            <v>0</v>
          </cell>
        </row>
        <row r="390">
          <cell r="B390" t="str">
            <v>Frig_Paranaguá</v>
          </cell>
          <cell r="D390" t="str">
            <v>Faturamento | Armazenagem (BRL'000)</v>
          </cell>
          <cell r="E390" t="str">
            <v>BMG FOODS IMPORTACAO</v>
          </cell>
          <cell r="CD390">
            <v>0</v>
          </cell>
        </row>
        <row r="391">
          <cell r="B391" t="str">
            <v>Frig_Paranaguá</v>
          </cell>
          <cell r="D391" t="str">
            <v>Faturamento | Armazenagem (BRL'000)</v>
          </cell>
          <cell r="E391" t="str">
            <v>BRF S.A - FINANCEIRO</v>
          </cell>
          <cell r="CD391">
            <v>6721.5506100000002</v>
          </cell>
        </row>
        <row r="392">
          <cell r="B392" t="str">
            <v>Frig_Paranaguá</v>
          </cell>
          <cell r="D392" t="str">
            <v>Faturamento | Armazenagem (BRL'000)</v>
          </cell>
          <cell r="E392" t="str">
            <v>C.VALE - COOPERATIVA AGROINDUSTRIAL</v>
          </cell>
          <cell r="CD392">
            <v>0</v>
          </cell>
        </row>
        <row r="393">
          <cell r="B393" t="str">
            <v>Frig_Paranaguá</v>
          </cell>
          <cell r="D393" t="str">
            <v>Faturamento | Armazenagem (BRL'000)</v>
          </cell>
          <cell r="E393" t="str">
            <v>CIA IGUACU DE CAFE SOLUVEL</v>
          </cell>
          <cell r="CD393">
            <v>469.11929416976898</v>
          </cell>
        </row>
        <row r="394">
          <cell r="B394" t="str">
            <v>Frig_Paranaguá</v>
          </cell>
          <cell r="D394" t="str">
            <v>Faturamento | Armazenagem (BRL'000)</v>
          </cell>
          <cell r="E394" t="str">
            <v>COACIPAR COOPERATIVA DE AGRICULTURA</v>
          </cell>
          <cell r="CD394">
            <v>309.48607213337152</v>
          </cell>
        </row>
        <row r="395">
          <cell r="B395" t="str">
            <v>Frig_Paranaguá</v>
          </cell>
          <cell r="D395" t="str">
            <v>Faturamento | Armazenagem (BRL'000)</v>
          </cell>
          <cell r="E395" t="str">
            <v>CONCEN INDUSTRIA</v>
          </cell>
          <cell r="CD395">
            <v>0</v>
          </cell>
        </row>
        <row r="396">
          <cell r="B396" t="str">
            <v>Frig_Paranaguá</v>
          </cell>
          <cell r="D396" t="str">
            <v>Faturamento | Armazenagem (BRL'000)</v>
          </cell>
          <cell r="E396" t="str">
            <v>FRANGOS PIONEIRO INDUSTRIA E COMERC</v>
          </cell>
          <cell r="CD396">
            <v>0</v>
          </cell>
        </row>
        <row r="397">
          <cell r="B397" t="str">
            <v>Frig_Paranaguá</v>
          </cell>
          <cell r="D397" t="str">
            <v>Faturamento | Armazenagem (BRL'000)</v>
          </cell>
          <cell r="E397" t="str">
            <v>FRIGOSUL FRIGORIFICO SUL LTDA</v>
          </cell>
          <cell r="CD397">
            <v>0</v>
          </cell>
        </row>
        <row r="398">
          <cell r="B398" t="str">
            <v>Frig_Paranaguá</v>
          </cell>
          <cell r="D398" t="str">
            <v>Faturamento | Armazenagem (BRL'000)</v>
          </cell>
          <cell r="E398" t="str">
            <v>FRIMESA COOPERATIVA CENTRAL</v>
          </cell>
          <cell r="CD398">
            <v>0</v>
          </cell>
        </row>
        <row r="399">
          <cell r="B399" t="str">
            <v>Frig_Paranaguá</v>
          </cell>
          <cell r="D399" t="str">
            <v>Faturamento | Armazenagem (BRL'000)</v>
          </cell>
          <cell r="E399" t="str">
            <v>GARRA INTERNATIONAL LTDA</v>
          </cell>
          <cell r="CD399">
            <v>0</v>
          </cell>
        </row>
        <row r="400">
          <cell r="B400" t="str">
            <v>Frig_Paranaguá</v>
          </cell>
          <cell r="D400" t="str">
            <v>Faturamento | Armazenagem (BRL'000)</v>
          </cell>
          <cell r="E400" t="str">
            <v>GDC ALIMENTOS S.A</v>
          </cell>
          <cell r="CD400">
            <v>0</v>
          </cell>
        </row>
        <row r="401">
          <cell r="B401" t="str">
            <v>Frig_Paranaguá</v>
          </cell>
          <cell r="D401" t="str">
            <v>Faturamento | Armazenagem (BRL'000)</v>
          </cell>
          <cell r="E401" t="str">
            <v>GONCALVES &amp; TORTOLA S/A</v>
          </cell>
          <cell r="CD401">
            <v>0</v>
          </cell>
        </row>
        <row r="402">
          <cell r="B402" t="str">
            <v>Frig_Paranaguá</v>
          </cell>
          <cell r="D402" t="str">
            <v>Faturamento | Armazenagem (BRL'000)</v>
          </cell>
          <cell r="E402" t="str">
            <v>JAGUAFRANGOS INDUSTRIA E COMERCIO</v>
          </cell>
          <cell r="CD402">
            <v>0</v>
          </cell>
        </row>
        <row r="403">
          <cell r="B403" t="str">
            <v>Frig_Paranaguá</v>
          </cell>
          <cell r="D403" t="str">
            <v>Faturamento | Armazenagem (BRL'000)</v>
          </cell>
          <cell r="E403" t="str">
            <v>JBS GROUP</v>
          </cell>
          <cell r="CD403">
            <v>0</v>
          </cell>
        </row>
        <row r="404">
          <cell r="B404" t="str">
            <v>Frig_Paranaguá</v>
          </cell>
          <cell r="D404" t="str">
            <v>Faturamento | Armazenagem (BRL'000)</v>
          </cell>
          <cell r="E404" t="str">
            <v>JBS FRIBOI</v>
          </cell>
          <cell r="CD404">
            <v>6140.966621742421</v>
          </cell>
        </row>
        <row r="405">
          <cell r="B405" t="str">
            <v>Frig_Paranaguá</v>
          </cell>
          <cell r="D405" t="str">
            <v>Faturamento | Armazenagem (BRL'000)</v>
          </cell>
          <cell r="E405" t="str">
            <v>LAR COOPERATIVA AGROINDUSTRIAL - FINANCEIRO</v>
          </cell>
          <cell r="CD405">
            <v>0</v>
          </cell>
        </row>
        <row r="406">
          <cell r="B406" t="str">
            <v>Frig_Paranaguá</v>
          </cell>
          <cell r="D406" t="str">
            <v>Faturamento | Armazenagem (BRL'000)</v>
          </cell>
          <cell r="E406" t="str">
            <v>LOUIS DREYFUS COMPANY SUCOS S.A.</v>
          </cell>
          <cell r="CD406">
            <v>333.02656371731302</v>
          </cell>
        </row>
        <row r="407">
          <cell r="B407" t="str">
            <v>Frig_Paranaguá</v>
          </cell>
          <cell r="D407" t="str">
            <v>Faturamento | Armazenagem (BRL'000)</v>
          </cell>
          <cell r="E407" t="str">
            <v>MAR TERRA IND E COMERCIO DE PESCADO</v>
          </cell>
          <cell r="CD407">
            <v>0</v>
          </cell>
        </row>
        <row r="408">
          <cell r="B408" t="str">
            <v>Frig_Paranaguá</v>
          </cell>
          <cell r="D408" t="str">
            <v>Faturamento | Armazenagem (BRL'000)</v>
          </cell>
          <cell r="E408" t="str">
            <v>MARFRIG GLOBAL FOODS S.A</v>
          </cell>
          <cell r="CD408">
            <v>0</v>
          </cell>
        </row>
        <row r="409">
          <cell r="B409" t="str">
            <v>Frig_Paranaguá</v>
          </cell>
          <cell r="D409" t="str">
            <v>Faturamento | Armazenagem (BRL'000)</v>
          </cell>
          <cell r="E409" t="str">
            <v>MINERVA S A</v>
          </cell>
          <cell r="CD409">
            <v>0</v>
          </cell>
        </row>
        <row r="410">
          <cell r="B410" t="str">
            <v>Frig_Paranaguá</v>
          </cell>
          <cell r="D410" t="str">
            <v>Faturamento | Armazenagem (BRL'000)</v>
          </cell>
          <cell r="E410" t="str">
            <v>Cliente Novo 1</v>
          </cell>
          <cell r="CD410">
            <v>2230</v>
          </cell>
        </row>
        <row r="411">
          <cell r="B411" t="str">
            <v>Frig_Paranaguá</v>
          </cell>
          <cell r="D411" t="str">
            <v>Faturamento | Armazenagem (BRL'000)</v>
          </cell>
          <cell r="E411" t="str">
            <v>PAMPEANO ALIMENTOS S/A</v>
          </cell>
          <cell r="CD411">
            <v>0</v>
          </cell>
        </row>
        <row r="412">
          <cell r="B412" t="str">
            <v>Frig_Paranaguá</v>
          </cell>
          <cell r="D412" t="str">
            <v>Faturamento | Armazenagem (BRL'000)</v>
          </cell>
          <cell r="E412" t="str">
            <v>PLUSVAL AGROAVICOLA LTDA</v>
          </cell>
          <cell r="CD412">
            <v>0</v>
          </cell>
        </row>
        <row r="413">
          <cell r="B413" t="str">
            <v>Frig_Paranaguá</v>
          </cell>
          <cell r="D413" t="str">
            <v>Faturamento | Armazenagem (BRL'000)</v>
          </cell>
          <cell r="E413" t="str">
            <v>PRIMA FOODS S.A.</v>
          </cell>
          <cell r="CD413">
            <v>0</v>
          </cell>
        </row>
        <row r="414">
          <cell r="B414" t="str">
            <v>Frig_Paranaguá</v>
          </cell>
          <cell r="D414" t="str">
            <v>Faturamento | Armazenagem (BRL'000)</v>
          </cell>
          <cell r="E414" t="str">
            <v>SOMAVE AGROINDUSTRIAL LTDA</v>
          </cell>
          <cell r="CD414">
            <v>0</v>
          </cell>
        </row>
        <row r="415">
          <cell r="B415" t="str">
            <v>Frig_Paranaguá</v>
          </cell>
          <cell r="D415" t="str">
            <v>Faturamento | Armazenagem (BRL'000)</v>
          </cell>
          <cell r="E415" t="str">
            <v>VIBRA AGROINDUSTRIAL S/A FINANCEIRO</v>
          </cell>
          <cell r="CD415">
            <v>0</v>
          </cell>
        </row>
        <row r="416">
          <cell r="B416" t="str">
            <v>Frig_Paranaguá</v>
          </cell>
          <cell r="D416" t="str">
            <v>Ticket Médio | Armazenagem (BRL)</v>
          </cell>
          <cell r="E416" t="str">
            <v>Subtotal</v>
          </cell>
          <cell r="CD416">
            <v>118.2183845660342</v>
          </cell>
        </row>
        <row r="417">
          <cell r="B417" t="str">
            <v>Frig_Paranaguá</v>
          </cell>
          <cell r="D417" t="str">
            <v>Ticket Médio | Armazenagem (BRL)</v>
          </cell>
          <cell r="E417" t="str">
            <v>AGROINDUSTRIAL IRMAOS DALLA COSTA L</v>
          </cell>
          <cell r="CD417">
            <v>0</v>
          </cell>
        </row>
        <row r="418">
          <cell r="B418" t="str">
            <v>Frig_Paranaguá</v>
          </cell>
          <cell r="D418" t="str">
            <v>Ticket Médio | Armazenagem (BRL)</v>
          </cell>
          <cell r="E418" t="str">
            <v>AGROPRATINHA S/A</v>
          </cell>
          <cell r="CD418">
            <v>100.17914530450329</v>
          </cell>
        </row>
        <row r="419">
          <cell r="B419" t="str">
            <v>Frig_Paranaguá</v>
          </cell>
          <cell r="D419" t="str">
            <v>Ticket Médio | Armazenagem (BRL)</v>
          </cell>
          <cell r="E419" t="str">
            <v>AVENORTE AVICOLA CIANORTE LTDA - FINANCEIRO</v>
          </cell>
          <cell r="CD419">
            <v>97.406055095663973</v>
          </cell>
        </row>
        <row r="420">
          <cell r="B420" t="str">
            <v>Frig_Paranaguá</v>
          </cell>
          <cell r="D420" t="str">
            <v>Ticket Médio | Armazenagem (BRL)</v>
          </cell>
          <cell r="E420" t="str">
            <v>BELLO ALIMENTOS LTDA</v>
          </cell>
          <cell r="CD420">
            <v>0</v>
          </cell>
        </row>
        <row r="421">
          <cell r="B421" t="str">
            <v>Frig_Paranaguá</v>
          </cell>
          <cell r="D421" t="str">
            <v>Ticket Médio | Armazenagem (BRL)</v>
          </cell>
          <cell r="E421" t="str">
            <v>BMG FOODS IMPORTACAO</v>
          </cell>
          <cell r="CD421">
            <v>103.75476765167861</v>
          </cell>
        </row>
        <row r="422">
          <cell r="B422" t="str">
            <v>Frig_Paranaguá</v>
          </cell>
          <cell r="D422" t="str">
            <v>Ticket Médio | Armazenagem (BRL)</v>
          </cell>
          <cell r="E422" t="str">
            <v>BRF S.A - FINANCEIRO</v>
          </cell>
          <cell r="CD422">
            <v>111.06814</v>
          </cell>
        </row>
        <row r="423">
          <cell r="B423" t="str">
            <v>Frig_Paranaguá</v>
          </cell>
          <cell r="D423" t="str">
            <v>Ticket Médio | Armazenagem (BRL)</v>
          </cell>
          <cell r="E423" t="str">
            <v>C.VALE - COOPERATIVA AGROINDUSTRIAL</v>
          </cell>
          <cell r="CD423">
            <v>0</v>
          </cell>
        </row>
        <row r="424">
          <cell r="B424" t="str">
            <v>Frig_Paranaguá</v>
          </cell>
          <cell r="D424" t="str">
            <v>Ticket Médio | Armazenagem (BRL)</v>
          </cell>
          <cell r="E424" t="str">
            <v>CIA IGUACU DE CAFE SOLUVEL</v>
          </cell>
          <cell r="CD424">
            <v>111.6950700404212</v>
          </cell>
        </row>
        <row r="425">
          <cell r="B425" t="str">
            <v>Frig_Paranaguá</v>
          </cell>
          <cell r="D425" t="str">
            <v>Ticket Médio | Armazenagem (BRL)</v>
          </cell>
          <cell r="E425" t="str">
            <v>COACIPAR COOPERATIVA DE AGRICULTURA</v>
          </cell>
          <cell r="CD425">
            <v>95.210262414316375</v>
          </cell>
        </row>
        <row r="426">
          <cell r="B426" t="str">
            <v>Frig_Paranaguá</v>
          </cell>
          <cell r="D426" t="str">
            <v>Ticket Médio | Armazenagem (BRL)</v>
          </cell>
          <cell r="E426" t="str">
            <v>CONCEN INDUSTRIA</v>
          </cell>
          <cell r="CD426">
            <v>0</v>
          </cell>
        </row>
        <row r="427">
          <cell r="B427" t="str">
            <v>Frig_Paranaguá</v>
          </cell>
          <cell r="D427" t="str">
            <v>Ticket Médio | Armazenagem (BRL)</v>
          </cell>
          <cell r="E427" t="str">
            <v>FRANGOS PIONEIRO INDUSTRIA E COMERC</v>
          </cell>
          <cell r="CD427">
            <v>1384.631095846313</v>
          </cell>
        </row>
        <row r="428">
          <cell r="B428" t="str">
            <v>Frig_Paranaguá</v>
          </cell>
          <cell r="D428" t="str">
            <v>Ticket Médio | Armazenagem (BRL)</v>
          </cell>
          <cell r="E428" t="str">
            <v>FRIGOSUL FRIGORIFICO SUL LTDA</v>
          </cell>
          <cell r="CD428">
            <v>0</v>
          </cell>
        </row>
        <row r="429">
          <cell r="B429" t="str">
            <v>Frig_Paranaguá</v>
          </cell>
          <cell r="D429" t="str">
            <v>Ticket Médio | Armazenagem (BRL)</v>
          </cell>
          <cell r="E429" t="str">
            <v>FRIMESA COOPERATIVA CENTRAL</v>
          </cell>
          <cell r="CD429">
            <v>250.82023035517199</v>
          </cell>
        </row>
        <row r="430">
          <cell r="B430" t="str">
            <v>Frig_Paranaguá</v>
          </cell>
          <cell r="D430" t="str">
            <v>Ticket Médio | Armazenagem (BRL)</v>
          </cell>
          <cell r="E430" t="str">
            <v>GARRA INTERNATIONAL LTDA</v>
          </cell>
          <cell r="CD430">
            <v>0</v>
          </cell>
        </row>
        <row r="431">
          <cell r="B431" t="str">
            <v>Frig_Paranaguá</v>
          </cell>
          <cell r="D431" t="str">
            <v>Ticket Médio | Armazenagem (BRL)</v>
          </cell>
          <cell r="E431" t="str">
            <v>GDC ALIMENTOS S.A</v>
          </cell>
          <cell r="CD431">
            <v>0</v>
          </cell>
        </row>
        <row r="432">
          <cell r="B432" t="str">
            <v>Frig_Paranaguá</v>
          </cell>
          <cell r="D432" t="str">
            <v>Ticket Médio | Armazenagem (BRL)</v>
          </cell>
          <cell r="E432" t="str">
            <v>GONCALVES &amp; TORTOLA S/A</v>
          </cell>
          <cell r="CD432">
            <v>60.509640614784438</v>
          </cell>
        </row>
        <row r="433">
          <cell r="B433" t="str">
            <v>Frig_Paranaguá</v>
          </cell>
          <cell r="D433" t="str">
            <v>Ticket Médio | Armazenagem (BRL)</v>
          </cell>
          <cell r="E433" t="str">
            <v>JAGUAFRANGOS INDUSTRIA E COMERCIO</v>
          </cell>
          <cell r="CD433">
            <v>0</v>
          </cell>
        </row>
        <row r="434">
          <cell r="B434" t="str">
            <v>Frig_Paranaguá</v>
          </cell>
          <cell r="D434" t="str">
            <v>Ticket Médio | Armazenagem (BRL)</v>
          </cell>
          <cell r="E434" t="str">
            <v>JBS GROUP</v>
          </cell>
          <cell r="CD434">
            <v>160.1002646441315</v>
          </cell>
        </row>
        <row r="435">
          <cell r="B435" t="str">
            <v>Frig_Paranaguá</v>
          </cell>
          <cell r="D435" t="str">
            <v>Ticket Médio | Armazenagem (BRL)</v>
          </cell>
          <cell r="E435" t="str">
            <v>JBS FRIBOI</v>
          </cell>
          <cell r="CD435">
            <v>177.9990325142731</v>
          </cell>
        </row>
        <row r="436">
          <cell r="B436" t="str">
            <v>Frig_Paranaguá</v>
          </cell>
          <cell r="D436" t="str">
            <v>Ticket Médio | Armazenagem (BRL)</v>
          </cell>
          <cell r="E436" t="str">
            <v>LAR COOPERATIVA AGROINDUSTRIAL - FINANCEIRO</v>
          </cell>
          <cell r="CD436">
            <v>80.389910987684985</v>
          </cell>
        </row>
        <row r="437">
          <cell r="B437" t="str">
            <v>Frig_Paranaguá</v>
          </cell>
          <cell r="D437" t="str">
            <v>Ticket Médio | Armazenagem (BRL)</v>
          </cell>
          <cell r="E437" t="str">
            <v>LOUIS DREYFUS COMPANY SUCOS S.A.</v>
          </cell>
          <cell r="CD437">
            <v>118.38013118613461</v>
          </cell>
        </row>
        <row r="438">
          <cell r="B438" t="str">
            <v>Frig_Paranaguá</v>
          </cell>
          <cell r="D438" t="str">
            <v>Ticket Médio | Armazenagem (BRL)</v>
          </cell>
          <cell r="E438" t="str">
            <v>MAR TERRA IND E COMERCIO DE PESCADO</v>
          </cell>
          <cell r="CD438">
            <v>0</v>
          </cell>
        </row>
        <row r="439">
          <cell r="B439" t="str">
            <v>Frig_Paranaguá</v>
          </cell>
          <cell r="D439" t="str">
            <v>Ticket Médio | Armazenagem (BRL)</v>
          </cell>
          <cell r="E439" t="str">
            <v>MARFRIG GLOBAL FOODS S.A</v>
          </cell>
          <cell r="CD439">
            <v>0</v>
          </cell>
        </row>
        <row r="440">
          <cell r="B440" t="str">
            <v>Frig_Paranaguá</v>
          </cell>
          <cell r="D440" t="str">
            <v>Ticket Médio | Armazenagem (BRL)</v>
          </cell>
          <cell r="E440" t="str">
            <v>MINERVA S A</v>
          </cell>
          <cell r="CD440">
            <v>131.7130588488744</v>
          </cell>
        </row>
        <row r="441">
          <cell r="B441" t="str">
            <v>Frig_Paranaguá</v>
          </cell>
          <cell r="D441" t="str">
            <v>Ticket Médio | Armazenagem (BRL)</v>
          </cell>
          <cell r="E441" t="str">
            <v>Cliente Novo 1</v>
          </cell>
          <cell r="CD441">
            <v>100</v>
          </cell>
        </row>
        <row r="442">
          <cell r="B442" t="str">
            <v>Frig_Paranaguá</v>
          </cell>
          <cell r="D442" t="str">
            <v>Ticket Médio | Armazenagem (BRL)</v>
          </cell>
          <cell r="E442" t="str">
            <v>PAMPEANO ALIMENTOS S/A</v>
          </cell>
          <cell r="CD442">
            <v>0</v>
          </cell>
        </row>
        <row r="443">
          <cell r="B443" t="str">
            <v>Frig_Paranaguá</v>
          </cell>
          <cell r="D443" t="str">
            <v>Ticket Médio | Armazenagem (BRL)</v>
          </cell>
          <cell r="E443" t="str">
            <v>PLUSVAL AGROAVICOLA LTDA</v>
          </cell>
          <cell r="CD443">
            <v>0</v>
          </cell>
        </row>
        <row r="444">
          <cell r="B444" t="str">
            <v>Frig_Paranaguá</v>
          </cell>
          <cell r="D444" t="str">
            <v>Ticket Médio | Armazenagem (BRL)</v>
          </cell>
          <cell r="E444" t="str">
            <v>PRIMA FOODS S.A.</v>
          </cell>
          <cell r="CD444">
            <v>0</v>
          </cell>
        </row>
        <row r="445">
          <cell r="B445" t="str">
            <v>Frig_Paranaguá</v>
          </cell>
          <cell r="D445" t="str">
            <v>Ticket Médio | Armazenagem (BRL)</v>
          </cell>
          <cell r="E445" t="str">
            <v>SOMAVE AGROINDUSTRIAL LTDA</v>
          </cell>
          <cell r="CD445">
            <v>0</v>
          </cell>
        </row>
        <row r="446">
          <cell r="B446" t="str">
            <v>Frig_Paranaguá</v>
          </cell>
          <cell r="D446" t="str">
            <v>Ticket Médio | Armazenagem (BRL)</v>
          </cell>
          <cell r="E446" t="str">
            <v>VIBRA AGROINDUSTRIAL S/A FINANCEIRO</v>
          </cell>
          <cell r="CD446">
            <v>87.393786361439709</v>
          </cell>
        </row>
        <row r="447">
          <cell r="B447" t="str">
            <v>Frig_Paranaguá</v>
          </cell>
          <cell r="D447" t="str">
            <v>Movimentação (Toneladas)</v>
          </cell>
          <cell r="E447" t="str">
            <v>Subtotal</v>
          </cell>
          <cell r="CD447">
            <v>313353.85298395558</v>
          </cell>
        </row>
        <row r="448">
          <cell r="B448" t="str">
            <v>Frig_Paranaguá</v>
          </cell>
          <cell r="D448" t="str">
            <v>Movimentação (Toneladas)</v>
          </cell>
          <cell r="E448" t="str">
            <v>AGROINDUSTRIAL IRMAOS DALLA COSTA L</v>
          </cell>
          <cell r="CD448">
            <v>0</v>
          </cell>
        </row>
        <row r="449">
          <cell r="B449" t="str">
            <v>Frig_Paranaguá</v>
          </cell>
          <cell r="D449" t="str">
            <v>Movimentação (Toneladas)</v>
          </cell>
          <cell r="E449" t="str">
            <v>AGROPRATINHA S/A</v>
          </cell>
          <cell r="CD449">
            <v>35400</v>
          </cell>
        </row>
        <row r="450">
          <cell r="B450" t="str">
            <v>Frig_Paranaguá</v>
          </cell>
          <cell r="D450" t="str">
            <v>Movimentação (Toneladas)</v>
          </cell>
          <cell r="E450" t="str">
            <v>AVENORTE AVICOLA CIANORTE LTDA - FINANCEIRO</v>
          </cell>
          <cell r="CD450">
            <v>2352.4409056304189</v>
          </cell>
        </row>
        <row r="451">
          <cell r="B451" t="str">
            <v>Frig_Paranaguá</v>
          </cell>
          <cell r="D451" t="str">
            <v>Movimentação (Toneladas)</v>
          </cell>
          <cell r="E451" t="str">
            <v>BELLO ALIMENTOS LTDA</v>
          </cell>
          <cell r="CD451">
            <v>0</v>
          </cell>
        </row>
        <row r="452">
          <cell r="B452" t="str">
            <v>Frig_Paranaguá</v>
          </cell>
          <cell r="D452" t="str">
            <v>Movimentação (Toneladas)</v>
          </cell>
          <cell r="E452" t="str">
            <v>BMG FOODS IMPORTACAO</v>
          </cell>
          <cell r="CD452">
            <v>0</v>
          </cell>
        </row>
        <row r="453">
          <cell r="B453" t="str">
            <v>Frig_Paranaguá</v>
          </cell>
          <cell r="D453" t="str">
            <v>Movimentação (Toneladas)</v>
          </cell>
          <cell r="E453" t="str">
            <v>BRF S.A - FINANCEIRO</v>
          </cell>
          <cell r="CD453">
            <v>109464.78429031619</v>
          </cell>
        </row>
        <row r="454">
          <cell r="B454" t="str">
            <v>Frig_Paranaguá</v>
          </cell>
          <cell r="D454" t="str">
            <v>Movimentação (Toneladas)</v>
          </cell>
          <cell r="E454" t="str">
            <v>C.VALE - COOPERATIVA AGROINDUSTRIAL</v>
          </cell>
          <cell r="CD454">
            <v>0</v>
          </cell>
        </row>
        <row r="455">
          <cell r="B455" t="str">
            <v>Frig_Paranaguá</v>
          </cell>
          <cell r="D455" t="str">
            <v>Movimentação (Toneladas)</v>
          </cell>
          <cell r="E455" t="str">
            <v>CIA IGUACU DE CAFE SOLUVEL</v>
          </cell>
          <cell r="CD455">
            <v>2340.3314917127068</v>
          </cell>
        </row>
        <row r="456">
          <cell r="B456" t="str">
            <v>Frig_Paranaguá</v>
          </cell>
          <cell r="D456" t="str">
            <v>Movimentação (Toneladas)</v>
          </cell>
          <cell r="E456" t="str">
            <v>COACIPAR COOPERATIVA DE AGRICULTURA</v>
          </cell>
          <cell r="CD456">
            <v>640</v>
          </cell>
        </row>
        <row r="457">
          <cell r="B457" t="str">
            <v>Frig_Paranaguá</v>
          </cell>
          <cell r="D457" t="str">
            <v>Movimentação (Toneladas)</v>
          </cell>
          <cell r="E457" t="str">
            <v>CONCEN INDUSTRIA</v>
          </cell>
          <cell r="CD457">
            <v>0</v>
          </cell>
        </row>
        <row r="458">
          <cell r="B458" t="str">
            <v>Frig_Paranaguá</v>
          </cell>
          <cell r="D458" t="str">
            <v>Movimentação (Toneladas)</v>
          </cell>
          <cell r="E458" t="str">
            <v>FRANGOS PIONEIRO INDUSTRIA E COMERC</v>
          </cell>
          <cell r="CD458">
            <v>0</v>
          </cell>
        </row>
        <row r="459">
          <cell r="B459" t="str">
            <v>Frig_Paranaguá</v>
          </cell>
          <cell r="D459" t="str">
            <v>Movimentação (Toneladas)</v>
          </cell>
          <cell r="E459" t="str">
            <v>FRIGOSUL FRIGORIFICO SUL LTDA</v>
          </cell>
          <cell r="CD459">
            <v>0</v>
          </cell>
        </row>
        <row r="460">
          <cell r="B460" t="str">
            <v>Frig_Paranaguá</v>
          </cell>
          <cell r="D460" t="str">
            <v>Movimentação (Toneladas)</v>
          </cell>
          <cell r="E460" t="str">
            <v>FRIMESA COOPERATIVA CENTRAL</v>
          </cell>
          <cell r="CD460">
            <v>0</v>
          </cell>
        </row>
        <row r="461">
          <cell r="B461" t="str">
            <v>Frig_Paranaguá</v>
          </cell>
          <cell r="D461" t="str">
            <v>Movimentação (Toneladas)</v>
          </cell>
          <cell r="E461" t="str">
            <v>GARRA INTERNATIONAL LTDA</v>
          </cell>
          <cell r="CD461">
            <v>0</v>
          </cell>
        </row>
        <row r="462">
          <cell r="B462" t="str">
            <v>Frig_Paranaguá</v>
          </cell>
          <cell r="D462" t="str">
            <v>Movimentação (Toneladas)</v>
          </cell>
          <cell r="E462" t="str">
            <v>GDC ALIMENTOS S.A</v>
          </cell>
          <cell r="CD462">
            <v>0</v>
          </cell>
        </row>
        <row r="463">
          <cell r="B463" t="str">
            <v>Frig_Paranaguá</v>
          </cell>
          <cell r="D463" t="str">
            <v>Movimentação (Toneladas)</v>
          </cell>
          <cell r="E463" t="str">
            <v>GONCALVES &amp; TORTOLA S/A</v>
          </cell>
          <cell r="CD463">
            <v>0</v>
          </cell>
        </row>
        <row r="464">
          <cell r="B464" t="str">
            <v>Frig_Paranaguá</v>
          </cell>
          <cell r="D464" t="str">
            <v>Movimentação (Toneladas)</v>
          </cell>
          <cell r="E464" t="str">
            <v>JAGUAFRANGOS INDUSTRIA E COMERCIO</v>
          </cell>
          <cell r="CD464">
            <v>0</v>
          </cell>
        </row>
        <row r="465">
          <cell r="B465" t="str">
            <v>Frig_Paranaguá</v>
          </cell>
          <cell r="D465" t="str">
            <v>Movimentação (Toneladas)</v>
          </cell>
          <cell r="E465" t="str">
            <v>JBS GROUP</v>
          </cell>
          <cell r="CD465">
            <v>0</v>
          </cell>
        </row>
        <row r="466">
          <cell r="B466" t="str">
            <v>Frig_Paranaguá</v>
          </cell>
          <cell r="D466" t="str">
            <v>Movimentação (Toneladas)</v>
          </cell>
          <cell r="E466" t="str">
            <v>JBS FRIBOI</v>
          </cell>
          <cell r="CD466">
            <v>138000</v>
          </cell>
        </row>
        <row r="467">
          <cell r="B467" t="str">
            <v>Frig_Paranaguá</v>
          </cell>
          <cell r="D467" t="str">
            <v>Movimentação (Toneladas)</v>
          </cell>
          <cell r="E467" t="str">
            <v>LAR COOPERATIVA AGROINDUSTRIAL - FINANCEIRO</v>
          </cell>
          <cell r="CD467">
            <v>0</v>
          </cell>
        </row>
        <row r="468">
          <cell r="B468" t="str">
            <v>Frig_Paranaguá</v>
          </cell>
          <cell r="D468" t="str">
            <v>Movimentação (Toneladas)</v>
          </cell>
          <cell r="E468" t="str">
            <v>LOUIS DREYFUS COMPANY SUCOS S.A.</v>
          </cell>
          <cell r="CD468">
            <v>2856.2962962962961</v>
          </cell>
        </row>
        <row r="469">
          <cell r="B469" t="str">
            <v>Frig_Paranaguá</v>
          </cell>
          <cell r="D469" t="str">
            <v>Movimentação (Toneladas)</v>
          </cell>
          <cell r="E469" t="str">
            <v>MAR TERRA IND E COMERCIO DE PESCADO</v>
          </cell>
          <cell r="CD469">
            <v>0</v>
          </cell>
        </row>
        <row r="470">
          <cell r="B470" t="str">
            <v>Frig_Paranaguá</v>
          </cell>
          <cell r="D470" t="str">
            <v>Movimentação (Toneladas)</v>
          </cell>
          <cell r="E470" t="str">
            <v>MARFRIG GLOBAL FOODS S.A</v>
          </cell>
          <cell r="CD470">
            <v>0</v>
          </cell>
        </row>
        <row r="471">
          <cell r="B471" t="str">
            <v>Frig_Paranaguá</v>
          </cell>
          <cell r="D471" t="str">
            <v>Movimentação (Toneladas)</v>
          </cell>
          <cell r="E471" t="str">
            <v>MINERVA S A</v>
          </cell>
          <cell r="CD471">
            <v>0</v>
          </cell>
        </row>
        <row r="472">
          <cell r="B472" t="str">
            <v>Frig_Paranaguá</v>
          </cell>
          <cell r="D472" t="str">
            <v>Movimentação (Toneladas)</v>
          </cell>
          <cell r="E472" t="str">
            <v>Cliente Novo 1</v>
          </cell>
          <cell r="CD472">
            <v>22300</v>
          </cell>
        </row>
        <row r="473">
          <cell r="B473" t="str">
            <v>Frig_Paranaguá</v>
          </cell>
          <cell r="D473" t="str">
            <v>Movimentação (Toneladas)</v>
          </cell>
          <cell r="E473" t="str">
            <v>PAMPEANO ALIMENTOS S/A</v>
          </cell>
          <cell r="CD473">
            <v>0</v>
          </cell>
        </row>
        <row r="474">
          <cell r="B474" t="str">
            <v>Frig_Paranaguá</v>
          </cell>
          <cell r="D474" t="str">
            <v>Movimentação (Toneladas)</v>
          </cell>
          <cell r="E474" t="str">
            <v>PLUSVAL AGROAVICOLA LTDA</v>
          </cell>
          <cell r="CD474">
            <v>0</v>
          </cell>
        </row>
        <row r="475">
          <cell r="B475" t="str">
            <v>Frig_Paranaguá</v>
          </cell>
          <cell r="D475" t="str">
            <v>Movimentação (Toneladas)</v>
          </cell>
          <cell r="E475" t="str">
            <v>PRIMA FOODS S.A.</v>
          </cell>
          <cell r="CD475">
            <v>0</v>
          </cell>
        </row>
        <row r="476">
          <cell r="B476" t="str">
            <v>Frig_Paranaguá</v>
          </cell>
          <cell r="D476" t="str">
            <v>Movimentação (Toneladas)</v>
          </cell>
          <cell r="E476" t="str">
            <v>SOMAVE AGROINDUSTRIAL LTDA</v>
          </cell>
          <cell r="CD476">
            <v>0</v>
          </cell>
        </row>
        <row r="477">
          <cell r="B477" t="str">
            <v>Frig_Paranaguá</v>
          </cell>
          <cell r="D477" t="str">
            <v>Movimentação (Toneladas)</v>
          </cell>
          <cell r="E477" t="str">
            <v>VIBRA AGROINDUSTRIAL S/A FINANCEIRO</v>
          </cell>
          <cell r="CD477">
            <v>0</v>
          </cell>
        </row>
        <row r="478">
          <cell r="B478" t="str">
            <v>Frig_Paranaguá</v>
          </cell>
          <cell r="D478" t="str">
            <v>Giro</v>
          </cell>
          <cell r="E478" t="str">
            <v>Subtotal</v>
          </cell>
          <cell r="CD478">
            <v>68.750322134152356</v>
          </cell>
        </row>
        <row r="479">
          <cell r="B479" t="str">
            <v>Frig_Paranaguá</v>
          </cell>
          <cell r="D479" t="str">
            <v>Giro</v>
          </cell>
          <cell r="E479" t="str">
            <v>AGROINDUSTRIAL IRMAOS DALLA COSTA L</v>
          </cell>
          <cell r="CD479">
            <v>0</v>
          </cell>
        </row>
        <row r="480">
          <cell r="B480" t="str">
            <v>Frig_Paranaguá</v>
          </cell>
          <cell r="D480" t="str">
            <v>Giro</v>
          </cell>
          <cell r="E480" t="str">
            <v>AGROPRATINHA S/A</v>
          </cell>
          <cell r="CD480">
            <v>3.5999999999999992</v>
          </cell>
        </row>
        <row r="481">
          <cell r="B481" t="str">
            <v>Frig_Paranaguá</v>
          </cell>
          <cell r="D481" t="str">
            <v>Giro</v>
          </cell>
          <cell r="E481" t="str">
            <v>AVENORTE AVICOLA CIANORTE LTDA - FINANCEIRO</v>
          </cell>
          <cell r="CD481">
            <v>4.7048818112608366</v>
          </cell>
        </row>
        <row r="482">
          <cell r="B482" t="str">
            <v>Frig_Paranaguá</v>
          </cell>
          <cell r="D482" t="str">
            <v>Giro</v>
          </cell>
          <cell r="E482" t="str">
            <v>BELLO ALIMENTOS LTDA</v>
          </cell>
          <cell r="CD482">
            <v>0</v>
          </cell>
        </row>
        <row r="483">
          <cell r="B483" t="str">
            <v>Frig_Paranaguá</v>
          </cell>
          <cell r="D483" t="str">
            <v>Giro</v>
          </cell>
          <cell r="E483" t="str">
            <v>BMG FOODS IMPORTACAO</v>
          </cell>
          <cell r="CD483">
            <v>0</v>
          </cell>
        </row>
        <row r="484">
          <cell r="B484" t="str">
            <v>Frig_Paranaguá</v>
          </cell>
          <cell r="D484" t="str">
            <v>Giro</v>
          </cell>
          <cell r="E484" t="str">
            <v>BRF S.A - FINANCEIRO</v>
          </cell>
          <cell r="CD484">
            <v>0.90466763876294298</v>
          </cell>
        </row>
        <row r="485">
          <cell r="B485" t="str">
            <v>Frig_Paranaguá</v>
          </cell>
          <cell r="D485" t="str">
            <v>Giro</v>
          </cell>
          <cell r="E485" t="str">
            <v>C.VALE - COOPERATIVA AGROINDUSTRIAL</v>
          </cell>
          <cell r="CD485">
            <v>0</v>
          </cell>
        </row>
        <row r="486">
          <cell r="B486" t="str">
            <v>Frig_Paranaguá</v>
          </cell>
          <cell r="D486" t="str">
            <v>Giro</v>
          </cell>
          <cell r="E486" t="str">
            <v>CIA IGUACU DE CAFE SOLUVEL</v>
          </cell>
          <cell r="CD486">
            <v>3.3433307024467251</v>
          </cell>
        </row>
        <row r="487">
          <cell r="B487" t="str">
            <v>Frig_Paranaguá</v>
          </cell>
          <cell r="D487" t="str">
            <v>Giro</v>
          </cell>
          <cell r="E487" t="str">
            <v>COACIPAR COOPERATIVA DE AGRICULTURA</v>
          </cell>
          <cell r="CD487">
            <v>0.9</v>
          </cell>
        </row>
        <row r="488">
          <cell r="B488" t="str">
            <v>Frig_Paranaguá</v>
          </cell>
          <cell r="D488" t="str">
            <v>Giro</v>
          </cell>
          <cell r="E488" t="str">
            <v>CONCEN INDUSTRIA</v>
          </cell>
          <cell r="CD488">
            <v>0</v>
          </cell>
        </row>
        <row r="489">
          <cell r="B489" t="str">
            <v>Frig_Paranaguá</v>
          </cell>
          <cell r="D489" t="str">
            <v>Giro</v>
          </cell>
          <cell r="E489" t="str">
            <v>FRANGOS PIONEIRO INDUSTRIA E COMERC</v>
          </cell>
          <cell r="CD489">
            <v>0</v>
          </cell>
        </row>
        <row r="490">
          <cell r="B490" t="str">
            <v>Frig_Paranaguá</v>
          </cell>
          <cell r="D490" t="str">
            <v>Giro</v>
          </cell>
          <cell r="E490" t="str">
            <v>FRIGOSUL FRIGORIFICO SUL LTDA</v>
          </cell>
          <cell r="CD490">
            <v>0</v>
          </cell>
        </row>
        <row r="491">
          <cell r="B491" t="str">
            <v>Frig_Paranaguá</v>
          </cell>
          <cell r="D491" t="str">
            <v>Giro</v>
          </cell>
          <cell r="E491" t="str">
            <v>FRIMESA COOPERATIVA CENTRAL</v>
          </cell>
          <cell r="CD491">
            <v>0</v>
          </cell>
        </row>
        <row r="492">
          <cell r="B492" t="str">
            <v>Frig_Paranaguá</v>
          </cell>
          <cell r="D492" t="str">
            <v>Giro</v>
          </cell>
          <cell r="E492" t="str">
            <v>GARRA INTERNATIONAL LTDA</v>
          </cell>
          <cell r="CD492">
            <v>0</v>
          </cell>
        </row>
        <row r="493">
          <cell r="B493" t="str">
            <v>Frig_Paranaguá</v>
          </cell>
          <cell r="D493" t="str">
            <v>Giro</v>
          </cell>
          <cell r="E493" t="str">
            <v>GDC ALIMENTOS S.A</v>
          </cell>
          <cell r="CD493">
            <v>0</v>
          </cell>
        </row>
        <row r="494">
          <cell r="B494" t="str">
            <v>Frig_Paranaguá</v>
          </cell>
          <cell r="D494" t="str">
            <v>Giro</v>
          </cell>
          <cell r="E494" t="str">
            <v>GONCALVES &amp; TORTOLA S/A</v>
          </cell>
          <cell r="CD494">
            <v>0</v>
          </cell>
        </row>
        <row r="495">
          <cell r="B495" t="str">
            <v>Frig_Paranaguá</v>
          </cell>
          <cell r="D495" t="str">
            <v>Giro</v>
          </cell>
          <cell r="E495" t="str">
            <v>JAGUAFRANGOS INDUSTRIA E COMERCIO</v>
          </cell>
          <cell r="CD495">
            <v>0</v>
          </cell>
        </row>
        <row r="496">
          <cell r="B496" t="str">
            <v>Frig_Paranaguá</v>
          </cell>
          <cell r="D496" t="str">
            <v>Giro</v>
          </cell>
          <cell r="E496" t="str">
            <v>JBS GROUP</v>
          </cell>
          <cell r="CD496">
            <v>0</v>
          </cell>
        </row>
        <row r="497">
          <cell r="B497" t="str">
            <v>Frig_Paranaguá</v>
          </cell>
          <cell r="D497" t="str">
            <v>Giro</v>
          </cell>
          <cell r="E497" t="str">
            <v>JBS FRIBOI</v>
          </cell>
          <cell r="CD497">
            <v>24</v>
          </cell>
        </row>
        <row r="498">
          <cell r="B498" t="str">
            <v>Frig_Paranaguá</v>
          </cell>
          <cell r="D498" t="str">
            <v>Giro</v>
          </cell>
          <cell r="E498" t="str">
            <v>LAR COOPERATIVA AGROINDUSTRIAL - FINANCEIRO</v>
          </cell>
          <cell r="CD498">
            <v>0</v>
          </cell>
        </row>
        <row r="499">
          <cell r="B499" t="str">
            <v>Frig_Paranaguá</v>
          </cell>
          <cell r="D499" t="str">
            <v>Giro</v>
          </cell>
          <cell r="E499" t="str">
            <v>LOUIS DREYFUS COMPANY SUCOS S.A.</v>
          </cell>
          <cell r="CD499">
            <v>25.79744198168185</v>
          </cell>
        </row>
        <row r="500">
          <cell r="B500" t="str">
            <v>Frig_Paranaguá</v>
          </cell>
          <cell r="D500" t="str">
            <v>Giro</v>
          </cell>
          <cell r="E500" t="str">
            <v>MAR TERRA IND E COMERCIO DE PESCADO</v>
          </cell>
          <cell r="CD500">
            <v>0</v>
          </cell>
        </row>
        <row r="501">
          <cell r="B501" t="str">
            <v>Frig_Paranaguá</v>
          </cell>
          <cell r="D501" t="str">
            <v>Giro</v>
          </cell>
          <cell r="E501" t="str">
            <v>MARFRIG GLOBAL FOODS S.A</v>
          </cell>
          <cell r="CD501">
            <v>0</v>
          </cell>
        </row>
        <row r="502">
          <cell r="B502" t="str">
            <v>Frig_Paranaguá</v>
          </cell>
          <cell r="D502" t="str">
            <v>Giro</v>
          </cell>
          <cell r="E502" t="str">
            <v>MINERVA S A</v>
          </cell>
          <cell r="CD502">
            <v>0</v>
          </cell>
        </row>
        <row r="503">
          <cell r="B503" t="str">
            <v>Frig_Paranaguá</v>
          </cell>
          <cell r="D503" t="str">
            <v>Giro</v>
          </cell>
          <cell r="E503" t="str">
            <v>Cliente Novo 1</v>
          </cell>
          <cell r="CD503">
            <v>5.5</v>
          </cell>
        </row>
        <row r="504">
          <cell r="B504" t="str">
            <v>Frig_Paranaguá</v>
          </cell>
          <cell r="D504" t="str">
            <v>Giro</v>
          </cell>
          <cell r="E504" t="str">
            <v>PAMPEANO ALIMENTOS S/A</v>
          </cell>
          <cell r="CD504">
            <v>0</v>
          </cell>
        </row>
        <row r="505">
          <cell r="B505" t="str">
            <v>Frig_Paranaguá</v>
          </cell>
          <cell r="D505" t="str">
            <v>Giro</v>
          </cell>
          <cell r="E505" t="str">
            <v>PLUSVAL AGROAVICOLA LTDA</v>
          </cell>
          <cell r="CD505">
            <v>0</v>
          </cell>
        </row>
        <row r="506">
          <cell r="B506" t="str">
            <v>Frig_Paranaguá</v>
          </cell>
          <cell r="D506" t="str">
            <v>Giro</v>
          </cell>
          <cell r="E506" t="str">
            <v>PRIMA FOODS S.A.</v>
          </cell>
          <cell r="CD506">
            <v>0</v>
          </cell>
        </row>
        <row r="507">
          <cell r="B507" t="str">
            <v>Frig_Paranaguá</v>
          </cell>
          <cell r="D507" t="str">
            <v>Giro</v>
          </cell>
          <cell r="E507" t="str">
            <v>SOMAVE AGROINDUSTRIAL LTDA</v>
          </cell>
          <cell r="CD507">
            <v>0</v>
          </cell>
        </row>
        <row r="508">
          <cell r="B508" t="str">
            <v>Frig_Paranaguá</v>
          </cell>
          <cell r="D508" t="str">
            <v>Giro</v>
          </cell>
          <cell r="E508" t="str">
            <v>VIBRA AGROINDUSTRIAL S/A FINANCEIRO</v>
          </cell>
          <cell r="CD508">
            <v>0</v>
          </cell>
        </row>
        <row r="509">
          <cell r="B509" t="str">
            <v>Frig_Paranaguá</v>
          </cell>
          <cell r="D509" t="str">
            <v>Faturamento | Movimentação (BRL'000)</v>
          </cell>
          <cell r="E509" t="str">
            <v>Subtotal</v>
          </cell>
          <cell r="CD509">
            <v>12378.17830258136</v>
          </cell>
        </row>
        <row r="510">
          <cell r="B510" t="str">
            <v>Frig_Paranaguá</v>
          </cell>
          <cell r="D510" t="str">
            <v>Faturamento | Movimentação (BRL'000)</v>
          </cell>
          <cell r="E510" t="str">
            <v>AGROINDUSTRIAL IRMAOS DALLA COSTA L</v>
          </cell>
          <cell r="CD510">
            <v>0</v>
          </cell>
        </row>
        <row r="511">
          <cell r="B511" t="str">
            <v>Frig_Paranaguá</v>
          </cell>
          <cell r="D511" t="str">
            <v>Faturamento | Movimentação (BRL'000)</v>
          </cell>
          <cell r="E511" t="str">
            <v>AGROPRATINHA S/A</v>
          </cell>
          <cell r="CD511">
            <v>1047.736262095113</v>
          </cell>
        </row>
        <row r="512">
          <cell r="B512" t="str">
            <v>Frig_Paranaguá</v>
          </cell>
          <cell r="D512" t="str">
            <v>Faturamento | Movimentação (BRL'000)</v>
          </cell>
          <cell r="E512" t="str">
            <v>AVENORTE AVICOLA CIANORTE LTDA - FINANCEIRO</v>
          </cell>
          <cell r="CD512">
            <v>204.34096923578741</v>
          </cell>
        </row>
        <row r="513">
          <cell r="B513" t="str">
            <v>Frig_Paranaguá</v>
          </cell>
          <cell r="D513" t="str">
            <v>Faturamento | Movimentação (BRL'000)</v>
          </cell>
          <cell r="E513" t="str">
            <v>BELLO ALIMENTOS LTDA</v>
          </cell>
          <cell r="CD513">
            <v>0</v>
          </cell>
        </row>
        <row r="514">
          <cell r="B514" t="str">
            <v>Frig_Paranaguá</v>
          </cell>
          <cell r="D514" t="str">
            <v>Faturamento | Movimentação (BRL'000)</v>
          </cell>
          <cell r="E514" t="str">
            <v>BMG FOODS IMPORTACAO</v>
          </cell>
          <cell r="CD514">
            <v>0</v>
          </cell>
        </row>
        <row r="515">
          <cell r="B515" t="str">
            <v>Frig_Paranaguá</v>
          </cell>
          <cell r="D515" t="str">
            <v>Faturamento | Movimentação (BRL'000)</v>
          </cell>
          <cell r="E515" t="str">
            <v>BRF S.A - FINANCEIRO</v>
          </cell>
          <cell r="CD515">
            <v>4911.7651186137136</v>
          </cell>
        </row>
        <row r="516">
          <cell r="B516" t="str">
            <v>Frig_Paranaguá</v>
          </cell>
          <cell r="D516" t="str">
            <v>Faturamento | Movimentação (BRL'000)</v>
          </cell>
          <cell r="E516" t="str">
            <v>C.VALE - COOPERATIVA AGROINDUSTRIAL</v>
          </cell>
          <cell r="CD516">
            <v>0</v>
          </cell>
        </row>
        <row r="517">
          <cell r="B517" t="str">
            <v>Frig_Paranaguá</v>
          </cell>
          <cell r="D517" t="str">
            <v>Faturamento | Movimentação (BRL'000)</v>
          </cell>
          <cell r="E517" t="str">
            <v>CIA IGUACU DE CAFE SOLUVEL</v>
          </cell>
          <cell r="CD517">
            <v>78.850669947113175</v>
          </cell>
        </row>
        <row r="518">
          <cell r="B518" t="str">
            <v>Frig_Paranaguá</v>
          </cell>
          <cell r="D518" t="str">
            <v>Faturamento | Movimentação (BRL'000)</v>
          </cell>
          <cell r="E518" t="str">
            <v>COACIPAR COOPERATIVA DE AGRICULTURA</v>
          </cell>
          <cell r="CD518">
            <v>24.83962535995348</v>
          </cell>
        </row>
        <row r="519">
          <cell r="B519" t="str">
            <v>Frig_Paranaguá</v>
          </cell>
          <cell r="D519" t="str">
            <v>Faturamento | Movimentação (BRL'000)</v>
          </cell>
          <cell r="E519" t="str">
            <v>CONCEN INDUSTRIA</v>
          </cell>
          <cell r="CD519">
            <v>0</v>
          </cell>
        </row>
        <row r="520">
          <cell r="B520" t="str">
            <v>Frig_Paranaguá</v>
          </cell>
          <cell r="D520" t="str">
            <v>Faturamento | Movimentação (BRL'000)</v>
          </cell>
          <cell r="E520" t="str">
            <v>FRANGOS PIONEIRO INDUSTRIA E COMERC</v>
          </cell>
          <cell r="CD520">
            <v>0</v>
          </cell>
        </row>
        <row r="521">
          <cell r="B521" t="str">
            <v>Frig_Paranaguá</v>
          </cell>
          <cell r="D521" t="str">
            <v>Faturamento | Movimentação (BRL'000)</v>
          </cell>
          <cell r="E521" t="str">
            <v>FRIGOSUL FRIGORIFICO SUL LTDA</v>
          </cell>
          <cell r="CD521">
            <v>0</v>
          </cell>
        </row>
        <row r="522">
          <cell r="B522" t="str">
            <v>Frig_Paranaguá</v>
          </cell>
          <cell r="D522" t="str">
            <v>Faturamento | Movimentação (BRL'000)</v>
          </cell>
          <cell r="E522" t="str">
            <v>FRIMESA COOPERATIVA CENTRAL</v>
          </cell>
          <cell r="CD522">
            <v>0</v>
          </cell>
        </row>
        <row r="523">
          <cell r="B523" t="str">
            <v>Frig_Paranaguá</v>
          </cell>
          <cell r="D523" t="str">
            <v>Faturamento | Movimentação (BRL'000)</v>
          </cell>
          <cell r="E523" t="str">
            <v>GARRA INTERNATIONAL LTDA</v>
          </cell>
          <cell r="CD523">
            <v>0</v>
          </cell>
        </row>
        <row r="524">
          <cell r="B524" t="str">
            <v>Frig_Paranaguá</v>
          </cell>
          <cell r="D524" t="str">
            <v>Faturamento | Movimentação (BRL'000)</v>
          </cell>
          <cell r="E524" t="str">
            <v>GDC ALIMENTOS S.A</v>
          </cell>
          <cell r="CD524">
            <v>0</v>
          </cell>
        </row>
        <row r="525">
          <cell r="B525" t="str">
            <v>Frig_Paranaguá</v>
          </cell>
          <cell r="D525" t="str">
            <v>Faturamento | Movimentação (BRL'000)</v>
          </cell>
          <cell r="E525" t="str">
            <v>GONCALVES &amp; TORTOLA S/A</v>
          </cell>
          <cell r="CD525">
            <v>0</v>
          </cell>
        </row>
        <row r="526">
          <cell r="B526" t="str">
            <v>Frig_Paranaguá</v>
          </cell>
          <cell r="D526" t="str">
            <v>Faturamento | Movimentação (BRL'000)</v>
          </cell>
          <cell r="E526" t="str">
            <v>JAGUAFRANGOS INDUSTRIA E COMERCIO</v>
          </cell>
          <cell r="CD526">
            <v>0</v>
          </cell>
        </row>
        <row r="527">
          <cell r="B527" t="str">
            <v>Frig_Paranaguá</v>
          </cell>
          <cell r="D527" t="str">
            <v>Faturamento | Movimentação (BRL'000)</v>
          </cell>
          <cell r="E527" t="str">
            <v>JBS GROUP</v>
          </cell>
          <cell r="CD527">
            <v>0</v>
          </cell>
        </row>
        <row r="528">
          <cell r="B528" t="str">
            <v>Frig_Paranaguá</v>
          </cell>
          <cell r="D528" t="str">
            <v>Faturamento | Movimentação (BRL'000)</v>
          </cell>
          <cell r="E528" t="str">
            <v>JBS FRIBOI</v>
          </cell>
          <cell r="CD528">
            <v>5064.4685929071784</v>
          </cell>
        </row>
        <row r="529">
          <cell r="B529" t="str">
            <v>Frig_Paranaguá</v>
          </cell>
          <cell r="D529" t="str">
            <v>Faturamento | Movimentação (BRL'000)</v>
          </cell>
          <cell r="E529" t="str">
            <v>LAR COOPERATIVA AGROINDUSTRIAL - FINANCEIRO</v>
          </cell>
          <cell r="CD529">
            <v>0</v>
          </cell>
        </row>
        <row r="530">
          <cell r="B530" t="str">
            <v>Frig_Paranaguá</v>
          </cell>
          <cell r="D530" t="str">
            <v>Faturamento | Movimentação (BRL'000)</v>
          </cell>
          <cell r="E530" t="str">
            <v>LOUIS DREYFUS COMPANY SUCOS S.A.</v>
          </cell>
          <cell r="CD530">
            <v>154.17706442250551</v>
          </cell>
        </row>
        <row r="531">
          <cell r="B531" t="str">
            <v>Frig_Paranaguá</v>
          </cell>
          <cell r="D531" t="str">
            <v>Faturamento | Movimentação (BRL'000)</v>
          </cell>
          <cell r="E531" t="str">
            <v>MAR TERRA IND E COMERCIO DE PESCADO</v>
          </cell>
          <cell r="CD531">
            <v>0</v>
          </cell>
        </row>
        <row r="532">
          <cell r="B532" t="str">
            <v>Frig_Paranaguá</v>
          </cell>
          <cell r="D532" t="str">
            <v>Faturamento | Movimentação (BRL'000)</v>
          </cell>
          <cell r="E532" t="str">
            <v>MARFRIG GLOBAL FOODS S.A</v>
          </cell>
          <cell r="CD532">
            <v>0</v>
          </cell>
        </row>
        <row r="533">
          <cell r="B533" t="str">
            <v>Frig_Paranaguá</v>
          </cell>
          <cell r="D533" t="str">
            <v>Faturamento | Movimentação (BRL'000)</v>
          </cell>
          <cell r="E533" t="str">
            <v>MINERVA S A</v>
          </cell>
          <cell r="CD533">
            <v>0</v>
          </cell>
        </row>
        <row r="534">
          <cell r="B534" t="str">
            <v>Frig_Paranaguá</v>
          </cell>
          <cell r="D534" t="str">
            <v>Faturamento | Movimentação (BRL'000)</v>
          </cell>
          <cell r="E534" t="str">
            <v>Cliente Novo 1</v>
          </cell>
          <cell r="CD534">
            <v>892</v>
          </cell>
        </row>
        <row r="535">
          <cell r="B535" t="str">
            <v>Frig_Paranaguá</v>
          </cell>
          <cell r="D535" t="str">
            <v>Faturamento | Movimentação (BRL'000)</v>
          </cell>
          <cell r="E535" t="str">
            <v>PAMPEANO ALIMENTOS S/A</v>
          </cell>
          <cell r="CD535">
            <v>0</v>
          </cell>
        </row>
        <row r="536">
          <cell r="B536" t="str">
            <v>Frig_Paranaguá</v>
          </cell>
          <cell r="D536" t="str">
            <v>Faturamento | Movimentação (BRL'000)</v>
          </cell>
          <cell r="E536" t="str">
            <v>PLUSVAL AGROAVICOLA LTDA</v>
          </cell>
          <cell r="CD536">
            <v>0</v>
          </cell>
        </row>
        <row r="537">
          <cell r="B537" t="str">
            <v>Frig_Paranaguá</v>
          </cell>
          <cell r="D537" t="str">
            <v>Faturamento | Movimentação (BRL'000)</v>
          </cell>
          <cell r="E537" t="str">
            <v>PRIMA FOODS S.A.</v>
          </cell>
          <cell r="CD537">
            <v>0</v>
          </cell>
        </row>
        <row r="538">
          <cell r="B538" t="str">
            <v>Frig_Paranaguá</v>
          </cell>
          <cell r="D538" t="str">
            <v>Faturamento | Movimentação (BRL'000)</v>
          </cell>
          <cell r="E538" t="str">
            <v>SOMAVE AGROINDUSTRIAL LTDA</v>
          </cell>
          <cell r="CD538">
            <v>0</v>
          </cell>
        </row>
        <row r="539">
          <cell r="B539" t="str">
            <v>Frig_Paranaguá</v>
          </cell>
          <cell r="D539" t="str">
            <v>Faturamento | Movimentação (BRL'000)</v>
          </cell>
          <cell r="E539" t="str">
            <v>VIBRA AGROINDUSTRIAL S/A FINANCEIRO</v>
          </cell>
          <cell r="CD539">
            <v>0</v>
          </cell>
        </row>
        <row r="540">
          <cell r="B540" t="str">
            <v>Frig_Paranaguá</v>
          </cell>
          <cell r="D540" t="str">
            <v>Ticket Médio | Movimentação (BRL)</v>
          </cell>
          <cell r="E540" t="str">
            <v>Subtotal</v>
          </cell>
          <cell r="CD540">
            <v>39.467033381711751</v>
          </cell>
        </row>
        <row r="541">
          <cell r="B541" t="str">
            <v>Frig_Paranaguá</v>
          </cell>
          <cell r="D541" t="str">
            <v>Ticket Médio | Movimentação (BRL)</v>
          </cell>
          <cell r="E541" t="str">
            <v>AGROINDUSTRIAL IRMAOS DALLA COSTA L</v>
          </cell>
          <cell r="CD541">
            <v>0</v>
          </cell>
        </row>
        <row r="542">
          <cell r="B542" t="str">
            <v>Frig_Paranaguá</v>
          </cell>
          <cell r="D542" t="str">
            <v>Ticket Médio | Movimentação (BRL)</v>
          </cell>
          <cell r="E542" t="str">
            <v>AGROPRATINHA S/A</v>
          </cell>
          <cell r="CD542">
            <v>29.610025632826019</v>
          </cell>
        </row>
        <row r="543">
          <cell r="B543" t="str">
            <v>Frig_Paranaguá</v>
          </cell>
          <cell r="D543" t="str">
            <v>Ticket Médio | Movimentação (BRL)</v>
          </cell>
          <cell r="E543" t="str">
            <v>AVENORTE AVICOLA CIANORTE LTDA - FINANCEIRO</v>
          </cell>
          <cell r="CD543">
            <v>86.863380392132385</v>
          </cell>
        </row>
        <row r="544">
          <cell r="B544" t="str">
            <v>Frig_Paranaguá</v>
          </cell>
          <cell r="D544" t="str">
            <v>Ticket Médio | Movimentação (BRL)</v>
          </cell>
          <cell r="E544" t="str">
            <v>BELLO ALIMENTOS LTDA</v>
          </cell>
          <cell r="CD544">
            <v>0</v>
          </cell>
        </row>
        <row r="545">
          <cell r="B545" t="str">
            <v>Frig_Paranaguá</v>
          </cell>
          <cell r="D545" t="str">
            <v>Ticket Médio | Movimentação (BRL)</v>
          </cell>
          <cell r="E545" t="str">
            <v>BMG FOODS IMPORTACAO</v>
          </cell>
          <cell r="CD545">
            <v>1347.2860931269799</v>
          </cell>
        </row>
        <row r="546">
          <cell r="B546" t="str">
            <v>Frig_Paranaguá</v>
          </cell>
          <cell r="D546" t="str">
            <v>Ticket Médio | Movimentação (BRL)</v>
          </cell>
          <cell r="E546" t="str">
            <v>BRF S.A - FINANCEIRO</v>
          </cell>
          <cell r="CD546">
            <v>44.857861497974149</v>
          </cell>
        </row>
        <row r="547">
          <cell r="B547" t="str">
            <v>Frig_Paranaguá</v>
          </cell>
          <cell r="D547" t="str">
            <v>Ticket Médio | Movimentação (BRL)</v>
          </cell>
          <cell r="E547" t="str">
            <v>C.VALE - COOPERATIVA AGROINDUSTRIAL</v>
          </cell>
          <cell r="CD547">
            <v>0</v>
          </cell>
        </row>
        <row r="548">
          <cell r="B548" t="str">
            <v>Frig_Paranaguá</v>
          </cell>
          <cell r="D548" t="str">
            <v>Ticket Médio | Movimentação (BRL)</v>
          </cell>
          <cell r="E548" t="str">
            <v>CIA IGUACU DE CAFE SOLUVEL</v>
          </cell>
          <cell r="CD548">
            <v>33.69209457135856</v>
          </cell>
        </row>
        <row r="549">
          <cell r="B549" t="str">
            <v>Frig_Paranaguá</v>
          </cell>
          <cell r="D549" t="str">
            <v>Ticket Médio | Movimentação (BRL)</v>
          </cell>
          <cell r="E549" t="str">
            <v>COACIPAR COOPERATIVA DE AGRICULTURA</v>
          </cell>
          <cell r="CD549">
            <v>38.208298559156162</v>
          </cell>
        </row>
        <row r="550">
          <cell r="B550" t="str">
            <v>Frig_Paranaguá</v>
          </cell>
          <cell r="D550" t="str">
            <v>Ticket Médio | Movimentação (BRL)</v>
          </cell>
          <cell r="E550" t="str">
            <v>CONCEN INDUSTRIA</v>
          </cell>
          <cell r="CD550">
            <v>0</v>
          </cell>
        </row>
        <row r="551">
          <cell r="B551" t="str">
            <v>Frig_Paranaguá</v>
          </cell>
          <cell r="D551" t="str">
            <v>Ticket Médio | Movimentação (BRL)</v>
          </cell>
          <cell r="E551" t="str">
            <v>FRANGOS PIONEIRO INDUSTRIA E COMERC</v>
          </cell>
          <cell r="CD551">
            <v>20.079428001206871</v>
          </cell>
        </row>
        <row r="552">
          <cell r="B552" t="str">
            <v>Frig_Paranaguá</v>
          </cell>
          <cell r="D552" t="str">
            <v>Ticket Médio | Movimentação (BRL)</v>
          </cell>
          <cell r="E552" t="str">
            <v>FRIGOSUL FRIGORIFICO SUL LTDA</v>
          </cell>
          <cell r="CD552">
            <v>0</v>
          </cell>
        </row>
        <row r="553">
          <cell r="B553" t="str">
            <v>Frig_Paranaguá</v>
          </cell>
          <cell r="D553" t="str">
            <v>Ticket Médio | Movimentação (BRL)</v>
          </cell>
          <cell r="E553" t="str">
            <v>FRIMESA COOPERATIVA CENTRAL</v>
          </cell>
          <cell r="CD553">
            <v>0</v>
          </cell>
        </row>
        <row r="554">
          <cell r="B554" t="str">
            <v>Frig_Paranaguá</v>
          </cell>
          <cell r="D554" t="str">
            <v>Ticket Médio | Movimentação (BRL)</v>
          </cell>
          <cell r="E554" t="str">
            <v>GARRA INTERNATIONAL LTDA</v>
          </cell>
          <cell r="CD554">
            <v>0</v>
          </cell>
        </row>
        <row r="555">
          <cell r="B555" t="str">
            <v>Frig_Paranaguá</v>
          </cell>
          <cell r="D555" t="str">
            <v>Ticket Médio | Movimentação (BRL)</v>
          </cell>
          <cell r="E555" t="str">
            <v>GDC ALIMENTOS S.A</v>
          </cell>
          <cell r="CD555">
            <v>0</v>
          </cell>
        </row>
        <row r="556">
          <cell r="B556" t="str">
            <v>Frig_Paranaguá</v>
          </cell>
          <cell r="D556" t="str">
            <v>Ticket Médio | Movimentação (BRL)</v>
          </cell>
          <cell r="E556" t="str">
            <v>GONCALVES &amp; TORTOLA S/A</v>
          </cell>
          <cell r="CD556">
            <v>877.63797770519341</v>
          </cell>
        </row>
        <row r="557">
          <cell r="B557" t="str">
            <v>Frig_Paranaguá</v>
          </cell>
          <cell r="D557" t="str">
            <v>Ticket Médio | Movimentação (BRL)</v>
          </cell>
          <cell r="E557" t="str">
            <v>JAGUAFRANGOS INDUSTRIA E COMERCIO</v>
          </cell>
          <cell r="CD557">
            <v>0</v>
          </cell>
        </row>
        <row r="558">
          <cell r="B558" t="str">
            <v>Frig_Paranaguá</v>
          </cell>
          <cell r="D558" t="str">
            <v>Ticket Médio | Movimentação (BRL)</v>
          </cell>
          <cell r="E558" t="str">
            <v>JBS GROUP</v>
          </cell>
          <cell r="CD558">
            <v>115.06505438858861</v>
          </cell>
        </row>
        <row r="559">
          <cell r="B559" t="str">
            <v>Frig_Paranaguá</v>
          </cell>
          <cell r="D559" t="str">
            <v>Ticket Médio | Movimentação (BRL)</v>
          </cell>
          <cell r="E559" t="str">
            <v>JBS FRIBOI</v>
          </cell>
          <cell r="CD559">
            <v>36.699047774689703</v>
          </cell>
        </row>
        <row r="560">
          <cell r="B560" t="str">
            <v>Frig_Paranaguá</v>
          </cell>
          <cell r="D560" t="str">
            <v>Ticket Médio | Movimentação (BRL)</v>
          </cell>
          <cell r="E560" t="str">
            <v>LAR COOPERATIVA AGROINDUSTRIAL - FINANCEIRO</v>
          </cell>
          <cell r="CD560">
            <v>3.2151316343418732</v>
          </cell>
        </row>
        <row r="561">
          <cell r="B561" t="str">
            <v>Frig_Paranaguá</v>
          </cell>
          <cell r="D561" t="str">
            <v>Ticket Médio | Movimentação (BRL)</v>
          </cell>
          <cell r="E561" t="str">
            <v>LOUIS DREYFUS COMPANY SUCOS S.A.</v>
          </cell>
          <cell r="CD561">
            <v>54.050409859336952</v>
          </cell>
        </row>
        <row r="562">
          <cell r="B562" t="str">
            <v>Frig_Paranaguá</v>
          </cell>
          <cell r="D562" t="str">
            <v>Ticket Médio | Movimentação (BRL)</v>
          </cell>
          <cell r="E562" t="str">
            <v>MAR TERRA IND E COMERCIO DE PESCADO</v>
          </cell>
          <cell r="CD562">
            <v>0</v>
          </cell>
        </row>
        <row r="563">
          <cell r="B563" t="str">
            <v>Frig_Paranaguá</v>
          </cell>
          <cell r="D563" t="str">
            <v>Ticket Médio | Movimentação (BRL)</v>
          </cell>
          <cell r="E563" t="str">
            <v>MARFRIG GLOBAL FOODS S.A</v>
          </cell>
          <cell r="CD563">
            <v>0</v>
          </cell>
        </row>
        <row r="564">
          <cell r="B564" t="str">
            <v>Frig_Paranaguá</v>
          </cell>
          <cell r="D564" t="str">
            <v>Ticket Médio | Movimentação (BRL)</v>
          </cell>
          <cell r="E564" t="str">
            <v>MINERVA S A</v>
          </cell>
          <cell r="CD564">
            <v>49.347532040167629</v>
          </cell>
        </row>
        <row r="565">
          <cell r="B565" t="str">
            <v>Frig_Paranaguá</v>
          </cell>
          <cell r="D565" t="str">
            <v>Ticket Médio | Movimentação (BRL)</v>
          </cell>
          <cell r="E565" t="str">
            <v>Cliente Novo 1</v>
          </cell>
          <cell r="CD565">
            <v>40</v>
          </cell>
        </row>
        <row r="566">
          <cell r="B566" t="str">
            <v>Frig_Paranaguá</v>
          </cell>
          <cell r="D566" t="str">
            <v>Ticket Médio | Movimentação (BRL)</v>
          </cell>
          <cell r="E566" t="str">
            <v>PAMPEANO ALIMENTOS S/A</v>
          </cell>
          <cell r="CD566">
            <v>0</v>
          </cell>
        </row>
        <row r="567">
          <cell r="B567" t="str">
            <v>Frig_Paranaguá</v>
          </cell>
          <cell r="D567" t="str">
            <v>Ticket Médio | Movimentação (BRL)</v>
          </cell>
          <cell r="E567" t="str">
            <v>PLUSVAL AGROAVICOLA LTDA</v>
          </cell>
          <cell r="CD567">
            <v>0</v>
          </cell>
        </row>
        <row r="568">
          <cell r="B568" t="str">
            <v>Frig_Paranaguá</v>
          </cell>
          <cell r="D568" t="str">
            <v>Ticket Médio | Movimentação (BRL)</v>
          </cell>
          <cell r="E568" t="str">
            <v>PRIMA FOODS S.A.</v>
          </cell>
          <cell r="CD568">
            <v>0</v>
          </cell>
        </row>
        <row r="569">
          <cell r="B569" t="str">
            <v>Frig_Paranaguá</v>
          </cell>
          <cell r="D569" t="str">
            <v>Ticket Médio | Movimentação (BRL)</v>
          </cell>
          <cell r="E569" t="str">
            <v>SOMAVE AGROINDUSTRIAL LTDA</v>
          </cell>
          <cell r="CD569">
            <v>0</v>
          </cell>
        </row>
        <row r="570">
          <cell r="B570" t="str">
            <v>Frig_Paranaguá</v>
          </cell>
          <cell r="D570" t="str">
            <v>Ticket Médio | Movimentação (BRL)</v>
          </cell>
          <cell r="E570" t="str">
            <v>VIBRA AGROINDUSTRIAL S/A FINANCEIRO</v>
          </cell>
          <cell r="CD570">
            <v>660.66009664666353</v>
          </cell>
        </row>
        <row r="571">
          <cell r="B571" t="str">
            <v>Frig_Paranaguá</v>
          </cell>
          <cell r="D571" t="str">
            <v>Locação</v>
          </cell>
          <cell r="E571" t="str">
            <v>Subtotal</v>
          </cell>
          <cell r="CD571">
            <v>0</v>
          </cell>
        </row>
        <row r="572">
          <cell r="B572" t="str">
            <v>Frig_Paranaguá</v>
          </cell>
          <cell r="D572" t="str">
            <v>Locação</v>
          </cell>
          <cell r="E572" t="str">
            <v>AGROINDUSTRIAL IRMAOS DALLA COSTA L</v>
          </cell>
          <cell r="CD572">
            <v>0</v>
          </cell>
        </row>
        <row r="573">
          <cell r="B573" t="str">
            <v>Frig_Paranaguá</v>
          </cell>
          <cell r="D573" t="str">
            <v>Locação</v>
          </cell>
          <cell r="E573" t="str">
            <v>AGROPRATINHA S/A</v>
          </cell>
          <cell r="CD573">
            <v>0</v>
          </cell>
        </row>
        <row r="574">
          <cell r="B574" t="str">
            <v>Frig_Paranaguá</v>
          </cell>
          <cell r="D574" t="str">
            <v>Locação</v>
          </cell>
          <cell r="E574" t="str">
            <v>AVENORTE AVICOLA CIANORTE LTDA - FINANCEIRO</v>
          </cell>
          <cell r="CD574">
            <v>0</v>
          </cell>
        </row>
        <row r="575">
          <cell r="B575" t="str">
            <v>Frig_Paranaguá</v>
          </cell>
          <cell r="D575" t="str">
            <v>Locação</v>
          </cell>
          <cell r="E575" t="str">
            <v>BELLO ALIMENTOS LTDA</v>
          </cell>
          <cell r="CD575">
            <v>0</v>
          </cell>
        </row>
        <row r="576">
          <cell r="B576" t="str">
            <v>Frig_Paranaguá</v>
          </cell>
          <cell r="D576" t="str">
            <v>Locação</v>
          </cell>
          <cell r="E576" t="str">
            <v>BMG FOODS IMPORTACAO</v>
          </cell>
          <cell r="CD576">
            <v>0</v>
          </cell>
        </row>
        <row r="577">
          <cell r="B577" t="str">
            <v>Frig_Paranaguá</v>
          </cell>
          <cell r="D577" t="str">
            <v>Locação</v>
          </cell>
          <cell r="E577" t="str">
            <v>BRF S.A - FINANCEIRO</v>
          </cell>
          <cell r="CD577">
            <v>0</v>
          </cell>
        </row>
        <row r="578">
          <cell r="B578" t="str">
            <v>Frig_Paranaguá</v>
          </cell>
          <cell r="D578" t="str">
            <v>Locação</v>
          </cell>
          <cell r="E578" t="str">
            <v>C.VALE - COOPERATIVA AGROINDUSTRIAL</v>
          </cell>
          <cell r="CD578">
            <v>0</v>
          </cell>
        </row>
        <row r="579">
          <cell r="B579" t="str">
            <v>Frig_Paranaguá</v>
          </cell>
          <cell r="D579" t="str">
            <v>Locação</v>
          </cell>
          <cell r="E579" t="str">
            <v>CIA IGUACU DE CAFE SOLUVEL</v>
          </cell>
          <cell r="CD579">
            <v>0</v>
          </cell>
        </row>
        <row r="580">
          <cell r="B580" t="str">
            <v>Frig_Paranaguá</v>
          </cell>
          <cell r="D580" t="str">
            <v>Locação</v>
          </cell>
          <cell r="E580" t="str">
            <v>COACIPAR COOPERATIVA DE AGRICULTURA</v>
          </cell>
          <cell r="CD580">
            <v>0</v>
          </cell>
        </row>
        <row r="581">
          <cell r="B581" t="str">
            <v>Frig_Paranaguá</v>
          </cell>
          <cell r="D581" t="str">
            <v>Locação</v>
          </cell>
          <cell r="E581" t="str">
            <v>CONCEN INDUSTRIA</v>
          </cell>
          <cell r="CD581">
            <v>0</v>
          </cell>
        </row>
        <row r="582">
          <cell r="B582" t="str">
            <v>Frig_Paranaguá</v>
          </cell>
          <cell r="D582" t="str">
            <v>Locação</v>
          </cell>
          <cell r="E582" t="str">
            <v>FRANGOS PIONEIRO INDUSTRIA E COMERC</v>
          </cell>
          <cell r="CD582">
            <v>0</v>
          </cell>
        </row>
        <row r="583">
          <cell r="B583" t="str">
            <v>Frig_Paranaguá</v>
          </cell>
          <cell r="D583" t="str">
            <v>Locação</v>
          </cell>
          <cell r="E583" t="str">
            <v>FRIGOSUL FRIGORIFICO SUL LTDA</v>
          </cell>
          <cell r="CD583">
            <v>0</v>
          </cell>
        </row>
        <row r="584">
          <cell r="B584" t="str">
            <v>Frig_Paranaguá</v>
          </cell>
          <cell r="D584" t="str">
            <v>Locação</v>
          </cell>
          <cell r="E584" t="str">
            <v>FRIMESA COOPERATIVA CENTRAL</v>
          </cell>
          <cell r="CD584">
            <v>0</v>
          </cell>
        </row>
        <row r="585">
          <cell r="B585" t="str">
            <v>Frig_Paranaguá</v>
          </cell>
          <cell r="D585" t="str">
            <v>Locação</v>
          </cell>
          <cell r="E585" t="str">
            <v>GARRA INTERNATIONAL LTDA</v>
          </cell>
          <cell r="CD585">
            <v>0</v>
          </cell>
        </row>
        <row r="586">
          <cell r="B586" t="str">
            <v>Frig_Paranaguá</v>
          </cell>
          <cell r="D586" t="str">
            <v>Locação</v>
          </cell>
          <cell r="E586" t="str">
            <v>GDC ALIMENTOS S.A</v>
          </cell>
          <cell r="CD586">
            <v>0</v>
          </cell>
        </row>
        <row r="587">
          <cell r="B587" t="str">
            <v>Frig_Paranaguá</v>
          </cell>
          <cell r="D587" t="str">
            <v>Locação</v>
          </cell>
          <cell r="E587" t="str">
            <v>GONCALVES &amp; TORTOLA S/A</v>
          </cell>
          <cell r="CD587">
            <v>0</v>
          </cell>
        </row>
        <row r="588">
          <cell r="B588" t="str">
            <v>Frig_Paranaguá</v>
          </cell>
          <cell r="D588" t="str">
            <v>Locação</v>
          </cell>
          <cell r="E588" t="str">
            <v>JAGUAFRANGOS INDUSTRIA E COMERCIO</v>
          </cell>
          <cell r="CD588">
            <v>0</v>
          </cell>
        </row>
        <row r="589">
          <cell r="B589" t="str">
            <v>Frig_Paranaguá</v>
          </cell>
          <cell r="D589" t="str">
            <v>Locação</v>
          </cell>
          <cell r="E589" t="str">
            <v>JBS GROUP</v>
          </cell>
          <cell r="CD589">
            <v>0</v>
          </cell>
        </row>
        <row r="590">
          <cell r="B590" t="str">
            <v>Frig_Paranaguá</v>
          </cell>
          <cell r="D590" t="str">
            <v>Locação</v>
          </cell>
          <cell r="E590" t="str">
            <v>JBS FRIBOI</v>
          </cell>
          <cell r="CD590">
            <v>0</v>
          </cell>
        </row>
        <row r="591">
          <cell r="B591" t="str">
            <v>Frig_Paranaguá</v>
          </cell>
          <cell r="D591" t="str">
            <v>Locação</v>
          </cell>
          <cell r="E591" t="str">
            <v>LAR COOPERATIVA AGROINDUSTRIAL - FINANCEIRO</v>
          </cell>
          <cell r="CD591">
            <v>0</v>
          </cell>
        </row>
        <row r="592">
          <cell r="B592" t="str">
            <v>Frig_Paranaguá</v>
          </cell>
          <cell r="D592" t="str">
            <v>Locação</v>
          </cell>
          <cell r="E592" t="str">
            <v>LOUIS DREYFUS COMPANY SUCOS S.A.</v>
          </cell>
          <cell r="CD592">
            <v>0</v>
          </cell>
        </row>
        <row r="593">
          <cell r="B593" t="str">
            <v>Frig_Paranaguá</v>
          </cell>
          <cell r="D593" t="str">
            <v>Locação</v>
          </cell>
          <cell r="E593" t="str">
            <v>MAR TERRA IND E COMERCIO DE PESCADO</v>
          </cell>
          <cell r="CD593">
            <v>0</v>
          </cell>
        </row>
        <row r="594">
          <cell r="B594" t="str">
            <v>Frig_Paranaguá</v>
          </cell>
          <cell r="D594" t="str">
            <v>Locação</v>
          </cell>
          <cell r="E594" t="str">
            <v>MARFRIG GLOBAL FOODS S.A</v>
          </cell>
          <cell r="CD594">
            <v>0</v>
          </cell>
        </row>
        <row r="595">
          <cell r="B595" t="str">
            <v>Frig_Paranaguá</v>
          </cell>
          <cell r="D595" t="str">
            <v>Locação</v>
          </cell>
          <cell r="E595" t="str">
            <v>MINERVA S A</v>
          </cell>
          <cell r="CD595">
            <v>0</v>
          </cell>
        </row>
        <row r="596">
          <cell r="B596" t="str">
            <v>Frig_Paranaguá</v>
          </cell>
          <cell r="D596" t="str">
            <v>Locação</v>
          </cell>
          <cell r="E596" t="str">
            <v>Cliente Novo 1</v>
          </cell>
          <cell r="CD596">
            <v>0</v>
          </cell>
        </row>
        <row r="597">
          <cell r="B597" t="str">
            <v>Frig_Paranaguá</v>
          </cell>
          <cell r="D597" t="str">
            <v>Locação</v>
          </cell>
          <cell r="E597" t="str">
            <v>PAMPEANO ALIMENTOS S/A</v>
          </cell>
          <cell r="CD597">
            <v>0</v>
          </cell>
        </row>
        <row r="598">
          <cell r="B598" t="str">
            <v>Frig_Paranaguá</v>
          </cell>
          <cell r="D598" t="str">
            <v>Locação</v>
          </cell>
          <cell r="E598" t="str">
            <v>PLUSVAL AGROAVICOLA LTDA</v>
          </cell>
          <cell r="CD598">
            <v>0</v>
          </cell>
        </row>
        <row r="599">
          <cell r="B599" t="str">
            <v>Frig_Paranaguá</v>
          </cell>
          <cell r="D599" t="str">
            <v>Locação</v>
          </cell>
          <cell r="E599" t="str">
            <v>PRIMA FOODS S.A.</v>
          </cell>
          <cell r="CD599">
            <v>0</v>
          </cell>
        </row>
        <row r="600">
          <cell r="B600" t="str">
            <v>Frig_Paranaguá</v>
          </cell>
          <cell r="D600" t="str">
            <v>Locação</v>
          </cell>
          <cell r="E600" t="str">
            <v>SOMAVE AGROINDUSTRIAL LTDA</v>
          </cell>
          <cell r="CD600">
            <v>0</v>
          </cell>
        </row>
        <row r="601">
          <cell r="B601" t="str">
            <v>Frig_Paranaguá</v>
          </cell>
          <cell r="D601" t="str">
            <v>Locação</v>
          </cell>
          <cell r="E601" t="str">
            <v>VIBRA AGROINDUSTRIAL S/A FINANCEIRO</v>
          </cell>
          <cell r="CD601">
            <v>0</v>
          </cell>
        </row>
        <row r="602">
          <cell r="B602" t="str">
            <v>Frig_Paranaguá</v>
          </cell>
          <cell r="D602" t="str">
            <v>Faturamento | Locação (BRL'000)</v>
          </cell>
          <cell r="E602" t="str">
            <v>Subtotal</v>
          </cell>
          <cell r="CD602">
            <v>0</v>
          </cell>
        </row>
        <row r="603">
          <cell r="B603" t="str">
            <v>Frig_Paranaguá</v>
          </cell>
          <cell r="D603" t="str">
            <v>Faturamento | Locação (BRL'000)</v>
          </cell>
          <cell r="E603" t="str">
            <v>AGROINDUSTRIAL IRMAOS DALLA COSTA L</v>
          </cell>
          <cell r="CD603">
            <v>0</v>
          </cell>
        </row>
        <row r="604">
          <cell r="B604" t="str">
            <v>Frig_Paranaguá</v>
          </cell>
          <cell r="D604" t="str">
            <v>Faturamento | Locação (BRL'000)</v>
          </cell>
          <cell r="E604" t="str">
            <v>AGROPRATINHA S/A</v>
          </cell>
          <cell r="CD604">
            <v>0</v>
          </cell>
        </row>
        <row r="605">
          <cell r="B605" t="str">
            <v>Frig_Paranaguá</v>
          </cell>
          <cell r="D605" t="str">
            <v>Faturamento | Locação (BRL'000)</v>
          </cell>
          <cell r="E605" t="str">
            <v>AVENORTE AVICOLA CIANORTE LTDA - FINANCEIRO</v>
          </cell>
          <cell r="CD605">
            <v>0</v>
          </cell>
        </row>
        <row r="606">
          <cell r="B606" t="str">
            <v>Frig_Paranaguá</v>
          </cell>
          <cell r="D606" t="str">
            <v>Faturamento | Locação (BRL'000)</v>
          </cell>
          <cell r="E606" t="str">
            <v>BELLO ALIMENTOS LTDA</v>
          </cell>
          <cell r="CD606">
            <v>0</v>
          </cell>
        </row>
        <row r="607">
          <cell r="B607" t="str">
            <v>Frig_Paranaguá</v>
          </cell>
          <cell r="D607" t="str">
            <v>Faturamento | Locação (BRL'000)</v>
          </cell>
          <cell r="E607" t="str">
            <v>BMG FOODS IMPORTACAO</v>
          </cell>
          <cell r="CD607">
            <v>0</v>
          </cell>
        </row>
        <row r="608">
          <cell r="B608" t="str">
            <v>Frig_Paranaguá</v>
          </cell>
          <cell r="D608" t="str">
            <v>Faturamento | Locação (BRL'000)</v>
          </cell>
          <cell r="E608" t="str">
            <v>BRF S.A - FINANCEIRO</v>
          </cell>
          <cell r="CD608">
            <v>0</v>
          </cell>
        </row>
        <row r="609">
          <cell r="B609" t="str">
            <v>Frig_Paranaguá</v>
          </cell>
          <cell r="D609" t="str">
            <v>Faturamento | Locação (BRL'000)</v>
          </cell>
          <cell r="E609" t="str">
            <v>C.VALE - COOPERATIVA AGROINDUSTRIAL</v>
          </cell>
          <cell r="CD609">
            <v>0</v>
          </cell>
        </row>
        <row r="610">
          <cell r="B610" t="str">
            <v>Frig_Paranaguá</v>
          </cell>
          <cell r="D610" t="str">
            <v>Faturamento | Locação (BRL'000)</v>
          </cell>
          <cell r="E610" t="str">
            <v>CIA IGUACU DE CAFE SOLUVEL</v>
          </cell>
          <cell r="CD610">
            <v>0</v>
          </cell>
        </row>
        <row r="611">
          <cell r="B611" t="str">
            <v>Frig_Paranaguá</v>
          </cell>
          <cell r="D611" t="str">
            <v>Faturamento | Locação (BRL'000)</v>
          </cell>
          <cell r="E611" t="str">
            <v>COACIPAR COOPERATIVA DE AGRICULTURA</v>
          </cell>
          <cell r="CD611">
            <v>0</v>
          </cell>
        </row>
        <row r="612">
          <cell r="B612" t="str">
            <v>Frig_Paranaguá</v>
          </cell>
          <cell r="D612" t="str">
            <v>Faturamento | Locação (BRL'000)</v>
          </cell>
          <cell r="E612" t="str">
            <v>CONCEN INDUSTRIA</v>
          </cell>
          <cell r="CD612">
            <v>0</v>
          </cell>
        </row>
        <row r="613">
          <cell r="B613" t="str">
            <v>Frig_Paranaguá</v>
          </cell>
          <cell r="D613" t="str">
            <v>Faturamento | Locação (BRL'000)</v>
          </cell>
          <cell r="E613" t="str">
            <v>FRANGOS PIONEIRO INDUSTRIA E COMERC</v>
          </cell>
          <cell r="CD613">
            <v>0</v>
          </cell>
        </row>
        <row r="614">
          <cell r="B614" t="str">
            <v>Frig_Paranaguá</v>
          </cell>
          <cell r="D614" t="str">
            <v>Faturamento | Locação (BRL'000)</v>
          </cell>
          <cell r="E614" t="str">
            <v>FRIGOSUL FRIGORIFICO SUL LTDA</v>
          </cell>
          <cell r="CD614">
            <v>0</v>
          </cell>
        </row>
        <row r="615">
          <cell r="B615" t="str">
            <v>Frig_Paranaguá</v>
          </cell>
          <cell r="D615" t="str">
            <v>Faturamento | Locação (BRL'000)</v>
          </cell>
          <cell r="E615" t="str">
            <v>FRIMESA COOPERATIVA CENTRAL</v>
          </cell>
          <cell r="CD615">
            <v>0</v>
          </cell>
        </row>
        <row r="616">
          <cell r="B616" t="str">
            <v>Frig_Paranaguá</v>
          </cell>
          <cell r="D616" t="str">
            <v>Faturamento | Locação (BRL'000)</v>
          </cell>
          <cell r="E616" t="str">
            <v>GARRA INTERNATIONAL LTDA</v>
          </cell>
          <cell r="CD616">
            <v>0</v>
          </cell>
        </row>
        <row r="617">
          <cell r="B617" t="str">
            <v>Frig_Paranaguá</v>
          </cell>
          <cell r="D617" t="str">
            <v>Faturamento | Locação (BRL'000)</v>
          </cell>
          <cell r="E617" t="str">
            <v>GDC ALIMENTOS S.A</v>
          </cell>
          <cell r="CD617">
            <v>0</v>
          </cell>
        </row>
        <row r="618">
          <cell r="B618" t="str">
            <v>Frig_Paranaguá</v>
          </cell>
          <cell r="D618" t="str">
            <v>Faturamento | Locação (BRL'000)</v>
          </cell>
          <cell r="E618" t="str">
            <v>GONCALVES &amp; TORTOLA S/A</v>
          </cell>
          <cell r="CD618">
            <v>0</v>
          </cell>
        </row>
        <row r="619">
          <cell r="B619" t="str">
            <v>Frig_Paranaguá</v>
          </cell>
          <cell r="D619" t="str">
            <v>Faturamento | Locação (BRL'000)</v>
          </cell>
          <cell r="E619" t="str">
            <v>JAGUAFRANGOS INDUSTRIA E COMERCIO</v>
          </cell>
          <cell r="CD619">
            <v>0</v>
          </cell>
        </row>
        <row r="620">
          <cell r="B620" t="str">
            <v>Frig_Paranaguá</v>
          </cell>
          <cell r="D620" t="str">
            <v>Faturamento | Locação (BRL'000)</v>
          </cell>
          <cell r="E620" t="str">
            <v>JBS GROUP</v>
          </cell>
          <cell r="CD620">
            <v>0</v>
          </cell>
        </row>
        <row r="621">
          <cell r="B621" t="str">
            <v>Frig_Paranaguá</v>
          </cell>
          <cell r="D621" t="str">
            <v>Faturamento | Locação (BRL'000)</v>
          </cell>
          <cell r="E621" t="str">
            <v>JBS FRIBOI</v>
          </cell>
          <cell r="CD621">
            <v>0</v>
          </cell>
        </row>
        <row r="622">
          <cell r="B622" t="str">
            <v>Frig_Paranaguá</v>
          </cell>
          <cell r="D622" t="str">
            <v>Faturamento | Locação (BRL'000)</v>
          </cell>
          <cell r="E622" t="str">
            <v>LAR COOPERATIVA AGROINDUSTRIAL - FINANCEIRO</v>
          </cell>
          <cell r="CD622">
            <v>0</v>
          </cell>
        </row>
        <row r="623">
          <cell r="B623" t="str">
            <v>Frig_Paranaguá</v>
          </cell>
          <cell r="D623" t="str">
            <v>Faturamento | Locação (BRL'000)</v>
          </cell>
          <cell r="E623" t="str">
            <v>LOUIS DREYFUS COMPANY SUCOS S.A.</v>
          </cell>
          <cell r="CD623">
            <v>0</v>
          </cell>
        </row>
        <row r="624">
          <cell r="B624" t="str">
            <v>Frig_Paranaguá</v>
          </cell>
          <cell r="D624" t="str">
            <v>Faturamento | Locação (BRL'000)</v>
          </cell>
          <cell r="E624" t="str">
            <v>MAR TERRA IND E COMERCIO DE PESCADO</v>
          </cell>
          <cell r="CD624">
            <v>0</v>
          </cell>
        </row>
        <row r="625">
          <cell r="B625" t="str">
            <v>Frig_Paranaguá</v>
          </cell>
          <cell r="D625" t="str">
            <v>Faturamento | Locação (BRL'000)</v>
          </cell>
          <cell r="E625" t="str">
            <v>MARFRIG GLOBAL FOODS S.A</v>
          </cell>
          <cell r="CD625">
            <v>0</v>
          </cell>
        </row>
        <row r="626">
          <cell r="B626" t="str">
            <v>Frig_Paranaguá</v>
          </cell>
          <cell r="D626" t="str">
            <v>Faturamento | Locação (BRL'000)</v>
          </cell>
          <cell r="E626" t="str">
            <v>MINERVA S A</v>
          </cell>
          <cell r="CD626">
            <v>0</v>
          </cell>
        </row>
        <row r="627">
          <cell r="B627" t="str">
            <v>Frig_Paranaguá</v>
          </cell>
          <cell r="D627" t="str">
            <v>Faturamento | Locação (BRL'000)</v>
          </cell>
          <cell r="E627" t="str">
            <v>Cliente Novo 1</v>
          </cell>
          <cell r="CD627">
            <v>0</v>
          </cell>
        </row>
        <row r="628">
          <cell r="B628" t="str">
            <v>Frig_Paranaguá</v>
          </cell>
          <cell r="D628" t="str">
            <v>Faturamento | Locação (BRL'000)</v>
          </cell>
          <cell r="E628" t="str">
            <v>PAMPEANO ALIMENTOS S/A</v>
          </cell>
          <cell r="CD628">
            <v>0</v>
          </cell>
        </row>
        <row r="629">
          <cell r="B629" t="str">
            <v>Frig_Paranaguá</v>
          </cell>
          <cell r="D629" t="str">
            <v>Faturamento | Locação (BRL'000)</v>
          </cell>
          <cell r="E629" t="str">
            <v>PLUSVAL AGROAVICOLA LTDA</v>
          </cell>
          <cell r="CD629">
            <v>0</v>
          </cell>
        </row>
        <row r="630">
          <cell r="B630" t="str">
            <v>Frig_Paranaguá</v>
          </cell>
          <cell r="D630" t="str">
            <v>Faturamento | Locação (BRL'000)</v>
          </cell>
          <cell r="E630" t="str">
            <v>PRIMA FOODS S.A.</v>
          </cell>
          <cell r="CD630">
            <v>0</v>
          </cell>
        </row>
        <row r="631">
          <cell r="B631" t="str">
            <v>Frig_Paranaguá</v>
          </cell>
          <cell r="D631" t="str">
            <v>Faturamento | Locação (BRL'000)</v>
          </cell>
          <cell r="E631" t="str">
            <v>SOMAVE AGROINDUSTRIAL LTDA</v>
          </cell>
          <cell r="CD631">
            <v>0</v>
          </cell>
        </row>
        <row r="632">
          <cell r="B632" t="str">
            <v>Frig_Paranaguá</v>
          </cell>
          <cell r="D632" t="str">
            <v>Faturamento | Locação (BRL'000)</v>
          </cell>
          <cell r="E632" t="str">
            <v>VIBRA AGROINDUSTRIAL S/A FINANCEIRO</v>
          </cell>
          <cell r="CD632">
            <v>0</v>
          </cell>
        </row>
        <row r="633">
          <cell r="B633" t="str">
            <v>Frig_Paranaguá</v>
          </cell>
          <cell r="D633" t="str">
            <v>Ticket Médio | Locação (BRL)</v>
          </cell>
          <cell r="E633" t="str">
            <v>Subtotal</v>
          </cell>
          <cell r="CD633">
            <v>0</v>
          </cell>
        </row>
        <row r="634">
          <cell r="B634" t="str">
            <v>Frig_Paranaguá</v>
          </cell>
          <cell r="D634" t="str">
            <v>Ticket Médio | Locação (BRL)</v>
          </cell>
          <cell r="E634" t="str">
            <v>AGROINDUSTRIAL IRMAOS DALLA COSTA L</v>
          </cell>
          <cell r="CD634">
            <v>0</v>
          </cell>
        </row>
        <row r="635">
          <cell r="B635" t="str">
            <v>Frig_Paranaguá</v>
          </cell>
          <cell r="D635" t="str">
            <v>Ticket Médio | Locação (BRL)</v>
          </cell>
          <cell r="E635" t="str">
            <v>AGROPRATINHA S/A</v>
          </cell>
          <cell r="CD635">
            <v>0</v>
          </cell>
        </row>
        <row r="636">
          <cell r="B636" t="str">
            <v>Frig_Paranaguá</v>
          </cell>
          <cell r="D636" t="str">
            <v>Ticket Médio | Locação (BRL)</v>
          </cell>
          <cell r="E636" t="str">
            <v>AVENORTE AVICOLA CIANORTE LTDA - FINANCEIRO</v>
          </cell>
          <cell r="CD636">
            <v>0</v>
          </cell>
        </row>
        <row r="637">
          <cell r="B637" t="str">
            <v>Frig_Paranaguá</v>
          </cell>
          <cell r="D637" t="str">
            <v>Ticket Médio | Locação (BRL)</v>
          </cell>
          <cell r="E637" t="str">
            <v>BELLO ALIMENTOS LTDA</v>
          </cell>
          <cell r="CD637">
            <v>0</v>
          </cell>
        </row>
        <row r="638">
          <cell r="B638" t="str">
            <v>Frig_Paranaguá</v>
          </cell>
          <cell r="D638" t="str">
            <v>Ticket Médio | Locação (BRL)</v>
          </cell>
          <cell r="E638" t="str">
            <v>BMG FOODS IMPORTACAO</v>
          </cell>
          <cell r="CD638">
            <v>0</v>
          </cell>
        </row>
        <row r="639">
          <cell r="B639" t="str">
            <v>Frig_Paranaguá</v>
          </cell>
          <cell r="D639" t="str">
            <v>Ticket Médio | Locação (BRL)</v>
          </cell>
          <cell r="E639" t="str">
            <v>BRF S.A - FINANCEIRO</v>
          </cell>
          <cell r="CD639">
            <v>0</v>
          </cell>
        </row>
        <row r="640">
          <cell r="B640" t="str">
            <v>Frig_Paranaguá</v>
          </cell>
          <cell r="D640" t="str">
            <v>Ticket Médio | Locação (BRL)</v>
          </cell>
          <cell r="E640" t="str">
            <v>C.VALE - COOPERATIVA AGROINDUSTRIAL</v>
          </cell>
          <cell r="CD640">
            <v>0</v>
          </cell>
        </row>
        <row r="641">
          <cell r="B641" t="str">
            <v>Frig_Paranaguá</v>
          </cell>
          <cell r="D641" t="str">
            <v>Ticket Médio | Locação (BRL)</v>
          </cell>
          <cell r="E641" t="str">
            <v>CIA IGUACU DE CAFE SOLUVEL</v>
          </cell>
          <cell r="CD641">
            <v>0</v>
          </cell>
        </row>
        <row r="642">
          <cell r="B642" t="str">
            <v>Frig_Paranaguá</v>
          </cell>
          <cell r="D642" t="str">
            <v>Ticket Médio | Locação (BRL)</v>
          </cell>
          <cell r="E642" t="str">
            <v>COACIPAR COOPERATIVA DE AGRICULTURA</v>
          </cell>
          <cell r="CD642">
            <v>0</v>
          </cell>
        </row>
        <row r="643">
          <cell r="B643" t="str">
            <v>Frig_Paranaguá</v>
          </cell>
          <cell r="D643" t="str">
            <v>Ticket Médio | Locação (BRL)</v>
          </cell>
          <cell r="E643" t="str">
            <v>CONCEN INDUSTRIA</v>
          </cell>
          <cell r="CD643">
            <v>0</v>
          </cell>
        </row>
        <row r="644">
          <cell r="B644" t="str">
            <v>Frig_Paranaguá</v>
          </cell>
          <cell r="D644" t="str">
            <v>Ticket Médio | Locação (BRL)</v>
          </cell>
          <cell r="E644" t="str">
            <v>FRANGOS PIONEIRO INDUSTRIA E COMERC</v>
          </cell>
          <cell r="CD644">
            <v>0</v>
          </cell>
        </row>
        <row r="645">
          <cell r="B645" t="str">
            <v>Frig_Paranaguá</v>
          </cell>
          <cell r="D645" t="str">
            <v>Ticket Médio | Locação (BRL)</v>
          </cell>
          <cell r="E645" t="str">
            <v>FRIGOSUL FRIGORIFICO SUL LTDA</v>
          </cell>
          <cell r="CD645">
            <v>0</v>
          </cell>
        </row>
        <row r="646">
          <cell r="B646" t="str">
            <v>Frig_Paranaguá</v>
          </cell>
          <cell r="D646" t="str">
            <v>Ticket Médio | Locação (BRL)</v>
          </cell>
          <cell r="E646" t="str">
            <v>FRIMESA COOPERATIVA CENTRAL</v>
          </cell>
          <cell r="CD646">
            <v>0</v>
          </cell>
        </row>
        <row r="647">
          <cell r="B647" t="str">
            <v>Frig_Paranaguá</v>
          </cell>
          <cell r="D647" t="str">
            <v>Ticket Médio | Locação (BRL)</v>
          </cell>
          <cell r="E647" t="str">
            <v>GARRA INTERNATIONAL LTDA</v>
          </cell>
          <cell r="CD647">
            <v>0</v>
          </cell>
        </row>
        <row r="648">
          <cell r="B648" t="str">
            <v>Frig_Paranaguá</v>
          </cell>
          <cell r="D648" t="str">
            <v>Ticket Médio | Locação (BRL)</v>
          </cell>
          <cell r="E648" t="str">
            <v>GDC ALIMENTOS S.A</v>
          </cell>
          <cell r="CD648">
            <v>0</v>
          </cell>
        </row>
        <row r="649">
          <cell r="B649" t="str">
            <v>Frig_Paranaguá</v>
          </cell>
          <cell r="D649" t="str">
            <v>Ticket Médio | Locação (BRL)</v>
          </cell>
          <cell r="E649" t="str">
            <v>GONCALVES &amp; TORTOLA S/A</v>
          </cell>
          <cell r="CD649">
            <v>0</v>
          </cell>
        </row>
        <row r="650">
          <cell r="B650" t="str">
            <v>Frig_Paranaguá</v>
          </cell>
          <cell r="D650" t="str">
            <v>Ticket Médio | Locação (BRL)</v>
          </cell>
          <cell r="E650" t="str">
            <v>JAGUAFRANGOS INDUSTRIA E COMERCIO</v>
          </cell>
          <cell r="CD650">
            <v>0</v>
          </cell>
        </row>
        <row r="651">
          <cell r="B651" t="str">
            <v>Frig_Paranaguá</v>
          </cell>
          <cell r="D651" t="str">
            <v>Ticket Médio | Locação (BRL)</v>
          </cell>
          <cell r="E651" t="str">
            <v>JBS GROUP</v>
          </cell>
          <cell r="CD651">
            <v>0</v>
          </cell>
        </row>
        <row r="652">
          <cell r="B652" t="str">
            <v>Frig_Paranaguá</v>
          </cell>
          <cell r="D652" t="str">
            <v>Ticket Médio | Locação (BRL)</v>
          </cell>
          <cell r="E652" t="str">
            <v>JBS FRIBOI</v>
          </cell>
          <cell r="CD652">
            <v>0</v>
          </cell>
        </row>
        <row r="653">
          <cell r="B653" t="str">
            <v>Frig_Paranaguá</v>
          </cell>
          <cell r="D653" t="str">
            <v>Ticket Médio | Locação (BRL)</v>
          </cell>
          <cell r="E653" t="str">
            <v>LAR COOPERATIVA AGROINDUSTRIAL - FINANCEIRO</v>
          </cell>
          <cell r="CD653">
            <v>0</v>
          </cell>
        </row>
        <row r="654">
          <cell r="B654" t="str">
            <v>Frig_Paranaguá</v>
          </cell>
          <cell r="D654" t="str">
            <v>Ticket Médio | Locação (BRL)</v>
          </cell>
          <cell r="E654" t="str">
            <v>LOUIS DREYFUS COMPANY SUCOS S.A.</v>
          </cell>
          <cell r="CD654">
            <v>0</v>
          </cell>
        </row>
        <row r="655">
          <cell r="B655" t="str">
            <v>Frig_Paranaguá</v>
          </cell>
          <cell r="D655" t="str">
            <v>Ticket Médio | Locação (BRL)</v>
          </cell>
          <cell r="E655" t="str">
            <v>MAR TERRA IND E COMERCIO DE PESCADO</v>
          </cell>
          <cell r="CD655">
            <v>0</v>
          </cell>
        </row>
        <row r="656">
          <cell r="B656" t="str">
            <v>Frig_Paranaguá</v>
          </cell>
          <cell r="D656" t="str">
            <v>Ticket Médio | Locação (BRL)</v>
          </cell>
          <cell r="E656" t="str">
            <v>MARFRIG GLOBAL FOODS S.A</v>
          </cell>
          <cell r="CD656">
            <v>0</v>
          </cell>
        </row>
        <row r="657">
          <cell r="B657" t="str">
            <v>Frig_Paranaguá</v>
          </cell>
          <cell r="D657" t="str">
            <v>Ticket Médio | Locação (BRL)</v>
          </cell>
          <cell r="E657" t="str">
            <v>MINERVA S A</v>
          </cell>
          <cell r="CD657">
            <v>0</v>
          </cell>
        </row>
        <row r="658">
          <cell r="B658" t="str">
            <v>Frig_Paranaguá</v>
          </cell>
          <cell r="D658" t="str">
            <v>Ticket Médio | Locação (BRL)</v>
          </cell>
          <cell r="E658" t="str">
            <v>Cliente Novo 1</v>
          </cell>
          <cell r="CD658">
            <v>0</v>
          </cell>
        </row>
        <row r="659">
          <cell r="B659" t="str">
            <v>Frig_Paranaguá</v>
          </cell>
          <cell r="D659" t="str">
            <v>Ticket Médio | Locação (BRL)</v>
          </cell>
          <cell r="E659" t="str">
            <v>PAMPEANO ALIMENTOS S/A</v>
          </cell>
          <cell r="CD659">
            <v>0</v>
          </cell>
        </row>
        <row r="660">
          <cell r="B660" t="str">
            <v>Frig_Paranaguá</v>
          </cell>
          <cell r="D660" t="str">
            <v>Ticket Médio | Locação (BRL)</v>
          </cell>
          <cell r="E660" t="str">
            <v>PLUSVAL AGROAVICOLA LTDA</v>
          </cell>
          <cell r="CD660">
            <v>0</v>
          </cell>
        </row>
        <row r="661">
          <cell r="B661" t="str">
            <v>Frig_Paranaguá</v>
          </cell>
          <cell r="D661" t="str">
            <v>Ticket Médio | Locação (BRL)</v>
          </cell>
          <cell r="E661" t="str">
            <v>PRIMA FOODS S.A.</v>
          </cell>
          <cell r="CD661">
            <v>0</v>
          </cell>
        </row>
        <row r="662">
          <cell r="B662" t="str">
            <v>Frig_Paranaguá</v>
          </cell>
          <cell r="D662" t="str">
            <v>Ticket Médio | Locação (BRL)</v>
          </cell>
          <cell r="E662" t="str">
            <v>SOMAVE AGROINDUSTRIAL LTDA</v>
          </cell>
          <cell r="CD662">
            <v>0</v>
          </cell>
        </row>
        <row r="663">
          <cell r="B663" t="str">
            <v>Frig_Paranaguá</v>
          </cell>
          <cell r="D663" t="str">
            <v>Ticket Médio | Locação (BRL)</v>
          </cell>
          <cell r="E663" t="str">
            <v>VIBRA AGROINDUSTRIAL S/A FINANCEIRO</v>
          </cell>
          <cell r="CD663">
            <v>0</v>
          </cell>
        </row>
        <row r="664">
          <cell r="B664" t="str">
            <v>Frig_Paranaguá</v>
          </cell>
          <cell r="D664" t="str">
            <v>Plugagem</v>
          </cell>
          <cell r="E664" t="str">
            <v>Subtotal</v>
          </cell>
          <cell r="CD664">
            <v>90575.815837912494</v>
          </cell>
        </row>
        <row r="665">
          <cell r="B665" t="str">
            <v>Frig_Paranaguá</v>
          </cell>
          <cell r="D665" t="str">
            <v>Plugagem</v>
          </cell>
          <cell r="E665" t="str">
            <v>AGROINDUSTRIAL IRMAOS DALLA COSTA L</v>
          </cell>
          <cell r="CD665">
            <v>0</v>
          </cell>
        </row>
        <row r="666">
          <cell r="B666" t="str">
            <v>Frig_Paranaguá</v>
          </cell>
          <cell r="D666" t="str">
            <v>Plugagem</v>
          </cell>
          <cell r="E666" t="str">
            <v>AGROPRATINHA S/A</v>
          </cell>
          <cell r="CD666">
            <v>813.04943460966615</v>
          </cell>
        </row>
        <row r="667">
          <cell r="B667" t="str">
            <v>Frig_Paranaguá</v>
          </cell>
          <cell r="D667" t="str">
            <v>Plugagem</v>
          </cell>
          <cell r="E667" t="str">
            <v>AVENORTE AVICOLA CIANORTE LTDA - FINANCEIRO</v>
          </cell>
          <cell r="CD667">
            <v>8640</v>
          </cell>
        </row>
        <row r="668">
          <cell r="B668" t="str">
            <v>Frig_Paranaguá</v>
          </cell>
          <cell r="D668" t="str">
            <v>Plugagem</v>
          </cell>
          <cell r="E668" t="str">
            <v>BELLO ALIMENTOS LTDA</v>
          </cell>
          <cell r="CD668">
            <v>0</v>
          </cell>
        </row>
        <row r="669">
          <cell r="B669" t="str">
            <v>Frig_Paranaguá</v>
          </cell>
          <cell r="D669" t="str">
            <v>Plugagem</v>
          </cell>
          <cell r="E669" t="str">
            <v>BMG FOODS IMPORTACAO</v>
          </cell>
          <cell r="CD669">
            <v>15000</v>
          </cell>
        </row>
        <row r="670">
          <cell r="B670" t="str">
            <v>Frig_Paranaguá</v>
          </cell>
          <cell r="D670" t="str">
            <v>Plugagem</v>
          </cell>
          <cell r="E670" t="str">
            <v>BRF S.A - FINANCEIRO</v>
          </cell>
          <cell r="CD670">
            <v>12000</v>
          </cell>
        </row>
        <row r="671">
          <cell r="B671" t="str">
            <v>Frig_Paranaguá</v>
          </cell>
          <cell r="D671" t="str">
            <v>Plugagem</v>
          </cell>
          <cell r="E671" t="str">
            <v>C.VALE - COOPERATIVA AGROINDUSTRIAL</v>
          </cell>
          <cell r="CD671">
            <v>0</v>
          </cell>
        </row>
        <row r="672">
          <cell r="B672" t="str">
            <v>Frig_Paranaguá</v>
          </cell>
          <cell r="D672" t="str">
            <v>Plugagem</v>
          </cell>
          <cell r="E672" t="str">
            <v>CIA IGUACU DE CAFE SOLUVEL</v>
          </cell>
          <cell r="CD672">
            <v>360</v>
          </cell>
        </row>
        <row r="673">
          <cell r="B673" t="str">
            <v>Frig_Paranaguá</v>
          </cell>
          <cell r="D673" t="str">
            <v>Plugagem</v>
          </cell>
          <cell r="E673" t="str">
            <v>COACIPAR COOPERATIVA DE AGRICULTURA</v>
          </cell>
          <cell r="CD673">
            <v>0</v>
          </cell>
        </row>
        <row r="674">
          <cell r="B674" t="str">
            <v>Frig_Paranaguá</v>
          </cell>
          <cell r="D674" t="str">
            <v>Plugagem</v>
          </cell>
          <cell r="E674" t="str">
            <v>CONCEN INDUSTRIA</v>
          </cell>
          <cell r="CD674">
            <v>0</v>
          </cell>
        </row>
        <row r="675">
          <cell r="B675" t="str">
            <v>Frig_Paranaguá</v>
          </cell>
          <cell r="D675" t="str">
            <v>Plugagem</v>
          </cell>
          <cell r="E675" t="str">
            <v>FRANGOS PIONEIRO INDUSTRIA E COMERC</v>
          </cell>
          <cell r="CD675">
            <v>1800</v>
          </cell>
        </row>
        <row r="676">
          <cell r="B676" t="str">
            <v>Frig_Paranaguá</v>
          </cell>
          <cell r="D676" t="str">
            <v>Plugagem</v>
          </cell>
          <cell r="E676" t="str">
            <v>FRIGOSUL FRIGORIFICO SUL LTDA</v>
          </cell>
          <cell r="CD676">
            <v>1440</v>
          </cell>
        </row>
        <row r="677">
          <cell r="B677" t="str">
            <v>Frig_Paranaguá</v>
          </cell>
          <cell r="D677" t="str">
            <v>Plugagem</v>
          </cell>
          <cell r="E677" t="str">
            <v>FRIMESA COOPERATIVA CENTRAL</v>
          </cell>
          <cell r="CD677">
            <v>0</v>
          </cell>
        </row>
        <row r="678">
          <cell r="B678" t="str">
            <v>Frig_Paranaguá</v>
          </cell>
          <cell r="D678" t="str">
            <v>Plugagem</v>
          </cell>
          <cell r="E678" t="str">
            <v>GARRA INTERNATIONAL LTDA</v>
          </cell>
          <cell r="CD678">
            <v>0</v>
          </cell>
        </row>
        <row r="679">
          <cell r="B679" t="str">
            <v>Frig_Paranaguá</v>
          </cell>
          <cell r="D679" t="str">
            <v>Plugagem</v>
          </cell>
          <cell r="E679" t="str">
            <v>GDC ALIMENTOS S.A</v>
          </cell>
          <cell r="CD679">
            <v>0</v>
          </cell>
        </row>
        <row r="680">
          <cell r="B680" t="str">
            <v>Frig_Paranaguá</v>
          </cell>
          <cell r="D680" t="str">
            <v>Plugagem</v>
          </cell>
          <cell r="E680" t="str">
            <v>GONCALVES &amp; TORTOLA S/A</v>
          </cell>
          <cell r="CD680">
            <v>38160</v>
          </cell>
        </row>
        <row r="681">
          <cell r="B681" t="str">
            <v>Frig_Paranaguá</v>
          </cell>
          <cell r="D681" t="str">
            <v>Plugagem</v>
          </cell>
          <cell r="E681" t="str">
            <v>JAGUAFRANGOS INDUSTRIA E COMERCIO</v>
          </cell>
          <cell r="CD681">
            <v>0</v>
          </cell>
        </row>
        <row r="682">
          <cell r="B682" t="str">
            <v>Frig_Paranaguá</v>
          </cell>
          <cell r="D682" t="str">
            <v>Plugagem</v>
          </cell>
          <cell r="E682" t="str">
            <v>JBS GROUP</v>
          </cell>
          <cell r="CD682">
            <v>0</v>
          </cell>
        </row>
        <row r="683">
          <cell r="B683" t="str">
            <v>Frig_Paranaguá</v>
          </cell>
          <cell r="D683" t="str">
            <v>Plugagem</v>
          </cell>
          <cell r="E683" t="str">
            <v>JBS FRIBOI</v>
          </cell>
          <cell r="CD683">
            <v>7562.7664033028277</v>
          </cell>
        </row>
        <row r="684">
          <cell r="B684" t="str">
            <v>Frig_Paranaguá</v>
          </cell>
          <cell r="D684" t="str">
            <v>Plugagem</v>
          </cell>
          <cell r="E684" t="str">
            <v>LAR COOPERATIVA AGROINDUSTRIAL - FINANCEIRO</v>
          </cell>
          <cell r="CD684">
            <v>0</v>
          </cell>
        </row>
        <row r="685">
          <cell r="B685" t="str">
            <v>Frig_Paranaguá</v>
          </cell>
          <cell r="D685" t="str">
            <v>Plugagem</v>
          </cell>
          <cell r="E685" t="str">
            <v>LOUIS DREYFUS COMPANY SUCOS S.A.</v>
          </cell>
          <cell r="CD685">
            <v>120</v>
          </cell>
        </row>
        <row r="686">
          <cell r="B686" t="str">
            <v>Frig_Paranaguá</v>
          </cell>
          <cell r="D686" t="str">
            <v>Plugagem</v>
          </cell>
          <cell r="E686" t="str">
            <v>MAR TERRA IND E COMERCIO DE PESCADO</v>
          </cell>
          <cell r="CD686">
            <v>0</v>
          </cell>
        </row>
        <row r="687">
          <cell r="B687" t="str">
            <v>Frig_Paranaguá</v>
          </cell>
          <cell r="D687" t="str">
            <v>Plugagem</v>
          </cell>
          <cell r="E687" t="str">
            <v>MARFRIG GLOBAL FOODS S.A</v>
          </cell>
          <cell r="CD687">
            <v>0</v>
          </cell>
        </row>
        <row r="688">
          <cell r="B688" t="str">
            <v>Frig_Paranaguá</v>
          </cell>
          <cell r="D688" t="str">
            <v>Plugagem</v>
          </cell>
          <cell r="E688" t="str">
            <v>MINERVA S A</v>
          </cell>
          <cell r="CD688">
            <v>0</v>
          </cell>
        </row>
        <row r="689">
          <cell r="B689" t="str">
            <v>Frig_Paranaguá</v>
          </cell>
          <cell r="D689" t="str">
            <v>Plugagem</v>
          </cell>
          <cell r="E689" t="str">
            <v>Cliente Novo 1</v>
          </cell>
          <cell r="CD689">
            <v>0</v>
          </cell>
        </row>
        <row r="690">
          <cell r="B690" t="str">
            <v>Frig_Paranaguá</v>
          </cell>
          <cell r="D690" t="str">
            <v>Plugagem</v>
          </cell>
          <cell r="E690" t="str">
            <v>PAMPEANO ALIMENTOS S/A</v>
          </cell>
          <cell r="CD690">
            <v>0</v>
          </cell>
        </row>
        <row r="691">
          <cell r="B691" t="str">
            <v>Frig_Paranaguá</v>
          </cell>
          <cell r="D691" t="str">
            <v>Plugagem</v>
          </cell>
          <cell r="E691" t="str">
            <v>PLUSVAL AGROAVICOLA LTDA</v>
          </cell>
          <cell r="CD691">
            <v>0</v>
          </cell>
        </row>
        <row r="692">
          <cell r="B692" t="str">
            <v>Frig_Paranaguá</v>
          </cell>
          <cell r="D692" t="str">
            <v>Plugagem</v>
          </cell>
          <cell r="E692" t="str">
            <v>PRIMA FOODS S.A.</v>
          </cell>
          <cell r="CD692">
            <v>360</v>
          </cell>
        </row>
        <row r="693">
          <cell r="B693" t="str">
            <v>Frig_Paranaguá</v>
          </cell>
          <cell r="D693" t="str">
            <v>Plugagem</v>
          </cell>
          <cell r="E693" t="str">
            <v>RAMAX</v>
          </cell>
          <cell r="CD693">
            <v>0</v>
          </cell>
        </row>
        <row r="694">
          <cell r="B694" t="str">
            <v>Frig_Paranaguá</v>
          </cell>
          <cell r="D694" t="str">
            <v>Plugagem</v>
          </cell>
          <cell r="E694" t="str">
            <v>SOMAVE AGROINDUSTRIAL LTDA</v>
          </cell>
          <cell r="CD694">
            <v>4320</v>
          </cell>
        </row>
        <row r="695">
          <cell r="B695" t="str">
            <v>Frig_Paranaguá</v>
          </cell>
          <cell r="D695" t="str">
            <v>Plugagem</v>
          </cell>
          <cell r="E695" t="str">
            <v>VIBRA AGROINDUSTRIAL S/A FINANCEIRO</v>
          </cell>
          <cell r="CD695">
            <v>0</v>
          </cell>
        </row>
        <row r="696">
          <cell r="B696" t="str">
            <v>Frig_Paranaguá</v>
          </cell>
          <cell r="D696" t="str">
            <v>Faturamento | Plugagem (BRL'000)</v>
          </cell>
          <cell r="E696" t="str">
            <v>Subtotal</v>
          </cell>
          <cell r="CD696">
            <v>13971.967904215529</v>
          </cell>
        </row>
        <row r="697">
          <cell r="B697" t="str">
            <v>Frig_Paranaguá</v>
          </cell>
          <cell r="D697" t="str">
            <v>Faturamento | Plugagem (BRL'000)</v>
          </cell>
          <cell r="E697" t="str">
            <v>AGROINDUSTRIAL IRMAOS DALLA COSTA L</v>
          </cell>
          <cell r="CD697">
            <v>0</v>
          </cell>
        </row>
        <row r="698">
          <cell r="B698" t="str">
            <v>Frig_Paranaguá</v>
          </cell>
          <cell r="D698" t="str">
            <v>Faturamento | Plugagem (BRL'000)</v>
          </cell>
          <cell r="E698" t="str">
            <v>AGROPRATINHA S/A</v>
          </cell>
          <cell r="CD698">
            <v>104.40733853149671</v>
          </cell>
        </row>
        <row r="699">
          <cell r="B699" t="str">
            <v>Frig_Paranaguá</v>
          </cell>
          <cell r="D699" t="str">
            <v>Faturamento | Plugagem (BRL'000)</v>
          </cell>
          <cell r="E699" t="str">
            <v>AVENORTE AVICOLA CIANORTE LTDA - FINANCEIRO</v>
          </cell>
          <cell r="CD699">
            <v>1425.2592825748191</v>
          </cell>
        </row>
        <row r="700">
          <cell r="B700" t="str">
            <v>Frig_Paranaguá</v>
          </cell>
          <cell r="D700" t="str">
            <v>Faturamento | Plugagem (BRL'000)</v>
          </cell>
          <cell r="E700" t="str">
            <v>BELLO ALIMENTOS LTDA</v>
          </cell>
          <cell r="CD700">
            <v>0</v>
          </cell>
        </row>
        <row r="701">
          <cell r="B701" t="str">
            <v>Frig_Paranaguá</v>
          </cell>
          <cell r="D701" t="str">
            <v>Faturamento | Plugagem (BRL'000)</v>
          </cell>
          <cell r="E701" t="str">
            <v>BMG FOODS IMPORTACAO</v>
          </cell>
          <cell r="CD701">
            <v>2879.229084015908</v>
          </cell>
        </row>
        <row r="702">
          <cell r="B702" t="str">
            <v>Frig_Paranaguá</v>
          </cell>
          <cell r="D702" t="str">
            <v>Faturamento | Plugagem (BRL'000)</v>
          </cell>
          <cell r="E702" t="str">
            <v>BRF S.A - FINANCEIRO</v>
          </cell>
          <cell r="CD702">
            <v>1351.161129686918</v>
          </cell>
        </row>
        <row r="703">
          <cell r="B703" t="str">
            <v>Frig_Paranaguá</v>
          </cell>
          <cell r="D703" t="str">
            <v>Faturamento | Plugagem (BRL'000)</v>
          </cell>
          <cell r="E703" t="str">
            <v>C.VALE - COOPERATIVA AGROINDUSTRIAL</v>
          </cell>
          <cell r="CD703">
            <v>0</v>
          </cell>
        </row>
        <row r="704">
          <cell r="B704" t="str">
            <v>Frig_Paranaguá</v>
          </cell>
          <cell r="D704" t="str">
            <v>Faturamento | Plugagem (BRL'000)</v>
          </cell>
          <cell r="E704" t="str">
            <v>CIA IGUACU DE CAFE SOLUVEL</v>
          </cell>
          <cell r="CD704">
            <v>51.335405751724117</v>
          </cell>
        </row>
        <row r="705">
          <cell r="B705" t="str">
            <v>Frig_Paranaguá</v>
          </cell>
          <cell r="D705" t="str">
            <v>Faturamento | Plugagem (BRL'000)</v>
          </cell>
          <cell r="E705" t="str">
            <v>COACIPAR COOPERATIVA DE AGRICULTURA</v>
          </cell>
          <cell r="CD705">
            <v>0</v>
          </cell>
        </row>
        <row r="706">
          <cell r="B706" t="str">
            <v>Frig_Paranaguá</v>
          </cell>
          <cell r="D706" t="str">
            <v>Faturamento | Plugagem (BRL'000)</v>
          </cell>
          <cell r="E706" t="str">
            <v>CONCEN INDUSTRIA</v>
          </cell>
          <cell r="CD706">
            <v>0</v>
          </cell>
        </row>
        <row r="707">
          <cell r="B707" t="str">
            <v>Frig_Paranaguá</v>
          </cell>
          <cell r="D707" t="str">
            <v>Faturamento | Plugagem (BRL'000)</v>
          </cell>
          <cell r="E707" t="str">
            <v>FRANGOS PIONEIRO INDUSTRIA E COMERC</v>
          </cell>
          <cell r="CD707">
            <v>349.1529411724137</v>
          </cell>
        </row>
        <row r="708">
          <cell r="B708" t="str">
            <v>Frig_Paranaguá</v>
          </cell>
          <cell r="D708" t="str">
            <v>Faturamento | Plugagem (BRL'000)</v>
          </cell>
          <cell r="E708" t="str">
            <v>FRIGOSUL FRIGORIFICO SUL LTDA</v>
          </cell>
          <cell r="CD708">
            <v>316.64569335717403</v>
          </cell>
        </row>
        <row r="709">
          <cell r="B709" t="str">
            <v>Frig_Paranaguá</v>
          </cell>
          <cell r="D709" t="str">
            <v>Faturamento | Plugagem (BRL'000)</v>
          </cell>
          <cell r="E709" t="str">
            <v>FRIMESA COOPERATIVA CENTRAL</v>
          </cell>
          <cell r="CD709">
            <v>0</v>
          </cell>
        </row>
        <row r="710">
          <cell r="B710" t="str">
            <v>Frig_Paranaguá</v>
          </cell>
          <cell r="D710" t="str">
            <v>Faturamento | Plugagem (BRL'000)</v>
          </cell>
          <cell r="E710" t="str">
            <v>GARRA INTERNATIONAL LTDA</v>
          </cell>
          <cell r="CD710">
            <v>0</v>
          </cell>
        </row>
        <row r="711">
          <cell r="B711" t="str">
            <v>Frig_Paranaguá</v>
          </cell>
          <cell r="D711" t="str">
            <v>Faturamento | Plugagem (BRL'000)</v>
          </cell>
          <cell r="E711" t="str">
            <v>GDC ALIMENTOS S.A</v>
          </cell>
          <cell r="CD711">
            <v>0</v>
          </cell>
        </row>
        <row r="712">
          <cell r="B712" t="str">
            <v>Frig_Paranaguá</v>
          </cell>
          <cell r="D712" t="str">
            <v>Faturamento | Plugagem (BRL'000)</v>
          </cell>
          <cell r="E712" t="str">
            <v>GONCALVES &amp; TORTOLA S/A</v>
          </cell>
          <cell r="CD712">
            <v>5665.4532606828998</v>
          </cell>
        </row>
        <row r="713">
          <cell r="B713" t="str">
            <v>Frig_Paranaguá</v>
          </cell>
          <cell r="D713" t="str">
            <v>Faturamento | Plugagem (BRL'000)</v>
          </cell>
          <cell r="E713" t="str">
            <v>JAGUAFRANGOS INDUSTRIA E COMERCIO</v>
          </cell>
          <cell r="CD713">
            <v>0</v>
          </cell>
        </row>
        <row r="714">
          <cell r="B714" t="str">
            <v>Frig_Paranaguá</v>
          </cell>
          <cell r="D714" t="str">
            <v>Faturamento | Plugagem (BRL'000)</v>
          </cell>
          <cell r="E714" t="str">
            <v>JBS GROUP</v>
          </cell>
          <cell r="CD714">
            <v>0</v>
          </cell>
        </row>
        <row r="715">
          <cell r="B715" t="str">
            <v>Frig_Paranaguá</v>
          </cell>
          <cell r="D715" t="str">
            <v>Faturamento | Plugagem (BRL'000)</v>
          </cell>
          <cell r="E715" t="str">
            <v>JBS FRIBOI</v>
          </cell>
          <cell r="CD715">
            <v>1025.2188744175569</v>
          </cell>
        </row>
        <row r="716">
          <cell r="B716" t="str">
            <v>Frig_Paranaguá</v>
          </cell>
          <cell r="D716" t="str">
            <v>Faturamento | Plugagem (BRL'000)</v>
          </cell>
          <cell r="E716" t="str">
            <v>LAR COOPERATIVA AGROINDUSTRIAL - FINANCEIRO</v>
          </cell>
          <cell r="CD716">
            <v>0</v>
          </cell>
        </row>
        <row r="717">
          <cell r="B717" t="str">
            <v>Frig_Paranaguá</v>
          </cell>
          <cell r="D717" t="str">
            <v>Faturamento | Plugagem (BRL'000)</v>
          </cell>
          <cell r="E717" t="str">
            <v>LOUIS DREYFUS COMPANY SUCOS S.A.</v>
          </cell>
          <cell r="CD717">
            <v>15.65435002461917</v>
          </cell>
        </row>
        <row r="718">
          <cell r="B718" t="str">
            <v>Frig_Paranaguá</v>
          </cell>
          <cell r="D718" t="str">
            <v>Faturamento | Plugagem (BRL'000)</v>
          </cell>
          <cell r="E718" t="str">
            <v>MAR TERRA IND E COMERCIO DE PESCADO</v>
          </cell>
          <cell r="CD718">
            <v>0</v>
          </cell>
        </row>
        <row r="719">
          <cell r="B719" t="str">
            <v>Frig_Paranaguá</v>
          </cell>
          <cell r="D719" t="str">
            <v>Faturamento | Plugagem (BRL'000)</v>
          </cell>
          <cell r="E719" t="str">
            <v>MARFRIG GLOBAL FOODS S.A</v>
          </cell>
          <cell r="CD719">
            <v>0</v>
          </cell>
        </row>
        <row r="720">
          <cell r="B720" t="str">
            <v>Frig_Paranaguá</v>
          </cell>
          <cell r="D720" t="str">
            <v>Faturamento | Plugagem (BRL'000)</v>
          </cell>
          <cell r="E720" t="str">
            <v>MINERVA S A</v>
          </cell>
          <cell r="CD720">
            <v>0</v>
          </cell>
        </row>
        <row r="721">
          <cell r="B721" t="str">
            <v>Frig_Paranaguá</v>
          </cell>
          <cell r="D721" t="str">
            <v>Faturamento | Plugagem (BRL'000)</v>
          </cell>
          <cell r="E721" t="str">
            <v>Cliente Novo 1</v>
          </cell>
          <cell r="CD721">
            <v>0</v>
          </cell>
        </row>
        <row r="722">
          <cell r="B722" t="str">
            <v>Frig_Paranaguá</v>
          </cell>
          <cell r="D722" t="str">
            <v>Faturamento | Plugagem (BRL'000)</v>
          </cell>
          <cell r="E722" t="str">
            <v>PAMPEANO ALIMENTOS S/A</v>
          </cell>
          <cell r="CD722">
            <v>0</v>
          </cell>
        </row>
        <row r="723">
          <cell r="B723" t="str">
            <v>Frig_Paranaguá</v>
          </cell>
          <cell r="D723" t="str">
            <v>Faturamento | Plugagem (BRL'000)</v>
          </cell>
          <cell r="E723" t="str">
            <v>PLUSVAL AGROAVICOLA LTDA</v>
          </cell>
          <cell r="CD723">
            <v>0</v>
          </cell>
        </row>
        <row r="724">
          <cell r="B724" t="str">
            <v>Frig_Paranaguá</v>
          </cell>
          <cell r="D724" t="str">
            <v>Faturamento | Plugagem (BRL'000)</v>
          </cell>
          <cell r="E724" t="str">
            <v>PRIMA FOODS S.A.</v>
          </cell>
          <cell r="CD724">
            <v>0</v>
          </cell>
        </row>
        <row r="725">
          <cell r="B725" t="str">
            <v>Frig_Paranaguá</v>
          </cell>
          <cell r="D725" t="str">
            <v>Faturamento | Plugagem (BRL'000)</v>
          </cell>
          <cell r="E725" t="str">
            <v>SOMAVE AGROINDUSTRIAL LTDA</v>
          </cell>
          <cell r="CD725">
            <v>0</v>
          </cell>
        </row>
        <row r="726">
          <cell r="B726" t="str">
            <v>Frig_Paranaguá</v>
          </cell>
          <cell r="D726" t="str">
            <v>Faturamento | Plugagem (BRL'000)</v>
          </cell>
          <cell r="E726" t="str">
            <v>VIBRA AGROINDUSTRIAL S/A FINANCEIRO</v>
          </cell>
          <cell r="CD726">
            <v>788.45054400000038</v>
          </cell>
        </row>
        <row r="727">
          <cell r="B727" t="str">
            <v>Frig_Paranaguá</v>
          </cell>
          <cell r="D727" t="str">
            <v>Ticket Médio | Plugagem (BRL)</v>
          </cell>
          <cell r="E727" t="str">
            <v>Subtotal</v>
          </cell>
          <cell r="CD727">
            <v>154.24971950619241</v>
          </cell>
        </row>
        <row r="728">
          <cell r="B728" t="str">
            <v>Frig_Paranaguá</v>
          </cell>
          <cell r="D728" t="str">
            <v>Ticket Médio | Plugagem (BRL)</v>
          </cell>
          <cell r="E728" t="str">
            <v>AGROINDUSTRIAL IRMAOS DALLA COSTA L</v>
          </cell>
          <cell r="CD728">
            <v>0</v>
          </cell>
        </row>
        <row r="729">
          <cell r="B729" t="str">
            <v>Frig_Paranaguá</v>
          </cell>
          <cell r="D729" t="str">
            <v>Ticket Médio | Plugagem (BRL)</v>
          </cell>
          <cell r="E729" t="str">
            <v>AGROPRATINHA S/A</v>
          </cell>
          <cell r="CD729">
            <v>128.4707156463852</v>
          </cell>
        </row>
        <row r="730">
          <cell r="B730" t="str">
            <v>Frig_Paranaguá</v>
          </cell>
          <cell r="D730" t="str">
            <v>Ticket Médio | Plugagem (BRL)</v>
          </cell>
          <cell r="E730" t="str">
            <v>AVENORTE AVICOLA CIANORTE LTDA - FINANCEIRO</v>
          </cell>
          <cell r="CD730">
            <v>164.96056511282629</v>
          </cell>
        </row>
        <row r="731">
          <cell r="B731" t="str">
            <v>Frig_Paranaguá</v>
          </cell>
          <cell r="D731" t="str">
            <v>Ticket Médio | Plugagem (BRL)</v>
          </cell>
          <cell r="E731" t="str">
            <v>BELLO ALIMENTOS LTDA</v>
          </cell>
          <cell r="CD731">
            <v>0</v>
          </cell>
        </row>
        <row r="732">
          <cell r="B732" t="str">
            <v>Frig_Paranaguá</v>
          </cell>
          <cell r="D732" t="str">
            <v>Ticket Médio | Plugagem (BRL)</v>
          </cell>
          <cell r="E732" t="str">
            <v>BMG FOODS IMPORTACAO</v>
          </cell>
          <cell r="CD732">
            <v>191.94860560106051</v>
          </cell>
        </row>
        <row r="733">
          <cell r="B733" t="str">
            <v>Frig_Paranaguá</v>
          </cell>
          <cell r="D733" t="str">
            <v>Ticket Médio | Plugagem (BRL)</v>
          </cell>
          <cell r="E733" t="str">
            <v>BRF S.A - FINANCEIRO</v>
          </cell>
          <cell r="CD733">
            <v>112.5967608072432</v>
          </cell>
        </row>
        <row r="734">
          <cell r="B734" t="str">
            <v>Frig_Paranaguá</v>
          </cell>
          <cell r="D734" t="str">
            <v>Ticket Médio | Plugagem (BRL)</v>
          </cell>
          <cell r="E734" t="str">
            <v>C.VALE - COOPERATIVA AGROINDUSTRIAL</v>
          </cell>
          <cell r="CD734">
            <v>0</v>
          </cell>
        </row>
        <row r="735">
          <cell r="B735" t="str">
            <v>Frig_Paranaguá</v>
          </cell>
          <cell r="D735" t="str">
            <v>Ticket Médio | Plugagem (BRL)</v>
          </cell>
          <cell r="E735" t="str">
            <v>CIA IGUACU DE CAFE SOLUVEL</v>
          </cell>
          <cell r="CD735">
            <v>142.59834931034479</v>
          </cell>
        </row>
        <row r="736">
          <cell r="B736" t="str">
            <v>Frig_Paranaguá</v>
          </cell>
          <cell r="D736" t="str">
            <v>Ticket Médio | Plugagem (BRL)</v>
          </cell>
          <cell r="E736" t="str">
            <v>COACIPAR COOPERATIVA DE AGRICULTURA</v>
          </cell>
          <cell r="CD736">
            <v>195.3329354166666</v>
          </cell>
        </row>
        <row r="737">
          <cell r="B737" t="str">
            <v>Frig_Paranaguá</v>
          </cell>
          <cell r="D737" t="str">
            <v>Ticket Médio | Plugagem (BRL)</v>
          </cell>
          <cell r="E737" t="str">
            <v>CONCEN INDUSTRIA</v>
          </cell>
          <cell r="CD737">
            <v>0</v>
          </cell>
        </row>
        <row r="738">
          <cell r="B738" t="str">
            <v>Frig_Paranaguá</v>
          </cell>
          <cell r="D738" t="str">
            <v>Ticket Médio | Plugagem (BRL)</v>
          </cell>
          <cell r="E738" t="str">
            <v>FRANGOS PIONEIRO INDUSTRIA E COMERC</v>
          </cell>
          <cell r="CD738">
            <v>193.9738562068965</v>
          </cell>
        </row>
        <row r="739">
          <cell r="B739" t="str">
            <v>Frig_Paranaguá</v>
          </cell>
          <cell r="D739" t="str">
            <v>Ticket Médio | Plugagem (BRL)</v>
          </cell>
          <cell r="E739" t="str">
            <v>FRIGOSUL FRIGORIFICO SUL LTDA</v>
          </cell>
          <cell r="CD739">
            <v>219.89284260914849</v>
          </cell>
        </row>
        <row r="740">
          <cell r="B740" t="str">
            <v>Frig_Paranaguá</v>
          </cell>
          <cell r="D740" t="str">
            <v>Ticket Médio | Plugagem (BRL)</v>
          </cell>
          <cell r="E740" t="str">
            <v>FRIMESA COOPERATIVA CENTRAL</v>
          </cell>
          <cell r="CD740">
            <v>177.348015</v>
          </cell>
        </row>
        <row r="741">
          <cell r="B741" t="str">
            <v>Frig_Paranaguá</v>
          </cell>
          <cell r="D741" t="str">
            <v>Ticket Médio | Plugagem (BRL)</v>
          </cell>
          <cell r="E741" t="str">
            <v>GARRA INTERNATIONAL LTDA</v>
          </cell>
          <cell r="CD741">
            <v>0</v>
          </cell>
        </row>
        <row r="742">
          <cell r="B742" t="str">
            <v>Frig_Paranaguá</v>
          </cell>
          <cell r="D742" t="str">
            <v>Ticket Médio | Plugagem (BRL)</v>
          </cell>
          <cell r="E742" t="str">
            <v>GDC ALIMENTOS S.A</v>
          </cell>
          <cell r="CD742">
            <v>0</v>
          </cell>
        </row>
        <row r="743">
          <cell r="B743" t="str">
            <v>Frig_Paranaguá</v>
          </cell>
          <cell r="D743" t="str">
            <v>Ticket Médio | Plugagem (BRL)</v>
          </cell>
          <cell r="E743" t="str">
            <v>GONCALVES &amp; TORTOLA S/A</v>
          </cell>
          <cell r="CD743">
            <v>148.46575630720389</v>
          </cell>
        </row>
        <row r="744">
          <cell r="B744" t="str">
            <v>Frig_Paranaguá</v>
          </cell>
          <cell r="D744" t="str">
            <v>Ticket Médio | Plugagem (BRL)</v>
          </cell>
          <cell r="E744" t="str">
            <v>JAGUAFRANGOS INDUSTRIA E COMERCIO</v>
          </cell>
          <cell r="CD744">
            <v>0</v>
          </cell>
        </row>
        <row r="745">
          <cell r="B745" t="str">
            <v>Frig_Paranaguá</v>
          </cell>
          <cell r="D745" t="str">
            <v>Ticket Médio | Plugagem (BRL)</v>
          </cell>
          <cell r="E745" t="str">
            <v>JBS GROUP</v>
          </cell>
          <cell r="CD745">
            <v>187.37161458333341</v>
          </cell>
        </row>
        <row r="746">
          <cell r="B746" t="str">
            <v>Frig_Paranaguá</v>
          </cell>
          <cell r="D746" t="str">
            <v>Ticket Médio | Plugagem (BRL)</v>
          </cell>
          <cell r="E746" t="str">
            <v>JBS FRIBOI</v>
          </cell>
          <cell r="CD746">
            <v>135.5613567503315</v>
          </cell>
        </row>
        <row r="747">
          <cell r="B747" t="str">
            <v>Frig_Paranaguá</v>
          </cell>
          <cell r="D747" t="str">
            <v>Ticket Médio | Plugagem (BRL)</v>
          </cell>
          <cell r="E747" t="str">
            <v>LAR COOPERATIVA AGROINDUSTRIAL - FINANCEIRO</v>
          </cell>
          <cell r="CD747">
            <v>0</v>
          </cell>
        </row>
        <row r="748">
          <cell r="B748" t="str">
            <v>Frig_Paranaguá</v>
          </cell>
          <cell r="D748" t="str">
            <v>Ticket Médio | Plugagem (BRL)</v>
          </cell>
          <cell r="E748" t="str">
            <v>LOUIS DREYFUS COMPANY SUCOS S.A.</v>
          </cell>
          <cell r="CD748">
            <v>130.4529168718264</v>
          </cell>
        </row>
        <row r="749">
          <cell r="B749" t="str">
            <v>Frig_Paranaguá</v>
          </cell>
          <cell r="D749" t="str">
            <v>Ticket Médio | Plugagem (BRL)</v>
          </cell>
          <cell r="E749" t="str">
            <v>MAR TERRA IND E COMERCIO DE PESCADO</v>
          </cell>
          <cell r="CD749">
            <v>0</v>
          </cell>
        </row>
        <row r="750">
          <cell r="B750" t="str">
            <v>Frig_Paranaguá</v>
          </cell>
          <cell r="D750" t="str">
            <v>Ticket Médio | Plugagem (BRL)</v>
          </cell>
          <cell r="E750" t="str">
            <v>MARFRIG GLOBAL FOODS S.A</v>
          </cell>
          <cell r="CD750">
            <v>0</v>
          </cell>
        </row>
        <row r="751">
          <cell r="B751" t="str">
            <v>Frig_Paranaguá</v>
          </cell>
          <cell r="D751" t="str">
            <v>Ticket Médio | Plugagem (BRL)</v>
          </cell>
          <cell r="E751" t="str">
            <v>MINERVA S A</v>
          </cell>
          <cell r="CD751">
            <v>110.0993634</v>
          </cell>
        </row>
        <row r="752">
          <cell r="B752" t="str">
            <v>Frig_Paranaguá</v>
          </cell>
          <cell r="D752" t="str">
            <v>Ticket Médio | Plugagem (BRL)</v>
          </cell>
          <cell r="E752" t="str">
            <v>Cliente Novo 1</v>
          </cell>
          <cell r="CD752">
            <v>0</v>
          </cell>
        </row>
        <row r="753">
          <cell r="B753" t="str">
            <v>Frig_Paranaguá</v>
          </cell>
          <cell r="D753" t="str">
            <v>Ticket Médio | Plugagem (BRL)</v>
          </cell>
          <cell r="E753" t="str">
            <v>PAMPEANO ALIMENTOS S/A</v>
          </cell>
          <cell r="CD753">
            <v>0</v>
          </cell>
        </row>
        <row r="754">
          <cell r="B754" t="str">
            <v>Frig_Paranaguá</v>
          </cell>
          <cell r="D754" t="str">
            <v>Ticket Médio | Plugagem (BRL)</v>
          </cell>
          <cell r="E754" t="str">
            <v>PLUSVAL AGROAVICOLA LTDA</v>
          </cell>
          <cell r="CD754">
            <v>0</v>
          </cell>
        </row>
        <row r="755">
          <cell r="B755" t="str">
            <v>Frig_Paranaguá</v>
          </cell>
          <cell r="D755" t="str">
            <v>Ticket Médio | Plugagem (BRL)</v>
          </cell>
          <cell r="E755" t="str">
            <v>PRIMA FOODS S.A.</v>
          </cell>
          <cell r="CD755">
            <v>0</v>
          </cell>
        </row>
        <row r="756">
          <cell r="B756" t="str">
            <v>Frig_Paranaguá</v>
          </cell>
          <cell r="D756" t="str">
            <v>Ticket Médio | Plugagem (BRL)</v>
          </cell>
          <cell r="E756" t="str">
            <v>SOMAVE AGROINDUSTRIAL LTDA</v>
          </cell>
          <cell r="CD756">
            <v>193.70856588521079</v>
          </cell>
        </row>
        <row r="757">
          <cell r="B757" t="str">
            <v>Frig_Paranaguá</v>
          </cell>
          <cell r="D757" t="str">
            <v>Ticket Médio | Plugagem (BRL)</v>
          </cell>
          <cell r="E757" t="str">
            <v>VIBRA AGROINDUSTRIAL S/A FINANCEIRO</v>
          </cell>
          <cell r="CD757">
            <v>182.51169999999999</v>
          </cell>
        </row>
        <row r="758">
          <cell r="B758" t="str">
            <v>Frig_Paranaguá</v>
          </cell>
          <cell r="D758" t="str">
            <v>Faturamento | Adicional (BRL'000)</v>
          </cell>
          <cell r="E758" t="str">
            <v>Subtotal</v>
          </cell>
          <cell r="CD758">
            <v>2846.9296667361559</v>
          </cell>
        </row>
        <row r="759">
          <cell r="B759" t="str">
            <v>Frig_Paranaguá</v>
          </cell>
          <cell r="D759" t="str">
            <v>Faturamento | Adicional (BRL'000)</v>
          </cell>
          <cell r="E759" t="str">
            <v>AGROINDUSTRIAL IRMAOS DALLA COSTA L</v>
          </cell>
          <cell r="CD759">
            <v>0</v>
          </cell>
        </row>
        <row r="760">
          <cell r="B760" t="str">
            <v>Frig_Paranaguá</v>
          </cell>
          <cell r="D760" t="str">
            <v>Faturamento | Adicional (BRL'000)</v>
          </cell>
          <cell r="E760" t="str">
            <v>AGROPRATINHA S/A</v>
          </cell>
          <cell r="CD760">
            <v>158.9934842366558</v>
          </cell>
        </row>
        <row r="761">
          <cell r="B761" t="str">
            <v>Frig_Paranaguá</v>
          </cell>
          <cell r="D761" t="str">
            <v>Faturamento | Adicional (BRL'000)</v>
          </cell>
          <cell r="E761" t="str">
            <v>AVENORTE AVICOLA CIANORTE LTDA - FINANCEIRO</v>
          </cell>
          <cell r="CD761">
            <v>239.5768584356851</v>
          </cell>
        </row>
        <row r="762">
          <cell r="B762" t="str">
            <v>Frig_Paranaguá</v>
          </cell>
          <cell r="D762" t="str">
            <v>Faturamento | Adicional (BRL'000)</v>
          </cell>
          <cell r="E762" t="str">
            <v>BELLO ALIMENTOS LTDA</v>
          </cell>
          <cell r="CD762">
            <v>0</v>
          </cell>
        </row>
        <row r="763">
          <cell r="B763" t="str">
            <v>Frig_Paranaguá</v>
          </cell>
          <cell r="D763" t="str">
            <v>Faturamento | Adicional (BRL'000)</v>
          </cell>
          <cell r="E763" t="str">
            <v>BMG FOODS IMPORTACAO</v>
          </cell>
          <cell r="CD763">
            <v>0</v>
          </cell>
        </row>
        <row r="764">
          <cell r="B764" t="str">
            <v>Frig_Paranaguá</v>
          </cell>
          <cell r="D764" t="str">
            <v>Faturamento | Adicional (BRL'000)</v>
          </cell>
          <cell r="E764" t="str">
            <v>BRF S.A - FINANCEIRO</v>
          </cell>
          <cell r="CD764">
            <v>641.04646912528392</v>
          </cell>
        </row>
        <row r="765">
          <cell r="B765" t="str">
            <v>Frig_Paranaguá</v>
          </cell>
          <cell r="D765" t="str">
            <v>Faturamento | Adicional (BRL'000)</v>
          </cell>
          <cell r="E765" t="str">
            <v>C.VALE - COOPERATIVA AGROINDUSTRIAL</v>
          </cell>
          <cell r="CD765">
            <v>0</v>
          </cell>
        </row>
        <row r="766">
          <cell r="B766" t="str">
            <v>Frig_Paranaguá</v>
          </cell>
          <cell r="D766" t="str">
            <v>Faturamento | Adicional (BRL'000)</v>
          </cell>
          <cell r="E766" t="str">
            <v>CIA IGUACU DE CAFE SOLUVEL</v>
          </cell>
          <cell r="CD766">
            <v>239.59823316076509</v>
          </cell>
        </row>
        <row r="767">
          <cell r="B767" t="str">
            <v>Frig_Paranaguá</v>
          </cell>
          <cell r="D767" t="str">
            <v>Faturamento | Adicional (BRL'000)</v>
          </cell>
          <cell r="E767" t="str">
            <v>COACIPAR COOPERATIVA DE AGRICULTURA</v>
          </cell>
          <cell r="CD767">
            <v>-1.8874688623809519</v>
          </cell>
        </row>
        <row r="768">
          <cell r="B768" t="str">
            <v>Frig_Paranaguá</v>
          </cell>
          <cell r="D768" t="str">
            <v>Faturamento | Adicional (BRL'000)</v>
          </cell>
          <cell r="E768" t="str">
            <v>CONCEN INDUSTRIA</v>
          </cell>
          <cell r="CD768">
            <v>0</v>
          </cell>
        </row>
        <row r="769">
          <cell r="B769" t="str">
            <v>Frig_Paranaguá</v>
          </cell>
          <cell r="D769" t="str">
            <v>Faturamento | Adicional (BRL'000)</v>
          </cell>
          <cell r="E769" t="str">
            <v>FRANGOS PIONEIRO INDUSTRIA E COMERC</v>
          </cell>
          <cell r="CD769">
            <v>0</v>
          </cell>
        </row>
        <row r="770">
          <cell r="B770" t="str">
            <v>Frig_Paranaguá</v>
          </cell>
          <cell r="D770" t="str">
            <v>Faturamento | Adicional (BRL'000)</v>
          </cell>
          <cell r="E770" t="str">
            <v>FRIGOSUL FRIGORIFICO SUL LTDA</v>
          </cell>
          <cell r="CD770">
            <v>0</v>
          </cell>
        </row>
        <row r="771">
          <cell r="B771" t="str">
            <v>Frig_Paranaguá</v>
          </cell>
          <cell r="D771" t="str">
            <v>Faturamento | Adicional (BRL'000)</v>
          </cell>
          <cell r="E771" t="str">
            <v>FRIMESA COOPERATIVA CENTRAL</v>
          </cell>
          <cell r="CD771">
            <v>0</v>
          </cell>
        </row>
        <row r="772">
          <cell r="B772" t="str">
            <v>Frig_Paranaguá</v>
          </cell>
          <cell r="D772" t="str">
            <v>Faturamento | Adicional (BRL'000)</v>
          </cell>
          <cell r="E772" t="str">
            <v>GARRA INTERNATIONAL LTDA</v>
          </cell>
          <cell r="CD772">
            <v>0</v>
          </cell>
        </row>
        <row r="773">
          <cell r="B773" t="str">
            <v>Frig_Paranaguá</v>
          </cell>
          <cell r="D773" t="str">
            <v>Faturamento | Adicional (BRL'000)</v>
          </cell>
          <cell r="E773" t="str">
            <v>GDC ALIMENTOS S.A</v>
          </cell>
          <cell r="CD773">
            <v>0</v>
          </cell>
        </row>
        <row r="774">
          <cell r="B774" t="str">
            <v>Frig_Paranaguá</v>
          </cell>
          <cell r="D774" t="str">
            <v>Faturamento | Adicional (BRL'000)</v>
          </cell>
          <cell r="E774" t="str">
            <v>GONCALVES &amp; TORTOLA S/A</v>
          </cell>
          <cell r="CD774">
            <v>0</v>
          </cell>
        </row>
        <row r="775">
          <cell r="B775" t="str">
            <v>Frig_Paranaguá</v>
          </cell>
          <cell r="D775" t="str">
            <v>Faturamento | Adicional (BRL'000)</v>
          </cell>
          <cell r="E775" t="str">
            <v>JAGUAFRANGOS INDUSTRIA E COMERCIO</v>
          </cell>
          <cell r="CD775">
            <v>0</v>
          </cell>
        </row>
        <row r="776">
          <cell r="B776" t="str">
            <v>Frig_Paranaguá</v>
          </cell>
          <cell r="D776" t="str">
            <v>Faturamento | Adicional (BRL'000)</v>
          </cell>
          <cell r="E776" t="str">
            <v>JBS GROUP</v>
          </cell>
          <cell r="CD776">
            <v>0</v>
          </cell>
        </row>
        <row r="777">
          <cell r="B777" t="str">
            <v>Frig_Paranaguá</v>
          </cell>
          <cell r="D777" t="str">
            <v>Faturamento | Adicional (BRL'000)</v>
          </cell>
          <cell r="E777" t="str">
            <v>JBS FRIBOI</v>
          </cell>
          <cell r="CD777">
            <v>1520.0838976806131</v>
          </cell>
        </row>
        <row r="778">
          <cell r="B778" t="str">
            <v>Frig_Paranaguá</v>
          </cell>
          <cell r="D778" t="str">
            <v>Faturamento | Adicional (BRL'000)</v>
          </cell>
          <cell r="E778" t="str">
            <v>LAR COOPERATIVA AGROINDUSTRIAL - FINANCEIRO</v>
          </cell>
          <cell r="CD778">
            <v>0</v>
          </cell>
        </row>
        <row r="779">
          <cell r="B779" t="str">
            <v>Frig_Paranaguá</v>
          </cell>
          <cell r="D779" t="str">
            <v>Faturamento | Adicional (BRL'000)</v>
          </cell>
          <cell r="E779" t="str">
            <v>LOUIS DREYFUS COMPANY SUCOS S.A.</v>
          </cell>
          <cell r="CD779">
            <v>49.518192959533728</v>
          </cell>
        </row>
        <row r="780">
          <cell r="B780" t="str">
            <v>Frig_Paranaguá</v>
          </cell>
          <cell r="D780" t="str">
            <v>Faturamento | Adicional (BRL'000)</v>
          </cell>
          <cell r="E780" t="str">
            <v>MAR TERRA IND E COMERCIO DE PESCADO</v>
          </cell>
          <cell r="CD780">
            <v>0</v>
          </cell>
        </row>
        <row r="781">
          <cell r="B781" t="str">
            <v>Frig_Paranaguá</v>
          </cell>
          <cell r="D781" t="str">
            <v>Faturamento | Adicional (BRL'000)</v>
          </cell>
          <cell r="E781" t="str">
            <v>MARFRIG GLOBAL FOODS S.A</v>
          </cell>
          <cell r="CD781">
            <v>0</v>
          </cell>
        </row>
        <row r="782">
          <cell r="B782" t="str">
            <v>Frig_Paranaguá</v>
          </cell>
          <cell r="D782" t="str">
            <v>Faturamento | Adicional (BRL'000)</v>
          </cell>
          <cell r="E782" t="str">
            <v>MINERVA S A</v>
          </cell>
          <cell r="CD782">
            <v>0</v>
          </cell>
        </row>
        <row r="783">
          <cell r="B783" t="str">
            <v>Frig_Paranaguá</v>
          </cell>
          <cell r="D783" t="str">
            <v>Faturamento | Adicional (BRL'000)</v>
          </cell>
          <cell r="E783" t="str">
            <v>Cliente Novo 1</v>
          </cell>
          <cell r="CD783">
            <v>0</v>
          </cell>
        </row>
        <row r="784">
          <cell r="B784" t="str">
            <v>Frig_Paranaguá</v>
          </cell>
          <cell r="D784" t="str">
            <v>Faturamento | Adicional (BRL'000)</v>
          </cell>
          <cell r="E784" t="str">
            <v>PAMPEANO ALIMENTOS S/A</v>
          </cell>
          <cell r="CD784">
            <v>0</v>
          </cell>
        </row>
        <row r="785">
          <cell r="B785" t="str">
            <v>Frig_Paranaguá</v>
          </cell>
          <cell r="D785" t="str">
            <v>Faturamento | Adicional (BRL'000)</v>
          </cell>
          <cell r="E785" t="str">
            <v>PLUSVAL AGROAVICOLA LTDA</v>
          </cell>
          <cell r="CD785">
            <v>0</v>
          </cell>
        </row>
        <row r="786">
          <cell r="B786" t="str">
            <v>Frig_Paranaguá</v>
          </cell>
          <cell r="D786" t="str">
            <v>Faturamento | Adicional (BRL'000)</v>
          </cell>
          <cell r="E786" t="str">
            <v>PRIMA FOODS S.A.</v>
          </cell>
          <cell r="CD786">
            <v>0</v>
          </cell>
        </row>
        <row r="787">
          <cell r="B787" t="str">
            <v>Frig_Paranaguá</v>
          </cell>
          <cell r="D787" t="str">
            <v>Faturamento | Adicional (BRL'000)</v>
          </cell>
          <cell r="E787" t="str">
            <v>SOMAVE AGROINDUSTRIAL LTDA</v>
          </cell>
          <cell r="CD787">
            <v>0</v>
          </cell>
        </row>
        <row r="788">
          <cell r="B788" t="str">
            <v>Frig_Paranaguá</v>
          </cell>
          <cell r="D788" t="str">
            <v>Faturamento | Adicional (BRL'000)</v>
          </cell>
          <cell r="E788" t="str">
            <v>VIBRA AGROINDUSTRIAL S/A FINANCEIRO</v>
          </cell>
          <cell r="CD788">
            <v>0</v>
          </cell>
        </row>
        <row r="789">
          <cell r="B789" t="str">
            <v>Frig_Paranaguá</v>
          </cell>
          <cell r="D789" t="str">
            <v>Faturamento | Seguros (BRL'000)</v>
          </cell>
          <cell r="E789" t="str">
            <v>Subtotal</v>
          </cell>
          <cell r="CD789">
            <v>2004.4534920584449</v>
          </cell>
        </row>
        <row r="790">
          <cell r="B790" t="str">
            <v>Frig_Paranaguá</v>
          </cell>
          <cell r="D790" t="str">
            <v>Faturamento | Seguros (BRL'000)</v>
          </cell>
          <cell r="E790" t="str">
            <v>AGROINDUSTRIAL IRMAOS DALLA COSTA L</v>
          </cell>
          <cell r="CD790">
            <v>0</v>
          </cell>
        </row>
        <row r="791">
          <cell r="B791" t="str">
            <v>Frig_Paranaguá</v>
          </cell>
          <cell r="D791" t="str">
            <v>Faturamento | Seguros (BRL'000)</v>
          </cell>
          <cell r="E791" t="str">
            <v>AGROPRATINHA S/A</v>
          </cell>
          <cell r="CD791">
            <v>1709.713048755342</v>
          </cell>
        </row>
        <row r="792">
          <cell r="B792" t="str">
            <v>Frig_Paranaguá</v>
          </cell>
          <cell r="D792" t="str">
            <v>Faturamento | Seguros (BRL'000)</v>
          </cell>
          <cell r="E792" t="str">
            <v>AVENORTE AVICOLA CIANORTE LTDA - FINANCEIRO</v>
          </cell>
          <cell r="CD792">
            <v>71.296499999999995</v>
          </cell>
        </row>
        <row r="793">
          <cell r="B793" t="str">
            <v>Frig_Paranaguá</v>
          </cell>
          <cell r="D793" t="str">
            <v>Faturamento | Seguros (BRL'000)</v>
          </cell>
          <cell r="E793" t="str">
            <v>BELLO ALIMENTOS LTDA</v>
          </cell>
          <cell r="CD793">
            <v>0</v>
          </cell>
        </row>
        <row r="794">
          <cell r="B794" t="str">
            <v>Frig_Paranaguá</v>
          </cell>
          <cell r="D794" t="str">
            <v>Faturamento | Seguros (BRL'000)</v>
          </cell>
          <cell r="E794" t="str">
            <v>BMG FOODS IMPORTACAO</v>
          </cell>
          <cell r="CD794">
            <v>0</v>
          </cell>
        </row>
        <row r="795">
          <cell r="B795" t="str">
            <v>Frig_Paranaguá</v>
          </cell>
          <cell r="D795" t="str">
            <v>Faturamento | Seguros (BRL'000)</v>
          </cell>
          <cell r="E795" t="str">
            <v>BRF S.A - FINANCEIRO</v>
          </cell>
          <cell r="CD795">
            <v>0</v>
          </cell>
        </row>
        <row r="796">
          <cell r="B796" t="str">
            <v>Frig_Paranaguá</v>
          </cell>
          <cell r="D796" t="str">
            <v>Faturamento | Seguros (BRL'000)</v>
          </cell>
          <cell r="E796" t="str">
            <v>C.VALE - COOPERATIVA AGROINDUSTRIAL</v>
          </cell>
          <cell r="CD796">
            <v>0</v>
          </cell>
        </row>
        <row r="797">
          <cell r="B797" t="str">
            <v>Frig_Paranaguá</v>
          </cell>
          <cell r="D797" t="str">
            <v>Faturamento | Seguros (BRL'000)</v>
          </cell>
          <cell r="E797" t="str">
            <v>CIA IGUACU DE CAFE SOLUVEL</v>
          </cell>
          <cell r="CD797">
            <v>0</v>
          </cell>
        </row>
        <row r="798">
          <cell r="B798" t="str">
            <v>Frig_Paranaguá</v>
          </cell>
          <cell r="D798" t="str">
            <v>Faturamento | Seguros (BRL'000)</v>
          </cell>
          <cell r="E798" t="str">
            <v>COACIPAR COOPERATIVA DE AGRICULTURA</v>
          </cell>
          <cell r="CD798">
            <v>159.087232</v>
          </cell>
        </row>
        <row r="799">
          <cell r="B799" t="str">
            <v>Frig_Paranaguá</v>
          </cell>
          <cell r="D799" t="str">
            <v>Faturamento | Seguros (BRL'000)</v>
          </cell>
          <cell r="E799" t="str">
            <v>CONCEN INDUSTRIA</v>
          </cell>
          <cell r="CD799">
            <v>0</v>
          </cell>
        </row>
        <row r="800">
          <cell r="B800" t="str">
            <v>Frig_Paranaguá</v>
          </cell>
          <cell r="D800" t="str">
            <v>Faturamento | Seguros (BRL'000)</v>
          </cell>
          <cell r="E800" t="str">
            <v>FRANGOS PIONEIRO INDUSTRIA E COMERC</v>
          </cell>
          <cell r="CD800">
            <v>0</v>
          </cell>
        </row>
        <row r="801">
          <cell r="B801" t="str">
            <v>Frig_Paranaguá</v>
          </cell>
          <cell r="D801" t="str">
            <v>Faturamento | Seguros (BRL'000)</v>
          </cell>
          <cell r="E801" t="str">
            <v>FRIGOSUL FRIGORIFICO SUL LTDA</v>
          </cell>
          <cell r="CD801">
            <v>0</v>
          </cell>
        </row>
        <row r="802">
          <cell r="B802" t="str">
            <v>Frig_Paranaguá</v>
          </cell>
          <cell r="D802" t="str">
            <v>Faturamento | Seguros (BRL'000)</v>
          </cell>
          <cell r="E802" t="str">
            <v>FRIMESA COOPERATIVA CENTRAL</v>
          </cell>
          <cell r="CD802">
            <v>0</v>
          </cell>
        </row>
        <row r="803">
          <cell r="B803" t="str">
            <v>Frig_Paranaguá</v>
          </cell>
          <cell r="D803" t="str">
            <v>Faturamento | Seguros (BRL'000)</v>
          </cell>
          <cell r="E803" t="str">
            <v>GARRA INTERNATIONAL LTDA</v>
          </cell>
          <cell r="CD803">
            <v>0</v>
          </cell>
        </row>
        <row r="804">
          <cell r="B804" t="str">
            <v>Frig_Paranaguá</v>
          </cell>
          <cell r="D804" t="str">
            <v>Faturamento | Seguros (BRL'000)</v>
          </cell>
          <cell r="E804" t="str">
            <v>GDC ALIMENTOS S.A</v>
          </cell>
          <cell r="CD804">
            <v>0</v>
          </cell>
        </row>
        <row r="805">
          <cell r="B805" t="str">
            <v>Frig_Paranaguá</v>
          </cell>
          <cell r="D805" t="str">
            <v>Faturamento | Seguros (BRL'000)</v>
          </cell>
          <cell r="E805" t="str">
            <v>GONCALVES &amp; TORTOLA S/A</v>
          </cell>
          <cell r="CD805">
            <v>0</v>
          </cell>
        </row>
        <row r="806">
          <cell r="B806" t="str">
            <v>Frig_Paranaguá</v>
          </cell>
          <cell r="D806" t="str">
            <v>Faturamento | Seguros (BRL'000)</v>
          </cell>
          <cell r="E806" t="str">
            <v>JAGUAFRANGOS INDUSTRIA E COMERCIO</v>
          </cell>
          <cell r="CD806">
            <v>0</v>
          </cell>
        </row>
        <row r="807">
          <cell r="B807" t="str">
            <v>Frig_Paranaguá</v>
          </cell>
          <cell r="D807" t="str">
            <v>Faturamento | Seguros (BRL'000)</v>
          </cell>
          <cell r="E807" t="str">
            <v>JBS GROUP</v>
          </cell>
          <cell r="CD807">
            <v>0</v>
          </cell>
        </row>
        <row r="808">
          <cell r="B808" t="str">
            <v>Frig_Paranaguá</v>
          </cell>
          <cell r="D808" t="str">
            <v>Faturamento | Seguros (BRL'000)</v>
          </cell>
          <cell r="E808" t="str">
            <v>JBS FRIBOI</v>
          </cell>
          <cell r="CD808">
            <v>0</v>
          </cell>
        </row>
        <row r="809">
          <cell r="B809" t="str">
            <v>Frig_Paranaguá</v>
          </cell>
          <cell r="D809" t="str">
            <v>Faturamento | Seguros (BRL'000)</v>
          </cell>
          <cell r="E809" t="str">
            <v>LAR COOPERATIVA AGROINDUSTRIAL - FINANCEIRO</v>
          </cell>
          <cell r="CD809">
            <v>0</v>
          </cell>
        </row>
        <row r="810">
          <cell r="B810" t="str">
            <v>Frig_Paranaguá</v>
          </cell>
          <cell r="D810" t="str">
            <v>Faturamento | Seguros (BRL'000)</v>
          </cell>
          <cell r="E810" t="str">
            <v>LOUIS DREYFUS COMPANY SUCOS S.A.</v>
          </cell>
          <cell r="CD810">
            <v>64.35671130310395</v>
          </cell>
        </row>
        <row r="811">
          <cell r="B811" t="str">
            <v>Frig_Paranaguá</v>
          </cell>
          <cell r="D811" t="str">
            <v>Faturamento | Seguros (BRL'000)</v>
          </cell>
          <cell r="E811" t="str">
            <v>MAR TERRA IND E COMERCIO DE PESCADO</v>
          </cell>
          <cell r="CD811">
            <v>0</v>
          </cell>
        </row>
        <row r="812">
          <cell r="B812" t="str">
            <v>Frig_Paranaguá</v>
          </cell>
          <cell r="D812" t="str">
            <v>Faturamento | Seguros (BRL'000)</v>
          </cell>
          <cell r="E812" t="str">
            <v>MARFRIG GLOBAL FOODS S.A</v>
          </cell>
          <cell r="CD812">
            <v>0</v>
          </cell>
        </row>
        <row r="813">
          <cell r="B813" t="str">
            <v>Frig_Paranaguá</v>
          </cell>
          <cell r="D813" t="str">
            <v>Faturamento | Seguros (BRL'000)</v>
          </cell>
          <cell r="E813" t="str">
            <v>MINERVA S A</v>
          </cell>
          <cell r="CD813">
            <v>0</v>
          </cell>
        </row>
        <row r="814">
          <cell r="B814" t="str">
            <v>Frig_Paranaguá</v>
          </cell>
          <cell r="D814" t="str">
            <v>Faturamento | Seguros (BRL'000)</v>
          </cell>
          <cell r="E814" t="str">
            <v>Cliente Novo 1</v>
          </cell>
          <cell r="CD814">
            <v>0</v>
          </cell>
        </row>
        <row r="815">
          <cell r="B815" t="str">
            <v>Frig_Paranaguá</v>
          </cell>
          <cell r="D815" t="str">
            <v>Faturamento | Seguros (BRL'000)</v>
          </cell>
          <cell r="E815" t="str">
            <v>PAMPEANO ALIMENTOS S/A</v>
          </cell>
          <cell r="CD815">
            <v>0</v>
          </cell>
        </row>
        <row r="816">
          <cell r="B816" t="str">
            <v>Frig_Paranaguá</v>
          </cell>
          <cell r="D816" t="str">
            <v>Faturamento | Seguros (BRL'000)</v>
          </cell>
          <cell r="E816" t="str">
            <v>PLUSVAL AGROAVICOLA LTDA</v>
          </cell>
          <cell r="CD816">
            <v>0</v>
          </cell>
        </row>
        <row r="817">
          <cell r="B817" t="str">
            <v>Frig_Paranaguá</v>
          </cell>
          <cell r="D817" t="str">
            <v>Faturamento | Seguros (BRL'000)</v>
          </cell>
          <cell r="E817" t="str">
            <v>PRIMA FOODS S.A.</v>
          </cell>
          <cell r="CD817">
            <v>0</v>
          </cell>
        </row>
        <row r="818">
          <cell r="B818" t="str">
            <v>Frig_Paranaguá</v>
          </cell>
          <cell r="D818" t="str">
            <v>Faturamento | Seguros (BRL'000)</v>
          </cell>
          <cell r="E818" t="str">
            <v>SOMAVE AGROINDUSTRIAL LTDA</v>
          </cell>
          <cell r="CD818">
            <v>0</v>
          </cell>
        </row>
        <row r="819">
          <cell r="B819" t="str">
            <v>Frig_Paranaguá</v>
          </cell>
          <cell r="D819" t="str">
            <v>Faturamento | Seguros (BRL'000)</v>
          </cell>
          <cell r="E819" t="str">
            <v>VIBRA AGROINDUSTRIAL S/A FINANCEIRO</v>
          </cell>
          <cell r="CD819">
            <v>0</v>
          </cell>
        </row>
        <row r="820">
          <cell r="B820" t="str">
            <v>Frig_Rio_Grande</v>
          </cell>
          <cell r="D820" t="str">
            <v>Faturamento Bruto</v>
          </cell>
          <cell r="E820" t="str">
            <v>Gross Revenue</v>
          </cell>
          <cell r="CD820">
            <v>10733.493532566479</v>
          </cell>
        </row>
        <row r="822">
          <cell r="B822" t="str">
            <v>Frig_Rio_Grande</v>
          </cell>
          <cell r="D822" t="str">
            <v>Faturamento Bruto</v>
          </cell>
          <cell r="E822" t="str">
            <v>AGROSUL AGROAVICOLA INDUSTRIAL S.A.</v>
          </cell>
          <cell r="CD822">
            <v>0</v>
          </cell>
        </row>
        <row r="823">
          <cell r="B823" t="str">
            <v>Frig_Rio_Grande</v>
          </cell>
          <cell r="D823" t="str">
            <v>Faturamento Bruto</v>
          </cell>
          <cell r="E823" t="str">
            <v>ALIBEM ALIMENTOS S.A</v>
          </cell>
          <cell r="CD823">
            <v>219.72514208852621</v>
          </cell>
        </row>
        <row r="824">
          <cell r="B824" t="str">
            <v>Frig_Rio_Grande</v>
          </cell>
          <cell r="D824" t="str">
            <v>Faturamento Bruto</v>
          </cell>
          <cell r="E824" t="str">
            <v>BRF S.A</v>
          </cell>
          <cell r="CD824">
            <v>3450.5789994021252</v>
          </cell>
        </row>
        <row r="825">
          <cell r="B825" t="str">
            <v>Frig_Rio_Grande</v>
          </cell>
          <cell r="D825" t="str">
            <v>Faturamento Bruto</v>
          </cell>
          <cell r="E825" t="str">
            <v>CARRER ALIMENTOS LTDA</v>
          </cell>
          <cell r="CD825">
            <v>0</v>
          </cell>
        </row>
        <row r="826">
          <cell r="B826" t="str">
            <v>Frig_Rio_Grande</v>
          </cell>
          <cell r="D826" t="str">
            <v>Faturamento Bruto</v>
          </cell>
          <cell r="E826" t="str">
            <v>COOPERATIVA DALIA ALIMENTOS LTDA</v>
          </cell>
          <cell r="CD826">
            <v>0</v>
          </cell>
        </row>
        <row r="827">
          <cell r="B827" t="str">
            <v>Frig_Rio_Grande</v>
          </cell>
          <cell r="D827" t="str">
            <v>Faturamento Bruto</v>
          </cell>
          <cell r="E827" t="str">
            <v>JBS GROUP</v>
          </cell>
          <cell r="CD827">
            <v>0</v>
          </cell>
        </row>
        <row r="828">
          <cell r="B828" t="str">
            <v>Frig_Rio_Grande</v>
          </cell>
          <cell r="D828" t="str">
            <v>Faturamento Bruto</v>
          </cell>
          <cell r="E828" t="str">
            <v>JBS FRIBOI</v>
          </cell>
          <cell r="CD828">
            <v>0</v>
          </cell>
        </row>
        <row r="829">
          <cell r="B829" t="str">
            <v>Frig_Rio_Grande</v>
          </cell>
          <cell r="D829" t="str">
            <v>Faturamento Bruto</v>
          </cell>
          <cell r="E829" t="str">
            <v>MAERSK A/S</v>
          </cell>
          <cell r="CD829">
            <v>1800</v>
          </cell>
        </row>
        <row r="830">
          <cell r="B830" t="str">
            <v>Frig_Rio_Grande</v>
          </cell>
          <cell r="D830" t="str">
            <v>Faturamento Bruto</v>
          </cell>
          <cell r="E830" t="str">
            <v>MARFRIG GLOBAL FOODS S.A</v>
          </cell>
          <cell r="CD830">
            <v>0</v>
          </cell>
        </row>
        <row r="831">
          <cell r="B831" t="str">
            <v>Frig_Rio_Grande</v>
          </cell>
          <cell r="D831" t="str">
            <v>Faturamento Bruto</v>
          </cell>
          <cell r="E831" t="str">
            <v>MILTON CARVALHO MACEDO JUNIOR LTDA</v>
          </cell>
          <cell r="CD831">
            <v>399.99864322780348</v>
          </cell>
        </row>
        <row r="832">
          <cell r="B832" t="str">
            <v>Frig_Rio_Grande</v>
          </cell>
          <cell r="D832" t="str">
            <v>Faturamento Bruto</v>
          </cell>
          <cell r="E832" t="str">
            <v>PAMPEANO ALIMENTOS S/A</v>
          </cell>
          <cell r="CD832">
            <v>3726.9947179639412</v>
          </cell>
        </row>
        <row r="833">
          <cell r="B833" t="str">
            <v>Frig_Rio_Grande</v>
          </cell>
          <cell r="D833" t="str">
            <v>Faturamento Bruto</v>
          </cell>
          <cell r="E833" t="str">
            <v>Novo Cliente 1</v>
          </cell>
          <cell r="CD833">
            <v>0</v>
          </cell>
        </row>
        <row r="834">
          <cell r="B834" t="str">
            <v>Frig_Rio_Grande</v>
          </cell>
          <cell r="D834" t="str">
            <v>Faturamento Bruto</v>
          </cell>
          <cell r="E834" t="str">
            <v>PESCAL INDUSTRIA E COMERCIO DE</v>
          </cell>
          <cell r="CD834">
            <v>313.97612847548942</v>
          </cell>
        </row>
        <row r="835">
          <cell r="B835" t="str">
            <v>Frig_Rio_Grande</v>
          </cell>
          <cell r="D835" t="str">
            <v>Faturamento Bruto</v>
          </cell>
          <cell r="E835" t="str">
            <v>PRISMA</v>
          </cell>
          <cell r="CD835">
            <v>0</v>
          </cell>
        </row>
        <row r="836">
          <cell r="B836" t="str">
            <v>Frig_Rio_Grande</v>
          </cell>
          <cell r="D836" t="str">
            <v>Faturamento Bruto</v>
          </cell>
          <cell r="E836" t="str">
            <v>SOUTH PORTS FUMIGATION LTDA</v>
          </cell>
          <cell r="CD836">
            <v>0</v>
          </cell>
        </row>
        <row r="837">
          <cell r="B837" t="str">
            <v>Frig_Rio_Grande</v>
          </cell>
          <cell r="D837" t="str">
            <v>Faturamento Bruto</v>
          </cell>
          <cell r="E837" t="str">
            <v>SUPERMERCADO GUANABARA S/A</v>
          </cell>
          <cell r="CD837">
            <v>223.53558583705271</v>
          </cell>
        </row>
        <row r="838">
          <cell r="B838" t="str">
            <v>Frig_Rio_Grande</v>
          </cell>
          <cell r="D838" t="str">
            <v>Faturamento Bruto</v>
          </cell>
          <cell r="E838" t="str">
            <v>VIBRA AGROINDUSTRIAL S/A</v>
          </cell>
          <cell r="CD838">
            <v>0</v>
          </cell>
        </row>
        <row r="839">
          <cell r="B839" t="str">
            <v>Frig_Rio_Grande</v>
          </cell>
          <cell r="D839" t="str">
            <v>Faturamento Bruto</v>
          </cell>
          <cell r="E839" t="str">
            <v>COMPANHIA MINUANO DE ALIMENTOS</v>
          </cell>
          <cell r="CD839">
            <v>598.68431557154474</v>
          </cell>
        </row>
        <row r="840">
          <cell r="B840" t="str">
            <v>Frig_Rio_Grande</v>
          </cell>
          <cell r="D840" t="str">
            <v>Faturamento Bruto</v>
          </cell>
          <cell r="E840" t="str">
            <v>ZIMMER</v>
          </cell>
          <cell r="CD840">
            <v>0</v>
          </cell>
        </row>
        <row r="841">
          <cell r="B841" t="str">
            <v>Frig_Rio_Grande</v>
          </cell>
          <cell r="D841" t="str">
            <v>Armazenagem (posição palet)</v>
          </cell>
          <cell r="E841" t="str">
            <v>Subtotal</v>
          </cell>
          <cell r="CD841">
            <v>3270</v>
          </cell>
        </row>
        <row r="842">
          <cell r="B842" t="str">
            <v>Frig_Rio_Grande</v>
          </cell>
          <cell r="D842" t="str">
            <v>Armazenagem (posição palet)</v>
          </cell>
          <cell r="E842" t="str">
            <v>AGROSUL AGROAVICOLA INDUSTRIAL S.A.</v>
          </cell>
          <cell r="CD842">
            <v>0</v>
          </cell>
        </row>
        <row r="843">
          <cell r="B843" t="str">
            <v>Frig_Rio_Grande</v>
          </cell>
          <cell r="D843" t="str">
            <v>Armazenagem (posição palet)</v>
          </cell>
          <cell r="E843" t="str">
            <v>ALIBEM ALIMENTOS S.A</v>
          </cell>
          <cell r="CD843">
            <v>0</v>
          </cell>
        </row>
        <row r="844">
          <cell r="B844" t="str">
            <v>Frig_Rio_Grande</v>
          </cell>
          <cell r="D844" t="str">
            <v>Armazenagem (posição palet)</v>
          </cell>
          <cell r="E844" t="str">
            <v>BRF S.A - FINANCEIRO</v>
          </cell>
          <cell r="CD844">
            <v>1075</v>
          </cell>
        </row>
        <row r="845">
          <cell r="B845" t="str">
            <v>Frig_Rio_Grande</v>
          </cell>
          <cell r="D845" t="str">
            <v>Armazenagem (posição palet)</v>
          </cell>
          <cell r="E845" t="str">
            <v>CARRER ALIMENTOS LTDA</v>
          </cell>
          <cell r="CD845">
            <v>0</v>
          </cell>
        </row>
        <row r="846">
          <cell r="B846" t="str">
            <v>Frig_Rio_Grande</v>
          </cell>
          <cell r="D846" t="str">
            <v>Armazenagem (posição palet)</v>
          </cell>
          <cell r="E846" t="str">
            <v>COOPERATIVA DALIA ALIMENTOS LTDA</v>
          </cell>
          <cell r="CD846">
            <v>0</v>
          </cell>
        </row>
        <row r="847">
          <cell r="B847" t="str">
            <v>Frig_Rio_Grande</v>
          </cell>
          <cell r="D847" t="str">
            <v>Armazenagem (posição palet)</v>
          </cell>
          <cell r="E847" t="str">
            <v>JBS GROUP</v>
          </cell>
          <cell r="CD847">
            <v>0</v>
          </cell>
        </row>
        <row r="848">
          <cell r="B848" t="str">
            <v>Frig_Rio_Grande</v>
          </cell>
          <cell r="D848" t="str">
            <v>Armazenagem (posição palet)</v>
          </cell>
          <cell r="E848" t="str">
            <v>JBS FRIBOI</v>
          </cell>
          <cell r="CD848">
            <v>0</v>
          </cell>
        </row>
        <row r="849">
          <cell r="B849" t="str">
            <v>Frig_Rio_Grande</v>
          </cell>
          <cell r="D849" t="str">
            <v>Armazenagem (posição palet)</v>
          </cell>
          <cell r="E849" t="str">
            <v>MAERSK A/S</v>
          </cell>
          <cell r="CD849">
            <v>0</v>
          </cell>
        </row>
        <row r="850">
          <cell r="B850" t="str">
            <v>Frig_Rio_Grande</v>
          </cell>
          <cell r="D850" t="str">
            <v>Armazenagem (posição palet)</v>
          </cell>
          <cell r="E850" t="str">
            <v>MARFRIG GLOBAL FOODS S.A</v>
          </cell>
          <cell r="CD850">
            <v>0</v>
          </cell>
        </row>
        <row r="851">
          <cell r="B851" t="str">
            <v>Frig_Rio_Grande</v>
          </cell>
          <cell r="D851" t="str">
            <v>Armazenagem (posição palet)</v>
          </cell>
          <cell r="E851" t="str">
            <v>MILTON CARVALHO MACEDO JUNIOR LTDA</v>
          </cell>
          <cell r="CD851">
            <v>110</v>
          </cell>
        </row>
        <row r="852">
          <cell r="B852" t="str">
            <v>Frig_Rio_Grande</v>
          </cell>
          <cell r="D852" t="str">
            <v>Armazenagem (posição palet)</v>
          </cell>
          <cell r="E852" t="str">
            <v>PAMPEANO ALIMENTOS S/A</v>
          </cell>
          <cell r="CD852">
            <v>1766.666666666667</v>
          </cell>
        </row>
        <row r="853">
          <cell r="B853" t="str">
            <v>Frig_Rio_Grande</v>
          </cell>
          <cell r="D853" t="str">
            <v>Armazenagem (posição palet)</v>
          </cell>
          <cell r="E853" t="str">
            <v>Novo Cliente 1</v>
          </cell>
          <cell r="CD853">
            <v>0</v>
          </cell>
        </row>
        <row r="854">
          <cell r="B854" t="str">
            <v>Frig_Rio_Grande</v>
          </cell>
          <cell r="D854" t="str">
            <v>Armazenagem (posição palet)</v>
          </cell>
          <cell r="E854" t="str">
            <v>PESCAL INDUSTRIA E COMERCIO DE</v>
          </cell>
          <cell r="CD854">
            <v>58.333333333333343</v>
          </cell>
        </row>
        <row r="855">
          <cell r="B855" t="str">
            <v>Frig_Rio_Grande</v>
          </cell>
          <cell r="D855" t="str">
            <v>Armazenagem (posição palet)</v>
          </cell>
          <cell r="E855" t="str">
            <v>PRISMA</v>
          </cell>
          <cell r="CD855">
            <v>0</v>
          </cell>
        </row>
        <row r="856">
          <cell r="B856" t="str">
            <v>Frig_Rio_Grande</v>
          </cell>
          <cell r="D856" t="str">
            <v>Armazenagem (posição palet)</v>
          </cell>
          <cell r="E856" t="str">
            <v>SOUTH PORTS FUMIGATION LTDA</v>
          </cell>
          <cell r="CD856">
            <v>0</v>
          </cell>
        </row>
        <row r="857">
          <cell r="B857" t="str">
            <v>Frig_Rio_Grande</v>
          </cell>
          <cell r="D857" t="str">
            <v>Armazenagem (posição palet)</v>
          </cell>
          <cell r="E857" t="str">
            <v>SUPERMERCADO GUANABARA S/A</v>
          </cell>
          <cell r="CD857">
            <v>60</v>
          </cell>
        </row>
        <row r="858">
          <cell r="B858" t="str">
            <v>Frig_Rio_Grande</v>
          </cell>
          <cell r="D858" t="str">
            <v>Armazenagem (posição palet)</v>
          </cell>
          <cell r="E858" t="str">
            <v>VIBRA AGROINDUSTRIAL S/A FINANCEIRO</v>
          </cell>
          <cell r="CD858">
            <v>0</v>
          </cell>
        </row>
        <row r="859">
          <cell r="B859" t="str">
            <v>Frig_Rio_Grande</v>
          </cell>
          <cell r="D859" t="str">
            <v>Armazenagem (posição palet)</v>
          </cell>
          <cell r="E859" t="str">
            <v>COMPANHIA MINUANO DE ALIMENTOS - FINANCEIRO</v>
          </cell>
          <cell r="CD859">
            <v>200</v>
          </cell>
        </row>
        <row r="860">
          <cell r="B860" t="str">
            <v>Frig_Rio_Grande</v>
          </cell>
          <cell r="D860" t="str">
            <v>Armazenagem (posição palet)</v>
          </cell>
          <cell r="E860" t="str">
            <v>ZIMMER</v>
          </cell>
          <cell r="CD860">
            <v>0</v>
          </cell>
        </row>
        <row r="861">
          <cell r="B861" t="str">
            <v>Frig_Rio_Grande</v>
          </cell>
          <cell r="D861" t="str">
            <v>Capacidade Total PP</v>
          </cell>
          <cell r="E861" t="str">
            <v>CAPACIDADE</v>
          </cell>
          <cell r="CD861">
            <v>13000</v>
          </cell>
        </row>
        <row r="862">
          <cell r="B862" t="str">
            <v>Frig_Rio_Grande</v>
          </cell>
          <cell r="D862" t="str">
            <v>Armazenagem (%)</v>
          </cell>
          <cell r="E862" t="str">
            <v>Subtotal</v>
          </cell>
          <cell r="CD862">
            <v>0.25153846153846199</v>
          </cell>
        </row>
        <row r="863">
          <cell r="B863" t="str">
            <v>Frig_Rio_Grande</v>
          </cell>
          <cell r="D863" t="str">
            <v>Armazenagem (%)</v>
          </cell>
          <cell r="E863" t="str">
            <v>AGROSUL AGROAVICOLA INDUSTRIAL S.A.</v>
          </cell>
          <cell r="CD863">
            <v>0</v>
          </cell>
        </row>
        <row r="864">
          <cell r="B864" t="str">
            <v>Frig_Rio_Grande</v>
          </cell>
          <cell r="D864" t="str">
            <v>Armazenagem (%)</v>
          </cell>
          <cell r="E864" t="str">
            <v>ALIBEM ALIMENTOS S.A</v>
          </cell>
          <cell r="CD864">
            <v>0</v>
          </cell>
        </row>
        <row r="865">
          <cell r="B865" t="str">
            <v>Frig_Rio_Grande</v>
          </cell>
          <cell r="D865" t="str">
            <v>Armazenagem (%)</v>
          </cell>
          <cell r="E865" t="str">
            <v>BRF S.A - FINANCEIRO</v>
          </cell>
          <cell r="CD865">
            <v>8.2692307692307704E-2</v>
          </cell>
        </row>
        <row r="866">
          <cell r="B866" t="str">
            <v>Frig_Rio_Grande</v>
          </cell>
          <cell r="D866" t="str">
            <v>Armazenagem (%)</v>
          </cell>
          <cell r="E866" t="str">
            <v>CARRER ALIMENTOS LTDA</v>
          </cell>
          <cell r="CD866">
            <v>0</v>
          </cell>
        </row>
        <row r="867">
          <cell r="B867" t="str">
            <v>Frig_Rio_Grande</v>
          </cell>
          <cell r="D867" t="str">
            <v>Armazenagem (%)</v>
          </cell>
          <cell r="E867" t="str">
            <v>COOPERATIVA DALIA ALIMENTOS LTDA</v>
          </cell>
          <cell r="CD867">
            <v>0</v>
          </cell>
        </row>
        <row r="868">
          <cell r="B868" t="str">
            <v>Frig_Rio_Grande</v>
          </cell>
          <cell r="D868" t="str">
            <v>Armazenagem (%)</v>
          </cell>
          <cell r="E868" t="str">
            <v>JBS GROUP</v>
          </cell>
          <cell r="CD868">
            <v>0</v>
          </cell>
        </row>
        <row r="869">
          <cell r="B869" t="str">
            <v>Frig_Rio_Grande</v>
          </cell>
          <cell r="D869" t="str">
            <v>Armazenagem (%)</v>
          </cell>
          <cell r="E869" t="str">
            <v>JBS FRIBOI</v>
          </cell>
          <cell r="CD869">
            <v>0</v>
          </cell>
        </row>
        <row r="870">
          <cell r="B870" t="str">
            <v>Frig_Rio_Grande</v>
          </cell>
          <cell r="D870" t="str">
            <v>Armazenagem (%)</v>
          </cell>
          <cell r="E870" t="str">
            <v>MAERSK A/S</v>
          </cell>
          <cell r="CD870">
            <v>0</v>
          </cell>
        </row>
        <row r="871">
          <cell r="B871" t="str">
            <v>Frig_Rio_Grande</v>
          </cell>
          <cell r="D871" t="str">
            <v>Armazenagem (%)</v>
          </cell>
          <cell r="E871" t="str">
            <v>MARFRIG GLOBAL FOODS S.A</v>
          </cell>
          <cell r="CD871">
            <v>0</v>
          </cell>
        </row>
        <row r="872">
          <cell r="B872" t="str">
            <v>Frig_Rio_Grande</v>
          </cell>
          <cell r="D872" t="str">
            <v>Armazenagem (%)</v>
          </cell>
          <cell r="E872" t="str">
            <v>MILTON CARVALHO MACEDO JUNIOR LTDA</v>
          </cell>
          <cell r="CD872">
            <v>8.4615384615384596E-3</v>
          </cell>
        </row>
        <row r="873">
          <cell r="B873" t="str">
            <v>Frig_Rio_Grande</v>
          </cell>
          <cell r="D873" t="str">
            <v>Armazenagem (%)</v>
          </cell>
          <cell r="E873" t="str">
            <v>PAMPEANO ALIMENTOS S/A</v>
          </cell>
          <cell r="CD873">
            <v>0.135897435897436</v>
          </cell>
        </row>
        <row r="874">
          <cell r="B874" t="str">
            <v>Frig_Rio_Grande</v>
          </cell>
          <cell r="D874" t="str">
            <v>Armazenagem (%)</v>
          </cell>
          <cell r="E874" t="str">
            <v>Novo Cliente 1</v>
          </cell>
          <cell r="CD874">
            <v>0</v>
          </cell>
        </row>
        <row r="875">
          <cell r="B875" t="str">
            <v>Frig_Rio_Grande</v>
          </cell>
          <cell r="D875" t="str">
            <v>Armazenagem (%)</v>
          </cell>
          <cell r="E875" t="str">
            <v>PESCAL INDUSTRIA E COMERCIO DE</v>
          </cell>
          <cell r="CD875">
            <v>4.4871794871794903E-3</v>
          </cell>
        </row>
        <row r="876">
          <cell r="B876" t="str">
            <v>Frig_Rio_Grande</v>
          </cell>
          <cell r="D876" t="str">
            <v>Armazenagem (%)</v>
          </cell>
          <cell r="E876" t="str">
            <v>PRISMA</v>
          </cell>
          <cell r="CD876">
            <v>0</v>
          </cell>
        </row>
        <row r="877">
          <cell r="B877" t="str">
            <v>Frig_Rio_Grande</v>
          </cell>
          <cell r="D877" t="str">
            <v>Armazenagem (%)</v>
          </cell>
          <cell r="E877" t="str">
            <v>SOUTH PORTS FUMIGATION LTDA</v>
          </cell>
          <cell r="CD877">
            <v>0</v>
          </cell>
        </row>
        <row r="878">
          <cell r="B878" t="str">
            <v>Frig_Rio_Grande</v>
          </cell>
          <cell r="D878" t="str">
            <v>Armazenagem (%)</v>
          </cell>
          <cell r="E878" t="str">
            <v>SUPERMERCADO GUANABARA S/A</v>
          </cell>
          <cell r="CD878">
            <v>4.6153846153846097E-3</v>
          </cell>
        </row>
        <row r="879">
          <cell r="B879" t="str">
            <v>Frig_Rio_Grande</v>
          </cell>
          <cell r="D879" t="str">
            <v>Armazenagem (%)</v>
          </cell>
          <cell r="E879" t="str">
            <v>VIBRA AGROINDUSTRIAL S/A FINANCEIRO</v>
          </cell>
          <cell r="CD879">
            <v>0</v>
          </cell>
        </row>
        <row r="880">
          <cell r="B880" t="str">
            <v>Frig_Rio_Grande</v>
          </cell>
          <cell r="D880" t="str">
            <v>Armazenagem (%)</v>
          </cell>
          <cell r="E880" t="str">
            <v>COMPANHIA MINUANO DE ALIMENTOS - FINANCEIRO</v>
          </cell>
          <cell r="CD880">
            <v>1.5384615384615399E-2</v>
          </cell>
        </row>
        <row r="881">
          <cell r="B881" t="str">
            <v>Frig_Rio_Grande</v>
          </cell>
          <cell r="D881" t="str">
            <v>Armazenagem (%)</v>
          </cell>
          <cell r="E881" t="str">
            <v>ZIMMER</v>
          </cell>
          <cell r="CD881">
            <v>0</v>
          </cell>
        </row>
        <row r="882">
          <cell r="B882" t="str">
            <v>Frig_Rio_Grande</v>
          </cell>
          <cell r="D882" t="str">
            <v>Faturamento | Armazenagem (BRL'000)</v>
          </cell>
          <cell r="E882" t="str">
            <v>Subtotal</v>
          </cell>
          <cell r="CD882">
            <v>4375.0165548719278</v>
          </cell>
        </row>
        <row r="883">
          <cell r="B883" t="str">
            <v>Frig_Rio_Grande</v>
          </cell>
          <cell r="D883" t="str">
            <v>Faturamento | Armazenagem (BRL'000)</v>
          </cell>
          <cell r="E883" t="str">
            <v>AGROSUL AGROAVICOLA INDUSTRIAL S.A.</v>
          </cell>
          <cell r="CD883">
            <v>0</v>
          </cell>
        </row>
        <row r="884">
          <cell r="B884" t="str">
            <v>Frig_Rio_Grande</v>
          </cell>
          <cell r="D884" t="str">
            <v>Faturamento | Armazenagem (BRL'000)</v>
          </cell>
          <cell r="E884" t="str">
            <v>ALIBEM ALIMENTOS S.A</v>
          </cell>
          <cell r="CD884">
            <v>0</v>
          </cell>
        </row>
        <row r="885">
          <cell r="B885" t="str">
            <v>Frig_Rio_Grande</v>
          </cell>
          <cell r="D885" t="str">
            <v>Faturamento | Armazenagem (BRL'000)</v>
          </cell>
          <cell r="E885" t="str">
            <v>BRF S.A - FINANCEIRO</v>
          </cell>
          <cell r="CD885">
            <v>1595.860150455313</v>
          </cell>
        </row>
        <row r="886">
          <cell r="B886" t="str">
            <v>Frig_Rio_Grande</v>
          </cell>
          <cell r="D886" t="str">
            <v>Faturamento | Armazenagem (BRL'000)</v>
          </cell>
          <cell r="E886" t="str">
            <v>CARRER ALIMENTOS LTDA</v>
          </cell>
          <cell r="CD886">
            <v>0</v>
          </cell>
        </row>
        <row r="887">
          <cell r="B887" t="str">
            <v>Frig_Rio_Grande</v>
          </cell>
          <cell r="D887" t="str">
            <v>Faturamento | Armazenagem (BRL'000)</v>
          </cell>
          <cell r="E887" t="str">
            <v>COOPERATIVA DALIA ALIMENTOS LTDA</v>
          </cell>
          <cell r="CD887">
            <v>0</v>
          </cell>
        </row>
        <row r="888">
          <cell r="B888" t="str">
            <v>Frig_Rio_Grande</v>
          </cell>
          <cell r="D888" t="str">
            <v>Faturamento | Armazenagem (BRL'000)</v>
          </cell>
          <cell r="E888" t="str">
            <v>JBS GROUP</v>
          </cell>
          <cell r="CD888">
            <v>0</v>
          </cell>
        </row>
        <row r="889">
          <cell r="B889" t="str">
            <v>Frig_Rio_Grande</v>
          </cell>
          <cell r="D889" t="str">
            <v>Faturamento | Armazenagem (BRL'000)</v>
          </cell>
          <cell r="E889" t="str">
            <v>JBS FRIBOI</v>
          </cell>
          <cell r="CD889">
            <v>0</v>
          </cell>
        </row>
        <row r="890">
          <cell r="B890" t="str">
            <v>Frig_Rio_Grande</v>
          </cell>
          <cell r="D890" t="str">
            <v>Faturamento | Armazenagem (BRL'000)</v>
          </cell>
          <cell r="E890" t="str">
            <v>MAERSK A/S</v>
          </cell>
          <cell r="CD890">
            <v>0</v>
          </cell>
        </row>
        <row r="891">
          <cell r="B891" t="str">
            <v>Frig_Rio_Grande</v>
          </cell>
          <cell r="D891" t="str">
            <v>Faturamento | Armazenagem (BRL'000)</v>
          </cell>
          <cell r="E891" t="str">
            <v>MARFRIG GLOBAL FOODS S.A</v>
          </cell>
          <cell r="CD891">
            <v>0</v>
          </cell>
        </row>
        <row r="892">
          <cell r="B892" t="str">
            <v>Frig_Rio_Grande</v>
          </cell>
          <cell r="D892" t="str">
            <v>Faturamento | Armazenagem (BRL'000)</v>
          </cell>
          <cell r="E892" t="str">
            <v>MILTON CARVALHO MACEDO JUNIOR LTDA</v>
          </cell>
          <cell r="CD892">
            <v>202.46909548007841</v>
          </cell>
        </row>
        <row r="893">
          <cell r="B893" t="str">
            <v>Frig_Rio_Grande</v>
          </cell>
          <cell r="D893" t="str">
            <v>Faturamento | Armazenagem (BRL'000)</v>
          </cell>
          <cell r="E893" t="str">
            <v>PAMPEANO ALIMENTOS S/A</v>
          </cell>
          <cell r="CD893">
            <v>2247.2474465173332</v>
          </cell>
        </row>
        <row r="894">
          <cell r="B894" t="str">
            <v>Frig_Rio_Grande</v>
          </cell>
          <cell r="D894" t="str">
            <v>Faturamento | Armazenagem (BRL'000)</v>
          </cell>
          <cell r="E894" t="str">
            <v>Novo Cliente 1</v>
          </cell>
          <cell r="CD894">
            <v>0</v>
          </cell>
        </row>
        <row r="895">
          <cell r="B895" t="str">
            <v>Frig_Rio_Grande</v>
          </cell>
          <cell r="D895" t="str">
            <v>Faturamento | Armazenagem (BRL'000)</v>
          </cell>
          <cell r="E895" t="str">
            <v>PESCAL INDUSTRIA E COMERCIO DE</v>
          </cell>
          <cell r="CD895">
            <v>132.345510742421</v>
          </cell>
        </row>
        <row r="896">
          <cell r="B896" t="str">
            <v>Frig_Rio_Grande</v>
          </cell>
          <cell r="D896" t="str">
            <v>Faturamento | Armazenagem (BRL'000)</v>
          </cell>
          <cell r="E896" t="str">
            <v>PRISMA</v>
          </cell>
          <cell r="CD896">
            <v>0</v>
          </cell>
        </row>
        <row r="897">
          <cell r="B897" t="str">
            <v>Frig_Rio_Grande</v>
          </cell>
          <cell r="D897" t="str">
            <v>Faturamento | Armazenagem (BRL'000)</v>
          </cell>
          <cell r="E897" t="str">
            <v>SOUTH PORTS FUMIGATION LTDA</v>
          </cell>
          <cell r="CD897">
            <v>0</v>
          </cell>
        </row>
        <row r="898">
          <cell r="B898" t="str">
            <v>Frig_Rio_Grande</v>
          </cell>
          <cell r="D898" t="str">
            <v>Faturamento | Armazenagem (BRL'000)</v>
          </cell>
          <cell r="E898" t="str">
            <v>SUPERMERCADO GUANABARA S/A</v>
          </cell>
          <cell r="CD898">
            <v>84.962708093125883</v>
          </cell>
        </row>
        <row r="899">
          <cell r="B899" t="str">
            <v>Frig_Rio_Grande</v>
          </cell>
          <cell r="D899" t="str">
            <v>Faturamento | Armazenagem (BRL'000)</v>
          </cell>
          <cell r="E899" t="str">
            <v>VIBRA AGROINDUSTRIAL S/A FINANCEIRO</v>
          </cell>
          <cell r="CD899">
            <v>0</v>
          </cell>
        </row>
        <row r="900">
          <cell r="B900" t="str">
            <v>Frig_Rio_Grande</v>
          </cell>
          <cell r="D900" t="str">
            <v>Faturamento | Armazenagem (BRL'000)</v>
          </cell>
          <cell r="E900" t="str">
            <v>COMPANHIA MINUANO DE ALIMENTOS - FINANCEIRO</v>
          </cell>
          <cell r="CD900">
            <v>112.1316435836582</v>
          </cell>
        </row>
        <row r="901">
          <cell r="B901" t="str">
            <v>Frig_Rio_Grande</v>
          </cell>
          <cell r="D901" t="str">
            <v>Faturamento | Armazenagem (BRL'000)</v>
          </cell>
          <cell r="E901" t="str">
            <v>ZIMMER</v>
          </cell>
          <cell r="CD901">
            <v>0</v>
          </cell>
        </row>
        <row r="902">
          <cell r="B902" t="str">
            <v>Frig_Rio_Grande</v>
          </cell>
          <cell r="D902" t="str">
            <v>Ticket Médio | Armazenagem (BRL)</v>
          </cell>
          <cell r="E902" t="str">
            <v>Subtotal</v>
          </cell>
          <cell r="CD902">
            <v>111.0742514402443</v>
          </cell>
        </row>
        <row r="903">
          <cell r="B903" t="str">
            <v>Frig_Rio_Grande</v>
          </cell>
          <cell r="D903" t="str">
            <v>Ticket Médio | Armazenagem (BRL)</v>
          </cell>
          <cell r="E903" t="str">
            <v>AGROSUL AGROAVICOLA INDUSTRIAL S.A.</v>
          </cell>
          <cell r="CD903">
            <v>143.20298868185401</v>
          </cell>
        </row>
        <row r="904">
          <cell r="B904" t="str">
            <v>Frig_Rio_Grande</v>
          </cell>
          <cell r="D904" t="str">
            <v>Ticket Médio | Armazenagem (BRL)</v>
          </cell>
          <cell r="E904" t="str">
            <v>ALIBEM ALIMENTOS S.A</v>
          </cell>
          <cell r="CD904">
            <v>0</v>
          </cell>
        </row>
        <row r="905">
          <cell r="B905" t="str">
            <v>Frig_Rio_Grande</v>
          </cell>
          <cell r="D905" t="str">
            <v>Ticket Médio | Armazenagem (BRL)</v>
          </cell>
          <cell r="E905" t="str">
            <v>BRF S.A - FINANCEIRO</v>
          </cell>
          <cell r="CD905">
            <v>123.2622180227105</v>
          </cell>
        </row>
        <row r="906">
          <cell r="B906" t="str">
            <v>Frig_Rio_Grande</v>
          </cell>
          <cell r="D906" t="str">
            <v>Ticket Médio | Armazenagem (BRL)</v>
          </cell>
          <cell r="E906" t="str">
            <v>CARRER ALIMENTOS LTDA</v>
          </cell>
          <cell r="CD906">
            <v>1059.778421052632</v>
          </cell>
        </row>
        <row r="907">
          <cell r="B907" t="str">
            <v>Frig_Rio_Grande</v>
          </cell>
          <cell r="D907" t="str">
            <v>Ticket Médio | Armazenagem (BRL)</v>
          </cell>
          <cell r="E907" t="str">
            <v>COOPERATIVA DALIA ALIMENTOS LTDA</v>
          </cell>
          <cell r="CD907">
            <v>0</v>
          </cell>
        </row>
        <row r="908">
          <cell r="B908" t="str">
            <v>Frig_Rio_Grande</v>
          </cell>
          <cell r="D908" t="str">
            <v>Ticket Médio | Armazenagem (BRL)</v>
          </cell>
          <cell r="E908" t="str">
            <v>JBS GROUP</v>
          </cell>
          <cell r="CD908">
            <v>111.7770521951681</v>
          </cell>
        </row>
        <row r="909">
          <cell r="B909" t="str">
            <v>Frig_Rio_Grande</v>
          </cell>
          <cell r="D909" t="str">
            <v>Ticket Médio | Armazenagem (BRL)</v>
          </cell>
          <cell r="E909" t="str">
            <v>JBS FRIBOI</v>
          </cell>
          <cell r="CD909">
            <v>0</v>
          </cell>
        </row>
        <row r="910">
          <cell r="B910" t="str">
            <v>Frig_Rio_Grande</v>
          </cell>
          <cell r="D910" t="str">
            <v>Ticket Médio | Armazenagem (BRL)</v>
          </cell>
          <cell r="E910" t="str">
            <v>MAERSK A/S</v>
          </cell>
          <cell r="CD910">
            <v>0</v>
          </cell>
        </row>
        <row r="911">
          <cell r="B911" t="str">
            <v>Frig_Rio_Grande</v>
          </cell>
          <cell r="D911" t="str">
            <v>Ticket Médio | Armazenagem (BRL)</v>
          </cell>
          <cell r="E911" t="str">
            <v>MARFRIG GLOBAL FOODS S.A</v>
          </cell>
          <cell r="CD911">
            <v>245.790465974478</v>
          </cell>
        </row>
        <row r="912">
          <cell r="B912" t="str">
            <v>Frig_Rio_Grande</v>
          </cell>
          <cell r="D912" t="str">
            <v>Ticket Médio | Armazenagem (BRL)</v>
          </cell>
          <cell r="E912" t="str">
            <v>MILTON CARVALHO MACEDO JUNIOR LTDA</v>
          </cell>
          <cell r="CD912">
            <v>153.38567839399889</v>
          </cell>
        </row>
        <row r="913">
          <cell r="B913" t="str">
            <v>Frig_Rio_Grande</v>
          </cell>
          <cell r="D913" t="str">
            <v>Ticket Médio | Armazenagem (BRL)</v>
          </cell>
          <cell r="E913" t="str">
            <v>PAMPEANO ALIMENTOS S/A</v>
          </cell>
          <cell r="CD913">
            <v>105.99355858383839</v>
          </cell>
        </row>
        <row r="914">
          <cell r="B914" t="str">
            <v>Frig_Rio_Grande</v>
          </cell>
          <cell r="D914" t="str">
            <v>Ticket Médio | Armazenagem (BRL)</v>
          </cell>
          <cell r="E914" t="str">
            <v>Novo Cliente 1</v>
          </cell>
          <cell r="CD914">
            <v>90</v>
          </cell>
        </row>
        <row r="915">
          <cell r="B915" t="str">
            <v>Frig_Rio_Grande</v>
          </cell>
          <cell r="D915" t="str">
            <v>Ticket Médio | Armazenagem (BRL)</v>
          </cell>
          <cell r="E915" t="str">
            <v>PESCAL INDUSTRIA E COMERCIO DE</v>
          </cell>
          <cell r="CD915">
            <v>185.6417966344564</v>
          </cell>
        </row>
        <row r="916">
          <cell r="B916" t="str">
            <v>Frig_Rio_Grande</v>
          </cell>
          <cell r="D916" t="str">
            <v>Ticket Médio | Armazenagem (BRL)</v>
          </cell>
          <cell r="E916" t="str">
            <v>PRISMA</v>
          </cell>
          <cell r="CD916">
            <v>0</v>
          </cell>
        </row>
        <row r="917">
          <cell r="B917" t="str">
            <v>Frig_Rio_Grande</v>
          </cell>
          <cell r="D917" t="str">
            <v>Ticket Médio | Armazenagem (BRL)</v>
          </cell>
          <cell r="E917" t="str">
            <v>SOUTH PORTS FUMIGATION LTDA</v>
          </cell>
          <cell r="CD917">
            <v>0</v>
          </cell>
        </row>
        <row r="918">
          <cell r="B918" t="str">
            <v>Frig_Rio_Grande</v>
          </cell>
          <cell r="D918" t="str">
            <v>Ticket Médio | Armazenagem (BRL)</v>
          </cell>
          <cell r="E918" t="str">
            <v>SUPERMERCADO GUANABARA S/A</v>
          </cell>
          <cell r="CD918">
            <v>118.0037612404526</v>
          </cell>
        </row>
        <row r="919">
          <cell r="B919" t="str">
            <v>Frig_Rio_Grande</v>
          </cell>
          <cell r="D919" t="str">
            <v>Ticket Médio | Armazenagem (BRL)</v>
          </cell>
          <cell r="E919" t="str">
            <v>VIBRA AGROINDUSTRIAL S/A FINANCEIRO</v>
          </cell>
          <cell r="CD919">
            <v>84.426555765000003</v>
          </cell>
        </row>
        <row r="920">
          <cell r="B920" t="str">
            <v>Frig_Rio_Grande</v>
          </cell>
          <cell r="D920" t="str">
            <v>Ticket Médio | Armazenagem (BRL)</v>
          </cell>
          <cell r="E920" t="str">
            <v>COMPANHIA MINUANO DE ALIMENTOS - FINANCEIRO</v>
          </cell>
          <cell r="CD920">
            <v>46.721518159857602</v>
          </cell>
        </row>
        <row r="921">
          <cell r="B921" t="str">
            <v>Frig_Rio_Grande</v>
          </cell>
          <cell r="D921" t="str">
            <v>Ticket Médio | Armazenagem (BRL)</v>
          </cell>
          <cell r="E921" t="str">
            <v>ZIMMER</v>
          </cell>
          <cell r="CD921">
            <v>0</v>
          </cell>
        </row>
        <row r="922">
          <cell r="B922" t="str">
            <v>Frig_Rio_Grande</v>
          </cell>
          <cell r="D922" t="str">
            <v>Movimentação (Toneladas)</v>
          </cell>
          <cell r="E922" t="str">
            <v>Subtotal</v>
          </cell>
          <cell r="CD922">
            <v>36647</v>
          </cell>
        </row>
        <row r="923">
          <cell r="B923" t="str">
            <v>Frig_Rio_Grande</v>
          </cell>
          <cell r="D923" t="str">
            <v>Movimentação (Toneladas)</v>
          </cell>
          <cell r="E923" t="str">
            <v>AGROSUL AGROAVICOLA INDUSTRIAL S.A.</v>
          </cell>
          <cell r="CD923">
            <v>0</v>
          </cell>
        </row>
        <row r="924">
          <cell r="B924" t="str">
            <v>Frig_Rio_Grande</v>
          </cell>
          <cell r="D924" t="str">
            <v>Movimentação (Toneladas)</v>
          </cell>
          <cell r="E924" t="str">
            <v>ALIBEM ALIMENTOS S.A</v>
          </cell>
          <cell r="CD924">
            <v>0</v>
          </cell>
        </row>
        <row r="925">
          <cell r="B925" t="str">
            <v>Frig_Rio_Grande</v>
          </cell>
          <cell r="D925" t="str">
            <v>Movimentação (Toneladas)</v>
          </cell>
          <cell r="E925" t="str">
            <v>BRF S.A - FINANCEIRO</v>
          </cell>
          <cell r="CD925">
            <v>18060</v>
          </cell>
        </row>
        <row r="926">
          <cell r="B926" t="str">
            <v>Frig_Rio_Grande</v>
          </cell>
          <cell r="D926" t="str">
            <v>Movimentação (Toneladas)</v>
          </cell>
          <cell r="E926" t="str">
            <v>CARRER ALIMENTOS LTDA</v>
          </cell>
          <cell r="CD926">
            <v>0</v>
          </cell>
        </row>
        <row r="927">
          <cell r="B927" t="str">
            <v>Frig_Rio_Grande</v>
          </cell>
          <cell r="D927" t="str">
            <v>Movimentação (Toneladas)</v>
          </cell>
          <cell r="E927" t="str">
            <v>COOPERATIVA DALIA ALIMENTOS LTDA</v>
          </cell>
          <cell r="CD927">
            <v>0</v>
          </cell>
        </row>
        <row r="928">
          <cell r="B928" t="str">
            <v>Frig_Rio_Grande</v>
          </cell>
          <cell r="D928" t="str">
            <v>Movimentação (Toneladas)</v>
          </cell>
          <cell r="E928" t="str">
            <v>JBS GROUP</v>
          </cell>
          <cell r="CD928">
            <v>0</v>
          </cell>
        </row>
        <row r="929">
          <cell r="B929" t="str">
            <v>Frig_Rio_Grande</v>
          </cell>
          <cell r="D929" t="str">
            <v>Movimentação (Toneladas)</v>
          </cell>
          <cell r="E929" t="str">
            <v>JBS FRIBOI</v>
          </cell>
          <cell r="CD929">
            <v>0</v>
          </cell>
        </row>
        <row r="930">
          <cell r="B930" t="str">
            <v>Frig_Rio_Grande</v>
          </cell>
          <cell r="D930" t="str">
            <v>Movimentação (Toneladas)</v>
          </cell>
          <cell r="E930" t="str">
            <v>MAERSK A/S</v>
          </cell>
          <cell r="CD930">
            <v>0</v>
          </cell>
        </row>
        <row r="931">
          <cell r="B931" t="str">
            <v>Frig_Rio_Grande</v>
          </cell>
          <cell r="D931" t="str">
            <v>Movimentação (Toneladas)</v>
          </cell>
          <cell r="E931" t="str">
            <v>MARFRIG GLOBAL FOODS S.A</v>
          </cell>
          <cell r="CD931">
            <v>0</v>
          </cell>
        </row>
        <row r="932">
          <cell r="B932" t="str">
            <v>Frig_Rio_Grande</v>
          </cell>
          <cell r="D932" t="str">
            <v>Movimentação (Toneladas)</v>
          </cell>
          <cell r="E932" t="str">
            <v>MILTON CARVALHO MACEDO JUNIOR LTDA</v>
          </cell>
          <cell r="CD932">
            <v>1560</v>
          </cell>
        </row>
        <row r="933">
          <cell r="B933" t="str">
            <v>Frig_Rio_Grande</v>
          </cell>
          <cell r="D933" t="str">
            <v>Movimentação (Toneladas)</v>
          </cell>
          <cell r="E933" t="str">
            <v>PAMPEANO ALIMENTOS S/A</v>
          </cell>
          <cell r="CD933">
            <v>11880</v>
          </cell>
        </row>
        <row r="934">
          <cell r="B934" t="str">
            <v>Frig_Rio_Grande</v>
          </cell>
          <cell r="D934" t="str">
            <v>Movimentação (Toneladas)</v>
          </cell>
          <cell r="E934" t="str">
            <v>Novo Cliente 1</v>
          </cell>
          <cell r="CD934">
            <v>0</v>
          </cell>
        </row>
        <row r="935">
          <cell r="B935" t="str">
            <v>Frig_Rio_Grande</v>
          </cell>
          <cell r="D935" t="str">
            <v>Movimentação (Toneladas)</v>
          </cell>
          <cell r="E935" t="str">
            <v>PESCAL INDUSTRIA E COMERCIO DE</v>
          </cell>
          <cell r="CD935">
            <v>1400</v>
          </cell>
        </row>
        <row r="936">
          <cell r="B936" t="str">
            <v>Frig_Rio_Grande</v>
          </cell>
          <cell r="D936" t="str">
            <v>Movimentação (Toneladas)</v>
          </cell>
          <cell r="E936" t="str">
            <v>PRISMA</v>
          </cell>
          <cell r="CD936">
            <v>0</v>
          </cell>
        </row>
        <row r="937">
          <cell r="B937" t="str">
            <v>Frig_Rio_Grande</v>
          </cell>
          <cell r="D937" t="str">
            <v>Movimentação (Toneladas)</v>
          </cell>
          <cell r="E937" t="str">
            <v>SOUTH PORTS FUMIGATION LTDA</v>
          </cell>
          <cell r="CD937">
            <v>0</v>
          </cell>
        </row>
        <row r="938">
          <cell r="B938" t="str">
            <v>Frig_Rio_Grande</v>
          </cell>
          <cell r="D938" t="str">
            <v>Movimentação (Toneladas)</v>
          </cell>
          <cell r="E938" t="str">
            <v>SUPERMERCADO GUANABARA S/A</v>
          </cell>
          <cell r="CD938">
            <v>1347</v>
          </cell>
        </row>
        <row r="939">
          <cell r="B939" t="str">
            <v>Frig_Rio_Grande</v>
          </cell>
          <cell r="D939" t="str">
            <v>Movimentação (Toneladas)</v>
          </cell>
          <cell r="E939" t="str">
            <v>VIBRA AGROINDUSTRIAL S/A FINANCEIRO</v>
          </cell>
          <cell r="CD939">
            <v>0</v>
          </cell>
        </row>
        <row r="940">
          <cell r="B940" t="str">
            <v>Frig_Rio_Grande</v>
          </cell>
          <cell r="D940" t="str">
            <v>Movimentação (Toneladas)</v>
          </cell>
          <cell r="E940" t="str">
            <v>COMPANHIA MINUANO DE ALIMENTOS - FINANCEIRO</v>
          </cell>
          <cell r="CD940">
            <v>2400</v>
          </cell>
        </row>
        <row r="941">
          <cell r="B941" t="str">
            <v>Frig_Rio_Grande</v>
          </cell>
          <cell r="D941" t="str">
            <v>Movimentação (Toneladas)</v>
          </cell>
          <cell r="E941" t="str">
            <v>ZIMMER</v>
          </cell>
          <cell r="CD941">
            <v>0</v>
          </cell>
        </row>
        <row r="942">
          <cell r="B942" t="str">
            <v>Frig_Rio_Grande</v>
          </cell>
          <cell r="D942" t="str">
            <v>Giro</v>
          </cell>
          <cell r="E942" t="str">
            <v>Subtotal</v>
          </cell>
          <cell r="CD942">
            <v>43.04790488922842</v>
          </cell>
        </row>
        <row r="943">
          <cell r="B943" t="str">
            <v>Frig_Rio_Grande</v>
          </cell>
          <cell r="D943" t="str">
            <v>Giro</v>
          </cell>
          <cell r="E943" t="str">
            <v>AGROSUL AGROAVICOLA INDUSTRIAL S.A.</v>
          </cell>
          <cell r="CD943">
            <v>0</v>
          </cell>
        </row>
        <row r="944">
          <cell r="B944" t="str">
            <v>Frig_Rio_Grande</v>
          </cell>
          <cell r="D944" t="str">
            <v>Giro</v>
          </cell>
          <cell r="E944" t="str">
            <v>ALIBEM ALIMENTOS S.A</v>
          </cell>
          <cell r="CD944">
            <v>0</v>
          </cell>
        </row>
        <row r="945">
          <cell r="B945" t="str">
            <v>Frig_Rio_Grande</v>
          </cell>
          <cell r="D945" t="str">
            <v>Giro</v>
          </cell>
          <cell r="E945" t="str">
            <v>BRF S.A - FINANCEIRO</v>
          </cell>
          <cell r="CD945">
            <v>8.4</v>
          </cell>
        </row>
        <row r="946">
          <cell r="B946" t="str">
            <v>Frig_Rio_Grande</v>
          </cell>
          <cell r="D946" t="str">
            <v>Giro</v>
          </cell>
          <cell r="E946" t="str">
            <v>CARRER ALIMENTOS LTDA</v>
          </cell>
          <cell r="CD946">
            <v>0</v>
          </cell>
        </row>
        <row r="947">
          <cell r="B947" t="str">
            <v>Frig_Rio_Grande</v>
          </cell>
          <cell r="D947" t="str">
            <v>Giro</v>
          </cell>
          <cell r="E947" t="str">
            <v>COOPERATIVA DALIA ALIMENTOS LTDA</v>
          </cell>
          <cell r="CD947">
            <v>0</v>
          </cell>
        </row>
        <row r="948">
          <cell r="B948" t="str">
            <v>Frig_Rio_Grande</v>
          </cell>
          <cell r="D948" t="str">
            <v>Giro</v>
          </cell>
          <cell r="E948" t="str">
            <v>JBS GROUP</v>
          </cell>
          <cell r="CD948">
            <v>0</v>
          </cell>
        </row>
        <row r="949">
          <cell r="B949" t="str">
            <v>Frig_Rio_Grande</v>
          </cell>
          <cell r="D949" t="str">
            <v>Giro</v>
          </cell>
          <cell r="E949" t="str">
            <v>JBS FRIBOI</v>
          </cell>
          <cell r="CD949">
            <v>0</v>
          </cell>
        </row>
        <row r="950">
          <cell r="B950" t="str">
            <v>Frig_Rio_Grande</v>
          </cell>
          <cell r="D950" t="str">
            <v>Giro</v>
          </cell>
          <cell r="E950" t="str">
            <v>MAERSK A/S</v>
          </cell>
          <cell r="CD950">
            <v>0</v>
          </cell>
        </row>
        <row r="951">
          <cell r="B951" t="str">
            <v>Frig_Rio_Grande</v>
          </cell>
          <cell r="D951" t="str">
            <v>Giro</v>
          </cell>
          <cell r="E951" t="str">
            <v>MARFRIG GLOBAL FOODS S.A</v>
          </cell>
          <cell r="CD951">
            <v>0</v>
          </cell>
        </row>
        <row r="952">
          <cell r="B952" t="str">
            <v>Frig_Rio_Grande</v>
          </cell>
          <cell r="D952" t="str">
            <v>Giro</v>
          </cell>
          <cell r="E952" t="str">
            <v>MILTON CARVALHO MACEDO JUNIOR LTDA</v>
          </cell>
          <cell r="CD952">
            <v>7.0909090909090908</v>
          </cell>
        </row>
        <row r="953">
          <cell r="B953" t="str">
            <v>Frig_Rio_Grande</v>
          </cell>
          <cell r="D953" t="str">
            <v>Giro</v>
          </cell>
          <cell r="E953" t="str">
            <v>PAMPEANO ALIMENTOS S/A</v>
          </cell>
          <cell r="CD953">
            <v>3.3873529411764709</v>
          </cell>
        </row>
        <row r="954">
          <cell r="B954" t="str">
            <v>Frig_Rio_Grande</v>
          </cell>
          <cell r="D954" t="str">
            <v>Giro</v>
          </cell>
          <cell r="E954" t="str">
            <v>Novo Cliente 1</v>
          </cell>
          <cell r="CD954">
            <v>0</v>
          </cell>
        </row>
        <row r="955">
          <cell r="B955" t="str">
            <v>Frig_Rio_Grande</v>
          </cell>
          <cell r="D955" t="str">
            <v>Giro</v>
          </cell>
          <cell r="E955" t="str">
            <v>PESCAL INDUSTRIA E COMERCIO DE</v>
          </cell>
          <cell r="CD955">
            <v>7</v>
          </cell>
        </row>
        <row r="956">
          <cell r="B956" t="str">
            <v>Frig_Rio_Grande</v>
          </cell>
          <cell r="D956" t="str">
            <v>Giro</v>
          </cell>
          <cell r="E956" t="str">
            <v>PRISMA</v>
          </cell>
          <cell r="CD956">
            <v>0</v>
          </cell>
        </row>
        <row r="957">
          <cell r="B957" t="str">
            <v>Frig_Rio_Grande</v>
          </cell>
          <cell r="D957" t="str">
            <v>Giro</v>
          </cell>
          <cell r="E957" t="str">
            <v>SOUTH PORTS FUMIGATION LTDA</v>
          </cell>
          <cell r="CD957">
            <v>0</v>
          </cell>
        </row>
        <row r="958">
          <cell r="B958" t="str">
            <v>Frig_Rio_Grande</v>
          </cell>
          <cell r="D958" t="str">
            <v>Giro</v>
          </cell>
          <cell r="E958" t="str">
            <v>SUPERMERCADO GUANABARA S/A</v>
          </cell>
          <cell r="CD958">
            <v>11.169642857142859</v>
          </cell>
        </row>
        <row r="959">
          <cell r="B959" t="str">
            <v>Frig_Rio_Grande</v>
          </cell>
          <cell r="D959" t="str">
            <v>Giro</v>
          </cell>
          <cell r="E959" t="str">
            <v>VIBRA AGROINDUSTRIAL S/A FINANCEIRO</v>
          </cell>
          <cell r="CD959">
            <v>0</v>
          </cell>
        </row>
        <row r="960">
          <cell r="B960" t="str">
            <v>Frig_Rio_Grande</v>
          </cell>
          <cell r="D960" t="str">
            <v>Giro</v>
          </cell>
          <cell r="E960" t="str">
            <v>COMPANHIA MINUANO DE ALIMENTOS - FINANCEIRO</v>
          </cell>
          <cell r="CD960">
            <v>6</v>
          </cell>
        </row>
        <row r="961">
          <cell r="B961" t="str">
            <v>Frig_Rio_Grande</v>
          </cell>
          <cell r="D961" t="str">
            <v>Giro</v>
          </cell>
          <cell r="E961" t="str">
            <v>ZIMMER</v>
          </cell>
          <cell r="CD961">
            <v>0</v>
          </cell>
        </row>
        <row r="962">
          <cell r="B962" t="str">
            <v>Frig_Rio_Grande</v>
          </cell>
          <cell r="D962" t="str">
            <v>Faturamento | Movimentação (BRL'000)</v>
          </cell>
          <cell r="E962" t="str">
            <v>Subtotal</v>
          </cell>
          <cell r="CD962">
            <v>1657.940471895836</v>
          </cell>
        </row>
        <row r="963">
          <cell r="B963" t="str">
            <v>Frig_Rio_Grande</v>
          </cell>
          <cell r="D963" t="str">
            <v>Faturamento | Movimentação (BRL'000)</v>
          </cell>
          <cell r="E963" t="str">
            <v>AGROSUL AGROAVICOLA INDUSTRIAL S.A.</v>
          </cell>
          <cell r="CD963">
            <v>0</v>
          </cell>
        </row>
        <row r="964">
          <cell r="B964" t="str">
            <v>Frig_Rio_Grande</v>
          </cell>
          <cell r="D964" t="str">
            <v>Faturamento | Movimentação (BRL'000)</v>
          </cell>
          <cell r="E964" t="str">
            <v>ALIBEM ALIMENTOS S.A</v>
          </cell>
          <cell r="CD964">
            <v>0</v>
          </cell>
        </row>
        <row r="965">
          <cell r="B965" t="str">
            <v>Frig_Rio_Grande</v>
          </cell>
          <cell r="D965" t="str">
            <v>Faturamento | Movimentação (BRL'000)</v>
          </cell>
          <cell r="E965" t="str">
            <v>BRF S.A - FINANCEIRO</v>
          </cell>
          <cell r="CD965">
            <v>968.80356808350314</v>
          </cell>
        </row>
        <row r="966">
          <cell r="B966" t="str">
            <v>Frig_Rio_Grande</v>
          </cell>
          <cell r="D966" t="str">
            <v>Faturamento | Movimentação (BRL'000)</v>
          </cell>
          <cell r="E966" t="str">
            <v>CARRER ALIMENTOS LTDA</v>
          </cell>
          <cell r="CD966">
            <v>0</v>
          </cell>
        </row>
        <row r="967">
          <cell r="B967" t="str">
            <v>Frig_Rio_Grande</v>
          </cell>
          <cell r="D967" t="str">
            <v>Faturamento | Movimentação (BRL'000)</v>
          </cell>
          <cell r="E967" t="str">
            <v>COOPERATIVA DALIA ALIMENTOS LTDA</v>
          </cell>
          <cell r="CD967">
            <v>0</v>
          </cell>
        </row>
        <row r="968">
          <cell r="B968" t="str">
            <v>Frig_Rio_Grande</v>
          </cell>
          <cell r="D968" t="str">
            <v>Faturamento | Movimentação (BRL'000)</v>
          </cell>
          <cell r="E968" t="str">
            <v>JBS GROUP</v>
          </cell>
          <cell r="CD968">
            <v>0</v>
          </cell>
        </row>
        <row r="969">
          <cell r="B969" t="str">
            <v>Frig_Rio_Grande</v>
          </cell>
          <cell r="D969" t="str">
            <v>Faturamento | Movimentação (BRL'000)</v>
          </cell>
          <cell r="E969" t="str">
            <v>JBS FRIBOI</v>
          </cell>
          <cell r="CD969">
            <v>0</v>
          </cell>
        </row>
        <row r="970">
          <cell r="B970" t="str">
            <v>Frig_Rio_Grande</v>
          </cell>
          <cell r="D970" t="str">
            <v>Faturamento | Movimentação (BRL'000)</v>
          </cell>
          <cell r="E970" t="str">
            <v>MAERSK A/S</v>
          </cell>
          <cell r="CD970">
            <v>0</v>
          </cell>
        </row>
        <row r="971">
          <cell r="B971" t="str">
            <v>Frig_Rio_Grande</v>
          </cell>
          <cell r="D971" t="str">
            <v>Faturamento | Movimentação (BRL'000)</v>
          </cell>
          <cell r="E971" t="str">
            <v>MARFRIG GLOBAL FOODS S.A</v>
          </cell>
          <cell r="CD971">
            <v>0</v>
          </cell>
        </row>
        <row r="972">
          <cell r="B972" t="str">
            <v>Frig_Rio_Grande</v>
          </cell>
          <cell r="D972" t="str">
            <v>Faturamento | Movimentação (BRL'000)</v>
          </cell>
          <cell r="E972" t="str">
            <v>MILTON CARVALHO MACEDO JUNIOR LTDA</v>
          </cell>
          <cell r="CD972">
            <v>59.550739411957593</v>
          </cell>
        </row>
        <row r="973">
          <cell r="B973" t="str">
            <v>Frig_Rio_Grande</v>
          </cell>
          <cell r="D973" t="str">
            <v>Faturamento | Movimentação (BRL'000)</v>
          </cell>
          <cell r="E973" t="str">
            <v>PAMPEANO ALIMENTOS S/A</v>
          </cell>
          <cell r="CD973">
            <v>369.42619715314868</v>
          </cell>
        </row>
        <row r="974">
          <cell r="B974" t="str">
            <v>Frig_Rio_Grande</v>
          </cell>
          <cell r="D974" t="str">
            <v>Faturamento | Movimentação (BRL'000)</v>
          </cell>
          <cell r="E974" t="str">
            <v>Novo Cliente 1</v>
          </cell>
          <cell r="CD974">
            <v>0</v>
          </cell>
        </row>
        <row r="975">
          <cell r="B975" t="str">
            <v>Frig_Rio_Grande</v>
          </cell>
          <cell r="D975" t="str">
            <v>Faturamento | Movimentação (BRL'000)</v>
          </cell>
          <cell r="E975" t="str">
            <v>PESCAL INDUSTRIA E COMERCIO DE</v>
          </cell>
          <cell r="CD975">
            <v>48.763009735849053</v>
          </cell>
        </row>
        <row r="976">
          <cell r="B976" t="str">
            <v>Frig_Rio_Grande</v>
          </cell>
          <cell r="D976" t="str">
            <v>Faturamento | Movimentação (BRL'000)</v>
          </cell>
          <cell r="E976" t="str">
            <v>PRISMA</v>
          </cell>
          <cell r="CD976">
            <v>0</v>
          </cell>
        </row>
        <row r="977">
          <cell r="B977" t="str">
            <v>Frig_Rio_Grande</v>
          </cell>
          <cell r="D977" t="str">
            <v>Faturamento | Movimentação (BRL'000)</v>
          </cell>
          <cell r="E977" t="str">
            <v>SOUTH PORTS FUMIGATION LTDA</v>
          </cell>
          <cell r="CD977">
            <v>0</v>
          </cell>
        </row>
        <row r="978">
          <cell r="B978" t="str">
            <v>Frig_Rio_Grande</v>
          </cell>
          <cell r="D978" t="str">
            <v>Faturamento | Movimentação (BRL'000)</v>
          </cell>
          <cell r="E978" t="str">
            <v>SUPERMERCADO GUANABARA S/A</v>
          </cell>
          <cell r="CD978">
            <v>41.164348461106997</v>
          </cell>
        </row>
        <row r="979">
          <cell r="B979" t="str">
            <v>Frig_Rio_Grande</v>
          </cell>
          <cell r="D979" t="str">
            <v>Faturamento | Movimentação (BRL'000)</v>
          </cell>
          <cell r="E979" t="str">
            <v>VIBRA AGROINDUSTRIAL S/A FINANCEIRO</v>
          </cell>
          <cell r="CD979">
            <v>0</v>
          </cell>
        </row>
        <row r="980">
          <cell r="B980" t="str">
            <v>Frig_Rio_Grande</v>
          </cell>
          <cell r="D980" t="str">
            <v>Faturamento | Movimentação (BRL'000)</v>
          </cell>
          <cell r="E980" t="str">
            <v>COMPANHIA MINUANO DE ALIMENTOS - FINANCEIRO</v>
          </cell>
          <cell r="CD980">
            <v>170.2326090502709</v>
          </cell>
        </row>
        <row r="981">
          <cell r="B981" t="str">
            <v>Frig_Rio_Grande</v>
          </cell>
          <cell r="D981" t="str">
            <v>Faturamento | Movimentação (BRL'000)</v>
          </cell>
          <cell r="E981" t="str">
            <v>ZIMMER</v>
          </cell>
          <cell r="CD981">
            <v>0</v>
          </cell>
        </row>
        <row r="982">
          <cell r="B982" t="str">
            <v>Frig_Rio_Grande</v>
          </cell>
          <cell r="D982" t="str">
            <v>Ticket Médio | Movimentação (BRL)</v>
          </cell>
          <cell r="E982" t="str">
            <v>Subtotal</v>
          </cell>
          <cell r="CD982">
            <v>45.023604919585352</v>
          </cell>
        </row>
        <row r="983">
          <cell r="B983" t="str">
            <v>Frig_Rio_Grande</v>
          </cell>
          <cell r="D983" t="str">
            <v>Ticket Médio | Movimentação (BRL)</v>
          </cell>
          <cell r="E983" t="str">
            <v>AGROSUL AGROAVICOLA INDUSTRIAL S.A.</v>
          </cell>
          <cell r="CD983">
            <v>44.516686841132532</v>
          </cell>
        </row>
        <row r="984">
          <cell r="B984" t="str">
            <v>Frig_Rio_Grande</v>
          </cell>
          <cell r="D984" t="str">
            <v>Ticket Médio | Movimentação (BRL)</v>
          </cell>
          <cell r="E984" t="str">
            <v>ALIBEM ALIMENTOS S.A</v>
          </cell>
          <cell r="CD984">
            <v>0</v>
          </cell>
        </row>
        <row r="985">
          <cell r="B985" t="str">
            <v>Frig_Rio_Grande</v>
          </cell>
          <cell r="D985" t="str">
            <v>Ticket Médio | Movimentação (BRL)</v>
          </cell>
          <cell r="E985" t="str">
            <v>BRF S.A - FINANCEIRO</v>
          </cell>
          <cell r="CD985">
            <v>53.449400937355612</v>
          </cell>
        </row>
        <row r="986">
          <cell r="B986" t="str">
            <v>Frig_Rio_Grande</v>
          </cell>
          <cell r="D986" t="str">
            <v>Ticket Médio | Movimentação (BRL)</v>
          </cell>
          <cell r="E986" t="str">
            <v>CARRER ALIMENTOS LTDA</v>
          </cell>
          <cell r="CD986">
            <v>0</v>
          </cell>
        </row>
        <row r="987">
          <cell r="B987" t="str">
            <v>Frig_Rio_Grande</v>
          </cell>
          <cell r="D987" t="str">
            <v>Ticket Médio | Movimentação (BRL)</v>
          </cell>
          <cell r="E987" t="str">
            <v>COOPERATIVA DALIA ALIMENTOS LTDA</v>
          </cell>
          <cell r="CD987">
            <v>0</v>
          </cell>
        </row>
        <row r="988">
          <cell r="B988" t="str">
            <v>Frig_Rio_Grande</v>
          </cell>
          <cell r="D988" t="str">
            <v>Ticket Médio | Movimentação (BRL)</v>
          </cell>
          <cell r="E988" t="str">
            <v>JBS GROUP</v>
          </cell>
          <cell r="CD988">
            <v>106.0665307410453</v>
          </cell>
        </row>
        <row r="989">
          <cell r="B989" t="str">
            <v>Frig_Rio_Grande</v>
          </cell>
          <cell r="D989" t="str">
            <v>Ticket Médio | Movimentação (BRL)</v>
          </cell>
          <cell r="E989" t="str">
            <v>JBS FRIBOI</v>
          </cell>
          <cell r="CD989">
            <v>0</v>
          </cell>
        </row>
        <row r="990">
          <cell r="B990" t="str">
            <v>Frig_Rio_Grande</v>
          </cell>
          <cell r="D990" t="str">
            <v>Ticket Médio | Movimentação (BRL)</v>
          </cell>
          <cell r="E990" t="str">
            <v>MAERSK A/S</v>
          </cell>
          <cell r="CD990">
            <v>0</v>
          </cell>
        </row>
        <row r="991">
          <cell r="B991" t="str">
            <v>Frig_Rio_Grande</v>
          </cell>
          <cell r="D991" t="str">
            <v>Ticket Médio | Movimentação (BRL)</v>
          </cell>
          <cell r="E991" t="str">
            <v>MARFRIG GLOBAL FOODS S.A</v>
          </cell>
          <cell r="CD991">
            <v>0</v>
          </cell>
        </row>
        <row r="992">
          <cell r="B992" t="str">
            <v>Frig_Rio_Grande</v>
          </cell>
          <cell r="D992" t="str">
            <v>Ticket Médio | Movimentação (BRL)</v>
          </cell>
          <cell r="E992" t="str">
            <v>MILTON CARVALHO MACEDO JUNIOR LTDA</v>
          </cell>
          <cell r="CD992">
            <v>38.17355090510101</v>
          </cell>
        </row>
        <row r="993">
          <cell r="B993" t="str">
            <v>Frig_Rio_Grande</v>
          </cell>
          <cell r="D993" t="str">
            <v>Ticket Médio | Movimentação (BRL)</v>
          </cell>
          <cell r="E993" t="str">
            <v>PAMPEANO ALIMENTOS S/A</v>
          </cell>
          <cell r="CD993">
            <v>31.096481241847549</v>
          </cell>
        </row>
        <row r="994">
          <cell r="B994" t="str">
            <v>Frig_Rio_Grande</v>
          </cell>
          <cell r="D994" t="str">
            <v>Ticket Médio | Movimentação (BRL)</v>
          </cell>
          <cell r="E994" t="str">
            <v>Novo Cliente 1</v>
          </cell>
          <cell r="CD994">
            <v>40</v>
          </cell>
        </row>
        <row r="995">
          <cell r="B995" t="str">
            <v>Frig_Rio_Grande</v>
          </cell>
          <cell r="D995" t="str">
            <v>Ticket Médio | Movimentação (BRL)</v>
          </cell>
          <cell r="E995" t="str">
            <v>PESCAL INDUSTRIA E COMERCIO DE</v>
          </cell>
          <cell r="CD995">
            <v>34.200074811320739</v>
          </cell>
        </row>
        <row r="996">
          <cell r="B996" t="str">
            <v>Frig_Rio_Grande</v>
          </cell>
          <cell r="D996" t="str">
            <v>Ticket Médio | Movimentação (BRL)</v>
          </cell>
          <cell r="E996" t="str">
            <v>PRISMA</v>
          </cell>
          <cell r="CD996">
            <v>0</v>
          </cell>
        </row>
        <row r="997">
          <cell r="B997" t="str">
            <v>Frig_Rio_Grande</v>
          </cell>
          <cell r="D997" t="str">
            <v>Ticket Médio | Movimentação (BRL)</v>
          </cell>
          <cell r="E997" t="str">
            <v>SOUTH PORTS FUMIGATION LTDA</v>
          </cell>
          <cell r="CD997">
            <v>0</v>
          </cell>
        </row>
        <row r="998">
          <cell r="B998" t="str">
            <v>Frig_Rio_Grande</v>
          </cell>
          <cell r="D998" t="str">
            <v>Ticket Médio | Movimentação (BRL)</v>
          </cell>
          <cell r="E998" t="str">
            <v>SUPERMERCADO GUANABARA S/A</v>
          </cell>
          <cell r="CD998">
            <v>30.560021129255389</v>
          </cell>
        </row>
        <row r="999">
          <cell r="B999" t="str">
            <v>Frig_Rio_Grande</v>
          </cell>
          <cell r="D999" t="str">
            <v>Ticket Médio | Movimentação (BRL)</v>
          </cell>
          <cell r="E999" t="str">
            <v>VIBRA AGROINDUSTRIAL S/A FINANCEIRO</v>
          </cell>
          <cell r="CD999">
            <v>81.447111551724134</v>
          </cell>
        </row>
        <row r="1000">
          <cell r="B1000" t="str">
            <v>Frig_Rio_Grande</v>
          </cell>
          <cell r="D1000" t="str">
            <v>Ticket Médio | Movimentação (BRL)</v>
          </cell>
          <cell r="E1000" t="str">
            <v>COMPANHIA MINUANO DE ALIMENTOS - FINANCEIRO</v>
          </cell>
          <cell r="CD1000">
            <v>70.930253770946237</v>
          </cell>
        </row>
        <row r="1001">
          <cell r="B1001" t="str">
            <v>Frig_Rio_Grande</v>
          </cell>
          <cell r="D1001" t="str">
            <v>Ticket Médio | Movimentação (BRL)</v>
          </cell>
          <cell r="E1001" t="str">
            <v>ZIMMER</v>
          </cell>
          <cell r="CD1001">
            <v>0</v>
          </cell>
        </row>
        <row r="1002">
          <cell r="B1002" t="str">
            <v>Frig_Rio_Grande</v>
          </cell>
          <cell r="D1002" t="str">
            <v>Locação</v>
          </cell>
          <cell r="E1002" t="str">
            <v>Subtotal</v>
          </cell>
          <cell r="CD1002">
            <v>0</v>
          </cell>
        </row>
        <row r="1003">
          <cell r="B1003" t="str">
            <v>Frig_Rio_Grande</v>
          </cell>
          <cell r="D1003" t="str">
            <v>Locação</v>
          </cell>
          <cell r="E1003" t="str">
            <v>AGROSUL AGROAVICOLA INDUSTRIAL S.A.</v>
          </cell>
          <cell r="CD1003">
            <v>0</v>
          </cell>
        </row>
        <row r="1004">
          <cell r="B1004" t="str">
            <v>Frig_Rio_Grande</v>
          </cell>
          <cell r="D1004" t="str">
            <v>Locação</v>
          </cell>
          <cell r="E1004" t="str">
            <v>ALIBEM ALIMENTOS S.A</v>
          </cell>
          <cell r="CD1004">
            <v>0</v>
          </cell>
        </row>
        <row r="1005">
          <cell r="B1005" t="str">
            <v>Frig_Rio_Grande</v>
          </cell>
          <cell r="D1005" t="str">
            <v>Locação</v>
          </cell>
          <cell r="E1005" t="str">
            <v>BRF S.A - FINANCEIRO</v>
          </cell>
          <cell r="CD1005">
            <v>0</v>
          </cell>
        </row>
        <row r="1006">
          <cell r="B1006" t="str">
            <v>Frig_Rio_Grande</v>
          </cell>
          <cell r="D1006" t="str">
            <v>Locação</v>
          </cell>
          <cell r="E1006" t="str">
            <v>CARRER ALIMENTOS LTDA</v>
          </cell>
          <cell r="CD1006">
            <v>0</v>
          </cell>
        </row>
        <row r="1007">
          <cell r="B1007" t="str">
            <v>Frig_Rio_Grande</v>
          </cell>
          <cell r="D1007" t="str">
            <v>Locação</v>
          </cell>
          <cell r="E1007" t="str">
            <v>COOPERATIVA DALIA ALIMENTOS LTDA</v>
          </cell>
          <cell r="CD1007">
            <v>0</v>
          </cell>
        </row>
        <row r="1008">
          <cell r="B1008" t="str">
            <v>Frig_Rio_Grande</v>
          </cell>
          <cell r="D1008" t="str">
            <v>Locação</v>
          </cell>
          <cell r="E1008" t="str">
            <v>JBS GROUP</v>
          </cell>
          <cell r="CD1008">
            <v>0</v>
          </cell>
        </row>
        <row r="1009">
          <cell r="B1009" t="str">
            <v>Frig_Rio_Grande</v>
          </cell>
          <cell r="D1009" t="str">
            <v>Locação</v>
          </cell>
          <cell r="E1009" t="str">
            <v>JBS FRIBOI</v>
          </cell>
          <cell r="CD1009">
            <v>0</v>
          </cell>
        </row>
        <row r="1010">
          <cell r="B1010" t="str">
            <v>Frig_Rio_Grande</v>
          </cell>
          <cell r="D1010" t="str">
            <v>Locação</v>
          </cell>
          <cell r="E1010" t="str">
            <v>MAERSK A/S</v>
          </cell>
          <cell r="CD1010">
            <v>0</v>
          </cell>
        </row>
        <row r="1011">
          <cell r="B1011" t="str">
            <v>Frig_Rio_Grande</v>
          </cell>
          <cell r="D1011" t="str">
            <v>Locação</v>
          </cell>
          <cell r="E1011" t="str">
            <v>MARFRIG GLOBAL FOODS S.A</v>
          </cell>
          <cell r="CD1011">
            <v>0</v>
          </cell>
        </row>
        <row r="1012">
          <cell r="B1012" t="str">
            <v>Frig_Rio_Grande</v>
          </cell>
          <cell r="D1012" t="str">
            <v>Locação</v>
          </cell>
          <cell r="E1012" t="str">
            <v>MILTON CARVALHO MACEDO JUNIOR LTDA</v>
          </cell>
          <cell r="CD1012">
            <v>0</v>
          </cell>
        </row>
        <row r="1013">
          <cell r="B1013" t="str">
            <v>Frig_Rio_Grande</v>
          </cell>
          <cell r="D1013" t="str">
            <v>Locação</v>
          </cell>
          <cell r="E1013" t="str">
            <v>PAMPEANO ALIMENTOS S/A</v>
          </cell>
          <cell r="CD1013">
            <v>0</v>
          </cell>
        </row>
        <row r="1014">
          <cell r="B1014" t="str">
            <v>Frig_Rio_Grande</v>
          </cell>
          <cell r="D1014" t="str">
            <v>Locação</v>
          </cell>
          <cell r="E1014" t="str">
            <v>Novo Cliente 1</v>
          </cell>
          <cell r="CD1014">
            <v>0</v>
          </cell>
        </row>
        <row r="1015">
          <cell r="B1015" t="str">
            <v>Frig_Rio_Grande</v>
          </cell>
          <cell r="D1015" t="str">
            <v>Locação</v>
          </cell>
          <cell r="E1015" t="str">
            <v>PESCAL INDUSTRIA E COMERCIO DE</v>
          </cell>
          <cell r="CD1015">
            <v>0</v>
          </cell>
        </row>
        <row r="1016">
          <cell r="B1016" t="str">
            <v>Frig_Rio_Grande</v>
          </cell>
          <cell r="D1016" t="str">
            <v>Locação</v>
          </cell>
          <cell r="E1016" t="str">
            <v>PRISMA</v>
          </cell>
          <cell r="CD1016">
            <v>0</v>
          </cell>
        </row>
        <row r="1017">
          <cell r="B1017" t="str">
            <v>Frig_Rio_Grande</v>
          </cell>
          <cell r="D1017" t="str">
            <v>Locação</v>
          </cell>
          <cell r="E1017" t="str">
            <v>SOUTH PORTS FUMIGATION LTDA</v>
          </cell>
          <cell r="CD1017">
            <v>0</v>
          </cell>
        </row>
        <row r="1018">
          <cell r="B1018" t="str">
            <v>Frig_Rio_Grande</v>
          </cell>
          <cell r="D1018" t="str">
            <v>Locação</v>
          </cell>
          <cell r="E1018" t="str">
            <v>SUPERMERCADO GUANABARA S/A</v>
          </cell>
          <cell r="CD1018">
            <v>0</v>
          </cell>
        </row>
        <row r="1019">
          <cell r="B1019" t="str">
            <v>Frig_Rio_Grande</v>
          </cell>
          <cell r="D1019" t="str">
            <v>Locação</v>
          </cell>
          <cell r="E1019" t="str">
            <v>VIBRA AGROINDUSTRIAL S/A FINANCEIRO</v>
          </cell>
          <cell r="CD1019">
            <v>0</v>
          </cell>
        </row>
        <row r="1020">
          <cell r="B1020" t="str">
            <v>Frig_Rio_Grande</v>
          </cell>
          <cell r="D1020" t="str">
            <v>Locação</v>
          </cell>
          <cell r="E1020" t="str">
            <v>COMPANHIA MINUANO DE ALIMENTOS - FINANCEIRO</v>
          </cell>
          <cell r="CD1020">
            <v>0</v>
          </cell>
        </row>
        <row r="1021">
          <cell r="B1021" t="str">
            <v>Frig_Rio_Grande</v>
          </cell>
          <cell r="D1021" t="str">
            <v>Locação</v>
          </cell>
          <cell r="E1021" t="str">
            <v>ZIMMER</v>
          </cell>
          <cell r="CD1021">
            <v>0</v>
          </cell>
        </row>
        <row r="1022">
          <cell r="B1022" t="str">
            <v>Frig_Rio_Grande</v>
          </cell>
          <cell r="D1022" t="str">
            <v>Faturamento | Locação (BRL'000)</v>
          </cell>
          <cell r="E1022" t="str">
            <v>Subtotal</v>
          </cell>
          <cell r="CD1022">
            <v>0</v>
          </cell>
        </row>
        <row r="1023">
          <cell r="B1023" t="str">
            <v>Frig_Rio_Grande</v>
          </cell>
          <cell r="D1023" t="str">
            <v>Faturamento | Locação (BRL'000)</v>
          </cell>
          <cell r="E1023" t="str">
            <v>AGROSUL AGROAVICOLA INDUSTRIAL S.A.</v>
          </cell>
          <cell r="CD1023">
            <v>0</v>
          </cell>
        </row>
        <row r="1024">
          <cell r="B1024" t="str">
            <v>Frig_Rio_Grande</v>
          </cell>
          <cell r="D1024" t="str">
            <v>Faturamento | Locação (BRL'000)</v>
          </cell>
          <cell r="E1024" t="str">
            <v>ALIBEM ALIMENTOS S.A</v>
          </cell>
          <cell r="CD1024">
            <v>0</v>
          </cell>
        </row>
        <row r="1025">
          <cell r="B1025" t="str">
            <v>Frig_Rio_Grande</v>
          </cell>
          <cell r="D1025" t="str">
            <v>Faturamento | Locação (BRL'000)</v>
          </cell>
          <cell r="E1025" t="str">
            <v>BRF S.A - FINANCEIRO</v>
          </cell>
          <cell r="CD1025">
            <v>0</v>
          </cell>
        </row>
        <row r="1026">
          <cell r="B1026" t="str">
            <v>Frig_Rio_Grande</v>
          </cell>
          <cell r="D1026" t="str">
            <v>Faturamento | Locação (BRL'000)</v>
          </cell>
          <cell r="E1026" t="str">
            <v>CARRER ALIMENTOS LTDA</v>
          </cell>
          <cell r="CD1026">
            <v>0</v>
          </cell>
        </row>
        <row r="1027">
          <cell r="B1027" t="str">
            <v>Frig_Rio_Grande</v>
          </cell>
          <cell r="D1027" t="str">
            <v>Faturamento | Locação (BRL'000)</v>
          </cell>
          <cell r="E1027" t="str">
            <v>COOPERATIVA DALIA ALIMENTOS LTDA</v>
          </cell>
          <cell r="CD1027">
            <v>0</v>
          </cell>
        </row>
        <row r="1028">
          <cell r="B1028" t="str">
            <v>Frig_Rio_Grande</v>
          </cell>
          <cell r="D1028" t="str">
            <v>Faturamento | Locação (BRL'000)</v>
          </cell>
          <cell r="E1028" t="str">
            <v>JBS GROUP</v>
          </cell>
          <cell r="CD1028">
            <v>0</v>
          </cell>
        </row>
        <row r="1029">
          <cell r="B1029" t="str">
            <v>Frig_Rio_Grande</v>
          </cell>
          <cell r="D1029" t="str">
            <v>Faturamento | Locação (BRL'000)</v>
          </cell>
          <cell r="E1029" t="str">
            <v>JBS FRIBOI</v>
          </cell>
          <cell r="CD1029">
            <v>0</v>
          </cell>
        </row>
        <row r="1030">
          <cell r="B1030" t="str">
            <v>Frig_Rio_Grande</v>
          </cell>
          <cell r="D1030" t="str">
            <v>Faturamento | Locação (BRL'000)</v>
          </cell>
          <cell r="E1030" t="str">
            <v>MAERSK A/S</v>
          </cell>
          <cell r="CD1030">
            <v>0</v>
          </cell>
        </row>
        <row r="1031">
          <cell r="B1031" t="str">
            <v>Frig_Rio_Grande</v>
          </cell>
          <cell r="D1031" t="str">
            <v>Faturamento | Locação (BRL'000)</v>
          </cell>
          <cell r="E1031" t="str">
            <v>MARFRIG GLOBAL FOODS S.A</v>
          </cell>
          <cell r="CD1031">
            <v>0</v>
          </cell>
        </row>
        <row r="1032">
          <cell r="B1032" t="str">
            <v>Frig_Rio_Grande</v>
          </cell>
          <cell r="D1032" t="str">
            <v>Faturamento | Locação (BRL'000)</v>
          </cell>
          <cell r="E1032" t="str">
            <v>MILTON CARVALHO MACEDO JUNIOR LTDA</v>
          </cell>
          <cell r="CD1032">
            <v>0</v>
          </cell>
        </row>
        <row r="1033">
          <cell r="B1033" t="str">
            <v>Frig_Rio_Grande</v>
          </cell>
          <cell r="D1033" t="str">
            <v>Faturamento | Locação (BRL'000)</v>
          </cell>
          <cell r="E1033" t="str">
            <v>PAMPEANO ALIMENTOS S/A</v>
          </cell>
          <cell r="CD1033">
            <v>0</v>
          </cell>
        </row>
        <row r="1034">
          <cell r="B1034" t="str">
            <v>Frig_Rio_Grande</v>
          </cell>
          <cell r="D1034" t="str">
            <v>Faturamento | Locação (BRL'000)</v>
          </cell>
          <cell r="E1034" t="str">
            <v>Novo Cliente 1</v>
          </cell>
          <cell r="CD1034">
            <v>0</v>
          </cell>
        </row>
        <row r="1035">
          <cell r="B1035" t="str">
            <v>Frig_Rio_Grande</v>
          </cell>
          <cell r="D1035" t="str">
            <v>Faturamento | Locação (BRL'000)</v>
          </cell>
          <cell r="E1035" t="str">
            <v>PESCAL INDUSTRIA E COMERCIO DE</v>
          </cell>
          <cell r="CD1035">
            <v>0</v>
          </cell>
        </row>
        <row r="1036">
          <cell r="B1036" t="str">
            <v>Frig_Rio_Grande</v>
          </cell>
          <cell r="D1036" t="str">
            <v>Faturamento | Locação (BRL'000)</v>
          </cell>
          <cell r="E1036" t="str">
            <v>PRISMA</v>
          </cell>
          <cell r="CD1036">
            <v>0</v>
          </cell>
        </row>
        <row r="1037">
          <cell r="B1037" t="str">
            <v>Frig_Rio_Grande</v>
          </cell>
          <cell r="D1037" t="str">
            <v>Faturamento | Locação (BRL'000)</v>
          </cell>
          <cell r="E1037" t="str">
            <v>SOUTH PORTS FUMIGATION LTDA</v>
          </cell>
          <cell r="CD1037">
            <v>0</v>
          </cell>
        </row>
        <row r="1038">
          <cell r="B1038" t="str">
            <v>Frig_Rio_Grande</v>
          </cell>
          <cell r="D1038" t="str">
            <v>Faturamento | Locação (BRL'000)</v>
          </cell>
          <cell r="E1038" t="str">
            <v>SUPERMERCADO GUANABARA S/A</v>
          </cell>
          <cell r="CD1038">
            <v>0</v>
          </cell>
        </row>
        <row r="1039">
          <cell r="B1039" t="str">
            <v>Frig_Rio_Grande</v>
          </cell>
          <cell r="D1039" t="str">
            <v>Faturamento | Locação (BRL'000)</v>
          </cell>
          <cell r="E1039" t="str">
            <v>VIBRA AGROINDUSTRIAL S/A FINANCEIRO</v>
          </cell>
          <cell r="CD1039">
            <v>0</v>
          </cell>
        </row>
        <row r="1040">
          <cell r="B1040" t="str">
            <v>Frig_Rio_Grande</v>
          </cell>
          <cell r="D1040" t="str">
            <v>Faturamento | Locação (BRL'000)</v>
          </cell>
          <cell r="E1040" t="str">
            <v>COMPANHIA MINUANO DE ALIMENTOS - FINANCEIRO</v>
          </cell>
          <cell r="CD1040">
            <v>0</v>
          </cell>
        </row>
        <row r="1041">
          <cell r="B1041" t="str">
            <v>Frig_Rio_Grande</v>
          </cell>
          <cell r="D1041" t="str">
            <v>Faturamento | Locação (BRL'000)</v>
          </cell>
          <cell r="E1041" t="str">
            <v>ZIMMER</v>
          </cell>
          <cell r="CD1041">
            <v>0</v>
          </cell>
        </row>
        <row r="1042">
          <cell r="B1042" t="str">
            <v>Frig_Rio_Grande</v>
          </cell>
          <cell r="D1042" t="str">
            <v>Ticket Médio | Locação (BRL)</v>
          </cell>
          <cell r="E1042" t="str">
            <v>Subtotal</v>
          </cell>
          <cell r="CD1042">
            <v>0</v>
          </cell>
        </row>
        <row r="1043">
          <cell r="B1043" t="str">
            <v>Frig_Rio_Grande</v>
          </cell>
          <cell r="D1043" t="str">
            <v>Ticket Médio | Locação (BRL)</v>
          </cell>
          <cell r="E1043" t="str">
            <v>AGROSUL AGROAVICOLA INDUSTRIAL S.A.</v>
          </cell>
          <cell r="CD1043">
            <v>0</v>
          </cell>
        </row>
        <row r="1044">
          <cell r="B1044" t="str">
            <v>Frig_Rio_Grande</v>
          </cell>
          <cell r="D1044" t="str">
            <v>Ticket Médio | Locação (BRL)</v>
          </cell>
          <cell r="E1044" t="str">
            <v>ALIBEM ALIMENTOS S.A</v>
          </cell>
          <cell r="CD1044">
            <v>0</v>
          </cell>
        </row>
        <row r="1045">
          <cell r="B1045" t="str">
            <v>Frig_Rio_Grande</v>
          </cell>
          <cell r="D1045" t="str">
            <v>Ticket Médio | Locação (BRL)</v>
          </cell>
          <cell r="E1045" t="str">
            <v>BRF S.A - FINANCEIRO</v>
          </cell>
          <cell r="CD1045">
            <v>0</v>
          </cell>
        </row>
        <row r="1046">
          <cell r="B1046" t="str">
            <v>Frig_Rio_Grande</v>
          </cell>
          <cell r="D1046" t="str">
            <v>Ticket Médio | Locação (BRL)</v>
          </cell>
          <cell r="E1046" t="str">
            <v>CARRER ALIMENTOS LTDA</v>
          </cell>
          <cell r="CD1046">
            <v>0</v>
          </cell>
        </row>
        <row r="1047">
          <cell r="B1047" t="str">
            <v>Frig_Rio_Grande</v>
          </cell>
          <cell r="D1047" t="str">
            <v>Ticket Médio | Locação (BRL)</v>
          </cell>
          <cell r="E1047" t="str">
            <v>COOPERATIVA DALIA ALIMENTOS LTDA</v>
          </cell>
          <cell r="CD1047">
            <v>0</v>
          </cell>
        </row>
        <row r="1048">
          <cell r="B1048" t="str">
            <v>Frig_Rio_Grande</v>
          </cell>
          <cell r="D1048" t="str">
            <v>Ticket Médio | Locação (BRL)</v>
          </cell>
          <cell r="E1048" t="str">
            <v>JBS GROUP</v>
          </cell>
          <cell r="CD1048">
            <v>0</v>
          </cell>
        </row>
        <row r="1049">
          <cell r="B1049" t="str">
            <v>Frig_Rio_Grande</v>
          </cell>
          <cell r="D1049" t="str">
            <v>Ticket Médio | Locação (BRL)</v>
          </cell>
          <cell r="E1049" t="str">
            <v>JBS FRIBOI</v>
          </cell>
          <cell r="CD1049">
            <v>0</v>
          </cell>
        </row>
        <row r="1050">
          <cell r="B1050" t="str">
            <v>Frig_Rio_Grande</v>
          </cell>
          <cell r="D1050" t="str">
            <v>Ticket Médio | Locação (BRL)</v>
          </cell>
          <cell r="E1050" t="str">
            <v>MAERSK A/S</v>
          </cell>
          <cell r="CD1050">
            <v>0</v>
          </cell>
        </row>
        <row r="1051">
          <cell r="B1051" t="str">
            <v>Frig_Rio_Grande</v>
          </cell>
          <cell r="D1051" t="str">
            <v>Ticket Médio | Locação (BRL)</v>
          </cell>
          <cell r="E1051" t="str">
            <v>MARFRIG GLOBAL FOODS S.A</v>
          </cell>
          <cell r="CD1051">
            <v>0</v>
          </cell>
        </row>
        <row r="1052">
          <cell r="B1052" t="str">
            <v>Frig_Rio_Grande</v>
          </cell>
          <cell r="D1052" t="str">
            <v>Ticket Médio | Locação (BRL)</v>
          </cell>
          <cell r="E1052" t="str">
            <v>MILTON CARVALHO MACEDO JUNIOR LTDA</v>
          </cell>
          <cell r="CD1052">
            <v>0</v>
          </cell>
        </row>
        <row r="1053">
          <cell r="B1053" t="str">
            <v>Frig_Rio_Grande</v>
          </cell>
          <cell r="D1053" t="str">
            <v>Ticket Médio | Locação (BRL)</v>
          </cell>
          <cell r="E1053" t="str">
            <v>PAMPEANO ALIMENTOS S/A</v>
          </cell>
          <cell r="CD1053">
            <v>0</v>
          </cell>
        </row>
        <row r="1054">
          <cell r="B1054" t="str">
            <v>Frig_Rio_Grande</v>
          </cell>
          <cell r="D1054" t="str">
            <v>Ticket Médio | Locação (BRL)</v>
          </cell>
          <cell r="E1054" t="str">
            <v>Novo Cliente 1</v>
          </cell>
          <cell r="CD1054">
            <v>0</v>
          </cell>
        </row>
        <row r="1055">
          <cell r="B1055" t="str">
            <v>Frig_Rio_Grande</v>
          </cell>
          <cell r="D1055" t="str">
            <v>Ticket Médio | Locação (BRL)</v>
          </cell>
          <cell r="E1055" t="str">
            <v>PESCAL INDUSTRIA E COMERCIO DE</v>
          </cell>
          <cell r="CD1055">
            <v>0</v>
          </cell>
        </row>
        <row r="1056">
          <cell r="B1056" t="str">
            <v>Frig_Rio_Grande</v>
          </cell>
          <cell r="D1056" t="str">
            <v>Ticket Médio | Locação (BRL)</v>
          </cell>
          <cell r="E1056" t="str">
            <v>PRISMA</v>
          </cell>
          <cell r="CD1056">
            <v>0</v>
          </cell>
        </row>
        <row r="1057">
          <cell r="B1057" t="str">
            <v>Frig_Rio_Grande</v>
          </cell>
          <cell r="D1057" t="str">
            <v>Ticket Médio | Locação (BRL)</v>
          </cell>
          <cell r="E1057" t="str">
            <v>SOUTH PORTS FUMIGATION LTDA</v>
          </cell>
          <cell r="CD1057">
            <v>0</v>
          </cell>
        </row>
        <row r="1058">
          <cell r="B1058" t="str">
            <v>Frig_Rio_Grande</v>
          </cell>
          <cell r="D1058" t="str">
            <v>Ticket Médio | Locação (BRL)</v>
          </cell>
          <cell r="E1058" t="str">
            <v>SUPERMERCADO GUANABARA S/A</v>
          </cell>
          <cell r="CD1058">
            <v>0</v>
          </cell>
        </row>
        <row r="1059">
          <cell r="B1059" t="str">
            <v>Frig_Rio_Grande</v>
          </cell>
          <cell r="D1059" t="str">
            <v>Ticket Médio | Locação (BRL)</v>
          </cell>
          <cell r="E1059" t="str">
            <v>VIBRA AGROINDUSTRIAL S/A FINANCEIRO</v>
          </cell>
          <cell r="CD1059">
            <v>0</v>
          </cell>
        </row>
        <row r="1060">
          <cell r="B1060" t="str">
            <v>Frig_Rio_Grande</v>
          </cell>
          <cell r="D1060" t="str">
            <v>Ticket Médio | Locação (BRL)</v>
          </cell>
          <cell r="E1060" t="str">
            <v>COMPANHIA MINUANO DE ALIMENTOS - FINANCEIRO</v>
          </cell>
          <cell r="CD1060">
            <v>0</v>
          </cell>
        </row>
        <row r="1061">
          <cell r="B1061" t="str">
            <v>Frig_Rio_Grande</v>
          </cell>
          <cell r="D1061" t="str">
            <v>Ticket Médio | Locação (BRL)</v>
          </cell>
          <cell r="E1061" t="str">
            <v>ZIMMER</v>
          </cell>
          <cell r="CD1061">
            <v>0</v>
          </cell>
        </row>
        <row r="1062">
          <cell r="B1062" t="str">
            <v>Frig_Rio_Grande</v>
          </cell>
          <cell r="D1062" t="str">
            <v>Plugagem</v>
          </cell>
          <cell r="E1062" t="str">
            <v>Subtotal</v>
          </cell>
          <cell r="CD1062">
            <v>7800</v>
          </cell>
        </row>
        <row r="1063">
          <cell r="B1063" t="str">
            <v>Frig_Rio_Grande</v>
          </cell>
          <cell r="D1063" t="str">
            <v>Plugagem</v>
          </cell>
          <cell r="E1063" t="str">
            <v>AGROSUL AGROAVICOLA INDUSTRIAL S.A.</v>
          </cell>
          <cell r="CD1063">
            <v>0</v>
          </cell>
        </row>
        <row r="1064">
          <cell r="B1064" t="str">
            <v>Frig_Rio_Grande</v>
          </cell>
          <cell r="D1064" t="str">
            <v>Plugagem</v>
          </cell>
          <cell r="E1064" t="str">
            <v>ALIBEM ALIMENTOS S.A</v>
          </cell>
          <cell r="CD1064">
            <v>1800</v>
          </cell>
        </row>
        <row r="1065">
          <cell r="B1065" t="str">
            <v>Frig_Rio_Grande</v>
          </cell>
          <cell r="D1065" t="str">
            <v>Plugagem</v>
          </cell>
          <cell r="E1065" t="str">
            <v>BRF S.A - FINANCEIRO</v>
          </cell>
          <cell r="CD1065">
            <v>6000</v>
          </cell>
        </row>
        <row r="1066">
          <cell r="B1066" t="str">
            <v>Frig_Rio_Grande</v>
          </cell>
          <cell r="D1066" t="str">
            <v>Plugagem</v>
          </cell>
          <cell r="E1066" t="str">
            <v>CARRER ALIMENTOS LTDA</v>
          </cell>
          <cell r="CD1066">
            <v>0</v>
          </cell>
        </row>
        <row r="1067">
          <cell r="B1067" t="str">
            <v>Frig_Rio_Grande</v>
          </cell>
          <cell r="D1067" t="str">
            <v>Plugagem</v>
          </cell>
          <cell r="E1067" t="str">
            <v>COOPERATIVA DALIA ALIMENTOS LTDA</v>
          </cell>
          <cell r="CD1067">
            <v>0</v>
          </cell>
        </row>
        <row r="1068">
          <cell r="B1068" t="str">
            <v>Frig_Rio_Grande</v>
          </cell>
          <cell r="D1068" t="str">
            <v>Plugagem</v>
          </cell>
          <cell r="E1068" t="str">
            <v>JBS GROUP</v>
          </cell>
          <cell r="CD1068">
            <v>0</v>
          </cell>
        </row>
        <row r="1069">
          <cell r="B1069" t="str">
            <v>Frig_Rio_Grande</v>
          </cell>
          <cell r="D1069" t="str">
            <v>Plugagem</v>
          </cell>
          <cell r="E1069" t="str">
            <v>JBS FRIBOI</v>
          </cell>
          <cell r="CD1069">
            <v>0</v>
          </cell>
        </row>
        <row r="1070">
          <cell r="B1070" t="str">
            <v>Frig_Rio_Grande</v>
          </cell>
          <cell r="D1070" t="str">
            <v>Plugagem</v>
          </cell>
          <cell r="E1070" t="str">
            <v>MAERSK A/S</v>
          </cell>
          <cell r="CD1070">
            <v>0</v>
          </cell>
        </row>
        <row r="1071">
          <cell r="B1071" t="str">
            <v>Frig_Rio_Grande</v>
          </cell>
          <cell r="D1071" t="str">
            <v>Plugagem</v>
          </cell>
          <cell r="E1071" t="str">
            <v>MARFRIG GLOBAL FOODS S.A</v>
          </cell>
          <cell r="CD1071">
            <v>0</v>
          </cell>
        </row>
        <row r="1072">
          <cell r="B1072" t="str">
            <v>Frig_Rio_Grande</v>
          </cell>
          <cell r="D1072" t="str">
            <v>Plugagem</v>
          </cell>
          <cell r="E1072" t="str">
            <v>MILTON CARVALHO MACEDO JUNIOR LTDA</v>
          </cell>
          <cell r="CD1072">
            <v>0</v>
          </cell>
        </row>
        <row r="1073">
          <cell r="B1073" t="str">
            <v>Frig_Rio_Grande</v>
          </cell>
          <cell r="D1073" t="str">
            <v>Plugagem</v>
          </cell>
          <cell r="E1073" t="str">
            <v>PAMPEANO ALIMENTOS S/A</v>
          </cell>
          <cell r="CD1073">
            <v>0</v>
          </cell>
        </row>
        <row r="1074">
          <cell r="B1074" t="str">
            <v>Frig_Rio_Grande</v>
          </cell>
          <cell r="D1074" t="str">
            <v>Plugagem</v>
          </cell>
          <cell r="E1074" t="str">
            <v>Novo Cliente 1</v>
          </cell>
          <cell r="CD1074">
            <v>0</v>
          </cell>
        </row>
        <row r="1075">
          <cell r="B1075" t="str">
            <v>Frig_Rio_Grande</v>
          </cell>
          <cell r="D1075" t="str">
            <v>Plugagem</v>
          </cell>
          <cell r="E1075" t="str">
            <v>PESCAL INDUSTRIA E COMERCIO DE</v>
          </cell>
          <cell r="CD1075">
            <v>0</v>
          </cell>
        </row>
        <row r="1076">
          <cell r="B1076" t="str">
            <v>Frig_Rio_Grande</v>
          </cell>
          <cell r="D1076" t="str">
            <v>Plugagem</v>
          </cell>
          <cell r="E1076" t="str">
            <v>PRISMA</v>
          </cell>
          <cell r="CD1076">
            <v>0</v>
          </cell>
        </row>
        <row r="1077">
          <cell r="B1077" t="str">
            <v>Frig_Rio_Grande</v>
          </cell>
          <cell r="D1077" t="str">
            <v>Plugagem</v>
          </cell>
          <cell r="E1077" t="str">
            <v>SOUTH PORTS FUMIGATION LTDA</v>
          </cell>
          <cell r="CD1077">
            <v>0</v>
          </cell>
        </row>
        <row r="1078">
          <cell r="B1078" t="str">
            <v>Frig_Rio_Grande</v>
          </cell>
          <cell r="D1078" t="str">
            <v>Plugagem</v>
          </cell>
          <cell r="E1078" t="str">
            <v>SUPERMERCADO GUANABARA S/A</v>
          </cell>
          <cell r="CD1078">
            <v>0</v>
          </cell>
        </row>
        <row r="1079">
          <cell r="B1079" t="str">
            <v>Frig_Rio_Grande</v>
          </cell>
          <cell r="D1079" t="str">
            <v>Plugagem</v>
          </cell>
          <cell r="E1079" t="str">
            <v>VIBRA AGROINDUSTRIAL S/A FINANCEIRO</v>
          </cell>
          <cell r="CD1079">
            <v>0</v>
          </cell>
        </row>
        <row r="1080">
          <cell r="B1080" t="str">
            <v>Frig_Rio_Grande</v>
          </cell>
          <cell r="D1080" t="str">
            <v>Plugagem</v>
          </cell>
          <cell r="E1080" t="str">
            <v>COMPANHIA MINUANO DE ALIMENTOS - FINANCEIRO</v>
          </cell>
          <cell r="CD1080">
            <v>0</v>
          </cell>
        </row>
        <row r="1081">
          <cell r="B1081" t="str">
            <v>Frig_Rio_Grande</v>
          </cell>
          <cell r="D1081" t="str">
            <v>Plugagem</v>
          </cell>
          <cell r="E1081" t="str">
            <v>ZIMMER</v>
          </cell>
          <cell r="CD1081">
            <v>0</v>
          </cell>
        </row>
        <row r="1082">
          <cell r="B1082" t="str">
            <v>Frig_Rio_Grande</v>
          </cell>
          <cell r="D1082" t="str">
            <v>Faturamento | Plugagem (BRL'000)</v>
          </cell>
          <cell r="E1082" t="str">
            <v>Subtotal</v>
          </cell>
          <cell r="CD1082">
            <v>895.74343098269833</v>
          </cell>
        </row>
        <row r="1083">
          <cell r="B1083" t="str">
            <v>Frig_Rio_Grande</v>
          </cell>
          <cell r="D1083" t="str">
            <v>Faturamento | Plugagem (BRL'000)</v>
          </cell>
          <cell r="E1083" t="str">
            <v>AGROSUL AGROAVICOLA INDUSTRIAL S.A.</v>
          </cell>
          <cell r="CD1083">
            <v>0</v>
          </cell>
        </row>
        <row r="1084">
          <cell r="B1084" t="str">
            <v>Frig_Rio_Grande</v>
          </cell>
          <cell r="D1084" t="str">
            <v>Faturamento | Plugagem (BRL'000)</v>
          </cell>
          <cell r="E1084" t="str">
            <v>ALIBEM ALIMENTOS S.A</v>
          </cell>
          <cell r="CD1084">
            <v>219.72514208852621</v>
          </cell>
        </row>
        <row r="1085">
          <cell r="B1085" t="str">
            <v>Frig_Rio_Grande</v>
          </cell>
          <cell r="D1085" t="str">
            <v>Faturamento | Plugagem (BRL'000)</v>
          </cell>
          <cell r="E1085" t="str">
            <v>BRF S.A - FINANCEIRO</v>
          </cell>
          <cell r="CD1085">
            <v>676.0182888941722</v>
          </cell>
        </row>
        <row r="1086">
          <cell r="B1086" t="str">
            <v>Frig_Rio_Grande</v>
          </cell>
          <cell r="D1086" t="str">
            <v>Faturamento | Plugagem (BRL'000)</v>
          </cell>
          <cell r="E1086" t="str">
            <v>CARRER ALIMENTOS LTDA</v>
          </cell>
          <cell r="CD1086">
            <v>0</v>
          </cell>
        </row>
        <row r="1087">
          <cell r="B1087" t="str">
            <v>Frig_Rio_Grande</v>
          </cell>
          <cell r="D1087" t="str">
            <v>Faturamento | Plugagem (BRL'000)</v>
          </cell>
          <cell r="E1087" t="str">
            <v>COOPERATIVA DALIA ALIMENTOS LTDA</v>
          </cell>
          <cell r="CD1087">
            <v>0</v>
          </cell>
        </row>
        <row r="1088">
          <cell r="B1088" t="str">
            <v>Frig_Rio_Grande</v>
          </cell>
          <cell r="D1088" t="str">
            <v>Faturamento | Plugagem (BRL'000)</v>
          </cell>
          <cell r="E1088" t="str">
            <v>JBS GROUP</v>
          </cell>
          <cell r="CD1088">
            <v>0</v>
          </cell>
        </row>
        <row r="1089">
          <cell r="B1089" t="str">
            <v>Frig_Rio_Grande</v>
          </cell>
          <cell r="D1089" t="str">
            <v>Faturamento | Plugagem (BRL'000)</v>
          </cell>
          <cell r="E1089" t="str">
            <v>JBS FRIBOI</v>
          </cell>
          <cell r="CD1089">
            <v>0</v>
          </cell>
        </row>
        <row r="1090">
          <cell r="B1090" t="str">
            <v>Frig_Rio_Grande</v>
          </cell>
          <cell r="D1090" t="str">
            <v>Faturamento | Plugagem (BRL'000)</v>
          </cell>
          <cell r="E1090" t="str">
            <v>MAERSK A/S</v>
          </cell>
          <cell r="CD1090">
            <v>0</v>
          </cell>
        </row>
        <row r="1091">
          <cell r="B1091" t="str">
            <v>Frig_Rio_Grande</v>
          </cell>
          <cell r="D1091" t="str">
            <v>Faturamento | Plugagem (BRL'000)</v>
          </cell>
          <cell r="E1091" t="str">
            <v>MARFRIG GLOBAL FOODS S.A</v>
          </cell>
          <cell r="CD1091">
            <v>0</v>
          </cell>
        </row>
        <row r="1092">
          <cell r="B1092" t="str">
            <v>Frig_Rio_Grande</v>
          </cell>
          <cell r="D1092" t="str">
            <v>Faturamento | Plugagem (BRL'000)</v>
          </cell>
          <cell r="E1092" t="str">
            <v>MILTON CARVALHO MACEDO JUNIOR LTDA</v>
          </cell>
          <cell r="CD1092">
            <v>0</v>
          </cell>
        </row>
        <row r="1093">
          <cell r="B1093" t="str">
            <v>Frig_Rio_Grande</v>
          </cell>
          <cell r="D1093" t="str">
            <v>Faturamento | Plugagem (BRL'000)</v>
          </cell>
          <cell r="E1093" t="str">
            <v>PAMPEANO ALIMENTOS S/A</v>
          </cell>
          <cell r="CD1093">
            <v>0</v>
          </cell>
        </row>
        <row r="1094">
          <cell r="B1094" t="str">
            <v>Frig_Rio_Grande</v>
          </cell>
          <cell r="D1094" t="str">
            <v>Faturamento | Plugagem (BRL'000)</v>
          </cell>
          <cell r="E1094" t="str">
            <v>Novo Cliente 1</v>
          </cell>
          <cell r="CD1094">
            <v>0</v>
          </cell>
        </row>
        <row r="1095">
          <cell r="B1095" t="str">
            <v>Frig_Rio_Grande</v>
          </cell>
          <cell r="D1095" t="str">
            <v>Faturamento | Plugagem (BRL'000)</v>
          </cell>
          <cell r="E1095" t="str">
            <v>PESCAL INDUSTRIA E COMERCIO DE</v>
          </cell>
          <cell r="CD1095">
            <v>0</v>
          </cell>
        </row>
        <row r="1096">
          <cell r="B1096" t="str">
            <v>Frig_Rio_Grande</v>
          </cell>
          <cell r="D1096" t="str">
            <v>Faturamento | Plugagem (BRL'000)</v>
          </cell>
          <cell r="E1096" t="str">
            <v>PRISMA</v>
          </cell>
          <cell r="CD1096">
            <v>0</v>
          </cell>
        </row>
        <row r="1097">
          <cell r="B1097" t="str">
            <v>Frig_Rio_Grande</v>
          </cell>
          <cell r="D1097" t="str">
            <v>Faturamento | Plugagem (BRL'000)</v>
          </cell>
          <cell r="E1097" t="str">
            <v>SOUTH PORTS FUMIGATION LTDA</v>
          </cell>
          <cell r="CD1097">
            <v>0</v>
          </cell>
        </row>
        <row r="1098">
          <cell r="B1098" t="str">
            <v>Frig_Rio_Grande</v>
          </cell>
          <cell r="D1098" t="str">
            <v>Faturamento | Plugagem (BRL'000)</v>
          </cell>
          <cell r="E1098" t="str">
            <v>SUPERMERCADO GUANABARA S/A</v>
          </cell>
          <cell r="CD1098">
            <v>0</v>
          </cell>
        </row>
        <row r="1099">
          <cell r="B1099" t="str">
            <v>Frig_Rio_Grande</v>
          </cell>
          <cell r="D1099" t="str">
            <v>Faturamento | Plugagem (BRL'000)</v>
          </cell>
          <cell r="E1099" t="str">
            <v>VIBRA AGROINDUSTRIAL S/A FINANCEIRO</v>
          </cell>
          <cell r="CD1099">
            <v>0</v>
          </cell>
        </row>
        <row r="1100">
          <cell r="B1100" t="str">
            <v>Frig_Rio_Grande</v>
          </cell>
          <cell r="D1100" t="str">
            <v>Faturamento | Plugagem (BRL'000)</v>
          </cell>
          <cell r="E1100" t="str">
            <v>COMPANHIA MINUANO DE ALIMENTOS - FINANCEIRO</v>
          </cell>
          <cell r="CD1100">
            <v>0</v>
          </cell>
        </row>
        <row r="1101">
          <cell r="B1101" t="str">
            <v>Frig_Rio_Grande</v>
          </cell>
          <cell r="D1101" t="str">
            <v>Faturamento | Plugagem (BRL'000)</v>
          </cell>
          <cell r="E1101" t="str">
            <v>ZIMMER</v>
          </cell>
          <cell r="CD1101">
            <v>0</v>
          </cell>
        </row>
        <row r="1102">
          <cell r="B1102" t="str">
            <v>Frig_Rio_Grande</v>
          </cell>
          <cell r="D1102" t="str">
            <v>Ticket Médio | Plugagem (BRL)</v>
          </cell>
          <cell r="E1102" t="str">
            <v>Subtotal</v>
          </cell>
          <cell r="CD1102">
            <v>114.8389014080382</v>
          </cell>
        </row>
        <row r="1103">
          <cell r="B1103" t="str">
            <v>Frig_Rio_Grande</v>
          </cell>
          <cell r="D1103" t="str">
            <v>Ticket Médio | Plugagem (BRL)</v>
          </cell>
          <cell r="E1103" t="str">
            <v>AGROSUL AGROAVICOLA INDUSTRIAL S.A.</v>
          </cell>
          <cell r="CD1103">
            <v>0</v>
          </cell>
        </row>
        <row r="1104">
          <cell r="B1104" t="str">
            <v>Frig_Rio_Grande</v>
          </cell>
          <cell r="D1104" t="str">
            <v>Ticket Médio | Plugagem (BRL)</v>
          </cell>
          <cell r="E1104" t="str">
            <v>ALIBEM ALIMENTOS S.A</v>
          </cell>
          <cell r="CD1104">
            <v>122.0695233825145</v>
          </cell>
        </row>
        <row r="1105">
          <cell r="B1105" t="str">
            <v>Frig_Rio_Grande</v>
          </cell>
          <cell r="D1105" t="str">
            <v>Ticket Médio | Plugagem (BRL)</v>
          </cell>
          <cell r="E1105" t="str">
            <v>BRF S.A - FINANCEIRO</v>
          </cell>
          <cell r="CD1105">
            <v>112.6697148156954</v>
          </cell>
        </row>
        <row r="1106">
          <cell r="B1106" t="str">
            <v>Frig_Rio_Grande</v>
          </cell>
          <cell r="D1106" t="str">
            <v>Ticket Médio | Plugagem (BRL)</v>
          </cell>
          <cell r="E1106" t="str">
            <v>CARRER ALIMENTOS LTDA</v>
          </cell>
          <cell r="CD1106">
            <v>0</v>
          </cell>
        </row>
        <row r="1107">
          <cell r="B1107" t="str">
            <v>Frig_Rio_Grande</v>
          </cell>
          <cell r="D1107" t="str">
            <v>Ticket Médio | Plugagem (BRL)</v>
          </cell>
          <cell r="E1107" t="str">
            <v>COOPERATIVA DALIA ALIMENTOS LTDA</v>
          </cell>
          <cell r="CD1107">
            <v>203.00085000000001</v>
          </cell>
        </row>
        <row r="1108">
          <cell r="B1108" t="str">
            <v>Frig_Rio_Grande</v>
          </cell>
          <cell r="D1108" t="str">
            <v>Ticket Médio | Plugagem (BRL)</v>
          </cell>
          <cell r="E1108" t="str">
            <v>JBS GROUP</v>
          </cell>
          <cell r="CD1108">
            <v>172.53608493216149</v>
          </cell>
        </row>
        <row r="1109">
          <cell r="B1109" t="str">
            <v>Frig_Rio_Grande</v>
          </cell>
          <cell r="D1109" t="str">
            <v>Ticket Médio | Plugagem (BRL)</v>
          </cell>
          <cell r="E1109" t="str">
            <v>JBS FRIBOI</v>
          </cell>
          <cell r="CD1109">
            <v>0</v>
          </cell>
        </row>
        <row r="1110">
          <cell r="B1110" t="str">
            <v>Frig_Rio_Grande</v>
          </cell>
          <cell r="D1110" t="str">
            <v>Ticket Médio | Plugagem (BRL)</v>
          </cell>
          <cell r="E1110" t="str">
            <v>MAERSK A/S</v>
          </cell>
          <cell r="CD1110">
            <v>0</v>
          </cell>
        </row>
        <row r="1111">
          <cell r="B1111" t="str">
            <v>Frig_Rio_Grande</v>
          </cell>
          <cell r="D1111" t="str">
            <v>Ticket Médio | Plugagem (BRL)</v>
          </cell>
          <cell r="E1111" t="str">
            <v>MARFRIG GLOBAL FOODS S.A</v>
          </cell>
          <cell r="CD1111">
            <v>0</v>
          </cell>
        </row>
        <row r="1112">
          <cell r="B1112" t="str">
            <v>Frig_Rio_Grande</v>
          </cell>
          <cell r="D1112" t="str">
            <v>Ticket Médio | Plugagem (BRL)</v>
          </cell>
          <cell r="E1112" t="str">
            <v>MILTON CARVALHO MACEDO JUNIOR LTDA</v>
          </cell>
          <cell r="CD1112">
            <v>0</v>
          </cell>
        </row>
        <row r="1113">
          <cell r="B1113" t="str">
            <v>Frig_Rio_Grande</v>
          </cell>
          <cell r="D1113" t="str">
            <v>Ticket Médio | Plugagem (BRL)</v>
          </cell>
          <cell r="E1113" t="str">
            <v>PAMPEANO ALIMENTOS S/A</v>
          </cell>
          <cell r="CD1113">
            <v>0</v>
          </cell>
        </row>
        <row r="1114">
          <cell r="B1114" t="str">
            <v>Frig_Rio_Grande</v>
          </cell>
          <cell r="D1114" t="str">
            <v>Ticket Médio | Plugagem (BRL)</v>
          </cell>
          <cell r="E1114" t="str">
            <v>Novo Cliente 1</v>
          </cell>
          <cell r="CD1114">
            <v>0</v>
          </cell>
        </row>
        <row r="1115">
          <cell r="B1115" t="str">
            <v>Frig_Rio_Grande</v>
          </cell>
          <cell r="D1115" t="str">
            <v>Ticket Médio | Plugagem (BRL)</v>
          </cell>
          <cell r="E1115" t="str">
            <v>PESCAL INDUSTRIA E COMERCIO DE</v>
          </cell>
          <cell r="CD1115">
            <v>0</v>
          </cell>
        </row>
        <row r="1116">
          <cell r="B1116" t="str">
            <v>Frig_Rio_Grande</v>
          </cell>
          <cell r="D1116" t="str">
            <v>Ticket Médio | Plugagem (BRL)</v>
          </cell>
          <cell r="E1116" t="str">
            <v>PRISMA</v>
          </cell>
          <cell r="CD1116">
            <v>0</v>
          </cell>
        </row>
        <row r="1117">
          <cell r="B1117" t="str">
            <v>Frig_Rio_Grande</v>
          </cell>
          <cell r="D1117" t="str">
            <v>Ticket Médio | Plugagem (BRL)</v>
          </cell>
          <cell r="E1117" t="str">
            <v>SOUTH PORTS FUMIGATION LTDA</v>
          </cell>
          <cell r="CD1117">
            <v>0</v>
          </cell>
        </row>
        <row r="1118">
          <cell r="B1118" t="str">
            <v>Frig_Rio_Grande</v>
          </cell>
          <cell r="D1118" t="str">
            <v>Ticket Médio | Plugagem (BRL)</v>
          </cell>
          <cell r="E1118" t="str">
            <v>SUPERMERCADO GUANABARA S/A</v>
          </cell>
          <cell r="CD1118">
            <v>0</v>
          </cell>
        </row>
        <row r="1119">
          <cell r="B1119" t="str">
            <v>Frig_Rio_Grande</v>
          </cell>
          <cell r="D1119" t="str">
            <v>Ticket Médio | Plugagem (BRL)</v>
          </cell>
          <cell r="E1119" t="str">
            <v>VIBRA AGROINDUSTRIAL S/A FINANCEIRO</v>
          </cell>
          <cell r="CD1119">
            <v>178.74957749999999</v>
          </cell>
        </row>
        <row r="1120">
          <cell r="B1120" t="str">
            <v>Frig_Rio_Grande</v>
          </cell>
          <cell r="D1120" t="str">
            <v>Ticket Médio | Plugagem (BRL)</v>
          </cell>
          <cell r="E1120" t="str">
            <v>COMPANHIA MINUANO DE ALIMENTOS - FINANCEIRO</v>
          </cell>
          <cell r="CD1120">
            <v>0</v>
          </cell>
        </row>
        <row r="1121">
          <cell r="B1121" t="str">
            <v>Frig_Rio_Grande</v>
          </cell>
          <cell r="D1121" t="str">
            <v>Ticket Médio | Plugagem (BRL)</v>
          </cell>
          <cell r="E1121" t="str">
            <v>ZIMMER</v>
          </cell>
          <cell r="CD1121">
            <v>0</v>
          </cell>
        </row>
        <row r="1122">
          <cell r="B1122" t="str">
            <v>Frig_Rio_Grande</v>
          </cell>
          <cell r="D1122" t="str">
            <v>Faturamento | Adicional (BRL'000)</v>
          </cell>
          <cell r="E1122" t="str">
            <v>Subtotal</v>
          </cell>
          <cell r="CD1122">
            <v>2873.4042953022899</v>
          </cell>
        </row>
        <row r="1123">
          <cell r="B1123" t="str">
            <v>Frig_Rio_Grande</v>
          </cell>
          <cell r="D1123" t="str">
            <v>Faturamento | Adicional (BRL'000)</v>
          </cell>
          <cell r="E1123" t="str">
            <v>AGROSUL AGROAVICOLA INDUSTRIAL S.A.</v>
          </cell>
          <cell r="CD1123">
            <v>0</v>
          </cell>
        </row>
        <row r="1124">
          <cell r="B1124" t="str">
            <v>Frig_Rio_Grande</v>
          </cell>
          <cell r="D1124" t="str">
            <v>Faturamento | Adicional (BRL'000)</v>
          </cell>
          <cell r="E1124" t="str">
            <v>ALIBEM ALIMENTOS S.A</v>
          </cell>
          <cell r="CD1124">
            <v>0</v>
          </cell>
        </row>
        <row r="1125">
          <cell r="B1125" t="str">
            <v>Frig_Rio_Grande</v>
          </cell>
          <cell r="D1125" t="str">
            <v>Faturamento | Adicional (BRL'000)</v>
          </cell>
          <cell r="E1125" t="str">
            <v>BRF S.A - FINANCEIRO</v>
          </cell>
          <cell r="CD1125">
            <v>209.8969919691354</v>
          </cell>
        </row>
        <row r="1126">
          <cell r="B1126" t="str">
            <v>Frig_Rio_Grande</v>
          </cell>
          <cell r="D1126" t="str">
            <v>Faturamento | Adicional (BRL'000)</v>
          </cell>
          <cell r="E1126" t="str">
            <v>CARRER ALIMENTOS LTDA</v>
          </cell>
          <cell r="CD1126">
            <v>0</v>
          </cell>
        </row>
        <row r="1127">
          <cell r="B1127" t="str">
            <v>Frig_Rio_Grande</v>
          </cell>
          <cell r="D1127" t="str">
            <v>Faturamento | Adicional (BRL'000)</v>
          </cell>
          <cell r="E1127" t="str">
            <v>COOPERATIVA DALIA ALIMENTOS LTDA</v>
          </cell>
          <cell r="CD1127">
            <v>0</v>
          </cell>
        </row>
        <row r="1128">
          <cell r="B1128" t="str">
            <v>Frig_Rio_Grande</v>
          </cell>
          <cell r="D1128" t="str">
            <v>Faturamento | Adicional (BRL'000)</v>
          </cell>
          <cell r="E1128" t="str">
            <v>JBS GROUP</v>
          </cell>
          <cell r="CD1128">
            <v>0</v>
          </cell>
        </row>
        <row r="1129">
          <cell r="B1129" t="str">
            <v>Frig_Rio_Grande</v>
          </cell>
          <cell r="D1129" t="str">
            <v>Faturamento | Adicional (BRL'000)</v>
          </cell>
          <cell r="E1129" t="str">
            <v>JBS FRIBOI</v>
          </cell>
          <cell r="CD1129">
            <v>0</v>
          </cell>
        </row>
        <row r="1130">
          <cell r="B1130" t="str">
            <v>Frig_Rio_Grande</v>
          </cell>
          <cell r="D1130" t="str">
            <v>Faturamento | Adicional (BRL'000)</v>
          </cell>
          <cell r="E1130" t="str">
            <v>MAERSK A/S</v>
          </cell>
          <cell r="CD1130">
            <v>1800</v>
          </cell>
        </row>
        <row r="1131">
          <cell r="B1131" t="str">
            <v>Frig_Rio_Grande</v>
          </cell>
          <cell r="D1131" t="str">
            <v>Faturamento | Adicional (BRL'000)</v>
          </cell>
          <cell r="E1131" t="str">
            <v>MARFRIG GLOBAL FOODS S.A</v>
          </cell>
          <cell r="CD1131">
            <v>0</v>
          </cell>
        </row>
        <row r="1132">
          <cell r="B1132" t="str">
            <v>Frig_Rio_Grande</v>
          </cell>
          <cell r="D1132" t="str">
            <v>Faturamento | Adicional (BRL'000)</v>
          </cell>
          <cell r="E1132" t="str">
            <v>MILTON CARVALHO MACEDO JUNIOR LTDA</v>
          </cell>
          <cell r="CD1132">
            <v>97.906097509327594</v>
          </cell>
        </row>
        <row r="1133">
          <cell r="B1133" t="str">
            <v>Frig_Rio_Grande</v>
          </cell>
          <cell r="D1133" t="str">
            <v>Faturamento | Adicional (BRL'000)</v>
          </cell>
          <cell r="E1133" t="str">
            <v>PAMPEANO ALIMENTOS S/A</v>
          </cell>
          <cell r="CD1133">
            <v>318.32107429346041</v>
          </cell>
        </row>
        <row r="1134">
          <cell r="B1134" t="str">
            <v>Frig_Rio_Grande</v>
          </cell>
          <cell r="D1134" t="str">
            <v>Faturamento | Adicional (BRL'000)</v>
          </cell>
          <cell r="E1134" t="str">
            <v>Novo Cliente 1</v>
          </cell>
          <cell r="CD1134">
            <v>0</v>
          </cell>
        </row>
        <row r="1135">
          <cell r="B1135" t="str">
            <v>Frig_Rio_Grande</v>
          </cell>
          <cell r="D1135" t="str">
            <v>Faturamento | Adicional (BRL'000)</v>
          </cell>
          <cell r="E1135" t="str">
            <v>PESCAL INDUSTRIA E COMERCIO DE</v>
          </cell>
          <cell r="CD1135">
            <v>120.246</v>
          </cell>
        </row>
        <row r="1136">
          <cell r="B1136" t="str">
            <v>Frig_Rio_Grande</v>
          </cell>
          <cell r="D1136" t="str">
            <v>Faturamento | Adicional (BRL'000)</v>
          </cell>
          <cell r="E1136" t="str">
            <v>PRISMA</v>
          </cell>
          <cell r="CD1136">
            <v>0</v>
          </cell>
        </row>
        <row r="1137">
          <cell r="B1137" t="str">
            <v>Frig_Rio_Grande</v>
          </cell>
          <cell r="D1137" t="str">
            <v>Faturamento | Adicional (BRL'000)</v>
          </cell>
          <cell r="E1137" t="str">
            <v>SOUTH PORTS FUMIGATION LTDA</v>
          </cell>
          <cell r="CD1137">
            <v>0</v>
          </cell>
        </row>
        <row r="1138">
          <cell r="B1138" t="str">
            <v>Frig_Rio_Grande</v>
          </cell>
          <cell r="D1138" t="str">
            <v>Faturamento | Adicional (BRL'000)</v>
          </cell>
          <cell r="E1138" t="str">
            <v>SUPERMERCADO GUANABARA S/A</v>
          </cell>
          <cell r="CD1138">
            <v>36.477497164179113</v>
          </cell>
        </row>
        <row r="1139">
          <cell r="B1139" t="str">
            <v>Frig_Rio_Grande</v>
          </cell>
          <cell r="D1139" t="str">
            <v>Faturamento | Adicional (BRL'000)</v>
          </cell>
          <cell r="E1139" t="str">
            <v>VIBRA AGROINDUSTRIAL S/A FINANCEIRO</v>
          </cell>
          <cell r="CD1139">
            <v>0</v>
          </cell>
        </row>
        <row r="1140">
          <cell r="B1140" t="str">
            <v>Frig_Rio_Grande</v>
          </cell>
          <cell r="D1140" t="str">
            <v>Faturamento | Adicional (BRL'000)</v>
          </cell>
          <cell r="E1140" t="str">
            <v>COMPANHIA MINUANO DE ALIMENTOS - FINANCEIRO</v>
          </cell>
          <cell r="CD1140">
            <v>290.5566343661871</v>
          </cell>
        </row>
        <row r="1141">
          <cell r="B1141" t="str">
            <v>Frig_Rio_Grande</v>
          </cell>
          <cell r="D1141" t="str">
            <v>Faturamento | Adicional (BRL'000)</v>
          </cell>
          <cell r="E1141" t="str">
            <v>ZIMMER</v>
          </cell>
          <cell r="CD1141">
            <v>0</v>
          </cell>
        </row>
        <row r="1142">
          <cell r="B1142" t="str">
            <v>Frig_Rio_Grande</v>
          </cell>
          <cell r="D1142" t="str">
            <v>Faturamento | Seguros (BRL'000)</v>
          </cell>
          <cell r="E1142" t="str">
            <v>Subtotal</v>
          </cell>
          <cell r="CD1142">
            <v>931.38877951372854</v>
          </cell>
        </row>
        <row r="1143">
          <cell r="B1143" t="str">
            <v>Frig_Rio_Grande</v>
          </cell>
          <cell r="D1143" t="str">
            <v>Faturamento | Seguros (BRL'000)</v>
          </cell>
          <cell r="E1143" t="str">
            <v>AGROSUL AGROAVICOLA INDUSTRIAL S.A.</v>
          </cell>
          <cell r="CD1143">
            <v>0</v>
          </cell>
        </row>
        <row r="1144">
          <cell r="B1144" t="str">
            <v>Frig_Rio_Grande</v>
          </cell>
          <cell r="D1144" t="str">
            <v>Faturamento | Seguros (BRL'000)</v>
          </cell>
          <cell r="E1144" t="str">
            <v>ALIBEM ALIMENTOS S.A</v>
          </cell>
          <cell r="CD1144">
            <v>0</v>
          </cell>
        </row>
        <row r="1145">
          <cell r="B1145" t="str">
            <v>Frig_Rio_Grande</v>
          </cell>
          <cell r="D1145" t="str">
            <v>Faturamento | Seguros (BRL'000)</v>
          </cell>
          <cell r="E1145" t="str">
            <v>BRF S.A - FINANCEIRO</v>
          </cell>
          <cell r="CD1145">
            <v>0</v>
          </cell>
        </row>
        <row r="1146">
          <cell r="B1146" t="str">
            <v>Frig_Rio_Grande</v>
          </cell>
          <cell r="D1146" t="str">
            <v>Faturamento | Seguros (BRL'000)</v>
          </cell>
          <cell r="E1146" t="str">
            <v>CARRER ALIMENTOS LTDA</v>
          </cell>
          <cell r="CD1146">
            <v>0</v>
          </cell>
        </row>
        <row r="1147">
          <cell r="B1147" t="str">
            <v>Frig_Rio_Grande</v>
          </cell>
          <cell r="D1147" t="str">
            <v>Faturamento | Seguros (BRL'000)</v>
          </cell>
          <cell r="E1147" t="str">
            <v>COOPERATIVA DALIA ALIMENTOS LTDA</v>
          </cell>
          <cell r="CD1147">
            <v>0</v>
          </cell>
        </row>
        <row r="1148">
          <cell r="B1148" t="str">
            <v>Frig_Rio_Grande</v>
          </cell>
          <cell r="D1148" t="str">
            <v>Faturamento | Seguros (BRL'000)</v>
          </cell>
          <cell r="E1148" t="str">
            <v>JBS GROUP</v>
          </cell>
          <cell r="CD1148">
            <v>0</v>
          </cell>
        </row>
        <row r="1149">
          <cell r="B1149" t="str">
            <v>Frig_Rio_Grande</v>
          </cell>
          <cell r="D1149" t="str">
            <v>Faturamento | Seguros (BRL'000)</v>
          </cell>
          <cell r="E1149" t="str">
            <v>JBS FRIBOI</v>
          </cell>
          <cell r="CD1149">
            <v>0</v>
          </cell>
        </row>
        <row r="1150">
          <cell r="B1150" t="str">
            <v>Frig_Rio_Grande</v>
          </cell>
          <cell r="D1150" t="str">
            <v>Faturamento | Seguros (BRL'000)</v>
          </cell>
          <cell r="E1150" t="str">
            <v>MAERSK A/S</v>
          </cell>
          <cell r="CD1150">
            <v>0</v>
          </cell>
        </row>
        <row r="1151">
          <cell r="B1151" t="str">
            <v>Frig_Rio_Grande</v>
          </cell>
          <cell r="D1151" t="str">
            <v>Faturamento | Seguros (BRL'000)</v>
          </cell>
          <cell r="E1151" t="str">
            <v>MARFRIG GLOBAL FOODS S.A</v>
          </cell>
          <cell r="CD1151">
            <v>0</v>
          </cell>
        </row>
        <row r="1152">
          <cell r="B1152" t="str">
            <v>Frig_Rio_Grande</v>
          </cell>
          <cell r="D1152" t="str">
            <v>Faturamento | Seguros (BRL'000)</v>
          </cell>
          <cell r="E1152" t="str">
            <v>MILTON CARVALHO MACEDO JUNIOR LTDA</v>
          </cell>
          <cell r="CD1152">
            <v>40.07271082643998</v>
          </cell>
        </row>
        <row r="1153">
          <cell r="B1153" t="str">
            <v>Frig_Rio_Grande</v>
          </cell>
          <cell r="D1153" t="str">
            <v>Faturamento | Seguros (BRL'000)</v>
          </cell>
          <cell r="E1153" t="str">
            <v>PAMPEANO ALIMENTOS S/A</v>
          </cell>
          <cell r="CD1153">
            <v>792</v>
          </cell>
        </row>
        <row r="1154">
          <cell r="B1154" t="str">
            <v>Frig_Rio_Grande</v>
          </cell>
          <cell r="D1154" t="str">
            <v>Faturamento | Seguros (BRL'000)</v>
          </cell>
          <cell r="E1154" t="str">
            <v>Novo Cliente 1</v>
          </cell>
          <cell r="CD1154">
            <v>0</v>
          </cell>
        </row>
        <row r="1155">
          <cell r="B1155" t="str">
            <v>Frig_Rio_Grande</v>
          </cell>
          <cell r="D1155" t="str">
            <v>Faturamento | Seguros (BRL'000)</v>
          </cell>
          <cell r="E1155" t="str">
            <v>PESCAL INDUSTRIA E COMERCIO DE</v>
          </cell>
          <cell r="CD1155">
            <v>12.62160799721925</v>
          </cell>
        </row>
        <row r="1156">
          <cell r="B1156" t="str">
            <v>Frig_Rio_Grande</v>
          </cell>
          <cell r="D1156" t="str">
            <v>Faturamento | Seguros (BRL'000)</v>
          </cell>
          <cell r="E1156" t="str">
            <v>PRISMA</v>
          </cell>
          <cell r="CD1156">
            <v>0</v>
          </cell>
        </row>
        <row r="1157">
          <cell r="B1157" t="str">
            <v>Frig_Rio_Grande</v>
          </cell>
          <cell r="D1157" t="str">
            <v>Faturamento | Seguros (BRL'000)</v>
          </cell>
          <cell r="E1157" t="str">
            <v>SOUTH PORTS FUMIGATION LTDA</v>
          </cell>
          <cell r="CD1157">
            <v>0</v>
          </cell>
        </row>
        <row r="1158">
          <cell r="B1158" t="str">
            <v>Frig_Rio_Grande</v>
          </cell>
          <cell r="D1158" t="str">
            <v>Faturamento | Seguros (BRL'000)</v>
          </cell>
          <cell r="E1158" t="str">
            <v>SUPERMERCADO GUANABARA S/A</v>
          </cell>
          <cell r="CD1158">
            <v>60.931032118640751</v>
          </cell>
        </row>
        <row r="1159">
          <cell r="B1159" t="str">
            <v>Frig_Rio_Grande</v>
          </cell>
          <cell r="D1159" t="str">
            <v>Faturamento | Seguros (BRL'000)</v>
          </cell>
          <cell r="E1159" t="str">
            <v>VIBRA AGROINDUSTRIAL S/A FINANCEIRO</v>
          </cell>
          <cell r="CD1159">
            <v>0</v>
          </cell>
        </row>
        <row r="1160">
          <cell r="B1160" t="str">
            <v>Frig_Rio_Grande</v>
          </cell>
          <cell r="D1160" t="str">
            <v>Faturamento | Seguros (BRL'000)</v>
          </cell>
          <cell r="E1160" t="str">
            <v>COMPANHIA MINUANO DE ALIMENTOS - FINANCEIRO</v>
          </cell>
          <cell r="CD1160">
            <v>25.76342857142857</v>
          </cell>
        </row>
        <row r="1161">
          <cell r="B1161" t="str">
            <v>Frig_Rio_Grande</v>
          </cell>
          <cell r="D1161" t="str">
            <v>Faturamento | Seguros (BRL'000)</v>
          </cell>
          <cell r="E1161" t="str">
            <v>ZIMMER</v>
          </cell>
          <cell r="CD1161">
            <v>0</v>
          </cell>
        </row>
        <row r="1162">
          <cell r="B1162" t="str">
            <v>Carga_Geral_Paranaguá</v>
          </cell>
          <cell r="D1162" t="str">
            <v>Faturamento Bruto</v>
          </cell>
          <cell r="E1162" t="str">
            <v>Gross Revenue</v>
          </cell>
          <cell r="CD1162">
            <v>26189.55824493607</v>
          </cell>
        </row>
        <row r="1164">
          <cell r="B1164" t="str">
            <v>Carga_Geral_Paranaguá</v>
          </cell>
          <cell r="D1164" t="str">
            <v>Faturamento Bruto</v>
          </cell>
          <cell r="E1164" t="str">
            <v>4M AGROFLORESTAL LTDA</v>
          </cell>
          <cell r="CD1164">
            <v>4.918605359999999</v>
          </cell>
        </row>
        <row r="1165">
          <cell r="B1165" t="str">
            <v>Carga_Geral_Paranaguá</v>
          </cell>
          <cell r="D1165" t="str">
            <v>Faturamento Bruto</v>
          </cell>
          <cell r="E1165" t="str">
            <v>AGRICOLA FERRARI LTDA</v>
          </cell>
          <cell r="CD1165">
            <v>0</v>
          </cell>
        </row>
        <row r="1166">
          <cell r="B1166" t="str">
            <v>Carga_Geral_Paranaguá</v>
          </cell>
          <cell r="D1166" t="str">
            <v>Faturamento Bruto</v>
          </cell>
          <cell r="E1166" t="str">
            <v>ARBAZA ALIMENTOS LTDA</v>
          </cell>
          <cell r="CD1166">
            <v>17677.171486964689</v>
          </cell>
        </row>
        <row r="1167">
          <cell r="B1167" t="str">
            <v>Carga_Geral_Paranaguá</v>
          </cell>
          <cell r="D1167" t="str">
            <v>Faturamento Bruto</v>
          </cell>
          <cell r="E1167" t="str">
            <v>AMCOR FLEXIBLES DO BRASIL INDUSTRIA</v>
          </cell>
          <cell r="CD1167">
            <v>11.593081919999999</v>
          </cell>
        </row>
        <row r="1168">
          <cell r="B1168" t="str">
            <v>Carga_Geral_Paranaguá</v>
          </cell>
          <cell r="D1168" t="str">
            <v>Faturamento Bruto</v>
          </cell>
          <cell r="E1168" t="str">
            <v>BERNECK S.A. PAINEIS E SERRADOS</v>
          </cell>
          <cell r="CD1168">
            <v>0</v>
          </cell>
        </row>
        <row r="1169">
          <cell r="B1169" t="str">
            <v>Carga_Geral_Paranaguá</v>
          </cell>
          <cell r="D1169" t="str">
            <v>Faturamento Bruto</v>
          </cell>
          <cell r="E1169" t="str">
            <v>BLUE OCEAN INTERNACIONAL LTDA</v>
          </cell>
          <cell r="CD1169">
            <v>0</v>
          </cell>
        </row>
        <row r="1170">
          <cell r="B1170" t="str">
            <v>Carga_Geral_Paranaguá</v>
          </cell>
          <cell r="D1170" t="str">
            <v>Faturamento Bruto</v>
          </cell>
          <cell r="E1170" t="str">
            <v>BONECHAR CARVAO ATIVADO</v>
          </cell>
          <cell r="CD1170">
            <v>0</v>
          </cell>
        </row>
        <row r="1171">
          <cell r="B1171" t="str">
            <v>Carga_Geral_Paranaguá</v>
          </cell>
          <cell r="D1171" t="str">
            <v>Faturamento Bruto</v>
          </cell>
          <cell r="E1171" t="str">
            <v>BRF S.A</v>
          </cell>
          <cell r="CD1171">
            <v>5435.2218739859518</v>
          </cell>
        </row>
        <row r="1172">
          <cell r="B1172" t="str">
            <v>Carga_Geral_Paranaguá</v>
          </cell>
          <cell r="D1172" t="str">
            <v>Faturamento Bruto</v>
          </cell>
          <cell r="E1172" t="str">
            <v>FUGA COUROS SA</v>
          </cell>
          <cell r="CD1172">
            <v>638.14087405542762</v>
          </cell>
        </row>
        <row r="1173">
          <cell r="B1173" t="str">
            <v>Carga_Geral_Paranaguá</v>
          </cell>
          <cell r="D1173" t="str">
            <v>Faturamento Bruto</v>
          </cell>
          <cell r="E1173" t="str">
            <v>J.P. DE OLIVEIRA - COMERCIO DE</v>
          </cell>
          <cell r="CD1173">
            <v>0</v>
          </cell>
        </row>
        <row r="1174">
          <cell r="B1174" t="str">
            <v>Carga_Geral_Paranaguá</v>
          </cell>
          <cell r="D1174" t="str">
            <v>Faturamento Bruto</v>
          </cell>
          <cell r="E1174" t="str">
            <v>MAGNA LOGISTICS SOLUTIONS SA</v>
          </cell>
          <cell r="CD1174">
            <v>0</v>
          </cell>
        </row>
        <row r="1175">
          <cell r="B1175" t="str">
            <v>Carga_Geral_Paranaguá</v>
          </cell>
          <cell r="D1175" t="str">
            <v>Faturamento Bruto</v>
          </cell>
          <cell r="E1175" t="str">
            <v>PROTECTA COMÉRCIO DE PRODUTOS</v>
          </cell>
          <cell r="CD1175">
            <v>0</v>
          </cell>
        </row>
        <row r="1176">
          <cell r="B1176" t="str">
            <v>Carga_Geral_Paranaguá</v>
          </cell>
          <cell r="D1176" t="str">
            <v>Faturamento Bruto</v>
          </cell>
          <cell r="E1176" t="str">
            <v>SUMITOMO RUBBER DO BRASIL LTDA</v>
          </cell>
          <cell r="CD1176">
            <v>0</v>
          </cell>
        </row>
        <row r="1177">
          <cell r="B1177" t="str">
            <v>Carga_Geral_Paranaguá</v>
          </cell>
          <cell r="D1177" t="str">
            <v>Faturamento Bruto</v>
          </cell>
          <cell r="E1177" t="str">
            <v>TRC AGROFLORESTAL LTDA</v>
          </cell>
          <cell r="CD1177">
            <v>1267.51424505</v>
          </cell>
        </row>
        <row r="1178">
          <cell r="B1178" t="str">
            <v>Carga_Geral_Paranaguá</v>
          </cell>
          <cell r="D1178" t="str">
            <v>Faturamento Bruto</v>
          </cell>
          <cell r="E1178" t="str">
            <v>WFA COMERCIO IMPORTACAO E</v>
          </cell>
          <cell r="CD1178">
            <v>1154.9980776</v>
          </cell>
        </row>
        <row r="1179">
          <cell r="B1179" t="str">
            <v>Carga_Geral_Paranaguá</v>
          </cell>
          <cell r="D1179" t="str">
            <v>Armazenagem (posição palet)</v>
          </cell>
          <cell r="E1179" t="str">
            <v>Subtotal</v>
          </cell>
          <cell r="CD1179">
            <v>5160.0703333333358</v>
          </cell>
        </row>
        <row r="1180">
          <cell r="B1180" t="str">
            <v>Carga_Geral_Paranaguá</v>
          </cell>
          <cell r="D1180" t="str">
            <v>Armazenagem (posição palet)</v>
          </cell>
          <cell r="E1180" t="str">
            <v>4M AGROFLORESTAL LTDA</v>
          </cell>
          <cell r="CD1180">
            <v>7.0179999999999998</v>
          </cell>
        </row>
        <row r="1181">
          <cell r="B1181" t="str">
            <v>Carga_Geral_Paranaguá</v>
          </cell>
          <cell r="D1181" t="str">
            <v>Armazenagem (posição palet)</v>
          </cell>
          <cell r="E1181" t="str">
            <v>AGRICOLA FERRARI LTDA</v>
          </cell>
          <cell r="CD1181">
            <v>0</v>
          </cell>
        </row>
        <row r="1182">
          <cell r="B1182" t="str">
            <v>Carga_Geral_Paranaguá</v>
          </cell>
          <cell r="D1182" t="str">
            <v>Armazenagem (posição palet)</v>
          </cell>
          <cell r="E1182" t="str">
            <v>ARBAZA ALIMENTOS LTDA</v>
          </cell>
          <cell r="CD1182">
            <v>0</v>
          </cell>
        </row>
        <row r="1183">
          <cell r="B1183" t="str">
            <v>Carga_Geral_Paranaguá</v>
          </cell>
          <cell r="D1183" t="str">
            <v>Armazenagem (posição palet)</v>
          </cell>
          <cell r="E1183" t="str">
            <v>AMCOR FLEXIBLES DO BRASIL INDUSTRIA</v>
          </cell>
          <cell r="CD1183">
            <v>12.3</v>
          </cell>
        </row>
        <row r="1184">
          <cell r="B1184" t="str">
            <v>Carga_Geral_Paranaguá</v>
          </cell>
          <cell r="D1184" t="str">
            <v>Armazenagem (posição palet)</v>
          </cell>
          <cell r="E1184" t="str">
            <v>BERNECK S.A. PAINEIS E SERRADOS</v>
          </cell>
          <cell r="CD1184">
            <v>0</v>
          </cell>
        </row>
        <row r="1185">
          <cell r="B1185" t="str">
            <v>Carga_Geral_Paranaguá</v>
          </cell>
          <cell r="D1185" t="str">
            <v>Armazenagem (posição palet)</v>
          </cell>
          <cell r="E1185" t="str">
            <v>BLUE OCEAN INTERNACIONAL LTDA</v>
          </cell>
          <cell r="CD1185">
            <v>0</v>
          </cell>
        </row>
        <row r="1186">
          <cell r="B1186" t="str">
            <v>Carga_Geral_Paranaguá</v>
          </cell>
          <cell r="D1186" t="str">
            <v>Armazenagem (posição palet)</v>
          </cell>
          <cell r="E1186" t="str">
            <v>BONECHAR CARVAO ATIVADO</v>
          </cell>
          <cell r="CD1186">
            <v>0</v>
          </cell>
        </row>
        <row r="1187">
          <cell r="B1187" t="str">
            <v>Carga_Geral_Paranaguá</v>
          </cell>
          <cell r="D1187" t="str">
            <v>Armazenagem (posição palet)</v>
          </cell>
          <cell r="E1187" t="str">
            <v>BRF S.A</v>
          </cell>
          <cell r="CD1187">
            <v>4854.4368333333359</v>
          </cell>
        </row>
        <row r="1188">
          <cell r="B1188" t="str">
            <v>Carga_Geral_Paranaguá</v>
          </cell>
          <cell r="D1188" t="str">
            <v>Armazenagem (posição palet)</v>
          </cell>
          <cell r="E1188" t="str">
            <v>FUGA COUROS SA</v>
          </cell>
          <cell r="CD1188">
            <v>244.29950000000011</v>
          </cell>
        </row>
        <row r="1189">
          <cell r="B1189" t="str">
            <v>Carga_Geral_Paranaguá</v>
          </cell>
          <cell r="D1189" t="str">
            <v>Armazenagem (posição palet)</v>
          </cell>
          <cell r="E1189" t="str">
            <v>J.P. DE OLIVEIRA - COMERCIO DE</v>
          </cell>
          <cell r="CD1189">
            <v>0</v>
          </cell>
        </row>
        <row r="1190">
          <cell r="B1190" t="str">
            <v>Carga_Geral_Paranaguá</v>
          </cell>
          <cell r="D1190" t="str">
            <v>Armazenagem (posição palet)</v>
          </cell>
          <cell r="E1190" t="str">
            <v>MAGNA LOGISTICS SOLUTIONS SA</v>
          </cell>
          <cell r="CD1190">
            <v>0</v>
          </cell>
        </row>
        <row r="1191">
          <cell r="B1191" t="str">
            <v>Carga_Geral_Paranaguá</v>
          </cell>
          <cell r="D1191" t="str">
            <v>Armazenagem (posição palet)</v>
          </cell>
          <cell r="E1191" t="str">
            <v>PROTECTA COMÉRCIO DE PRODUTOS</v>
          </cell>
          <cell r="CD1191">
            <v>0</v>
          </cell>
        </row>
        <row r="1192">
          <cell r="B1192" t="str">
            <v>Carga_Geral_Paranaguá</v>
          </cell>
          <cell r="D1192" t="str">
            <v>Armazenagem (posição palet)</v>
          </cell>
          <cell r="E1192" t="str">
            <v>SUMITOMO RUBBER DO BRASIL LTDA</v>
          </cell>
          <cell r="CD1192">
            <v>0</v>
          </cell>
        </row>
        <row r="1193">
          <cell r="B1193" t="str">
            <v>Carga_Geral_Paranaguá</v>
          </cell>
          <cell r="D1193" t="str">
            <v>Armazenagem (posição palet)</v>
          </cell>
          <cell r="E1193" t="str">
            <v>TRC AGROFLORESTAL LTDA</v>
          </cell>
          <cell r="CD1193">
            <v>20.762</v>
          </cell>
        </row>
        <row r="1194">
          <cell r="B1194" t="str">
            <v>Carga_Geral_Paranaguá</v>
          </cell>
          <cell r="D1194" t="str">
            <v>Armazenagem (posição palet)</v>
          </cell>
          <cell r="E1194" t="str">
            <v>WFA COMERCIO IMPORTACAO E</v>
          </cell>
          <cell r="CD1194">
            <v>21.254000000000001</v>
          </cell>
        </row>
        <row r="1195">
          <cell r="B1195" t="str">
            <v>Carga_Geral_Paranaguá</v>
          </cell>
          <cell r="D1195" t="str">
            <v>Capacidade Total PP</v>
          </cell>
          <cell r="E1195" t="str">
            <v>CAPACIDADE</v>
          </cell>
          <cell r="CD1195">
            <v>5504</v>
          </cell>
        </row>
        <row r="1196">
          <cell r="B1196" t="str">
            <v>Carga_Geral_Paranaguá</v>
          </cell>
          <cell r="D1196" t="str">
            <v>Armazenagem (%)</v>
          </cell>
          <cell r="E1196" t="str">
            <v>Subtotal</v>
          </cell>
          <cell r="CD1196">
            <v>0.93751277858527204</v>
          </cell>
        </row>
        <row r="1197">
          <cell r="B1197" t="str">
            <v>Carga_Geral_Paranaguá</v>
          </cell>
          <cell r="D1197" t="str">
            <v>Armazenagem (%)</v>
          </cell>
          <cell r="E1197" t="str">
            <v>4M AGROFLORESTAL LTDA</v>
          </cell>
          <cell r="CD1197">
            <v>1.2750726744186001E-3</v>
          </cell>
        </row>
        <row r="1198">
          <cell r="B1198" t="str">
            <v>Carga_Geral_Paranaguá</v>
          </cell>
          <cell r="D1198" t="str">
            <v>Armazenagem (%)</v>
          </cell>
          <cell r="E1198" t="str">
            <v>AGRICOLA FERRARI LTDA</v>
          </cell>
          <cell r="CD1198">
            <v>0</v>
          </cell>
        </row>
        <row r="1199">
          <cell r="B1199" t="str">
            <v>Carga_Geral_Paranaguá</v>
          </cell>
          <cell r="D1199" t="str">
            <v>Armazenagem (%)</v>
          </cell>
          <cell r="E1199" t="str">
            <v>ARBAZA ALIMENTOS LTDA</v>
          </cell>
          <cell r="CD1199">
            <v>0</v>
          </cell>
        </row>
        <row r="1200">
          <cell r="B1200" t="str">
            <v>Carga_Geral_Paranaguá</v>
          </cell>
          <cell r="D1200" t="str">
            <v>Armazenagem (%)</v>
          </cell>
          <cell r="E1200" t="str">
            <v>AMCOR FLEXIBLES DO BRASIL INDUSTRIA</v>
          </cell>
          <cell r="CD1200">
            <v>2.23473837209302E-3</v>
          </cell>
        </row>
        <row r="1201">
          <cell r="B1201" t="str">
            <v>Carga_Geral_Paranaguá</v>
          </cell>
          <cell r="D1201" t="str">
            <v>Armazenagem (%)</v>
          </cell>
          <cell r="E1201" t="str">
            <v>BERNECK S.A. PAINEIS E SERRADOS</v>
          </cell>
          <cell r="CD1201">
            <v>0</v>
          </cell>
        </row>
        <row r="1202">
          <cell r="B1202" t="str">
            <v>Carga_Geral_Paranaguá</v>
          </cell>
          <cell r="D1202" t="str">
            <v>Armazenagem (%)</v>
          </cell>
          <cell r="E1202" t="str">
            <v>BLUE OCEAN INTERNACIONAL LTDA</v>
          </cell>
          <cell r="CD1202">
            <v>0</v>
          </cell>
        </row>
        <row r="1203">
          <cell r="B1203" t="str">
            <v>Carga_Geral_Paranaguá</v>
          </cell>
          <cell r="D1203" t="str">
            <v>Armazenagem (%)</v>
          </cell>
          <cell r="E1203" t="str">
            <v>BONECHAR CARVAO ATIVADO</v>
          </cell>
          <cell r="CD1203">
            <v>0</v>
          </cell>
        </row>
        <row r="1204">
          <cell r="B1204" t="str">
            <v>Carga_Geral_Paranaguá</v>
          </cell>
          <cell r="D1204" t="str">
            <v>Armazenagem (%)</v>
          </cell>
          <cell r="E1204" t="str">
            <v>BRF S.A</v>
          </cell>
          <cell r="CD1204">
            <v>0.88198343628875997</v>
          </cell>
        </row>
        <row r="1205">
          <cell r="B1205" t="str">
            <v>Carga_Geral_Paranaguá</v>
          </cell>
          <cell r="D1205" t="str">
            <v>Armazenagem (%)</v>
          </cell>
          <cell r="E1205" t="str">
            <v>FUGA COUROS SA</v>
          </cell>
          <cell r="CD1205">
            <v>4.4385810319767398E-2</v>
          </cell>
        </row>
        <row r="1206">
          <cell r="B1206" t="str">
            <v>Carga_Geral_Paranaguá</v>
          </cell>
          <cell r="D1206" t="str">
            <v>Armazenagem (%)</v>
          </cell>
          <cell r="E1206" t="str">
            <v>J.P. DE OLIVEIRA - COMERCIO DE</v>
          </cell>
          <cell r="CD1206">
            <v>0</v>
          </cell>
        </row>
        <row r="1207">
          <cell r="B1207" t="str">
            <v>Carga_Geral_Paranaguá</v>
          </cell>
          <cell r="D1207" t="str">
            <v>Armazenagem (%)</v>
          </cell>
          <cell r="E1207" t="str">
            <v>MAGNA LOGISTICS SOLUTIONS SA</v>
          </cell>
          <cell r="CD1207">
            <v>0</v>
          </cell>
        </row>
        <row r="1208">
          <cell r="B1208" t="str">
            <v>Carga_Geral_Paranaguá</v>
          </cell>
          <cell r="D1208" t="str">
            <v>Armazenagem (%)</v>
          </cell>
          <cell r="E1208" t="str">
            <v>PROTECTA COMÉRCIO DE PRODUTOS</v>
          </cell>
          <cell r="CD1208">
            <v>0</v>
          </cell>
        </row>
        <row r="1209">
          <cell r="B1209" t="str">
            <v>Carga_Geral_Paranaguá</v>
          </cell>
          <cell r="D1209" t="str">
            <v>Armazenagem (%)</v>
          </cell>
          <cell r="E1209" t="str">
            <v>SUMITOMO RUBBER DO BRASIL LTDA</v>
          </cell>
          <cell r="CD1209">
            <v>0</v>
          </cell>
        </row>
        <row r="1210">
          <cell r="B1210" t="str">
            <v>Carga_Geral_Paranaguá</v>
          </cell>
          <cell r="D1210" t="str">
            <v>Armazenagem (%)</v>
          </cell>
          <cell r="E1210" t="str">
            <v>TRC AGROFLORESTAL LTDA</v>
          </cell>
          <cell r="CD1210">
            <v>3.77216569767442E-3</v>
          </cell>
        </row>
        <row r="1211">
          <cell r="B1211" t="str">
            <v>Carga_Geral_Paranaguá</v>
          </cell>
          <cell r="D1211" t="str">
            <v>Armazenagem (%)</v>
          </cell>
          <cell r="E1211" t="str">
            <v>WFA COMERCIO IMPORTACAO E</v>
          </cell>
          <cell r="CD1211">
            <v>3.8615552325581399E-3</v>
          </cell>
        </row>
        <row r="1212">
          <cell r="B1212" t="str">
            <v>Carga_Geral_Paranaguá</v>
          </cell>
          <cell r="D1212" t="str">
            <v>Faturamento | Armazenagem (BRL'000)</v>
          </cell>
          <cell r="E1212" t="str">
            <v>Subtotal</v>
          </cell>
          <cell r="CD1212">
            <v>2833.4131220414538</v>
          </cell>
        </row>
        <row r="1213">
          <cell r="B1213" t="str">
            <v>Carga_Geral_Paranaguá</v>
          </cell>
          <cell r="D1213" t="str">
            <v>Faturamento | Armazenagem (BRL'000)</v>
          </cell>
          <cell r="E1213" t="str">
            <v>4M AGROFLORESTAL LTDA</v>
          </cell>
          <cell r="CD1213">
            <v>3.9204453599999991</v>
          </cell>
        </row>
        <row r="1214">
          <cell r="B1214" t="str">
            <v>Carga_Geral_Paranaguá</v>
          </cell>
          <cell r="D1214" t="str">
            <v>Faturamento | Armazenagem (BRL'000)</v>
          </cell>
          <cell r="E1214" t="str">
            <v>AGRICOLA FERRARI LTDA</v>
          </cell>
          <cell r="CD1214">
            <v>0</v>
          </cell>
        </row>
        <row r="1215">
          <cell r="B1215" t="str">
            <v>Carga_Geral_Paranaguá</v>
          </cell>
          <cell r="D1215" t="str">
            <v>Faturamento | Armazenagem (BRL'000)</v>
          </cell>
          <cell r="E1215" t="str">
            <v>ARBAZA ALIMENTOS LTDA</v>
          </cell>
          <cell r="CD1215">
            <v>0</v>
          </cell>
        </row>
        <row r="1216">
          <cell r="B1216" t="str">
            <v>Carga_Geral_Paranaguá</v>
          </cell>
          <cell r="D1216" t="str">
            <v>Faturamento | Armazenagem (BRL'000)</v>
          </cell>
          <cell r="E1216" t="str">
            <v>AMCOR FLEXIBLES DO BRASIL INDUSTRIA</v>
          </cell>
          <cell r="CD1216">
            <v>8.3994019200000007</v>
          </cell>
        </row>
        <row r="1217">
          <cell r="B1217" t="str">
            <v>Carga_Geral_Paranaguá</v>
          </cell>
          <cell r="D1217" t="str">
            <v>Faturamento | Armazenagem (BRL'000)</v>
          </cell>
          <cell r="E1217" t="str">
            <v>BERNECK S.A. PAINEIS E SERRADOS</v>
          </cell>
          <cell r="CD1217">
            <v>0</v>
          </cell>
        </row>
        <row r="1218">
          <cell r="B1218" t="str">
            <v>Carga_Geral_Paranaguá</v>
          </cell>
          <cell r="D1218" t="str">
            <v>Faturamento | Armazenagem (BRL'000)</v>
          </cell>
          <cell r="E1218" t="str">
            <v>BLUE OCEAN INTERNACIONAL LTDA</v>
          </cell>
          <cell r="CD1218">
            <v>0</v>
          </cell>
        </row>
        <row r="1219">
          <cell r="B1219" t="str">
            <v>Carga_Geral_Paranaguá</v>
          </cell>
          <cell r="D1219" t="str">
            <v>Faturamento | Armazenagem (BRL'000)</v>
          </cell>
          <cell r="E1219" t="str">
            <v>BONECHAR CARVAO ATIVADO</v>
          </cell>
          <cell r="CD1219">
            <v>0</v>
          </cell>
        </row>
        <row r="1220">
          <cell r="B1220" t="str">
            <v>Carga_Geral_Paranaguá</v>
          </cell>
          <cell r="D1220" t="str">
            <v>Faturamento | Armazenagem (BRL'000)</v>
          </cell>
          <cell r="E1220" t="str">
            <v>BRF S.A</v>
          </cell>
          <cell r="CD1220">
            <v>2609.2685674488539</v>
          </cell>
        </row>
        <row r="1221">
          <cell r="B1221" t="str">
            <v>Carga_Geral_Paranaguá</v>
          </cell>
          <cell r="D1221" t="str">
            <v>Faturamento | Armazenagem (BRL'000)</v>
          </cell>
          <cell r="E1221" t="str">
            <v>FUGA COUROS SA</v>
          </cell>
          <cell r="CD1221">
            <v>161.62377471260001</v>
          </cell>
        </row>
        <row r="1222">
          <cell r="B1222" t="str">
            <v>Carga_Geral_Paranaguá</v>
          </cell>
          <cell r="D1222" t="str">
            <v>Faturamento | Armazenagem (BRL'000)</v>
          </cell>
          <cell r="E1222" t="str">
            <v>J.P. DE OLIVEIRA - COMERCIO DE</v>
          </cell>
          <cell r="CD1222">
            <v>0</v>
          </cell>
        </row>
        <row r="1223">
          <cell r="B1223" t="str">
            <v>Carga_Geral_Paranaguá</v>
          </cell>
          <cell r="D1223" t="str">
            <v>Faturamento | Armazenagem (BRL'000)</v>
          </cell>
          <cell r="E1223" t="str">
            <v>MAGNA LOGISTICS SOLUTIONS SA</v>
          </cell>
          <cell r="CD1223">
            <v>0</v>
          </cell>
        </row>
        <row r="1224">
          <cell r="B1224" t="str">
            <v>Carga_Geral_Paranaguá</v>
          </cell>
          <cell r="D1224" t="str">
            <v>Faturamento | Armazenagem (BRL'000)</v>
          </cell>
          <cell r="E1224" t="str">
            <v>PROTECTA COMÉRCIO DE PRODUTOS</v>
          </cell>
          <cell r="CD1224">
            <v>0</v>
          </cell>
        </row>
        <row r="1225">
          <cell r="B1225" t="str">
            <v>Carga_Geral_Paranaguá</v>
          </cell>
          <cell r="D1225" t="str">
            <v>Faturamento | Armazenagem (BRL'000)</v>
          </cell>
          <cell r="E1225" t="str">
            <v>SUMITOMO RUBBER DO BRASIL LTDA</v>
          </cell>
          <cell r="CD1225">
            <v>0</v>
          </cell>
        </row>
        <row r="1226">
          <cell r="B1226" t="str">
            <v>Carga_Geral_Paranaguá</v>
          </cell>
          <cell r="D1226" t="str">
            <v>Faturamento | Armazenagem (BRL'000)</v>
          </cell>
          <cell r="E1226" t="str">
            <v>TRC AGROFLORESTAL LTDA</v>
          </cell>
          <cell r="CD1226">
            <v>31.542615000000009</v>
          </cell>
        </row>
        <row r="1227">
          <cell r="B1227" t="str">
            <v>Carga_Geral_Paranaguá</v>
          </cell>
          <cell r="D1227" t="str">
            <v>Faturamento | Armazenagem (BRL'000)</v>
          </cell>
          <cell r="E1227" t="str">
            <v>WFA COMERCIO IMPORTACAO E</v>
          </cell>
          <cell r="CD1227">
            <v>18.6583176</v>
          </cell>
        </row>
        <row r="1228">
          <cell r="B1228" t="str">
            <v>Carga_Geral_Paranaguá</v>
          </cell>
          <cell r="D1228" t="str">
            <v>Ticket Médio | Armazenagem (BRL)</v>
          </cell>
          <cell r="E1228" t="str">
            <v>Subtotal</v>
          </cell>
          <cell r="CD1228">
            <v>45.783480616982359</v>
          </cell>
        </row>
        <row r="1229">
          <cell r="B1229" t="str">
            <v>Carga_Geral_Paranaguá</v>
          </cell>
          <cell r="D1229" t="str">
            <v>Ticket Médio | Armazenagem (BRL)</v>
          </cell>
          <cell r="E1229" t="str">
            <v>4M AGROFLORESTAL LTDA</v>
          </cell>
          <cell r="CD1229">
            <v>46.55226275292106</v>
          </cell>
        </row>
        <row r="1230">
          <cell r="B1230" t="str">
            <v>Carga_Geral_Paranaguá</v>
          </cell>
          <cell r="D1230" t="str">
            <v>Ticket Médio | Armazenagem (BRL)</v>
          </cell>
          <cell r="E1230" t="str">
            <v>AGRICOLA FERRARI LTDA</v>
          </cell>
          <cell r="CD1230">
            <v>0</v>
          </cell>
        </row>
        <row r="1231">
          <cell r="B1231" t="str">
            <v>Carga_Geral_Paranaguá</v>
          </cell>
          <cell r="D1231" t="str">
            <v>Ticket Médio | Armazenagem (BRL)</v>
          </cell>
          <cell r="E1231" t="str">
            <v>ARBAZA ALIMENTOS LTDA</v>
          </cell>
          <cell r="CD1231">
            <v>0</v>
          </cell>
        </row>
        <row r="1232">
          <cell r="B1232" t="str">
            <v>Carga_Geral_Paranaguá</v>
          </cell>
          <cell r="D1232" t="str">
            <v>Ticket Médio | Armazenagem (BRL)</v>
          </cell>
          <cell r="E1232" t="str">
            <v>AMCOR FLEXIBLES DO BRASIL INDUSTRIA</v>
          </cell>
          <cell r="CD1232">
            <v>56.906517073170711</v>
          </cell>
        </row>
        <row r="1233">
          <cell r="B1233" t="str">
            <v>Carga_Geral_Paranaguá</v>
          </cell>
          <cell r="D1233" t="str">
            <v>Ticket Médio | Armazenagem (BRL)</v>
          </cell>
          <cell r="E1233" t="str">
            <v>BERNECK S.A. PAINEIS E SERRADOS</v>
          </cell>
          <cell r="CD1233">
            <v>0</v>
          </cell>
        </row>
        <row r="1234">
          <cell r="B1234" t="str">
            <v>Carga_Geral_Paranaguá</v>
          </cell>
          <cell r="D1234" t="str">
            <v>Ticket Médio | Armazenagem (BRL)</v>
          </cell>
          <cell r="E1234" t="str">
            <v>BLUE OCEAN INTERNACIONAL LTDA</v>
          </cell>
          <cell r="CD1234">
            <v>0</v>
          </cell>
        </row>
        <row r="1235">
          <cell r="B1235" t="str">
            <v>Carga_Geral_Paranaguá</v>
          </cell>
          <cell r="D1235" t="str">
            <v>Ticket Médio | Armazenagem (BRL)</v>
          </cell>
          <cell r="E1235" t="str">
            <v>BONECHAR CARVAO ATIVADO</v>
          </cell>
          <cell r="CD1235">
            <v>0</v>
          </cell>
        </row>
        <row r="1236">
          <cell r="B1236" t="str">
            <v>Carga_Geral_Paranaguá</v>
          </cell>
          <cell r="D1236" t="str">
            <v>Ticket Médio | Armazenagem (BRL)</v>
          </cell>
          <cell r="E1236" t="str">
            <v>BRF S.A</v>
          </cell>
          <cell r="CD1236">
            <v>44.817144383576498</v>
          </cell>
        </row>
        <row r="1237">
          <cell r="B1237" t="str">
            <v>Carga_Geral_Paranaguá</v>
          </cell>
          <cell r="D1237" t="str">
            <v>Ticket Médio | Armazenagem (BRL)</v>
          </cell>
          <cell r="E1237" t="str">
            <v>FUGA COUROS SA</v>
          </cell>
          <cell r="CD1237">
            <v>55.131704701469552</v>
          </cell>
        </row>
        <row r="1238">
          <cell r="B1238" t="str">
            <v>Carga_Geral_Paranaguá</v>
          </cell>
          <cell r="D1238" t="str">
            <v>Ticket Médio | Armazenagem (BRL)</v>
          </cell>
          <cell r="E1238" t="str">
            <v>J.P. DE OLIVEIRA - COMERCIO DE</v>
          </cell>
          <cell r="CD1238">
            <v>0</v>
          </cell>
        </row>
        <row r="1239">
          <cell r="B1239" t="str">
            <v>Carga_Geral_Paranaguá</v>
          </cell>
          <cell r="D1239" t="str">
            <v>Ticket Médio | Armazenagem (BRL)</v>
          </cell>
          <cell r="E1239" t="str">
            <v>MAGNA LOGISTICS SOLUTIONS SA</v>
          </cell>
          <cell r="CD1239">
            <v>0</v>
          </cell>
        </row>
        <row r="1240">
          <cell r="B1240" t="str">
            <v>Carga_Geral_Paranaguá</v>
          </cell>
          <cell r="D1240" t="str">
            <v>Ticket Médio | Armazenagem (BRL)</v>
          </cell>
          <cell r="E1240" t="str">
            <v>PROTECTA COMÉRCIO DE PRODUTOS</v>
          </cell>
          <cell r="CD1240">
            <v>0</v>
          </cell>
        </row>
        <row r="1241">
          <cell r="B1241" t="str">
            <v>Carga_Geral_Paranaguá</v>
          </cell>
          <cell r="D1241" t="str">
            <v>Ticket Médio | Armazenagem (BRL)</v>
          </cell>
          <cell r="E1241" t="str">
            <v>SUMITOMO RUBBER DO BRASIL LTDA</v>
          </cell>
          <cell r="CD1241">
            <v>0</v>
          </cell>
        </row>
        <row r="1242">
          <cell r="B1242" t="str">
            <v>Carga_Geral_Paranaguá</v>
          </cell>
          <cell r="D1242" t="str">
            <v>Ticket Médio | Armazenagem (BRL)</v>
          </cell>
          <cell r="E1242" t="str">
            <v>TRC AGROFLORESTAL LTDA</v>
          </cell>
          <cell r="CD1242">
            <v>126.60395193141311</v>
          </cell>
        </row>
        <row r="1243">
          <cell r="B1243" t="str">
            <v>Carga_Geral_Paranaguá</v>
          </cell>
          <cell r="D1243" t="str">
            <v>Ticket Médio | Armazenagem (BRL)</v>
          </cell>
          <cell r="E1243" t="str">
            <v>WFA COMERCIO IMPORTACAO E</v>
          </cell>
          <cell r="CD1243">
            <v>73.156102380728314</v>
          </cell>
        </row>
        <row r="1244">
          <cell r="B1244" t="str">
            <v>Carga_Geral_Paranaguá</v>
          </cell>
          <cell r="D1244" t="str">
            <v>Movimentação (Toneladas)</v>
          </cell>
          <cell r="E1244" t="str">
            <v>Subtotal</v>
          </cell>
          <cell r="CD1244">
            <v>38991.296799999996</v>
          </cell>
        </row>
        <row r="1245">
          <cell r="B1245" t="str">
            <v>Carga_Geral_Paranaguá</v>
          </cell>
          <cell r="D1245" t="str">
            <v>Movimentação (Cntr Saída)</v>
          </cell>
          <cell r="E1245" t="str">
            <v>4M AGROFLORESTAL LTDA</v>
          </cell>
          <cell r="CD1245">
            <v>0</v>
          </cell>
        </row>
        <row r="1246">
          <cell r="B1246" t="str">
            <v>Carga_Geral_Paranaguá</v>
          </cell>
          <cell r="D1246" t="str">
            <v>Movimentação (Cntr Saída)</v>
          </cell>
          <cell r="E1246" t="str">
            <v>AGRICOLA FERRARI LTDA</v>
          </cell>
          <cell r="CD1246">
            <v>0</v>
          </cell>
        </row>
        <row r="1247">
          <cell r="B1247" t="str">
            <v>Carga_Geral_Paranaguá</v>
          </cell>
          <cell r="D1247" t="str">
            <v>Movimentação (Cntr Saída)</v>
          </cell>
          <cell r="E1247" t="str">
            <v>ARBAZA ALIMENTOS LTDA</v>
          </cell>
          <cell r="CD1247">
            <v>13440</v>
          </cell>
        </row>
        <row r="1248">
          <cell r="B1248" t="str">
            <v>Carga_Geral_Paranaguá</v>
          </cell>
          <cell r="D1248" t="str">
            <v>Movimentação (Cntr Saída)</v>
          </cell>
          <cell r="E1248" t="str">
            <v>AMCOR FLEXIBLES DO BRASIL INDUSTRIA</v>
          </cell>
          <cell r="CD1248">
            <v>0</v>
          </cell>
        </row>
        <row r="1249">
          <cell r="B1249" t="str">
            <v>Carga_Geral_Paranaguá</v>
          </cell>
          <cell r="D1249" t="str">
            <v>Movimentação (Cntr Saída)</v>
          </cell>
          <cell r="E1249" t="str">
            <v>BERNECK S.A. PAINEIS E SERRADOS</v>
          </cell>
          <cell r="CD1249">
            <v>0</v>
          </cell>
        </row>
        <row r="1250">
          <cell r="B1250" t="str">
            <v>Carga_Geral_Paranaguá</v>
          </cell>
          <cell r="D1250" t="str">
            <v>Movimentação (Cntr Saída)</v>
          </cell>
          <cell r="E1250" t="str">
            <v>BLUE OCEAN INTERNACIONAL LTDA</v>
          </cell>
          <cell r="CD1250">
            <v>0</v>
          </cell>
        </row>
        <row r="1251">
          <cell r="B1251" t="str">
            <v>Carga_Geral_Paranaguá</v>
          </cell>
          <cell r="D1251" t="str">
            <v>Movimentação (Cntr Saída)</v>
          </cell>
          <cell r="E1251" t="str">
            <v>BONECHAR CARVAO ATIVADO</v>
          </cell>
          <cell r="CD1251">
            <v>0</v>
          </cell>
        </row>
        <row r="1252">
          <cell r="B1252" t="str">
            <v>Carga_Geral_Paranaguá</v>
          </cell>
          <cell r="D1252" t="str">
            <v>Movimentação (Cntr Saída)</v>
          </cell>
          <cell r="E1252" t="str">
            <v>BRF S.A</v>
          </cell>
          <cell r="CD1252">
            <v>23301.2968</v>
          </cell>
        </row>
        <row r="1253">
          <cell r="B1253" t="str">
            <v>Carga_Geral_Paranaguá</v>
          </cell>
          <cell r="D1253" t="str">
            <v>Movimentação (Cntr Saída)</v>
          </cell>
          <cell r="E1253" t="str">
            <v>FUGA COUROS SA</v>
          </cell>
          <cell r="CD1253">
            <v>840</v>
          </cell>
        </row>
        <row r="1254">
          <cell r="B1254" t="str">
            <v>Carga_Geral_Paranaguá</v>
          </cell>
          <cell r="D1254" t="str">
            <v>Movimentação (Cntr Saída)</v>
          </cell>
          <cell r="E1254" t="str">
            <v>J.P. DE OLIVEIRA - COMERCIO DE</v>
          </cell>
          <cell r="CD1254">
            <v>0</v>
          </cell>
        </row>
        <row r="1255">
          <cell r="B1255" t="str">
            <v>Carga_Geral_Paranaguá</v>
          </cell>
          <cell r="D1255" t="str">
            <v>Movimentação (Cntr Saída)</v>
          </cell>
          <cell r="E1255" t="str">
            <v>MAGNA LOGISTICS SOLUTIONS SA</v>
          </cell>
          <cell r="CD1255">
            <v>0</v>
          </cell>
        </row>
        <row r="1256">
          <cell r="B1256" t="str">
            <v>Carga_Geral_Paranaguá</v>
          </cell>
          <cell r="D1256" t="str">
            <v>Movimentação (Cntr Saída)</v>
          </cell>
          <cell r="E1256" t="str">
            <v>PROTECTA COMÉRCIO DE PRODUTOS</v>
          </cell>
          <cell r="CD1256">
            <v>0</v>
          </cell>
        </row>
        <row r="1257">
          <cell r="B1257" t="str">
            <v>Carga_Geral_Paranaguá</v>
          </cell>
          <cell r="D1257" t="str">
            <v>Movimentação (Cntr Saída)</v>
          </cell>
          <cell r="E1257" t="str">
            <v>SUMITOMO RUBBER DO BRASIL LTDA</v>
          </cell>
          <cell r="CD1257">
            <v>0</v>
          </cell>
        </row>
        <row r="1258">
          <cell r="B1258" t="str">
            <v>Carga_Geral_Paranaguá</v>
          </cell>
          <cell r="D1258" t="str">
            <v>Movimentação (Cntr Saída)</v>
          </cell>
          <cell r="E1258" t="str">
            <v>TRC AGROFLORESTAL LTDA</v>
          </cell>
          <cell r="CD1258">
            <v>1410</v>
          </cell>
        </row>
        <row r="1259">
          <cell r="B1259" t="str">
            <v>Carga_Geral_Paranaguá</v>
          </cell>
          <cell r="D1259" t="str">
            <v>Movimentação (Cntr Saída)</v>
          </cell>
          <cell r="E1259" t="str">
            <v>WFA COMERCIO IMPORTACAO E</v>
          </cell>
          <cell r="CD1259">
            <v>0</v>
          </cell>
        </row>
        <row r="1260">
          <cell r="B1260" t="str">
            <v>Carga_Geral_Paranaguá</v>
          </cell>
          <cell r="D1260" t="str">
            <v>Faturamento | Movimentação (BRL'000)</v>
          </cell>
          <cell r="E1260" t="str">
            <v>Subtotal</v>
          </cell>
          <cell r="CD1260">
            <v>20968.40382987028</v>
          </cell>
        </row>
        <row r="1261">
          <cell r="B1261" t="str">
            <v>Carga_Geral_Paranaguá</v>
          </cell>
          <cell r="D1261" t="str">
            <v>Faturamento | Movimentação (BRL'000)</v>
          </cell>
          <cell r="E1261" t="str">
            <v>4M AGROFLORESTAL LTDA</v>
          </cell>
          <cell r="CD1261">
            <v>0</v>
          </cell>
        </row>
        <row r="1262">
          <cell r="B1262" t="str">
            <v>Carga_Geral_Paranaguá</v>
          </cell>
          <cell r="D1262" t="str">
            <v>Faturamento | Movimentação (BRL'000)</v>
          </cell>
          <cell r="E1262" t="str">
            <v>AGRICOLA FERRARI LTDA</v>
          </cell>
          <cell r="CD1262">
            <v>0</v>
          </cell>
        </row>
        <row r="1263">
          <cell r="B1263" t="str">
            <v>Carga_Geral_Paranaguá</v>
          </cell>
          <cell r="D1263" t="str">
            <v>Faturamento | Movimentação (BRL'000)</v>
          </cell>
          <cell r="E1263" t="str">
            <v>ARBAZA ALIMENTOS LTDA</v>
          </cell>
          <cell r="CD1263">
            <v>17677.171486964689</v>
          </cell>
        </row>
        <row r="1264">
          <cell r="B1264" t="str">
            <v>Carga_Geral_Paranaguá</v>
          </cell>
          <cell r="D1264" t="str">
            <v>Faturamento | Movimentação (BRL'000)</v>
          </cell>
          <cell r="E1264" t="str">
            <v>AMCOR FLEXIBLES DO BRASIL INDUSTRIA</v>
          </cell>
          <cell r="CD1264">
            <v>0</v>
          </cell>
        </row>
        <row r="1265">
          <cell r="B1265" t="str">
            <v>Carga_Geral_Paranaguá</v>
          </cell>
          <cell r="D1265" t="str">
            <v>Faturamento | Movimentação (BRL'000)</v>
          </cell>
          <cell r="E1265" t="str">
            <v>BERNECK S.A. PAINEIS E SERRADOS</v>
          </cell>
          <cell r="CD1265">
            <v>0</v>
          </cell>
        </row>
        <row r="1266">
          <cell r="B1266" t="str">
            <v>Carga_Geral_Paranaguá</v>
          </cell>
          <cell r="D1266" t="str">
            <v>Faturamento | Movimentação (BRL'000)</v>
          </cell>
          <cell r="E1266" t="str">
            <v>BLUE OCEAN INTERNACIONAL LTDA</v>
          </cell>
          <cell r="CD1266">
            <v>0</v>
          </cell>
        </row>
        <row r="1267">
          <cell r="B1267" t="str">
            <v>Carga_Geral_Paranaguá</v>
          </cell>
          <cell r="D1267" t="str">
            <v>Faturamento | Movimentação (BRL'000)</v>
          </cell>
          <cell r="E1267" t="str">
            <v>BONECHAR CARVAO ATIVADO</v>
          </cell>
          <cell r="CD1267">
            <v>0</v>
          </cell>
        </row>
        <row r="1268">
          <cell r="B1268" t="str">
            <v>Carga_Geral_Paranaguá</v>
          </cell>
          <cell r="D1268" t="str">
            <v>Faturamento | Movimentação (BRL'000)</v>
          </cell>
          <cell r="E1268" t="str">
            <v>BRF S.A</v>
          </cell>
          <cell r="CD1268">
            <v>1703.555792453554</v>
          </cell>
        </row>
        <row r="1269">
          <cell r="B1269" t="str">
            <v>Carga_Geral_Paranaguá</v>
          </cell>
          <cell r="D1269" t="str">
            <v>Faturamento | Movimentação (BRL'000)</v>
          </cell>
          <cell r="E1269" t="str">
            <v>FUGA COUROS SA</v>
          </cell>
          <cell r="CD1269">
            <v>364.72672040203457</v>
          </cell>
        </row>
        <row r="1270">
          <cell r="B1270" t="str">
            <v>Carga_Geral_Paranaguá</v>
          </cell>
          <cell r="D1270" t="str">
            <v>Faturamento | Movimentação (BRL'000)</v>
          </cell>
          <cell r="E1270" t="str">
            <v>J.P. DE OLIVEIRA - COMERCIO DE</v>
          </cell>
          <cell r="CD1270">
            <v>0</v>
          </cell>
        </row>
        <row r="1271">
          <cell r="B1271" t="str">
            <v>Carga_Geral_Paranaguá</v>
          </cell>
          <cell r="D1271" t="str">
            <v>Faturamento | Movimentação (BRL'000)</v>
          </cell>
          <cell r="E1271" t="str">
            <v>MAGNA LOGISTICS SOLUTIONS SA</v>
          </cell>
          <cell r="CD1271">
            <v>0</v>
          </cell>
        </row>
        <row r="1272">
          <cell r="B1272" t="str">
            <v>Carga_Geral_Paranaguá</v>
          </cell>
          <cell r="D1272" t="str">
            <v>Faturamento | Movimentação (BRL'000)</v>
          </cell>
          <cell r="E1272" t="str">
            <v>PROTECTA COMÉRCIO DE PRODUTOS</v>
          </cell>
          <cell r="CD1272">
            <v>0</v>
          </cell>
        </row>
        <row r="1273">
          <cell r="B1273" t="str">
            <v>Carga_Geral_Paranaguá</v>
          </cell>
          <cell r="D1273" t="str">
            <v>Faturamento | Movimentação (BRL'000)</v>
          </cell>
          <cell r="E1273" t="str">
            <v>SUMITOMO RUBBER DO BRASIL LTDA</v>
          </cell>
          <cell r="CD1273">
            <v>0</v>
          </cell>
        </row>
        <row r="1274">
          <cell r="B1274" t="str">
            <v>Carga_Geral_Paranaguá</v>
          </cell>
          <cell r="D1274" t="str">
            <v>Faturamento | Movimentação (BRL'000)</v>
          </cell>
          <cell r="E1274" t="str">
            <v>TRC AGROFLORESTAL LTDA</v>
          </cell>
          <cell r="CD1274">
            <v>1222.9498300499999</v>
          </cell>
        </row>
        <row r="1275">
          <cell r="B1275" t="str">
            <v>Carga_Geral_Paranaguá</v>
          </cell>
          <cell r="D1275" t="str">
            <v>Faturamento | Movimentação (BRL'000)</v>
          </cell>
          <cell r="E1275" t="str">
            <v>WFA COMERCIO IMPORTACAO E</v>
          </cell>
          <cell r="CD1275">
            <v>0</v>
          </cell>
        </row>
        <row r="1276">
          <cell r="B1276" t="str">
            <v>Carga_Geral_Paranaguá</v>
          </cell>
          <cell r="D1276" t="str">
            <v>Ticket Médio | Movimentação (BRL)</v>
          </cell>
          <cell r="E1276" t="str">
            <v>Subtotal</v>
          </cell>
          <cell r="CD1276">
            <v>486.62589840419491</v>
          </cell>
        </row>
        <row r="1277">
          <cell r="B1277" t="str">
            <v>Carga_Geral_Paranaguá</v>
          </cell>
          <cell r="D1277" t="str">
            <v>Ticket Médio | Movimentação (BRL)</v>
          </cell>
          <cell r="E1277" t="str">
            <v>4M AGROFLORESTAL LTDA</v>
          </cell>
          <cell r="CD1277">
            <v>0</v>
          </cell>
        </row>
        <row r="1278">
          <cell r="B1278" t="str">
            <v>Carga_Geral_Paranaguá</v>
          </cell>
          <cell r="D1278" t="str">
            <v>Ticket Médio | Movimentação (BRL)</v>
          </cell>
          <cell r="E1278" t="str">
            <v>AGRICOLA FERRARI LTDA</v>
          </cell>
          <cell r="CD1278">
            <v>0</v>
          </cell>
        </row>
        <row r="1279">
          <cell r="B1279" t="str">
            <v>Carga_Geral_Paranaguá</v>
          </cell>
          <cell r="D1279" t="str">
            <v>Ticket Médio | Movimentação (BRL)</v>
          </cell>
          <cell r="E1279" t="str">
            <v>ARBAZA ALIMENTOS LTDA</v>
          </cell>
          <cell r="CD1279">
            <v>1315.265735637254</v>
          </cell>
        </row>
        <row r="1280">
          <cell r="B1280" t="str">
            <v>Carga_Geral_Paranaguá</v>
          </cell>
          <cell r="D1280" t="str">
            <v>Ticket Médio | Movimentação (BRL)</v>
          </cell>
          <cell r="E1280" t="str">
            <v>AMCOR FLEXIBLES DO BRASIL INDUSTRIA</v>
          </cell>
          <cell r="CD1280">
            <v>0</v>
          </cell>
        </row>
        <row r="1281">
          <cell r="B1281" t="str">
            <v>Carga_Geral_Paranaguá</v>
          </cell>
          <cell r="D1281" t="str">
            <v>Ticket Médio | Movimentação (BRL)</v>
          </cell>
          <cell r="E1281" t="str">
            <v>BERNECK S.A. PAINEIS E SERRADOS</v>
          </cell>
          <cell r="CD1281">
            <v>0</v>
          </cell>
        </row>
        <row r="1282">
          <cell r="B1282" t="str">
            <v>Carga_Geral_Paranaguá</v>
          </cell>
          <cell r="D1282" t="str">
            <v>Ticket Médio | Movimentação (BRL)</v>
          </cell>
          <cell r="E1282" t="str">
            <v>BLUE OCEAN INTERNACIONAL LTDA</v>
          </cell>
          <cell r="CD1282">
            <v>0</v>
          </cell>
        </row>
        <row r="1283">
          <cell r="B1283" t="str">
            <v>Carga_Geral_Paranaguá</v>
          </cell>
          <cell r="D1283" t="str">
            <v>Ticket Médio | Movimentação (BRL)</v>
          </cell>
          <cell r="E1283" t="str">
            <v>BONECHAR CARVAO ATIVADO</v>
          </cell>
          <cell r="CD1283">
            <v>0</v>
          </cell>
        </row>
        <row r="1284">
          <cell r="B1284" t="str">
            <v>Carga_Geral_Paranaguá</v>
          </cell>
          <cell r="D1284" t="str">
            <v>Ticket Médio | Movimentação (BRL)</v>
          </cell>
          <cell r="E1284" t="str">
            <v>BRF S.A</v>
          </cell>
          <cell r="CD1284">
            <v>73.151252872482956</v>
          </cell>
        </row>
        <row r="1285">
          <cell r="B1285" t="str">
            <v>Carga_Geral_Paranaguá</v>
          </cell>
          <cell r="D1285" t="str">
            <v>Ticket Médio | Movimentação (BRL)</v>
          </cell>
          <cell r="E1285" t="str">
            <v>FUGA COUROS SA</v>
          </cell>
          <cell r="CD1285">
            <v>434.19847666908868</v>
          </cell>
        </row>
        <row r="1286">
          <cell r="B1286" t="str">
            <v>Carga_Geral_Paranaguá</v>
          </cell>
          <cell r="D1286" t="str">
            <v>Ticket Médio | Movimentação (BRL)</v>
          </cell>
          <cell r="E1286" t="str">
            <v>J.P. DE OLIVEIRA - COMERCIO DE</v>
          </cell>
          <cell r="CD1286">
            <v>0</v>
          </cell>
        </row>
        <row r="1287">
          <cell r="B1287" t="str">
            <v>Carga_Geral_Paranaguá</v>
          </cell>
          <cell r="D1287" t="str">
            <v>Ticket Médio | Movimentação (BRL)</v>
          </cell>
          <cell r="E1287" t="str">
            <v>MAGNA LOGISTICS SOLUTIONS SA</v>
          </cell>
          <cell r="CD1287">
            <v>1190.4274229679079</v>
          </cell>
        </row>
        <row r="1288">
          <cell r="B1288" t="str">
            <v>Carga_Geral_Paranaguá</v>
          </cell>
          <cell r="D1288" t="str">
            <v>Ticket Médio | Movimentação (BRL)</v>
          </cell>
          <cell r="E1288" t="str">
            <v>PROTECTA COMÉRCIO DE PRODUTOS</v>
          </cell>
          <cell r="CD1288">
            <v>0</v>
          </cell>
        </row>
        <row r="1289">
          <cell r="B1289" t="str">
            <v>Carga_Geral_Paranaguá</v>
          </cell>
          <cell r="D1289" t="str">
            <v>Ticket Médio | Movimentação (BRL)</v>
          </cell>
          <cell r="E1289" t="str">
            <v>SUMITOMO RUBBER DO BRASIL LTDA</v>
          </cell>
          <cell r="CD1289">
            <v>76.540829488778542</v>
          </cell>
        </row>
        <row r="1290">
          <cell r="B1290" t="str">
            <v>Carga_Geral_Paranaguá</v>
          </cell>
          <cell r="D1290" t="str">
            <v>Ticket Médio | Movimentação (BRL)</v>
          </cell>
          <cell r="E1290" t="str">
            <v>TRC AGROFLORESTAL LTDA</v>
          </cell>
          <cell r="CD1290">
            <v>867.34030499999983</v>
          </cell>
        </row>
        <row r="1291">
          <cell r="B1291" t="str">
            <v>Carga_Geral_Paranaguá</v>
          </cell>
          <cell r="D1291" t="str">
            <v>Ticket Médio | Movimentação (BRL)</v>
          </cell>
          <cell r="E1291" t="str">
            <v>WFA COMERCIO IMPORTACAO E</v>
          </cell>
          <cell r="CD1291">
            <v>0</v>
          </cell>
        </row>
        <row r="1292">
          <cell r="B1292" t="str">
            <v>Carga_Geral_Paranaguá</v>
          </cell>
          <cell r="D1292" t="str">
            <v>Plugagem</v>
          </cell>
          <cell r="E1292" t="str">
            <v>Subtotal</v>
          </cell>
          <cell r="CD1292">
            <v>0</v>
          </cell>
        </row>
        <row r="1293">
          <cell r="B1293" t="str">
            <v>Carga_Geral_Paranaguá</v>
          </cell>
          <cell r="D1293" t="str">
            <v>Plugagem</v>
          </cell>
          <cell r="E1293" t="str">
            <v>4M AGROFLORESTAL LTDA</v>
          </cell>
          <cell r="CD1293">
            <v>0</v>
          </cell>
        </row>
        <row r="1294">
          <cell r="B1294" t="str">
            <v>Carga_Geral_Paranaguá</v>
          </cell>
          <cell r="D1294" t="str">
            <v>Plugagem</v>
          </cell>
          <cell r="E1294" t="str">
            <v>AGRICOLA FERRARI LTDA</v>
          </cell>
          <cell r="CD1294">
            <v>0</v>
          </cell>
        </row>
        <row r="1295">
          <cell r="B1295" t="str">
            <v>Carga_Geral_Paranaguá</v>
          </cell>
          <cell r="D1295" t="str">
            <v>Plugagem</v>
          </cell>
          <cell r="E1295" t="str">
            <v>ARBAZA ALIMENTOS LTDA</v>
          </cell>
          <cell r="CD1295">
            <v>0</v>
          </cell>
        </row>
        <row r="1296">
          <cell r="B1296" t="str">
            <v>Carga_Geral_Paranaguá</v>
          </cell>
          <cell r="D1296" t="str">
            <v>Plugagem</v>
          </cell>
          <cell r="E1296" t="str">
            <v>AMCOR FLEXIBLES DO BRASIL INDUSTRIA</v>
          </cell>
          <cell r="CD1296">
            <v>0</v>
          </cell>
        </row>
        <row r="1297">
          <cell r="B1297" t="str">
            <v>Carga_Geral_Paranaguá</v>
          </cell>
          <cell r="D1297" t="str">
            <v>Plugagem</v>
          </cell>
          <cell r="E1297" t="str">
            <v>BERNECK S.A. PAINEIS E SERRADOS</v>
          </cell>
          <cell r="CD1297">
            <v>0</v>
          </cell>
        </row>
        <row r="1298">
          <cell r="B1298" t="str">
            <v>Carga_Geral_Paranaguá</v>
          </cell>
          <cell r="D1298" t="str">
            <v>Plugagem</v>
          </cell>
          <cell r="E1298" t="str">
            <v>BLUE OCEAN INTERNACIONAL LTDA</v>
          </cell>
          <cell r="CD1298">
            <v>0</v>
          </cell>
        </row>
        <row r="1299">
          <cell r="B1299" t="str">
            <v>Carga_Geral_Paranaguá</v>
          </cell>
          <cell r="D1299" t="str">
            <v>Plugagem</v>
          </cell>
          <cell r="E1299" t="str">
            <v>BONECHAR CARVAO ATIVADO</v>
          </cell>
          <cell r="CD1299">
            <v>0</v>
          </cell>
        </row>
        <row r="1300">
          <cell r="B1300" t="str">
            <v>Carga_Geral_Paranaguá</v>
          </cell>
          <cell r="D1300" t="str">
            <v>Plugagem</v>
          </cell>
          <cell r="E1300" t="str">
            <v>BRF S.A</v>
          </cell>
          <cell r="CD1300">
            <v>0</v>
          </cell>
        </row>
        <row r="1301">
          <cell r="B1301" t="str">
            <v>Carga_Geral_Paranaguá</v>
          </cell>
          <cell r="D1301" t="str">
            <v>Plugagem</v>
          </cell>
          <cell r="E1301" t="str">
            <v>FUGA COUROS SA</v>
          </cell>
          <cell r="CD1301">
            <v>0</v>
          </cell>
        </row>
        <row r="1302">
          <cell r="B1302" t="str">
            <v>Carga_Geral_Paranaguá</v>
          </cell>
          <cell r="D1302" t="str">
            <v>Plugagem</v>
          </cell>
          <cell r="E1302" t="str">
            <v>J.P. DE OLIVEIRA - COMERCIO DE</v>
          </cell>
          <cell r="CD1302">
            <v>0</v>
          </cell>
        </row>
        <row r="1303">
          <cell r="B1303" t="str">
            <v>Carga_Geral_Paranaguá</v>
          </cell>
          <cell r="D1303" t="str">
            <v>Plugagem</v>
          </cell>
          <cell r="E1303" t="str">
            <v>MAGNA LOGISTICS SOLUTIONS SA</v>
          </cell>
          <cell r="CD1303">
            <v>0</v>
          </cell>
        </row>
        <row r="1304">
          <cell r="B1304" t="str">
            <v>Carga_Geral_Paranaguá</v>
          </cell>
          <cell r="D1304" t="str">
            <v>Plugagem</v>
          </cell>
          <cell r="E1304" t="str">
            <v>PROTECTA COMÉRCIO DE PRODUTOS</v>
          </cell>
          <cell r="CD1304">
            <v>0</v>
          </cell>
        </row>
        <row r="1305">
          <cell r="B1305" t="str">
            <v>Carga_Geral_Paranaguá</v>
          </cell>
          <cell r="D1305" t="str">
            <v>Plugagem</v>
          </cell>
          <cell r="E1305" t="str">
            <v>SUMITOMO RUBBER DO BRASIL LTDA</v>
          </cell>
          <cell r="CD1305">
            <v>0</v>
          </cell>
        </row>
        <row r="1306">
          <cell r="B1306" t="str">
            <v>Carga_Geral_Paranaguá</v>
          </cell>
          <cell r="D1306" t="str">
            <v>Plugagem</v>
          </cell>
          <cell r="E1306" t="str">
            <v>TRC AGROFLORESTAL LTDA</v>
          </cell>
          <cell r="CD1306">
            <v>0</v>
          </cell>
        </row>
        <row r="1307">
          <cell r="B1307" t="str">
            <v>Carga_Geral_Paranaguá</v>
          </cell>
          <cell r="D1307" t="str">
            <v>Plugagem</v>
          </cell>
          <cell r="E1307" t="str">
            <v>WFA COMERCIO IMPORTACAO E</v>
          </cell>
          <cell r="CD1307">
            <v>0</v>
          </cell>
        </row>
        <row r="1308">
          <cell r="B1308" t="str">
            <v>Carga_Geral_Paranaguá</v>
          </cell>
          <cell r="D1308" t="str">
            <v>Faturamento | Plugagem (BRL'000)</v>
          </cell>
          <cell r="E1308" t="str">
            <v>Subtotal</v>
          </cell>
          <cell r="CD1308">
            <v>0</v>
          </cell>
        </row>
        <row r="1309">
          <cell r="B1309" t="str">
            <v>Carga_Geral_Paranaguá</v>
          </cell>
          <cell r="D1309" t="str">
            <v>Faturamento | Plugagem (BRL'000)</v>
          </cell>
          <cell r="E1309" t="str">
            <v>4M AGROFLORESTAL LTDA</v>
          </cell>
          <cell r="CD1309">
            <v>0</v>
          </cell>
        </row>
        <row r="1310">
          <cell r="B1310" t="str">
            <v>Carga_Geral_Paranaguá</v>
          </cell>
          <cell r="D1310" t="str">
            <v>Faturamento | Plugagem (BRL'000)</v>
          </cell>
          <cell r="E1310" t="str">
            <v>AGRICOLA FERRARI LTDA</v>
          </cell>
          <cell r="CD1310">
            <v>0</v>
          </cell>
        </row>
        <row r="1311">
          <cell r="B1311" t="str">
            <v>Carga_Geral_Paranaguá</v>
          </cell>
          <cell r="D1311" t="str">
            <v>Faturamento | Plugagem (BRL'000)</v>
          </cell>
          <cell r="E1311" t="str">
            <v>ARBAZA ALIMENTOS LTDA</v>
          </cell>
          <cell r="CD1311">
            <v>0</v>
          </cell>
        </row>
        <row r="1312">
          <cell r="B1312" t="str">
            <v>Carga_Geral_Paranaguá</v>
          </cell>
          <cell r="D1312" t="str">
            <v>Faturamento | Plugagem (BRL'000)</v>
          </cell>
          <cell r="E1312" t="str">
            <v>AMCOR FLEXIBLES DO BRASIL INDUSTRIA</v>
          </cell>
          <cell r="CD1312">
            <v>0</v>
          </cell>
        </row>
        <row r="1313">
          <cell r="B1313" t="str">
            <v>Carga_Geral_Paranaguá</v>
          </cell>
          <cell r="D1313" t="str">
            <v>Faturamento | Plugagem (BRL'000)</v>
          </cell>
          <cell r="E1313" t="str">
            <v>BERNECK S.A. PAINEIS E SERRADOS</v>
          </cell>
          <cell r="CD1313">
            <v>0</v>
          </cell>
        </row>
        <row r="1314">
          <cell r="B1314" t="str">
            <v>Carga_Geral_Paranaguá</v>
          </cell>
          <cell r="D1314" t="str">
            <v>Faturamento | Plugagem (BRL'000)</v>
          </cell>
          <cell r="E1314" t="str">
            <v>BLUE OCEAN INTERNACIONAL LTDA</v>
          </cell>
          <cell r="CD1314">
            <v>0</v>
          </cell>
        </row>
        <row r="1315">
          <cell r="B1315" t="str">
            <v>Carga_Geral_Paranaguá</v>
          </cell>
          <cell r="D1315" t="str">
            <v>Faturamento | Plugagem (BRL'000)</v>
          </cell>
          <cell r="E1315" t="str">
            <v>BONECHAR CARVAO ATIVADO</v>
          </cell>
          <cell r="CD1315">
            <v>0</v>
          </cell>
        </row>
        <row r="1316">
          <cell r="B1316" t="str">
            <v>Carga_Geral_Paranaguá</v>
          </cell>
          <cell r="D1316" t="str">
            <v>Faturamento | Plugagem (BRL'000)</v>
          </cell>
          <cell r="E1316" t="str">
            <v>BRF S.A</v>
          </cell>
          <cell r="CD1316">
            <v>0</v>
          </cell>
        </row>
        <row r="1317">
          <cell r="B1317" t="str">
            <v>Carga_Geral_Paranaguá</v>
          </cell>
          <cell r="D1317" t="str">
            <v>Faturamento | Plugagem (BRL'000)</v>
          </cell>
          <cell r="E1317" t="str">
            <v>FUGA COUROS SA</v>
          </cell>
          <cell r="CD1317">
            <v>0</v>
          </cell>
        </row>
        <row r="1318">
          <cell r="B1318" t="str">
            <v>Carga_Geral_Paranaguá</v>
          </cell>
          <cell r="D1318" t="str">
            <v>Faturamento | Plugagem (BRL'000)</v>
          </cell>
          <cell r="E1318" t="str">
            <v>J.P. DE OLIVEIRA - COMERCIO DE</v>
          </cell>
          <cell r="CD1318">
            <v>0</v>
          </cell>
        </row>
        <row r="1319">
          <cell r="B1319" t="str">
            <v>Carga_Geral_Paranaguá</v>
          </cell>
          <cell r="D1319" t="str">
            <v>Faturamento | Plugagem (BRL'000)</v>
          </cell>
          <cell r="E1319" t="str">
            <v>MAGNA LOGISTICS SOLUTIONS SA</v>
          </cell>
          <cell r="CD1319">
            <v>0</v>
          </cell>
        </row>
        <row r="1320">
          <cell r="B1320" t="str">
            <v>Carga_Geral_Paranaguá</v>
          </cell>
          <cell r="D1320" t="str">
            <v>Faturamento | Plugagem (BRL'000)</v>
          </cell>
          <cell r="E1320" t="str">
            <v>PROTECTA COMÉRCIO DE PRODUTOS</v>
          </cell>
          <cell r="CD1320">
            <v>0</v>
          </cell>
        </row>
        <row r="1321">
          <cell r="B1321" t="str">
            <v>Carga_Geral_Paranaguá</v>
          </cell>
          <cell r="D1321" t="str">
            <v>Faturamento | Plugagem (BRL'000)</v>
          </cell>
          <cell r="E1321" t="str">
            <v>SUMITOMO RUBBER DO BRASIL LTDA</v>
          </cell>
          <cell r="CD1321">
            <v>0</v>
          </cell>
        </row>
        <row r="1322">
          <cell r="B1322" t="str">
            <v>Carga_Geral_Paranaguá</v>
          </cell>
          <cell r="D1322" t="str">
            <v>Faturamento | Plugagem (BRL'000)</v>
          </cell>
          <cell r="E1322" t="str">
            <v>TRC AGROFLORESTAL LTDA</v>
          </cell>
          <cell r="CD1322">
            <v>0</v>
          </cell>
        </row>
        <row r="1323">
          <cell r="B1323" t="str">
            <v>Carga_Geral_Paranaguá</v>
          </cell>
          <cell r="D1323" t="str">
            <v>Faturamento | Plugagem (BRL'000)</v>
          </cell>
          <cell r="E1323" t="str">
            <v>WFA COMERCIO IMPORTACAO E</v>
          </cell>
          <cell r="CD1323">
            <v>0</v>
          </cell>
        </row>
        <row r="1324">
          <cell r="B1324" t="str">
            <v>Carga_Geral_Paranaguá</v>
          </cell>
          <cell r="D1324" t="str">
            <v>Ticket Médio | Plugagem (BRL)</v>
          </cell>
          <cell r="E1324" t="str">
            <v>Subtotal</v>
          </cell>
          <cell r="CD1324">
            <v>0</v>
          </cell>
        </row>
        <row r="1325">
          <cell r="B1325" t="str">
            <v>Carga_Geral_Paranaguá</v>
          </cell>
          <cell r="D1325" t="str">
            <v>Ticket Médio | Plugagem (BRL)</v>
          </cell>
          <cell r="E1325" t="str">
            <v>4M AGROFLORESTAL LTDA</v>
          </cell>
          <cell r="CD1325">
            <v>0</v>
          </cell>
        </row>
        <row r="1326">
          <cell r="B1326" t="str">
            <v>Carga_Geral_Paranaguá</v>
          </cell>
          <cell r="D1326" t="str">
            <v>Ticket Médio | Plugagem (BRL)</v>
          </cell>
          <cell r="E1326" t="str">
            <v>AGRICOLA FERRARI LTDA</v>
          </cell>
          <cell r="CD1326">
            <v>0</v>
          </cell>
        </row>
        <row r="1327">
          <cell r="B1327" t="str">
            <v>Carga_Geral_Paranaguá</v>
          </cell>
          <cell r="D1327" t="str">
            <v>Ticket Médio | Plugagem (BRL)</v>
          </cell>
          <cell r="E1327" t="str">
            <v>ARBAZA ALIMENTOS LTDA</v>
          </cell>
          <cell r="CD1327">
            <v>0</v>
          </cell>
        </row>
        <row r="1328">
          <cell r="B1328" t="str">
            <v>Carga_Geral_Paranaguá</v>
          </cell>
          <cell r="D1328" t="str">
            <v>Ticket Médio | Plugagem (BRL)</v>
          </cell>
          <cell r="E1328" t="str">
            <v>AMCOR FLEXIBLES DO BRASIL INDUSTRIA</v>
          </cell>
          <cell r="CD1328">
            <v>0</v>
          </cell>
        </row>
        <row r="1329">
          <cell r="B1329" t="str">
            <v>Carga_Geral_Paranaguá</v>
          </cell>
          <cell r="D1329" t="str">
            <v>Ticket Médio | Plugagem (BRL)</v>
          </cell>
          <cell r="E1329" t="str">
            <v>BERNECK S.A. PAINEIS E SERRADOS</v>
          </cell>
          <cell r="CD1329">
            <v>0</v>
          </cell>
        </row>
        <row r="1330">
          <cell r="B1330" t="str">
            <v>Carga_Geral_Paranaguá</v>
          </cell>
          <cell r="D1330" t="str">
            <v>Ticket Médio | Plugagem (BRL)</v>
          </cell>
          <cell r="E1330" t="str">
            <v>BLUE OCEAN INTERNACIONAL LTDA</v>
          </cell>
          <cell r="CD1330">
            <v>0</v>
          </cell>
        </row>
        <row r="1331">
          <cell r="B1331" t="str">
            <v>Carga_Geral_Paranaguá</v>
          </cell>
          <cell r="D1331" t="str">
            <v>Ticket Médio | Plugagem (BRL)</v>
          </cell>
          <cell r="E1331" t="str">
            <v>BONECHAR CARVAO ATIVADO</v>
          </cell>
          <cell r="CD1331">
            <v>0</v>
          </cell>
        </row>
        <row r="1332">
          <cell r="B1332" t="str">
            <v>Carga_Geral_Paranaguá</v>
          </cell>
          <cell r="D1332" t="str">
            <v>Ticket Médio | Plugagem (BRL)</v>
          </cell>
          <cell r="E1332" t="str">
            <v>BRF S.A</v>
          </cell>
          <cell r="CD1332">
            <v>0</v>
          </cell>
        </row>
        <row r="1333">
          <cell r="B1333" t="str">
            <v>Carga_Geral_Paranaguá</v>
          </cell>
          <cell r="D1333" t="str">
            <v>Ticket Médio | Plugagem (BRL)</v>
          </cell>
          <cell r="E1333" t="str">
            <v>FUGA COUROS SA</v>
          </cell>
          <cell r="CD1333">
            <v>0</v>
          </cell>
        </row>
        <row r="1334">
          <cell r="B1334" t="str">
            <v>Carga_Geral_Paranaguá</v>
          </cell>
          <cell r="D1334" t="str">
            <v>Ticket Médio | Plugagem (BRL)</v>
          </cell>
          <cell r="E1334" t="str">
            <v>J.P. DE OLIVEIRA - COMERCIO DE</v>
          </cell>
          <cell r="CD1334">
            <v>0</v>
          </cell>
        </row>
        <row r="1335">
          <cell r="B1335" t="str">
            <v>Carga_Geral_Paranaguá</v>
          </cell>
          <cell r="D1335" t="str">
            <v>Ticket Médio | Plugagem (BRL)</v>
          </cell>
          <cell r="E1335" t="str">
            <v>MAGNA LOGISTICS SOLUTIONS SA</v>
          </cell>
          <cell r="CD1335">
            <v>0</v>
          </cell>
        </row>
        <row r="1336">
          <cell r="B1336" t="str">
            <v>Carga_Geral_Paranaguá</v>
          </cell>
          <cell r="D1336" t="str">
            <v>Ticket Médio | Plugagem (BRL)</v>
          </cell>
          <cell r="E1336" t="str">
            <v>PROTECTA COMÉRCIO DE PRODUTOS</v>
          </cell>
          <cell r="CD1336">
            <v>0</v>
          </cell>
        </row>
        <row r="1337">
          <cell r="B1337" t="str">
            <v>Carga_Geral_Paranaguá</v>
          </cell>
          <cell r="D1337" t="str">
            <v>Ticket Médio | Plugagem (BRL)</v>
          </cell>
          <cell r="E1337" t="str">
            <v>SUMITOMO RUBBER DO BRASIL LTDA</v>
          </cell>
          <cell r="CD1337">
            <v>0</v>
          </cell>
        </row>
        <row r="1338">
          <cell r="B1338" t="str">
            <v>Carga_Geral_Paranaguá</v>
          </cell>
          <cell r="D1338" t="str">
            <v>Ticket Médio | Plugagem (BRL)</v>
          </cell>
          <cell r="E1338" t="str">
            <v>TRC AGROFLORESTAL LTDA</v>
          </cell>
          <cell r="CD1338">
            <v>0</v>
          </cell>
        </row>
        <row r="1339">
          <cell r="B1339" t="str">
            <v>Carga_Geral_Paranaguá</v>
          </cell>
          <cell r="D1339" t="str">
            <v>Ticket Médio | Plugagem (BRL)</v>
          </cell>
          <cell r="E1339" t="str">
            <v>WFA COMERCIO IMPORTACAO E</v>
          </cell>
          <cell r="CD1339">
            <v>0</v>
          </cell>
        </row>
        <row r="1340">
          <cell r="B1340" t="str">
            <v>Carga_Geral_Paranaguá</v>
          </cell>
          <cell r="D1340" t="str">
            <v>Faturamento | Adicional (BRL'000)</v>
          </cell>
          <cell r="E1340" t="str">
            <v>Subtotal</v>
          </cell>
          <cell r="CD1340">
            <v>2266.8967330243381</v>
          </cell>
        </row>
        <row r="1341">
          <cell r="B1341" t="str">
            <v>Carga_Geral_Paranaguá</v>
          </cell>
          <cell r="D1341" t="str">
            <v>Faturamento | Adicional (BRL'000)</v>
          </cell>
          <cell r="E1341" t="str">
            <v>4M AGROFLORESTAL LTDA</v>
          </cell>
          <cell r="CD1341">
            <v>0</v>
          </cell>
        </row>
        <row r="1342">
          <cell r="B1342" t="str">
            <v>Carga_Geral_Paranaguá</v>
          </cell>
          <cell r="D1342" t="str">
            <v>Faturamento | Adicional (BRL'000)</v>
          </cell>
          <cell r="E1342" t="str">
            <v>AGRICOLA FERRARI LTDA</v>
          </cell>
          <cell r="CD1342">
            <v>0</v>
          </cell>
        </row>
        <row r="1343">
          <cell r="B1343" t="str">
            <v>Carga_Geral_Paranaguá</v>
          </cell>
          <cell r="D1343" t="str">
            <v>Faturamento | Adicional (BRL'000)</v>
          </cell>
          <cell r="E1343" t="str">
            <v>ARBAZA ALIMENTOS LTDA</v>
          </cell>
          <cell r="CD1343">
            <v>0</v>
          </cell>
        </row>
        <row r="1344">
          <cell r="B1344" t="str">
            <v>Carga_Geral_Paranaguá</v>
          </cell>
          <cell r="D1344" t="str">
            <v>Faturamento | Adicional (BRL'000)</v>
          </cell>
          <cell r="E1344" t="str">
            <v>AMCOR FLEXIBLES DO BRASIL INDUSTRIA</v>
          </cell>
          <cell r="CD1344">
            <v>0</v>
          </cell>
        </row>
        <row r="1345">
          <cell r="B1345" t="str">
            <v>Carga_Geral_Paranaguá</v>
          </cell>
          <cell r="D1345" t="str">
            <v>Faturamento | Adicional (BRL'000)</v>
          </cell>
          <cell r="E1345" t="str">
            <v>BERNECK S.A. PAINEIS E SERRADOS</v>
          </cell>
          <cell r="CD1345">
            <v>0</v>
          </cell>
        </row>
        <row r="1346">
          <cell r="B1346" t="str">
            <v>Carga_Geral_Paranaguá</v>
          </cell>
          <cell r="D1346" t="str">
            <v>Faturamento | Adicional (BRL'000)</v>
          </cell>
          <cell r="E1346" t="str">
            <v>BLUE OCEAN INTERNACIONAL LTDA</v>
          </cell>
          <cell r="CD1346">
            <v>0</v>
          </cell>
        </row>
        <row r="1347">
          <cell r="B1347" t="str">
            <v>Carga_Geral_Paranaguá</v>
          </cell>
          <cell r="D1347" t="str">
            <v>Faturamento | Adicional (BRL'000)</v>
          </cell>
          <cell r="E1347" t="str">
            <v>BONECHAR CARVAO ATIVADO</v>
          </cell>
          <cell r="CD1347">
            <v>0</v>
          </cell>
        </row>
        <row r="1348">
          <cell r="B1348" t="str">
            <v>Carga_Geral_Paranaguá</v>
          </cell>
          <cell r="D1348" t="str">
            <v>Faturamento | Adicional (BRL'000)</v>
          </cell>
          <cell r="E1348" t="str">
            <v>BRF S.A</v>
          </cell>
          <cell r="CD1348">
            <v>1122.397514083545</v>
          </cell>
        </row>
        <row r="1349">
          <cell r="B1349" t="str">
            <v>Carga_Geral_Paranaguá</v>
          </cell>
          <cell r="D1349" t="str">
            <v>Faturamento | Adicional (BRL'000)</v>
          </cell>
          <cell r="E1349" t="str">
            <v>FUGA COUROS SA</v>
          </cell>
          <cell r="CD1349">
            <v>19.499218940793099</v>
          </cell>
        </row>
        <row r="1350">
          <cell r="B1350" t="str">
            <v>Carga_Geral_Paranaguá</v>
          </cell>
          <cell r="D1350" t="str">
            <v>Faturamento | Adicional (BRL'000)</v>
          </cell>
          <cell r="E1350" t="str">
            <v>J.P. DE OLIVEIRA - COMERCIO DE</v>
          </cell>
          <cell r="CD1350">
            <v>0</v>
          </cell>
        </row>
        <row r="1351">
          <cell r="B1351" t="str">
            <v>Carga_Geral_Paranaguá</v>
          </cell>
          <cell r="D1351" t="str">
            <v>Faturamento | Adicional (BRL'000)</v>
          </cell>
          <cell r="E1351" t="str">
            <v>MAGNA LOGISTICS SOLUTIONS SA</v>
          </cell>
          <cell r="CD1351">
            <v>0</v>
          </cell>
        </row>
        <row r="1352">
          <cell r="B1352" t="str">
            <v>Carga_Geral_Paranaguá</v>
          </cell>
          <cell r="D1352" t="str">
            <v>Faturamento | Adicional (BRL'000)</v>
          </cell>
          <cell r="E1352" t="str">
            <v>PROTECTA COMÉRCIO DE PRODUTOS</v>
          </cell>
          <cell r="CD1352">
            <v>0</v>
          </cell>
        </row>
        <row r="1353">
          <cell r="B1353" t="str">
            <v>Carga_Geral_Paranaguá</v>
          </cell>
          <cell r="D1353" t="str">
            <v>Faturamento | Adicional (BRL'000)</v>
          </cell>
          <cell r="E1353" t="str">
            <v>SUMITOMO RUBBER DO BRASIL LTDA</v>
          </cell>
          <cell r="CD1353">
            <v>0</v>
          </cell>
        </row>
        <row r="1354">
          <cell r="B1354" t="str">
            <v>Carga_Geral_Paranaguá</v>
          </cell>
          <cell r="D1354" t="str">
            <v>Faturamento | Adicional (BRL'000)</v>
          </cell>
          <cell r="E1354" t="str">
            <v>TRC AGROFLORESTAL LTDA</v>
          </cell>
          <cell r="CD1354">
            <v>0</v>
          </cell>
        </row>
        <row r="1355">
          <cell r="B1355" t="str">
            <v>Carga_Geral_Paranaguá</v>
          </cell>
          <cell r="D1355" t="str">
            <v>Faturamento | Adicional (BRL'000)</v>
          </cell>
          <cell r="E1355" t="str">
            <v>WFA COMERCIO IMPORTACAO E</v>
          </cell>
          <cell r="CD1355">
            <v>1125</v>
          </cell>
        </row>
        <row r="1356">
          <cell r="B1356" t="str">
            <v>Carga_Geral_Paranaguá</v>
          </cell>
          <cell r="D1356" t="str">
            <v>Faturamento | Seguros (BRL'000)</v>
          </cell>
          <cell r="E1356" t="str">
            <v>Subtotal</v>
          </cell>
          <cell r="CD1356">
            <v>120.84456</v>
          </cell>
        </row>
        <row r="1357">
          <cell r="B1357" t="str">
            <v>Carga_Geral_Paranaguá</v>
          </cell>
          <cell r="D1357" t="str">
            <v>Faturamento | Seguros (BRL'000)</v>
          </cell>
          <cell r="E1357" t="str">
            <v>4M AGROFLORESTAL LTDA</v>
          </cell>
          <cell r="CD1357">
            <v>0.99816000000000005</v>
          </cell>
        </row>
        <row r="1358">
          <cell r="B1358" t="str">
            <v>Carga_Geral_Paranaguá</v>
          </cell>
          <cell r="D1358" t="str">
            <v>Faturamento | Seguros (BRL'000)</v>
          </cell>
          <cell r="E1358" t="str">
            <v>AGRICOLA FERRARI LTDA</v>
          </cell>
          <cell r="CD1358">
            <v>0</v>
          </cell>
        </row>
        <row r="1359">
          <cell r="B1359" t="str">
            <v>Carga_Geral_Paranaguá</v>
          </cell>
          <cell r="D1359" t="str">
            <v>Faturamento | Seguros (BRL'000)</v>
          </cell>
          <cell r="E1359" t="str">
            <v>ARBAZA ALIMENTOS LTDA</v>
          </cell>
          <cell r="CD1359">
            <v>0</v>
          </cell>
        </row>
        <row r="1360">
          <cell r="B1360" t="str">
            <v>Carga_Geral_Paranaguá</v>
          </cell>
          <cell r="D1360" t="str">
            <v>Faturamento | Seguros (BRL'000)</v>
          </cell>
          <cell r="E1360" t="str">
            <v>AMCOR FLEXIBLES DO BRASIL INDUSTRIA</v>
          </cell>
          <cell r="CD1360">
            <v>3.1936800000000001</v>
          </cell>
        </row>
        <row r="1361">
          <cell r="B1361" t="str">
            <v>Carga_Geral_Paranaguá</v>
          </cell>
          <cell r="D1361" t="str">
            <v>Faturamento | Seguros (BRL'000)</v>
          </cell>
          <cell r="E1361" t="str">
            <v>BERNECK S.A. PAINEIS E SERRADOS</v>
          </cell>
          <cell r="CD1361">
            <v>0</v>
          </cell>
        </row>
        <row r="1362">
          <cell r="B1362" t="str">
            <v>Carga_Geral_Paranaguá</v>
          </cell>
          <cell r="D1362" t="str">
            <v>Faturamento | Seguros (BRL'000)</v>
          </cell>
          <cell r="E1362" t="str">
            <v>BLUE OCEAN INTERNACIONAL LTDA</v>
          </cell>
          <cell r="CD1362">
            <v>0</v>
          </cell>
        </row>
        <row r="1363">
          <cell r="B1363" t="str">
            <v>Carga_Geral_Paranaguá</v>
          </cell>
          <cell r="D1363" t="str">
            <v>Faturamento | Seguros (BRL'000)</v>
          </cell>
          <cell r="E1363" t="str">
            <v>BONECHAR CARVAO ATIVADO</v>
          </cell>
          <cell r="CD1363">
            <v>0</v>
          </cell>
        </row>
        <row r="1364">
          <cell r="B1364" t="str">
            <v>Carga_Geral_Paranaguá</v>
          </cell>
          <cell r="D1364" t="str">
            <v>Faturamento | Seguros (BRL'000)</v>
          </cell>
          <cell r="E1364" t="str">
            <v>BRF S.A</v>
          </cell>
          <cell r="CD1364">
            <v>0</v>
          </cell>
        </row>
        <row r="1365">
          <cell r="B1365" t="str">
            <v>Carga_Geral_Paranaguá</v>
          </cell>
          <cell r="D1365" t="str">
            <v>Faturamento | Seguros (BRL'000)</v>
          </cell>
          <cell r="E1365" t="str">
            <v>FUGA COUROS SA</v>
          </cell>
          <cell r="CD1365">
            <v>92.291159999999977</v>
          </cell>
        </row>
        <row r="1366">
          <cell r="B1366" t="str">
            <v>Carga_Geral_Paranaguá</v>
          </cell>
          <cell r="D1366" t="str">
            <v>Faturamento | Seguros (BRL'000)</v>
          </cell>
          <cell r="E1366" t="str">
            <v>J.P. DE OLIVEIRA - COMERCIO DE</v>
          </cell>
          <cell r="CD1366">
            <v>0</v>
          </cell>
        </row>
        <row r="1367">
          <cell r="B1367" t="str">
            <v>Carga_Geral_Paranaguá</v>
          </cell>
          <cell r="D1367" t="str">
            <v>Faturamento | Seguros (BRL'000)</v>
          </cell>
          <cell r="E1367" t="str">
            <v>MAGNA LOGISTICS SOLUTIONS SA</v>
          </cell>
          <cell r="CD1367">
            <v>0</v>
          </cell>
        </row>
        <row r="1368">
          <cell r="B1368" t="str">
            <v>Carga_Geral_Paranaguá</v>
          </cell>
          <cell r="D1368" t="str">
            <v>Faturamento | Seguros (BRL'000)</v>
          </cell>
          <cell r="E1368" t="str">
            <v>PROTECTA COMÉRCIO DE PRODUTOS</v>
          </cell>
          <cell r="CD1368">
            <v>0</v>
          </cell>
        </row>
        <row r="1369">
          <cell r="B1369" t="str">
            <v>Carga_Geral_Paranaguá</v>
          </cell>
          <cell r="D1369" t="str">
            <v>Faturamento | Seguros (BRL'000)</v>
          </cell>
          <cell r="E1369" t="str">
            <v>SUMITOMO RUBBER DO BRASIL LTDA</v>
          </cell>
          <cell r="CD1369">
            <v>0</v>
          </cell>
        </row>
        <row r="1370">
          <cell r="B1370" t="str">
            <v>Carga_Geral_Paranaguá</v>
          </cell>
          <cell r="D1370" t="str">
            <v>Faturamento | Seguros (BRL'000)</v>
          </cell>
          <cell r="E1370" t="str">
            <v>TRC AGROFLORESTAL LTDA</v>
          </cell>
          <cell r="CD1370">
            <v>13.021800000000001</v>
          </cell>
        </row>
        <row r="1371">
          <cell r="B1371" t="str">
            <v>Carga_Geral_Paranaguá</v>
          </cell>
          <cell r="D1371" t="str">
            <v>Faturamento | Seguros (BRL'000)</v>
          </cell>
          <cell r="E1371" t="str">
            <v>WFA COMERCIO IMPORTACAO E</v>
          </cell>
          <cell r="CD1371">
            <v>11.33976</v>
          </cell>
        </row>
        <row r="1372">
          <cell r="B1372" t="str">
            <v>Ponta_Grossa</v>
          </cell>
          <cell r="D1372" t="str">
            <v>Faturamento Bruto</v>
          </cell>
          <cell r="E1372" t="str">
            <v>Gross Revenue</v>
          </cell>
          <cell r="CD1372">
            <v>15884.50356300318</v>
          </cell>
        </row>
        <row r="1374">
          <cell r="B1374" t="str">
            <v>Ponta_Grossa</v>
          </cell>
          <cell r="D1374" t="str">
            <v>Faturamento Bruto</v>
          </cell>
          <cell r="E1374" t="str">
            <v>YARA BRASIL FERTILIZANTES S/A.</v>
          </cell>
          <cell r="CD1374">
            <v>10853.148735907849</v>
          </cell>
        </row>
        <row r="1375">
          <cell r="B1375" t="str">
            <v>Ponta_Grossa</v>
          </cell>
          <cell r="D1375" t="str">
            <v>Faturamento Bruto</v>
          </cell>
          <cell r="E1375" t="str">
            <v>MOINHO CIDADE BELLA</v>
          </cell>
          <cell r="CD1375">
            <v>1507.918604421126</v>
          </cell>
        </row>
        <row r="1376">
          <cell r="B1376" t="str">
            <v>Ponta_Grossa</v>
          </cell>
          <cell r="D1376" t="str">
            <v>Faturamento Bruto</v>
          </cell>
          <cell r="E1376" t="str">
            <v>COAMO AGROINDUSTRIAL COOPERATIVA</v>
          </cell>
          <cell r="CD1376">
            <v>2512.82231267421</v>
          </cell>
        </row>
        <row r="1377">
          <cell r="B1377" t="str">
            <v>Ponta_Grossa</v>
          </cell>
          <cell r="D1377" t="str">
            <v>Faturamento Bruto</v>
          </cell>
          <cell r="E1377" t="str">
            <v>MORRO CHATO AGROPECUARIA LTDA</v>
          </cell>
          <cell r="CD1377">
            <v>1010.61391</v>
          </cell>
        </row>
        <row r="1378">
          <cell r="B1378" t="str">
            <v>Ponta_Grossa</v>
          </cell>
          <cell r="D1378" t="str">
            <v>Faturamento Bruto</v>
          </cell>
          <cell r="E1378" t="str">
            <v>RUNA AGRICOLA LTDA</v>
          </cell>
          <cell r="CD1378">
            <v>0</v>
          </cell>
        </row>
        <row r="1379">
          <cell r="B1379" t="str">
            <v>Ponta_Grossa</v>
          </cell>
          <cell r="D1379" t="str">
            <v>Faturamento Bruto</v>
          </cell>
          <cell r="E1379" t="str">
            <v>JUAREZ SLAVIERO MIRÓ GUIMARÃES</v>
          </cell>
          <cell r="CD1379">
            <v>0</v>
          </cell>
        </row>
        <row r="1380">
          <cell r="B1380" t="str">
            <v>Ponta_Grossa</v>
          </cell>
          <cell r="D1380" t="str">
            <v>Faturamento Bruto</v>
          </cell>
          <cell r="E1380" t="str">
            <v>Cliente 7</v>
          </cell>
          <cell r="CD1380">
            <v>0</v>
          </cell>
        </row>
        <row r="1381">
          <cell r="B1381" t="str">
            <v>Ponta_Grossa</v>
          </cell>
          <cell r="D1381" t="str">
            <v>Faturamento Bruto</v>
          </cell>
          <cell r="E1381" t="str">
            <v>Cliente 8</v>
          </cell>
          <cell r="CD1381">
            <v>0</v>
          </cell>
        </row>
        <row r="1382">
          <cell r="B1382" t="str">
            <v>Ponta_Grossa</v>
          </cell>
          <cell r="D1382" t="str">
            <v>Faturamento Bruto</v>
          </cell>
          <cell r="E1382" t="str">
            <v>Cliente 9</v>
          </cell>
          <cell r="CD1382">
            <v>0</v>
          </cell>
        </row>
        <row r="1383">
          <cell r="B1383" t="str">
            <v>Ponta_Grossa</v>
          </cell>
          <cell r="D1383" t="str">
            <v>Faturamento Bruto</v>
          </cell>
          <cell r="E1383" t="str">
            <v>Cliente 10</v>
          </cell>
          <cell r="CD1383">
            <v>0</v>
          </cell>
        </row>
        <row r="1384">
          <cell r="B1384" t="str">
            <v>Ponta_Grossa</v>
          </cell>
          <cell r="D1384" t="str">
            <v>Faturamento Bruto</v>
          </cell>
          <cell r="E1384" t="str">
            <v>Cliente 11</v>
          </cell>
          <cell r="CD1384">
            <v>0</v>
          </cell>
        </row>
        <row r="1385">
          <cell r="B1385" t="str">
            <v>Ponta_Grossa</v>
          </cell>
          <cell r="D1385" t="str">
            <v>Faturamento Bruto</v>
          </cell>
          <cell r="E1385" t="str">
            <v>Cliente 12</v>
          </cell>
          <cell r="CD1385">
            <v>0</v>
          </cell>
        </row>
        <row r="1386">
          <cell r="B1386" t="str">
            <v>Ponta_Grossa</v>
          </cell>
          <cell r="D1386" t="str">
            <v>Faturamento Bruto</v>
          </cell>
          <cell r="E1386" t="str">
            <v>Ajuste</v>
          </cell>
          <cell r="CD1386">
            <v>0</v>
          </cell>
        </row>
        <row r="1387">
          <cell r="B1387" t="str">
            <v>Ponta_Grossa</v>
          </cell>
          <cell r="D1387" t="str">
            <v>Armazenagem (posição palet)</v>
          </cell>
          <cell r="E1387" t="str">
            <v>Subtotal</v>
          </cell>
          <cell r="CD1387">
            <v>120650</v>
          </cell>
        </row>
        <row r="1388">
          <cell r="B1388" t="str">
            <v>Ponta_Grossa</v>
          </cell>
          <cell r="D1388" t="str">
            <v>Armazenagem (posição palet)</v>
          </cell>
          <cell r="E1388" t="str">
            <v>YARA BRASIL FERTILIZANTES S/A.</v>
          </cell>
          <cell r="CD1388">
            <v>60000</v>
          </cell>
        </row>
        <row r="1389">
          <cell r="B1389" t="str">
            <v>Ponta_Grossa</v>
          </cell>
          <cell r="D1389" t="str">
            <v>Armazenagem (posição palet)</v>
          </cell>
          <cell r="E1389" t="str">
            <v>MOINHO CIDADE BELLA</v>
          </cell>
          <cell r="CD1389">
            <v>18416.666666666672</v>
          </cell>
        </row>
        <row r="1390">
          <cell r="B1390" t="str">
            <v>Ponta_Grossa</v>
          </cell>
          <cell r="D1390" t="str">
            <v>Armazenagem (posição palet)</v>
          </cell>
          <cell r="E1390" t="str">
            <v>COAMO AGROINDUSTRIAL COOPERATIVA</v>
          </cell>
          <cell r="CD1390">
            <v>35000</v>
          </cell>
        </row>
        <row r="1391">
          <cell r="B1391" t="str">
            <v>Ponta_Grossa</v>
          </cell>
          <cell r="D1391" t="str">
            <v>Armazenagem (posição palet)</v>
          </cell>
          <cell r="E1391" t="str">
            <v>MORRO CHATO AGROPECUARIA LTDA</v>
          </cell>
          <cell r="CD1391">
            <v>7233.333333333333</v>
          </cell>
        </row>
        <row r="1392">
          <cell r="B1392" t="str">
            <v>Ponta_Grossa</v>
          </cell>
          <cell r="D1392" t="str">
            <v>Armazenagem (posição palet)</v>
          </cell>
          <cell r="E1392" t="str">
            <v>RUNA AGRICOLA LTDA</v>
          </cell>
          <cell r="CD1392">
            <v>0</v>
          </cell>
        </row>
        <row r="1393">
          <cell r="B1393" t="str">
            <v>Ponta_Grossa</v>
          </cell>
          <cell r="D1393" t="str">
            <v>Armazenagem (posição palet)</v>
          </cell>
          <cell r="E1393" t="str">
            <v>JUAREZ SLAVIERO MIRÓ GUIMARÃES</v>
          </cell>
          <cell r="CD1393">
            <v>0</v>
          </cell>
        </row>
        <row r="1394">
          <cell r="B1394" t="str">
            <v>Ponta_Grossa</v>
          </cell>
          <cell r="D1394" t="str">
            <v>Armazenagem (posição palet)</v>
          </cell>
          <cell r="E1394" t="str">
            <v>Cliente 7</v>
          </cell>
          <cell r="CD1394">
            <v>0</v>
          </cell>
        </row>
        <row r="1395">
          <cell r="B1395" t="str">
            <v>Ponta_Grossa</v>
          </cell>
          <cell r="D1395" t="str">
            <v>Armazenagem (posição palet)</v>
          </cell>
          <cell r="E1395" t="str">
            <v>Cliente 8</v>
          </cell>
          <cell r="CD1395">
            <v>0</v>
          </cell>
        </row>
        <row r="1396">
          <cell r="B1396" t="str">
            <v>Ponta_Grossa</v>
          </cell>
          <cell r="D1396" t="str">
            <v>Armazenagem (posição palet)</v>
          </cell>
          <cell r="E1396" t="str">
            <v>Cliente 9</v>
          </cell>
          <cell r="CD1396">
            <v>0</v>
          </cell>
        </row>
        <row r="1397">
          <cell r="B1397" t="str">
            <v>Ponta_Grossa</v>
          </cell>
          <cell r="D1397" t="str">
            <v>Armazenagem (posição palet)</v>
          </cell>
          <cell r="E1397" t="str">
            <v>Cliente 10</v>
          </cell>
          <cell r="CD1397">
            <v>0</v>
          </cell>
        </row>
        <row r="1398">
          <cell r="B1398" t="str">
            <v>Ponta_Grossa</v>
          </cell>
          <cell r="D1398" t="str">
            <v>Armazenagem (posição palet)</v>
          </cell>
          <cell r="E1398" t="str">
            <v>Cliente 11</v>
          </cell>
          <cell r="CD1398">
            <v>0</v>
          </cell>
        </row>
        <row r="1399">
          <cell r="B1399" t="str">
            <v>Ponta_Grossa</v>
          </cell>
          <cell r="D1399" t="str">
            <v>Armazenagem (posição palet)</v>
          </cell>
          <cell r="E1399" t="str">
            <v>Cliente 12</v>
          </cell>
          <cell r="CD1399">
            <v>0</v>
          </cell>
        </row>
        <row r="1400">
          <cell r="B1400" t="str">
            <v>Ponta_Grossa</v>
          </cell>
          <cell r="D1400" t="str">
            <v>Armazenagem (posição palet)</v>
          </cell>
          <cell r="E1400" t="str">
            <v>Ajuste</v>
          </cell>
          <cell r="CD1400">
            <v>0</v>
          </cell>
        </row>
        <row r="1401">
          <cell r="B1401" t="str">
            <v>Ponta_Grossa</v>
          </cell>
          <cell r="D1401" t="str">
            <v>Capacidade Total PP</v>
          </cell>
          <cell r="E1401" t="str">
            <v>CAPACIDADE</v>
          </cell>
          <cell r="CD1401">
            <v>124000</v>
          </cell>
        </row>
        <row r="1402">
          <cell r="B1402" t="str">
            <v>Ponta_Grossa</v>
          </cell>
          <cell r="D1402" t="str">
            <v>Armazenagem (posição palet)</v>
          </cell>
          <cell r="E1402" t="str">
            <v>Subtotal</v>
          </cell>
        </row>
        <row r="1403">
          <cell r="B1403" t="str">
            <v>Ponta_Grossa</v>
          </cell>
          <cell r="D1403" t="str">
            <v>Armazenagem (posição palet) - Proporção Mensal</v>
          </cell>
          <cell r="E1403" t="str">
            <v>YARA BRASIL FERTILIZANTES S/A.</v>
          </cell>
        </row>
        <row r="1404">
          <cell r="B1404" t="str">
            <v>Ponta_Grossa</v>
          </cell>
          <cell r="D1404" t="str">
            <v>Armazenagem (posição palet) - Proporção Mensal</v>
          </cell>
          <cell r="E1404" t="str">
            <v>MOINHO CIDADE BELLA</v>
          </cell>
        </row>
        <row r="1405">
          <cell r="B1405" t="str">
            <v>Ponta_Grossa</v>
          </cell>
          <cell r="D1405" t="str">
            <v>Armazenagem (posição palet) - Proporção Mensal</v>
          </cell>
          <cell r="E1405" t="str">
            <v>COAMO AGROINDUSTRIAL COOPERATIVA</v>
          </cell>
        </row>
        <row r="1406">
          <cell r="B1406" t="str">
            <v>Ponta_Grossa</v>
          </cell>
          <cell r="D1406" t="str">
            <v>Armazenagem (posição palet) - Proporção Mensal</v>
          </cell>
          <cell r="E1406" t="str">
            <v>MORRO CHATO AGROPECUARIA LTDA</v>
          </cell>
        </row>
        <row r="1407">
          <cell r="B1407" t="str">
            <v>Ponta_Grossa</v>
          </cell>
          <cell r="D1407" t="str">
            <v>Armazenagem (posição palet) - Proporção Mensal</v>
          </cell>
          <cell r="E1407" t="str">
            <v>RUNA AGRICOLA LTDA</v>
          </cell>
        </row>
        <row r="1408">
          <cell r="B1408" t="str">
            <v>Ponta_Grossa</v>
          </cell>
          <cell r="D1408" t="str">
            <v>Armazenagem (posição palet) - Proporção Mensal</v>
          </cell>
          <cell r="E1408" t="str">
            <v>JUAREZ SLAVIERO MIRÓ GUIMARÃES</v>
          </cell>
        </row>
        <row r="1409">
          <cell r="B1409" t="str">
            <v>Ponta_Grossa</v>
          </cell>
          <cell r="D1409" t="str">
            <v>Armazenagem (posição palet) - Proporção Mensal</v>
          </cell>
          <cell r="E1409" t="str">
            <v>Cliente 7</v>
          </cell>
        </row>
        <row r="1410">
          <cell r="B1410" t="str">
            <v>Ponta_Grossa</v>
          </cell>
          <cell r="D1410" t="str">
            <v>Armazenagem (posição palet) - Proporção Mensal</v>
          </cell>
          <cell r="E1410" t="str">
            <v>Cliente 8</v>
          </cell>
        </row>
        <row r="1411">
          <cell r="B1411" t="str">
            <v>Ponta_Grossa</v>
          </cell>
          <cell r="D1411" t="str">
            <v>Armazenagem (posição palet) - Proporção Mensal</v>
          </cell>
          <cell r="E1411" t="str">
            <v>Cliente 9</v>
          </cell>
        </row>
        <row r="1412">
          <cell r="B1412" t="str">
            <v>Ponta_Grossa</v>
          </cell>
          <cell r="D1412" t="str">
            <v>Armazenagem (posição palet) - Proporção Mensal</v>
          </cell>
          <cell r="E1412" t="str">
            <v>Cliente 10</v>
          </cell>
        </row>
        <row r="1413">
          <cell r="B1413" t="str">
            <v>Ponta_Grossa</v>
          </cell>
          <cell r="D1413" t="str">
            <v>Armazenagem (posição palet) - Proporção Mensal</v>
          </cell>
          <cell r="E1413" t="str">
            <v>Cliente 11</v>
          </cell>
        </row>
        <row r="1414">
          <cell r="B1414" t="str">
            <v>Ponta_Grossa</v>
          </cell>
          <cell r="D1414" t="str">
            <v>Armazenagem (posição palet) - Proporção Mensal</v>
          </cell>
          <cell r="E1414" t="str">
            <v>Cliente 12</v>
          </cell>
        </row>
        <row r="1415">
          <cell r="B1415" t="str">
            <v>Ponta_Grossa</v>
          </cell>
          <cell r="D1415" t="str">
            <v>Armazenagem (%)</v>
          </cell>
          <cell r="E1415" t="str">
            <v>Subtotal</v>
          </cell>
          <cell r="CD1415">
            <v>0.97298387096774197</v>
          </cell>
        </row>
        <row r="1416">
          <cell r="B1416" t="str">
            <v>Ponta_Grossa</v>
          </cell>
          <cell r="D1416" t="str">
            <v>Armazenagem (%)</v>
          </cell>
          <cell r="E1416" t="str">
            <v>YARA BRASIL FERTILIZANTES S/A.</v>
          </cell>
          <cell r="CD1416">
            <v>0.483870967741935</v>
          </cell>
        </row>
        <row r="1417">
          <cell r="B1417" t="str">
            <v>Ponta_Grossa</v>
          </cell>
          <cell r="D1417" t="str">
            <v>Armazenagem (%)</v>
          </cell>
          <cell r="E1417" t="str">
            <v>MOINHO CIDADE BELLA</v>
          </cell>
          <cell r="CD1417">
            <v>0.14852150537634401</v>
          </cell>
        </row>
        <row r="1418">
          <cell r="B1418" t="str">
            <v>Ponta_Grossa</v>
          </cell>
          <cell r="D1418" t="str">
            <v>Armazenagem (%)</v>
          </cell>
          <cell r="E1418" t="str">
            <v>COAMO AGROINDUSTRIAL COOPERATIVA</v>
          </cell>
          <cell r="CD1418">
            <v>0.282258064516129</v>
          </cell>
        </row>
        <row r="1419">
          <cell r="B1419" t="str">
            <v>Ponta_Grossa</v>
          </cell>
          <cell r="D1419" t="str">
            <v>Armazenagem (%)</v>
          </cell>
          <cell r="E1419" t="str">
            <v>MORRO CHATO AGROPECUARIA LTDA</v>
          </cell>
          <cell r="CD1419">
            <v>5.83333333333333E-2</v>
          </cell>
        </row>
        <row r="1420">
          <cell r="B1420" t="str">
            <v>Ponta_Grossa</v>
          </cell>
          <cell r="D1420" t="str">
            <v>Armazenagem (%)</v>
          </cell>
          <cell r="E1420" t="str">
            <v>RUNA AGRICOLA LTDA</v>
          </cell>
          <cell r="CD1420">
            <v>0</v>
          </cell>
        </row>
        <row r="1421">
          <cell r="B1421" t="str">
            <v>Ponta_Grossa</v>
          </cell>
          <cell r="D1421" t="str">
            <v>Armazenagem (%)</v>
          </cell>
          <cell r="E1421" t="str">
            <v>JUAREZ SLAVIERO MIRÓ GUIMARÃES</v>
          </cell>
          <cell r="CD1421">
            <v>0</v>
          </cell>
        </row>
        <row r="1422">
          <cell r="B1422" t="str">
            <v>Ponta_Grossa</v>
          </cell>
          <cell r="D1422" t="str">
            <v>Armazenagem (%)</v>
          </cell>
          <cell r="E1422" t="str">
            <v>Cliente 7</v>
          </cell>
          <cell r="CD1422">
            <v>0</v>
          </cell>
        </row>
        <row r="1423">
          <cell r="B1423" t="str">
            <v>Ponta_Grossa</v>
          </cell>
          <cell r="D1423" t="str">
            <v>Armazenagem (%)</v>
          </cell>
          <cell r="E1423" t="str">
            <v>Cliente 8</v>
          </cell>
          <cell r="CD1423">
            <v>0</v>
          </cell>
        </row>
        <row r="1424">
          <cell r="B1424" t="str">
            <v>Ponta_Grossa</v>
          </cell>
          <cell r="D1424" t="str">
            <v>Armazenagem (%)</v>
          </cell>
          <cell r="E1424" t="str">
            <v>Cliente 9</v>
          </cell>
          <cell r="CD1424">
            <v>0</v>
          </cell>
        </row>
        <row r="1425">
          <cell r="B1425" t="str">
            <v>Ponta_Grossa</v>
          </cell>
          <cell r="D1425" t="str">
            <v>Armazenagem (%)</v>
          </cell>
          <cell r="E1425" t="str">
            <v>Cliente 10</v>
          </cell>
          <cell r="CD1425">
            <v>0</v>
          </cell>
        </row>
        <row r="1426">
          <cell r="B1426" t="str">
            <v>Ponta_Grossa</v>
          </cell>
          <cell r="D1426" t="str">
            <v>Armazenagem (%)</v>
          </cell>
          <cell r="E1426" t="str">
            <v>Cliente 11</v>
          </cell>
          <cell r="CD1426">
            <v>0</v>
          </cell>
        </row>
        <row r="1427">
          <cell r="B1427" t="str">
            <v>Ponta_Grossa</v>
          </cell>
          <cell r="D1427" t="str">
            <v>Armazenagem (%)</v>
          </cell>
          <cell r="E1427" t="str">
            <v>Cliente 12</v>
          </cell>
          <cell r="CD1427">
            <v>0</v>
          </cell>
        </row>
        <row r="1428">
          <cell r="B1428" t="str">
            <v>Ponta_Grossa</v>
          </cell>
          <cell r="D1428" t="str">
            <v>Armazenagem (%)</v>
          </cell>
          <cell r="E1428" t="str">
            <v>Ajuste</v>
          </cell>
          <cell r="CD1428">
            <v>0</v>
          </cell>
        </row>
        <row r="1429">
          <cell r="B1429" t="str">
            <v>Ponta_Grossa</v>
          </cell>
          <cell r="D1429" t="str">
            <v>Faturamento | Armazenagem (BRL'000)</v>
          </cell>
          <cell r="E1429" t="str">
            <v>Subtotal</v>
          </cell>
          <cell r="CD1429">
            <v>8878.002190627556</v>
          </cell>
        </row>
        <row r="1430">
          <cell r="B1430" t="str">
            <v>Ponta_Grossa</v>
          </cell>
          <cell r="D1430" t="str">
            <v>Faturamento | Armazenagem (BRL'000)</v>
          </cell>
          <cell r="E1430" t="str">
            <v>YARA BRASIL FERTILIZANTES S/A.</v>
          </cell>
          <cell r="CD1430">
            <v>5836.7738400000053</v>
          </cell>
        </row>
        <row r="1431">
          <cell r="B1431" t="str">
            <v>Ponta_Grossa</v>
          </cell>
          <cell r="D1431" t="str">
            <v>Faturamento | Armazenagem (BRL'000)</v>
          </cell>
          <cell r="E1431" t="str">
            <v>MOINHO CIDADE BELLA</v>
          </cell>
          <cell r="CD1431">
            <v>1019.6181119212609</v>
          </cell>
        </row>
        <row r="1432">
          <cell r="B1432" t="str">
            <v>Ponta_Grossa</v>
          </cell>
          <cell r="D1432" t="str">
            <v>Faturamento | Armazenagem (BRL'000)</v>
          </cell>
          <cell r="E1432" t="str">
            <v>COAMO AGROINDUSTRIAL COOPERATIVA</v>
          </cell>
          <cell r="CD1432">
            <v>2021.6102387062899</v>
          </cell>
        </row>
        <row r="1433">
          <cell r="B1433" t="str">
            <v>Ponta_Grossa</v>
          </cell>
          <cell r="D1433" t="str">
            <v>Faturamento | Armazenagem (BRL'000)</v>
          </cell>
          <cell r="E1433" t="str">
            <v>MORRO CHATO AGROPECUARIA LTDA</v>
          </cell>
          <cell r="CD1433">
            <v>0</v>
          </cell>
        </row>
        <row r="1434">
          <cell r="B1434" t="str">
            <v>Ponta_Grossa</v>
          </cell>
          <cell r="D1434" t="str">
            <v>Faturamento | Armazenagem (BRL'000)</v>
          </cell>
          <cell r="E1434" t="str">
            <v>RUNA AGRICOLA LTDA</v>
          </cell>
          <cell r="CD1434">
            <v>0</v>
          </cell>
        </row>
        <row r="1435">
          <cell r="B1435" t="str">
            <v>Ponta_Grossa</v>
          </cell>
          <cell r="D1435" t="str">
            <v>Faturamento | Armazenagem (BRL'000)</v>
          </cell>
          <cell r="E1435" t="str">
            <v>JUAREZ SLAVIERO MIRÓ GUIMARÃES</v>
          </cell>
          <cell r="CD1435">
            <v>0</v>
          </cell>
        </row>
        <row r="1436">
          <cell r="B1436" t="str">
            <v>Ponta_Grossa</v>
          </cell>
          <cell r="D1436" t="str">
            <v>Faturamento | Armazenagem (BRL'000)</v>
          </cell>
          <cell r="E1436" t="str">
            <v>Cliente 7</v>
          </cell>
          <cell r="CD1436">
            <v>0</v>
          </cell>
        </row>
        <row r="1437">
          <cell r="B1437" t="str">
            <v>Ponta_Grossa</v>
          </cell>
          <cell r="D1437" t="str">
            <v>Faturamento | Armazenagem (BRL'000)</v>
          </cell>
          <cell r="E1437" t="str">
            <v>Cliente 8</v>
          </cell>
          <cell r="CD1437">
            <v>0</v>
          </cell>
        </row>
        <row r="1438">
          <cell r="B1438" t="str">
            <v>Ponta_Grossa</v>
          </cell>
          <cell r="D1438" t="str">
            <v>Faturamento | Armazenagem (BRL'000)</v>
          </cell>
          <cell r="E1438" t="str">
            <v>Cliente 9</v>
          </cell>
          <cell r="CD1438">
            <v>0</v>
          </cell>
        </row>
        <row r="1439">
          <cell r="B1439" t="str">
            <v>Ponta_Grossa</v>
          </cell>
          <cell r="D1439" t="str">
            <v>Faturamento | Armazenagem (BRL'000)</v>
          </cell>
          <cell r="E1439" t="str">
            <v>Cliente 10</v>
          </cell>
          <cell r="CD1439">
            <v>0</v>
          </cell>
        </row>
        <row r="1440">
          <cell r="B1440" t="str">
            <v>Ponta_Grossa</v>
          </cell>
          <cell r="D1440" t="str">
            <v>Faturamento | Armazenagem (BRL'000)</v>
          </cell>
          <cell r="E1440" t="str">
            <v>Cliente 11</v>
          </cell>
          <cell r="CD1440">
            <v>0</v>
          </cell>
        </row>
        <row r="1441">
          <cell r="B1441" t="str">
            <v>Ponta_Grossa</v>
          </cell>
          <cell r="D1441" t="str">
            <v>Faturamento | Armazenagem (BRL'000)</v>
          </cell>
          <cell r="E1441" t="str">
            <v>Cliente 12</v>
          </cell>
          <cell r="CD1441">
            <v>0</v>
          </cell>
        </row>
        <row r="1442">
          <cell r="B1442" t="str">
            <v>Ponta_Grossa</v>
          </cell>
          <cell r="D1442" t="str">
            <v>Faturamento | Armazenagem (BRL'000)</v>
          </cell>
          <cell r="E1442" t="str">
            <v>Ajuste</v>
          </cell>
          <cell r="CD1442">
            <v>0</v>
          </cell>
        </row>
        <row r="1443">
          <cell r="B1443" t="str">
            <v>Ponta_Grossa</v>
          </cell>
          <cell r="D1443" t="str">
            <v>Ticket Médio | Armazenagem (BRL)</v>
          </cell>
          <cell r="E1443" t="str">
            <v>Subtotal</v>
          </cell>
          <cell r="CD1443">
            <v>6.1330297323964702</v>
          </cell>
        </row>
        <row r="1444">
          <cell r="B1444" t="str">
            <v>Ponta_Grossa</v>
          </cell>
          <cell r="D1444" t="str">
            <v>Ticket Médio | Armazenagem (BRL)</v>
          </cell>
          <cell r="E1444" t="str">
            <v>YARA BRASIL FERTILIZANTES S/A.</v>
          </cell>
          <cell r="CD1444">
            <v>8.1066303333333405</v>
          </cell>
        </row>
        <row r="1445">
          <cell r="B1445" t="str">
            <v>Ponta_Grossa</v>
          </cell>
          <cell r="D1445" t="str">
            <v>Ticket Médio | Armazenagem (BRL)</v>
          </cell>
          <cell r="E1445" t="str">
            <v>MOINHO CIDADE BELLA</v>
          </cell>
          <cell r="CD1445">
            <v>4.6136566150283311</v>
          </cell>
        </row>
        <row r="1446">
          <cell r="B1446" t="str">
            <v>Ponta_Grossa</v>
          </cell>
          <cell r="D1446" t="str">
            <v>Ticket Médio | Armazenagem (BRL)</v>
          </cell>
          <cell r="E1446" t="str">
            <v>COAMO AGROINDUSTRIAL COOPERATIVA</v>
          </cell>
          <cell r="CD1446">
            <v>4.8133577112054526</v>
          </cell>
        </row>
        <row r="1447">
          <cell r="B1447" t="str">
            <v>Ponta_Grossa</v>
          </cell>
          <cell r="D1447" t="str">
            <v>Ticket Médio | Armazenagem (BRL)</v>
          </cell>
          <cell r="E1447" t="str">
            <v>MORRO CHATO AGROPECUARIA LTDA</v>
          </cell>
          <cell r="CD1447">
            <v>0</v>
          </cell>
        </row>
        <row r="1448">
          <cell r="B1448" t="str">
            <v>Ponta_Grossa</v>
          </cell>
          <cell r="D1448" t="str">
            <v>Ticket Médio | Armazenagem (BRL)</v>
          </cell>
          <cell r="E1448" t="str">
            <v>RUNA AGRICOLA LTDA</v>
          </cell>
          <cell r="CD1448">
            <v>0</v>
          </cell>
        </row>
        <row r="1449">
          <cell r="B1449" t="str">
            <v>Ponta_Grossa</v>
          </cell>
          <cell r="D1449" t="str">
            <v>Ticket Médio | Armazenagem (BRL)</v>
          </cell>
          <cell r="E1449" t="str">
            <v>JUAREZ SLAVIERO MIRÓ GUIMARÃES</v>
          </cell>
          <cell r="CD1449">
            <v>0</v>
          </cell>
        </row>
        <row r="1450">
          <cell r="B1450" t="str">
            <v>Ponta_Grossa</v>
          </cell>
          <cell r="D1450" t="str">
            <v>Ticket Médio | Armazenagem (BRL)</v>
          </cell>
          <cell r="E1450" t="str">
            <v>Cliente 7</v>
          </cell>
          <cell r="CD1450">
            <v>0</v>
          </cell>
        </row>
        <row r="1451">
          <cell r="B1451" t="str">
            <v>Ponta_Grossa</v>
          </cell>
          <cell r="D1451" t="str">
            <v>Ticket Médio | Armazenagem (BRL)</v>
          </cell>
          <cell r="E1451" t="str">
            <v>Cliente 8</v>
          </cell>
          <cell r="CD1451">
            <v>0</v>
          </cell>
        </row>
        <row r="1452">
          <cell r="B1452" t="str">
            <v>Ponta_Grossa</v>
          </cell>
          <cell r="D1452" t="str">
            <v>Ticket Médio | Armazenagem (BRL)</v>
          </cell>
          <cell r="E1452" t="str">
            <v>Cliente 9</v>
          </cell>
          <cell r="CD1452">
            <v>0</v>
          </cell>
        </row>
        <row r="1453">
          <cell r="B1453" t="str">
            <v>Ponta_Grossa</v>
          </cell>
          <cell r="D1453" t="str">
            <v>Ticket Médio | Armazenagem (BRL)</v>
          </cell>
          <cell r="E1453" t="str">
            <v>Cliente 10</v>
          </cell>
          <cell r="CD1453">
            <v>0</v>
          </cell>
        </row>
        <row r="1454">
          <cell r="B1454" t="str">
            <v>Ponta_Grossa</v>
          </cell>
          <cell r="D1454" t="str">
            <v>Ticket Médio | Armazenagem (BRL)</v>
          </cell>
          <cell r="E1454" t="str">
            <v>Cliente 11</v>
          </cell>
          <cell r="CD1454">
            <v>0</v>
          </cell>
        </row>
        <row r="1455">
          <cell r="B1455" t="str">
            <v>Ponta_Grossa</v>
          </cell>
          <cell r="D1455" t="str">
            <v>Ticket Médio | Armazenagem (BRL)</v>
          </cell>
          <cell r="E1455" t="str">
            <v>Cliente 12</v>
          </cell>
          <cell r="CD1455">
            <v>0</v>
          </cell>
        </row>
        <row r="1456">
          <cell r="B1456" t="str">
            <v>Ponta_Grossa</v>
          </cell>
          <cell r="D1456" t="str">
            <v>Ticket Médio | Armazenagem (BRL)</v>
          </cell>
          <cell r="E1456" t="str">
            <v>Ajuste</v>
          </cell>
          <cell r="CD1456">
            <v>0</v>
          </cell>
        </row>
        <row r="1457">
          <cell r="B1457" t="str">
            <v>Ponta_Grossa</v>
          </cell>
          <cell r="D1457" t="str">
            <v>Movimentação (Toneladas)</v>
          </cell>
          <cell r="E1457" t="str">
            <v>Subtotal</v>
          </cell>
          <cell r="CD1457">
            <v>442578.610442971</v>
          </cell>
        </row>
        <row r="1458">
          <cell r="B1458" t="str">
            <v>Ponta_Grossa</v>
          </cell>
          <cell r="D1458" t="str">
            <v>Movimentação (Toneladas)</v>
          </cell>
          <cell r="E1458" t="str">
            <v>YARA BRASIL FERTILIZANTES S/A.</v>
          </cell>
          <cell r="CD1458">
            <v>577655.42221197672</v>
          </cell>
        </row>
        <row r="1459">
          <cell r="B1459" t="str">
            <v>Ponta_Grossa</v>
          </cell>
          <cell r="D1459" t="str">
            <v>Movimentação (Toneladas)</v>
          </cell>
          <cell r="E1459" t="str">
            <v>MOINHO CIDADE BELLA</v>
          </cell>
          <cell r="CD1459">
            <v>0</v>
          </cell>
        </row>
        <row r="1460">
          <cell r="B1460" t="str">
            <v>Ponta_Grossa</v>
          </cell>
          <cell r="D1460" t="str">
            <v>Movimentação (Toneladas)</v>
          </cell>
          <cell r="E1460" t="str">
            <v>COAMO AGROINDUSTRIAL COOPERATIVA</v>
          </cell>
          <cell r="CD1460">
            <v>125400</v>
          </cell>
        </row>
        <row r="1461">
          <cell r="B1461" t="str">
            <v>Ponta_Grossa</v>
          </cell>
          <cell r="D1461" t="str">
            <v>Movimentação (Toneladas)</v>
          </cell>
          <cell r="E1461" t="str">
            <v>MORRO CHATO AGROPECUARIA LTDA</v>
          </cell>
          <cell r="CD1461">
            <v>72912</v>
          </cell>
        </row>
        <row r="1462">
          <cell r="B1462" t="str">
            <v>Ponta_Grossa</v>
          </cell>
          <cell r="D1462" t="str">
            <v>Movimentação (Toneladas)</v>
          </cell>
          <cell r="E1462" t="str">
            <v>RUNA AGRICOLA LTDA</v>
          </cell>
          <cell r="CD1462">
            <v>0</v>
          </cell>
        </row>
        <row r="1463">
          <cell r="B1463" t="str">
            <v>Ponta_Grossa</v>
          </cell>
          <cell r="D1463" t="str">
            <v>Movimentação (Toneladas)</v>
          </cell>
          <cell r="E1463" t="str">
            <v>JUAREZ SLAVIERO MIRÓ GUIMARÃES</v>
          </cell>
          <cell r="CD1463">
            <v>0</v>
          </cell>
        </row>
        <row r="1464">
          <cell r="B1464" t="str">
            <v>Ponta_Grossa</v>
          </cell>
          <cell r="D1464" t="str">
            <v>Movimentação (Toneladas)</v>
          </cell>
          <cell r="E1464" t="str">
            <v>Cliente 7</v>
          </cell>
          <cell r="CD1464">
            <v>0</v>
          </cell>
        </row>
        <row r="1465">
          <cell r="B1465" t="str">
            <v>Ponta_Grossa</v>
          </cell>
          <cell r="D1465" t="str">
            <v>Movimentação (Toneladas)</v>
          </cell>
          <cell r="E1465" t="str">
            <v>Cliente 8</v>
          </cell>
          <cell r="CD1465">
            <v>0</v>
          </cell>
        </row>
        <row r="1466">
          <cell r="B1466" t="str">
            <v>Ponta_Grossa</v>
          </cell>
          <cell r="D1466" t="str">
            <v>Movimentação (Toneladas)</v>
          </cell>
          <cell r="E1466" t="str">
            <v>Cliente 9</v>
          </cell>
          <cell r="CD1466">
            <v>0</v>
          </cell>
        </row>
        <row r="1467">
          <cell r="B1467" t="str">
            <v>Ponta_Grossa</v>
          </cell>
          <cell r="D1467" t="str">
            <v>Movimentação (Toneladas)</v>
          </cell>
          <cell r="E1467" t="str">
            <v>Cliente 10</v>
          </cell>
          <cell r="CD1467">
            <v>0</v>
          </cell>
        </row>
        <row r="1468">
          <cell r="B1468" t="str">
            <v>Ponta_Grossa</v>
          </cell>
          <cell r="D1468" t="str">
            <v>Movimentação (Toneladas)</v>
          </cell>
          <cell r="E1468" t="str">
            <v>Cliente 11</v>
          </cell>
          <cell r="CD1468">
            <v>0</v>
          </cell>
        </row>
        <row r="1469">
          <cell r="B1469" t="str">
            <v>Ponta_Grossa</v>
          </cell>
          <cell r="D1469" t="str">
            <v>Movimentação (Toneladas)</v>
          </cell>
          <cell r="E1469" t="str">
            <v>Cliente 12</v>
          </cell>
          <cell r="CD1469">
            <v>0</v>
          </cell>
        </row>
        <row r="1470">
          <cell r="B1470" t="str">
            <v>Ponta_Grossa</v>
          </cell>
          <cell r="D1470" t="str">
            <v>Movimentação (Toneladas)</v>
          </cell>
          <cell r="E1470" t="str">
            <v>Ajuste</v>
          </cell>
          <cell r="CD1470">
            <v>0</v>
          </cell>
        </row>
        <row r="1471">
          <cell r="B1471" t="str">
            <v>Ponta_Grossa</v>
          </cell>
          <cell r="D1471" t="str">
            <v>Giro</v>
          </cell>
          <cell r="E1471" t="str">
            <v>Subtotal</v>
          </cell>
          <cell r="CD1471">
            <v>24.081668740984579</v>
          </cell>
        </row>
        <row r="1472">
          <cell r="B1472" t="str">
            <v>Ponta_Grossa</v>
          </cell>
          <cell r="D1472" t="str">
            <v>Giro</v>
          </cell>
          <cell r="E1472" t="str">
            <v>YARA BRASIL FERTILIZANTES S/A.</v>
          </cell>
          <cell r="CD1472">
            <v>3.5999999999999992</v>
          </cell>
        </row>
        <row r="1473">
          <cell r="B1473" t="str">
            <v>Ponta_Grossa</v>
          </cell>
          <cell r="D1473" t="str">
            <v>Giro</v>
          </cell>
          <cell r="E1473" t="str">
            <v>MOINHO CIDADE BELLA</v>
          </cell>
          <cell r="CD1473">
            <v>0.14117162123504001</v>
          </cell>
        </row>
        <row r="1474">
          <cell r="B1474" t="str">
            <v>Ponta_Grossa</v>
          </cell>
          <cell r="D1474" t="str">
            <v>Giro</v>
          </cell>
          <cell r="E1474" t="str">
            <v>COAMO AGROINDUSTRIAL COOPERATIVA</v>
          </cell>
          <cell r="CD1474">
            <v>1.83</v>
          </cell>
        </row>
        <row r="1475">
          <cell r="B1475" t="str">
            <v>Ponta_Grossa</v>
          </cell>
          <cell r="D1475" t="str">
            <v>Giro</v>
          </cell>
          <cell r="E1475" t="str">
            <v>MORRO CHATO AGROPECUARIA LTDA</v>
          </cell>
          <cell r="CD1475">
            <v>5.04</v>
          </cell>
        </row>
        <row r="1476">
          <cell r="B1476" t="str">
            <v>Ponta_Grossa</v>
          </cell>
          <cell r="D1476" t="str">
            <v>Giro</v>
          </cell>
          <cell r="E1476" t="str">
            <v>RUNA AGRICOLA LTDA</v>
          </cell>
          <cell r="CD1476">
            <v>0.85650866792166502</v>
          </cell>
        </row>
        <row r="1477">
          <cell r="B1477" t="str">
            <v>Ponta_Grossa</v>
          </cell>
          <cell r="D1477" t="str">
            <v>Giro</v>
          </cell>
          <cell r="E1477" t="str">
            <v>JUAREZ SLAVIERO MIRÓ GUIMARÃES</v>
          </cell>
          <cell r="CD1477">
            <v>12.613988451827881</v>
          </cell>
        </row>
        <row r="1478">
          <cell r="B1478" t="str">
            <v>Ponta_Grossa</v>
          </cell>
          <cell r="D1478" t="str">
            <v>Giro</v>
          </cell>
          <cell r="E1478" t="str">
            <v>Cliente 7</v>
          </cell>
          <cell r="CD1478">
            <v>0</v>
          </cell>
        </row>
        <row r="1479">
          <cell r="B1479" t="str">
            <v>Ponta_Grossa</v>
          </cell>
          <cell r="D1479" t="str">
            <v>Giro</v>
          </cell>
          <cell r="E1479" t="str">
            <v>Cliente 8</v>
          </cell>
          <cell r="CD1479">
            <v>0</v>
          </cell>
        </row>
        <row r="1480">
          <cell r="B1480" t="str">
            <v>Ponta_Grossa</v>
          </cell>
          <cell r="D1480" t="str">
            <v>Giro</v>
          </cell>
          <cell r="E1480" t="str">
            <v>Cliente 9</v>
          </cell>
          <cell r="CD1480">
            <v>0</v>
          </cell>
        </row>
        <row r="1481">
          <cell r="B1481" t="str">
            <v>Ponta_Grossa</v>
          </cell>
          <cell r="D1481" t="str">
            <v>Giro</v>
          </cell>
          <cell r="E1481" t="str">
            <v>Cliente 10</v>
          </cell>
          <cell r="CD1481">
            <v>0</v>
          </cell>
        </row>
        <row r="1482">
          <cell r="B1482" t="str">
            <v>Ponta_Grossa</v>
          </cell>
          <cell r="D1482" t="str">
            <v>Giro</v>
          </cell>
          <cell r="E1482" t="str">
            <v>Cliente 11</v>
          </cell>
          <cell r="CD1482">
            <v>0</v>
          </cell>
        </row>
        <row r="1483">
          <cell r="B1483" t="str">
            <v>Ponta_Grossa</v>
          </cell>
          <cell r="D1483" t="str">
            <v>Giro</v>
          </cell>
          <cell r="E1483" t="str">
            <v>Cliente 12</v>
          </cell>
          <cell r="CD1483">
            <v>0</v>
          </cell>
        </row>
        <row r="1484">
          <cell r="B1484" t="str">
            <v>Ponta_Grossa</v>
          </cell>
          <cell r="D1484" t="str">
            <v>Giro</v>
          </cell>
          <cell r="E1484" t="str">
            <v>Ajuste</v>
          </cell>
          <cell r="CD1484">
            <v>0</v>
          </cell>
        </row>
        <row r="1485">
          <cell r="B1485" t="str">
            <v>Ponta_Grossa</v>
          </cell>
          <cell r="D1485" t="str">
            <v>Faturamento | Movimentação (BRL'000)</v>
          </cell>
          <cell r="E1485" t="str">
            <v>Subtotal</v>
          </cell>
          <cell r="CD1485">
            <v>5407.5869698757597</v>
          </cell>
        </row>
        <row r="1486">
          <cell r="B1486" t="str">
            <v>Ponta_Grossa</v>
          </cell>
          <cell r="D1486" t="str">
            <v>Faturamento | Movimentação (BRL'000)</v>
          </cell>
          <cell r="E1486" t="str">
            <v>YARA BRASIL FERTILIZANTES S/A.</v>
          </cell>
          <cell r="CD1486">
            <v>4916.3748959078403</v>
          </cell>
        </row>
        <row r="1487">
          <cell r="B1487" t="str">
            <v>Ponta_Grossa</v>
          </cell>
          <cell r="D1487" t="str">
            <v>Faturamento | Movimentação (BRL'000)</v>
          </cell>
          <cell r="E1487" t="str">
            <v>MOINHO CIDADE BELLA</v>
          </cell>
          <cell r="CD1487">
            <v>0</v>
          </cell>
        </row>
        <row r="1488">
          <cell r="B1488" t="str">
            <v>Ponta_Grossa</v>
          </cell>
          <cell r="D1488" t="str">
            <v>Faturamento | Movimentação (BRL'000)</v>
          </cell>
          <cell r="E1488" t="str">
            <v>COAMO AGROINDUSTRIAL COOPERATIVA</v>
          </cell>
          <cell r="CD1488">
            <v>491.21207396791971</v>
          </cell>
        </row>
        <row r="1489">
          <cell r="B1489" t="str">
            <v>Ponta_Grossa</v>
          </cell>
          <cell r="D1489" t="str">
            <v>Faturamento | Movimentação (BRL'000)</v>
          </cell>
          <cell r="E1489" t="str">
            <v>MORRO CHATO AGROPECUARIA LTDA</v>
          </cell>
          <cell r="CD1489">
            <v>0</v>
          </cell>
        </row>
        <row r="1490">
          <cell r="B1490" t="str">
            <v>Ponta_Grossa</v>
          </cell>
          <cell r="D1490" t="str">
            <v>Faturamento | Movimentação (BRL'000)</v>
          </cell>
          <cell r="E1490" t="str">
            <v>RUNA AGRICOLA LTDA</v>
          </cell>
          <cell r="CD1490">
            <v>0</v>
          </cell>
        </row>
        <row r="1491">
          <cell r="B1491" t="str">
            <v>Ponta_Grossa</v>
          </cell>
          <cell r="D1491" t="str">
            <v>Faturamento | Movimentação (BRL'000)</v>
          </cell>
          <cell r="E1491" t="str">
            <v>JUAREZ SLAVIERO MIRÓ GUIMARÃES</v>
          </cell>
          <cell r="CD1491">
            <v>0</v>
          </cell>
        </row>
        <row r="1492">
          <cell r="B1492" t="str">
            <v>Ponta_Grossa</v>
          </cell>
          <cell r="D1492" t="str">
            <v>Faturamento | Movimentação (BRL'000)</v>
          </cell>
          <cell r="E1492" t="str">
            <v>Cliente 7</v>
          </cell>
          <cell r="CD1492">
            <v>0</v>
          </cell>
        </row>
        <row r="1493">
          <cell r="B1493" t="str">
            <v>Ponta_Grossa</v>
          </cell>
          <cell r="D1493" t="str">
            <v>Faturamento | Movimentação (BRL'000)</v>
          </cell>
          <cell r="E1493" t="str">
            <v>Cliente 8</v>
          </cell>
          <cell r="CD1493">
            <v>0</v>
          </cell>
        </row>
        <row r="1494">
          <cell r="B1494" t="str">
            <v>Ponta_Grossa</v>
          </cell>
          <cell r="D1494" t="str">
            <v>Faturamento | Movimentação (BRL'000)</v>
          </cell>
          <cell r="E1494" t="str">
            <v>Cliente 9</v>
          </cell>
          <cell r="CD1494">
            <v>0</v>
          </cell>
        </row>
        <row r="1495">
          <cell r="B1495" t="str">
            <v>Ponta_Grossa</v>
          </cell>
          <cell r="D1495" t="str">
            <v>Faturamento | Movimentação (BRL'000)</v>
          </cell>
          <cell r="E1495" t="str">
            <v>Cliente 10</v>
          </cell>
          <cell r="CD1495">
            <v>0</v>
          </cell>
        </row>
        <row r="1496">
          <cell r="B1496" t="str">
            <v>Ponta_Grossa</v>
          </cell>
          <cell r="D1496" t="str">
            <v>Faturamento | Movimentação (BRL'000)</v>
          </cell>
          <cell r="E1496" t="str">
            <v>Cliente 11</v>
          </cell>
          <cell r="CD1496">
            <v>0</v>
          </cell>
        </row>
        <row r="1497">
          <cell r="B1497" t="str">
            <v>Ponta_Grossa</v>
          </cell>
          <cell r="D1497" t="str">
            <v>Faturamento | Movimentação (BRL'000)</v>
          </cell>
          <cell r="E1497" t="str">
            <v>Cliente 12</v>
          </cell>
          <cell r="CD1497">
            <v>0</v>
          </cell>
        </row>
        <row r="1498">
          <cell r="B1498" t="str">
            <v>Ponta_Grossa</v>
          </cell>
          <cell r="D1498" t="str">
            <v>Faturamento | Movimentação (BRL'000)</v>
          </cell>
          <cell r="E1498" t="str">
            <v>Ajuste</v>
          </cell>
          <cell r="CD1498">
            <v>0</v>
          </cell>
        </row>
        <row r="1499">
          <cell r="B1499" t="str">
            <v>Ponta_Grossa</v>
          </cell>
          <cell r="D1499" t="str">
            <v>Ticket Médio | Movimentação (BRL)</v>
          </cell>
          <cell r="E1499" t="str">
            <v>Subtotal</v>
          </cell>
          <cell r="CD1499">
            <v>12.21836492383439</v>
          </cell>
        </row>
        <row r="1500">
          <cell r="B1500" t="str">
            <v>Ponta_Grossa</v>
          </cell>
          <cell r="D1500" t="str">
            <v>Ticket Médio | Movimentação (BRL)</v>
          </cell>
          <cell r="E1500" t="str">
            <v>YARA BRASIL FERTILIZANTES S/A.</v>
          </cell>
          <cell r="CD1500">
            <v>8.5109127463599314</v>
          </cell>
        </row>
        <row r="1501">
          <cell r="B1501" t="str">
            <v>Ponta_Grossa</v>
          </cell>
          <cell r="D1501" t="str">
            <v>Ticket Médio | Movimentação (BRL)</v>
          </cell>
          <cell r="E1501" t="str">
            <v>MOINHO CIDADE BELLA</v>
          </cell>
          <cell r="CD1501">
            <v>4.1172292359701927</v>
          </cell>
        </row>
        <row r="1502">
          <cell r="B1502" t="str">
            <v>Ponta_Grossa</v>
          </cell>
          <cell r="D1502" t="str">
            <v>Ticket Médio | Movimentação (BRL)</v>
          </cell>
          <cell r="E1502" t="str">
            <v>COAMO AGROINDUSTRIAL COOPERATIVA</v>
          </cell>
          <cell r="CD1502">
            <v>3.9171616743853241</v>
          </cell>
        </row>
        <row r="1503">
          <cell r="B1503" t="str">
            <v>Ponta_Grossa</v>
          </cell>
          <cell r="D1503" t="str">
            <v>Ticket Médio | Movimentação (BRL)</v>
          </cell>
          <cell r="E1503" t="str">
            <v>MORRO CHATO AGROPECUARIA LTDA</v>
          </cell>
          <cell r="CD1503">
            <v>0</v>
          </cell>
        </row>
        <row r="1504">
          <cell r="B1504" t="str">
            <v>Ponta_Grossa</v>
          </cell>
          <cell r="D1504" t="str">
            <v>Ticket Médio | Movimentação (BRL)</v>
          </cell>
          <cell r="E1504" t="str">
            <v>RUNA AGRICOLA LTDA</v>
          </cell>
          <cell r="CD1504">
            <v>0</v>
          </cell>
        </row>
        <row r="1505">
          <cell r="B1505" t="str">
            <v>Ponta_Grossa</v>
          </cell>
          <cell r="D1505" t="str">
            <v>Ticket Médio | Movimentação (BRL)</v>
          </cell>
          <cell r="E1505" t="str">
            <v>JUAREZ SLAVIERO MIRÓ GUIMARÃES</v>
          </cell>
          <cell r="CD1505">
            <v>0</v>
          </cell>
        </row>
        <row r="1506">
          <cell r="B1506" t="str">
            <v>Ponta_Grossa</v>
          </cell>
          <cell r="D1506" t="str">
            <v>Ticket Médio | Movimentação (BRL)</v>
          </cell>
          <cell r="E1506" t="str">
            <v>Cliente 7</v>
          </cell>
          <cell r="CD1506">
            <v>0</v>
          </cell>
        </row>
        <row r="1507">
          <cell r="B1507" t="str">
            <v>Ponta_Grossa</v>
          </cell>
          <cell r="D1507" t="str">
            <v>Ticket Médio | Movimentação (BRL)</v>
          </cell>
          <cell r="E1507" t="str">
            <v>Cliente 8</v>
          </cell>
          <cell r="CD1507">
            <v>0</v>
          </cell>
        </row>
        <row r="1508">
          <cell r="B1508" t="str">
            <v>Ponta_Grossa</v>
          </cell>
          <cell r="D1508" t="str">
            <v>Ticket Médio | Movimentação (BRL)</v>
          </cell>
          <cell r="E1508" t="str">
            <v>Cliente 9</v>
          </cell>
          <cell r="CD1508">
            <v>0</v>
          </cell>
        </row>
        <row r="1509">
          <cell r="B1509" t="str">
            <v>Ponta_Grossa</v>
          </cell>
          <cell r="D1509" t="str">
            <v>Ticket Médio | Movimentação (BRL)</v>
          </cell>
          <cell r="E1509" t="str">
            <v>Cliente 10</v>
          </cell>
          <cell r="CD1509">
            <v>0</v>
          </cell>
        </row>
        <row r="1510">
          <cell r="B1510" t="str">
            <v>Ponta_Grossa</v>
          </cell>
          <cell r="D1510" t="str">
            <v>Ticket Médio | Movimentação (BRL)</v>
          </cell>
          <cell r="E1510" t="str">
            <v>Cliente 11</v>
          </cell>
          <cell r="CD1510">
            <v>0</v>
          </cell>
        </row>
        <row r="1511">
          <cell r="B1511" t="str">
            <v>Ponta_Grossa</v>
          </cell>
          <cell r="D1511" t="str">
            <v>Ticket Médio | Movimentação (BRL)</v>
          </cell>
          <cell r="E1511" t="str">
            <v>Cliente 12</v>
          </cell>
          <cell r="CD1511">
            <v>0</v>
          </cell>
        </row>
        <row r="1512">
          <cell r="B1512" t="str">
            <v>Ponta_Grossa</v>
          </cell>
          <cell r="D1512" t="str">
            <v>Ticket Médio | Movimentação (BRL)</v>
          </cell>
          <cell r="E1512" t="str">
            <v>Ajuste</v>
          </cell>
          <cell r="CD1512">
            <v>0</v>
          </cell>
        </row>
        <row r="1513">
          <cell r="B1513" t="str">
            <v>Ponta_Grossa</v>
          </cell>
          <cell r="D1513" t="str">
            <v>Plugagem</v>
          </cell>
          <cell r="E1513" t="str">
            <v>Subtotal</v>
          </cell>
          <cell r="CD1513">
            <v>0</v>
          </cell>
        </row>
        <row r="1514">
          <cell r="B1514" t="str">
            <v>Ponta_Grossa</v>
          </cell>
          <cell r="D1514" t="str">
            <v>Plugagem</v>
          </cell>
          <cell r="E1514" t="str">
            <v>YARA BRASIL FERTILIZANTES S/A.</v>
          </cell>
          <cell r="CD1514">
            <v>0</v>
          </cell>
        </row>
        <row r="1515">
          <cell r="B1515" t="str">
            <v>Ponta_Grossa</v>
          </cell>
          <cell r="D1515" t="str">
            <v>Plugagem</v>
          </cell>
          <cell r="E1515" t="str">
            <v>MOINHO CIDADE BELLA</v>
          </cell>
          <cell r="CD1515">
            <v>0</v>
          </cell>
        </row>
        <row r="1516">
          <cell r="B1516" t="str">
            <v>Ponta_Grossa</v>
          </cell>
          <cell r="D1516" t="str">
            <v>Plugagem</v>
          </cell>
          <cell r="E1516" t="str">
            <v>COAMO AGROINDUSTRIAL COOPERATIVA</v>
          </cell>
          <cell r="CD1516">
            <v>0</v>
          </cell>
        </row>
        <row r="1517">
          <cell r="B1517" t="str">
            <v>Ponta_Grossa</v>
          </cell>
          <cell r="D1517" t="str">
            <v>Plugagem</v>
          </cell>
          <cell r="E1517" t="str">
            <v>MORRO CHATO AGROPECUARIA LTDA</v>
          </cell>
          <cell r="CD1517">
            <v>0</v>
          </cell>
        </row>
        <row r="1518">
          <cell r="B1518" t="str">
            <v>Ponta_Grossa</v>
          </cell>
          <cell r="D1518" t="str">
            <v>Plugagem</v>
          </cell>
          <cell r="E1518" t="str">
            <v>RUNA AGRICOLA LTDA</v>
          </cell>
          <cell r="CD1518">
            <v>0</v>
          </cell>
        </row>
        <row r="1519">
          <cell r="B1519" t="str">
            <v>Ponta_Grossa</v>
          </cell>
          <cell r="D1519" t="str">
            <v>Plugagem</v>
          </cell>
          <cell r="E1519" t="str">
            <v>JUAREZ SLAVIERO MIRÓ GUIMARÃES</v>
          </cell>
          <cell r="CD1519">
            <v>0</v>
          </cell>
        </row>
        <row r="1520">
          <cell r="B1520" t="str">
            <v>Ponta_Grossa</v>
          </cell>
          <cell r="D1520" t="str">
            <v>Plugagem</v>
          </cell>
          <cell r="E1520" t="str">
            <v>Cliente 7</v>
          </cell>
          <cell r="CD1520">
            <v>0</v>
          </cell>
        </row>
        <row r="1521">
          <cell r="B1521" t="str">
            <v>Ponta_Grossa</v>
          </cell>
          <cell r="D1521" t="str">
            <v>Plugagem</v>
          </cell>
          <cell r="E1521" t="str">
            <v>Cliente 8</v>
          </cell>
          <cell r="CD1521">
            <v>0</v>
          </cell>
        </row>
        <row r="1522">
          <cell r="B1522" t="str">
            <v>Ponta_Grossa</v>
          </cell>
          <cell r="D1522" t="str">
            <v>Plugagem</v>
          </cell>
          <cell r="E1522" t="str">
            <v>Cliente 9</v>
          </cell>
          <cell r="CD1522">
            <v>0</v>
          </cell>
        </row>
        <row r="1523">
          <cell r="B1523" t="str">
            <v>Ponta_Grossa</v>
          </cell>
          <cell r="D1523" t="str">
            <v>Plugagem</v>
          </cell>
          <cell r="E1523" t="str">
            <v>Cliente 10</v>
          </cell>
          <cell r="CD1523">
            <v>0</v>
          </cell>
        </row>
        <row r="1524">
          <cell r="B1524" t="str">
            <v>Ponta_Grossa</v>
          </cell>
          <cell r="D1524" t="str">
            <v>Plugagem</v>
          </cell>
          <cell r="E1524" t="str">
            <v>Cliente 11</v>
          </cell>
          <cell r="CD1524">
            <v>0</v>
          </cell>
        </row>
        <row r="1525">
          <cell r="B1525" t="str">
            <v>Ponta_Grossa</v>
          </cell>
          <cell r="D1525" t="str">
            <v>Plugagem</v>
          </cell>
          <cell r="E1525" t="str">
            <v>Cliente 12</v>
          </cell>
          <cell r="CD1525">
            <v>0</v>
          </cell>
        </row>
        <row r="1526">
          <cell r="B1526" t="str">
            <v>Ponta_Grossa</v>
          </cell>
          <cell r="D1526" t="str">
            <v>Plugagem</v>
          </cell>
          <cell r="E1526" t="str">
            <v>Ajuste</v>
          </cell>
          <cell r="CD1526">
            <v>0</v>
          </cell>
        </row>
        <row r="1527">
          <cell r="B1527" t="str">
            <v>Ponta_Grossa</v>
          </cell>
          <cell r="D1527" t="str">
            <v>Faturamento | Plugagem (BRL'000)</v>
          </cell>
          <cell r="E1527" t="str">
            <v>Subtotal</v>
          </cell>
          <cell r="CD1527">
            <v>0</v>
          </cell>
        </row>
        <row r="1528">
          <cell r="B1528" t="str">
            <v>Ponta_Grossa</v>
          </cell>
          <cell r="D1528" t="str">
            <v>Faturamento | Plugagem (BRL'000)</v>
          </cell>
          <cell r="E1528" t="str">
            <v>YARA BRASIL FERTILIZANTES S/A.</v>
          </cell>
          <cell r="CD1528">
            <v>0</v>
          </cell>
        </row>
        <row r="1529">
          <cell r="B1529" t="str">
            <v>Ponta_Grossa</v>
          </cell>
          <cell r="D1529" t="str">
            <v>Faturamento | Plugagem (BRL'000)</v>
          </cell>
          <cell r="E1529" t="str">
            <v>MOINHO CIDADE BELLA</v>
          </cell>
          <cell r="CD1529">
            <v>0</v>
          </cell>
        </row>
        <row r="1530">
          <cell r="B1530" t="str">
            <v>Ponta_Grossa</v>
          </cell>
          <cell r="D1530" t="str">
            <v>Faturamento | Plugagem (BRL'000)</v>
          </cell>
          <cell r="E1530" t="str">
            <v>COAMO AGROINDUSTRIAL COOPERATIVA</v>
          </cell>
          <cell r="CD1530">
            <v>0</v>
          </cell>
        </row>
        <row r="1531">
          <cell r="B1531" t="str">
            <v>Ponta_Grossa</v>
          </cell>
          <cell r="D1531" t="str">
            <v>Faturamento | Plugagem (BRL'000)</v>
          </cell>
          <cell r="E1531" t="str">
            <v>MORRO CHATO AGROPECUARIA LTDA</v>
          </cell>
          <cell r="CD1531">
            <v>0</v>
          </cell>
        </row>
        <row r="1532">
          <cell r="B1532" t="str">
            <v>Ponta_Grossa</v>
          </cell>
          <cell r="D1532" t="str">
            <v>Faturamento | Plugagem (BRL'000)</v>
          </cell>
          <cell r="E1532" t="str">
            <v>RUNA AGRICOLA LTDA</v>
          </cell>
          <cell r="CD1532">
            <v>0</v>
          </cell>
        </row>
        <row r="1533">
          <cell r="B1533" t="str">
            <v>Ponta_Grossa</v>
          </cell>
          <cell r="D1533" t="str">
            <v>Faturamento | Plugagem (BRL'000)</v>
          </cell>
          <cell r="E1533" t="str">
            <v>JUAREZ SLAVIERO MIRÓ GUIMARÃES</v>
          </cell>
          <cell r="CD1533">
            <v>0</v>
          </cell>
        </row>
        <row r="1534">
          <cell r="B1534" t="str">
            <v>Ponta_Grossa</v>
          </cell>
          <cell r="D1534" t="str">
            <v>Faturamento | Plugagem (BRL'000)</v>
          </cell>
          <cell r="E1534" t="str">
            <v>Cliente 7</v>
          </cell>
          <cell r="CD1534">
            <v>0</v>
          </cell>
        </row>
        <row r="1535">
          <cell r="B1535" t="str">
            <v>Ponta_Grossa</v>
          </cell>
          <cell r="D1535" t="str">
            <v>Faturamento | Plugagem (BRL'000)</v>
          </cell>
          <cell r="E1535" t="str">
            <v>Cliente 8</v>
          </cell>
          <cell r="CD1535">
            <v>0</v>
          </cell>
        </row>
        <row r="1536">
          <cell r="B1536" t="str">
            <v>Ponta_Grossa</v>
          </cell>
          <cell r="D1536" t="str">
            <v>Faturamento | Plugagem (BRL'000)</v>
          </cell>
          <cell r="E1536" t="str">
            <v>Cliente 9</v>
          </cell>
          <cell r="CD1536">
            <v>0</v>
          </cell>
        </row>
        <row r="1537">
          <cell r="B1537" t="str">
            <v>Ponta_Grossa</v>
          </cell>
          <cell r="D1537" t="str">
            <v>Faturamento | Plugagem (BRL'000)</v>
          </cell>
          <cell r="E1537" t="str">
            <v>Cliente 10</v>
          </cell>
          <cell r="CD1537">
            <v>0</v>
          </cell>
        </row>
        <row r="1538">
          <cell r="B1538" t="str">
            <v>Ponta_Grossa</v>
          </cell>
          <cell r="D1538" t="str">
            <v>Faturamento | Plugagem (BRL'000)</v>
          </cell>
          <cell r="E1538" t="str">
            <v>Cliente 11</v>
          </cell>
          <cell r="CD1538">
            <v>0</v>
          </cell>
        </row>
        <row r="1539">
          <cell r="B1539" t="str">
            <v>Ponta_Grossa</v>
          </cell>
          <cell r="D1539" t="str">
            <v>Faturamento | Plugagem (BRL'000)</v>
          </cell>
          <cell r="E1539" t="str">
            <v>Cliente 12</v>
          </cell>
          <cell r="CD1539">
            <v>0</v>
          </cell>
        </row>
        <row r="1540">
          <cell r="B1540" t="str">
            <v>Ponta_Grossa</v>
          </cell>
          <cell r="D1540" t="str">
            <v>Faturamento | Plugagem (BRL'000)</v>
          </cell>
          <cell r="E1540" t="str">
            <v>Ajuste</v>
          </cell>
          <cell r="CD1540">
            <v>0</v>
          </cell>
        </row>
        <row r="1541">
          <cell r="B1541" t="str">
            <v>Ponta_Grossa</v>
          </cell>
          <cell r="D1541" t="str">
            <v>Ticket Médio | Plugagem (BRL)</v>
          </cell>
          <cell r="E1541" t="str">
            <v>Subtotal</v>
          </cell>
          <cell r="CD1541">
            <v>0</v>
          </cell>
        </row>
        <row r="1542">
          <cell r="B1542" t="str">
            <v>Ponta_Grossa</v>
          </cell>
          <cell r="D1542" t="str">
            <v>Ticket Médio | Plugagem (BRL)</v>
          </cell>
          <cell r="E1542" t="str">
            <v>YARA BRASIL FERTILIZANTES S/A.</v>
          </cell>
          <cell r="CD1542">
            <v>0</v>
          </cell>
        </row>
        <row r="1543">
          <cell r="B1543" t="str">
            <v>Ponta_Grossa</v>
          </cell>
          <cell r="D1543" t="str">
            <v>Ticket Médio | Plugagem (BRL)</v>
          </cell>
          <cell r="E1543" t="str">
            <v>MOINHO CIDADE BELLA</v>
          </cell>
          <cell r="CD1543">
            <v>0</v>
          </cell>
        </row>
        <row r="1544">
          <cell r="B1544" t="str">
            <v>Ponta_Grossa</v>
          </cell>
          <cell r="D1544" t="str">
            <v>Ticket Médio | Plugagem (BRL)</v>
          </cell>
          <cell r="E1544" t="str">
            <v>COAMO AGROINDUSTRIAL COOPERATIVA</v>
          </cell>
          <cell r="CD1544">
            <v>0</v>
          </cell>
        </row>
        <row r="1545">
          <cell r="B1545" t="str">
            <v>Ponta_Grossa</v>
          </cell>
          <cell r="D1545" t="str">
            <v>Ticket Médio | Plugagem (BRL)</v>
          </cell>
          <cell r="E1545" t="str">
            <v>MORRO CHATO AGROPECUARIA LTDA</v>
          </cell>
          <cell r="CD1545">
            <v>0</v>
          </cell>
        </row>
        <row r="1546">
          <cell r="B1546" t="str">
            <v>Ponta_Grossa</v>
          </cell>
          <cell r="D1546" t="str">
            <v>Ticket Médio | Plugagem (BRL)</v>
          </cell>
          <cell r="E1546" t="str">
            <v>RUNA AGRICOLA LTDA</v>
          </cell>
          <cell r="CD1546">
            <v>0</v>
          </cell>
        </row>
        <row r="1547">
          <cell r="B1547" t="str">
            <v>Ponta_Grossa</v>
          </cell>
          <cell r="D1547" t="str">
            <v>Ticket Médio | Plugagem (BRL)</v>
          </cell>
          <cell r="E1547" t="str">
            <v>JUAREZ SLAVIERO MIRÓ GUIMARÃES</v>
          </cell>
          <cell r="CD1547">
            <v>0</v>
          </cell>
        </row>
        <row r="1548">
          <cell r="B1548" t="str">
            <v>Ponta_Grossa</v>
          </cell>
          <cell r="D1548" t="str">
            <v>Ticket Médio | Plugagem (BRL)</v>
          </cell>
          <cell r="E1548" t="str">
            <v>Cliente 7</v>
          </cell>
          <cell r="CD1548">
            <v>0</v>
          </cell>
        </row>
        <row r="1549">
          <cell r="B1549" t="str">
            <v>Ponta_Grossa</v>
          </cell>
          <cell r="D1549" t="str">
            <v>Ticket Médio | Plugagem (BRL)</v>
          </cell>
          <cell r="E1549" t="str">
            <v>Cliente 8</v>
          </cell>
          <cell r="CD1549">
            <v>0</v>
          </cell>
        </row>
        <row r="1550">
          <cell r="B1550" t="str">
            <v>Ponta_Grossa</v>
          </cell>
          <cell r="D1550" t="str">
            <v>Ticket Médio | Plugagem (BRL)</v>
          </cell>
          <cell r="E1550" t="str">
            <v>Cliente 9</v>
          </cell>
          <cell r="CD1550">
            <v>0</v>
          </cell>
        </row>
        <row r="1551">
          <cell r="B1551" t="str">
            <v>Ponta_Grossa</v>
          </cell>
          <cell r="D1551" t="str">
            <v>Ticket Médio | Plugagem (BRL)</v>
          </cell>
          <cell r="E1551" t="str">
            <v>Cliente 10</v>
          </cell>
          <cell r="CD1551">
            <v>0</v>
          </cell>
        </row>
        <row r="1552">
          <cell r="B1552" t="str">
            <v>Ponta_Grossa</v>
          </cell>
          <cell r="D1552" t="str">
            <v>Ticket Médio | Plugagem (BRL)</v>
          </cell>
          <cell r="E1552" t="str">
            <v>Cliente 11</v>
          </cell>
          <cell r="CD1552">
            <v>0</v>
          </cell>
        </row>
        <row r="1553">
          <cell r="B1553" t="str">
            <v>Ponta_Grossa</v>
          </cell>
          <cell r="D1553" t="str">
            <v>Ticket Médio | Plugagem (BRL)</v>
          </cell>
          <cell r="E1553" t="str">
            <v>Cliente 12</v>
          </cell>
          <cell r="CD1553">
            <v>0</v>
          </cell>
        </row>
        <row r="1554">
          <cell r="B1554" t="str">
            <v>Ponta_Grossa</v>
          </cell>
          <cell r="D1554" t="str">
            <v>Ticket Médio | Plugagem (BRL)</v>
          </cell>
          <cell r="E1554" t="str">
            <v>Ajuste</v>
          </cell>
          <cell r="CD1554">
            <v>0</v>
          </cell>
        </row>
        <row r="1555">
          <cell r="B1555" t="str">
            <v>Ponta_Grossa</v>
          </cell>
          <cell r="D1555" t="str">
            <v>Faturamento | Adicional (BRL'000)</v>
          </cell>
          <cell r="E1555" t="str">
            <v>Subtotal</v>
          </cell>
          <cell r="CD1555">
            <v>0</v>
          </cell>
        </row>
        <row r="1556">
          <cell r="B1556" t="str">
            <v>Ponta_Grossa</v>
          </cell>
          <cell r="D1556" t="str">
            <v>Faturamento | Adicional (BRL'000)</v>
          </cell>
          <cell r="E1556" t="str">
            <v>YARA BRASIL FERTILIZANTES S/A.</v>
          </cell>
          <cell r="CD1556">
            <v>0</v>
          </cell>
        </row>
        <row r="1557">
          <cell r="B1557" t="str">
            <v>Ponta_Grossa</v>
          </cell>
          <cell r="D1557" t="str">
            <v>Faturamento | Adicional (BRL'000)</v>
          </cell>
          <cell r="E1557" t="str">
            <v>MOINHO CIDADE BELLA</v>
          </cell>
          <cell r="CD1557">
            <v>0</v>
          </cell>
        </row>
        <row r="1558">
          <cell r="B1558" t="str">
            <v>Ponta_Grossa</v>
          </cell>
          <cell r="D1558" t="str">
            <v>Faturamento | Adicional (BRL'000)</v>
          </cell>
          <cell r="E1558" t="str">
            <v>COAMO AGROINDUSTRIAL COOPERATIVA</v>
          </cell>
          <cell r="CD1558">
            <v>0</v>
          </cell>
        </row>
        <row r="1559">
          <cell r="B1559" t="str">
            <v>Ponta_Grossa</v>
          </cell>
          <cell r="D1559" t="str">
            <v>Faturamento | Adicional (BRL'000)</v>
          </cell>
          <cell r="E1559" t="str">
            <v>MORRO CHATO AGROPECUARIA LTDA</v>
          </cell>
          <cell r="CD1559">
            <v>0</v>
          </cell>
        </row>
        <row r="1560">
          <cell r="B1560" t="str">
            <v>Ponta_Grossa</v>
          </cell>
          <cell r="D1560" t="str">
            <v>Faturamento | Adicional (BRL'000)</v>
          </cell>
          <cell r="E1560" t="str">
            <v>RUNA AGRICOLA LTDA</v>
          </cell>
          <cell r="CD1560">
            <v>0</v>
          </cell>
        </row>
        <row r="1561">
          <cell r="B1561" t="str">
            <v>Ponta_Grossa</v>
          </cell>
          <cell r="D1561" t="str">
            <v>Faturamento | Adicional (BRL'000)</v>
          </cell>
          <cell r="E1561" t="str">
            <v>JUAREZ SLAVIERO MIRÓ GUIMARÃES</v>
          </cell>
          <cell r="CD1561">
            <v>0</v>
          </cell>
        </row>
        <row r="1562">
          <cell r="B1562" t="str">
            <v>Ponta_Grossa</v>
          </cell>
          <cell r="D1562" t="str">
            <v>Faturamento | Adicional (BRL'000)</v>
          </cell>
          <cell r="E1562" t="str">
            <v>Cliente 7</v>
          </cell>
          <cell r="CD1562">
            <v>0</v>
          </cell>
        </row>
        <row r="1563">
          <cell r="B1563" t="str">
            <v>Ponta_Grossa</v>
          </cell>
          <cell r="D1563" t="str">
            <v>Faturamento | Adicional (BRL'000)</v>
          </cell>
          <cell r="E1563" t="str">
            <v>Cliente 8</v>
          </cell>
          <cell r="CD1563">
            <v>0</v>
          </cell>
        </row>
        <row r="1564">
          <cell r="B1564" t="str">
            <v>Ponta_Grossa</v>
          </cell>
          <cell r="D1564" t="str">
            <v>Faturamento | Adicional (BRL'000)</v>
          </cell>
          <cell r="E1564" t="str">
            <v>Cliente 9</v>
          </cell>
          <cell r="CD1564">
            <v>0</v>
          </cell>
        </row>
        <row r="1565">
          <cell r="B1565" t="str">
            <v>Ponta_Grossa</v>
          </cell>
          <cell r="D1565" t="str">
            <v>Faturamento | Adicional (BRL'000)</v>
          </cell>
          <cell r="E1565" t="str">
            <v>Cliente 10</v>
          </cell>
          <cell r="CD1565">
            <v>0</v>
          </cell>
        </row>
        <row r="1566">
          <cell r="B1566" t="str">
            <v>Ponta_Grossa</v>
          </cell>
          <cell r="D1566" t="str">
            <v>Faturamento | Adicional (BRL'000)</v>
          </cell>
          <cell r="E1566" t="str">
            <v>Cliente 11</v>
          </cell>
          <cell r="CD1566">
            <v>0</v>
          </cell>
        </row>
        <row r="1567">
          <cell r="B1567" t="str">
            <v>Ponta_Grossa</v>
          </cell>
          <cell r="D1567" t="str">
            <v>Faturamento | Adicional (BRL'000)</v>
          </cell>
          <cell r="E1567" t="str">
            <v>Cliente 12</v>
          </cell>
          <cell r="CD1567">
            <v>0</v>
          </cell>
        </row>
        <row r="1568">
          <cell r="B1568" t="str">
            <v>Ponta_Grossa</v>
          </cell>
          <cell r="D1568" t="str">
            <v>Faturamento | Adicional (BRL'000)</v>
          </cell>
          <cell r="E1568" t="str">
            <v>Ajuste</v>
          </cell>
          <cell r="CD1568">
            <v>0</v>
          </cell>
        </row>
        <row r="1569">
          <cell r="B1569" t="str">
            <v>Ponta_Grossa</v>
          </cell>
          <cell r="D1569" t="str">
            <v>Faturamento | Seguros (BRL'000)</v>
          </cell>
          <cell r="E1569" t="str">
            <v>Subtotal</v>
          </cell>
          <cell r="CD1569">
            <v>1598.914402499865</v>
          </cell>
        </row>
        <row r="1570">
          <cell r="B1570" t="str">
            <v>Ponta_Grossa</v>
          </cell>
          <cell r="D1570" t="str">
            <v>Faturamento | Seguros (BRL'000)</v>
          </cell>
          <cell r="E1570" t="str">
            <v>YARA BRASIL FERTILIZANTES S/A.</v>
          </cell>
          <cell r="CD1570">
            <v>100</v>
          </cell>
        </row>
        <row r="1571">
          <cell r="B1571" t="str">
            <v>Ponta_Grossa</v>
          </cell>
          <cell r="D1571" t="str">
            <v>Faturamento | Seguros (BRL'000)</v>
          </cell>
          <cell r="E1571" t="str">
            <v>MOINHO CIDADE BELLA</v>
          </cell>
          <cell r="CD1571">
            <v>488.30049249986502</v>
          </cell>
        </row>
        <row r="1572">
          <cell r="B1572" t="str">
            <v>Ponta_Grossa</v>
          </cell>
          <cell r="D1572" t="str">
            <v>Faturamento | Seguros (BRL'000)</v>
          </cell>
          <cell r="E1572" t="str">
            <v>COAMO AGROINDUSTRIAL COOPERATIVA</v>
          </cell>
          <cell r="CD1572">
            <v>0</v>
          </cell>
        </row>
        <row r="1573">
          <cell r="B1573" t="str">
            <v>Ponta_Grossa</v>
          </cell>
          <cell r="D1573" t="str">
            <v>Faturamento | Seguros (BRL'000)</v>
          </cell>
          <cell r="E1573" t="str">
            <v>MORRO CHATO AGROPECUARIA LTDA</v>
          </cell>
          <cell r="CD1573">
            <v>1010.61391</v>
          </cell>
        </row>
        <row r="1574">
          <cell r="B1574" t="str">
            <v>Ponta_Grossa</v>
          </cell>
          <cell r="D1574" t="str">
            <v>Faturamento | Seguros (BRL'000)</v>
          </cell>
          <cell r="E1574" t="str">
            <v>RUNA AGRICOLA LTDA</v>
          </cell>
          <cell r="CD1574">
            <v>0</v>
          </cell>
        </row>
        <row r="1575">
          <cell r="B1575" t="str">
            <v>Ponta_Grossa</v>
          </cell>
          <cell r="D1575" t="str">
            <v>Faturamento | Seguros (BRL'000)</v>
          </cell>
          <cell r="E1575" t="str">
            <v>JUAREZ SLAVIERO MIRÓ GUIMARÃES</v>
          </cell>
          <cell r="CD1575">
            <v>0</v>
          </cell>
        </row>
        <row r="1576">
          <cell r="B1576" t="str">
            <v>Ponta_Grossa</v>
          </cell>
          <cell r="D1576" t="str">
            <v>Faturamento | Seguros (BRL'000)</v>
          </cell>
          <cell r="E1576" t="str">
            <v>Cliente 7</v>
          </cell>
          <cell r="CD1576">
            <v>0</v>
          </cell>
        </row>
        <row r="1577">
          <cell r="B1577" t="str">
            <v>Ponta_Grossa</v>
          </cell>
          <cell r="D1577" t="str">
            <v>Faturamento | Seguros (BRL'000)</v>
          </cell>
          <cell r="E1577" t="str">
            <v>Cliente 8</v>
          </cell>
          <cell r="CD1577">
            <v>0</v>
          </cell>
        </row>
        <row r="1578">
          <cell r="B1578" t="str">
            <v>Ponta_Grossa</v>
          </cell>
          <cell r="D1578" t="str">
            <v>Faturamento | Seguros (BRL'000)</v>
          </cell>
          <cell r="E1578" t="str">
            <v>Cliente 9</v>
          </cell>
          <cell r="CD1578">
            <v>0</v>
          </cell>
        </row>
        <row r="1579">
          <cell r="B1579" t="str">
            <v>Ponta_Grossa</v>
          </cell>
          <cell r="D1579" t="str">
            <v>Faturamento | Seguros (BRL'000)</v>
          </cell>
          <cell r="E1579" t="str">
            <v>Cliente 10</v>
          </cell>
          <cell r="CD1579">
            <v>0</v>
          </cell>
        </row>
        <row r="1580">
          <cell r="B1580" t="str">
            <v>Ponta_Grossa</v>
          </cell>
          <cell r="D1580" t="str">
            <v>Faturamento | Seguros (BRL'000)</v>
          </cell>
          <cell r="E1580" t="str">
            <v>Cliente 11</v>
          </cell>
          <cell r="CD1580">
            <v>0</v>
          </cell>
        </row>
        <row r="1581">
          <cell r="B1581" t="str">
            <v>Ponta_Grossa</v>
          </cell>
          <cell r="D1581" t="str">
            <v>Faturamento | Seguros (BRL'000)</v>
          </cell>
          <cell r="E1581" t="str">
            <v>Cliente 12</v>
          </cell>
          <cell r="CD1581">
            <v>0</v>
          </cell>
        </row>
        <row r="1582">
          <cell r="B1582" t="str">
            <v>Ponta_Grossa</v>
          </cell>
          <cell r="D1582" t="str">
            <v>Faturamento | Seguros (BRL'000)</v>
          </cell>
          <cell r="E1582" t="str">
            <v>Ajuste</v>
          </cell>
          <cell r="CD1582">
            <v>0</v>
          </cell>
        </row>
        <row r="1583">
          <cell r="B1583" t="str">
            <v>Recife_2_Operações</v>
          </cell>
          <cell r="D1583" t="str">
            <v>Faturamento Bruto</v>
          </cell>
          <cell r="E1583" t="str">
            <v>Gross Revenue</v>
          </cell>
          <cell r="CD1583">
            <v>10916.78527250532</v>
          </cell>
        </row>
        <row r="1585">
          <cell r="B1585" t="str">
            <v>Recife_2_Operações</v>
          </cell>
          <cell r="D1585" t="str">
            <v>Faturamento Bruto</v>
          </cell>
          <cell r="E1585" t="str">
            <v>BRF S.A</v>
          </cell>
          <cell r="CD1585">
            <v>1971.5541599999999</v>
          </cell>
        </row>
        <row r="1586">
          <cell r="B1586" t="str">
            <v>Recife_2_Operações</v>
          </cell>
          <cell r="D1586" t="str">
            <v>Faturamento Bruto</v>
          </cell>
          <cell r="E1586" t="str">
            <v>JBS GROUP</v>
          </cell>
          <cell r="CD1586">
            <v>8945.2311125053166</v>
          </cell>
        </row>
        <row r="1587">
          <cell r="B1587" t="str">
            <v>Recife_2_Operações</v>
          </cell>
          <cell r="D1587" t="str">
            <v>Faturamento Bruto</v>
          </cell>
          <cell r="E1587" t="str">
            <v>MATHEUS</v>
          </cell>
          <cell r="CD1587">
            <v>0</v>
          </cell>
        </row>
        <row r="1588">
          <cell r="B1588" t="str">
            <v>Recife_2_Operações</v>
          </cell>
          <cell r="D1588" t="str">
            <v>Faturamento Bruto</v>
          </cell>
          <cell r="E1588" t="str">
            <v>Cliente 4</v>
          </cell>
          <cell r="CD1588">
            <v>0</v>
          </cell>
        </row>
        <row r="1589">
          <cell r="B1589" t="str">
            <v>Recife_2_Operações</v>
          </cell>
          <cell r="D1589" t="str">
            <v>Faturamento Bruto</v>
          </cell>
          <cell r="E1589" t="str">
            <v>Cliente 5</v>
          </cell>
          <cell r="CD1589">
            <v>0</v>
          </cell>
        </row>
        <row r="1590">
          <cell r="B1590" t="str">
            <v>Recife_2_Operações</v>
          </cell>
          <cell r="D1590" t="str">
            <v>Faturamento Bruto</v>
          </cell>
          <cell r="E1590" t="str">
            <v>Cliente 6</v>
          </cell>
          <cell r="CD1590">
            <v>0</v>
          </cell>
        </row>
        <row r="1591">
          <cell r="B1591" t="str">
            <v>Recife_2_Operações</v>
          </cell>
          <cell r="D1591" t="str">
            <v>Faturamento Bruto</v>
          </cell>
          <cell r="E1591" t="str">
            <v>Cliente 7</v>
          </cell>
          <cell r="CD1591">
            <v>0</v>
          </cell>
        </row>
        <row r="1592">
          <cell r="B1592" t="str">
            <v>Recife_2_Operações</v>
          </cell>
          <cell r="D1592" t="str">
            <v>Faturamento Bruto</v>
          </cell>
          <cell r="E1592" t="str">
            <v>Cliente 8</v>
          </cell>
          <cell r="CD1592">
            <v>0</v>
          </cell>
        </row>
        <row r="1593">
          <cell r="B1593" t="str">
            <v>Recife_2_Operações</v>
          </cell>
          <cell r="D1593" t="str">
            <v>Faturamento Bruto</v>
          </cell>
          <cell r="E1593" t="str">
            <v>Cliente 9</v>
          </cell>
          <cell r="CD1593">
            <v>0</v>
          </cell>
        </row>
        <row r="1594">
          <cell r="B1594" t="str">
            <v>Recife_2_Operações</v>
          </cell>
          <cell r="D1594" t="str">
            <v>Faturamento Bruto</v>
          </cell>
          <cell r="E1594" t="str">
            <v>Cliente 10</v>
          </cell>
          <cell r="CD1594">
            <v>0</v>
          </cell>
        </row>
        <row r="1595">
          <cell r="B1595" t="str">
            <v>Recife_2_Operações</v>
          </cell>
          <cell r="D1595" t="str">
            <v>Faturamento Bruto</v>
          </cell>
          <cell r="E1595" t="str">
            <v>Cliente 11</v>
          </cell>
          <cell r="CD1595">
            <v>0</v>
          </cell>
        </row>
        <row r="1596">
          <cell r="B1596" t="str">
            <v>Recife_2_Operações</v>
          </cell>
          <cell r="D1596" t="str">
            <v>Faturamento Bruto</v>
          </cell>
          <cell r="E1596" t="str">
            <v>Cliente 12</v>
          </cell>
          <cell r="CD1596">
            <v>0</v>
          </cell>
        </row>
        <row r="1597">
          <cell r="B1597" t="str">
            <v>Recife_2_Operações</v>
          </cell>
          <cell r="D1597" t="str">
            <v>Faturamento Bruto</v>
          </cell>
          <cell r="E1597" t="str">
            <v>Cliente 13</v>
          </cell>
          <cell r="CD1597">
            <v>0</v>
          </cell>
        </row>
        <row r="1598">
          <cell r="B1598" t="str">
            <v>Recife_2_Operações</v>
          </cell>
          <cell r="D1598" t="str">
            <v>Armazenagem (posição palet)</v>
          </cell>
          <cell r="E1598" t="str">
            <v>Subtotal</v>
          </cell>
          <cell r="CD1598">
            <v>3645</v>
          </cell>
        </row>
        <row r="1599">
          <cell r="B1599" t="str">
            <v>Recife_2_Operações</v>
          </cell>
          <cell r="D1599" t="str">
            <v>Armazenagem (posição palet)</v>
          </cell>
          <cell r="E1599" t="str">
            <v>BRF S.A</v>
          </cell>
          <cell r="CD1599">
            <v>1000</v>
          </cell>
        </row>
        <row r="1600">
          <cell r="B1600" t="str">
            <v>Recife_2_Operações</v>
          </cell>
          <cell r="D1600" t="str">
            <v>Armazenagem (posição palet)</v>
          </cell>
          <cell r="E1600" t="str">
            <v>JBS GROUP</v>
          </cell>
          <cell r="CD1600">
            <v>2645</v>
          </cell>
        </row>
        <row r="1601">
          <cell r="B1601" t="str">
            <v>Recife_2_Operações</v>
          </cell>
          <cell r="D1601" t="str">
            <v>Armazenagem (posição palet)</v>
          </cell>
          <cell r="E1601" t="str">
            <v>MATHEUS</v>
          </cell>
        </row>
        <row r="1602">
          <cell r="B1602" t="str">
            <v>Recife_2_Operações</v>
          </cell>
          <cell r="D1602" t="str">
            <v>Armazenagem (posição palet)</v>
          </cell>
          <cell r="E1602" t="str">
            <v>Cliente 4</v>
          </cell>
        </row>
        <row r="1603">
          <cell r="B1603" t="str">
            <v>Recife_2_Operações</v>
          </cell>
          <cell r="D1603" t="str">
            <v>Armazenagem (posição palet)</v>
          </cell>
          <cell r="E1603" t="str">
            <v>Cliente 5</v>
          </cell>
        </row>
        <row r="1604">
          <cell r="B1604" t="str">
            <v>Recife_2_Operações</v>
          </cell>
          <cell r="D1604" t="str">
            <v>Armazenagem (posição palet)</v>
          </cell>
          <cell r="E1604" t="str">
            <v>Cliente 6</v>
          </cell>
        </row>
        <row r="1605">
          <cell r="B1605" t="str">
            <v>Recife_2_Operações</v>
          </cell>
          <cell r="D1605" t="str">
            <v>Armazenagem (posição palet)</v>
          </cell>
          <cell r="E1605" t="str">
            <v>Cliente 7</v>
          </cell>
        </row>
        <row r="1606">
          <cell r="B1606" t="str">
            <v>Recife_2_Operações</v>
          </cell>
          <cell r="D1606" t="str">
            <v>Armazenagem (posição palet)</v>
          </cell>
          <cell r="E1606" t="str">
            <v>Cliente 8</v>
          </cell>
        </row>
        <row r="1607">
          <cell r="B1607" t="str">
            <v>Recife_2_Operações</v>
          </cell>
          <cell r="D1607" t="str">
            <v>Armazenagem (posição palet)</v>
          </cell>
          <cell r="E1607" t="str">
            <v>Cliente 9</v>
          </cell>
        </row>
        <row r="1608">
          <cell r="B1608" t="str">
            <v>Recife_2_Operações</v>
          </cell>
          <cell r="D1608" t="str">
            <v>Armazenagem (posição palet)</v>
          </cell>
          <cell r="E1608" t="str">
            <v>Cliente 10</v>
          </cell>
        </row>
        <row r="1609">
          <cell r="B1609" t="str">
            <v>Recife_2_Operações</v>
          </cell>
          <cell r="D1609" t="str">
            <v>Armazenagem (posição palet)</v>
          </cell>
          <cell r="E1609" t="str">
            <v>Cliente 11</v>
          </cell>
        </row>
        <row r="1610">
          <cell r="B1610" t="str">
            <v>Recife_2_Operações</v>
          </cell>
          <cell r="D1610" t="str">
            <v>Armazenagem (posição palet)</v>
          </cell>
          <cell r="E1610" t="str">
            <v>Cliente 12</v>
          </cell>
        </row>
        <row r="1611">
          <cell r="B1611" t="str">
            <v>Recife_2_Operações</v>
          </cell>
          <cell r="D1611" t="str">
            <v>Armazenagem (posição palet)</v>
          </cell>
          <cell r="E1611" t="str">
            <v>Cliente 13</v>
          </cell>
        </row>
        <row r="1612">
          <cell r="B1612" t="str">
            <v>Recife_2_Operações</v>
          </cell>
          <cell r="D1612" t="str">
            <v>Capacidade Total PP</v>
          </cell>
          <cell r="E1612" t="str">
            <v>CAPACIDADE</v>
          </cell>
          <cell r="CD1612">
            <v>4770</v>
          </cell>
        </row>
        <row r="1613">
          <cell r="B1613" t="str">
            <v>Recife_2_Operações</v>
          </cell>
          <cell r="D1613" t="str">
            <v>Armazenagem (%)</v>
          </cell>
          <cell r="E1613" t="str">
            <v>Subtotal</v>
          </cell>
          <cell r="CD1613">
            <v>0.76415094339622602</v>
          </cell>
        </row>
        <row r="1614">
          <cell r="B1614" t="str">
            <v>Recife_2_Operações</v>
          </cell>
          <cell r="D1614" t="str">
            <v>Armazenagem (%)</v>
          </cell>
          <cell r="E1614" t="str">
            <v>BRF S.A</v>
          </cell>
          <cell r="CD1614">
            <v>0.20964360587002101</v>
          </cell>
        </row>
        <row r="1615">
          <cell r="B1615" t="str">
            <v>Recife_2_Operações</v>
          </cell>
          <cell r="D1615" t="str">
            <v>Armazenagem (%)</v>
          </cell>
          <cell r="E1615" t="str">
            <v>JBS GROUP</v>
          </cell>
          <cell r="CD1615">
            <v>0.55450733752620496</v>
          </cell>
        </row>
        <row r="1616">
          <cell r="B1616" t="str">
            <v>Recife_2_Operações</v>
          </cell>
          <cell r="D1616" t="str">
            <v>Armazenagem (%)</v>
          </cell>
          <cell r="E1616" t="str">
            <v>MATHEUS</v>
          </cell>
          <cell r="CD1616">
            <v>0</v>
          </cell>
        </row>
        <row r="1617">
          <cell r="B1617" t="str">
            <v>Recife_2_Operações</v>
          </cell>
          <cell r="D1617" t="str">
            <v>Armazenagem (%)</v>
          </cell>
          <cell r="E1617" t="str">
            <v>Cliente 4</v>
          </cell>
          <cell r="CD1617">
            <v>0</v>
          </cell>
        </row>
        <row r="1618">
          <cell r="B1618" t="str">
            <v>Recife_2_Operações</v>
          </cell>
          <cell r="D1618" t="str">
            <v>Armazenagem (%)</v>
          </cell>
          <cell r="E1618" t="str">
            <v>Cliente 5</v>
          </cell>
          <cell r="CD1618">
            <v>0</v>
          </cell>
        </row>
        <row r="1619">
          <cell r="B1619" t="str">
            <v>Recife_2_Operações</v>
          </cell>
          <cell r="D1619" t="str">
            <v>Armazenagem (%)</v>
          </cell>
          <cell r="E1619" t="str">
            <v>Cliente 6</v>
          </cell>
          <cell r="CD1619">
            <v>0</v>
          </cell>
        </row>
        <row r="1620">
          <cell r="B1620" t="str">
            <v>Recife_2_Operações</v>
          </cell>
          <cell r="D1620" t="str">
            <v>Armazenagem (%)</v>
          </cell>
          <cell r="E1620" t="str">
            <v>Cliente 7</v>
          </cell>
          <cell r="CD1620">
            <v>0</v>
          </cell>
        </row>
        <row r="1621">
          <cell r="B1621" t="str">
            <v>Recife_2_Operações</v>
          </cell>
          <cell r="D1621" t="str">
            <v>Armazenagem (%)</v>
          </cell>
          <cell r="E1621" t="str">
            <v>Cliente 8</v>
          </cell>
          <cell r="CD1621">
            <v>0</v>
          </cell>
        </row>
        <row r="1622">
          <cell r="B1622" t="str">
            <v>Recife_2_Operações</v>
          </cell>
          <cell r="D1622" t="str">
            <v>Armazenagem (%)</v>
          </cell>
          <cell r="E1622" t="str">
            <v>Cliente 9</v>
          </cell>
          <cell r="CD1622">
            <v>0</v>
          </cell>
        </row>
        <row r="1623">
          <cell r="B1623" t="str">
            <v>Recife_2_Operações</v>
          </cell>
          <cell r="D1623" t="str">
            <v>Armazenagem (%)</v>
          </cell>
          <cell r="E1623" t="str">
            <v>Cliente 10</v>
          </cell>
          <cell r="CD1623">
            <v>0</v>
          </cell>
        </row>
        <row r="1624">
          <cell r="B1624" t="str">
            <v>Recife_2_Operações</v>
          </cell>
          <cell r="D1624" t="str">
            <v>Armazenagem (%)</v>
          </cell>
          <cell r="E1624" t="str">
            <v>Cliente 11</v>
          </cell>
          <cell r="CD1624">
            <v>0</v>
          </cell>
        </row>
        <row r="1625">
          <cell r="B1625" t="str">
            <v>Recife_2_Operações</v>
          </cell>
          <cell r="D1625" t="str">
            <v>Armazenagem (%)</v>
          </cell>
          <cell r="E1625" t="str">
            <v>Cliente 12</v>
          </cell>
          <cell r="CD1625">
            <v>0</v>
          </cell>
        </row>
        <row r="1626">
          <cell r="B1626" t="str">
            <v>Recife_2_Operações</v>
          </cell>
          <cell r="D1626" t="str">
            <v>Armazenagem (%)</v>
          </cell>
          <cell r="E1626" t="str">
            <v>Cliente 13</v>
          </cell>
          <cell r="CD1626">
            <v>0</v>
          </cell>
        </row>
        <row r="1627">
          <cell r="B1627" t="str">
            <v>Recife_2_Operações</v>
          </cell>
          <cell r="D1627" t="str">
            <v>Faturamento | Armazenagem (BRL'000)</v>
          </cell>
          <cell r="E1627" t="str">
            <v>Subtotal</v>
          </cell>
          <cell r="CD1627">
            <v>5344.8806464646459</v>
          </cell>
        </row>
        <row r="1628">
          <cell r="B1628" t="str">
            <v>Recife_2_Operações</v>
          </cell>
          <cell r="D1628" t="str">
            <v>Faturamento | Armazenagem (BRL'000)</v>
          </cell>
          <cell r="E1628" t="str">
            <v>BRF S.A</v>
          </cell>
          <cell r="CD1628">
            <v>1200</v>
          </cell>
        </row>
        <row r="1629">
          <cell r="B1629" t="str">
            <v>Recife_2_Operações</v>
          </cell>
          <cell r="D1629" t="str">
            <v>Faturamento | Armazenagem (BRL'000)</v>
          </cell>
          <cell r="E1629" t="str">
            <v>JBS GROUP</v>
          </cell>
          <cell r="CD1629">
            <v>4144.8806464646459</v>
          </cell>
        </row>
        <row r="1630">
          <cell r="B1630" t="str">
            <v>Recife_2_Operações</v>
          </cell>
          <cell r="D1630" t="str">
            <v>Faturamento | Armazenagem (BRL'000)</v>
          </cell>
          <cell r="E1630" t="str">
            <v>MATHEUS</v>
          </cell>
        </row>
        <row r="1631">
          <cell r="B1631" t="str">
            <v>Recife_2_Operações</v>
          </cell>
          <cell r="D1631" t="str">
            <v>Faturamento | Armazenagem (BRL'000)</v>
          </cell>
          <cell r="E1631" t="str">
            <v>Cliente 4</v>
          </cell>
        </row>
        <row r="1632">
          <cell r="B1632" t="str">
            <v>Recife_2_Operações</v>
          </cell>
          <cell r="D1632" t="str">
            <v>Faturamento | Armazenagem (BRL'000)</v>
          </cell>
          <cell r="E1632" t="str">
            <v>Cliente 5</v>
          </cell>
        </row>
        <row r="1633">
          <cell r="B1633" t="str">
            <v>Recife_2_Operações</v>
          </cell>
          <cell r="D1633" t="str">
            <v>Faturamento | Armazenagem (BRL'000)</v>
          </cell>
          <cell r="E1633" t="str">
            <v>Cliente 6</v>
          </cell>
        </row>
        <row r="1634">
          <cell r="B1634" t="str">
            <v>Recife_2_Operações</v>
          </cell>
          <cell r="D1634" t="str">
            <v>Faturamento | Armazenagem (BRL'000)</v>
          </cell>
          <cell r="E1634" t="str">
            <v>Cliente 7</v>
          </cell>
        </row>
        <row r="1635">
          <cell r="B1635" t="str">
            <v>Recife_2_Operações</v>
          </cell>
          <cell r="D1635" t="str">
            <v>Faturamento | Armazenagem (BRL'000)</v>
          </cell>
          <cell r="E1635" t="str">
            <v>Cliente 8</v>
          </cell>
        </row>
        <row r="1636">
          <cell r="B1636" t="str">
            <v>Recife_2_Operações</v>
          </cell>
          <cell r="D1636" t="str">
            <v>Faturamento | Armazenagem (BRL'000)</v>
          </cell>
          <cell r="E1636" t="str">
            <v>Cliente 9</v>
          </cell>
        </row>
        <row r="1637">
          <cell r="B1637" t="str">
            <v>Recife_2_Operações</v>
          </cell>
          <cell r="D1637" t="str">
            <v>Faturamento | Armazenagem (BRL'000)</v>
          </cell>
          <cell r="E1637" t="str">
            <v>Cliente 10</v>
          </cell>
        </row>
        <row r="1638">
          <cell r="B1638" t="str">
            <v>Recife_2_Operações</v>
          </cell>
          <cell r="D1638" t="str">
            <v>Faturamento | Armazenagem (BRL'000)</v>
          </cell>
          <cell r="E1638" t="str">
            <v>Cliente 11</v>
          </cell>
        </row>
        <row r="1639">
          <cell r="B1639" t="str">
            <v>Recife_2_Operações</v>
          </cell>
          <cell r="D1639" t="str">
            <v>Faturamento | Armazenagem (BRL'000)</v>
          </cell>
          <cell r="E1639" t="str">
            <v>Cliente 12</v>
          </cell>
        </row>
        <row r="1640">
          <cell r="B1640" t="str">
            <v>Recife_2_Operações</v>
          </cell>
          <cell r="D1640" t="str">
            <v>Faturamento | Armazenagem (BRL'000)</v>
          </cell>
          <cell r="E1640" t="str">
            <v>Cliente 13</v>
          </cell>
        </row>
        <row r="1641">
          <cell r="B1641" t="str">
            <v>Recife_2_Operações</v>
          </cell>
          <cell r="D1641" t="str">
            <v>Ticket Médio | Armazenagem (BRL)</v>
          </cell>
          <cell r="E1641" t="str">
            <v>Subtotal</v>
          </cell>
          <cell r="CD1641">
            <v>122.19663114916889</v>
          </cell>
        </row>
        <row r="1642">
          <cell r="B1642" t="str">
            <v>Recife_2_Operações</v>
          </cell>
          <cell r="D1642" t="str">
            <v>Ticket Médio | Armazenagem (BRL)</v>
          </cell>
          <cell r="E1642" t="str">
            <v>BRF S.A</v>
          </cell>
          <cell r="CD1642">
            <v>100</v>
          </cell>
        </row>
        <row r="1643">
          <cell r="B1643" t="str">
            <v>Recife_2_Operações</v>
          </cell>
          <cell r="D1643" t="str">
            <v>Ticket Médio | Armazenagem (BRL)</v>
          </cell>
          <cell r="E1643" t="str">
            <v>JBS GROUP</v>
          </cell>
          <cell r="CD1643">
            <v>130.5885521885522</v>
          </cell>
        </row>
        <row r="1644">
          <cell r="B1644" t="str">
            <v>Recife_2_Operações</v>
          </cell>
          <cell r="D1644" t="str">
            <v>Ticket Médio | Armazenagem (BRL)</v>
          </cell>
          <cell r="E1644" t="str">
            <v>MATHEUS</v>
          </cell>
          <cell r="CD1644">
            <v>0</v>
          </cell>
        </row>
        <row r="1645">
          <cell r="B1645" t="str">
            <v>Recife_2_Operações</v>
          </cell>
          <cell r="D1645" t="str">
            <v>Ticket Médio | Armazenagem (BRL)</v>
          </cell>
          <cell r="E1645" t="str">
            <v>Cliente 4</v>
          </cell>
          <cell r="CD1645">
            <v>0</v>
          </cell>
        </row>
        <row r="1646">
          <cell r="B1646" t="str">
            <v>Recife_2_Operações</v>
          </cell>
          <cell r="D1646" t="str">
            <v>Ticket Médio | Armazenagem (BRL)</v>
          </cell>
          <cell r="E1646" t="str">
            <v>Cliente 5</v>
          </cell>
          <cell r="CD1646">
            <v>0</v>
          </cell>
        </row>
        <row r="1647">
          <cell r="B1647" t="str">
            <v>Recife_2_Operações</v>
          </cell>
          <cell r="D1647" t="str">
            <v>Ticket Médio | Armazenagem (BRL)</v>
          </cell>
          <cell r="E1647" t="str">
            <v>Cliente 6</v>
          </cell>
          <cell r="CD1647">
            <v>0</v>
          </cell>
        </row>
        <row r="1648">
          <cell r="B1648" t="str">
            <v>Recife_2_Operações</v>
          </cell>
          <cell r="D1648" t="str">
            <v>Ticket Médio | Armazenagem (BRL)</v>
          </cell>
          <cell r="E1648" t="str">
            <v>Cliente 7</v>
          </cell>
          <cell r="CD1648">
            <v>0</v>
          </cell>
        </row>
        <row r="1649">
          <cell r="B1649" t="str">
            <v>Recife_2_Operações</v>
          </cell>
          <cell r="D1649" t="str">
            <v>Ticket Médio | Armazenagem (BRL)</v>
          </cell>
          <cell r="E1649" t="str">
            <v>Cliente 8</v>
          </cell>
          <cell r="CD1649">
            <v>0</v>
          </cell>
        </row>
        <row r="1650">
          <cell r="B1650" t="str">
            <v>Recife_2_Operações</v>
          </cell>
          <cell r="D1650" t="str">
            <v>Ticket Médio | Armazenagem (BRL)</v>
          </cell>
          <cell r="E1650" t="str">
            <v>Cliente 9</v>
          </cell>
          <cell r="CD1650">
            <v>0</v>
          </cell>
        </row>
        <row r="1651">
          <cell r="B1651" t="str">
            <v>Recife_2_Operações</v>
          </cell>
          <cell r="D1651" t="str">
            <v>Ticket Médio | Armazenagem (BRL)</v>
          </cell>
          <cell r="E1651" t="str">
            <v>Cliente 10</v>
          </cell>
          <cell r="CD1651">
            <v>0</v>
          </cell>
        </row>
        <row r="1652">
          <cell r="B1652" t="str">
            <v>Recife_2_Operações</v>
          </cell>
          <cell r="D1652" t="str">
            <v>Ticket Médio | Armazenagem (BRL)</v>
          </cell>
          <cell r="E1652" t="str">
            <v>Cliente 11</v>
          </cell>
          <cell r="CD1652">
            <v>0</v>
          </cell>
        </row>
        <row r="1653">
          <cell r="B1653" t="str">
            <v>Recife_2_Operações</v>
          </cell>
          <cell r="D1653" t="str">
            <v>Ticket Médio | Armazenagem (BRL)</v>
          </cell>
          <cell r="E1653" t="str">
            <v>Cliente 12</v>
          </cell>
          <cell r="CD1653">
            <v>0</v>
          </cell>
        </row>
        <row r="1654">
          <cell r="B1654" t="str">
            <v>Recife_2_Operações</v>
          </cell>
          <cell r="D1654" t="str">
            <v>Ticket Médio | Armazenagem (BRL)</v>
          </cell>
          <cell r="E1654" t="str">
            <v>Cliente 13</v>
          </cell>
          <cell r="CD1654">
            <v>0</v>
          </cell>
        </row>
        <row r="1655">
          <cell r="B1655" t="str">
            <v>Recife_2_Operações</v>
          </cell>
          <cell r="D1655" t="str">
            <v>Movimentação (Toneladas)</v>
          </cell>
          <cell r="E1655" t="str">
            <v>Subtotal</v>
          </cell>
          <cell r="CD1655">
            <v>68436</v>
          </cell>
        </row>
        <row r="1656">
          <cell r="B1656" t="str">
            <v>Recife_2_Operações</v>
          </cell>
          <cell r="D1656" t="str">
            <v>Movimentação (Toneladas)</v>
          </cell>
          <cell r="E1656" t="str">
            <v>BRF S.A</v>
          </cell>
          <cell r="CD1656">
            <v>24000</v>
          </cell>
        </row>
        <row r="1657">
          <cell r="B1657" t="str">
            <v>Recife_2_Operações</v>
          </cell>
          <cell r="D1657" t="str">
            <v>Movimentação (Toneladas)</v>
          </cell>
          <cell r="E1657" t="str">
            <v>JBS GROUP</v>
          </cell>
          <cell r="CD1657">
            <v>44436</v>
          </cell>
        </row>
        <row r="1658">
          <cell r="B1658" t="str">
            <v>Recife_2_Operações</v>
          </cell>
          <cell r="D1658" t="str">
            <v>Movimentação (Toneladas)</v>
          </cell>
          <cell r="E1658" t="str">
            <v>MATHEUS</v>
          </cell>
        </row>
        <row r="1659">
          <cell r="B1659" t="str">
            <v>Recife_2_Operações</v>
          </cell>
          <cell r="D1659" t="str">
            <v>Movimentação (Toneladas)</v>
          </cell>
          <cell r="E1659" t="str">
            <v>Cliente 4</v>
          </cell>
        </row>
        <row r="1660">
          <cell r="B1660" t="str">
            <v>Recife_2_Operações</v>
          </cell>
          <cell r="D1660" t="str">
            <v>Movimentação (Toneladas)</v>
          </cell>
          <cell r="E1660" t="str">
            <v>Cliente 5</v>
          </cell>
        </row>
        <row r="1661">
          <cell r="B1661" t="str">
            <v>Recife_2_Operações</v>
          </cell>
          <cell r="D1661" t="str">
            <v>Movimentação (Toneladas)</v>
          </cell>
          <cell r="E1661" t="str">
            <v>Cliente 6</v>
          </cell>
        </row>
        <row r="1662">
          <cell r="B1662" t="str">
            <v>Recife_2_Operações</v>
          </cell>
          <cell r="D1662" t="str">
            <v>Movimentação (Toneladas)</v>
          </cell>
          <cell r="E1662" t="str">
            <v>Cliente 7</v>
          </cell>
        </row>
        <row r="1663">
          <cell r="B1663" t="str">
            <v>Recife_2_Operações</v>
          </cell>
          <cell r="D1663" t="str">
            <v>Movimentação (Toneladas)</v>
          </cell>
          <cell r="E1663" t="str">
            <v>Cliente 8</v>
          </cell>
        </row>
        <row r="1664">
          <cell r="B1664" t="str">
            <v>Recife_2_Operações</v>
          </cell>
          <cell r="D1664" t="str">
            <v>Movimentação (Toneladas)</v>
          </cell>
          <cell r="E1664" t="str">
            <v>Cliente 9</v>
          </cell>
        </row>
        <row r="1665">
          <cell r="B1665" t="str">
            <v>Recife_2_Operações</v>
          </cell>
          <cell r="D1665" t="str">
            <v>Movimentação (Toneladas)</v>
          </cell>
          <cell r="E1665" t="str">
            <v>Cliente 10</v>
          </cell>
        </row>
        <row r="1666">
          <cell r="B1666" t="str">
            <v>Recife_2_Operações</v>
          </cell>
          <cell r="D1666" t="str">
            <v>Movimentação (Toneladas)</v>
          </cell>
          <cell r="E1666" t="str">
            <v>Cliente 11</v>
          </cell>
        </row>
        <row r="1667">
          <cell r="B1667" t="str">
            <v>Recife_2_Operações</v>
          </cell>
          <cell r="D1667" t="str">
            <v>Movimentação (Toneladas)</v>
          </cell>
          <cell r="E1667" t="str">
            <v>Cliente 12</v>
          </cell>
        </row>
        <row r="1668">
          <cell r="B1668" t="str">
            <v>Recife_2_Operações</v>
          </cell>
          <cell r="D1668" t="str">
            <v>Movimentação (Toneladas)</v>
          </cell>
          <cell r="E1668" t="str">
            <v>Cliente 13</v>
          </cell>
        </row>
        <row r="1669">
          <cell r="B1669" t="str">
            <v>Recife_2_Operações</v>
          </cell>
          <cell r="D1669" t="str">
            <v>Faturamento | Movimentação (BRL'000)</v>
          </cell>
          <cell r="E1669" t="str">
            <v>Subtotal</v>
          </cell>
          <cell r="CD1669">
            <v>5571.9046260406703</v>
          </cell>
        </row>
        <row r="1670">
          <cell r="B1670" t="str">
            <v>Recife_2_Operações</v>
          </cell>
          <cell r="D1670" t="str">
            <v>Faturamento | Movimentação (BRL'000)</v>
          </cell>
          <cell r="E1670" t="str">
            <v>BRF S.A</v>
          </cell>
          <cell r="CD1670">
            <v>771.55416000000002</v>
          </cell>
        </row>
        <row r="1671">
          <cell r="B1671" t="str">
            <v>Recife_2_Operações</v>
          </cell>
          <cell r="D1671" t="str">
            <v>Faturamento | Movimentação (BRL'000)</v>
          </cell>
          <cell r="E1671" t="str">
            <v>JBS GROUP</v>
          </cell>
          <cell r="CD1671">
            <v>4800.3504660406697</v>
          </cell>
        </row>
        <row r="1672">
          <cell r="B1672" t="str">
            <v>Recife_2_Operações</v>
          </cell>
          <cell r="D1672" t="str">
            <v>Faturamento | Movimentação (BRL'000)</v>
          </cell>
          <cell r="E1672" t="str">
            <v>MATHEUS</v>
          </cell>
        </row>
        <row r="1673">
          <cell r="B1673" t="str">
            <v>Recife_2_Operações</v>
          </cell>
          <cell r="D1673" t="str">
            <v>Faturamento | Movimentação (BRL'000)</v>
          </cell>
          <cell r="E1673" t="str">
            <v>Cliente 4</v>
          </cell>
        </row>
        <row r="1674">
          <cell r="B1674" t="str">
            <v>Recife_2_Operações</v>
          </cell>
          <cell r="D1674" t="str">
            <v>Faturamento | Movimentação (BRL'000)</v>
          </cell>
          <cell r="E1674" t="str">
            <v>Cliente 5</v>
          </cell>
        </row>
        <row r="1675">
          <cell r="B1675" t="str">
            <v>Recife_2_Operações</v>
          </cell>
          <cell r="D1675" t="str">
            <v>Faturamento | Movimentação (BRL'000)</v>
          </cell>
          <cell r="E1675" t="str">
            <v>Cliente 6</v>
          </cell>
        </row>
        <row r="1676">
          <cell r="B1676" t="str">
            <v>Recife_2_Operações</v>
          </cell>
          <cell r="D1676" t="str">
            <v>Faturamento | Movimentação (BRL'000)</v>
          </cell>
          <cell r="E1676" t="str">
            <v>Cliente 7</v>
          </cell>
        </row>
        <row r="1677">
          <cell r="B1677" t="str">
            <v>Recife_2_Operações</v>
          </cell>
          <cell r="D1677" t="str">
            <v>Faturamento | Movimentação (BRL'000)</v>
          </cell>
          <cell r="E1677" t="str">
            <v>Cliente 8</v>
          </cell>
        </row>
        <row r="1678">
          <cell r="B1678" t="str">
            <v>Recife_2_Operações</v>
          </cell>
          <cell r="D1678" t="str">
            <v>Faturamento | Movimentação (BRL'000)</v>
          </cell>
          <cell r="E1678" t="str">
            <v>Cliente 9</v>
          </cell>
        </row>
        <row r="1679">
          <cell r="B1679" t="str">
            <v>Recife_2_Operações</v>
          </cell>
          <cell r="D1679" t="str">
            <v>Faturamento | Movimentação (BRL'000)</v>
          </cell>
          <cell r="E1679" t="str">
            <v>Cliente 10</v>
          </cell>
        </row>
        <row r="1680">
          <cell r="B1680" t="str">
            <v>Recife_2_Operações</v>
          </cell>
          <cell r="D1680" t="str">
            <v>Faturamento | Movimentação (BRL'000)</v>
          </cell>
          <cell r="E1680" t="str">
            <v>Cliente 11</v>
          </cell>
        </row>
        <row r="1681">
          <cell r="B1681" t="str">
            <v>Recife_2_Operações</v>
          </cell>
          <cell r="D1681" t="str">
            <v>Faturamento | Movimentação (BRL'000)</v>
          </cell>
          <cell r="E1681" t="str">
            <v>Cliente 12</v>
          </cell>
        </row>
        <row r="1682">
          <cell r="B1682" t="str">
            <v>Recife_2_Operações</v>
          </cell>
          <cell r="D1682" t="str">
            <v>Faturamento | Movimentação (BRL'000)</v>
          </cell>
          <cell r="E1682" t="str">
            <v>Cliente 13</v>
          </cell>
        </row>
        <row r="1683">
          <cell r="B1683" t="str">
            <v>Recife_2_Operações</v>
          </cell>
          <cell r="D1683" t="str">
            <v>Ticket Médio | Movimentação (BRL)</v>
          </cell>
          <cell r="E1683" t="str">
            <v>Subtotal</v>
          </cell>
          <cell r="CD1683">
            <v>81.417742504539561</v>
          </cell>
        </row>
        <row r="1684">
          <cell r="B1684" t="str">
            <v>Recife_2_Operações</v>
          </cell>
          <cell r="D1684" t="str">
            <v>Ticket Médio | Movimentação (BRL)</v>
          </cell>
          <cell r="E1684" t="str">
            <v>BRF S.A</v>
          </cell>
          <cell r="CD1684">
            <v>32.148090000000003</v>
          </cell>
        </row>
        <row r="1685">
          <cell r="B1685" t="str">
            <v>Recife_2_Operações</v>
          </cell>
          <cell r="D1685" t="str">
            <v>Ticket Médio | Movimentação (BRL)</v>
          </cell>
          <cell r="E1685" t="str">
            <v>JBS GROUP</v>
          </cell>
          <cell r="CD1685">
            <v>108.0284108839831</v>
          </cell>
        </row>
        <row r="1686">
          <cell r="B1686" t="str">
            <v>Recife_2_Operações</v>
          </cell>
          <cell r="D1686" t="str">
            <v>Ticket Médio | Movimentação (BRL)</v>
          </cell>
          <cell r="E1686" t="str">
            <v>MATHEUS</v>
          </cell>
          <cell r="CD1686">
            <v>0</v>
          </cell>
        </row>
        <row r="1687">
          <cell r="B1687" t="str">
            <v>Recife_2_Operações</v>
          </cell>
          <cell r="D1687" t="str">
            <v>Ticket Médio | Movimentação (BRL)</v>
          </cell>
          <cell r="E1687" t="str">
            <v>Cliente 4</v>
          </cell>
          <cell r="CD1687">
            <v>0</v>
          </cell>
        </row>
        <row r="1688">
          <cell r="B1688" t="str">
            <v>Recife_2_Operações</v>
          </cell>
          <cell r="D1688" t="str">
            <v>Ticket Médio | Movimentação (BRL)</v>
          </cell>
          <cell r="E1688" t="str">
            <v>Cliente 5</v>
          </cell>
          <cell r="CD1688">
            <v>0</v>
          </cell>
        </row>
        <row r="1689">
          <cell r="B1689" t="str">
            <v>Recife_2_Operações</v>
          </cell>
          <cell r="D1689" t="str">
            <v>Ticket Médio | Movimentação (BRL)</v>
          </cell>
          <cell r="E1689" t="str">
            <v>Cliente 6</v>
          </cell>
          <cell r="CD1689">
            <v>0</v>
          </cell>
        </row>
        <row r="1690">
          <cell r="B1690" t="str">
            <v>Recife_2_Operações</v>
          </cell>
          <cell r="D1690" t="str">
            <v>Ticket Médio | Movimentação (BRL)</v>
          </cell>
          <cell r="E1690" t="str">
            <v>Cliente 7</v>
          </cell>
          <cell r="CD1690">
            <v>0</v>
          </cell>
        </row>
        <row r="1691">
          <cell r="B1691" t="str">
            <v>Recife_2_Operações</v>
          </cell>
          <cell r="D1691" t="str">
            <v>Ticket Médio | Movimentação (BRL)</v>
          </cell>
          <cell r="E1691" t="str">
            <v>Cliente 8</v>
          </cell>
          <cell r="CD1691">
            <v>0</v>
          </cell>
        </row>
        <row r="1692">
          <cell r="B1692" t="str">
            <v>Recife_2_Operações</v>
          </cell>
          <cell r="D1692" t="str">
            <v>Ticket Médio | Movimentação (BRL)</v>
          </cell>
          <cell r="E1692" t="str">
            <v>Cliente 9</v>
          </cell>
          <cell r="CD1692">
            <v>0</v>
          </cell>
        </row>
        <row r="1693">
          <cell r="B1693" t="str">
            <v>Recife_2_Operações</v>
          </cell>
          <cell r="D1693" t="str">
            <v>Ticket Médio | Movimentação (BRL)</v>
          </cell>
          <cell r="E1693" t="str">
            <v>Cliente 10</v>
          </cell>
          <cell r="CD1693">
            <v>0</v>
          </cell>
        </row>
        <row r="1694">
          <cell r="B1694" t="str">
            <v>Recife_2_Operações</v>
          </cell>
          <cell r="D1694" t="str">
            <v>Ticket Médio | Movimentação (BRL)</v>
          </cell>
          <cell r="E1694" t="str">
            <v>Cliente 11</v>
          </cell>
          <cell r="CD1694">
            <v>0</v>
          </cell>
        </row>
        <row r="1695">
          <cell r="B1695" t="str">
            <v>Recife_2_Operações</v>
          </cell>
          <cell r="D1695" t="str">
            <v>Ticket Médio | Movimentação (BRL)</v>
          </cell>
          <cell r="E1695" t="str">
            <v>Cliente 12</v>
          </cell>
          <cell r="CD1695">
            <v>0</v>
          </cell>
        </row>
        <row r="1696">
          <cell r="B1696" t="str">
            <v>Recife_2_Operações</v>
          </cell>
          <cell r="D1696" t="str">
            <v>Ticket Médio | Movimentação (BRL)</v>
          </cell>
          <cell r="E1696" t="str">
            <v>Cliente 13</v>
          </cell>
          <cell r="CD1696">
            <v>0</v>
          </cell>
        </row>
        <row r="1697">
          <cell r="B1697" t="str">
            <v>Recife_2_Operações</v>
          </cell>
          <cell r="D1697" t="str">
            <v>Plugagem</v>
          </cell>
          <cell r="E1697" t="str">
            <v>Subtotal</v>
          </cell>
          <cell r="CD1697">
            <v>0</v>
          </cell>
        </row>
        <row r="1698">
          <cell r="B1698" t="str">
            <v>Recife_2_Operações</v>
          </cell>
          <cell r="D1698" t="str">
            <v>Plugagem</v>
          </cell>
          <cell r="E1698" t="str">
            <v>BRF S.A</v>
          </cell>
          <cell r="CD1698">
            <v>0</v>
          </cell>
        </row>
        <row r="1699">
          <cell r="B1699" t="str">
            <v>Recife_2_Operações</v>
          </cell>
          <cell r="D1699" t="str">
            <v>Plugagem</v>
          </cell>
          <cell r="E1699" t="str">
            <v>JBS GROUP</v>
          </cell>
          <cell r="CD1699">
            <v>0</v>
          </cell>
        </row>
        <row r="1700">
          <cell r="B1700" t="str">
            <v>Recife_2_Operações</v>
          </cell>
          <cell r="D1700" t="str">
            <v>Plugagem</v>
          </cell>
          <cell r="E1700" t="str">
            <v>MATHEUS</v>
          </cell>
        </row>
        <row r="1701">
          <cell r="B1701" t="str">
            <v>Recife_2_Operações</v>
          </cell>
          <cell r="D1701" t="str">
            <v>Plugagem</v>
          </cell>
          <cell r="E1701" t="str">
            <v>Cliente 4</v>
          </cell>
        </row>
        <row r="1702">
          <cell r="B1702" t="str">
            <v>Recife_2_Operações</v>
          </cell>
          <cell r="D1702" t="str">
            <v>Plugagem</v>
          </cell>
          <cell r="E1702" t="str">
            <v>Cliente 5</v>
          </cell>
        </row>
        <row r="1703">
          <cell r="B1703" t="str">
            <v>Recife_2_Operações</v>
          </cell>
          <cell r="D1703" t="str">
            <v>Plugagem</v>
          </cell>
          <cell r="E1703" t="str">
            <v>Cliente 6</v>
          </cell>
        </row>
        <row r="1704">
          <cell r="B1704" t="str">
            <v>Recife_2_Operações</v>
          </cell>
          <cell r="D1704" t="str">
            <v>Plugagem</v>
          </cell>
          <cell r="E1704" t="str">
            <v>Cliente 7</v>
          </cell>
        </row>
        <row r="1705">
          <cell r="B1705" t="str">
            <v>Recife_2_Operações</v>
          </cell>
          <cell r="D1705" t="str">
            <v>Plugagem</v>
          </cell>
          <cell r="E1705" t="str">
            <v>Cliente 8</v>
          </cell>
        </row>
        <row r="1706">
          <cell r="B1706" t="str">
            <v>Recife_2_Operações</v>
          </cell>
          <cell r="D1706" t="str">
            <v>Plugagem</v>
          </cell>
          <cell r="E1706" t="str">
            <v>Cliente 9</v>
          </cell>
        </row>
        <row r="1707">
          <cell r="B1707" t="str">
            <v>Recife_2_Operações</v>
          </cell>
          <cell r="D1707" t="str">
            <v>Plugagem</v>
          </cell>
          <cell r="E1707" t="str">
            <v>Cliente 10</v>
          </cell>
        </row>
        <row r="1708">
          <cell r="B1708" t="str">
            <v>Recife_2_Operações</v>
          </cell>
          <cell r="D1708" t="str">
            <v>Plugagem</v>
          </cell>
          <cell r="E1708" t="str">
            <v>Cliente 11</v>
          </cell>
        </row>
        <row r="1709">
          <cell r="B1709" t="str">
            <v>Recife_2_Operações</v>
          </cell>
          <cell r="D1709" t="str">
            <v>Plugagem</v>
          </cell>
          <cell r="E1709" t="str">
            <v>Cliente 12</v>
          </cell>
        </row>
        <row r="1710">
          <cell r="B1710" t="str">
            <v>Recife_2_Operações</v>
          </cell>
          <cell r="D1710" t="str">
            <v>Plugagem</v>
          </cell>
          <cell r="E1710" t="str">
            <v>Cliente 13</v>
          </cell>
        </row>
        <row r="1711">
          <cell r="B1711" t="str">
            <v>Recife_2_Operações</v>
          </cell>
          <cell r="D1711" t="str">
            <v>Faturamento | Plugagem (BRL'000)</v>
          </cell>
          <cell r="E1711" t="str">
            <v>Subtotal</v>
          </cell>
          <cell r="CD1711">
            <v>0</v>
          </cell>
        </row>
        <row r="1712">
          <cell r="B1712" t="str">
            <v>Recife_2_Operações</v>
          </cell>
          <cell r="D1712" t="str">
            <v>Faturamento | Plugagem (BRL'000)</v>
          </cell>
          <cell r="E1712" t="str">
            <v>BRF S.A</v>
          </cell>
          <cell r="CD1712">
            <v>0</v>
          </cell>
        </row>
        <row r="1713">
          <cell r="B1713" t="str">
            <v>Recife_2_Operações</v>
          </cell>
          <cell r="D1713" t="str">
            <v>Faturamento | Plugagem (BRL'000)</v>
          </cell>
          <cell r="E1713" t="str">
            <v>JBS GROUP</v>
          </cell>
          <cell r="CD1713">
            <v>0</v>
          </cell>
        </row>
        <row r="1714">
          <cell r="B1714" t="str">
            <v>Recife_2_Operações</v>
          </cell>
          <cell r="D1714" t="str">
            <v>Faturamento | Plugagem (BRL'000)</v>
          </cell>
          <cell r="E1714" t="str">
            <v>MATHEUS</v>
          </cell>
        </row>
        <row r="1715">
          <cell r="B1715" t="str">
            <v>Recife_2_Operações</v>
          </cell>
          <cell r="D1715" t="str">
            <v>Faturamento | Plugagem (BRL'000)</v>
          </cell>
          <cell r="E1715" t="str">
            <v>Cliente 4</v>
          </cell>
        </row>
        <row r="1716">
          <cell r="B1716" t="str">
            <v>Recife_2_Operações</v>
          </cell>
          <cell r="D1716" t="str">
            <v>Faturamento | Plugagem (BRL'000)</v>
          </cell>
          <cell r="E1716" t="str">
            <v>Cliente 5</v>
          </cell>
        </row>
        <row r="1717">
          <cell r="B1717" t="str">
            <v>Recife_2_Operações</v>
          </cell>
          <cell r="D1717" t="str">
            <v>Faturamento | Plugagem (BRL'000)</v>
          </cell>
          <cell r="E1717" t="str">
            <v>Cliente 6</v>
          </cell>
        </row>
        <row r="1718">
          <cell r="B1718" t="str">
            <v>Recife_2_Operações</v>
          </cell>
          <cell r="D1718" t="str">
            <v>Faturamento | Plugagem (BRL'000)</v>
          </cell>
          <cell r="E1718" t="str">
            <v>Cliente 7</v>
          </cell>
        </row>
        <row r="1719">
          <cell r="B1719" t="str">
            <v>Recife_2_Operações</v>
          </cell>
          <cell r="D1719" t="str">
            <v>Faturamento | Plugagem (BRL'000)</v>
          </cell>
          <cell r="E1719" t="str">
            <v>Cliente 8</v>
          </cell>
        </row>
        <row r="1720">
          <cell r="B1720" t="str">
            <v>Recife_2_Operações</v>
          </cell>
          <cell r="D1720" t="str">
            <v>Faturamento | Plugagem (BRL'000)</v>
          </cell>
          <cell r="E1720" t="str">
            <v>Cliente 9</v>
          </cell>
        </row>
        <row r="1721">
          <cell r="B1721" t="str">
            <v>Recife_2_Operações</v>
          </cell>
          <cell r="D1721" t="str">
            <v>Faturamento | Plugagem (BRL'000)</v>
          </cell>
          <cell r="E1721" t="str">
            <v>Cliente 10</v>
          </cell>
        </row>
        <row r="1722">
          <cell r="B1722" t="str">
            <v>Recife_2_Operações</v>
          </cell>
          <cell r="D1722" t="str">
            <v>Faturamento | Plugagem (BRL'000)</v>
          </cell>
          <cell r="E1722" t="str">
            <v>Cliente 11</v>
          </cell>
        </row>
        <row r="1723">
          <cell r="B1723" t="str">
            <v>Recife_2_Operações</v>
          </cell>
          <cell r="D1723" t="str">
            <v>Faturamento | Plugagem (BRL'000)</v>
          </cell>
          <cell r="E1723" t="str">
            <v>Cliente 12</v>
          </cell>
        </row>
        <row r="1724">
          <cell r="B1724" t="str">
            <v>Recife_2_Operações</v>
          </cell>
          <cell r="D1724" t="str">
            <v>Faturamento | Plugagem (BRL'000)</v>
          </cell>
          <cell r="E1724" t="str">
            <v>Cliente 13</v>
          </cell>
        </row>
        <row r="1725">
          <cell r="B1725" t="str">
            <v>Recife_2_Operações</v>
          </cell>
          <cell r="D1725" t="str">
            <v>Ticket Médio | Plugagem (BRL)</v>
          </cell>
          <cell r="E1725" t="str">
            <v>Subtotal</v>
          </cell>
          <cell r="CD1725">
            <v>0</v>
          </cell>
        </row>
        <row r="1726">
          <cell r="B1726" t="str">
            <v>Recife_2_Operações</v>
          </cell>
          <cell r="D1726" t="str">
            <v>Ticket Médio | Plugagem (BRL)</v>
          </cell>
          <cell r="E1726" t="str">
            <v>BRF S.A</v>
          </cell>
          <cell r="CD1726">
            <v>0</v>
          </cell>
        </row>
        <row r="1727">
          <cell r="B1727" t="str">
            <v>Recife_2_Operações</v>
          </cell>
          <cell r="D1727" t="str">
            <v>Ticket Médio | Plugagem (BRL)</v>
          </cell>
          <cell r="E1727" t="str">
            <v>JBS GROUP</v>
          </cell>
          <cell r="CD1727">
            <v>0</v>
          </cell>
        </row>
        <row r="1728">
          <cell r="B1728" t="str">
            <v>Recife_2_Operações</v>
          </cell>
          <cell r="D1728" t="str">
            <v>Ticket Médio | Plugagem (BRL)</v>
          </cell>
          <cell r="E1728" t="str">
            <v>MATHEUS</v>
          </cell>
          <cell r="CD1728">
            <v>0</v>
          </cell>
        </row>
        <row r="1729">
          <cell r="B1729" t="str">
            <v>Recife_2_Operações</v>
          </cell>
          <cell r="D1729" t="str">
            <v>Ticket Médio | Plugagem (BRL)</v>
          </cell>
          <cell r="E1729" t="str">
            <v>Cliente 4</v>
          </cell>
          <cell r="CD1729">
            <v>0</v>
          </cell>
        </row>
        <row r="1730">
          <cell r="B1730" t="str">
            <v>Recife_2_Operações</v>
          </cell>
          <cell r="D1730" t="str">
            <v>Ticket Médio | Plugagem (BRL)</v>
          </cell>
          <cell r="E1730" t="str">
            <v>Cliente 5</v>
          </cell>
          <cell r="CD1730">
            <v>0</v>
          </cell>
        </row>
        <row r="1731">
          <cell r="B1731" t="str">
            <v>Recife_2_Operações</v>
          </cell>
          <cell r="D1731" t="str">
            <v>Ticket Médio | Plugagem (BRL)</v>
          </cell>
          <cell r="E1731" t="str">
            <v>Cliente 6</v>
          </cell>
          <cell r="CD1731">
            <v>0</v>
          </cell>
        </row>
        <row r="1732">
          <cell r="B1732" t="str">
            <v>Recife_2_Operações</v>
          </cell>
          <cell r="D1732" t="str">
            <v>Ticket Médio | Plugagem (BRL)</v>
          </cell>
          <cell r="E1732" t="str">
            <v>Cliente 7</v>
          </cell>
          <cell r="CD1732">
            <v>0</v>
          </cell>
        </row>
        <row r="1733">
          <cell r="B1733" t="str">
            <v>Recife_2_Operações</v>
          </cell>
          <cell r="D1733" t="str">
            <v>Ticket Médio | Plugagem (BRL)</v>
          </cell>
          <cell r="E1733" t="str">
            <v>Cliente 8</v>
          </cell>
          <cell r="CD1733">
            <v>0</v>
          </cell>
        </row>
        <row r="1734">
          <cell r="B1734" t="str">
            <v>Recife_2_Operações</v>
          </cell>
          <cell r="D1734" t="str">
            <v>Ticket Médio | Plugagem (BRL)</v>
          </cell>
          <cell r="E1734" t="str">
            <v>Cliente 9</v>
          </cell>
          <cell r="CD1734">
            <v>0</v>
          </cell>
        </row>
        <row r="1735">
          <cell r="B1735" t="str">
            <v>Recife_2_Operações</v>
          </cell>
          <cell r="D1735" t="str">
            <v>Ticket Médio | Plugagem (BRL)</v>
          </cell>
          <cell r="E1735" t="str">
            <v>Cliente 10</v>
          </cell>
          <cell r="CD1735">
            <v>0</v>
          </cell>
        </row>
        <row r="1736">
          <cell r="B1736" t="str">
            <v>Recife_2_Operações</v>
          </cell>
          <cell r="D1736" t="str">
            <v>Ticket Médio | Plugagem (BRL)</v>
          </cell>
          <cell r="E1736" t="str">
            <v>Cliente 11</v>
          </cell>
          <cell r="CD1736">
            <v>0</v>
          </cell>
        </row>
        <row r="1737">
          <cell r="B1737" t="str">
            <v>Recife_2_Operações</v>
          </cell>
          <cell r="D1737" t="str">
            <v>Ticket Médio | Plugagem (BRL)</v>
          </cell>
          <cell r="E1737" t="str">
            <v>Cliente 12</v>
          </cell>
          <cell r="CD1737">
            <v>0</v>
          </cell>
        </row>
        <row r="1738">
          <cell r="B1738" t="str">
            <v>Recife_2_Operações</v>
          </cell>
          <cell r="D1738" t="str">
            <v>Ticket Médio | Plugagem (BRL)</v>
          </cell>
          <cell r="E1738" t="str">
            <v>Cliente 13</v>
          </cell>
          <cell r="CD1738">
            <v>0</v>
          </cell>
        </row>
        <row r="1739">
          <cell r="B1739" t="str">
            <v>Recife_2_Operações</v>
          </cell>
          <cell r="D1739" t="str">
            <v>Faturamento | Adicional (BRL'000)</v>
          </cell>
          <cell r="E1739" t="str">
            <v>Subtotal</v>
          </cell>
          <cell r="CD1739">
            <v>0</v>
          </cell>
        </row>
        <row r="1740">
          <cell r="B1740" t="str">
            <v>Recife_2_Operações</v>
          </cell>
          <cell r="D1740" t="str">
            <v>Faturamento | Adicional (BRL'000)</v>
          </cell>
          <cell r="E1740" t="str">
            <v>BRF S.A</v>
          </cell>
          <cell r="CD1740">
            <v>0</v>
          </cell>
        </row>
        <row r="1741">
          <cell r="B1741" t="str">
            <v>Recife_2_Operações</v>
          </cell>
          <cell r="D1741" t="str">
            <v>Faturamento | Adicional (BRL'000)</v>
          </cell>
          <cell r="E1741" t="str">
            <v>JBS GROUP</v>
          </cell>
          <cell r="CD1741">
            <v>0</v>
          </cell>
        </row>
        <row r="1742">
          <cell r="B1742" t="str">
            <v>Recife_2_Operações</v>
          </cell>
          <cell r="D1742" t="str">
            <v>Faturamento | Adicional (BRL'000)</v>
          </cell>
          <cell r="E1742" t="str">
            <v>MATHEUS</v>
          </cell>
        </row>
        <row r="1743">
          <cell r="B1743" t="str">
            <v>Recife_2_Operações</v>
          </cell>
          <cell r="D1743" t="str">
            <v>Faturamento | Adicional (BRL'000)</v>
          </cell>
          <cell r="E1743" t="str">
            <v>Cliente 4</v>
          </cell>
        </row>
        <row r="1744">
          <cell r="B1744" t="str">
            <v>Recife_2_Operações</v>
          </cell>
          <cell r="D1744" t="str">
            <v>Faturamento | Adicional (BRL'000)</v>
          </cell>
          <cell r="E1744" t="str">
            <v>Cliente 5</v>
          </cell>
        </row>
        <row r="1745">
          <cell r="B1745" t="str">
            <v>Recife_2_Operações</v>
          </cell>
          <cell r="D1745" t="str">
            <v>Faturamento | Adicional (BRL'000)</v>
          </cell>
          <cell r="E1745" t="str">
            <v>Cliente 6</v>
          </cell>
        </row>
        <row r="1746">
          <cell r="B1746" t="str">
            <v>Recife_2_Operações</v>
          </cell>
          <cell r="D1746" t="str">
            <v>Faturamento | Adicional (BRL'000)</v>
          </cell>
          <cell r="E1746" t="str">
            <v>Cliente 7</v>
          </cell>
        </row>
        <row r="1747">
          <cell r="B1747" t="str">
            <v>Recife_2_Operações</v>
          </cell>
          <cell r="D1747" t="str">
            <v>Faturamento | Adicional (BRL'000)</v>
          </cell>
          <cell r="E1747" t="str">
            <v>Cliente 8</v>
          </cell>
        </row>
        <row r="1748">
          <cell r="B1748" t="str">
            <v>Recife_2_Operações</v>
          </cell>
          <cell r="D1748" t="str">
            <v>Faturamento | Adicional (BRL'000)</v>
          </cell>
          <cell r="E1748" t="str">
            <v>Cliente 9</v>
          </cell>
        </row>
        <row r="1749">
          <cell r="B1749" t="str">
            <v>Recife_2_Operações</v>
          </cell>
          <cell r="D1749" t="str">
            <v>Faturamento | Adicional (BRL'000)</v>
          </cell>
          <cell r="E1749" t="str">
            <v>Cliente 10</v>
          </cell>
        </row>
        <row r="1750">
          <cell r="B1750" t="str">
            <v>Recife_2_Operações</v>
          </cell>
          <cell r="D1750" t="str">
            <v>Faturamento | Adicional (BRL'000)</v>
          </cell>
          <cell r="E1750" t="str">
            <v>Cliente 11</v>
          </cell>
        </row>
        <row r="1751">
          <cell r="B1751" t="str">
            <v>Recife_2_Operações</v>
          </cell>
          <cell r="D1751" t="str">
            <v>Faturamento | Adicional (BRL'000)</v>
          </cell>
          <cell r="E1751" t="str">
            <v>Cliente 12</v>
          </cell>
        </row>
        <row r="1752">
          <cell r="B1752" t="str">
            <v>Recife_2_Operações</v>
          </cell>
          <cell r="D1752" t="str">
            <v>Faturamento | Adicional (BRL'000)</v>
          </cell>
          <cell r="E1752" t="str">
            <v>Cliente 13</v>
          </cell>
        </row>
        <row r="1753">
          <cell r="B1753" t="str">
            <v>Recife_2_Operações</v>
          </cell>
          <cell r="D1753" t="str">
            <v>Faturamento | Seguros (BRL'000)</v>
          </cell>
          <cell r="E1753" t="str">
            <v>Subtotal</v>
          </cell>
          <cell r="CD1753">
            <v>0</v>
          </cell>
        </row>
        <row r="1754">
          <cell r="B1754" t="str">
            <v>Recife_2_Operações</v>
          </cell>
          <cell r="D1754" t="str">
            <v>Faturamento | Seguros (BRL'000)</v>
          </cell>
          <cell r="E1754" t="str">
            <v>BRF S.A</v>
          </cell>
          <cell r="CD1754">
            <v>0</v>
          </cell>
        </row>
        <row r="1755">
          <cell r="B1755" t="str">
            <v>Recife_2_Operações</v>
          </cell>
          <cell r="D1755" t="str">
            <v>Faturamento | Seguros (BRL'000)</v>
          </cell>
          <cell r="E1755" t="str">
            <v>JBS GROUP</v>
          </cell>
          <cell r="CD1755">
            <v>0</v>
          </cell>
        </row>
        <row r="1756">
          <cell r="B1756" t="str">
            <v>Recife_2_Operações</v>
          </cell>
          <cell r="D1756" t="str">
            <v>Faturamento | Seguros (BRL'000)</v>
          </cell>
          <cell r="E1756" t="str">
            <v>MATHEUS</v>
          </cell>
        </row>
        <row r="1757">
          <cell r="B1757" t="str">
            <v>Recife_2_Operações</v>
          </cell>
          <cell r="D1757" t="str">
            <v>Faturamento | Seguros (BRL'000)</v>
          </cell>
          <cell r="E1757" t="str">
            <v>Cliente 4</v>
          </cell>
        </row>
        <row r="1758">
          <cell r="B1758" t="str">
            <v>Recife_2_Operações</v>
          </cell>
          <cell r="D1758" t="str">
            <v>Faturamento | Seguros (BRL'000)</v>
          </cell>
          <cell r="E1758" t="str">
            <v>Cliente 5</v>
          </cell>
        </row>
        <row r="1759">
          <cell r="B1759" t="str">
            <v>Recife_2_Operações</v>
          </cell>
          <cell r="D1759" t="str">
            <v>Faturamento | Seguros (BRL'000)</v>
          </cell>
          <cell r="E1759" t="str">
            <v>Cliente 6</v>
          </cell>
        </row>
        <row r="1760">
          <cell r="B1760" t="str">
            <v>Recife_2_Operações</v>
          </cell>
          <cell r="D1760" t="str">
            <v>Faturamento | Seguros (BRL'000)</v>
          </cell>
          <cell r="E1760" t="str">
            <v>Cliente 7</v>
          </cell>
        </row>
        <row r="1761">
          <cell r="B1761" t="str">
            <v>Recife_2_Operações</v>
          </cell>
          <cell r="D1761" t="str">
            <v>Faturamento | Seguros (BRL'000)</v>
          </cell>
          <cell r="E1761" t="str">
            <v>Cliente 8</v>
          </cell>
        </row>
        <row r="1762">
          <cell r="B1762" t="str">
            <v>Recife_2_Operações</v>
          </cell>
          <cell r="D1762" t="str">
            <v>Faturamento | Seguros (BRL'000)</v>
          </cell>
          <cell r="E1762" t="str">
            <v>Cliente 9</v>
          </cell>
        </row>
        <row r="1763">
          <cell r="B1763" t="str">
            <v>Recife_2_Operações</v>
          </cell>
          <cell r="D1763" t="str">
            <v>Faturamento | Seguros (BRL'000)</v>
          </cell>
          <cell r="E1763" t="str">
            <v>Cliente 10</v>
          </cell>
        </row>
        <row r="1764">
          <cell r="B1764" t="str">
            <v>Recife_2_Operações</v>
          </cell>
          <cell r="D1764" t="str">
            <v>Faturamento | Seguros (BRL'000)</v>
          </cell>
          <cell r="E1764" t="str">
            <v>Cliente 11</v>
          </cell>
        </row>
        <row r="1765">
          <cell r="B1765" t="str">
            <v>Recife_2_Operações</v>
          </cell>
          <cell r="D1765" t="str">
            <v>Faturamento | Seguros (BRL'000)</v>
          </cell>
          <cell r="E1765" t="str">
            <v>Cliente 12</v>
          </cell>
        </row>
        <row r="1766">
          <cell r="B1766" t="str">
            <v>Recife_2_Operações</v>
          </cell>
          <cell r="D1766" t="str">
            <v>Faturamento | Seguros (BRL'000)</v>
          </cell>
          <cell r="E1766" t="str">
            <v>Cliente 13</v>
          </cell>
        </row>
        <row r="1767">
          <cell r="B1767" t="str">
            <v>G100</v>
          </cell>
          <cell r="D1767" t="str">
            <v>Faturamento Bruto</v>
          </cell>
          <cell r="E1767" t="str">
            <v>Gross Revenue</v>
          </cell>
          <cell r="CD1767">
            <v>39838.019200000002</v>
          </cell>
        </row>
        <row r="1769">
          <cell r="B1769" t="str">
            <v>G100</v>
          </cell>
          <cell r="D1769" t="str">
            <v>Faturamento Bruto</v>
          </cell>
          <cell r="E1769" t="str">
            <v>ATACADAO S.A</v>
          </cell>
          <cell r="CD1769">
            <v>23640.2592</v>
          </cell>
        </row>
        <row r="1770">
          <cell r="B1770" t="str">
            <v>G100</v>
          </cell>
          <cell r="D1770" t="str">
            <v>Faturamento Bruto</v>
          </cell>
          <cell r="E1770" t="str">
            <v>BEM BRASIL ALIMENTOS S/A</v>
          </cell>
          <cell r="CD1770">
            <v>8103.16</v>
          </cell>
        </row>
        <row r="1771">
          <cell r="B1771" t="str">
            <v>G100</v>
          </cell>
          <cell r="D1771" t="str">
            <v>Faturamento Bruto</v>
          </cell>
          <cell r="E1771" t="str">
            <v>BIMBO</v>
          </cell>
          <cell r="CD1771">
            <v>3705.599999999999</v>
          </cell>
        </row>
        <row r="1772">
          <cell r="B1772" t="str">
            <v>G100</v>
          </cell>
          <cell r="D1772" t="str">
            <v>Faturamento Bruto</v>
          </cell>
          <cell r="E1772" t="str">
            <v>JAGUAFRANGOS</v>
          </cell>
          <cell r="CD1772">
            <v>0</v>
          </cell>
        </row>
        <row r="1773">
          <cell r="B1773" t="str">
            <v>G100</v>
          </cell>
          <cell r="D1773" t="str">
            <v>Faturamento Bruto</v>
          </cell>
          <cell r="E1773" t="str">
            <v>BRF S.A</v>
          </cell>
          <cell r="CD1773">
            <v>0</v>
          </cell>
        </row>
        <row r="1774">
          <cell r="B1774" t="str">
            <v>G100</v>
          </cell>
          <cell r="D1774" t="str">
            <v>Faturamento Bruto</v>
          </cell>
          <cell r="E1774" t="str">
            <v>Cliente 6</v>
          </cell>
          <cell r="CD1774">
            <v>0</v>
          </cell>
        </row>
        <row r="1775">
          <cell r="B1775" t="str">
            <v>G100</v>
          </cell>
          <cell r="D1775" t="str">
            <v>Faturamento Bruto</v>
          </cell>
          <cell r="E1775" t="str">
            <v>GT FOODS</v>
          </cell>
          <cell r="CD1775">
            <v>0</v>
          </cell>
        </row>
        <row r="1776">
          <cell r="B1776" t="str">
            <v>G100</v>
          </cell>
          <cell r="D1776" t="str">
            <v>Faturamento Bruto</v>
          </cell>
          <cell r="E1776" t="str">
            <v>OVERFLOW</v>
          </cell>
          <cell r="CD1776">
            <v>4389</v>
          </cell>
        </row>
        <row r="1777">
          <cell r="B1777" t="str">
            <v>G100</v>
          </cell>
          <cell r="D1777" t="str">
            <v>Faturamento Bruto</v>
          </cell>
          <cell r="E1777" t="str">
            <v>Cliente 9</v>
          </cell>
          <cell r="CD1777">
            <v>0</v>
          </cell>
        </row>
        <row r="1778">
          <cell r="B1778" t="str">
            <v>G100</v>
          </cell>
          <cell r="D1778" t="str">
            <v>Faturamento Bruto</v>
          </cell>
          <cell r="E1778" t="str">
            <v>Cliente 10</v>
          </cell>
          <cell r="CD1778">
            <v>0</v>
          </cell>
        </row>
        <row r="1779">
          <cell r="B1779" t="str">
            <v>G100</v>
          </cell>
          <cell r="D1779" t="str">
            <v>Faturamento Bruto</v>
          </cell>
          <cell r="E1779" t="str">
            <v>Cliente 11</v>
          </cell>
          <cell r="CD1779">
            <v>0</v>
          </cell>
        </row>
        <row r="1780">
          <cell r="B1780" t="str">
            <v>G100</v>
          </cell>
          <cell r="D1780" t="str">
            <v>Faturamento Bruto</v>
          </cell>
          <cell r="E1780" t="str">
            <v>Cliente 12</v>
          </cell>
          <cell r="CD1780">
            <v>0</v>
          </cell>
        </row>
        <row r="1781">
          <cell r="B1781" t="str">
            <v>G100</v>
          </cell>
          <cell r="D1781" t="str">
            <v>Faturamento Bruto</v>
          </cell>
          <cell r="E1781" t="str">
            <v>Cliente 13</v>
          </cell>
          <cell r="CD1781">
            <v>0</v>
          </cell>
        </row>
        <row r="1782">
          <cell r="B1782" t="str">
            <v>G100</v>
          </cell>
          <cell r="D1782" t="str">
            <v>Armazenagem (posição palet)</v>
          </cell>
          <cell r="E1782" t="str">
            <v>Subtotal</v>
          </cell>
          <cell r="CD1782">
            <v>26600</v>
          </cell>
        </row>
        <row r="1783">
          <cell r="B1783" t="str">
            <v>G100</v>
          </cell>
          <cell r="D1783" t="str">
            <v>Armazenagem (posição palet)</v>
          </cell>
          <cell r="E1783" t="str">
            <v>ATACADAO S.A</v>
          </cell>
          <cell r="CD1783">
            <v>20000</v>
          </cell>
        </row>
        <row r="1784">
          <cell r="B1784" t="str">
            <v>G100</v>
          </cell>
          <cell r="D1784" t="str">
            <v>Armazenagem (posição palet)</v>
          </cell>
          <cell r="E1784" t="str">
            <v>BEM BRASIL ALIMENTOS S/A</v>
          </cell>
          <cell r="CD1784">
            <v>3833.333333333333</v>
          </cell>
        </row>
        <row r="1785">
          <cell r="B1785" t="str">
            <v>G100</v>
          </cell>
          <cell r="D1785" t="str">
            <v>Armazenagem (posição palet)</v>
          </cell>
          <cell r="E1785" t="str">
            <v>BIMBO</v>
          </cell>
          <cell r="CD1785">
            <v>1600</v>
          </cell>
        </row>
        <row r="1786">
          <cell r="B1786" t="str">
            <v>G100</v>
          </cell>
          <cell r="D1786" t="str">
            <v>Armazenagem (posição palet)</v>
          </cell>
          <cell r="E1786" t="str">
            <v>JAGUAFRANGOS</v>
          </cell>
          <cell r="CD1786">
            <v>0</v>
          </cell>
        </row>
        <row r="1787">
          <cell r="B1787" t="str">
            <v>G100</v>
          </cell>
          <cell r="D1787" t="str">
            <v>Armazenagem (posição palet)</v>
          </cell>
          <cell r="E1787" t="str">
            <v>BRF S.A</v>
          </cell>
          <cell r="CD1787">
            <v>0</v>
          </cell>
        </row>
        <row r="1788">
          <cell r="B1788" t="str">
            <v>G100</v>
          </cell>
          <cell r="D1788" t="str">
            <v>Armazenagem (posição palet)</v>
          </cell>
          <cell r="E1788" t="str">
            <v>Cliente 6</v>
          </cell>
          <cell r="CD1788">
            <v>0</v>
          </cell>
        </row>
        <row r="1789">
          <cell r="B1789" t="str">
            <v>G100</v>
          </cell>
          <cell r="D1789" t="str">
            <v>Armazenagem (posição palet)</v>
          </cell>
          <cell r="E1789" t="str">
            <v>GT FOODS</v>
          </cell>
          <cell r="CD1789">
            <v>0</v>
          </cell>
        </row>
        <row r="1790">
          <cell r="B1790" t="str">
            <v>G100</v>
          </cell>
          <cell r="D1790" t="str">
            <v>Armazenagem (posição palet)</v>
          </cell>
          <cell r="E1790" t="str">
            <v>OVERFLOW</v>
          </cell>
          <cell r="CD1790">
            <v>1166.666666666667</v>
          </cell>
        </row>
        <row r="1791">
          <cell r="B1791" t="str">
            <v>G100</v>
          </cell>
          <cell r="D1791" t="str">
            <v>Armazenagem (posição palet)</v>
          </cell>
          <cell r="E1791" t="str">
            <v>Cliente 9</v>
          </cell>
          <cell r="CD1791">
            <v>0</v>
          </cell>
        </row>
        <row r="1792">
          <cell r="B1792" t="str">
            <v>G100</v>
          </cell>
          <cell r="D1792" t="str">
            <v>Armazenagem (posição palet)</v>
          </cell>
          <cell r="E1792" t="str">
            <v>Cliente 10</v>
          </cell>
          <cell r="CD1792">
            <v>0</v>
          </cell>
        </row>
        <row r="1793">
          <cell r="B1793" t="str">
            <v>G100</v>
          </cell>
          <cell r="D1793" t="str">
            <v>Armazenagem (posição palet)</v>
          </cell>
          <cell r="E1793" t="str">
            <v>Cliente 11</v>
          </cell>
          <cell r="CD1793">
            <v>0</v>
          </cell>
        </row>
        <row r="1794">
          <cell r="B1794" t="str">
            <v>G100</v>
          </cell>
          <cell r="D1794" t="str">
            <v>Armazenagem (posição palet)</v>
          </cell>
          <cell r="E1794" t="str">
            <v>Cliente 12</v>
          </cell>
          <cell r="CD1794">
            <v>0</v>
          </cell>
        </row>
        <row r="1795">
          <cell r="B1795" t="str">
            <v>G100</v>
          </cell>
          <cell r="D1795" t="str">
            <v>Armazenagem (posição palet)</v>
          </cell>
          <cell r="E1795" t="str">
            <v>Cliente 13</v>
          </cell>
          <cell r="CD1795">
            <v>0</v>
          </cell>
        </row>
        <row r="1796">
          <cell r="B1796" t="str">
            <v>G100</v>
          </cell>
          <cell r="D1796" t="str">
            <v>Capacidade Total PP</v>
          </cell>
          <cell r="E1796" t="str">
            <v>CAPACIDADE</v>
          </cell>
          <cell r="CD1796">
            <v>27790</v>
          </cell>
        </row>
        <row r="1797">
          <cell r="B1797" t="str">
            <v>G100</v>
          </cell>
          <cell r="D1797" t="str">
            <v>Armazenagem (%)</v>
          </cell>
          <cell r="E1797" t="str">
            <v>Subtotal</v>
          </cell>
          <cell r="CD1797">
            <v>0.957178841309824</v>
          </cell>
        </row>
        <row r="1798">
          <cell r="B1798" t="str">
            <v>G100</v>
          </cell>
          <cell r="D1798" t="str">
            <v>Armazenagem (%)</v>
          </cell>
          <cell r="E1798" t="str">
            <v>ATACADAO S.A</v>
          </cell>
          <cell r="CD1798">
            <v>0.71968333933069395</v>
          </cell>
        </row>
        <row r="1799">
          <cell r="B1799" t="str">
            <v>G100</v>
          </cell>
          <cell r="D1799" t="str">
            <v>Armazenagem (%)</v>
          </cell>
          <cell r="E1799" t="str">
            <v>BEM BRASIL ALIMENTOS S/A</v>
          </cell>
          <cell r="CD1799">
            <v>0.13793930670505</v>
          </cell>
        </row>
        <row r="1800">
          <cell r="B1800" t="str">
            <v>G100</v>
          </cell>
          <cell r="D1800" t="str">
            <v>Armazenagem (%)</v>
          </cell>
          <cell r="E1800" t="str">
            <v>BIMBO</v>
          </cell>
          <cell r="CD1800">
            <v>5.7574667146455497E-2</v>
          </cell>
        </row>
        <row r="1801">
          <cell r="B1801" t="str">
            <v>G100</v>
          </cell>
          <cell r="D1801" t="str">
            <v>Armazenagem (%)</v>
          </cell>
          <cell r="E1801" t="str">
            <v>JAGUAFRANGOS</v>
          </cell>
          <cell r="CD1801">
            <v>0</v>
          </cell>
        </row>
        <row r="1802">
          <cell r="B1802" t="str">
            <v>G100</v>
          </cell>
          <cell r="D1802" t="str">
            <v>Armazenagem (%)</v>
          </cell>
          <cell r="E1802" t="str">
            <v>BRF S.A</v>
          </cell>
          <cell r="CD1802">
            <v>0</v>
          </cell>
        </row>
        <row r="1803">
          <cell r="B1803" t="str">
            <v>G100</v>
          </cell>
          <cell r="D1803" t="str">
            <v>Armazenagem (%)</v>
          </cell>
          <cell r="E1803" t="str">
            <v>Cliente 6</v>
          </cell>
          <cell r="CD1803">
            <v>0</v>
          </cell>
        </row>
        <row r="1804">
          <cell r="B1804" t="str">
            <v>G100</v>
          </cell>
          <cell r="D1804" t="str">
            <v>Armazenagem (%)</v>
          </cell>
          <cell r="E1804" t="str">
            <v>GT FOODS</v>
          </cell>
          <cell r="CD1804">
            <v>0</v>
          </cell>
        </row>
        <row r="1805">
          <cell r="B1805" t="str">
            <v>G100</v>
          </cell>
          <cell r="D1805" t="str">
            <v>Armazenagem (%)</v>
          </cell>
          <cell r="E1805" t="str">
            <v>OVERFLOW</v>
          </cell>
          <cell r="CD1805">
            <v>4.1981528127623798E-2</v>
          </cell>
        </row>
        <row r="1806">
          <cell r="B1806" t="str">
            <v>G100</v>
          </cell>
          <cell r="D1806" t="str">
            <v>Armazenagem (%)</v>
          </cell>
          <cell r="E1806" t="str">
            <v>Cliente 9</v>
          </cell>
          <cell r="CD1806">
            <v>0</v>
          </cell>
        </row>
        <row r="1807">
          <cell r="B1807" t="str">
            <v>G100</v>
          </cell>
          <cell r="D1807" t="str">
            <v>Armazenagem (%)</v>
          </cell>
          <cell r="E1807" t="str">
            <v>Cliente 10</v>
          </cell>
          <cell r="CD1807">
            <v>0</v>
          </cell>
        </row>
        <row r="1808">
          <cell r="B1808" t="str">
            <v>G100</v>
          </cell>
          <cell r="D1808" t="str">
            <v>Armazenagem (%)</v>
          </cell>
          <cell r="E1808" t="str">
            <v>Cliente 11</v>
          </cell>
          <cell r="CD1808">
            <v>0</v>
          </cell>
        </row>
        <row r="1809">
          <cell r="B1809" t="str">
            <v>G100</v>
          </cell>
          <cell r="D1809" t="str">
            <v>Armazenagem (%)</v>
          </cell>
          <cell r="E1809" t="str">
            <v>Cliente 12</v>
          </cell>
          <cell r="CD1809">
            <v>0</v>
          </cell>
        </row>
        <row r="1810">
          <cell r="B1810" t="str">
            <v>G100</v>
          </cell>
          <cell r="D1810" t="str">
            <v>Armazenagem (%)</v>
          </cell>
          <cell r="E1810" t="str">
            <v>Cliente 13</v>
          </cell>
          <cell r="CD1810">
            <v>0</v>
          </cell>
        </row>
        <row r="1811">
          <cell r="B1811" t="str">
            <v>G100</v>
          </cell>
          <cell r="D1811" t="str">
            <v>Faturamento | Armazenagem (BRL'000)</v>
          </cell>
          <cell r="E1811" t="str">
            <v>Subtotal</v>
          </cell>
          <cell r="CD1811">
            <v>10059.56</v>
          </cell>
        </row>
        <row r="1812">
          <cell r="B1812" t="str">
            <v>G100</v>
          </cell>
          <cell r="D1812" t="str">
            <v>Faturamento | Armazenagem (BRL'000)</v>
          </cell>
          <cell r="E1812" t="str">
            <v>ATACADAO S.A</v>
          </cell>
          <cell r="CD1812">
            <v>0</v>
          </cell>
        </row>
        <row r="1813">
          <cell r="B1813" t="str">
            <v>G100</v>
          </cell>
          <cell r="D1813" t="str">
            <v>Faturamento | Armazenagem (BRL'000)</v>
          </cell>
          <cell r="E1813" t="str">
            <v>BEM BRASIL ALIMENTOS S/A</v>
          </cell>
          <cell r="CD1813">
            <v>5927.56</v>
          </cell>
        </row>
        <row r="1814">
          <cell r="B1814" t="str">
            <v>G100</v>
          </cell>
          <cell r="D1814" t="str">
            <v>Faturamento | Armazenagem (BRL'000)</v>
          </cell>
          <cell r="E1814" t="str">
            <v>BIMBO</v>
          </cell>
          <cell r="CD1814">
            <v>2592</v>
          </cell>
        </row>
        <row r="1815">
          <cell r="B1815" t="str">
            <v>G100</v>
          </cell>
          <cell r="D1815" t="str">
            <v>Faturamento | Armazenagem (BRL'000)</v>
          </cell>
          <cell r="E1815" t="str">
            <v>JAGUAFRANGOS</v>
          </cell>
          <cell r="CD1815">
            <v>0</v>
          </cell>
        </row>
        <row r="1816">
          <cell r="B1816" t="str">
            <v>G100</v>
          </cell>
          <cell r="D1816" t="str">
            <v>Faturamento | Armazenagem (BRL'000)</v>
          </cell>
          <cell r="E1816" t="str">
            <v>BRF S.A</v>
          </cell>
          <cell r="CD1816">
            <v>0</v>
          </cell>
        </row>
        <row r="1817">
          <cell r="B1817" t="str">
            <v>G100</v>
          </cell>
          <cell r="D1817" t="str">
            <v>Faturamento | Armazenagem (BRL'000)</v>
          </cell>
          <cell r="E1817" t="str">
            <v>Cliente 6</v>
          </cell>
          <cell r="CD1817">
            <v>0</v>
          </cell>
        </row>
        <row r="1818">
          <cell r="B1818" t="str">
            <v>G100</v>
          </cell>
          <cell r="D1818" t="str">
            <v>Faturamento | Armazenagem (BRL'000)</v>
          </cell>
          <cell r="E1818" t="str">
            <v>GT FOODS</v>
          </cell>
          <cell r="CD1818">
            <v>0</v>
          </cell>
        </row>
        <row r="1819">
          <cell r="B1819" t="str">
            <v>G100</v>
          </cell>
          <cell r="D1819" t="str">
            <v>Faturamento | Armazenagem (BRL'000)</v>
          </cell>
          <cell r="E1819" t="str">
            <v>OVERFLOW</v>
          </cell>
          <cell r="CD1819">
            <v>1540</v>
          </cell>
        </row>
        <row r="1820">
          <cell r="B1820" t="str">
            <v>G100</v>
          </cell>
          <cell r="D1820" t="str">
            <v>Faturamento | Armazenagem (BRL'000)</v>
          </cell>
          <cell r="E1820" t="str">
            <v>Cliente 9</v>
          </cell>
          <cell r="CD1820">
            <v>0</v>
          </cell>
        </row>
        <row r="1821">
          <cell r="B1821" t="str">
            <v>G100</v>
          </cell>
          <cell r="D1821" t="str">
            <v>Faturamento | Armazenagem (BRL'000)</v>
          </cell>
          <cell r="E1821" t="str">
            <v>Cliente 10</v>
          </cell>
          <cell r="CD1821">
            <v>0</v>
          </cell>
        </row>
        <row r="1822">
          <cell r="B1822" t="str">
            <v>G100</v>
          </cell>
          <cell r="D1822" t="str">
            <v>Faturamento | Armazenagem (BRL'000)</v>
          </cell>
          <cell r="E1822" t="str">
            <v>Cliente 11</v>
          </cell>
          <cell r="CD1822">
            <v>0</v>
          </cell>
        </row>
        <row r="1823">
          <cell r="B1823" t="str">
            <v>G100</v>
          </cell>
          <cell r="D1823" t="str">
            <v>Faturamento | Armazenagem (BRL'000)</v>
          </cell>
          <cell r="E1823" t="str">
            <v>Cliente 12</v>
          </cell>
          <cell r="CD1823">
            <v>0</v>
          </cell>
        </row>
        <row r="1824">
          <cell r="B1824" t="str">
            <v>G100</v>
          </cell>
          <cell r="D1824" t="str">
            <v>Faturamento | Armazenagem (BRL'000)</v>
          </cell>
          <cell r="E1824" t="str">
            <v>Cliente 13</v>
          </cell>
          <cell r="CD1824">
            <v>0</v>
          </cell>
        </row>
        <row r="1825">
          <cell r="B1825" t="str">
            <v>G100</v>
          </cell>
          <cell r="D1825" t="str">
            <v>Ticket Médio | Armazenagem (BRL)</v>
          </cell>
          <cell r="E1825" t="str">
            <v>Subtotal</v>
          </cell>
          <cell r="CD1825">
            <v>31.514912280701761</v>
          </cell>
        </row>
        <row r="1826">
          <cell r="B1826" t="str">
            <v>G100</v>
          </cell>
          <cell r="D1826" t="str">
            <v>Ticket Médio | Armazenagem (BRL)</v>
          </cell>
          <cell r="E1826" t="str">
            <v>ATACADAO S.A</v>
          </cell>
          <cell r="CD1826">
            <v>0</v>
          </cell>
        </row>
        <row r="1827">
          <cell r="B1827" t="str">
            <v>G100</v>
          </cell>
          <cell r="D1827" t="str">
            <v>Ticket Médio | Armazenagem (BRL)</v>
          </cell>
          <cell r="E1827" t="str">
            <v>BEM BRASIL ALIMENTOS S/A</v>
          </cell>
          <cell r="CD1827">
            <v>128.86000000000001</v>
          </cell>
        </row>
        <row r="1828">
          <cell r="B1828" t="str">
            <v>G100</v>
          </cell>
          <cell r="D1828" t="str">
            <v>Ticket Médio | Armazenagem (BRL)</v>
          </cell>
          <cell r="E1828" t="str">
            <v>BIMBO</v>
          </cell>
          <cell r="CD1828">
            <v>135</v>
          </cell>
        </row>
        <row r="1829">
          <cell r="B1829" t="str">
            <v>G100</v>
          </cell>
          <cell r="D1829" t="str">
            <v>Ticket Médio | Armazenagem (BRL)</v>
          </cell>
          <cell r="E1829" t="str">
            <v>JAGUAFRANGOS</v>
          </cell>
          <cell r="CD1829">
            <v>0</v>
          </cell>
        </row>
        <row r="1830">
          <cell r="B1830" t="str">
            <v>G100</v>
          </cell>
          <cell r="D1830" t="str">
            <v>Ticket Médio | Armazenagem (BRL)</v>
          </cell>
          <cell r="E1830" t="str">
            <v>BRF S.A</v>
          </cell>
          <cell r="CD1830">
            <v>0</v>
          </cell>
        </row>
        <row r="1831">
          <cell r="B1831" t="str">
            <v>G100</v>
          </cell>
          <cell r="D1831" t="str">
            <v>Ticket Médio | Armazenagem (BRL)</v>
          </cell>
          <cell r="E1831" t="str">
            <v>Cliente 6</v>
          </cell>
          <cell r="CD1831">
            <v>0</v>
          </cell>
        </row>
        <row r="1832">
          <cell r="B1832" t="str">
            <v>G100</v>
          </cell>
          <cell r="D1832" t="str">
            <v>Ticket Médio | Armazenagem (BRL)</v>
          </cell>
          <cell r="E1832" t="str">
            <v>GT FOODS</v>
          </cell>
          <cell r="CD1832">
            <v>0</v>
          </cell>
        </row>
        <row r="1833">
          <cell r="B1833" t="str">
            <v>G100</v>
          </cell>
          <cell r="D1833" t="str">
            <v>Ticket Médio | Armazenagem (BRL)</v>
          </cell>
          <cell r="E1833" t="str">
            <v>OVERFLOW</v>
          </cell>
          <cell r="CD1833">
            <v>110</v>
          </cell>
        </row>
        <row r="1834">
          <cell r="B1834" t="str">
            <v>G100</v>
          </cell>
          <cell r="D1834" t="str">
            <v>Ticket Médio | Armazenagem (BRL)</v>
          </cell>
          <cell r="E1834" t="str">
            <v>Cliente 9</v>
          </cell>
          <cell r="CD1834">
            <v>0</v>
          </cell>
        </row>
        <row r="1835">
          <cell r="B1835" t="str">
            <v>G100</v>
          </cell>
          <cell r="D1835" t="str">
            <v>Ticket Médio | Armazenagem (BRL)</v>
          </cell>
          <cell r="E1835" t="str">
            <v>Cliente 10</v>
          </cell>
          <cell r="CD1835">
            <v>0</v>
          </cell>
        </row>
        <row r="1836">
          <cell r="B1836" t="str">
            <v>G100</v>
          </cell>
          <cell r="D1836" t="str">
            <v>Ticket Médio | Armazenagem (BRL)</v>
          </cell>
          <cell r="E1836" t="str">
            <v>Cliente 11</v>
          </cell>
          <cell r="CD1836">
            <v>0</v>
          </cell>
        </row>
        <row r="1837">
          <cell r="B1837" t="str">
            <v>G100</v>
          </cell>
          <cell r="D1837" t="str">
            <v>Ticket Médio | Armazenagem (BRL)</v>
          </cell>
          <cell r="E1837" t="str">
            <v>Cliente 12</v>
          </cell>
          <cell r="CD1837">
            <v>0</v>
          </cell>
        </row>
        <row r="1838">
          <cell r="B1838" t="str">
            <v>G100</v>
          </cell>
          <cell r="D1838" t="str">
            <v>Ticket Médio | Armazenagem (BRL)</v>
          </cell>
          <cell r="E1838" t="str">
            <v>Cliente 13</v>
          </cell>
          <cell r="CD1838">
            <v>0</v>
          </cell>
        </row>
        <row r="1839">
          <cell r="B1839" t="str">
            <v>G100</v>
          </cell>
          <cell r="D1839" t="str">
            <v>Movimentação (Toneladas)</v>
          </cell>
          <cell r="E1839" t="str">
            <v>Subtotal</v>
          </cell>
          <cell r="CD1839">
            <v>203200</v>
          </cell>
        </row>
        <row r="1840">
          <cell r="B1840" t="str">
            <v>G100</v>
          </cell>
          <cell r="D1840" t="str">
            <v>Movimentação (Paletes)</v>
          </cell>
          <cell r="E1840" t="str">
            <v>ATACADAO S.A</v>
          </cell>
          <cell r="CD1840">
            <v>0</v>
          </cell>
        </row>
        <row r="1841">
          <cell r="B1841" t="str">
            <v>G100</v>
          </cell>
          <cell r="D1841" t="str">
            <v>Movimentação (Paletes)</v>
          </cell>
          <cell r="E1841" t="str">
            <v>BEM BRASIL ALIMENTOS S/A</v>
          </cell>
          <cell r="CD1841">
            <v>59200</v>
          </cell>
        </row>
        <row r="1842">
          <cell r="B1842" t="str">
            <v>G100</v>
          </cell>
          <cell r="D1842" t="str">
            <v>Movimentação (Paletes)</v>
          </cell>
          <cell r="E1842" t="str">
            <v>BIMBO</v>
          </cell>
          <cell r="CD1842">
            <v>38400</v>
          </cell>
        </row>
        <row r="1843">
          <cell r="B1843" t="str">
            <v>G100</v>
          </cell>
          <cell r="D1843" t="str">
            <v>Movimentação (Paletes)</v>
          </cell>
          <cell r="E1843" t="str">
            <v>JAGUAFRANGOS</v>
          </cell>
          <cell r="CD1843">
            <v>0</v>
          </cell>
        </row>
        <row r="1844">
          <cell r="B1844" t="str">
            <v>G100</v>
          </cell>
          <cell r="D1844" t="str">
            <v>Movimentação (Paletes)</v>
          </cell>
          <cell r="E1844" t="str">
            <v>BRF S.A</v>
          </cell>
          <cell r="CD1844">
            <v>0</v>
          </cell>
        </row>
        <row r="1845">
          <cell r="B1845" t="str">
            <v>G100</v>
          </cell>
          <cell r="D1845" t="str">
            <v>Movimentação (Paletes)</v>
          </cell>
          <cell r="E1845" t="str">
            <v>Cliente 6</v>
          </cell>
          <cell r="CD1845">
            <v>0</v>
          </cell>
        </row>
        <row r="1846">
          <cell r="B1846" t="str">
            <v>G100</v>
          </cell>
          <cell r="D1846" t="str">
            <v>Movimentação (Paletes)</v>
          </cell>
          <cell r="E1846" t="str">
            <v>GT FOODS</v>
          </cell>
          <cell r="CD1846">
            <v>0</v>
          </cell>
        </row>
        <row r="1847">
          <cell r="B1847" t="str">
            <v>G100</v>
          </cell>
          <cell r="D1847" t="str">
            <v>Movimentação (Paletes)</v>
          </cell>
          <cell r="E1847" t="str">
            <v>OVERFLOW</v>
          </cell>
          <cell r="CD1847">
            <v>105600</v>
          </cell>
        </row>
        <row r="1848">
          <cell r="B1848" t="str">
            <v>G100</v>
          </cell>
          <cell r="D1848" t="str">
            <v>Movimentação (Paletes)</v>
          </cell>
          <cell r="E1848" t="str">
            <v>Cliente 9</v>
          </cell>
          <cell r="CD1848">
            <v>0</v>
          </cell>
        </row>
        <row r="1849">
          <cell r="B1849" t="str">
            <v>G100</v>
          </cell>
          <cell r="D1849" t="str">
            <v>Movimentação (Paletes)</v>
          </cell>
          <cell r="E1849" t="str">
            <v>Cliente 10</v>
          </cell>
          <cell r="CD1849">
            <v>0</v>
          </cell>
        </row>
        <row r="1850">
          <cell r="B1850" t="str">
            <v>G100</v>
          </cell>
          <cell r="D1850" t="str">
            <v>Movimentação (Paletes)</v>
          </cell>
          <cell r="E1850" t="str">
            <v>Cliente 11</v>
          </cell>
          <cell r="CD1850">
            <v>0</v>
          </cell>
        </row>
        <row r="1851">
          <cell r="B1851" t="str">
            <v>G100</v>
          </cell>
          <cell r="D1851" t="str">
            <v>Movimentação (Paletes)</v>
          </cell>
          <cell r="E1851" t="str">
            <v>Cliente 12</v>
          </cell>
          <cell r="CD1851">
            <v>0</v>
          </cell>
        </row>
        <row r="1852">
          <cell r="B1852" t="str">
            <v>G100</v>
          </cell>
          <cell r="D1852" t="str">
            <v>Movimentação (Paletes)</v>
          </cell>
          <cell r="E1852" t="str">
            <v>Cliente 13</v>
          </cell>
          <cell r="CD1852">
            <v>0</v>
          </cell>
        </row>
        <row r="1853">
          <cell r="B1853" t="str">
            <v>G100</v>
          </cell>
          <cell r="D1853" t="str">
            <v>Faturamento | Movimentação (BRL'000)</v>
          </cell>
          <cell r="E1853" t="str">
            <v>Subtotal</v>
          </cell>
          <cell r="CD1853">
            <v>5929.2</v>
          </cell>
        </row>
        <row r="1854">
          <cell r="B1854" t="str">
            <v>G100</v>
          </cell>
          <cell r="D1854" t="str">
            <v>Faturamento | Movimentação (BRL'000)</v>
          </cell>
          <cell r="E1854" t="str">
            <v>ATACADAO S.A</v>
          </cell>
          <cell r="CD1854">
            <v>0</v>
          </cell>
        </row>
        <row r="1855">
          <cell r="B1855" t="str">
            <v>G100</v>
          </cell>
          <cell r="D1855" t="str">
            <v>Faturamento | Movimentação (BRL'000)</v>
          </cell>
          <cell r="E1855" t="str">
            <v>BEM BRASIL ALIMENTOS S/A</v>
          </cell>
          <cell r="CD1855">
            <v>2175.6</v>
          </cell>
        </row>
        <row r="1856">
          <cell r="B1856" t="str">
            <v>G100</v>
          </cell>
          <cell r="D1856" t="str">
            <v>Faturamento | Movimentação (BRL'000)</v>
          </cell>
          <cell r="E1856" t="str">
            <v>BIMBO</v>
          </cell>
          <cell r="CD1856">
            <v>1113.5999999999999</v>
          </cell>
        </row>
        <row r="1857">
          <cell r="B1857" t="str">
            <v>G100</v>
          </cell>
          <cell r="D1857" t="str">
            <v>Faturamento | Movimentação (BRL'000)</v>
          </cell>
          <cell r="E1857" t="str">
            <v>JAGUAFRANGOS</v>
          </cell>
          <cell r="CD1857">
            <v>0</v>
          </cell>
        </row>
        <row r="1858">
          <cell r="B1858" t="str">
            <v>G100</v>
          </cell>
          <cell r="D1858" t="str">
            <v>Faturamento | Movimentação (BRL'000)</v>
          </cell>
          <cell r="E1858" t="str">
            <v>BRF S.A</v>
          </cell>
          <cell r="CD1858">
            <v>0</v>
          </cell>
        </row>
        <row r="1859">
          <cell r="B1859" t="str">
            <v>G100</v>
          </cell>
          <cell r="D1859" t="str">
            <v>Faturamento | Movimentação (BRL'000)</v>
          </cell>
          <cell r="E1859" t="str">
            <v>Cliente 6</v>
          </cell>
          <cell r="CD1859">
            <v>0</v>
          </cell>
        </row>
        <row r="1860">
          <cell r="B1860" t="str">
            <v>G100</v>
          </cell>
          <cell r="D1860" t="str">
            <v>Faturamento | Movimentação (BRL'000)</v>
          </cell>
          <cell r="E1860" t="str">
            <v>GT FOODS</v>
          </cell>
          <cell r="CD1860">
            <v>0</v>
          </cell>
        </row>
        <row r="1861">
          <cell r="B1861" t="str">
            <v>G100</v>
          </cell>
          <cell r="D1861" t="str">
            <v>Faturamento | Movimentação (BRL'000)</v>
          </cell>
          <cell r="E1861" t="str">
            <v>OVERFLOW</v>
          </cell>
          <cell r="CD1861">
            <v>2640</v>
          </cell>
        </row>
        <row r="1862">
          <cell r="B1862" t="str">
            <v>G100</v>
          </cell>
          <cell r="D1862" t="str">
            <v>Faturamento | Movimentação (BRL'000)</v>
          </cell>
          <cell r="E1862" t="str">
            <v>Cliente 9</v>
          </cell>
          <cell r="CD1862">
            <v>0</v>
          </cell>
        </row>
        <row r="1863">
          <cell r="B1863" t="str">
            <v>G100</v>
          </cell>
          <cell r="D1863" t="str">
            <v>Faturamento | Movimentação (BRL'000)</v>
          </cell>
          <cell r="E1863" t="str">
            <v>Cliente 10</v>
          </cell>
          <cell r="CD1863">
            <v>0</v>
          </cell>
        </row>
        <row r="1864">
          <cell r="B1864" t="str">
            <v>G100</v>
          </cell>
          <cell r="D1864" t="str">
            <v>Faturamento | Movimentação (BRL'000)</v>
          </cell>
          <cell r="E1864" t="str">
            <v>Cliente 11</v>
          </cell>
          <cell r="CD1864">
            <v>0</v>
          </cell>
        </row>
        <row r="1865">
          <cell r="B1865" t="str">
            <v>G100</v>
          </cell>
          <cell r="D1865" t="str">
            <v>Faturamento | Movimentação (BRL'000)</v>
          </cell>
          <cell r="E1865" t="str">
            <v>Cliente 12</v>
          </cell>
          <cell r="CD1865">
            <v>0</v>
          </cell>
        </row>
        <row r="1866">
          <cell r="B1866" t="str">
            <v>G100</v>
          </cell>
          <cell r="D1866" t="str">
            <v>Faturamento | Movimentação (BRL'000)</v>
          </cell>
          <cell r="E1866" t="str">
            <v>Cliente 13</v>
          </cell>
          <cell r="CD1866">
            <v>0</v>
          </cell>
        </row>
        <row r="1867">
          <cell r="B1867" t="str">
            <v>G100</v>
          </cell>
          <cell r="D1867" t="str">
            <v>Ticket Médio | Movimentação (BRL)</v>
          </cell>
          <cell r="E1867" t="str">
            <v>Subtotal</v>
          </cell>
          <cell r="CD1867">
            <v>29.124902569723531</v>
          </cell>
        </row>
        <row r="1868">
          <cell r="B1868" t="str">
            <v>G100</v>
          </cell>
          <cell r="D1868" t="str">
            <v>Ticket Médio | Movimentação (BRL)</v>
          </cell>
          <cell r="E1868" t="str">
            <v>ATACADAO S.A</v>
          </cell>
          <cell r="CD1868">
            <v>0</v>
          </cell>
        </row>
        <row r="1869">
          <cell r="B1869" t="str">
            <v>G100</v>
          </cell>
          <cell r="D1869" t="str">
            <v>Ticket Médio | Movimentação (BRL)</v>
          </cell>
          <cell r="E1869" t="str">
            <v>BEM BRASIL ALIMENTOS S/A</v>
          </cell>
          <cell r="CD1869">
            <v>36.75</v>
          </cell>
        </row>
        <row r="1870">
          <cell r="B1870" t="str">
            <v>G100</v>
          </cell>
          <cell r="D1870" t="str">
            <v>Ticket Médio | Movimentação (BRL)</v>
          </cell>
          <cell r="E1870" t="str">
            <v>BIMBO</v>
          </cell>
          <cell r="CD1870">
            <v>29</v>
          </cell>
        </row>
        <row r="1871">
          <cell r="B1871" t="str">
            <v>G100</v>
          </cell>
          <cell r="D1871" t="str">
            <v>Ticket Médio | Movimentação (BRL)</v>
          </cell>
          <cell r="E1871" t="str">
            <v>JAGUAFRANGOS</v>
          </cell>
          <cell r="CD1871">
            <v>0</v>
          </cell>
        </row>
        <row r="1872">
          <cell r="B1872" t="str">
            <v>G100</v>
          </cell>
          <cell r="D1872" t="str">
            <v>Ticket Médio | Movimentação (BRL)</v>
          </cell>
          <cell r="E1872" t="str">
            <v>BRF S.A</v>
          </cell>
          <cell r="CD1872">
            <v>0</v>
          </cell>
        </row>
        <row r="1873">
          <cell r="B1873" t="str">
            <v>G100</v>
          </cell>
          <cell r="D1873" t="str">
            <v>Ticket Médio | Movimentação (BRL)</v>
          </cell>
          <cell r="E1873" t="str">
            <v>Cliente 6</v>
          </cell>
          <cell r="CD1873">
            <v>0</v>
          </cell>
        </row>
        <row r="1874">
          <cell r="B1874" t="str">
            <v>G100</v>
          </cell>
          <cell r="D1874" t="str">
            <v>Ticket Médio | Movimentação (BRL)</v>
          </cell>
          <cell r="E1874" t="str">
            <v>GT FOODS</v>
          </cell>
          <cell r="CD1874">
            <v>0</v>
          </cell>
        </row>
        <row r="1875">
          <cell r="B1875" t="str">
            <v>G100</v>
          </cell>
          <cell r="D1875" t="str">
            <v>Ticket Médio | Movimentação (BRL)</v>
          </cell>
          <cell r="E1875" t="str">
            <v>OVERFLOW</v>
          </cell>
          <cell r="CD1875">
            <v>25</v>
          </cell>
        </row>
        <row r="1876">
          <cell r="B1876" t="str">
            <v>G100</v>
          </cell>
          <cell r="D1876" t="str">
            <v>Ticket Médio | Movimentação (BRL)</v>
          </cell>
          <cell r="E1876" t="str">
            <v>Cliente 9</v>
          </cell>
          <cell r="CD1876">
            <v>0</v>
          </cell>
        </row>
        <row r="1877">
          <cell r="B1877" t="str">
            <v>G100</v>
          </cell>
          <cell r="D1877" t="str">
            <v>Ticket Médio | Movimentação (BRL)</v>
          </cell>
          <cell r="E1877" t="str">
            <v>Cliente 10</v>
          </cell>
          <cell r="CD1877">
            <v>0</v>
          </cell>
        </row>
        <row r="1878">
          <cell r="B1878" t="str">
            <v>G100</v>
          </cell>
          <cell r="D1878" t="str">
            <v>Ticket Médio | Movimentação (BRL)</v>
          </cell>
          <cell r="E1878" t="str">
            <v>Cliente 11</v>
          </cell>
          <cell r="CD1878">
            <v>0</v>
          </cell>
        </row>
        <row r="1879">
          <cell r="B1879" t="str">
            <v>G100</v>
          </cell>
          <cell r="D1879" t="str">
            <v>Ticket Médio | Movimentação (BRL)</v>
          </cell>
          <cell r="E1879" t="str">
            <v>Cliente 12</v>
          </cell>
          <cell r="CD1879">
            <v>0</v>
          </cell>
        </row>
        <row r="1880">
          <cell r="B1880" t="str">
            <v>G100</v>
          </cell>
          <cell r="D1880" t="str">
            <v>Ticket Médio | Movimentação (BRL)</v>
          </cell>
          <cell r="E1880" t="str">
            <v>Cliente 13</v>
          </cell>
          <cell r="CD1880">
            <v>0</v>
          </cell>
        </row>
        <row r="1881">
          <cell r="B1881" t="str">
            <v>G100</v>
          </cell>
          <cell r="D1881" t="str">
            <v>Plugagem</v>
          </cell>
          <cell r="E1881" t="str">
            <v>Subtotal</v>
          </cell>
          <cell r="CD1881">
            <v>0</v>
          </cell>
        </row>
        <row r="1882">
          <cell r="B1882" t="str">
            <v>G100</v>
          </cell>
          <cell r="D1882" t="str">
            <v>Plugagem</v>
          </cell>
          <cell r="E1882" t="str">
            <v>ATACADAO S.A</v>
          </cell>
          <cell r="CD1882">
            <v>0</v>
          </cell>
        </row>
        <row r="1883">
          <cell r="B1883" t="str">
            <v>G100</v>
          </cell>
          <cell r="D1883" t="str">
            <v>Plugagem</v>
          </cell>
          <cell r="E1883" t="str">
            <v>BEM BRASIL ALIMENTOS S/A</v>
          </cell>
          <cell r="CD1883">
            <v>0</v>
          </cell>
        </row>
        <row r="1884">
          <cell r="B1884" t="str">
            <v>G100</v>
          </cell>
          <cell r="D1884" t="str">
            <v>Plugagem</v>
          </cell>
          <cell r="E1884" t="str">
            <v>BIMBO</v>
          </cell>
          <cell r="CD1884">
            <v>0</v>
          </cell>
        </row>
        <row r="1885">
          <cell r="B1885" t="str">
            <v>G100</v>
          </cell>
          <cell r="D1885" t="str">
            <v>Plugagem</v>
          </cell>
          <cell r="E1885" t="str">
            <v>JAGUAFRANGOS</v>
          </cell>
          <cell r="CD1885">
            <v>0</v>
          </cell>
        </row>
        <row r="1886">
          <cell r="B1886" t="str">
            <v>G100</v>
          </cell>
          <cell r="D1886" t="str">
            <v>Plugagem</v>
          </cell>
          <cell r="E1886" t="str">
            <v>BRF S.A</v>
          </cell>
          <cell r="CD1886">
            <v>0</v>
          </cell>
        </row>
        <row r="1887">
          <cell r="B1887" t="str">
            <v>G100</v>
          </cell>
          <cell r="D1887" t="str">
            <v>Plugagem</v>
          </cell>
          <cell r="E1887" t="str">
            <v>Cliente 6</v>
          </cell>
          <cell r="CD1887">
            <v>0</v>
          </cell>
        </row>
        <row r="1888">
          <cell r="B1888" t="str">
            <v>G100</v>
          </cell>
          <cell r="D1888" t="str">
            <v>Plugagem</v>
          </cell>
          <cell r="E1888" t="str">
            <v>GT FOODS</v>
          </cell>
          <cell r="CD1888">
            <v>0</v>
          </cell>
        </row>
        <row r="1889">
          <cell r="B1889" t="str">
            <v>G100</v>
          </cell>
          <cell r="D1889" t="str">
            <v>Plugagem</v>
          </cell>
          <cell r="E1889" t="str">
            <v>OVERFLOW</v>
          </cell>
          <cell r="CD1889">
            <v>0</v>
          </cell>
        </row>
        <row r="1890">
          <cell r="B1890" t="str">
            <v>G100</v>
          </cell>
          <cell r="D1890" t="str">
            <v>Plugagem</v>
          </cell>
          <cell r="E1890" t="str">
            <v>Cliente 9</v>
          </cell>
          <cell r="CD1890">
            <v>0</v>
          </cell>
        </row>
        <row r="1891">
          <cell r="B1891" t="str">
            <v>G100</v>
          </cell>
          <cell r="D1891" t="str">
            <v>Plugagem</v>
          </cell>
          <cell r="E1891" t="str">
            <v>Cliente 10</v>
          </cell>
          <cell r="CD1891">
            <v>0</v>
          </cell>
        </row>
        <row r="1892">
          <cell r="B1892" t="str">
            <v>G100</v>
          </cell>
          <cell r="D1892" t="str">
            <v>Plugagem</v>
          </cell>
          <cell r="E1892" t="str">
            <v>Cliente 11</v>
          </cell>
          <cell r="CD1892">
            <v>0</v>
          </cell>
        </row>
        <row r="1893">
          <cell r="B1893" t="str">
            <v>G100</v>
          </cell>
          <cell r="D1893" t="str">
            <v>Plugagem</v>
          </cell>
          <cell r="E1893" t="str">
            <v>Cliente 12</v>
          </cell>
          <cell r="CD1893">
            <v>0</v>
          </cell>
        </row>
        <row r="1894">
          <cell r="B1894" t="str">
            <v>G100</v>
          </cell>
          <cell r="D1894" t="str">
            <v>Plugagem</v>
          </cell>
          <cell r="E1894" t="str">
            <v>Cliente 13</v>
          </cell>
          <cell r="CD1894">
            <v>0</v>
          </cell>
        </row>
        <row r="1895">
          <cell r="B1895" t="str">
            <v>G100</v>
          </cell>
          <cell r="D1895" t="str">
            <v>Faturamento | Plugagem (BRL'000)</v>
          </cell>
          <cell r="E1895" t="str">
            <v>Subtotal</v>
          </cell>
          <cell r="CD1895">
            <v>0</v>
          </cell>
        </row>
        <row r="1896">
          <cell r="B1896" t="str">
            <v>G100</v>
          </cell>
          <cell r="D1896" t="str">
            <v>Faturamento | Plugagem (BRL'000)</v>
          </cell>
          <cell r="E1896" t="str">
            <v>ATACADAO S.A</v>
          </cell>
          <cell r="CD1896">
            <v>0</v>
          </cell>
        </row>
        <row r="1897">
          <cell r="B1897" t="str">
            <v>G100</v>
          </cell>
          <cell r="D1897" t="str">
            <v>Faturamento | Plugagem (BRL'000)</v>
          </cell>
          <cell r="E1897" t="str">
            <v>BEM BRASIL ALIMENTOS S/A</v>
          </cell>
          <cell r="CD1897">
            <v>0</v>
          </cell>
        </row>
        <row r="1898">
          <cell r="B1898" t="str">
            <v>G100</v>
          </cell>
          <cell r="D1898" t="str">
            <v>Faturamento | Plugagem (BRL'000)</v>
          </cell>
          <cell r="E1898" t="str">
            <v>BIMBO</v>
          </cell>
          <cell r="CD1898">
            <v>0</v>
          </cell>
        </row>
        <row r="1899">
          <cell r="B1899" t="str">
            <v>G100</v>
          </cell>
          <cell r="D1899" t="str">
            <v>Faturamento | Plugagem (BRL'000)</v>
          </cell>
          <cell r="E1899" t="str">
            <v>JAGUAFRANGOS</v>
          </cell>
          <cell r="CD1899">
            <v>0</v>
          </cell>
        </row>
        <row r="1900">
          <cell r="B1900" t="str">
            <v>G100</v>
          </cell>
          <cell r="D1900" t="str">
            <v>Faturamento | Plugagem (BRL'000)</v>
          </cell>
          <cell r="E1900" t="str">
            <v>BRF S.A</v>
          </cell>
          <cell r="CD1900">
            <v>0</v>
          </cell>
        </row>
        <row r="1901">
          <cell r="B1901" t="str">
            <v>G100</v>
          </cell>
          <cell r="D1901" t="str">
            <v>Faturamento | Plugagem (BRL'000)</v>
          </cell>
          <cell r="E1901" t="str">
            <v>Cliente 6</v>
          </cell>
          <cell r="CD1901">
            <v>0</v>
          </cell>
        </row>
        <row r="1902">
          <cell r="B1902" t="str">
            <v>G100</v>
          </cell>
          <cell r="D1902" t="str">
            <v>Faturamento | Plugagem (BRL'000)</v>
          </cell>
          <cell r="E1902" t="str">
            <v>GT FOODS</v>
          </cell>
          <cell r="CD1902">
            <v>0</v>
          </cell>
        </row>
        <row r="1903">
          <cell r="B1903" t="str">
            <v>G100</v>
          </cell>
          <cell r="D1903" t="str">
            <v>Faturamento | Plugagem (BRL'000)</v>
          </cell>
          <cell r="E1903" t="str">
            <v>OVERFLOW</v>
          </cell>
          <cell r="CD1903">
            <v>0</v>
          </cell>
        </row>
        <row r="1904">
          <cell r="B1904" t="str">
            <v>G100</v>
          </cell>
          <cell r="D1904" t="str">
            <v>Faturamento | Plugagem (BRL'000)</v>
          </cell>
          <cell r="E1904" t="str">
            <v>Cliente 9</v>
          </cell>
          <cell r="CD1904">
            <v>0</v>
          </cell>
        </row>
        <row r="1905">
          <cell r="B1905" t="str">
            <v>G100</v>
          </cell>
          <cell r="D1905" t="str">
            <v>Faturamento | Plugagem (BRL'000)</v>
          </cell>
          <cell r="E1905" t="str">
            <v>Cliente 10</v>
          </cell>
          <cell r="CD1905">
            <v>0</v>
          </cell>
        </row>
        <row r="1906">
          <cell r="B1906" t="str">
            <v>G100</v>
          </cell>
          <cell r="D1906" t="str">
            <v>Faturamento | Plugagem (BRL'000)</v>
          </cell>
          <cell r="E1906" t="str">
            <v>Cliente 11</v>
          </cell>
          <cell r="CD1906">
            <v>0</v>
          </cell>
        </row>
        <row r="1907">
          <cell r="B1907" t="str">
            <v>G100</v>
          </cell>
          <cell r="D1907" t="str">
            <v>Faturamento | Plugagem (BRL'000)</v>
          </cell>
          <cell r="E1907" t="str">
            <v>Cliente 12</v>
          </cell>
          <cell r="CD1907">
            <v>0</v>
          </cell>
        </row>
        <row r="1908">
          <cell r="B1908" t="str">
            <v>G100</v>
          </cell>
          <cell r="D1908" t="str">
            <v>Faturamento | Plugagem (BRL'000)</v>
          </cell>
          <cell r="E1908" t="str">
            <v>Cliente 13</v>
          </cell>
          <cell r="CD1908">
            <v>0</v>
          </cell>
        </row>
        <row r="1909">
          <cell r="B1909" t="str">
            <v>G100</v>
          </cell>
          <cell r="D1909" t="str">
            <v>Ticket Médio | Plugagem (BRL)</v>
          </cell>
          <cell r="E1909" t="str">
            <v>Subtotal</v>
          </cell>
          <cell r="CD1909">
            <v>0</v>
          </cell>
        </row>
        <row r="1910">
          <cell r="B1910" t="str">
            <v>G100</v>
          </cell>
          <cell r="D1910" t="str">
            <v>Ticket Médio | Plugagem (BRL)</v>
          </cell>
          <cell r="E1910" t="str">
            <v>ATACADAO S.A</v>
          </cell>
          <cell r="CD1910">
            <v>0</v>
          </cell>
        </row>
        <row r="1911">
          <cell r="B1911" t="str">
            <v>G100</v>
          </cell>
          <cell r="D1911" t="str">
            <v>Ticket Médio | Plugagem (BRL)</v>
          </cell>
          <cell r="E1911" t="str">
            <v>BEM BRASIL ALIMENTOS S/A</v>
          </cell>
          <cell r="CD1911">
            <v>0</v>
          </cell>
        </row>
        <row r="1912">
          <cell r="B1912" t="str">
            <v>G100</v>
          </cell>
          <cell r="D1912" t="str">
            <v>Ticket Médio | Plugagem (BRL)</v>
          </cell>
          <cell r="E1912" t="str">
            <v>BIMBO</v>
          </cell>
          <cell r="CD1912">
            <v>0</v>
          </cell>
        </row>
        <row r="1913">
          <cell r="B1913" t="str">
            <v>G100</v>
          </cell>
          <cell r="D1913" t="str">
            <v>Ticket Médio | Plugagem (BRL)</v>
          </cell>
          <cell r="E1913" t="str">
            <v>JAGUAFRANGOS</v>
          </cell>
          <cell r="CD1913">
            <v>0</v>
          </cell>
        </row>
        <row r="1914">
          <cell r="B1914" t="str">
            <v>G100</v>
          </cell>
          <cell r="D1914" t="str">
            <v>Ticket Médio | Plugagem (BRL)</v>
          </cell>
          <cell r="E1914" t="str">
            <v>BRF S.A</v>
          </cell>
          <cell r="CD1914">
            <v>0</v>
          </cell>
        </row>
        <row r="1915">
          <cell r="B1915" t="str">
            <v>G100</v>
          </cell>
          <cell r="D1915" t="str">
            <v>Ticket Médio | Plugagem (BRL)</v>
          </cell>
          <cell r="E1915" t="str">
            <v>Cliente 6</v>
          </cell>
          <cell r="CD1915">
            <v>0</v>
          </cell>
        </row>
        <row r="1916">
          <cell r="B1916" t="str">
            <v>G100</v>
          </cell>
          <cell r="D1916" t="str">
            <v>Ticket Médio | Plugagem (BRL)</v>
          </cell>
          <cell r="E1916" t="str">
            <v>GT FOODS</v>
          </cell>
          <cell r="CD1916">
            <v>0</v>
          </cell>
        </row>
        <row r="1917">
          <cell r="B1917" t="str">
            <v>G100</v>
          </cell>
          <cell r="D1917" t="str">
            <v>Ticket Médio | Plugagem (BRL)</v>
          </cell>
          <cell r="E1917" t="str">
            <v>OVERFLOW</v>
          </cell>
          <cell r="CD1917">
            <v>0</v>
          </cell>
        </row>
        <row r="1918">
          <cell r="B1918" t="str">
            <v>G100</v>
          </cell>
          <cell r="D1918" t="str">
            <v>Ticket Médio | Plugagem (BRL)</v>
          </cell>
          <cell r="E1918" t="str">
            <v>Cliente 9</v>
          </cell>
          <cell r="CD1918">
            <v>0</v>
          </cell>
        </row>
        <row r="1919">
          <cell r="B1919" t="str">
            <v>G100</v>
          </cell>
          <cell r="D1919" t="str">
            <v>Ticket Médio | Plugagem (BRL)</v>
          </cell>
          <cell r="E1919" t="str">
            <v>Cliente 10</v>
          </cell>
          <cell r="CD1919">
            <v>0</v>
          </cell>
        </row>
        <row r="1920">
          <cell r="B1920" t="str">
            <v>G100</v>
          </cell>
          <cell r="D1920" t="str">
            <v>Ticket Médio | Plugagem (BRL)</v>
          </cell>
          <cell r="E1920" t="str">
            <v>Cliente 11</v>
          </cell>
          <cell r="CD1920">
            <v>0</v>
          </cell>
        </row>
        <row r="1921">
          <cell r="B1921" t="str">
            <v>G100</v>
          </cell>
          <cell r="D1921" t="str">
            <v>Ticket Médio | Plugagem (BRL)</v>
          </cell>
          <cell r="E1921" t="str">
            <v>Cliente 12</v>
          </cell>
          <cell r="CD1921">
            <v>0</v>
          </cell>
        </row>
        <row r="1922">
          <cell r="B1922" t="str">
            <v>G100</v>
          </cell>
          <cell r="D1922" t="str">
            <v>Ticket Médio | Plugagem (BRL)</v>
          </cell>
          <cell r="E1922" t="str">
            <v>Cliente 13</v>
          </cell>
          <cell r="CD1922">
            <v>0</v>
          </cell>
        </row>
        <row r="1923">
          <cell r="B1923" t="str">
            <v>G100</v>
          </cell>
          <cell r="D1923" t="str">
            <v>Faturamento | Adicional (BRL'000)</v>
          </cell>
          <cell r="E1923" t="str">
            <v>Subtotal</v>
          </cell>
          <cell r="CD1923">
            <v>689</v>
          </cell>
        </row>
        <row r="1924">
          <cell r="B1924" t="str">
            <v>G100</v>
          </cell>
          <cell r="D1924" t="str">
            <v>Faturamento | Adicional (BRL'000)</v>
          </cell>
          <cell r="E1924" t="str">
            <v>ATACADAO S.A</v>
          </cell>
          <cell r="CD1924">
            <v>480</v>
          </cell>
        </row>
        <row r="1925">
          <cell r="B1925" t="str">
            <v>G100</v>
          </cell>
          <cell r="D1925" t="str">
            <v>Faturamento | Adicional (BRL'000)</v>
          </cell>
          <cell r="E1925" t="str">
            <v>BEM BRASIL ALIMENTOS S/A</v>
          </cell>
          <cell r="CD1925">
            <v>0</v>
          </cell>
        </row>
        <row r="1926">
          <cell r="B1926" t="str">
            <v>G100</v>
          </cell>
          <cell r="D1926" t="str">
            <v>Faturamento | Adicional (BRL'000)</v>
          </cell>
          <cell r="E1926" t="str">
            <v>BIMBO</v>
          </cell>
          <cell r="CD1926">
            <v>0</v>
          </cell>
        </row>
        <row r="1927">
          <cell r="B1927" t="str">
            <v>G100</v>
          </cell>
          <cell r="D1927" t="str">
            <v>Faturamento | Adicional (BRL'000)</v>
          </cell>
          <cell r="E1927" t="str">
            <v>JAGUAFRANGOS</v>
          </cell>
          <cell r="CD1927">
            <v>0</v>
          </cell>
        </row>
        <row r="1928">
          <cell r="B1928" t="str">
            <v>G100</v>
          </cell>
          <cell r="D1928" t="str">
            <v>Faturamento | Adicional (BRL'000)</v>
          </cell>
          <cell r="E1928" t="str">
            <v>BRF S.A</v>
          </cell>
          <cell r="CD1928">
            <v>0</v>
          </cell>
        </row>
        <row r="1929">
          <cell r="B1929" t="str">
            <v>G100</v>
          </cell>
          <cell r="D1929" t="str">
            <v>Faturamento | Adicional (BRL'000)</v>
          </cell>
          <cell r="E1929" t="str">
            <v>Cliente 6</v>
          </cell>
          <cell r="CD1929">
            <v>0</v>
          </cell>
        </row>
        <row r="1930">
          <cell r="B1930" t="str">
            <v>G100</v>
          </cell>
          <cell r="D1930" t="str">
            <v>Faturamento | Adicional (BRL'000)</v>
          </cell>
          <cell r="E1930" t="str">
            <v>GT FOODS</v>
          </cell>
          <cell r="CD1930">
            <v>0</v>
          </cell>
        </row>
        <row r="1931">
          <cell r="B1931" t="str">
            <v>G100</v>
          </cell>
          <cell r="D1931" t="str">
            <v>Faturamento | Adicional (BRL'000)</v>
          </cell>
          <cell r="E1931" t="str">
            <v>OVERFLOW</v>
          </cell>
          <cell r="CD1931">
            <v>209</v>
          </cell>
        </row>
        <row r="1932">
          <cell r="B1932" t="str">
            <v>G100</v>
          </cell>
          <cell r="D1932" t="str">
            <v>Faturamento | Adicional (BRL'000)</v>
          </cell>
          <cell r="E1932" t="str">
            <v>Cliente 9</v>
          </cell>
          <cell r="CD1932">
            <v>0</v>
          </cell>
        </row>
        <row r="1933">
          <cell r="B1933" t="str">
            <v>G100</v>
          </cell>
          <cell r="D1933" t="str">
            <v>Faturamento | Adicional (BRL'000)</v>
          </cell>
          <cell r="E1933" t="str">
            <v>Cliente 10</v>
          </cell>
          <cell r="CD1933">
            <v>0</v>
          </cell>
        </row>
        <row r="1934">
          <cell r="B1934" t="str">
            <v>G100</v>
          </cell>
          <cell r="D1934" t="str">
            <v>Faturamento | Adicional (BRL'000)</v>
          </cell>
          <cell r="E1934" t="str">
            <v>Cliente 11</v>
          </cell>
          <cell r="CD1934">
            <v>0</v>
          </cell>
        </row>
        <row r="1935">
          <cell r="B1935" t="str">
            <v>G100</v>
          </cell>
          <cell r="D1935" t="str">
            <v>Faturamento | Adicional (BRL'000)</v>
          </cell>
          <cell r="E1935" t="str">
            <v>Cliente 12</v>
          </cell>
          <cell r="CD1935">
            <v>0</v>
          </cell>
        </row>
        <row r="1936">
          <cell r="B1936" t="str">
            <v>G100</v>
          </cell>
          <cell r="D1936" t="str">
            <v>Faturamento | Adicional (BRL'000)</v>
          </cell>
          <cell r="E1936" t="str">
            <v>Cliente 13</v>
          </cell>
          <cell r="CD1936">
            <v>0</v>
          </cell>
        </row>
        <row r="1937">
          <cell r="B1937" t="str">
            <v>G100</v>
          </cell>
          <cell r="D1937" t="str">
            <v>Faturamento | Seguros (BRL'000)</v>
          </cell>
          <cell r="E1937" t="str">
            <v>Subtotal</v>
          </cell>
          <cell r="CD1937">
            <v>0</v>
          </cell>
        </row>
        <row r="1938">
          <cell r="B1938" t="str">
            <v>G100</v>
          </cell>
          <cell r="D1938" t="str">
            <v>Faturamento | Seguros (BRL'000)</v>
          </cell>
          <cell r="E1938" t="str">
            <v>ATACADAO S.A</v>
          </cell>
          <cell r="CD1938">
            <v>0</v>
          </cell>
        </row>
        <row r="1939">
          <cell r="B1939" t="str">
            <v>G100</v>
          </cell>
          <cell r="D1939" t="str">
            <v>Faturamento | Seguros (BRL'000)</v>
          </cell>
          <cell r="E1939" t="str">
            <v>BEM BRASIL ALIMENTOS S/A</v>
          </cell>
          <cell r="CD1939">
            <v>0</v>
          </cell>
        </row>
        <row r="1940">
          <cell r="B1940" t="str">
            <v>G100</v>
          </cell>
          <cell r="D1940" t="str">
            <v>Faturamento | Seguros (BRL'000)</v>
          </cell>
          <cell r="E1940" t="str">
            <v>BIMBO</v>
          </cell>
          <cell r="CD1940">
            <v>0</v>
          </cell>
        </row>
        <row r="1941">
          <cell r="B1941" t="str">
            <v>G100</v>
          </cell>
          <cell r="D1941" t="str">
            <v>Faturamento | Seguros (BRL'000)</v>
          </cell>
          <cell r="E1941" t="str">
            <v>JAGUAFRANGOS</v>
          </cell>
          <cell r="CD1941">
            <v>0</v>
          </cell>
        </row>
        <row r="1942">
          <cell r="B1942" t="str">
            <v>G100</v>
          </cell>
          <cell r="D1942" t="str">
            <v>Faturamento | Seguros (BRL'000)</v>
          </cell>
          <cell r="E1942" t="str">
            <v>BRF S.A</v>
          </cell>
          <cell r="CD1942">
            <v>0</v>
          </cell>
        </row>
        <row r="1943">
          <cell r="B1943" t="str">
            <v>G100</v>
          </cell>
          <cell r="D1943" t="str">
            <v>Faturamento | Seguros (BRL'000)</v>
          </cell>
          <cell r="E1943" t="str">
            <v>Cliente 6</v>
          </cell>
          <cell r="CD1943">
            <v>0</v>
          </cell>
        </row>
        <row r="1944">
          <cell r="B1944" t="str">
            <v>G100</v>
          </cell>
          <cell r="D1944" t="str">
            <v>Faturamento | Seguros (BRL'000)</v>
          </cell>
          <cell r="E1944" t="str">
            <v>GT FOODS</v>
          </cell>
          <cell r="CD1944">
            <v>0</v>
          </cell>
        </row>
        <row r="1945">
          <cell r="B1945" t="str">
            <v>G100</v>
          </cell>
          <cell r="D1945" t="str">
            <v>Faturamento | Seguros (BRL'000)</v>
          </cell>
          <cell r="E1945" t="str">
            <v>OVERFLOW</v>
          </cell>
          <cell r="CD1945">
            <v>0</v>
          </cell>
        </row>
        <row r="1946">
          <cell r="B1946" t="str">
            <v>G100</v>
          </cell>
          <cell r="D1946" t="str">
            <v>Faturamento | Seguros (BRL'000)</v>
          </cell>
          <cell r="E1946" t="str">
            <v>Cliente 9</v>
          </cell>
          <cell r="CD1946">
            <v>0</v>
          </cell>
        </row>
        <row r="1947">
          <cell r="B1947" t="str">
            <v>G100</v>
          </cell>
          <cell r="D1947" t="str">
            <v>Faturamento | Seguros (BRL'000)</v>
          </cell>
          <cell r="E1947" t="str">
            <v>Cliente 10</v>
          </cell>
          <cell r="CD1947">
            <v>0</v>
          </cell>
        </row>
        <row r="1948">
          <cell r="B1948" t="str">
            <v>G100</v>
          </cell>
          <cell r="D1948" t="str">
            <v>Faturamento | Seguros (BRL'000)</v>
          </cell>
          <cell r="E1948" t="str">
            <v>Cliente 11</v>
          </cell>
          <cell r="CD1948">
            <v>0</v>
          </cell>
        </row>
        <row r="1949">
          <cell r="B1949" t="str">
            <v>G100</v>
          </cell>
          <cell r="D1949" t="str">
            <v>Faturamento | Seguros (BRL'000)</v>
          </cell>
          <cell r="E1949" t="str">
            <v>Cliente 12</v>
          </cell>
          <cell r="CD1949">
            <v>0</v>
          </cell>
        </row>
        <row r="1950">
          <cell r="B1950" t="str">
            <v>G100</v>
          </cell>
          <cell r="D1950" t="str">
            <v>Faturamento | Seguros (BRL'000)</v>
          </cell>
          <cell r="E1950" t="str">
            <v>Cliente 13</v>
          </cell>
          <cell r="CD1950">
            <v>0</v>
          </cell>
        </row>
        <row r="1951">
          <cell r="B1951" t="str">
            <v>G100</v>
          </cell>
          <cell r="D1951" t="str">
            <v>Faturamento | Locação (BRL'000)</v>
          </cell>
          <cell r="E1951" t="str">
            <v>Subtotal</v>
          </cell>
          <cell r="CD1951">
            <v>23160.2592</v>
          </cell>
        </row>
        <row r="1952">
          <cell r="B1952" t="str">
            <v>G100</v>
          </cell>
          <cell r="D1952" t="str">
            <v>Faturamento | Locação (BRL'000)</v>
          </cell>
          <cell r="E1952" t="str">
            <v>ATACADAO S.A</v>
          </cell>
          <cell r="CD1952">
            <v>23160.2592</v>
          </cell>
        </row>
        <row r="1953">
          <cell r="B1953" t="str">
            <v>G100</v>
          </cell>
          <cell r="D1953" t="str">
            <v>Faturamento | Locação (BRL'000)</v>
          </cell>
          <cell r="E1953" t="str">
            <v>BEM BRASIL ALIMENTOS S/A</v>
          </cell>
          <cell r="CD1953">
            <v>0</v>
          </cell>
        </row>
        <row r="1954">
          <cell r="B1954" t="str">
            <v>G100</v>
          </cell>
          <cell r="D1954" t="str">
            <v>Faturamento | Locação (BRL'000)</v>
          </cell>
          <cell r="E1954" t="str">
            <v>BIMBO</v>
          </cell>
          <cell r="CD1954">
            <v>0</v>
          </cell>
        </row>
        <row r="1955">
          <cell r="B1955" t="str">
            <v>G100</v>
          </cell>
          <cell r="D1955" t="str">
            <v>Faturamento | Locação (BRL'000)</v>
          </cell>
          <cell r="E1955" t="str">
            <v>JAGUAFRANGOS</v>
          </cell>
          <cell r="CD1955">
            <v>0</v>
          </cell>
        </row>
        <row r="1956">
          <cell r="B1956" t="str">
            <v>G100</v>
          </cell>
          <cell r="D1956" t="str">
            <v>Faturamento | Locação (BRL'000)</v>
          </cell>
          <cell r="E1956" t="str">
            <v>BRF S.A</v>
          </cell>
          <cell r="CD1956">
            <v>0</v>
          </cell>
        </row>
        <row r="1957">
          <cell r="B1957" t="str">
            <v>G100</v>
          </cell>
          <cell r="D1957" t="str">
            <v>Faturamento | Locação (BRL'000)</v>
          </cell>
          <cell r="E1957" t="str">
            <v>Cliente 6</v>
          </cell>
          <cell r="CD1957">
            <v>0</v>
          </cell>
        </row>
        <row r="1958">
          <cell r="B1958" t="str">
            <v>G100</v>
          </cell>
          <cell r="D1958" t="str">
            <v>Faturamento | Locação (BRL'000)</v>
          </cell>
          <cell r="E1958" t="str">
            <v>GT FOODS</v>
          </cell>
          <cell r="CD1958">
            <v>0</v>
          </cell>
        </row>
        <row r="1959">
          <cell r="B1959" t="str">
            <v>G100</v>
          </cell>
          <cell r="D1959" t="str">
            <v>Faturamento | Locação (BRL'000)</v>
          </cell>
          <cell r="E1959" t="str">
            <v>OVERFLOW</v>
          </cell>
          <cell r="CD1959">
            <v>0</v>
          </cell>
        </row>
        <row r="1960">
          <cell r="B1960" t="str">
            <v>G100</v>
          </cell>
          <cell r="D1960" t="str">
            <v>Faturamento | Locação (BRL'000)</v>
          </cell>
          <cell r="E1960" t="str">
            <v>Cliente 9</v>
          </cell>
          <cell r="CD1960">
            <v>0</v>
          </cell>
        </row>
        <row r="1961">
          <cell r="B1961" t="str">
            <v>G100</v>
          </cell>
          <cell r="D1961" t="str">
            <v>Faturamento | Locação (BRL'000)</v>
          </cell>
          <cell r="E1961" t="str">
            <v>Cliente 10</v>
          </cell>
          <cell r="CD1961">
            <v>0</v>
          </cell>
        </row>
        <row r="1962">
          <cell r="B1962" t="str">
            <v>G100</v>
          </cell>
          <cell r="D1962" t="str">
            <v>Faturamento | Locação (BRL'000)</v>
          </cell>
          <cell r="E1962" t="str">
            <v>Cliente 11</v>
          </cell>
          <cell r="CD1962">
            <v>0</v>
          </cell>
        </row>
        <row r="1963">
          <cell r="B1963" t="str">
            <v>G100</v>
          </cell>
          <cell r="D1963" t="str">
            <v>Faturamento | Locação (BRL'000)</v>
          </cell>
          <cell r="E1963" t="str">
            <v>Cliente 12</v>
          </cell>
          <cell r="CD1963">
            <v>0</v>
          </cell>
        </row>
        <row r="1964">
          <cell r="B1964" t="str">
            <v>G100</v>
          </cell>
          <cell r="D1964" t="str">
            <v>Faturamento | Locação (BRL'000)</v>
          </cell>
          <cell r="E1964" t="str">
            <v>Cliente 13</v>
          </cell>
          <cell r="CD1964">
            <v>0</v>
          </cell>
        </row>
        <row r="1965">
          <cell r="B1965" t="str">
            <v>G100 - MB</v>
          </cell>
          <cell r="D1965" t="str">
            <v>Faturamento | Locação (BRL'000)</v>
          </cell>
          <cell r="E1965" t="str">
            <v>Gross Revenue</v>
          </cell>
          <cell r="CD1965">
            <v>21803.038079999998</v>
          </cell>
        </row>
        <row r="1966">
          <cell r="B1966" t="str">
            <v>G100 - MB</v>
          </cell>
          <cell r="D1966" t="str">
            <v>Faturamento | Locações (BRL'000)</v>
          </cell>
          <cell r="E1966" t="str">
            <v>MARTIN BROWER</v>
          </cell>
          <cell r="CD1966">
            <v>21803.038079999998</v>
          </cell>
        </row>
        <row r="1967">
          <cell r="B1967" t="str">
            <v>G100 - MB</v>
          </cell>
          <cell r="D1967" t="str">
            <v>Faturamento | Locações (BRL'000)</v>
          </cell>
          <cell r="E1967" t="str">
            <v>Cliente 2</v>
          </cell>
          <cell r="CD1967">
            <v>0</v>
          </cell>
        </row>
        <row r="1968">
          <cell r="B1968" t="str">
            <v>G100 - MB</v>
          </cell>
          <cell r="D1968" t="str">
            <v>Faturamento | Locações (BRL'000)</v>
          </cell>
          <cell r="E1968" t="str">
            <v>Cliente 3</v>
          </cell>
          <cell r="CD1968">
            <v>0</v>
          </cell>
        </row>
        <row r="1969">
          <cell r="B1969" t="str">
            <v>G100 - MB</v>
          </cell>
          <cell r="D1969" t="str">
            <v>Faturamento | Locações (BRL'000)</v>
          </cell>
          <cell r="E1969" t="str">
            <v>Cliente 4</v>
          </cell>
          <cell r="CD1969">
            <v>0</v>
          </cell>
        </row>
        <row r="1970">
          <cell r="B1970" t="str">
            <v>G100 - MB</v>
          </cell>
          <cell r="D1970" t="str">
            <v>Faturamento | Locações (BRL'000)</v>
          </cell>
          <cell r="E1970" t="str">
            <v>Cliente 5</v>
          </cell>
          <cell r="CD1970">
            <v>0</v>
          </cell>
        </row>
        <row r="1971">
          <cell r="B1971" t="str">
            <v>G100 - MB</v>
          </cell>
          <cell r="D1971" t="str">
            <v>Faturamento | Locações (BRL'000)</v>
          </cell>
          <cell r="E1971" t="str">
            <v>Cliente 6</v>
          </cell>
          <cell r="CD1971">
            <v>0</v>
          </cell>
        </row>
        <row r="1972">
          <cell r="B1972" t="str">
            <v>G100 - MB</v>
          </cell>
          <cell r="D1972" t="str">
            <v>Faturamento | Locações (BRL'000)</v>
          </cell>
          <cell r="E1972" t="str">
            <v>Cliente 7</v>
          </cell>
          <cell r="CD1972">
            <v>0</v>
          </cell>
        </row>
        <row r="1973">
          <cell r="B1973" t="str">
            <v>G100 - MB</v>
          </cell>
          <cell r="D1973" t="str">
            <v>Faturamento | Locações (BRL'000)</v>
          </cell>
          <cell r="E1973" t="str">
            <v>Cliente 8</v>
          </cell>
          <cell r="CD1973">
            <v>0</v>
          </cell>
        </row>
        <row r="1974">
          <cell r="B1974" t="str">
            <v>G100 - MB</v>
          </cell>
          <cell r="D1974" t="str">
            <v>Faturamento | Locações (BRL'000)</v>
          </cell>
          <cell r="E1974" t="str">
            <v>Cliente 9</v>
          </cell>
          <cell r="CD1974">
            <v>0</v>
          </cell>
        </row>
        <row r="1975">
          <cell r="B1975" t="str">
            <v>G100 - MB</v>
          </cell>
          <cell r="D1975" t="str">
            <v>Faturamento | Locações (BRL'000)</v>
          </cell>
          <cell r="E1975" t="str">
            <v>Cliente 10</v>
          </cell>
          <cell r="CD1975">
            <v>0</v>
          </cell>
        </row>
        <row r="1976">
          <cell r="B1976" t="str">
            <v>G100 - MB</v>
          </cell>
          <cell r="D1976" t="str">
            <v>Faturamento | Locações (BRL'000)</v>
          </cell>
          <cell r="E1976" t="str">
            <v>Cliente 11</v>
          </cell>
          <cell r="CD1976">
            <v>0</v>
          </cell>
        </row>
        <row r="1977">
          <cell r="B1977" t="str">
            <v>G100 - MB</v>
          </cell>
          <cell r="D1977" t="str">
            <v>Faturamento | Locações (BRL'000)</v>
          </cell>
          <cell r="E1977" t="str">
            <v>Cliente 12</v>
          </cell>
          <cell r="CD1977">
            <v>0</v>
          </cell>
        </row>
        <row r="1978">
          <cell r="B1978" t="str">
            <v>G100 - MB</v>
          </cell>
          <cell r="D1978" t="str">
            <v>Faturamento | Locações (BRL'000)</v>
          </cell>
          <cell r="E1978" t="str">
            <v>Cliente 13</v>
          </cell>
          <cell r="CD1978">
            <v>0</v>
          </cell>
        </row>
        <row r="1979">
          <cell r="B1979" t="str">
            <v>Velopark</v>
          </cell>
          <cell r="D1979" t="str">
            <v>Faturamento Bruto</v>
          </cell>
          <cell r="E1979" t="str">
            <v>Gross Revenue</v>
          </cell>
          <cell r="CD1979">
            <v>32604.756341138462</v>
          </cell>
        </row>
        <row r="1981">
          <cell r="B1981" t="str">
            <v>Velopark</v>
          </cell>
          <cell r="D1981" t="str">
            <v>Faturamento Bruto</v>
          </cell>
          <cell r="E1981" t="str">
            <v>SEARA LOCAÇÃO</v>
          </cell>
          <cell r="CD1981">
            <v>7085.1700885199971</v>
          </cell>
        </row>
        <row r="1982">
          <cell r="B1982" t="str">
            <v>Velopark</v>
          </cell>
          <cell r="D1982" t="str">
            <v>Faturamento Bruto</v>
          </cell>
          <cell r="E1982" t="str">
            <v>REITER LOCAÇÃO</v>
          </cell>
          <cell r="CD1982">
            <v>9807.9448006799994</v>
          </cell>
        </row>
        <row r="1983">
          <cell r="B1983" t="str">
            <v>Velopark</v>
          </cell>
          <cell r="D1983" t="str">
            <v>Faturamento Bruto</v>
          </cell>
          <cell r="E1983" t="str">
            <v>AURORA LOCAÇÃO</v>
          </cell>
          <cell r="CD1983">
            <v>2297.8265028800001</v>
          </cell>
        </row>
        <row r="1984">
          <cell r="B1984" t="str">
            <v>Velopark</v>
          </cell>
          <cell r="D1984" t="str">
            <v>Faturamento Bruto</v>
          </cell>
          <cell r="E1984" t="str">
            <v>FRIBOI</v>
          </cell>
          <cell r="CD1984">
            <v>7570.9100923076912</v>
          </cell>
        </row>
        <row r="1985">
          <cell r="B1985" t="str">
            <v>Velopark</v>
          </cell>
          <cell r="D1985" t="str">
            <v>Faturamento Bruto</v>
          </cell>
          <cell r="E1985" t="str">
            <v>SEARA CONCENTRADOR</v>
          </cell>
          <cell r="CD1985">
            <v>4492.9048567507698</v>
          </cell>
        </row>
        <row r="1986">
          <cell r="B1986" t="str">
            <v>Velopark</v>
          </cell>
          <cell r="D1986" t="str">
            <v>Faturamento Bruto</v>
          </cell>
          <cell r="E1986" t="str">
            <v>COOPERATIVA DALIA ALIMENTOS LTDA</v>
          </cell>
          <cell r="CD1986">
            <v>0</v>
          </cell>
        </row>
        <row r="1987">
          <cell r="B1987" t="str">
            <v>Velopark</v>
          </cell>
          <cell r="D1987" t="str">
            <v>Faturamento Bruto</v>
          </cell>
          <cell r="E1987" t="str">
            <v>Cliente 7</v>
          </cell>
          <cell r="CD1987">
            <v>0</v>
          </cell>
        </row>
        <row r="1988">
          <cell r="B1988" t="str">
            <v>Velopark</v>
          </cell>
          <cell r="D1988" t="str">
            <v>Faturamento Bruto</v>
          </cell>
          <cell r="E1988" t="str">
            <v>Cliente 8</v>
          </cell>
          <cell r="CD1988">
            <v>0</v>
          </cell>
        </row>
        <row r="1989">
          <cell r="B1989" t="str">
            <v>Velopark</v>
          </cell>
          <cell r="D1989" t="str">
            <v>Faturamento Bruto</v>
          </cell>
          <cell r="E1989" t="str">
            <v>Cliente 9</v>
          </cell>
          <cell r="CD1989">
            <v>0</v>
          </cell>
        </row>
        <row r="1990">
          <cell r="B1990" t="str">
            <v>Velopark</v>
          </cell>
          <cell r="D1990" t="str">
            <v>Faturamento Bruto</v>
          </cell>
          <cell r="E1990" t="str">
            <v>Cliente 10</v>
          </cell>
          <cell r="CD1990">
            <v>0</v>
          </cell>
        </row>
        <row r="1991">
          <cell r="B1991" t="str">
            <v>Velopark</v>
          </cell>
          <cell r="D1991" t="str">
            <v>Faturamento Bruto</v>
          </cell>
          <cell r="E1991" t="str">
            <v>Cliente 11</v>
          </cell>
          <cell r="CD1991">
            <v>0</v>
          </cell>
        </row>
        <row r="1992">
          <cell r="B1992" t="str">
            <v>Velopark</v>
          </cell>
          <cell r="D1992" t="str">
            <v>Faturamento Bruto</v>
          </cell>
          <cell r="E1992" t="str">
            <v>Cliente 12</v>
          </cell>
          <cell r="CD1992">
            <v>0</v>
          </cell>
        </row>
        <row r="1993">
          <cell r="B1993" t="str">
            <v>Velopark</v>
          </cell>
          <cell r="D1993" t="str">
            <v>Faturamento Bruto</v>
          </cell>
          <cell r="E1993" t="str">
            <v>Cliente 13</v>
          </cell>
          <cell r="CD1993">
            <v>1350</v>
          </cell>
        </row>
        <row r="1994">
          <cell r="B1994" t="str">
            <v>Velopark</v>
          </cell>
          <cell r="D1994" t="str">
            <v>Armazenagem (posição palet)</v>
          </cell>
          <cell r="E1994" t="str">
            <v>Subtotal</v>
          </cell>
          <cell r="CD1994">
            <v>1900</v>
          </cell>
        </row>
        <row r="1995">
          <cell r="B1995" t="str">
            <v>Velopark</v>
          </cell>
          <cell r="D1995" t="str">
            <v>Armazenagem (posição palet)</v>
          </cell>
          <cell r="E1995" t="str">
            <v>SEARA LOCAÇÃO</v>
          </cell>
        </row>
        <row r="1996">
          <cell r="B1996" t="str">
            <v>Velopark</v>
          </cell>
          <cell r="D1996" t="str">
            <v>Armazenagem (posição palet)</v>
          </cell>
          <cell r="E1996" t="str">
            <v>REITER LOCAÇÃO</v>
          </cell>
        </row>
        <row r="1997">
          <cell r="B1997" t="str">
            <v>Velopark</v>
          </cell>
          <cell r="D1997" t="str">
            <v>Armazenagem (posição palet)</v>
          </cell>
          <cell r="E1997" t="str">
            <v>AURORA LOCAÇÃO</v>
          </cell>
        </row>
        <row r="1998">
          <cell r="B1998" t="str">
            <v>Velopark</v>
          </cell>
          <cell r="D1998" t="str">
            <v>Armazenagem (posição palet)</v>
          </cell>
          <cell r="E1998" t="str">
            <v>FRIBOI</v>
          </cell>
          <cell r="CD1998">
            <v>1900</v>
          </cell>
        </row>
        <row r="1999">
          <cell r="B1999" t="str">
            <v>Velopark</v>
          </cell>
          <cell r="D1999" t="str">
            <v>Armazenagem (posição palet)</v>
          </cell>
          <cell r="E1999" t="str">
            <v>SEARA CONCENTRADOR</v>
          </cell>
        </row>
        <row r="2000">
          <cell r="B2000" t="str">
            <v>Velopark</v>
          </cell>
          <cell r="D2000" t="str">
            <v>Armazenagem (posição palet)</v>
          </cell>
          <cell r="E2000" t="str">
            <v>COOPERATIVA DALIA ALIMENTOS LTDA</v>
          </cell>
        </row>
        <row r="2001">
          <cell r="B2001" t="str">
            <v>Velopark</v>
          </cell>
          <cell r="D2001" t="str">
            <v>Armazenagem (posição palet)</v>
          </cell>
          <cell r="E2001" t="str">
            <v>Cliente 7</v>
          </cell>
        </row>
        <row r="2002">
          <cell r="B2002" t="str">
            <v>Velopark</v>
          </cell>
          <cell r="D2002" t="str">
            <v>Armazenagem (posição palet)</v>
          </cell>
          <cell r="E2002" t="str">
            <v>Cliente 8</v>
          </cell>
        </row>
        <row r="2003">
          <cell r="B2003" t="str">
            <v>Velopark</v>
          </cell>
          <cell r="D2003" t="str">
            <v>Armazenagem (posição palet)</v>
          </cell>
          <cell r="E2003" t="str">
            <v>Cliente 9</v>
          </cell>
        </row>
        <row r="2004">
          <cell r="B2004" t="str">
            <v>Velopark</v>
          </cell>
          <cell r="D2004" t="str">
            <v>Armazenagem (posição palet)</v>
          </cell>
          <cell r="E2004" t="str">
            <v>Cliente 10</v>
          </cell>
        </row>
        <row r="2005">
          <cell r="B2005" t="str">
            <v>Velopark</v>
          </cell>
          <cell r="D2005" t="str">
            <v>Armazenagem (posição palet)</v>
          </cell>
          <cell r="E2005" t="str">
            <v>Cliente 11</v>
          </cell>
        </row>
        <row r="2006">
          <cell r="B2006" t="str">
            <v>Velopark</v>
          </cell>
          <cell r="D2006" t="str">
            <v>Armazenagem (posição palet)</v>
          </cell>
          <cell r="E2006" t="str">
            <v>Cliente 12</v>
          </cell>
        </row>
        <row r="2007">
          <cell r="B2007" t="str">
            <v>Velopark</v>
          </cell>
          <cell r="D2007" t="str">
            <v>Armazenagem (posição palet)</v>
          </cell>
          <cell r="E2007" t="str">
            <v>Cliente 13</v>
          </cell>
        </row>
        <row r="2008">
          <cell r="B2008" t="str">
            <v>Velopark</v>
          </cell>
          <cell r="D2008" t="str">
            <v>Capacidade Total PP</v>
          </cell>
          <cell r="E2008" t="str">
            <v>CAPACIDADE</v>
          </cell>
          <cell r="CD2008">
            <v>28910</v>
          </cell>
        </row>
        <row r="2009">
          <cell r="B2009" t="str">
            <v>Velopark</v>
          </cell>
          <cell r="D2009" t="str">
            <v>Armazenagem (%)</v>
          </cell>
          <cell r="E2009" t="str">
            <v>Subtotal</v>
          </cell>
          <cell r="CD2009">
            <v>6.5721203735731606E-2</v>
          </cell>
        </row>
        <row r="2010">
          <cell r="B2010" t="str">
            <v>Velopark</v>
          </cell>
          <cell r="D2010" t="str">
            <v>Armazenagem (%)</v>
          </cell>
          <cell r="E2010" t="str">
            <v>SEARA LOCAÇÃO</v>
          </cell>
          <cell r="CD2010">
            <v>0</v>
          </cell>
        </row>
        <row r="2011">
          <cell r="B2011" t="str">
            <v>Velopark</v>
          </cell>
          <cell r="D2011" t="str">
            <v>Armazenagem (%)</v>
          </cell>
          <cell r="E2011" t="str">
            <v>REITER LOCAÇÃO</v>
          </cell>
          <cell r="CD2011">
            <v>0</v>
          </cell>
        </row>
        <row r="2012">
          <cell r="B2012" t="str">
            <v>Velopark</v>
          </cell>
          <cell r="D2012" t="str">
            <v>Armazenagem (%)</v>
          </cell>
          <cell r="E2012" t="str">
            <v>AURORA LOCAÇÃO</v>
          </cell>
          <cell r="CD2012">
            <v>0</v>
          </cell>
        </row>
        <row r="2013">
          <cell r="B2013" t="str">
            <v>Velopark</v>
          </cell>
          <cell r="D2013" t="str">
            <v>Armazenagem (%)</v>
          </cell>
          <cell r="E2013" t="str">
            <v>FRIBOI</v>
          </cell>
          <cell r="CD2013">
            <v>6.5721203735731606E-2</v>
          </cell>
        </row>
        <row r="2014">
          <cell r="B2014" t="str">
            <v>Velopark</v>
          </cell>
          <cell r="D2014" t="str">
            <v>Armazenagem (%)</v>
          </cell>
          <cell r="E2014" t="str">
            <v>SEARA CONCENTRADOR</v>
          </cell>
          <cell r="CD2014">
            <v>0</v>
          </cell>
        </row>
        <row r="2015">
          <cell r="B2015" t="str">
            <v>Velopark</v>
          </cell>
          <cell r="D2015" t="str">
            <v>Armazenagem (%)</v>
          </cell>
          <cell r="E2015" t="str">
            <v>COOPERATIVA DALIA ALIMENTOS LTDA</v>
          </cell>
          <cell r="CD2015">
            <v>0</v>
          </cell>
        </row>
        <row r="2016">
          <cell r="B2016" t="str">
            <v>Velopark</v>
          </cell>
          <cell r="D2016" t="str">
            <v>Armazenagem (%)</v>
          </cell>
          <cell r="E2016" t="str">
            <v>Cliente 7</v>
          </cell>
          <cell r="CD2016">
            <v>0</v>
          </cell>
        </row>
        <row r="2017">
          <cell r="B2017" t="str">
            <v>Velopark</v>
          </cell>
          <cell r="D2017" t="str">
            <v>Armazenagem (%)</v>
          </cell>
          <cell r="E2017" t="str">
            <v>Cliente 8</v>
          </cell>
          <cell r="CD2017">
            <v>0</v>
          </cell>
        </row>
        <row r="2018">
          <cell r="B2018" t="str">
            <v>Velopark</v>
          </cell>
          <cell r="D2018" t="str">
            <v>Armazenagem (%)</v>
          </cell>
          <cell r="E2018" t="str">
            <v>Cliente 9</v>
          </cell>
          <cell r="CD2018">
            <v>0</v>
          </cell>
        </row>
        <row r="2019">
          <cell r="B2019" t="str">
            <v>Velopark</v>
          </cell>
          <cell r="D2019" t="str">
            <v>Armazenagem (%)</v>
          </cell>
          <cell r="E2019" t="str">
            <v>Cliente 10</v>
          </cell>
          <cell r="CD2019">
            <v>0</v>
          </cell>
        </row>
        <row r="2020">
          <cell r="B2020" t="str">
            <v>Velopark</v>
          </cell>
          <cell r="D2020" t="str">
            <v>Armazenagem (%)</v>
          </cell>
          <cell r="E2020" t="str">
            <v>Cliente 11</v>
          </cell>
          <cell r="CD2020">
            <v>0</v>
          </cell>
        </row>
        <row r="2021">
          <cell r="B2021" t="str">
            <v>Velopark</v>
          </cell>
          <cell r="D2021" t="str">
            <v>Armazenagem (%)</v>
          </cell>
          <cell r="E2021" t="str">
            <v>Cliente 12</v>
          </cell>
          <cell r="CD2021">
            <v>0</v>
          </cell>
        </row>
        <row r="2022">
          <cell r="B2022" t="str">
            <v>Velopark</v>
          </cell>
          <cell r="D2022" t="str">
            <v>Armazenagem (%)</v>
          </cell>
          <cell r="E2022" t="str">
            <v>Cliente 13</v>
          </cell>
          <cell r="CD2022">
            <v>0</v>
          </cell>
        </row>
        <row r="2023">
          <cell r="B2023" t="str">
            <v>Velopark</v>
          </cell>
          <cell r="D2023" t="str">
            <v>Faturamento | Armazenagem (BRL'000)</v>
          </cell>
          <cell r="E2023" t="str">
            <v>Subtotal</v>
          </cell>
          <cell r="CD2023">
            <v>2929.0248000000001</v>
          </cell>
        </row>
        <row r="2024">
          <cell r="B2024" t="str">
            <v>Velopark</v>
          </cell>
          <cell r="D2024" t="str">
            <v>Faturamento | Armazenagem (BRL'000)</v>
          </cell>
          <cell r="E2024" t="str">
            <v>SEARA LOCAÇÃO</v>
          </cell>
          <cell r="CD2024">
            <v>0</v>
          </cell>
        </row>
        <row r="2025">
          <cell r="B2025" t="str">
            <v>Velopark</v>
          </cell>
          <cell r="D2025" t="str">
            <v>Faturamento | Armazenagem (BRL'000)</v>
          </cell>
          <cell r="E2025" t="str">
            <v>REITER LOCAÇÃO</v>
          </cell>
          <cell r="CD2025">
            <v>0</v>
          </cell>
        </row>
        <row r="2026">
          <cell r="B2026" t="str">
            <v>Velopark</v>
          </cell>
          <cell r="D2026" t="str">
            <v>Faturamento | Armazenagem (BRL'000)</v>
          </cell>
          <cell r="E2026" t="str">
            <v>AURORA LOCAÇÃO</v>
          </cell>
          <cell r="CD2026">
            <v>0</v>
          </cell>
        </row>
        <row r="2027">
          <cell r="B2027" t="str">
            <v>Velopark</v>
          </cell>
          <cell r="D2027" t="str">
            <v>Faturamento | Armazenagem (BRL'000)</v>
          </cell>
          <cell r="E2027" t="str">
            <v>FRIBOI</v>
          </cell>
          <cell r="CD2027">
            <v>2929.0248000000001</v>
          </cell>
        </row>
        <row r="2028">
          <cell r="B2028" t="str">
            <v>Velopark</v>
          </cell>
          <cell r="D2028" t="str">
            <v>Faturamento | Armazenagem (BRL'000)</v>
          </cell>
          <cell r="E2028" t="str">
            <v>SEARA CONCENTRADOR</v>
          </cell>
          <cell r="CD2028">
            <v>0</v>
          </cell>
        </row>
        <row r="2029">
          <cell r="B2029" t="str">
            <v>Velopark</v>
          </cell>
          <cell r="D2029" t="str">
            <v>Faturamento | Armazenagem (BRL'000)</v>
          </cell>
          <cell r="E2029" t="str">
            <v>COOPERATIVA DALIA ALIMENTOS LTDA</v>
          </cell>
          <cell r="CD2029">
            <v>0</v>
          </cell>
        </row>
        <row r="2030">
          <cell r="B2030" t="str">
            <v>Velopark</v>
          </cell>
          <cell r="D2030" t="str">
            <v>Faturamento | Armazenagem (BRL'000)</v>
          </cell>
          <cell r="E2030" t="str">
            <v>Cliente 7</v>
          </cell>
          <cell r="CD2030">
            <v>0</v>
          </cell>
        </row>
        <row r="2031">
          <cell r="B2031" t="str">
            <v>Velopark</v>
          </cell>
          <cell r="D2031" t="str">
            <v>Faturamento | Armazenagem (BRL'000)</v>
          </cell>
          <cell r="E2031" t="str">
            <v>Cliente 8</v>
          </cell>
          <cell r="CD2031">
            <v>0</v>
          </cell>
        </row>
        <row r="2032">
          <cell r="B2032" t="str">
            <v>Velopark</v>
          </cell>
          <cell r="D2032" t="str">
            <v>Faturamento | Armazenagem (BRL'000)</v>
          </cell>
          <cell r="E2032" t="str">
            <v>Cliente 9</v>
          </cell>
          <cell r="CD2032">
            <v>0</v>
          </cell>
        </row>
        <row r="2033">
          <cell r="B2033" t="str">
            <v>Velopark</v>
          </cell>
          <cell r="D2033" t="str">
            <v>Faturamento | Armazenagem (BRL'000)</v>
          </cell>
          <cell r="E2033" t="str">
            <v>Cliente 10</v>
          </cell>
          <cell r="CD2033">
            <v>0</v>
          </cell>
        </row>
        <row r="2034">
          <cell r="B2034" t="str">
            <v>Velopark</v>
          </cell>
          <cell r="D2034" t="str">
            <v>Faturamento | Armazenagem (BRL'000)</v>
          </cell>
          <cell r="E2034" t="str">
            <v>Cliente 11</v>
          </cell>
          <cell r="CD2034">
            <v>0</v>
          </cell>
        </row>
        <row r="2035">
          <cell r="B2035" t="str">
            <v>Velopark</v>
          </cell>
          <cell r="D2035" t="str">
            <v>Faturamento | Armazenagem (BRL'000)</v>
          </cell>
          <cell r="E2035" t="str">
            <v>Cliente 12</v>
          </cell>
          <cell r="CD2035">
            <v>0</v>
          </cell>
        </row>
        <row r="2036">
          <cell r="B2036" t="str">
            <v>Velopark</v>
          </cell>
          <cell r="D2036" t="str">
            <v>Faturamento | Armazenagem (BRL'000)</v>
          </cell>
          <cell r="E2036" t="str">
            <v>Cliente 13</v>
          </cell>
          <cell r="CD2036">
            <v>0</v>
          </cell>
        </row>
        <row r="2037">
          <cell r="B2037" t="str">
            <v>Velopark</v>
          </cell>
          <cell r="D2037" t="str">
            <v>Ticket Médio | Armazenagem (BRL)</v>
          </cell>
          <cell r="E2037" t="str">
            <v>Subtotal</v>
          </cell>
          <cell r="CD2037">
            <v>128.46600000000001</v>
          </cell>
        </row>
        <row r="2038">
          <cell r="B2038" t="str">
            <v>Velopark</v>
          </cell>
          <cell r="D2038" t="str">
            <v>Ticket Médio | Armazenagem (BRL)</v>
          </cell>
          <cell r="E2038" t="str">
            <v>SEARA LOCAÇÃO</v>
          </cell>
          <cell r="CD2038">
            <v>0</v>
          </cell>
        </row>
        <row r="2039">
          <cell r="B2039" t="str">
            <v>Velopark</v>
          </cell>
          <cell r="D2039" t="str">
            <v>Ticket Médio | Armazenagem (BRL)</v>
          </cell>
          <cell r="E2039" t="str">
            <v>REITER LOCAÇÃO</v>
          </cell>
          <cell r="CD2039">
            <v>0</v>
          </cell>
        </row>
        <row r="2040">
          <cell r="B2040" t="str">
            <v>Velopark</v>
          </cell>
          <cell r="D2040" t="str">
            <v>Ticket Médio | Armazenagem (BRL)</v>
          </cell>
          <cell r="E2040" t="str">
            <v>AURORA LOCAÇÃO</v>
          </cell>
          <cell r="CD2040">
            <v>0</v>
          </cell>
        </row>
        <row r="2041">
          <cell r="B2041" t="str">
            <v>Velopark</v>
          </cell>
          <cell r="D2041" t="str">
            <v>Ticket Médio | Armazenagem (BRL)</v>
          </cell>
          <cell r="E2041" t="str">
            <v>FRIBOI</v>
          </cell>
          <cell r="CD2041">
            <v>128.46600000000001</v>
          </cell>
        </row>
        <row r="2042">
          <cell r="B2042" t="str">
            <v>Velopark</v>
          </cell>
          <cell r="D2042" t="str">
            <v>Ticket Médio | Armazenagem (BRL)</v>
          </cell>
          <cell r="E2042" t="str">
            <v>SEARA CONCENTRADOR</v>
          </cell>
          <cell r="CD2042">
            <v>0</v>
          </cell>
        </row>
        <row r="2043">
          <cell r="B2043" t="str">
            <v>Velopark</v>
          </cell>
          <cell r="D2043" t="str">
            <v>Ticket Médio | Armazenagem (BRL)</v>
          </cell>
          <cell r="E2043" t="str">
            <v>COOPERATIVA DALIA ALIMENTOS LTDA</v>
          </cell>
          <cell r="CD2043">
            <v>0</v>
          </cell>
        </row>
        <row r="2044">
          <cell r="B2044" t="str">
            <v>Velopark</v>
          </cell>
          <cell r="D2044" t="str">
            <v>Ticket Médio | Armazenagem (BRL)</v>
          </cell>
          <cell r="E2044" t="str">
            <v>Cliente 7</v>
          </cell>
          <cell r="CD2044">
            <v>0</v>
          </cell>
        </row>
        <row r="2045">
          <cell r="B2045" t="str">
            <v>Velopark</v>
          </cell>
          <cell r="D2045" t="str">
            <v>Ticket Médio | Armazenagem (BRL)</v>
          </cell>
          <cell r="E2045" t="str">
            <v>Cliente 8</v>
          </cell>
          <cell r="CD2045">
            <v>0</v>
          </cell>
        </row>
        <row r="2046">
          <cell r="B2046" t="str">
            <v>Velopark</v>
          </cell>
          <cell r="D2046" t="str">
            <v>Ticket Médio | Armazenagem (BRL)</v>
          </cell>
          <cell r="E2046" t="str">
            <v>Cliente 9</v>
          </cell>
          <cell r="CD2046">
            <v>0</v>
          </cell>
        </row>
        <row r="2047">
          <cell r="B2047" t="str">
            <v>Velopark</v>
          </cell>
          <cell r="D2047" t="str">
            <v>Ticket Médio | Armazenagem (BRL)</v>
          </cell>
          <cell r="E2047" t="str">
            <v>Cliente 10</v>
          </cell>
          <cell r="CD2047">
            <v>0</v>
          </cell>
        </row>
        <row r="2048">
          <cell r="B2048" t="str">
            <v>Velopark</v>
          </cell>
          <cell r="D2048" t="str">
            <v>Ticket Médio | Armazenagem (BRL)</v>
          </cell>
          <cell r="E2048" t="str">
            <v>Cliente 11</v>
          </cell>
          <cell r="CD2048">
            <v>0</v>
          </cell>
        </row>
        <row r="2049">
          <cell r="B2049" t="str">
            <v>Velopark</v>
          </cell>
          <cell r="D2049" t="str">
            <v>Ticket Médio | Armazenagem (BRL)</v>
          </cell>
          <cell r="E2049" t="str">
            <v>Cliente 12</v>
          </cell>
          <cell r="CD2049">
            <v>0</v>
          </cell>
        </row>
        <row r="2050">
          <cell r="B2050" t="str">
            <v>Velopark</v>
          </cell>
          <cell r="D2050" t="str">
            <v>Ticket Médio | Armazenagem (BRL)</v>
          </cell>
          <cell r="E2050" t="str">
            <v>Cliente 13</v>
          </cell>
          <cell r="CD2050">
            <v>0</v>
          </cell>
        </row>
        <row r="2051">
          <cell r="B2051" t="str">
            <v>Velopark</v>
          </cell>
          <cell r="D2051" t="str">
            <v>Movimentação (Toneladas)</v>
          </cell>
          <cell r="E2051" t="str">
            <v>Subtotal</v>
          </cell>
          <cell r="CD2051">
            <v>32064</v>
          </cell>
        </row>
        <row r="2052">
          <cell r="B2052" t="str">
            <v>Velopark</v>
          </cell>
          <cell r="D2052" t="str">
            <v>Movimentação (Qde Cargas)</v>
          </cell>
          <cell r="E2052" t="str">
            <v>SEARA LOCAÇÃO</v>
          </cell>
        </row>
        <row r="2053">
          <cell r="B2053" t="str">
            <v>Velopark</v>
          </cell>
          <cell r="D2053" t="str">
            <v>Movimentação (Qde Cargas)</v>
          </cell>
          <cell r="E2053" t="str">
            <v>REITER LOCAÇÃO</v>
          </cell>
        </row>
        <row r="2054">
          <cell r="B2054" t="str">
            <v>Velopark</v>
          </cell>
          <cell r="D2054" t="str">
            <v>Movimentação (Qde Cargas)</v>
          </cell>
          <cell r="E2054" t="str">
            <v>AURORA LOCAÇÃO</v>
          </cell>
        </row>
        <row r="2055">
          <cell r="B2055" t="str">
            <v>Velopark</v>
          </cell>
          <cell r="D2055" t="str">
            <v>Movimentação (Qde Cargas)</v>
          </cell>
          <cell r="E2055" t="str">
            <v>FRIBOI</v>
          </cell>
          <cell r="CD2055">
            <v>24000</v>
          </cell>
        </row>
        <row r="2056">
          <cell r="B2056" t="str">
            <v>Velopark</v>
          </cell>
          <cell r="D2056" t="str">
            <v>Movimentação (Qde Cargas)</v>
          </cell>
          <cell r="E2056" t="str">
            <v>SEARA CONCENTRADOR</v>
          </cell>
          <cell r="CD2056">
            <v>8064</v>
          </cell>
        </row>
        <row r="2057">
          <cell r="B2057" t="str">
            <v>Velopark</v>
          </cell>
          <cell r="D2057" t="str">
            <v>Movimentação (Qde Cargas)</v>
          </cell>
          <cell r="E2057" t="str">
            <v>COOPERATIVA DALIA ALIMENTOS LTDA</v>
          </cell>
        </row>
        <row r="2058">
          <cell r="B2058" t="str">
            <v>Velopark</v>
          </cell>
          <cell r="D2058" t="str">
            <v>Movimentação (Qde Cargas)</v>
          </cell>
          <cell r="E2058" t="str">
            <v>Cliente 7</v>
          </cell>
        </row>
        <row r="2059">
          <cell r="B2059" t="str">
            <v>Velopark</v>
          </cell>
          <cell r="D2059" t="str">
            <v>Movimentação (Qde Cargas)</v>
          </cell>
          <cell r="E2059" t="str">
            <v>Cliente 8</v>
          </cell>
        </row>
        <row r="2060">
          <cell r="B2060" t="str">
            <v>Velopark</v>
          </cell>
          <cell r="D2060" t="str">
            <v>Movimentação (Qde Cargas)</v>
          </cell>
          <cell r="E2060" t="str">
            <v>Cliente 9</v>
          </cell>
        </row>
        <row r="2061">
          <cell r="B2061" t="str">
            <v>Velopark</v>
          </cell>
          <cell r="D2061" t="str">
            <v>Movimentação (Qde Cargas)</v>
          </cell>
          <cell r="E2061" t="str">
            <v>Cliente 10</v>
          </cell>
        </row>
        <row r="2062">
          <cell r="B2062" t="str">
            <v>Velopark</v>
          </cell>
          <cell r="D2062" t="str">
            <v>Movimentação (Qde Cargas)</v>
          </cell>
          <cell r="E2062" t="str">
            <v>Cliente 11</v>
          </cell>
        </row>
        <row r="2063">
          <cell r="B2063" t="str">
            <v>Velopark</v>
          </cell>
          <cell r="D2063" t="str">
            <v>Movimentação (Qde Cargas)</v>
          </cell>
          <cell r="E2063" t="str">
            <v>Cliente 12</v>
          </cell>
        </row>
        <row r="2064">
          <cell r="B2064" t="str">
            <v>Velopark</v>
          </cell>
          <cell r="D2064" t="str">
            <v>Movimentação (Qde Cargas)</v>
          </cell>
          <cell r="E2064" t="str">
            <v>Cliente 13</v>
          </cell>
        </row>
        <row r="2065">
          <cell r="B2065" t="str">
            <v>Velopark</v>
          </cell>
          <cell r="D2065" t="str">
            <v>Faturamento | Movimentação (BRL'000)</v>
          </cell>
          <cell r="E2065" t="str">
            <v>Subtotal</v>
          </cell>
          <cell r="CD2065">
            <v>7832.8085030400016</v>
          </cell>
        </row>
        <row r="2066">
          <cell r="B2066" t="str">
            <v>Velopark</v>
          </cell>
          <cell r="D2066" t="str">
            <v>Faturamento | Movimentação (BRL'000)</v>
          </cell>
          <cell r="E2066" t="str">
            <v>SEARA LOCAÇÃO</v>
          </cell>
          <cell r="CD2066">
            <v>0</v>
          </cell>
        </row>
        <row r="2067">
          <cell r="B2067" t="str">
            <v>Velopark</v>
          </cell>
          <cell r="D2067" t="str">
            <v>Faturamento | Movimentação (BRL'000)</v>
          </cell>
          <cell r="E2067" t="str">
            <v>REITER LOCAÇÃO</v>
          </cell>
          <cell r="CD2067">
            <v>0</v>
          </cell>
        </row>
        <row r="2068">
          <cell r="B2068" t="str">
            <v>Velopark</v>
          </cell>
          <cell r="D2068" t="str">
            <v>Faturamento | Movimentação (BRL'000)</v>
          </cell>
          <cell r="E2068" t="str">
            <v>AURORA LOCAÇÃO</v>
          </cell>
          <cell r="CD2068">
            <v>0</v>
          </cell>
        </row>
        <row r="2069">
          <cell r="B2069" t="str">
            <v>Velopark</v>
          </cell>
          <cell r="D2069" t="str">
            <v>Faturamento | Movimentação (BRL'000)</v>
          </cell>
          <cell r="E2069" t="str">
            <v>FRIBOI</v>
          </cell>
          <cell r="CD2069">
            <v>3841.344000000001</v>
          </cell>
        </row>
        <row r="2070">
          <cell r="B2070" t="str">
            <v>Velopark</v>
          </cell>
          <cell r="D2070" t="str">
            <v>Faturamento | Movimentação (BRL'000)</v>
          </cell>
          <cell r="E2070" t="str">
            <v>SEARA CONCENTRADOR</v>
          </cell>
          <cell r="CD2070">
            <v>3991.4645030400011</v>
          </cell>
        </row>
        <row r="2071">
          <cell r="B2071" t="str">
            <v>Velopark</v>
          </cell>
          <cell r="D2071" t="str">
            <v>Faturamento | Movimentação (BRL'000)</v>
          </cell>
          <cell r="E2071" t="str">
            <v>COOPERATIVA DALIA ALIMENTOS LTDA</v>
          </cell>
          <cell r="CD2071">
            <v>0</v>
          </cell>
        </row>
        <row r="2072">
          <cell r="B2072" t="str">
            <v>Velopark</v>
          </cell>
          <cell r="D2072" t="str">
            <v>Faturamento | Movimentação (BRL'000)</v>
          </cell>
          <cell r="E2072" t="str">
            <v>Cliente 7</v>
          </cell>
          <cell r="CD2072">
            <v>0</v>
          </cell>
        </row>
        <row r="2073">
          <cell r="B2073" t="str">
            <v>Velopark</v>
          </cell>
          <cell r="D2073" t="str">
            <v>Faturamento | Movimentação (BRL'000)</v>
          </cell>
          <cell r="E2073" t="str">
            <v>Cliente 8</v>
          </cell>
          <cell r="CD2073">
            <v>0</v>
          </cell>
        </row>
        <row r="2074">
          <cell r="B2074" t="str">
            <v>Velopark</v>
          </cell>
          <cell r="D2074" t="str">
            <v>Faturamento | Movimentação (BRL'000)</v>
          </cell>
          <cell r="E2074" t="str">
            <v>Cliente 9</v>
          </cell>
          <cell r="CD2074">
            <v>0</v>
          </cell>
        </row>
        <row r="2075">
          <cell r="B2075" t="str">
            <v>Velopark</v>
          </cell>
          <cell r="D2075" t="str">
            <v>Faturamento | Movimentação (BRL'000)</v>
          </cell>
          <cell r="E2075" t="str">
            <v>Cliente 10</v>
          </cell>
          <cell r="CD2075">
            <v>0</v>
          </cell>
        </row>
        <row r="2076">
          <cell r="B2076" t="str">
            <v>Velopark</v>
          </cell>
          <cell r="D2076" t="str">
            <v>Faturamento | Movimentação (BRL'000)</v>
          </cell>
          <cell r="E2076" t="str">
            <v>Cliente 11</v>
          </cell>
          <cell r="CD2076">
            <v>0</v>
          </cell>
        </row>
        <row r="2077">
          <cell r="B2077" t="str">
            <v>Velopark</v>
          </cell>
          <cell r="D2077" t="str">
            <v>Faturamento | Movimentação (BRL'000)</v>
          </cell>
          <cell r="E2077" t="str">
            <v>Cliente 12</v>
          </cell>
          <cell r="CD2077">
            <v>0</v>
          </cell>
        </row>
        <row r="2078">
          <cell r="B2078" t="str">
            <v>Velopark</v>
          </cell>
          <cell r="D2078" t="str">
            <v>Faturamento | Movimentação (BRL'000)</v>
          </cell>
          <cell r="E2078" t="str">
            <v>Cliente 13</v>
          </cell>
          <cell r="CD2078">
            <v>0</v>
          </cell>
        </row>
        <row r="2079">
          <cell r="B2079" t="str">
            <v>Velopark</v>
          </cell>
          <cell r="D2079" t="str">
            <v>Ticket Médio | Movimentação (BRL)</v>
          </cell>
          <cell r="E2079" t="str">
            <v>Subtotal</v>
          </cell>
          <cell r="CD2079">
            <v>244.28669233532941</v>
          </cell>
        </row>
        <row r="2080">
          <cell r="B2080" t="str">
            <v>Velopark</v>
          </cell>
          <cell r="D2080" t="str">
            <v>Ticket Médio | Movimentação (BRL)</v>
          </cell>
          <cell r="E2080" t="str">
            <v>SEARA LOCAÇÃO</v>
          </cell>
          <cell r="CD2080">
            <v>0</v>
          </cell>
        </row>
        <row r="2081">
          <cell r="B2081" t="str">
            <v>Velopark</v>
          </cell>
          <cell r="D2081" t="str">
            <v>Ticket Médio | Movimentação (BRL)</v>
          </cell>
          <cell r="E2081" t="str">
            <v>REITER LOCAÇÃO</v>
          </cell>
          <cell r="CD2081">
            <v>0</v>
          </cell>
        </row>
        <row r="2082">
          <cell r="B2082" t="str">
            <v>Velopark</v>
          </cell>
          <cell r="D2082" t="str">
            <v>Ticket Médio | Movimentação (BRL)</v>
          </cell>
          <cell r="E2082" t="str">
            <v>AURORA LOCAÇÃO</v>
          </cell>
          <cell r="CD2082">
            <v>0</v>
          </cell>
        </row>
        <row r="2083">
          <cell r="B2083" t="str">
            <v>Velopark</v>
          </cell>
          <cell r="D2083" t="str">
            <v>Ticket Médio | Movimentação (BRL)</v>
          </cell>
          <cell r="E2083" t="str">
            <v>FRIBOI</v>
          </cell>
          <cell r="CD2083">
            <v>160.05600000000001</v>
          </cell>
        </row>
        <row r="2084">
          <cell r="B2084" t="str">
            <v>Velopark</v>
          </cell>
          <cell r="D2084" t="str">
            <v>Ticket Médio | Movimentação (BRL)</v>
          </cell>
          <cell r="E2084" t="str">
            <v>SEARA CONCENTRADOR</v>
          </cell>
          <cell r="CD2084">
            <v>494.97327666666672</v>
          </cell>
        </row>
        <row r="2085">
          <cell r="B2085" t="str">
            <v>Velopark</v>
          </cell>
          <cell r="D2085" t="str">
            <v>Ticket Médio | Movimentação (BRL)</v>
          </cell>
          <cell r="E2085" t="str">
            <v>COOPERATIVA DALIA ALIMENTOS LTDA</v>
          </cell>
          <cell r="CD2085">
            <v>0</v>
          </cell>
        </row>
        <row r="2086">
          <cell r="B2086" t="str">
            <v>Velopark</v>
          </cell>
          <cell r="D2086" t="str">
            <v>Ticket Médio | Movimentação (BRL)</v>
          </cell>
          <cell r="E2086" t="str">
            <v>Cliente 7</v>
          </cell>
          <cell r="CD2086">
            <v>0</v>
          </cell>
        </row>
        <row r="2087">
          <cell r="B2087" t="str">
            <v>Velopark</v>
          </cell>
          <cell r="D2087" t="str">
            <v>Ticket Médio | Movimentação (BRL)</v>
          </cell>
          <cell r="E2087" t="str">
            <v>Cliente 8</v>
          </cell>
          <cell r="CD2087">
            <v>0</v>
          </cell>
        </row>
        <row r="2088">
          <cell r="B2088" t="str">
            <v>Velopark</v>
          </cell>
          <cell r="D2088" t="str">
            <v>Ticket Médio | Movimentação (BRL)</v>
          </cell>
          <cell r="E2088" t="str">
            <v>Cliente 9</v>
          </cell>
          <cell r="CD2088">
            <v>0</v>
          </cell>
        </row>
        <row r="2089">
          <cell r="B2089" t="str">
            <v>Velopark</v>
          </cell>
          <cell r="D2089" t="str">
            <v>Ticket Médio | Movimentação (BRL)</v>
          </cell>
          <cell r="E2089" t="str">
            <v>Cliente 10</v>
          </cell>
          <cell r="CD2089">
            <v>0</v>
          </cell>
        </row>
        <row r="2090">
          <cell r="B2090" t="str">
            <v>Velopark</v>
          </cell>
          <cell r="D2090" t="str">
            <v>Ticket Médio | Movimentação (BRL)</v>
          </cell>
          <cell r="E2090" t="str">
            <v>Cliente 11</v>
          </cell>
          <cell r="CD2090">
            <v>0</v>
          </cell>
        </row>
        <row r="2091">
          <cell r="B2091" t="str">
            <v>Velopark</v>
          </cell>
          <cell r="D2091" t="str">
            <v>Ticket Médio | Movimentação (BRL)</v>
          </cell>
          <cell r="E2091" t="str">
            <v>Cliente 12</v>
          </cell>
          <cell r="CD2091">
            <v>0</v>
          </cell>
        </row>
        <row r="2092">
          <cell r="B2092" t="str">
            <v>Velopark</v>
          </cell>
          <cell r="D2092" t="str">
            <v>Ticket Médio | Movimentação (BRL)</v>
          </cell>
          <cell r="E2092" t="str">
            <v>Cliente 13</v>
          </cell>
          <cell r="CD2092">
            <v>0</v>
          </cell>
        </row>
        <row r="2093">
          <cell r="B2093" t="str">
            <v>Velopark</v>
          </cell>
          <cell r="D2093" t="str">
            <v>Plugagem</v>
          </cell>
          <cell r="E2093" t="str">
            <v>Subtotal</v>
          </cell>
          <cell r="CD2093">
            <v>0</v>
          </cell>
        </row>
        <row r="2094">
          <cell r="B2094" t="str">
            <v>Velopark</v>
          </cell>
          <cell r="D2094" t="str">
            <v>Plugagem</v>
          </cell>
          <cell r="E2094" t="str">
            <v>SEARA LOCAÇÃO</v>
          </cell>
        </row>
        <row r="2095">
          <cell r="B2095" t="str">
            <v>Velopark</v>
          </cell>
          <cell r="D2095" t="str">
            <v>Plugagem</v>
          </cell>
          <cell r="E2095" t="str">
            <v>REITER LOCAÇÃO</v>
          </cell>
        </row>
        <row r="2096">
          <cell r="B2096" t="str">
            <v>Velopark</v>
          </cell>
          <cell r="D2096" t="str">
            <v>Plugagem</v>
          </cell>
          <cell r="E2096" t="str">
            <v>AURORA LOCAÇÃO</v>
          </cell>
        </row>
        <row r="2097">
          <cell r="B2097" t="str">
            <v>Velopark</v>
          </cell>
          <cell r="D2097" t="str">
            <v>Plugagem</v>
          </cell>
          <cell r="E2097" t="str">
            <v>FRIBOI</v>
          </cell>
        </row>
        <row r="2098">
          <cell r="B2098" t="str">
            <v>Velopark</v>
          </cell>
          <cell r="D2098" t="str">
            <v>Plugagem</v>
          </cell>
          <cell r="E2098" t="str">
            <v>SEARA CONCENTRADOR</v>
          </cell>
        </row>
        <row r="2099">
          <cell r="B2099" t="str">
            <v>Velopark</v>
          </cell>
          <cell r="D2099" t="str">
            <v>Plugagem</v>
          </cell>
          <cell r="E2099" t="str">
            <v>COOPERATIVA DALIA ALIMENTOS LTDA</v>
          </cell>
        </row>
        <row r="2100">
          <cell r="B2100" t="str">
            <v>Velopark</v>
          </cell>
          <cell r="D2100" t="str">
            <v>Plugagem</v>
          </cell>
          <cell r="E2100" t="str">
            <v>Cliente 7</v>
          </cell>
        </row>
        <row r="2101">
          <cell r="B2101" t="str">
            <v>Velopark</v>
          </cell>
          <cell r="D2101" t="str">
            <v>Plugagem</v>
          </cell>
          <cell r="E2101" t="str">
            <v>Cliente 8</v>
          </cell>
        </row>
        <row r="2102">
          <cell r="B2102" t="str">
            <v>Velopark</v>
          </cell>
          <cell r="D2102" t="str">
            <v>Plugagem</v>
          </cell>
          <cell r="E2102" t="str">
            <v>Cliente 9</v>
          </cell>
        </row>
        <row r="2103">
          <cell r="B2103" t="str">
            <v>Velopark</v>
          </cell>
          <cell r="D2103" t="str">
            <v>Plugagem</v>
          </cell>
          <cell r="E2103" t="str">
            <v>Cliente 10</v>
          </cell>
        </row>
        <row r="2104">
          <cell r="B2104" t="str">
            <v>Velopark</v>
          </cell>
          <cell r="D2104" t="str">
            <v>Plugagem</v>
          </cell>
          <cell r="E2104" t="str">
            <v>Cliente 11</v>
          </cell>
        </row>
        <row r="2105">
          <cell r="B2105" t="str">
            <v>Velopark</v>
          </cell>
          <cell r="D2105" t="str">
            <v>Plugagem</v>
          </cell>
          <cell r="E2105" t="str">
            <v>Cliente 12</v>
          </cell>
        </row>
        <row r="2106">
          <cell r="B2106" t="str">
            <v>Velopark</v>
          </cell>
          <cell r="D2106" t="str">
            <v>Plugagem</v>
          </cell>
          <cell r="E2106" t="str">
            <v>Cliente 13</v>
          </cell>
        </row>
        <row r="2107">
          <cell r="B2107" t="str">
            <v>Velopark</v>
          </cell>
          <cell r="D2107" t="str">
            <v>Faturamento | Plugagem (BRL'000)</v>
          </cell>
          <cell r="E2107" t="str">
            <v>Subtotal</v>
          </cell>
          <cell r="CD2107">
            <v>0</v>
          </cell>
        </row>
        <row r="2108">
          <cell r="B2108" t="str">
            <v>Velopark</v>
          </cell>
          <cell r="D2108" t="str">
            <v>Faturamento | Plugagem (BRL'000)</v>
          </cell>
          <cell r="E2108" t="str">
            <v>SEARA LOCAÇÃO</v>
          </cell>
          <cell r="CD2108">
            <v>0</v>
          </cell>
        </row>
        <row r="2109">
          <cell r="B2109" t="str">
            <v>Velopark</v>
          </cell>
          <cell r="D2109" t="str">
            <v>Faturamento | Plugagem (BRL'000)</v>
          </cell>
          <cell r="E2109" t="str">
            <v>REITER LOCAÇÃO</v>
          </cell>
          <cell r="CD2109">
            <v>0</v>
          </cell>
        </row>
        <row r="2110">
          <cell r="B2110" t="str">
            <v>Velopark</v>
          </cell>
          <cell r="D2110" t="str">
            <v>Faturamento | Plugagem (BRL'000)</v>
          </cell>
          <cell r="E2110" t="str">
            <v>AURORA LOCAÇÃO</v>
          </cell>
          <cell r="CD2110">
            <v>0</v>
          </cell>
        </row>
        <row r="2111">
          <cell r="B2111" t="str">
            <v>Velopark</v>
          </cell>
          <cell r="D2111" t="str">
            <v>Faturamento | Plugagem (BRL'000)</v>
          </cell>
          <cell r="E2111" t="str">
            <v>FRIBOI</v>
          </cell>
          <cell r="CD2111">
            <v>0</v>
          </cell>
        </row>
        <row r="2112">
          <cell r="B2112" t="str">
            <v>Velopark</v>
          </cell>
          <cell r="D2112" t="str">
            <v>Faturamento | Plugagem (BRL'000)</v>
          </cell>
          <cell r="E2112" t="str">
            <v>SEARA CONCENTRADOR</v>
          </cell>
          <cell r="CD2112">
            <v>0</v>
          </cell>
        </row>
        <row r="2113">
          <cell r="B2113" t="str">
            <v>Velopark</v>
          </cell>
          <cell r="D2113" t="str">
            <v>Faturamento | Plugagem (BRL'000)</v>
          </cell>
          <cell r="E2113" t="str">
            <v>COOPERATIVA DALIA ALIMENTOS LTDA</v>
          </cell>
          <cell r="CD2113">
            <v>0</v>
          </cell>
        </row>
        <row r="2114">
          <cell r="B2114" t="str">
            <v>Velopark</v>
          </cell>
          <cell r="D2114" t="str">
            <v>Faturamento | Plugagem (BRL'000)</v>
          </cell>
          <cell r="E2114" t="str">
            <v>Cliente 7</v>
          </cell>
          <cell r="CD2114">
            <v>0</v>
          </cell>
        </row>
        <row r="2115">
          <cell r="B2115" t="str">
            <v>Velopark</v>
          </cell>
          <cell r="D2115" t="str">
            <v>Faturamento | Plugagem (BRL'000)</v>
          </cell>
          <cell r="E2115" t="str">
            <v>Cliente 8</v>
          </cell>
          <cell r="CD2115">
            <v>0</v>
          </cell>
        </row>
        <row r="2116">
          <cell r="B2116" t="str">
            <v>Velopark</v>
          </cell>
          <cell r="D2116" t="str">
            <v>Faturamento | Plugagem (BRL'000)</v>
          </cell>
          <cell r="E2116" t="str">
            <v>Cliente 9</v>
          </cell>
          <cell r="CD2116">
            <v>0</v>
          </cell>
        </row>
        <row r="2117">
          <cell r="B2117" t="str">
            <v>Velopark</v>
          </cell>
          <cell r="D2117" t="str">
            <v>Faturamento | Plugagem (BRL'000)</v>
          </cell>
          <cell r="E2117" t="str">
            <v>Cliente 10</v>
          </cell>
          <cell r="CD2117">
            <v>0</v>
          </cell>
        </row>
        <row r="2118">
          <cell r="B2118" t="str">
            <v>Velopark</v>
          </cell>
          <cell r="D2118" t="str">
            <v>Faturamento | Plugagem (BRL'000)</v>
          </cell>
          <cell r="E2118" t="str">
            <v>Cliente 11</v>
          </cell>
          <cell r="CD2118">
            <v>0</v>
          </cell>
        </row>
        <row r="2119">
          <cell r="B2119" t="str">
            <v>Velopark</v>
          </cell>
          <cell r="D2119" t="str">
            <v>Faturamento | Plugagem (BRL'000)</v>
          </cell>
          <cell r="E2119" t="str">
            <v>Cliente 12</v>
          </cell>
          <cell r="CD2119">
            <v>0</v>
          </cell>
        </row>
        <row r="2120">
          <cell r="B2120" t="str">
            <v>Velopark</v>
          </cell>
          <cell r="D2120" t="str">
            <v>Faturamento | Plugagem (BRL'000)</v>
          </cell>
          <cell r="E2120" t="str">
            <v>Cliente 13</v>
          </cell>
          <cell r="CD2120">
            <v>0</v>
          </cell>
        </row>
        <row r="2121">
          <cell r="B2121" t="str">
            <v>Velopark</v>
          </cell>
          <cell r="D2121" t="str">
            <v>Ticket Médio | Plugagem (BRL)</v>
          </cell>
          <cell r="E2121" t="str">
            <v>Subtotal</v>
          </cell>
          <cell r="CD2121">
            <v>0</v>
          </cell>
        </row>
        <row r="2122">
          <cell r="B2122" t="str">
            <v>Velopark</v>
          </cell>
          <cell r="D2122" t="str">
            <v>Ticket Médio | Plugagem (BRL)</v>
          </cell>
          <cell r="E2122" t="str">
            <v>SEARA LOCAÇÃO</v>
          </cell>
          <cell r="CD2122">
            <v>0</v>
          </cell>
        </row>
        <row r="2123">
          <cell r="B2123" t="str">
            <v>Velopark</v>
          </cell>
          <cell r="D2123" t="str">
            <v>Ticket Médio | Plugagem (BRL)</v>
          </cell>
          <cell r="E2123" t="str">
            <v>REITER LOCAÇÃO</v>
          </cell>
          <cell r="CD2123">
            <v>0</v>
          </cell>
        </row>
        <row r="2124">
          <cell r="B2124" t="str">
            <v>Velopark</v>
          </cell>
          <cell r="D2124" t="str">
            <v>Ticket Médio | Plugagem (BRL)</v>
          </cell>
          <cell r="E2124" t="str">
            <v>AURORA LOCAÇÃO</v>
          </cell>
          <cell r="CD2124">
            <v>0</v>
          </cell>
        </row>
        <row r="2125">
          <cell r="B2125" t="str">
            <v>Velopark</v>
          </cell>
          <cell r="D2125" t="str">
            <v>Ticket Médio | Plugagem (BRL)</v>
          </cell>
          <cell r="E2125" t="str">
            <v>FRIBOI</v>
          </cell>
          <cell r="CD2125">
            <v>0</v>
          </cell>
        </row>
        <row r="2126">
          <cell r="B2126" t="str">
            <v>Velopark</v>
          </cell>
          <cell r="D2126" t="str">
            <v>Ticket Médio | Plugagem (BRL)</v>
          </cell>
          <cell r="E2126" t="str">
            <v>SEARA CONCENTRADOR</v>
          </cell>
          <cell r="CD2126">
            <v>0</v>
          </cell>
        </row>
        <row r="2127">
          <cell r="B2127" t="str">
            <v>Velopark</v>
          </cell>
          <cell r="D2127" t="str">
            <v>Ticket Médio | Plugagem (BRL)</v>
          </cell>
          <cell r="E2127" t="str">
            <v>COOPERATIVA DALIA ALIMENTOS LTDA</v>
          </cell>
          <cell r="CD2127">
            <v>0</v>
          </cell>
        </row>
        <row r="2128">
          <cell r="B2128" t="str">
            <v>Velopark</v>
          </cell>
          <cell r="D2128" t="str">
            <v>Ticket Médio | Plugagem (BRL)</v>
          </cell>
          <cell r="E2128" t="str">
            <v>Cliente 7</v>
          </cell>
          <cell r="CD2128">
            <v>0</v>
          </cell>
        </row>
        <row r="2129">
          <cell r="B2129" t="str">
            <v>Velopark</v>
          </cell>
          <cell r="D2129" t="str">
            <v>Ticket Médio | Plugagem (BRL)</v>
          </cell>
          <cell r="E2129" t="str">
            <v>Cliente 8</v>
          </cell>
          <cell r="CD2129">
            <v>0</v>
          </cell>
        </row>
        <row r="2130">
          <cell r="B2130" t="str">
            <v>Velopark</v>
          </cell>
          <cell r="D2130" t="str">
            <v>Ticket Médio | Plugagem (BRL)</v>
          </cell>
          <cell r="E2130" t="str">
            <v>Cliente 9</v>
          </cell>
          <cell r="CD2130">
            <v>0</v>
          </cell>
        </row>
        <row r="2131">
          <cell r="B2131" t="str">
            <v>Velopark</v>
          </cell>
          <cell r="D2131" t="str">
            <v>Ticket Médio | Plugagem (BRL)</v>
          </cell>
          <cell r="E2131" t="str">
            <v>Cliente 10</v>
          </cell>
          <cell r="CD2131">
            <v>0</v>
          </cell>
        </row>
        <row r="2132">
          <cell r="B2132" t="str">
            <v>Velopark</v>
          </cell>
          <cell r="D2132" t="str">
            <v>Ticket Médio | Plugagem (BRL)</v>
          </cell>
          <cell r="E2132" t="str">
            <v>Cliente 11</v>
          </cell>
          <cell r="CD2132">
            <v>0</v>
          </cell>
        </row>
        <row r="2133">
          <cell r="B2133" t="str">
            <v>Velopark</v>
          </cell>
          <cell r="D2133" t="str">
            <v>Ticket Médio | Plugagem (BRL)</v>
          </cell>
          <cell r="E2133" t="str">
            <v>Cliente 12</v>
          </cell>
          <cell r="CD2133">
            <v>0</v>
          </cell>
        </row>
        <row r="2134">
          <cell r="B2134" t="str">
            <v>Velopark</v>
          </cell>
          <cell r="D2134" t="str">
            <v>Ticket Médio | Plugagem (BRL)</v>
          </cell>
          <cell r="E2134" t="str">
            <v>Cliente 13</v>
          </cell>
          <cell r="CD2134">
            <v>0</v>
          </cell>
        </row>
        <row r="2135">
          <cell r="B2135" t="str">
            <v>Velopark</v>
          </cell>
          <cell r="D2135" t="str">
            <v>Faturamento | Adicional (BRL'000)</v>
          </cell>
          <cell r="E2135" t="str">
            <v>Subtotal</v>
          </cell>
          <cell r="CD2135">
            <v>2651.9816460184602</v>
          </cell>
        </row>
        <row r="2136">
          <cell r="B2136" t="str">
            <v>Velopark</v>
          </cell>
          <cell r="D2136" t="str">
            <v>Faturamento | Adicional (BRL'000)</v>
          </cell>
          <cell r="E2136" t="str">
            <v>SEARA LOCAÇÃO</v>
          </cell>
          <cell r="CD2136">
            <v>0</v>
          </cell>
        </row>
        <row r="2137">
          <cell r="B2137" t="str">
            <v>Velopark</v>
          </cell>
          <cell r="D2137" t="str">
            <v>Faturamento | Adicional (BRL'000)</v>
          </cell>
          <cell r="E2137" t="str">
            <v>REITER LOCAÇÃO</v>
          </cell>
          <cell r="CD2137">
            <v>0</v>
          </cell>
        </row>
        <row r="2138">
          <cell r="B2138" t="str">
            <v>Velopark</v>
          </cell>
          <cell r="D2138" t="str">
            <v>Faturamento | Adicional (BRL'000)</v>
          </cell>
          <cell r="E2138" t="str">
            <v>AURORA LOCAÇÃO</v>
          </cell>
          <cell r="CD2138">
            <v>0</v>
          </cell>
        </row>
        <row r="2139">
          <cell r="B2139" t="str">
            <v>Velopark</v>
          </cell>
          <cell r="D2139" t="str">
            <v>Faturamento | Adicional (BRL'000)</v>
          </cell>
          <cell r="E2139" t="str">
            <v>FRIBOI</v>
          </cell>
          <cell r="CD2139">
            <v>800.54129230769104</v>
          </cell>
        </row>
        <row r="2140">
          <cell r="B2140" t="str">
            <v>Velopark</v>
          </cell>
          <cell r="D2140" t="str">
            <v>Faturamento | Adicional (BRL'000)</v>
          </cell>
          <cell r="E2140" t="str">
            <v>SEARA CONCENTRADOR</v>
          </cell>
          <cell r="CD2140">
            <v>501.44035371076899</v>
          </cell>
        </row>
        <row r="2141">
          <cell r="B2141" t="str">
            <v>Velopark</v>
          </cell>
          <cell r="D2141" t="str">
            <v>Faturamento | Adicional (BRL'000)</v>
          </cell>
          <cell r="E2141" t="str">
            <v>COOPERATIVA DALIA ALIMENTOS LTDA</v>
          </cell>
          <cell r="CD2141">
            <v>0</v>
          </cell>
        </row>
        <row r="2142">
          <cell r="B2142" t="str">
            <v>Velopark</v>
          </cell>
          <cell r="D2142" t="str">
            <v>Faturamento | Adicional (BRL'000)</v>
          </cell>
          <cell r="E2142" t="str">
            <v>Cliente 7</v>
          </cell>
          <cell r="CD2142">
            <v>0</v>
          </cell>
        </row>
        <row r="2143">
          <cell r="B2143" t="str">
            <v>Velopark</v>
          </cell>
          <cell r="D2143" t="str">
            <v>Faturamento | Adicional (BRL'000)</v>
          </cell>
          <cell r="E2143" t="str">
            <v>Cliente 8</v>
          </cell>
          <cell r="CD2143">
            <v>0</v>
          </cell>
        </row>
        <row r="2144">
          <cell r="B2144" t="str">
            <v>Velopark</v>
          </cell>
          <cell r="D2144" t="str">
            <v>Faturamento | Adicional (BRL'000)</v>
          </cell>
          <cell r="E2144" t="str">
            <v>Cliente 9</v>
          </cell>
          <cell r="CD2144">
            <v>0</v>
          </cell>
        </row>
        <row r="2145">
          <cell r="B2145" t="str">
            <v>Velopark</v>
          </cell>
          <cell r="D2145" t="str">
            <v>Faturamento | Adicional (BRL'000)</v>
          </cell>
          <cell r="E2145" t="str">
            <v>Cliente 10</v>
          </cell>
          <cell r="CD2145">
            <v>0</v>
          </cell>
        </row>
        <row r="2146">
          <cell r="B2146" t="str">
            <v>Velopark</v>
          </cell>
          <cell r="D2146" t="str">
            <v>Faturamento | Adicional (BRL'000)</v>
          </cell>
          <cell r="E2146" t="str">
            <v>Cliente 11</v>
          </cell>
          <cell r="CD2146">
            <v>0</v>
          </cell>
        </row>
        <row r="2147">
          <cell r="B2147" t="str">
            <v>Velopark</v>
          </cell>
          <cell r="D2147" t="str">
            <v>Faturamento | Adicional (BRL'000)</v>
          </cell>
          <cell r="E2147" t="str">
            <v>Cliente 12</v>
          </cell>
          <cell r="CD2147">
            <v>0</v>
          </cell>
        </row>
        <row r="2148">
          <cell r="B2148" t="str">
            <v>Velopark</v>
          </cell>
          <cell r="D2148" t="str">
            <v>Faturamento | Adicional (BRL'000)</v>
          </cell>
          <cell r="E2148" t="str">
            <v>Cliente 13</v>
          </cell>
          <cell r="CD2148">
            <v>1350</v>
          </cell>
        </row>
        <row r="2149">
          <cell r="B2149" t="str">
            <v>Velopark</v>
          </cell>
          <cell r="D2149" t="str">
            <v>Faturamento | Seguros (BRL'000)</v>
          </cell>
          <cell r="E2149" t="str">
            <v>Subtotal</v>
          </cell>
          <cell r="CD2149">
            <v>0</v>
          </cell>
        </row>
        <row r="2150">
          <cell r="B2150" t="str">
            <v>Velopark</v>
          </cell>
          <cell r="D2150" t="str">
            <v>Faturamento | Seguros (BRL'000)</v>
          </cell>
          <cell r="E2150" t="str">
            <v>SEARA LOCAÇÃO</v>
          </cell>
          <cell r="CD2150">
            <v>0</v>
          </cell>
        </row>
        <row r="2151">
          <cell r="B2151" t="str">
            <v>Velopark</v>
          </cell>
          <cell r="D2151" t="str">
            <v>Faturamento | Seguros (BRL'000)</v>
          </cell>
          <cell r="E2151" t="str">
            <v>REITER LOCAÇÃO</v>
          </cell>
          <cell r="CD2151">
            <v>0</v>
          </cell>
        </row>
        <row r="2152">
          <cell r="B2152" t="str">
            <v>Velopark</v>
          </cell>
          <cell r="D2152" t="str">
            <v>Faturamento | Seguros (BRL'000)</v>
          </cell>
          <cell r="E2152" t="str">
            <v>AURORA LOCAÇÃO</v>
          </cell>
          <cell r="CD2152">
            <v>0</v>
          </cell>
        </row>
        <row r="2153">
          <cell r="B2153" t="str">
            <v>Velopark</v>
          </cell>
          <cell r="D2153" t="str">
            <v>Faturamento | Seguros (BRL'000)</v>
          </cell>
          <cell r="E2153" t="str">
            <v>FRIBOI</v>
          </cell>
          <cell r="CD2153">
            <v>0</v>
          </cell>
        </row>
        <row r="2154">
          <cell r="B2154" t="str">
            <v>Velopark</v>
          </cell>
          <cell r="D2154" t="str">
            <v>Faturamento | Seguros (BRL'000)</v>
          </cell>
          <cell r="E2154" t="str">
            <v>SEARA CONCENTRADOR</v>
          </cell>
          <cell r="CD2154">
            <v>0</v>
          </cell>
        </row>
        <row r="2155">
          <cell r="B2155" t="str">
            <v>Velopark</v>
          </cell>
          <cell r="D2155" t="str">
            <v>Faturamento | Seguros (BRL'000)</v>
          </cell>
          <cell r="E2155" t="str">
            <v>COOPERATIVA DALIA ALIMENTOS LTDA</v>
          </cell>
          <cell r="CD2155">
            <v>0</v>
          </cell>
        </row>
        <row r="2156">
          <cell r="B2156" t="str">
            <v>Velopark</v>
          </cell>
          <cell r="D2156" t="str">
            <v>Faturamento | Seguros (BRL'000)</v>
          </cell>
          <cell r="E2156" t="str">
            <v>Cliente 7</v>
          </cell>
          <cell r="CD2156">
            <v>0</v>
          </cell>
        </row>
        <row r="2157">
          <cell r="B2157" t="str">
            <v>Velopark</v>
          </cell>
          <cell r="D2157" t="str">
            <v>Faturamento | Seguros (BRL'000)</v>
          </cell>
          <cell r="E2157" t="str">
            <v>Cliente 8</v>
          </cell>
          <cell r="CD2157">
            <v>0</v>
          </cell>
        </row>
        <row r="2158">
          <cell r="B2158" t="str">
            <v>Velopark</v>
          </cell>
          <cell r="D2158" t="str">
            <v>Faturamento | Seguros (BRL'000)</v>
          </cell>
          <cell r="E2158" t="str">
            <v>Cliente 9</v>
          </cell>
          <cell r="CD2158">
            <v>0</v>
          </cell>
        </row>
        <row r="2159">
          <cell r="B2159" t="str">
            <v>Velopark</v>
          </cell>
          <cell r="D2159" t="str">
            <v>Faturamento | Seguros (BRL'000)</v>
          </cell>
          <cell r="E2159" t="str">
            <v>Cliente 10</v>
          </cell>
          <cell r="CD2159">
            <v>0</v>
          </cell>
        </row>
        <row r="2160">
          <cell r="B2160" t="str">
            <v>Velopark</v>
          </cell>
          <cell r="D2160" t="str">
            <v>Faturamento | Seguros (BRL'000)</v>
          </cell>
          <cell r="E2160" t="str">
            <v>Cliente 11</v>
          </cell>
          <cell r="CD2160">
            <v>0</v>
          </cell>
        </row>
        <row r="2161">
          <cell r="B2161" t="str">
            <v>Velopark</v>
          </cell>
          <cell r="D2161" t="str">
            <v>Faturamento | Seguros (BRL'000)</v>
          </cell>
          <cell r="E2161" t="str">
            <v>Cliente 12</v>
          </cell>
          <cell r="CD2161">
            <v>0</v>
          </cell>
        </row>
        <row r="2162">
          <cell r="B2162" t="str">
            <v>Velopark</v>
          </cell>
          <cell r="D2162" t="str">
            <v>Faturamento | Seguros (BRL'000)</v>
          </cell>
          <cell r="E2162" t="str">
            <v>Cliente 13</v>
          </cell>
          <cell r="CD2162">
            <v>0</v>
          </cell>
        </row>
        <row r="2163">
          <cell r="B2163" t="str">
            <v>Velopark</v>
          </cell>
          <cell r="D2163" t="str">
            <v>Faturamento | Locação (BRL'000)</v>
          </cell>
          <cell r="E2163" t="str">
            <v>Subtotal</v>
          </cell>
          <cell r="CD2163">
            <v>19190.94139208</v>
          </cell>
        </row>
        <row r="2164">
          <cell r="B2164" t="str">
            <v>Velopark</v>
          </cell>
          <cell r="D2164" t="str">
            <v>Faturamento | Locação (BRL'000)</v>
          </cell>
          <cell r="E2164" t="str">
            <v>SEARA LOCAÇÃO</v>
          </cell>
          <cell r="CD2164">
            <v>7085.1700885199971</v>
          </cell>
        </row>
        <row r="2165">
          <cell r="B2165" t="str">
            <v>Velopark</v>
          </cell>
          <cell r="D2165" t="str">
            <v>Faturamento | Locação (BRL'000)</v>
          </cell>
          <cell r="E2165" t="str">
            <v>REITER LOCAÇÃO</v>
          </cell>
          <cell r="CD2165">
            <v>9807.9448006799994</v>
          </cell>
        </row>
        <row r="2166">
          <cell r="B2166" t="str">
            <v>Velopark</v>
          </cell>
          <cell r="D2166" t="str">
            <v>Faturamento | Locação (BRL'000)</v>
          </cell>
          <cell r="E2166" t="str">
            <v>AURORA LOCAÇÃO</v>
          </cell>
          <cell r="CD2166">
            <v>2297.8265028800001</v>
          </cell>
        </row>
        <row r="2167">
          <cell r="B2167" t="str">
            <v>Velopark</v>
          </cell>
          <cell r="D2167" t="str">
            <v>Faturamento | Locação (BRL'000)</v>
          </cell>
          <cell r="E2167" t="str">
            <v>FRIBOI</v>
          </cell>
          <cell r="CD2167">
            <v>0</v>
          </cell>
        </row>
        <row r="2168">
          <cell r="B2168" t="str">
            <v>Velopark</v>
          </cell>
          <cell r="D2168" t="str">
            <v>Faturamento | Locação (BRL'000)</v>
          </cell>
          <cell r="E2168" t="str">
            <v>SEARA CONCENTRADOR</v>
          </cell>
          <cell r="CD2168">
            <v>0</v>
          </cell>
        </row>
        <row r="2169">
          <cell r="B2169" t="str">
            <v>Velopark</v>
          </cell>
          <cell r="D2169" t="str">
            <v>Faturamento | Locação (BRL'000)</v>
          </cell>
          <cell r="E2169" t="str">
            <v>COOPERATIVA DALIA ALIMENTOS LTDA</v>
          </cell>
          <cell r="CD2169">
            <v>0</v>
          </cell>
        </row>
        <row r="2170">
          <cell r="B2170" t="str">
            <v>Velopark</v>
          </cell>
          <cell r="D2170" t="str">
            <v>Faturamento | Locação (BRL'000)</v>
          </cell>
          <cell r="E2170" t="str">
            <v>Cliente 7</v>
          </cell>
          <cell r="CD2170">
            <v>0</v>
          </cell>
        </row>
        <row r="2171">
          <cell r="B2171" t="str">
            <v>Velopark</v>
          </cell>
          <cell r="D2171" t="str">
            <v>Faturamento | Locação (BRL'000)</v>
          </cell>
          <cell r="E2171" t="str">
            <v>Cliente 8</v>
          </cell>
          <cell r="CD2171">
            <v>0</v>
          </cell>
        </row>
        <row r="2172">
          <cell r="B2172" t="str">
            <v>Velopark</v>
          </cell>
          <cell r="D2172" t="str">
            <v>Faturamento | Locação (BRL'000)</v>
          </cell>
          <cell r="E2172" t="str">
            <v>Cliente 9</v>
          </cell>
          <cell r="CD2172">
            <v>0</v>
          </cell>
        </row>
        <row r="2173">
          <cell r="B2173" t="str">
            <v>Velopark</v>
          </cell>
          <cell r="D2173" t="str">
            <v>Faturamento | Locação (BRL'000)</v>
          </cell>
          <cell r="E2173" t="str">
            <v>Cliente 10</v>
          </cell>
          <cell r="CD2173">
            <v>0</v>
          </cell>
        </row>
        <row r="2174">
          <cell r="B2174" t="str">
            <v>Velopark</v>
          </cell>
          <cell r="D2174" t="str">
            <v>Faturamento | Locação (BRL'000)</v>
          </cell>
          <cell r="E2174" t="str">
            <v>Cliente 11</v>
          </cell>
          <cell r="CD2174">
            <v>0</v>
          </cell>
        </row>
        <row r="2175">
          <cell r="B2175" t="str">
            <v>Velopark</v>
          </cell>
          <cell r="D2175" t="str">
            <v>Faturamento | Locação (BRL'000)</v>
          </cell>
          <cell r="E2175" t="str">
            <v>Cliente 12</v>
          </cell>
          <cell r="CD2175">
            <v>0</v>
          </cell>
        </row>
        <row r="2176">
          <cell r="B2176" t="str">
            <v>Velopark</v>
          </cell>
          <cell r="D2176" t="str">
            <v>Faturamento | Locação (BRL'000)</v>
          </cell>
          <cell r="E2176" t="str">
            <v>Cliente 13</v>
          </cell>
          <cell r="CD2176">
            <v>0</v>
          </cell>
        </row>
        <row r="2177">
          <cell r="B2177" t="str">
            <v>Passo_Fundo</v>
          </cell>
          <cell r="D2177" t="str">
            <v>Faturamento Bruto</v>
          </cell>
          <cell r="E2177" t="str">
            <v>Gross Revenue</v>
          </cell>
          <cell r="CD2177">
            <v>3319.2036054216001</v>
          </cell>
        </row>
        <row r="2179">
          <cell r="B2179" t="str">
            <v>Passo_Fundo</v>
          </cell>
          <cell r="D2179" t="str">
            <v>Faturamento Bruto</v>
          </cell>
          <cell r="E2179" t="str">
            <v>AURORA LOCAÇÃO</v>
          </cell>
          <cell r="CD2179">
            <v>1298.8720724616001</v>
          </cell>
        </row>
        <row r="2180">
          <cell r="B2180" t="str">
            <v>Passo_Fundo</v>
          </cell>
          <cell r="D2180" t="str">
            <v>Faturamento Bruto</v>
          </cell>
          <cell r="E2180" t="str">
            <v>REITER LOCAÇÃO</v>
          </cell>
          <cell r="CD2180">
            <v>850.33153295999955</v>
          </cell>
        </row>
        <row r="2181">
          <cell r="B2181" t="str">
            <v>Passo_Fundo</v>
          </cell>
          <cell r="D2181" t="str">
            <v>Faturamento Bruto</v>
          </cell>
          <cell r="E2181" t="str">
            <v>SANTA CLARA</v>
          </cell>
          <cell r="CD2181">
            <v>1170</v>
          </cell>
        </row>
        <row r="2182">
          <cell r="B2182" t="str">
            <v>Passo_Fundo</v>
          </cell>
          <cell r="D2182" t="str">
            <v>Faturamento Bruto</v>
          </cell>
          <cell r="E2182" t="str">
            <v>NUSEED</v>
          </cell>
          <cell r="CD2182">
            <v>0</v>
          </cell>
        </row>
        <row r="2183">
          <cell r="B2183" t="str">
            <v>Passo_Fundo</v>
          </cell>
          <cell r="D2183" t="str">
            <v>Faturamento Bruto</v>
          </cell>
          <cell r="E2183" t="str">
            <v>Cliente 5</v>
          </cell>
          <cell r="CD2183">
            <v>0</v>
          </cell>
        </row>
        <row r="2184">
          <cell r="B2184" t="str">
            <v>Passo_Fundo</v>
          </cell>
          <cell r="D2184" t="str">
            <v>Faturamento Bruto</v>
          </cell>
          <cell r="E2184" t="str">
            <v>Cliente 6</v>
          </cell>
          <cell r="CD2184">
            <v>0</v>
          </cell>
        </row>
        <row r="2185">
          <cell r="B2185" t="str">
            <v>Passo_Fundo</v>
          </cell>
          <cell r="D2185" t="str">
            <v>Faturamento Bruto</v>
          </cell>
          <cell r="E2185" t="str">
            <v>Cliente 7</v>
          </cell>
          <cell r="CD2185">
            <v>0</v>
          </cell>
        </row>
        <row r="2186">
          <cell r="B2186" t="str">
            <v>Passo_Fundo</v>
          </cell>
          <cell r="D2186" t="str">
            <v>Faturamento Bruto</v>
          </cell>
          <cell r="E2186" t="str">
            <v>Cliente 8</v>
          </cell>
          <cell r="CD2186">
            <v>0</v>
          </cell>
        </row>
        <row r="2187">
          <cell r="B2187" t="str">
            <v>Passo_Fundo</v>
          </cell>
          <cell r="D2187" t="str">
            <v>Faturamento Bruto</v>
          </cell>
          <cell r="E2187" t="str">
            <v>Cliente 9</v>
          </cell>
          <cell r="CD2187">
            <v>0</v>
          </cell>
        </row>
        <row r="2188">
          <cell r="B2188" t="str">
            <v>Passo_Fundo</v>
          </cell>
          <cell r="D2188" t="str">
            <v>Faturamento Bruto</v>
          </cell>
          <cell r="E2188" t="str">
            <v>Cliente 10</v>
          </cell>
          <cell r="CD2188">
            <v>0</v>
          </cell>
        </row>
        <row r="2189">
          <cell r="B2189" t="str">
            <v>Passo_Fundo</v>
          </cell>
          <cell r="D2189" t="str">
            <v>Faturamento Bruto</v>
          </cell>
          <cell r="E2189" t="str">
            <v>Cliente 11</v>
          </cell>
          <cell r="CD2189">
            <v>0</v>
          </cell>
        </row>
        <row r="2190">
          <cell r="B2190" t="str">
            <v>Passo_Fundo</v>
          </cell>
          <cell r="D2190" t="str">
            <v>Faturamento Bruto</v>
          </cell>
          <cell r="E2190" t="str">
            <v>Cliente 12</v>
          </cell>
          <cell r="CD2190">
            <v>0</v>
          </cell>
        </row>
        <row r="2191">
          <cell r="B2191" t="str">
            <v>Passo_Fundo</v>
          </cell>
          <cell r="D2191" t="str">
            <v>Faturamento Bruto</v>
          </cell>
          <cell r="E2191" t="str">
            <v>Cliente 13</v>
          </cell>
          <cell r="CD2191">
            <v>0</v>
          </cell>
        </row>
        <row r="2192">
          <cell r="B2192" t="str">
            <v>Passo_Fundo</v>
          </cell>
          <cell r="D2192" t="str">
            <v>Armazenagem (posição palet)</v>
          </cell>
          <cell r="E2192" t="str">
            <v>Subtotal</v>
          </cell>
          <cell r="CD2192">
            <v>0</v>
          </cell>
        </row>
        <row r="2193">
          <cell r="B2193" t="str">
            <v>Passo_Fundo</v>
          </cell>
          <cell r="D2193" t="str">
            <v>Armazenagem (posição palet)</v>
          </cell>
          <cell r="E2193" t="str">
            <v>AURORA LOCAÇÃO</v>
          </cell>
        </row>
        <row r="2194">
          <cell r="B2194" t="str">
            <v>Passo_Fundo</v>
          </cell>
          <cell r="D2194" t="str">
            <v>Armazenagem (posição palet)</v>
          </cell>
          <cell r="E2194" t="str">
            <v>REITER LOCAÇÃO</v>
          </cell>
        </row>
        <row r="2195">
          <cell r="B2195" t="str">
            <v>Passo_Fundo</v>
          </cell>
          <cell r="D2195" t="str">
            <v>Armazenagem (posição palet)</v>
          </cell>
          <cell r="E2195" t="str">
            <v>SANTA CLARA</v>
          </cell>
        </row>
        <row r="2196">
          <cell r="B2196" t="str">
            <v>Passo_Fundo</v>
          </cell>
          <cell r="D2196" t="str">
            <v>Armazenagem (posição palet)</v>
          </cell>
          <cell r="E2196" t="str">
            <v>NUSEED</v>
          </cell>
        </row>
        <row r="2197">
          <cell r="B2197" t="str">
            <v>Passo_Fundo</v>
          </cell>
          <cell r="D2197" t="str">
            <v>Armazenagem (posição palet)</v>
          </cell>
          <cell r="E2197" t="str">
            <v>Cliente 5</v>
          </cell>
        </row>
        <row r="2198">
          <cell r="B2198" t="str">
            <v>Passo_Fundo</v>
          </cell>
          <cell r="D2198" t="str">
            <v>Armazenagem (posição palet)</v>
          </cell>
          <cell r="E2198" t="str">
            <v>Cliente 6</v>
          </cell>
        </row>
        <row r="2199">
          <cell r="B2199" t="str">
            <v>Passo_Fundo</v>
          </cell>
          <cell r="D2199" t="str">
            <v>Armazenagem (posição palet)</v>
          </cell>
          <cell r="E2199" t="str">
            <v>Cliente 7</v>
          </cell>
        </row>
        <row r="2200">
          <cell r="B2200" t="str">
            <v>Passo_Fundo</v>
          </cell>
          <cell r="D2200" t="str">
            <v>Armazenagem (posição palet)</v>
          </cell>
          <cell r="E2200" t="str">
            <v>Cliente 8</v>
          </cell>
        </row>
        <row r="2201">
          <cell r="B2201" t="str">
            <v>Passo_Fundo</v>
          </cell>
          <cell r="D2201" t="str">
            <v>Armazenagem (posição palet)</v>
          </cell>
          <cell r="E2201" t="str">
            <v>Cliente 9</v>
          </cell>
        </row>
        <row r="2202">
          <cell r="B2202" t="str">
            <v>Passo_Fundo</v>
          </cell>
          <cell r="D2202" t="str">
            <v>Armazenagem (posição palet)</v>
          </cell>
          <cell r="E2202" t="str">
            <v>Cliente 10</v>
          </cell>
        </row>
        <row r="2203">
          <cell r="B2203" t="str">
            <v>Passo_Fundo</v>
          </cell>
          <cell r="D2203" t="str">
            <v>Armazenagem (posição palet)</v>
          </cell>
          <cell r="E2203" t="str">
            <v>Cliente 11</v>
          </cell>
        </row>
        <row r="2204">
          <cell r="B2204" t="str">
            <v>Passo_Fundo</v>
          </cell>
          <cell r="D2204" t="str">
            <v>Armazenagem (posição palet)</v>
          </cell>
          <cell r="E2204" t="str">
            <v>Cliente 12</v>
          </cell>
        </row>
        <row r="2205">
          <cell r="B2205" t="str">
            <v>Passo_Fundo</v>
          </cell>
          <cell r="D2205" t="str">
            <v>Armazenagem (posição palet)</v>
          </cell>
          <cell r="E2205" t="str">
            <v>Cliente 13</v>
          </cell>
        </row>
        <row r="2206">
          <cell r="B2206" t="str">
            <v>Passo_Fundo</v>
          </cell>
          <cell r="D2206" t="str">
            <v>Capacidade Total PP</v>
          </cell>
          <cell r="E2206" t="str">
            <v>CAPACIDADE</v>
          </cell>
          <cell r="CD2206">
            <v>3200</v>
          </cell>
        </row>
        <row r="2207">
          <cell r="B2207" t="str">
            <v>Passo_Fundo</v>
          </cell>
          <cell r="D2207" t="str">
            <v>Armazenagem (%)</v>
          </cell>
          <cell r="E2207" t="str">
            <v>Subtotal</v>
          </cell>
          <cell r="CD2207">
            <v>0</v>
          </cell>
        </row>
        <row r="2208">
          <cell r="B2208" t="str">
            <v>Passo_Fundo</v>
          </cell>
          <cell r="D2208" t="str">
            <v>Armazenagem (%)</v>
          </cell>
          <cell r="E2208" t="str">
            <v>AURORA LOCAÇÃO</v>
          </cell>
          <cell r="CD2208">
            <v>0</v>
          </cell>
        </row>
        <row r="2209">
          <cell r="B2209" t="str">
            <v>Passo_Fundo</v>
          </cell>
          <cell r="D2209" t="str">
            <v>Armazenagem (%)</v>
          </cell>
          <cell r="E2209" t="str">
            <v>REITER LOCAÇÃO</v>
          </cell>
          <cell r="CD2209">
            <v>0</v>
          </cell>
        </row>
        <row r="2210">
          <cell r="B2210" t="str">
            <v>Passo_Fundo</v>
          </cell>
          <cell r="D2210" t="str">
            <v>Armazenagem (%)</v>
          </cell>
          <cell r="E2210" t="str">
            <v>SANTA CLARA</v>
          </cell>
          <cell r="CD2210">
            <v>0</v>
          </cell>
        </row>
        <row r="2211">
          <cell r="B2211" t="str">
            <v>Passo_Fundo</v>
          </cell>
          <cell r="D2211" t="str">
            <v>Armazenagem (%)</v>
          </cell>
          <cell r="E2211" t="str">
            <v>NUSEED</v>
          </cell>
          <cell r="CD2211">
            <v>0</v>
          </cell>
        </row>
        <row r="2212">
          <cell r="B2212" t="str">
            <v>Passo_Fundo</v>
          </cell>
          <cell r="D2212" t="str">
            <v>Armazenagem (%)</v>
          </cell>
          <cell r="E2212" t="str">
            <v>Cliente 5</v>
          </cell>
          <cell r="CD2212">
            <v>0</v>
          </cell>
        </row>
        <row r="2213">
          <cell r="B2213" t="str">
            <v>Passo_Fundo</v>
          </cell>
          <cell r="D2213" t="str">
            <v>Armazenagem (%)</v>
          </cell>
          <cell r="E2213" t="str">
            <v>Cliente 6</v>
          </cell>
          <cell r="CD2213">
            <v>0</v>
          </cell>
        </row>
        <row r="2214">
          <cell r="B2214" t="str">
            <v>Passo_Fundo</v>
          </cell>
          <cell r="D2214" t="str">
            <v>Armazenagem (%)</v>
          </cell>
          <cell r="E2214" t="str">
            <v>Cliente 7</v>
          </cell>
          <cell r="CD2214">
            <v>0</v>
          </cell>
        </row>
        <row r="2215">
          <cell r="B2215" t="str">
            <v>Passo_Fundo</v>
          </cell>
          <cell r="D2215" t="str">
            <v>Armazenagem (%)</v>
          </cell>
          <cell r="E2215" t="str">
            <v>Cliente 8</v>
          </cell>
          <cell r="CD2215">
            <v>0</v>
          </cell>
        </row>
        <row r="2216">
          <cell r="B2216" t="str">
            <v>Passo_Fundo</v>
          </cell>
          <cell r="D2216" t="str">
            <v>Armazenagem (%)</v>
          </cell>
          <cell r="E2216" t="str">
            <v>Cliente 9</v>
          </cell>
          <cell r="CD2216">
            <v>0</v>
          </cell>
        </row>
        <row r="2217">
          <cell r="B2217" t="str">
            <v>Passo_Fundo</v>
          </cell>
          <cell r="D2217" t="str">
            <v>Armazenagem (%)</v>
          </cell>
          <cell r="E2217" t="str">
            <v>Cliente 10</v>
          </cell>
          <cell r="CD2217">
            <v>0</v>
          </cell>
        </row>
        <row r="2218">
          <cell r="B2218" t="str">
            <v>Passo_Fundo</v>
          </cell>
          <cell r="D2218" t="str">
            <v>Armazenagem (%)</v>
          </cell>
          <cell r="E2218" t="str">
            <v>Cliente 11</v>
          </cell>
          <cell r="CD2218">
            <v>0</v>
          </cell>
        </row>
        <row r="2219">
          <cell r="B2219" t="str">
            <v>Passo_Fundo</v>
          </cell>
          <cell r="D2219" t="str">
            <v>Armazenagem (%)</v>
          </cell>
          <cell r="E2219" t="str">
            <v>Cliente 12</v>
          </cell>
          <cell r="CD2219">
            <v>0</v>
          </cell>
        </row>
        <row r="2220">
          <cell r="B2220" t="str">
            <v>Passo_Fundo</v>
          </cell>
          <cell r="D2220" t="str">
            <v>Armazenagem (%)</v>
          </cell>
          <cell r="E2220" t="str">
            <v>Cliente 13</v>
          </cell>
          <cell r="CD2220">
            <v>0</v>
          </cell>
        </row>
        <row r="2221">
          <cell r="B2221" t="str">
            <v>Passo_Fundo</v>
          </cell>
          <cell r="D2221" t="str">
            <v>Faturamento | Armazenagem (BRL'000)</v>
          </cell>
          <cell r="E2221" t="str">
            <v>Subtotal</v>
          </cell>
          <cell r="CD2221">
            <v>0</v>
          </cell>
        </row>
        <row r="2222">
          <cell r="B2222" t="str">
            <v>Passo_Fundo</v>
          </cell>
          <cell r="D2222" t="str">
            <v>Faturamento | Armazenagem (BRL'000)</v>
          </cell>
          <cell r="E2222" t="str">
            <v>AURORA LOCAÇÃO</v>
          </cell>
        </row>
        <row r="2223">
          <cell r="B2223" t="str">
            <v>Passo_Fundo</v>
          </cell>
          <cell r="D2223" t="str">
            <v>Faturamento | Armazenagem (BRL'000)</v>
          </cell>
          <cell r="E2223" t="str">
            <v>REITER LOCAÇÃO</v>
          </cell>
        </row>
        <row r="2224">
          <cell r="B2224" t="str">
            <v>Passo_Fundo</v>
          </cell>
          <cell r="D2224" t="str">
            <v>Faturamento | Armazenagem (BRL'000)</v>
          </cell>
          <cell r="E2224" t="str">
            <v>SANTA CLARA</v>
          </cell>
        </row>
        <row r="2225">
          <cell r="B2225" t="str">
            <v>Passo_Fundo</v>
          </cell>
          <cell r="D2225" t="str">
            <v>Faturamento | Armazenagem (BRL'000)</v>
          </cell>
          <cell r="E2225" t="str">
            <v>NUSEED</v>
          </cell>
        </row>
        <row r="2226">
          <cell r="B2226" t="str">
            <v>Passo_Fundo</v>
          </cell>
          <cell r="D2226" t="str">
            <v>Faturamento | Armazenagem (BRL'000)</v>
          </cell>
          <cell r="E2226" t="str">
            <v>Cliente 5</v>
          </cell>
        </row>
        <row r="2227">
          <cell r="B2227" t="str">
            <v>Passo_Fundo</v>
          </cell>
          <cell r="D2227" t="str">
            <v>Faturamento | Armazenagem (BRL'000)</v>
          </cell>
          <cell r="E2227" t="str">
            <v>Cliente 6</v>
          </cell>
        </row>
        <row r="2228">
          <cell r="B2228" t="str">
            <v>Passo_Fundo</v>
          </cell>
          <cell r="D2228" t="str">
            <v>Faturamento | Armazenagem (BRL'000)</v>
          </cell>
          <cell r="E2228" t="str">
            <v>Cliente 7</v>
          </cell>
        </row>
        <row r="2229">
          <cell r="B2229" t="str">
            <v>Passo_Fundo</v>
          </cell>
          <cell r="D2229" t="str">
            <v>Faturamento | Armazenagem (BRL'000)</v>
          </cell>
          <cell r="E2229" t="str">
            <v>Cliente 8</v>
          </cell>
        </row>
        <row r="2230">
          <cell r="B2230" t="str">
            <v>Passo_Fundo</v>
          </cell>
          <cell r="D2230" t="str">
            <v>Faturamento | Armazenagem (BRL'000)</v>
          </cell>
          <cell r="E2230" t="str">
            <v>Cliente 9</v>
          </cell>
        </row>
        <row r="2231">
          <cell r="B2231" t="str">
            <v>Passo_Fundo</v>
          </cell>
          <cell r="D2231" t="str">
            <v>Faturamento | Armazenagem (BRL'000)</v>
          </cell>
          <cell r="E2231" t="str">
            <v>Cliente 10</v>
          </cell>
        </row>
        <row r="2232">
          <cell r="B2232" t="str">
            <v>Passo_Fundo</v>
          </cell>
          <cell r="D2232" t="str">
            <v>Faturamento | Armazenagem (BRL'000)</v>
          </cell>
          <cell r="E2232" t="str">
            <v>Cliente 11</v>
          </cell>
        </row>
        <row r="2233">
          <cell r="B2233" t="str">
            <v>Passo_Fundo</v>
          </cell>
          <cell r="D2233" t="str">
            <v>Faturamento | Armazenagem (BRL'000)</v>
          </cell>
          <cell r="E2233" t="str">
            <v>Cliente 12</v>
          </cell>
        </row>
        <row r="2234">
          <cell r="B2234" t="str">
            <v>Passo_Fundo</v>
          </cell>
          <cell r="D2234" t="str">
            <v>Faturamento | Armazenagem (BRL'000)</v>
          </cell>
          <cell r="E2234" t="str">
            <v>Cliente 13</v>
          </cell>
        </row>
        <row r="2235">
          <cell r="B2235" t="str">
            <v>Passo_Fundo</v>
          </cell>
          <cell r="D2235" t="str">
            <v>Ticket Médio | Armazenagem (BRL)</v>
          </cell>
          <cell r="E2235" t="str">
            <v>Subtotal</v>
          </cell>
          <cell r="CD2235">
            <v>0</v>
          </cell>
        </row>
        <row r="2236">
          <cell r="B2236" t="str">
            <v>Passo_Fundo</v>
          </cell>
          <cell r="D2236" t="str">
            <v>Ticket Médio | Armazenagem (BRL)</v>
          </cell>
          <cell r="E2236" t="str">
            <v>AURORA LOCAÇÃO</v>
          </cell>
          <cell r="CD2236">
            <v>0</v>
          </cell>
        </row>
        <row r="2237">
          <cell r="B2237" t="str">
            <v>Passo_Fundo</v>
          </cell>
          <cell r="D2237" t="str">
            <v>Ticket Médio | Armazenagem (BRL)</v>
          </cell>
          <cell r="E2237" t="str">
            <v>REITER LOCAÇÃO</v>
          </cell>
          <cell r="CD2237">
            <v>0</v>
          </cell>
        </row>
        <row r="2238">
          <cell r="B2238" t="str">
            <v>Passo_Fundo</v>
          </cell>
          <cell r="D2238" t="str">
            <v>Ticket Médio | Armazenagem (BRL)</v>
          </cell>
          <cell r="E2238" t="str">
            <v>SANTA CLARA</v>
          </cell>
          <cell r="CD2238">
            <v>0</v>
          </cell>
        </row>
        <row r="2239">
          <cell r="B2239" t="str">
            <v>Passo_Fundo</v>
          </cell>
          <cell r="D2239" t="str">
            <v>Ticket Médio | Armazenagem (BRL)</v>
          </cell>
          <cell r="E2239" t="str">
            <v>NUSEED</v>
          </cell>
          <cell r="CD2239">
            <v>89.504999999999995</v>
          </cell>
        </row>
        <row r="2240">
          <cell r="B2240" t="str">
            <v>Passo_Fundo</v>
          </cell>
          <cell r="D2240" t="str">
            <v>Ticket Médio | Armazenagem (BRL)</v>
          </cell>
          <cell r="E2240" t="str">
            <v>Cliente 5</v>
          </cell>
          <cell r="CD2240">
            <v>0</v>
          </cell>
        </row>
        <row r="2241">
          <cell r="B2241" t="str">
            <v>Passo_Fundo</v>
          </cell>
          <cell r="D2241" t="str">
            <v>Ticket Médio | Armazenagem (BRL)</v>
          </cell>
          <cell r="E2241" t="str">
            <v>Cliente 6</v>
          </cell>
          <cell r="CD2241">
            <v>0</v>
          </cell>
        </row>
        <row r="2242">
          <cell r="B2242" t="str">
            <v>Passo_Fundo</v>
          </cell>
          <cell r="D2242" t="str">
            <v>Ticket Médio | Armazenagem (BRL)</v>
          </cell>
          <cell r="E2242" t="str">
            <v>Cliente 7</v>
          </cell>
          <cell r="CD2242">
            <v>0</v>
          </cell>
        </row>
        <row r="2243">
          <cell r="B2243" t="str">
            <v>Passo_Fundo</v>
          </cell>
          <cell r="D2243" t="str">
            <v>Ticket Médio | Armazenagem (BRL)</v>
          </cell>
          <cell r="E2243" t="str">
            <v>Cliente 8</v>
          </cell>
          <cell r="CD2243">
            <v>0</v>
          </cell>
        </row>
        <row r="2244">
          <cell r="B2244" t="str">
            <v>Passo_Fundo</v>
          </cell>
          <cell r="D2244" t="str">
            <v>Ticket Médio | Armazenagem (BRL)</v>
          </cell>
          <cell r="E2244" t="str">
            <v>Cliente 9</v>
          </cell>
          <cell r="CD2244">
            <v>0</v>
          </cell>
        </row>
        <row r="2245">
          <cell r="B2245" t="str">
            <v>Passo_Fundo</v>
          </cell>
          <cell r="D2245" t="str">
            <v>Ticket Médio | Armazenagem (BRL)</v>
          </cell>
          <cell r="E2245" t="str">
            <v>Cliente 10</v>
          </cell>
          <cell r="CD2245">
            <v>0</v>
          </cell>
        </row>
        <row r="2246">
          <cell r="B2246" t="str">
            <v>Passo_Fundo</v>
          </cell>
          <cell r="D2246" t="str">
            <v>Ticket Médio | Armazenagem (BRL)</v>
          </cell>
          <cell r="E2246" t="str">
            <v>Cliente 11</v>
          </cell>
          <cell r="CD2246">
            <v>0</v>
          </cell>
        </row>
        <row r="2247">
          <cell r="B2247" t="str">
            <v>Passo_Fundo</v>
          </cell>
          <cell r="D2247" t="str">
            <v>Ticket Médio | Armazenagem (BRL)</v>
          </cell>
          <cell r="E2247" t="str">
            <v>Cliente 12</v>
          </cell>
          <cell r="CD2247">
            <v>0</v>
          </cell>
        </row>
        <row r="2248">
          <cell r="B2248" t="str">
            <v>Passo_Fundo</v>
          </cell>
          <cell r="D2248" t="str">
            <v>Ticket Médio | Armazenagem (BRL)</v>
          </cell>
          <cell r="E2248" t="str">
            <v>Cliente 13</v>
          </cell>
          <cell r="CD2248">
            <v>0</v>
          </cell>
        </row>
        <row r="2249">
          <cell r="B2249" t="str">
            <v>Passo_Fundo</v>
          </cell>
          <cell r="D2249" t="str">
            <v>Movimentação (Toneladas)</v>
          </cell>
          <cell r="E2249" t="str">
            <v>Subtotal</v>
          </cell>
          <cell r="CD2249">
            <v>0</v>
          </cell>
        </row>
        <row r="2250">
          <cell r="B2250" t="str">
            <v>Passo_Fundo</v>
          </cell>
          <cell r="D2250" t="str">
            <v>Movimentação (Toneladas)</v>
          </cell>
          <cell r="E2250" t="str">
            <v>AURORA LOCAÇÃO</v>
          </cell>
        </row>
        <row r="2251">
          <cell r="B2251" t="str">
            <v>Passo_Fundo</v>
          </cell>
          <cell r="D2251" t="str">
            <v>Movimentação (Toneladas)</v>
          </cell>
          <cell r="E2251" t="str">
            <v>REITER LOCAÇÃO</v>
          </cell>
        </row>
        <row r="2252">
          <cell r="B2252" t="str">
            <v>Passo_Fundo</v>
          </cell>
          <cell r="D2252" t="str">
            <v>Movimentação (Toneladas)</v>
          </cell>
          <cell r="E2252" t="str">
            <v>SANTA CLARA</v>
          </cell>
        </row>
        <row r="2253">
          <cell r="B2253" t="str">
            <v>Passo_Fundo</v>
          </cell>
          <cell r="D2253" t="str">
            <v>Movimentação (Toneladas)</v>
          </cell>
          <cell r="E2253" t="str">
            <v>NUSEED</v>
          </cell>
        </row>
        <row r="2254">
          <cell r="B2254" t="str">
            <v>Passo_Fundo</v>
          </cell>
          <cell r="D2254" t="str">
            <v>Movimentação (Toneladas)</v>
          </cell>
          <cell r="E2254" t="str">
            <v>Cliente 5</v>
          </cell>
        </row>
        <row r="2255">
          <cell r="B2255" t="str">
            <v>Passo_Fundo</v>
          </cell>
          <cell r="D2255" t="str">
            <v>Movimentação (Toneladas)</v>
          </cell>
          <cell r="E2255" t="str">
            <v>Cliente 6</v>
          </cell>
        </row>
        <row r="2256">
          <cell r="B2256" t="str">
            <v>Passo_Fundo</v>
          </cell>
          <cell r="D2256" t="str">
            <v>Movimentação (Toneladas)</v>
          </cell>
          <cell r="E2256" t="str">
            <v>Cliente 7</v>
          </cell>
        </row>
        <row r="2257">
          <cell r="B2257" t="str">
            <v>Passo_Fundo</v>
          </cell>
          <cell r="D2257" t="str">
            <v>Movimentação (Toneladas)</v>
          </cell>
          <cell r="E2257" t="str">
            <v>Cliente 8</v>
          </cell>
        </row>
        <row r="2258">
          <cell r="B2258" t="str">
            <v>Passo_Fundo</v>
          </cell>
          <cell r="D2258" t="str">
            <v>Movimentação (Toneladas)</v>
          </cell>
          <cell r="E2258" t="str">
            <v>Cliente 9</v>
          </cell>
        </row>
        <row r="2259">
          <cell r="B2259" t="str">
            <v>Passo_Fundo</v>
          </cell>
          <cell r="D2259" t="str">
            <v>Movimentação (Toneladas)</v>
          </cell>
          <cell r="E2259" t="str">
            <v>Cliente 10</v>
          </cell>
        </row>
        <row r="2260">
          <cell r="B2260" t="str">
            <v>Passo_Fundo</v>
          </cell>
          <cell r="D2260" t="str">
            <v>Movimentação (Toneladas)</v>
          </cell>
          <cell r="E2260" t="str">
            <v>Cliente 11</v>
          </cell>
        </row>
        <row r="2261">
          <cell r="B2261" t="str">
            <v>Passo_Fundo</v>
          </cell>
          <cell r="D2261" t="str">
            <v>Movimentação (Toneladas)</v>
          </cell>
          <cell r="E2261" t="str">
            <v>Cliente 12</v>
          </cell>
        </row>
        <row r="2262">
          <cell r="B2262" t="str">
            <v>Passo_Fundo</v>
          </cell>
          <cell r="D2262" t="str">
            <v>Movimentação (Toneladas)</v>
          </cell>
          <cell r="E2262" t="str">
            <v>Cliente 13</v>
          </cell>
        </row>
        <row r="2263">
          <cell r="B2263" t="str">
            <v>Passo_Fundo</v>
          </cell>
          <cell r="D2263" t="str">
            <v>Faturamento | Movimentação (BRL'000)</v>
          </cell>
          <cell r="E2263" t="str">
            <v>Subtotal</v>
          </cell>
          <cell r="CD2263">
            <v>0</v>
          </cell>
        </row>
        <row r="2264">
          <cell r="B2264" t="str">
            <v>Passo_Fundo</v>
          </cell>
          <cell r="D2264" t="str">
            <v>Faturamento | Movimentação (BRL'000)</v>
          </cell>
          <cell r="E2264" t="str">
            <v>AURORA LOCAÇÃO</v>
          </cell>
        </row>
        <row r="2265">
          <cell r="B2265" t="str">
            <v>Passo_Fundo</v>
          </cell>
          <cell r="D2265" t="str">
            <v>Faturamento | Movimentação (BRL'000)</v>
          </cell>
          <cell r="E2265" t="str">
            <v>REITER LOCAÇÃO</v>
          </cell>
        </row>
        <row r="2266">
          <cell r="B2266" t="str">
            <v>Passo_Fundo</v>
          </cell>
          <cell r="D2266" t="str">
            <v>Faturamento | Movimentação (BRL'000)</v>
          </cell>
          <cell r="E2266" t="str">
            <v>SANTA CLARA</v>
          </cell>
        </row>
        <row r="2267">
          <cell r="B2267" t="str">
            <v>Passo_Fundo</v>
          </cell>
          <cell r="D2267" t="str">
            <v>Faturamento | Movimentação (BRL'000)</v>
          </cell>
          <cell r="E2267" t="str">
            <v>NUSEED</v>
          </cell>
        </row>
        <row r="2268">
          <cell r="B2268" t="str">
            <v>Passo_Fundo</v>
          </cell>
          <cell r="D2268" t="str">
            <v>Faturamento | Movimentação (BRL'000)</v>
          </cell>
          <cell r="E2268" t="str">
            <v>Cliente 5</v>
          </cell>
        </row>
        <row r="2269">
          <cell r="B2269" t="str">
            <v>Passo_Fundo</v>
          </cell>
          <cell r="D2269" t="str">
            <v>Faturamento | Movimentação (BRL'000)</v>
          </cell>
          <cell r="E2269" t="str">
            <v>Cliente 6</v>
          </cell>
        </row>
        <row r="2270">
          <cell r="B2270" t="str">
            <v>Passo_Fundo</v>
          </cell>
          <cell r="D2270" t="str">
            <v>Faturamento | Movimentação (BRL'000)</v>
          </cell>
          <cell r="E2270" t="str">
            <v>Cliente 7</v>
          </cell>
        </row>
        <row r="2271">
          <cell r="B2271" t="str">
            <v>Passo_Fundo</v>
          </cell>
          <cell r="D2271" t="str">
            <v>Faturamento | Movimentação (BRL'000)</v>
          </cell>
          <cell r="E2271" t="str">
            <v>Cliente 8</v>
          </cell>
        </row>
        <row r="2272">
          <cell r="B2272" t="str">
            <v>Passo_Fundo</v>
          </cell>
          <cell r="D2272" t="str">
            <v>Faturamento | Movimentação (BRL'000)</v>
          </cell>
          <cell r="E2272" t="str">
            <v>Cliente 9</v>
          </cell>
        </row>
        <row r="2273">
          <cell r="B2273" t="str">
            <v>Passo_Fundo</v>
          </cell>
          <cell r="D2273" t="str">
            <v>Faturamento | Movimentação (BRL'000)</v>
          </cell>
          <cell r="E2273" t="str">
            <v>Cliente 10</v>
          </cell>
        </row>
        <row r="2274">
          <cell r="B2274" t="str">
            <v>Passo_Fundo</v>
          </cell>
          <cell r="D2274" t="str">
            <v>Faturamento | Movimentação (BRL'000)</v>
          </cell>
          <cell r="E2274" t="str">
            <v>Cliente 11</v>
          </cell>
        </row>
        <row r="2275">
          <cell r="B2275" t="str">
            <v>Passo_Fundo</v>
          </cell>
          <cell r="D2275" t="str">
            <v>Faturamento | Movimentação (BRL'000)</v>
          </cell>
          <cell r="E2275" t="str">
            <v>Cliente 12</v>
          </cell>
        </row>
        <row r="2276">
          <cell r="B2276" t="str">
            <v>Passo_Fundo</v>
          </cell>
          <cell r="D2276" t="str">
            <v>Faturamento | Movimentação (BRL'000)</v>
          </cell>
          <cell r="E2276" t="str">
            <v>Cliente 13</v>
          </cell>
        </row>
        <row r="2277">
          <cell r="B2277" t="str">
            <v>Passo_Fundo</v>
          </cell>
          <cell r="D2277" t="str">
            <v>Ticket Médio | Movimentação (BRL)</v>
          </cell>
          <cell r="E2277" t="str">
            <v>Subtotal</v>
          </cell>
          <cell r="CD2277">
            <v>0</v>
          </cell>
        </row>
        <row r="2278">
          <cell r="B2278" t="str">
            <v>Passo_Fundo</v>
          </cell>
          <cell r="D2278" t="str">
            <v>Ticket Médio | Movimentação (BRL)</v>
          </cell>
          <cell r="E2278" t="str">
            <v>AURORA LOCAÇÃO</v>
          </cell>
          <cell r="CD2278">
            <v>0</v>
          </cell>
        </row>
        <row r="2279">
          <cell r="B2279" t="str">
            <v>Passo_Fundo</v>
          </cell>
          <cell r="D2279" t="str">
            <v>Ticket Médio | Movimentação (BRL)</v>
          </cell>
          <cell r="E2279" t="str">
            <v>REITER LOCAÇÃO</v>
          </cell>
          <cell r="CD2279">
            <v>0</v>
          </cell>
        </row>
        <row r="2280">
          <cell r="B2280" t="str">
            <v>Passo_Fundo</v>
          </cell>
          <cell r="D2280" t="str">
            <v>Ticket Médio | Movimentação (BRL)</v>
          </cell>
          <cell r="E2280" t="str">
            <v>SANTA CLARA</v>
          </cell>
          <cell r="CD2280">
            <v>0</v>
          </cell>
        </row>
        <row r="2281">
          <cell r="B2281" t="str">
            <v>Passo_Fundo</v>
          </cell>
          <cell r="D2281" t="str">
            <v>Ticket Médio | Movimentação (BRL)</v>
          </cell>
          <cell r="E2281" t="str">
            <v>NUSEED</v>
          </cell>
          <cell r="CD2281">
            <v>0</v>
          </cell>
        </row>
        <row r="2282">
          <cell r="B2282" t="str">
            <v>Passo_Fundo</v>
          </cell>
          <cell r="D2282" t="str">
            <v>Ticket Médio | Movimentação (BRL)</v>
          </cell>
          <cell r="E2282" t="str">
            <v>Cliente 5</v>
          </cell>
          <cell r="CD2282">
            <v>0</v>
          </cell>
        </row>
        <row r="2283">
          <cell r="B2283" t="str">
            <v>Passo_Fundo</v>
          </cell>
          <cell r="D2283" t="str">
            <v>Ticket Médio | Movimentação (BRL)</v>
          </cell>
          <cell r="E2283" t="str">
            <v>Cliente 6</v>
          </cell>
          <cell r="CD2283">
            <v>0</v>
          </cell>
        </row>
        <row r="2284">
          <cell r="B2284" t="str">
            <v>Passo_Fundo</v>
          </cell>
          <cell r="D2284" t="str">
            <v>Ticket Médio | Movimentação (BRL)</v>
          </cell>
          <cell r="E2284" t="str">
            <v>Cliente 7</v>
          </cell>
          <cell r="CD2284">
            <v>0</v>
          </cell>
        </row>
        <row r="2285">
          <cell r="B2285" t="str">
            <v>Passo_Fundo</v>
          </cell>
          <cell r="D2285" t="str">
            <v>Ticket Médio | Movimentação (BRL)</v>
          </cell>
          <cell r="E2285" t="str">
            <v>Cliente 8</v>
          </cell>
          <cell r="CD2285">
            <v>0</v>
          </cell>
        </row>
        <row r="2286">
          <cell r="B2286" t="str">
            <v>Passo_Fundo</v>
          </cell>
          <cell r="D2286" t="str">
            <v>Ticket Médio | Movimentação (BRL)</v>
          </cell>
          <cell r="E2286" t="str">
            <v>Cliente 9</v>
          </cell>
          <cell r="CD2286">
            <v>0</v>
          </cell>
        </row>
        <row r="2287">
          <cell r="B2287" t="str">
            <v>Passo_Fundo</v>
          </cell>
          <cell r="D2287" t="str">
            <v>Ticket Médio | Movimentação (BRL)</v>
          </cell>
          <cell r="E2287" t="str">
            <v>Cliente 10</v>
          </cell>
          <cell r="CD2287">
            <v>0</v>
          </cell>
        </row>
        <row r="2288">
          <cell r="B2288" t="str">
            <v>Passo_Fundo</v>
          </cell>
          <cell r="D2288" t="str">
            <v>Ticket Médio | Movimentação (BRL)</v>
          </cell>
          <cell r="E2288" t="str">
            <v>Cliente 11</v>
          </cell>
          <cell r="CD2288">
            <v>0</v>
          </cell>
        </row>
        <row r="2289">
          <cell r="B2289" t="str">
            <v>Passo_Fundo</v>
          </cell>
          <cell r="D2289" t="str">
            <v>Ticket Médio | Movimentação (BRL)</v>
          </cell>
          <cell r="E2289" t="str">
            <v>Cliente 12</v>
          </cell>
          <cell r="CD2289">
            <v>0</v>
          </cell>
        </row>
        <row r="2290">
          <cell r="B2290" t="str">
            <v>Passo_Fundo</v>
          </cell>
          <cell r="D2290" t="str">
            <v>Ticket Médio | Movimentação (BRL)</v>
          </cell>
          <cell r="E2290" t="str">
            <v>Cliente 13</v>
          </cell>
          <cell r="CD2290">
            <v>0</v>
          </cell>
        </row>
        <row r="2291">
          <cell r="B2291" t="str">
            <v>Passo_Fundo</v>
          </cell>
          <cell r="D2291" t="str">
            <v>Plugagem</v>
          </cell>
          <cell r="E2291" t="str">
            <v>Subtotal</v>
          </cell>
          <cell r="CD2291">
            <v>0</v>
          </cell>
        </row>
        <row r="2292">
          <cell r="B2292" t="str">
            <v>Passo_Fundo</v>
          </cell>
          <cell r="D2292" t="str">
            <v>Plugagem</v>
          </cell>
          <cell r="E2292" t="str">
            <v>AURORA LOCAÇÃO</v>
          </cell>
        </row>
        <row r="2293">
          <cell r="B2293" t="str">
            <v>Passo_Fundo</v>
          </cell>
          <cell r="D2293" t="str">
            <v>Plugagem</v>
          </cell>
          <cell r="E2293" t="str">
            <v>REITER LOCAÇÃO</v>
          </cell>
        </row>
        <row r="2294">
          <cell r="B2294" t="str">
            <v>Passo_Fundo</v>
          </cell>
          <cell r="D2294" t="str">
            <v>Plugagem</v>
          </cell>
          <cell r="E2294" t="str">
            <v>SANTA CLARA</v>
          </cell>
        </row>
        <row r="2295">
          <cell r="B2295" t="str">
            <v>Passo_Fundo</v>
          </cell>
          <cell r="D2295" t="str">
            <v>Plugagem</v>
          </cell>
          <cell r="E2295" t="str">
            <v>NUSEED</v>
          </cell>
        </row>
        <row r="2296">
          <cell r="B2296" t="str">
            <v>Passo_Fundo</v>
          </cell>
          <cell r="D2296" t="str">
            <v>Plugagem</v>
          </cell>
          <cell r="E2296" t="str">
            <v>Cliente 5</v>
          </cell>
        </row>
        <row r="2297">
          <cell r="B2297" t="str">
            <v>Passo_Fundo</v>
          </cell>
          <cell r="D2297" t="str">
            <v>Plugagem</v>
          </cell>
          <cell r="E2297" t="str">
            <v>Cliente 6</v>
          </cell>
        </row>
        <row r="2298">
          <cell r="B2298" t="str">
            <v>Passo_Fundo</v>
          </cell>
          <cell r="D2298" t="str">
            <v>Plugagem</v>
          </cell>
          <cell r="E2298" t="str">
            <v>Cliente 7</v>
          </cell>
        </row>
        <row r="2299">
          <cell r="B2299" t="str">
            <v>Passo_Fundo</v>
          </cell>
          <cell r="D2299" t="str">
            <v>Plugagem</v>
          </cell>
          <cell r="E2299" t="str">
            <v>Cliente 8</v>
          </cell>
        </row>
        <row r="2300">
          <cell r="B2300" t="str">
            <v>Passo_Fundo</v>
          </cell>
          <cell r="D2300" t="str">
            <v>Plugagem</v>
          </cell>
          <cell r="E2300" t="str">
            <v>Cliente 9</v>
          </cell>
        </row>
        <row r="2301">
          <cell r="B2301" t="str">
            <v>Passo_Fundo</v>
          </cell>
          <cell r="D2301" t="str">
            <v>Plugagem</v>
          </cell>
          <cell r="E2301" t="str">
            <v>Cliente 10</v>
          </cell>
        </row>
        <row r="2302">
          <cell r="B2302" t="str">
            <v>Passo_Fundo</v>
          </cell>
          <cell r="D2302" t="str">
            <v>Plugagem</v>
          </cell>
          <cell r="E2302" t="str">
            <v>Cliente 11</v>
          </cell>
        </row>
        <row r="2303">
          <cell r="B2303" t="str">
            <v>Passo_Fundo</v>
          </cell>
          <cell r="D2303" t="str">
            <v>Plugagem</v>
          </cell>
          <cell r="E2303" t="str">
            <v>Cliente 12</v>
          </cell>
        </row>
        <row r="2304">
          <cell r="B2304" t="str">
            <v>Passo_Fundo</v>
          </cell>
          <cell r="D2304" t="str">
            <v>Plugagem</v>
          </cell>
          <cell r="E2304" t="str">
            <v>Cliente 13</v>
          </cell>
        </row>
        <row r="2305">
          <cell r="B2305" t="str">
            <v>Passo_Fundo</v>
          </cell>
          <cell r="D2305" t="str">
            <v>Faturamento | Plugagem (BRL'000)</v>
          </cell>
          <cell r="E2305" t="str">
            <v>Subtotal</v>
          </cell>
          <cell r="CD2305">
            <v>0</v>
          </cell>
        </row>
        <row r="2306">
          <cell r="B2306" t="str">
            <v>Passo_Fundo</v>
          </cell>
          <cell r="D2306" t="str">
            <v>Faturamento | Plugagem (BRL'000)</v>
          </cell>
          <cell r="E2306" t="str">
            <v>AURORA LOCAÇÃO</v>
          </cell>
        </row>
        <row r="2307">
          <cell r="B2307" t="str">
            <v>Passo_Fundo</v>
          </cell>
          <cell r="D2307" t="str">
            <v>Faturamento | Plugagem (BRL'000)</v>
          </cell>
          <cell r="E2307" t="str">
            <v>REITER LOCAÇÃO</v>
          </cell>
        </row>
        <row r="2308">
          <cell r="B2308" t="str">
            <v>Passo_Fundo</v>
          </cell>
          <cell r="D2308" t="str">
            <v>Faturamento | Plugagem (BRL'000)</v>
          </cell>
          <cell r="E2308" t="str">
            <v>SANTA CLARA</v>
          </cell>
        </row>
        <row r="2309">
          <cell r="B2309" t="str">
            <v>Passo_Fundo</v>
          </cell>
          <cell r="D2309" t="str">
            <v>Faturamento | Plugagem (BRL'000)</v>
          </cell>
          <cell r="E2309" t="str">
            <v>NUSEED</v>
          </cell>
        </row>
        <row r="2310">
          <cell r="B2310" t="str">
            <v>Passo_Fundo</v>
          </cell>
          <cell r="D2310" t="str">
            <v>Faturamento | Plugagem (BRL'000)</v>
          </cell>
          <cell r="E2310" t="str">
            <v>Cliente 5</v>
          </cell>
        </row>
        <row r="2311">
          <cell r="B2311" t="str">
            <v>Passo_Fundo</v>
          </cell>
          <cell r="D2311" t="str">
            <v>Faturamento | Plugagem (BRL'000)</v>
          </cell>
          <cell r="E2311" t="str">
            <v>Cliente 6</v>
          </cell>
        </row>
        <row r="2312">
          <cell r="B2312" t="str">
            <v>Passo_Fundo</v>
          </cell>
          <cell r="D2312" t="str">
            <v>Faturamento | Plugagem (BRL'000)</v>
          </cell>
          <cell r="E2312" t="str">
            <v>Cliente 7</v>
          </cell>
        </row>
        <row r="2313">
          <cell r="B2313" t="str">
            <v>Passo_Fundo</v>
          </cell>
          <cell r="D2313" t="str">
            <v>Faturamento | Plugagem (BRL'000)</v>
          </cell>
          <cell r="E2313" t="str">
            <v>Cliente 8</v>
          </cell>
        </row>
        <row r="2314">
          <cell r="B2314" t="str">
            <v>Passo_Fundo</v>
          </cell>
          <cell r="D2314" t="str">
            <v>Faturamento | Plugagem (BRL'000)</v>
          </cell>
          <cell r="E2314" t="str">
            <v>Cliente 9</v>
          </cell>
        </row>
        <row r="2315">
          <cell r="B2315" t="str">
            <v>Passo_Fundo</v>
          </cell>
          <cell r="D2315" t="str">
            <v>Faturamento | Plugagem (BRL'000)</v>
          </cell>
          <cell r="E2315" t="str">
            <v>Cliente 10</v>
          </cell>
        </row>
        <row r="2316">
          <cell r="B2316" t="str">
            <v>Passo_Fundo</v>
          </cell>
          <cell r="D2316" t="str">
            <v>Faturamento | Plugagem (BRL'000)</v>
          </cell>
          <cell r="E2316" t="str">
            <v>Cliente 11</v>
          </cell>
        </row>
        <row r="2317">
          <cell r="B2317" t="str">
            <v>Passo_Fundo</v>
          </cell>
          <cell r="D2317" t="str">
            <v>Faturamento | Plugagem (BRL'000)</v>
          </cell>
          <cell r="E2317" t="str">
            <v>Cliente 12</v>
          </cell>
        </row>
        <row r="2318">
          <cell r="B2318" t="str">
            <v>Passo_Fundo</v>
          </cell>
          <cell r="D2318" t="str">
            <v>Faturamento | Plugagem (BRL'000)</v>
          </cell>
          <cell r="E2318" t="str">
            <v>Cliente 13</v>
          </cell>
        </row>
        <row r="2319">
          <cell r="B2319" t="str">
            <v>Passo_Fundo</v>
          </cell>
          <cell r="D2319" t="str">
            <v>Ticket Médio | Plugagem (BRL)</v>
          </cell>
          <cell r="E2319" t="str">
            <v>Subtotal</v>
          </cell>
          <cell r="CD2319">
            <v>0</v>
          </cell>
        </row>
        <row r="2320">
          <cell r="B2320" t="str">
            <v>Passo_Fundo</v>
          </cell>
          <cell r="D2320" t="str">
            <v>Ticket Médio | Plugagem (BRL)</v>
          </cell>
          <cell r="E2320" t="str">
            <v>AURORA LOCAÇÃO</v>
          </cell>
          <cell r="CD2320">
            <v>0</v>
          </cell>
        </row>
        <row r="2321">
          <cell r="B2321" t="str">
            <v>Passo_Fundo</v>
          </cell>
          <cell r="D2321" t="str">
            <v>Ticket Médio | Plugagem (BRL)</v>
          </cell>
          <cell r="E2321" t="str">
            <v>REITER LOCAÇÃO</v>
          </cell>
          <cell r="CD2321">
            <v>0</v>
          </cell>
        </row>
        <row r="2322">
          <cell r="B2322" t="str">
            <v>Passo_Fundo</v>
          </cell>
          <cell r="D2322" t="str">
            <v>Ticket Médio | Plugagem (BRL)</v>
          </cell>
          <cell r="E2322" t="str">
            <v>SANTA CLARA</v>
          </cell>
          <cell r="CD2322">
            <v>0</v>
          </cell>
        </row>
        <row r="2323">
          <cell r="B2323" t="str">
            <v>Passo_Fundo</v>
          </cell>
          <cell r="D2323" t="str">
            <v>Ticket Médio | Plugagem (BRL)</v>
          </cell>
          <cell r="E2323" t="str">
            <v>NUSEED</v>
          </cell>
          <cell r="CD2323">
            <v>0</v>
          </cell>
        </row>
        <row r="2324">
          <cell r="B2324" t="str">
            <v>Passo_Fundo</v>
          </cell>
          <cell r="D2324" t="str">
            <v>Ticket Médio | Plugagem (BRL)</v>
          </cell>
          <cell r="E2324" t="str">
            <v>Cliente 5</v>
          </cell>
          <cell r="CD2324">
            <v>0</v>
          </cell>
        </row>
        <row r="2325">
          <cell r="B2325" t="str">
            <v>Passo_Fundo</v>
          </cell>
          <cell r="D2325" t="str">
            <v>Ticket Médio | Plugagem (BRL)</v>
          </cell>
          <cell r="E2325" t="str">
            <v>Cliente 6</v>
          </cell>
          <cell r="CD2325">
            <v>0</v>
          </cell>
        </row>
        <row r="2326">
          <cell r="B2326" t="str">
            <v>Passo_Fundo</v>
          </cell>
          <cell r="D2326" t="str">
            <v>Ticket Médio | Plugagem (BRL)</v>
          </cell>
          <cell r="E2326" t="str">
            <v>Cliente 7</v>
          </cell>
          <cell r="CD2326">
            <v>0</v>
          </cell>
        </row>
        <row r="2327">
          <cell r="B2327" t="str">
            <v>Passo_Fundo</v>
          </cell>
          <cell r="D2327" t="str">
            <v>Ticket Médio | Plugagem (BRL)</v>
          </cell>
          <cell r="E2327" t="str">
            <v>Cliente 8</v>
          </cell>
          <cell r="CD2327">
            <v>0</v>
          </cell>
        </row>
        <row r="2328">
          <cell r="B2328" t="str">
            <v>Passo_Fundo</v>
          </cell>
          <cell r="D2328" t="str">
            <v>Ticket Médio | Plugagem (BRL)</v>
          </cell>
          <cell r="E2328" t="str">
            <v>Cliente 9</v>
          </cell>
          <cell r="CD2328">
            <v>0</v>
          </cell>
        </row>
        <row r="2329">
          <cell r="B2329" t="str">
            <v>Passo_Fundo</v>
          </cell>
          <cell r="D2329" t="str">
            <v>Ticket Médio | Plugagem (BRL)</v>
          </cell>
          <cell r="E2329" t="str">
            <v>Cliente 10</v>
          </cell>
          <cell r="CD2329">
            <v>0</v>
          </cell>
        </row>
        <row r="2330">
          <cell r="B2330" t="str">
            <v>Passo_Fundo</v>
          </cell>
          <cell r="D2330" t="str">
            <v>Ticket Médio | Plugagem (BRL)</v>
          </cell>
          <cell r="E2330" t="str">
            <v>Cliente 11</v>
          </cell>
          <cell r="CD2330">
            <v>0</v>
          </cell>
        </row>
        <row r="2331">
          <cell r="B2331" t="str">
            <v>Passo_Fundo</v>
          </cell>
          <cell r="D2331" t="str">
            <v>Ticket Médio | Plugagem (BRL)</v>
          </cell>
          <cell r="E2331" t="str">
            <v>Cliente 12</v>
          </cell>
          <cell r="CD2331">
            <v>0</v>
          </cell>
        </row>
        <row r="2332">
          <cell r="B2332" t="str">
            <v>Passo_Fundo</v>
          </cell>
          <cell r="D2332" t="str">
            <v>Ticket Médio | Plugagem (BRL)</v>
          </cell>
          <cell r="E2332" t="str">
            <v>Cliente 13</v>
          </cell>
          <cell r="CD2332">
            <v>0</v>
          </cell>
        </row>
        <row r="2333">
          <cell r="B2333" t="str">
            <v>Passo_Fundo</v>
          </cell>
          <cell r="D2333" t="str">
            <v>Faturamento | Adicional (BRL'000)</v>
          </cell>
          <cell r="E2333" t="str">
            <v>Subtotal</v>
          </cell>
          <cell r="CD2333">
            <v>0</v>
          </cell>
        </row>
        <row r="2334">
          <cell r="B2334" t="str">
            <v>Passo_Fundo</v>
          </cell>
          <cell r="D2334" t="str">
            <v>Faturamento | Adicional (BRL'000)</v>
          </cell>
          <cell r="E2334" t="str">
            <v>AURORA LOCAÇÃO</v>
          </cell>
        </row>
        <row r="2335">
          <cell r="B2335" t="str">
            <v>Passo_Fundo</v>
          </cell>
          <cell r="D2335" t="str">
            <v>Faturamento | Adicional (BRL'000)</v>
          </cell>
          <cell r="E2335" t="str">
            <v>REITER LOCAÇÃO</v>
          </cell>
        </row>
        <row r="2336">
          <cell r="B2336" t="str">
            <v>Passo_Fundo</v>
          </cell>
          <cell r="D2336" t="str">
            <v>Faturamento | Adicional (BRL'000)</v>
          </cell>
          <cell r="E2336" t="str">
            <v>SANTA CLARA</v>
          </cell>
        </row>
        <row r="2337">
          <cell r="B2337" t="str">
            <v>Passo_Fundo</v>
          </cell>
          <cell r="D2337" t="str">
            <v>Faturamento | Adicional (BRL'000)</v>
          </cell>
          <cell r="E2337" t="str">
            <v>NUSEED</v>
          </cell>
        </row>
        <row r="2338">
          <cell r="B2338" t="str">
            <v>Passo_Fundo</v>
          </cell>
          <cell r="D2338" t="str">
            <v>Faturamento | Adicional (BRL'000)</v>
          </cell>
          <cell r="E2338" t="str">
            <v>Cliente 5</v>
          </cell>
        </row>
        <row r="2339">
          <cell r="B2339" t="str">
            <v>Passo_Fundo</v>
          </cell>
          <cell r="D2339" t="str">
            <v>Faturamento | Adicional (BRL'000)</v>
          </cell>
          <cell r="E2339" t="str">
            <v>Cliente 6</v>
          </cell>
        </row>
        <row r="2340">
          <cell r="B2340" t="str">
            <v>Passo_Fundo</v>
          </cell>
          <cell r="D2340" t="str">
            <v>Faturamento | Adicional (BRL'000)</v>
          </cell>
          <cell r="E2340" t="str">
            <v>Cliente 7</v>
          </cell>
        </row>
        <row r="2341">
          <cell r="B2341" t="str">
            <v>Passo_Fundo</v>
          </cell>
          <cell r="D2341" t="str">
            <v>Faturamento | Adicional (BRL'000)</v>
          </cell>
          <cell r="E2341" t="str">
            <v>Cliente 8</v>
          </cell>
        </row>
        <row r="2342">
          <cell r="B2342" t="str">
            <v>Passo_Fundo</v>
          </cell>
          <cell r="D2342" t="str">
            <v>Faturamento | Adicional (BRL'000)</v>
          </cell>
          <cell r="E2342" t="str">
            <v>Cliente 9</v>
          </cell>
        </row>
        <row r="2343">
          <cell r="B2343" t="str">
            <v>Passo_Fundo</v>
          </cell>
          <cell r="D2343" t="str">
            <v>Faturamento | Adicional (BRL'000)</v>
          </cell>
          <cell r="E2343" t="str">
            <v>Cliente 10</v>
          </cell>
        </row>
        <row r="2344">
          <cell r="B2344" t="str">
            <v>Passo_Fundo</v>
          </cell>
          <cell r="D2344" t="str">
            <v>Faturamento | Adicional (BRL'000)</v>
          </cell>
          <cell r="E2344" t="str">
            <v>Cliente 11</v>
          </cell>
        </row>
        <row r="2345">
          <cell r="B2345" t="str">
            <v>Passo_Fundo</v>
          </cell>
          <cell r="D2345" t="str">
            <v>Faturamento | Adicional (BRL'000)</v>
          </cell>
          <cell r="E2345" t="str">
            <v>Cliente 12</v>
          </cell>
        </row>
        <row r="2346">
          <cell r="B2346" t="str">
            <v>Passo_Fundo</v>
          </cell>
          <cell r="D2346" t="str">
            <v>Faturamento | Adicional (BRL'000)</v>
          </cell>
          <cell r="E2346" t="str">
            <v>Cliente 13</v>
          </cell>
        </row>
        <row r="2347">
          <cell r="B2347" t="str">
            <v>Passo_Fundo</v>
          </cell>
          <cell r="D2347" t="str">
            <v>Faturamento | Seguros (BRL'000)</v>
          </cell>
          <cell r="E2347" t="str">
            <v>Subtotal</v>
          </cell>
          <cell r="CD2347">
            <v>0</v>
          </cell>
        </row>
        <row r="2348">
          <cell r="B2348" t="str">
            <v>Passo_Fundo</v>
          </cell>
          <cell r="D2348" t="str">
            <v>Faturamento | Seguros (BRL'000)</v>
          </cell>
          <cell r="E2348" t="str">
            <v>AURORA LOCAÇÃO</v>
          </cell>
        </row>
        <row r="2349">
          <cell r="B2349" t="str">
            <v>Passo_Fundo</v>
          </cell>
          <cell r="D2349" t="str">
            <v>Faturamento | Seguros (BRL'000)</v>
          </cell>
          <cell r="E2349" t="str">
            <v>REITER LOCAÇÃO</v>
          </cell>
        </row>
        <row r="2350">
          <cell r="B2350" t="str">
            <v>Passo_Fundo</v>
          </cell>
          <cell r="D2350" t="str">
            <v>Faturamento | Seguros (BRL'000)</v>
          </cell>
          <cell r="E2350" t="str">
            <v>SANTA CLARA</v>
          </cell>
        </row>
        <row r="2351">
          <cell r="B2351" t="str">
            <v>Passo_Fundo</v>
          </cell>
          <cell r="D2351" t="str">
            <v>Faturamento | Seguros (BRL'000)</v>
          </cell>
          <cell r="E2351" t="str">
            <v>NUSEED</v>
          </cell>
        </row>
        <row r="2352">
          <cell r="B2352" t="str">
            <v>Passo_Fundo</v>
          </cell>
          <cell r="D2352" t="str">
            <v>Faturamento | Seguros (BRL'000)</v>
          </cell>
          <cell r="E2352" t="str">
            <v>Cliente 5</v>
          </cell>
        </row>
        <row r="2353">
          <cell r="B2353" t="str">
            <v>Passo_Fundo</v>
          </cell>
          <cell r="D2353" t="str">
            <v>Faturamento | Seguros (BRL'000)</v>
          </cell>
          <cell r="E2353" t="str">
            <v>Cliente 6</v>
          </cell>
        </row>
        <row r="2354">
          <cell r="B2354" t="str">
            <v>Passo_Fundo</v>
          </cell>
          <cell r="D2354" t="str">
            <v>Faturamento | Seguros (BRL'000)</v>
          </cell>
          <cell r="E2354" t="str">
            <v>Cliente 7</v>
          </cell>
        </row>
        <row r="2355">
          <cell r="B2355" t="str">
            <v>Passo_Fundo</v>
          </cell>
          <cell r="D2355" t="str">
            <v>Faturamento | Seguros (BRL'000)</v>
          </cell>
          <cell r="E2355" t="str">
            <v>Cliente 8</v>
          </cell>
        </row>
        <row r="2356">
          <cell r="B2356" t="str">
            <v>Passo_Fundo</v>
          </cell>
          <cell r="D2356" t="str">
            <v>Faturamento | Seguros (BRL'000)</v>
          </cell>
          <cell r="E2356" t="str">
            <v>Cliente 9</v>
          </cell>
        </row>
        <row r="2357">
          <cell r="B2357" t="str">
            <v>Passo_Fundo</v>
          </cell>
          <cell r="D2357" t="str">
            <v>Faturamento | Seguros (BRL'000)</v>
          </cell>
          <cell r="E2357" t="str">
            <v>Cliente 10</v>
          </cell>
        </row>
        <row r="2358">
          <cell r="B2358" t="str">
            <v>Passo_Fundo</v>
          </cell>
          <cell r="D2358" t="str">
            <v>Faturamento | Seguros (BRL'000)</v>
          </cell>
          <cell r="E2358" t="str">
            <v>Cliente 11</v>
          </cell>
        </row>
        <row r="2359">
          <cell r="B2359" t="str">
            <v>Passo_Fundo</v>
          </cell>
          <cell r="D2359" t="str">
            <v>Faturamento | Seguros (BRL'000)</v>
          </cell>
          <cell r="E2359" t="str">
            <v>Cliente 12</v>
          </cell>
        </row>
        <row r="2360">
          <cell r="B2360" t="str">
            <v>Passo_Fundo</v>
          </cell>
          <cell r="D2360" t="str">
            <v>Faturamento | Seguros (BRL'000)</v>
          </cell>
          <cell r="E2360" t="str">
            <v>Cliente 13</v>
          </cell>
        </row>
        <row r="2361">
          <cell r="B2361" t="str">
            <v>Passo_Fundo</v>
          </cell>
          <cell r="D2361" t="str">
            <v>Faturamento | Locação (BRL'000)</v>
          </cell>
          <cell r="E2361" t="str">
            <v>Subtotal</v>
          </cell>
          <cell r="CD2361">
            <v>3319.2036054216001</v>
          </cell>
        </row>
        <row r="2362">
          <cell r="B2362" t="str">
            <v>Passo_Fundo</v>
          </cell>
          <cell r="D2362" t="str">
            <v>Faturamento | Locação (BRL'000)</v>
          </cell>
          <cell r="E2362" t="str">
            <v>AURORA LOCAÇÃO</v>
          </cell>
          <cell r="CD2362">
            <v>1298.8720724616001</v>
          </cell>
        </row>
        <row r="2363">
          <cell r="B2363" t="str">
            <v>Passo_Fundo</v>
          </cell>
          <cell r="D2363" t="str">
            <v>Faturamento | Locação (BRL'000)</v>
          </cell>
          <cell r="E2363" t="str">
            <v>REITER LOCAÇÃO</v>
          </cell>
          <cell r="CD2363">
            <v>850.33153295999955</v>
          </cell>
        </row>
        <row r="2364">
          <cell r="B2364" t="str">
            <v>Passo_Fundo</v>
          </cell>
          <cell r="D2364" t="str">
            <v>Faturamento | Locação (BRL'000)</v>
          </cell>
          <cell r="E2364" t="str">
            <v>SANTA CLARA</v>
          </cell>
          <cell r="CD2364">
            <v>1170</v>
          </cell>
        </row>
        <row r="2365">
          <cell r="B2365" t="str">
            <v>Passo_Fundo</v>
          </cell>
          <cell r="D2365" t="str">
            <v>Faturamento | Locação (BRL'000)</v>
          </cell>
          <cell r="E2365" t="str">
            <v>NUSEED</v>
          </cell>
          <cell r="CD2365">
            <v>0</v>
          </cell>
        </row>
        <row r="2366">
          <cell r="B2366" t="str">
            <v>Passo_Fundo</v>
          </cell>
          <cell r="D2366" t="str">
            <v>Faturamento | Locação (BRL'000)</v>
          </cell>
          <cell r="E2366" t="str">
            <v>Cliente 5</v>
          </cell>
          <cell r="CD2366">
            <v>0</v>
          </cell>
        </row>
        <row r="2367">
          <cell r="B2367" t="str">
            <v>Passo_Fundo</v>
          </cell>
          <cell r="D2367" t="str">
            <v>Faturamento | Locação (BRL'000)</v>
          </cell>
          <cell r="E2367" t="str">
            <v>Cliente 6</v>
          </cell>
          <cell r="CD2367">
            <v>0</v>
          </cell>
        </row>
        <row r="2368">
          <cell r="B2368" t="str">
            <v>Passo_Fundo</v>
          </cell>
          <cell r="D2368" t="str">
            <v>Faturamento | Locação (BRL'000)</v>
          </cell>
          <cell r="E2368" t="str">
            <v>Cliente 7</v>
          </cell>
          <cell r="CD2368">
            <v>0</v>
          </cell>
        </row>
        <row r="2369">
          <cell r="B2369" t="str">
            <v>Passo_Fundo</v>
          </cell>
          <cell r="D2369" t="str">
            <v>Faturamento | Locação (BRL'000)</v>
          </cell>
          <cell r="E2369" t="str">
            <v>Cliente 8</v>
          </cell>
          <cell r="CD2369">
            <v>0</v>
          </cell>
        </row>
        <row r="2370">
          <cell r="B2370" t="str">
            <v>Passo_Fundo</v>
          </cell>
          <cell r="D2370" t="str">
            <v>Faturamento | Locação (BRL'000)</v>
          </cell>
          <cell r="E2370" t="str">
            <v>Cliente 9</v>
          </cell>
          <cell r="CD2370">
            <v>0</v>
          </cell>
        </row>
        <row r="2371">
          <cell r="B2371" t="str">
            <v>Passo_Fundo</v>
          </cell>
          <cell r="D2371" t="str">
            <v>Faturamento | Locação (BRL'000)</v>
          </cell>
          <cell r="E2371" t="str">
            <v>Cliente 10</v>
          </cell>
          <cell r="CD2371">
            <v>0</v>
          </cell>
        </row>
        <row r="2372">
          <cell r="B2372" t="str">
            <v>Passo_Fundo</v>
          </cell>
          <cell r="D2372" t="str">
            <v>Faturamento | Locação (BRL'000)</v>
          </cell>
          <cell r="E2372" t="str">
            <v>Cliente 11</v>
          </cell>
          <cell r="CD2372">
            <v>0</v>
          </cell>
        </row>
        <row r="2373">
          <cell r="B2373" t="str">
            <v>Passo_Fundo</v>
          </cell>
          <cell r="D2373" t="str">
            <v>Faturamento | Locação (BRL'000)</v>
          </cell>
          <cell r="E2373" t="str">
            <v>Cliente 12</v>
          </cell>
          <cell r="CD2373">
            <v>0</v>
          </cell>
        </row>
        <row r="2374">
          <cell r="B2374" t="str">
            <v>Passo_Fundo</v>
          </cell>
          <cell r="D2374" t="str">
            <v>Faturamento | Locação (BRL'000)</v>
          </cell>
          <cell r="E2374" t="str">
            <v>Cliente 13</v>
          </cell>
          <cell r="CD2374">
            <v>0</v>
          </cell>
        </row>
        <row r="2375">
          <cell r="B2375" t="str">
            <v>IT02_Aurora</v>
          </cell>
          <cell r="D2375" t="str">
            <v>Faturamento Bruto</v>
          </cell>
          <cell r="E2375" t="str">
            <v>Gross Revenue</v>
          </cell>
          <cell r="CD2375">
            <v>9082.0637161279992</v>
          </cell>
        </row>
        <row r="2377">
          <cell r="B2377" t="str">
            <v>IT02_Aurora</v>
          </cell>
          <cell r="D2377" t="str">
            <v>Faturamento Bruto</v>
          </cell>
          <cell r="E2377" t="str">
            <v>Cliente 1</v>
          </cell>
          <cell r="CD2377">
            <v>9082.0637161279992</v>
          </cell>
        </row>
        <row r="2378">
          <cell r="B2378" t="str">
            <v>IT02_Aurora</v>
          </cell>
          <cell r="D2378" t="str">
            <v>Faturamento Bruto</v>
          </cell>
          <cell r="E2378" t="str">
            <v>Cliente 2</v>
          </cell>
          <cell r="CD2378">
            <v>0</v>
          </cell>
        </row>
        <row r="2379">
          <cell r="B2379" t="str">
            <v>IT02_Aurora</v>
          </cell>
          <cell r="D2379" t="str">
            <v>Faturamento Bruto</v>
          </cell>
          <cell r="E2379" t="str">
            <v>Cliente 3</v>
          </cell>
          <cell r="CD2379">
            <v>0</v>
          </cell>
        </row>
        <row r="2380">
          <cell r="B2380" t="str">
            <v>IT02_Aurora</v>
          </cell>
          <cell r="D2380" t="str">
            <v>Faturamento Bruto</v>
          </cell>
          <cell r="E2380" t="str">
            <v>Cliente 4</v>
          </cell>
          <cell r="CD2380">
            <v>0</v>
          </cell>
        </row>
        <row r="2381">
          <cell r="B2381" t="str">
            <v>IT02_Aurora</v>
          </cell>
          <cell r="D2381" t="str">
            <v>Faturamento Bruto</v>
          </cell>
          <cell r="E2381" t="str">
            <v>Cliente 5</v>
          </cell>
          <cell r="CD2381">
            <v>0</v>
          </cell>
        </row>
        <row r="2382">
          <cell r="B2382" t="str">
            <v>IT02_Aurora</v>
          </cell>
          <cell r="D2382" t="str">
            <v>Faturamento Bruto</v>
          </cell>
          <cell r="E2382" t="str">
            <v>Cliente 6</v>
          </cell>
          <cell r="CD2382">
            <v>0</v>
          </cell>
        </row>
        <row r="2383">
          <cell r="B2383" t="str">
            <v>IT02_Aurora</v>
          </cell>
          <cell r="D2383" t="str">
            <v>Faturamento Bruto</v>
          </cell>
          <cell r="E2383" t="str">
            <v>Cliente 7</v>
          </cell>
          <cell r="CD2383">
            <v>0</v>
          </cell>
        </row>
        <row r="2384">
          <cell r="B2384" t="str">
            <v>IT02_Aurora</v>
          </cell>
          <cell r="D2384" t="str">
            <v>Faturamento Bruto</v>
          </cell>
          <cell r="E2384" t="str">
            <v>Cliente 8</v>
          </cell>
          <cell r="CD2384">
            <v>0</v>
          </cell>
        </row>
        <row r="2385">
          <cell r="B2385" t="str">
            <v>IT02_Aurora</v>
          </cell>
          <cell r="D2385" t="str">
            <v>Faturamento Bruto</v>
          </cell>
          <cell r="E2385" t="str">
            <v>Cliente 9</v>
          </cell>
          <cell r="CD2385">
            <v>0</v>
          </cell>
        </row>
        <row r="2386">
          <cell r="B2386" t="str">
            <v>IT02_Aurora</v>
          </cell>
          <cell r="D2386" t="str">
            <v>Faturamento Bruto</v>
          </cell>
          <cell r="E2386" t="str">
            <v>Cliente 10</v>
          </cell>
          <cell r="CD2386">
            <v>0</v>
          </cell>
        </row>
        <row r="2387">
          <cell r="B2387" t="str">
            <v>IT02_Aurora</v>
          </cell>
          <cell r="D2387" t="str">
            <v>Faturamento Bruto</v>
          </cell>
          <cell r="E2387" t="str">
            <v>Cliente 11</v>
          </cell>
          <cell r="CD2387">
            <v>0</v>
          </cell>
        </row>
        <row r="2388">
          <cell r="B2388" t="str">
            <v>IT02_Aurora</v>
          </cell>
          <cell r="D2388" t="str">
            <v>Faturamento Bruto</v>
          </cell>
          <cell r="E2388" t="str">
            <v>Cliente 12</v>
          </cell>
          <cell r="CD2388">
            <v>0</v>
          </cell>
        </row>
        <row r="2389">
          <cell r="B2389" t="str">
            <v>IT02_Aurora</v>
          </cell>
          <cell r="D2389" t="str">
            <v>Faturamento Bruto</v>
          </cell>
          <cell r="E2389" t="str">
            <v>Cliente 13</v>
          </cell>
          <cell r="CD2389">
            <v>0</v>
          </cell>
        </row>
        <row r="2390">
          <cell r="B2390" t="str">
            <v>IT02_Aurora</v>
          </cell>
          <cell r="D2390" t="str">
            <v>Armazenagem (posição palet)</v>
          </cell>
          <cell r="E2390" t="str">
            <v>Subtotal</v>
          </cell>
          <cell r="CD2390">
            <v>0</v>
          </cell>
        </row>
        <row r="2391">
          <cell r="B2391" t="str">
            <v>IT02_Aurora</v>
          </cell>
          <cell r="D2391" t="str">
            <v>Armazenagem (posição palet)</v>
          </cell>
          <cell r="E2391" t="str">
            <v>Aurora</v>
          </cell>
        </row>
        <row r="2392">
          <cell r="B2392" t="str">
            <v>IT02_Aurora</v>
          </cell>
          <cell r="D2392" t="str">
            <v>Armazenagem (posição palet)</v>
          </cell>
          <cell r="E2392" t="str">
            <v>Cliente 2</v>
          </cell>
        </row>
        <row r="2393">
          <cell r="B2393" t="str">
            <v>IT02_Aurora</v>
          </cell>
          <cell r="D2393" t="str">
            <v>Armazenagem (posição palet)</v>
          </cell>
          <cell r="E2393" t="str">
            <v>Cliente 3</v>
          </cell>
        </row>
        <row r="2394">
          <cell r="B2394" t="str">
            <v>IT02_Aurora</v>
          </cell>
          <cell r="D2394" t="str">
            <v>Armazenagem (posição palet)</v>
          </cell>
          <cell r="E2394" t="str">
            <v>Cliente 4</v>
          </cell>
        </row>
        <row r="2395">
          <cell r="B2395" t="str">
            <v>IT02_Aurora</v>
          </cell>
          <cell r="D2395" t="str">
            <v>Armazenagem (posição palet)</v>
          </cell>
          <cell r="E2395" t="str">
            <v>Cliente 5</v>
          </cell>
        </row>
        <row r="2396">
          <cell r="B2396" t="str">
            <v>IT02_Aurora</v>
          </cell>
          <cell r="D2396" t="str">
            <v>Armazenagem (posição palet)</v>
          </cell>
          <cell r="E2396" t="str">
            <v>Cliente 6</v>
          </cell>
        </row>
        <row r="2397">
          <cell r="B2397" t="str">
            <v>IT02_Aurora</v>
          </cell>
          <cell r="D2397" t="str">
            <v>Armazenagem (posição palet)</v>
          </cell>
          <cell r="E2397" t="str">
            <v>Cliente 7</v>
          </cell>
        </row>
        <row r="2398">
          <cell r="B2398" t="str">
            <v>IT02_Aurora</v>
          </cell>
          <cell r="D2398" t="str">
            <v>Armazenagem (posição palet)</v>
          </cell>
          <cell r="E2398" t="str">
            <v>Cliente 8</v>
          </cell>
        </row>
        <row r="2399">
          <cell r="B2399" t="str">
            <v>IT02_Aurora</v>
          </cell>
          <cell r="D2399" t="str">
            <v>Armazenagem (posição palet)</v>
          </cell>
          <cell r="E2399" t="str">
            <v>Cliente 9</v>
          </cell>
        </row>
        <row r="2400">
          <cell r="B2400" t="str">
            <v>IT02_Aurora</v>
          </cell>
          <cell r="D2400" t="str">
            <v>Armazenagem (posição palet)</v>
          </cell>
          <cell r="E2400" t="str">
            <v>Cliente 10</v>
          </cell>
        </row>
        <row r="2401">
          <cell r="B2401" t="str">
            <v>IT02_Aurora</v>
          </cell>
          <cell r="D2401" t="str">
            <v>Armazenagem (posição palet)</v>
          </cell>
          <cell r="E2401" t="str">
            <v>Cliente 11</v>
          </cell>
        </row>
        <row r="2402">
          <cell r="B2402" t="str">
            <v>IT02_Aurora</v>
          </cell>
          <cell r="D2402" t="str">
            <v>Armazenagem (posição palet)</v>
          </cell>
          <cell r="E2402" t="str">
            <v>Cliente 12</v>
          </cell>
        </row>
        <row r="2403">
          <cell r="B2403" t="str">
            <v>IT02_Aurora</v>
          </cell>
          <cell r="D2403" t="str">
            <v>Armazenagem (posição palet)</v>
          </cell>
          <cell r="E2403" t="str">
            <v>Cliente 13</v>
          </cell>
        </row>
        <row r="2404">
          <cell r="B2404" t="str">
            <v>IT02_Aurora</v>
          </cell>
          <cell r="D2404" t="str">
            <v>Capacidade Total PP</v>
          </cell>
          <cell r="E2404" t="str">
            <v>CAPACIDADE</v>
          </cell>
          <cell r="CD2404">
            <v>17838</v>
          </cell>
        </row>
        <row r="2405">
          <cell r="B2405" t="str">
            <v>IT02_Aurora</v>
          </cell>
          <cell r="D2405" t="str">
            <v>Armazenagem (%)</v>
          </cell>
          <cell r="E2405" t="str">
            <v>Subtotal</v>
          </cell>
          <cell r="CD2405">
            <v>0</v>
          </cell>
        </row>
        <row r="2406">
          <cell r="B2406" t="str">
            <v>IT02_Aurora</v>
          </cell>
          <cell r="D2406" t="str">
            <v>Armazenagem (%)</v>
          </cell>
          <cell r="E2406" t="str">
            <v>Aurora</v>
          </cell>
          <cell r="CD2406">
            <v>0</v>
          </cell>
        </row>
        <row r="2407">
          <cell r="B2407" t="str">
            <v>IT02_Aurora</v>
          </cell>
          <cell r="D2407" t="str">
            <v>Armazenagem (%)</v>
          </cell>
          <cell r="E2407" t="str">
            <v>Cliente 2</v>
          </cell>
          <cell r="CD2407">
            <v>0</v>
          </cell>
        </row>
        <row r="2408">
          <cell r="B2408" t="str">
            <v>IT02_Aurora</v>
          </cell>
          <cell r="D2408" t="str">
            <v>Armazenagem (%)</v>
          </cell>
          <cell r="E2408" t="str">
            <v>Cliente 3</v>
          </cell>
          <cell r="CD2408">
            <v>0</v>
          </cell>
        </row>
        <row r="2409">
          <cell r="B2409" t="str">
            <v>IT02_Aurora</v>
          </cell>
          <cell r="D2409" t="str">
            <v>Armazenagem (%)</v>
          </cell>
          <cell r="E2409" t="str">
            <v>Cliente 4</v>
          </cell>
          <cell r="CD2409">
            <v>0</v>
          </cell>
        </row>
        <row r="2410">
          <cell r="B2410" t="str">
            <v>IT02_Aurora</v>
          </cell>
          <cell r="D2410" t="str">
            <v>Armazenagem (%)</v>
          </cell>
          <cell r="E2410" t="str">
            <v>Cliente 5</v>
          </cell>
          <cell r="CD2410">
            <v>0</v>
          </cell>
        </row>
        <row r="2411">
          <cell r="B2411" t="str">
            <v>IT02_Aurora</v>
          </cell>
          <cell r="D2411" t="str">
            <v>Armazenagem (%)</v>
          </cell>
          <cell r="E2411" t="str">
            <v>Cliente 6</v>
          </cell>
          <cell r="CD2411">
            <v>0</v>
          </cell>
        </row>
        <row r="2412">
          <cell r="B2412" t="str">
            <v>IT02_Aurora</v>
          </cell>
          <cell r="D2412" t="str">
            <v>Armazenagem (%)</v>
          </cell>
          <cell r="E2412" t="str">
            <v>Cliente 7</v>
          </cell>
          <cell r="CD2412">
            <v>0</v>
          </cell>
        </row>
        <row r="2413">
          <cell r="B2413" t="str">
            <v>IT02_Aurora</v>
          </cell>
          <cell r="D2413" t="str">
            <v>Armazenagem (%)</v>
          </cell>
          <cell r="E2413" t="str">
            <v>Cliente 8</v>
          </cell>
          <cell r="CD2413">
            <v>0</v>
          </cell>
        </row>
        <row r="2414">
          <cell r="B2414" t="str">
            <v>IT02_Aurora</v>
          </cell>
          <cell r="D2414" t="str">
            <v>Armazenagem (%)</v>
          </cell>
          <cell r="E2414" t="str">
            <v>Cliente 9</v>
          </cell>
          <cell r="CD2414">
            <v>0</v>
          </cell>
        </row>
        <row r="2415">
          <cell r="B2415" t="str">
            <v>IT02_Aurora</v>
          </cell>
          <cell r="D2415" t="str">
            <v>Armazenagem (%)</v>
          </cell>
          <cell r="E2415" t="str">
            <v>Cliente 10</v>
          </cell>
          <cell r="CD2415">
            <v>0</v>
          </cell>
        </row>
        <row r="2416">
          <cell r="B2416" t="str">
            <v>IT02_Aurora</v>
          </cell>
          <cell r="D2416" t="str">
            <v>Armazenagem (%)</v>
          </cell>
          <cell r="E2416" t="str">
            <v>Cliente 11</v>
          </cell>
          <cell r="CD2416">
            <v>0</v>
          </cell>
        </row>
        <row r="2417">
          <cell r="B2417" t="str">
            <v>IT02_Aurora</v>
          </cell>
          <cell r="D2417" t="str">
            <v>Armazenagem (%)</v>
          </cell>
          <cell r="E2417" t="str">
            <v>Cliente 12</v>
          </cell>
          <cell r="CD2417">
            <v>0</v>
          </cell>
        </row>
        <row r="2418">
          <cell r="B2418" t="str">
            <v>IT02_Aurora</v>
          </cell>
          <cell r="D2418" t="str">
            <v>Armazenagem (%)</v>
          </cell>
          <cell r="E2418" t="str">
            <v>Cliente 13</v>
          </cell>
          <cell r="CD2418">
            <v>0</v>
          </cell>
        </row>
        <row r="2419">
          <cell r="B2419" t="str">
            <v>IT02_Aurora</v>
          </cell>
          <cell r="D2419" t="str">
            <v>Faturamento | Armazenagem (BRL'000)</v>
          </cell>
          <cell r="E2419" t="str">
            <v>Subtotal</v>
          </cell>
          <cell r="CD2419">
            <v>0</v>
          </cell>
        </row>
        <row r="2420">
          <cell r="B2420" t="str">
            <v>IT02_Aurora</v>
          </cell>
          <cell r="D2420" t="str">
            <v>Faturamento | Armazenagem (BRL'000)</v>
          </cell>
          <cell r="E2420" t="str">
            <v>Aurora</v>
          </cell>
          <cell r="CD2420">
            <v>0</v>
          </cell>
        </row>
        <row r="2421">
          <cell r="B2421" t="str">
            <v>IT02_Aurora</v>
          </cell>
          <cell r="D2421" t="str">
            <v>Faturamento | Armazenagem (BRL'000)</v>
          </cell>
          <cell r="E2421" t="str">
            <v>Cliente 2</v>
          </cell>
          <cell r="CD2421">
            <v>0</v>
          </cell>
        </row>
        <row r="2422">
          <cell r="B2422" t="str">
            <v>IT02_Aurora</v>
          </cell>
          <cell r="D2422" t="str">
            <v>Faturamento | Armazenagem (BRL'000)</v>
          </cell>
          <cell r="E2422" t="str">
            <v>Cliente 3</v>
          </cell>
          <cell r="CD2422">
            <v>0</v>
          </cell>
        </row>
        <row r="2423">
          <cell r="B2423" t="str">
            <v>IT02_Aurora</v>
          </cell>
          <cell r="D2423" t="str">
            <v>Faturamento | Armazenagem (BRL'000)</v>
          </cell>
          <cell r="E2423" t="str">
            <v>Cliente 4</v>
          </cell>
          <cell r="CD2423">
            <v>0</v>
          </cell>
        </row>
        <row r="2424">
          <cell r="B2424" t="str">
            <v>IT02_Aurora</v>
          </cell>
          <cell r="D2424" t="str">
            <v>Faturamento | Armazenagem (BRL'000)</v>
          </cell>
          <cell r="E2424" t="str">
            <v>Cliente 5</v>
          </cell>
          <cell r="CD2424">
            <v>0</v>
          </cell>
        </row>
        <row r="2425">
          <cell r="B2425" t="str">
            <v>IT02_Aurora</v>
          </cell>
          <cell r="D2425" t="str">
            <v>Faturamento | Armazenagem (BRL'000)</v>
          </cell>
          <cell r="E2425" t="str">
            <v>Cliente 6</v>
          </cell>
          <cell r="CD2425">
            <v>0</v>
          </cell>
        </row>
        <row r="2426">
          <cell r="B2426" t="str">
            <v>IT02_Aurora</v>
          </cell>
          <cell r="D2426" t="str">
            <v>Faturamento | Armazenagem (BRL'000)</v>
          </cell>
          <cell r="E2426" t="str">
            <v>Cliente 7</v>
          </cell>
          <cell r="CD2426">
            <v>0</v>
          </cell>
        </row>
        <row r="2427">
          <cell r="B2427" t="str">
            <v>IT02_Aurora</v>
          </cell>
          <cell r="D2427" t="str">
            <v>Faturamento | Armazenagem (BRL'000)</v>
          </cell>
          <cell r="E2427" t="str">
            <v>Cliente 8</v>
          </cell>
          <cell r="CD2427">
            <v>0</v>
          </cell>
        </row>
        <row r="2428">
          <cell r="B2428" t="str">
            <v>IT02_Aurora</v>
          </cell>
          <cell r="D2428" t="str">
            <v>Faturamento | Armazenagem (BRL'000)</v>
          </cell>
          <cell r="E2428" t="str">
            <v>Cliente 9</v>
          </cell>
          <cell r="CD2428">
            <v>0</v>
          </cell>
        </row>
        <row r="2429">
          <cell r="B2429" t="str">
            <v>IT02_Aurora</v>
          </cell>
          <cell r="D2429" t="str">
            <v>Faturamento | Armazenagem (BRL'000)</v>
          </cell>
          <cell r="E2429" t="str">
            <v>Cliente 10</v>
          </cell>
          <cell r="CD2429">
            <v>0</v>
          </cell>
        </row>
        <row r="2430">
          <cell r="B2430" t="str">
            <v>IT02_Aurora</v>
          </cell>
          <cell r="D2430" t="str">
            <v>Faturamento | Armazenagem (BRL'000)</v>
          </cell>
          <cell r="E2430" t="str">
            <v>Cliente 11</v>
          </cell>
          <cell r="CD2430">
            <v>0</v>
          </cell>
        </row>
        <row r="2431">
          <cell r="B2431" t="str">
            <v>IT02_Aurora</v>
          </cell>
          <cell r="D2431" t="str">
            <v>Faturamento | Armazenagem (BRL'000)</v>
          </cell>
          <cell r="E2431" t="str">
            <v>Cliente 12</v>
          </cell>
          <cell r="CD2431">
            <v>0</v>
          </cell>
        </row>
        <row r="2432">
          <cell r="B2432" t="str">
            <v>IT02_Aurora</v>
          </cell>
          <cell r="D2432" t="str">
            <v>Faturamento | Armazenagem (BRL'000)</v>
          </cell>
          <cell r="E2432" t="str">
            <v>Cliente 13</v>
          </cell>
          <cell r="CD2432">
            <v>0</v>
          </cell>
        </row>
        <row r="2433">
          <cell r="B2433" t="str">
            <v>IT02_Aurora</v>
          </cell>
          <cell r="D2433" t="str">
            <v>Ticket Médio | Armazenagem (BRL)</v>
          </cell>
          <cell r="E2433" t="str">
            <v>Subtotal</v>
          </cell>
          <cell r="CD2433">
            <v>0</v>
          </cell>
        </row>
        <row r="2434">
          <cell r="B2434" t="str">
            <v>IT02_Aurora</v>
          </cell>
          <cell r="D2434" t="str">
            <v>Ticket Médio | Armazenagem (BRL)</v>
          </cell>
          <cell r="E2434" t="str">
            <v>Aurora</v>
          </cell>
          <cell r="CD2434">
            <v>0</v>
          </cell>
        </row>
        <row r="2435">
          <cell r="B2435" t="str">
            <v>IT02_Aurora</v>
          </cell>
          <cell r="D2435" t="str">
            <v>Ticket Médio | Armazenagem (BRL)</v>
          </cell>
          <cell r="E2435" t="str">
            <v>Cliente 2</v>
          </cell>
          <cell r="CD2435">
            <v>0</v>
          </cell>
        </row>
        <row r="2436">
          <cell r="B2436" t="str">
            <v>IT02_Aurora</v>
          </cell>
          <cell r="D2436" t="str">
            <v>Ticket Médio | Armazenagem (BRL)</v>
          </cell>
          <cell r="E2436" t="str">
            <v>Cliente 3</v>
          </cell>
          <cell r="CD2436">
            <v>0</v>
          </cell>
        </row>
        <row r="2437">
          <cell r="B2437" t="str">
            <v>IT02_Aurora</v>
          </cell>
          <cell r="D2437" t="str">
            <v>Ticket Médio | Armazenagem (BRL)</v>
          </cell>
          <cell r="E2437" t="str">
            <v>Cliente 4</v>
          </cell>
          <cell r="CD2437">
            <v>0</v>
          </cell>
        </row>
        <row r="2438">
          <cell r="B2438" t="str">
            <v>IT02_Aurora</v>
          </cell>
          <cell r="D2438" t="str">
            <v>Ticket Médio | Armazenagem (BRL)</v>
          </cell>
          <cell r="E2438" t="str">
            <v>Cliente 5</v>
          </cell>
          <cell r="CD2438">
            <v>0</v>
          </cell>
        </row>
        <row r="2439">
          <cell r="B2439" t="str">
            <v>IT02_Aurora</v>
          </cell>
          <cell r="D2439" t="str">
            <v>Ticket Médio | Armazenagem (BRL)</v>
          </cell>
          <cell r="E2439" t="str">
            <v>Cliente 6</v>
          </cell>
          <cell r="CD2439">
            <v>0</v>
          </cell>
        </row>
        <row r="2440">
          <cell r="B2440" t="str">
            <v>IT02_Aurora</v>
          </cell>
          <cell r="D2440" t="str">
            <v>Ticket Médio | Armazenagem (BRL)</v>
          </cell>
          <cell r="E2440" t="str">
            <v>Cliente 7</v>
          </cell>
          <cell r="CD2440">
            <v>0</v>
          </cell>
        </row>
        <row r="2441">
          <cell r="B2441" t="str">
            <v>IT02_Aurora</v>
          </cell>
          <cell r="D2441" t="str">
            <v>Ticket Médio | Armazenagem (BRL)</v>
          </cell>
          <cell r="E2441" t="str">
            <v>Cliente 8</v>
          </cell>
          <cell r="CD2441">
            <v>0</v>
          </cell>
        </row>
        <row r="2442">
          <cell r="B2442" t="str">
            <v>IT02_Aurora</v>
          </cell>
          <cell r="D2442" t="str">
            <v>Ticket Médio | Armazenagem (BRL)</v>
          </cell>
          <cell r="E2442" t="str">
            <v>Cliente 9</v>
          </cell>
          <cell r="CD2442">
            <v>0</v>
          </cell>
        </row>
        <row r="2443">
          <cell r="B2443" t="str">
            <v>IT02_Aurora</v>
          </cell>
          <cell r="D2443" t="str">
            <v>Ticket Médio | Armazenagem (BRL)</v>
          </cell>
          <cell r="E2443" t="str">
            <v>Cliente 10</v>
          </cell>
          <cell r="CD2443">
            <v>0</v>
          </cell>
        </row>
        <row r="2444">
          <cell r="B2444" t="str">
            <v>IT02_Aurora</v>
          </cell>
          <cell r="D2444" t="str">
            <v>Ticket Médio | Armazenagem (BRL)</v>
          </cell>
          <cell r="E2444" t="str">
            <v>Cliente 11</v>
          </cell>
          <cell r="CD2444">
            <v>0</v>
          </cell>
        </row>
        <row r="2445">
          <cell r="B2445" t="str">
            <v>IT02_Aurora</v>
          </cell>
          <cell r="D2445" t="str">
            <v>Ticket Médio | Armazenagem (BRL)</v>
          </cell>
          <cell r="E2445" t="str">
            <v>Cliente 12</v>
          </cell>
          <cell r="CD2445">
            <v>0</v>
          </cell>
        </row>
        <row r="2446">
          <cell r="B2446" t="str">
            <v>IT02_Aurora</v>
          </cell>
          <cell r="D2446" t="str">
            <v>Ticket Médio | Armazenagem (BRL)</v>
          </cell>
          <cell r="E2446" t="str">
            <v>Cliente 13</v>
          </cell>
          <cell r="CD2446">
            <v>0</v>
          </cell>
        </row>
        <row r="2447">
          <cell r="B2447" t="str">
            <v>IT02_Aurora</v>
          </cell>
          <cell r="D2447" t="str">
            <v>Movimentação (Toneladas)</v>
          </cell>
          <cell r="E2447" t="str">
            <v>Subtotal</v>
          </cell>
          <cell r="CD2447">
            <v>0</v>
          </cell>
        </row>
        <row r="2448">
          <cell r="B2448" t="str">
            <v>IT02_Aurora</v>
          </cell>
          <cell r="D2448" t="str">
            <v>Movimentação (Toneladas)</v>
          </cell>
          <cell r="E2448" t="str">
            <v>Aurora</v>
          </cell>
          <cell r="CD2448">
            <v>0</v>
          </cell>
        </row>
        <row r="2449">
          <cell r="B2449" t="str">
            <v>IT02_Aurora</v>
          </cell>
          <cell r="D2449" t="str">
            <v>Movimentação (Toneladas)</v>
          </cell>
          <cell r="E2449" t="str">
            <v>Cliente 2</v>
          </cell>
          <cell r="CD2449">
            <v>0</v>
          </cell>
        </row>
        <row r="2450">
          <cell r="B2450" t="str">
            <v>IT02_Aurora</v>
          </cell>
          <cell r="D2450" t="str">
            <v>Movimentação (Toneladas)</v>
          </cell>
          <cell r="E2450" t="str">
            <v>Cliente 3</v>
          </cell>
          <cell r="CD2450">
            <v>0</v>
          </cell>
        </row>
        <row r="2451">
          <cell r="B2451" t="str">
            <v>IT02_Aurora</v>
          </cell>
          <cell r="D2451" t="str">
            <v>Movimentação (Toneladas)</v>
          </cell>
          <cell r="E2451" t="str">
            <v>Cliente 4</v>
          </cell>
          <cell r="CD2451">
            <v>0</v>
          </cell>
        </row>
        <row r="2452">
          <cell r="B2452" t="str">
            <v>IT02_Aurora</v>
          </cell>
          <cell r="D2452" t="str">
            <v>Movimentação (Toneladas)</v>
          </cell>
          <cell r="E2452" t="str">
            <v>Cliente 5</v>
          </cell>
          <cell r="CD2452">
            <v>0</v>
          </cell>
        </row>
        <row r="2453">
          <cell r="B2453" t="str">
            <v>IT02_Aurora</v>
          </cell>
          <cell r="D2453" t="str">
            <v>Movimentação (Toneladas)</v>
          </cell>
          <cell r="E2453" t="str">
            <v>Cliente 6</v>
          </cell>
          <cell r="CD2453">
            <v>0</v>
          </cell>
        </row>
        <row r="2454">
          <cell r="B2454" t="str">
            <v>IT02_Aurora</v>
          </cell>
          <cell r="D2454" t="str">
            <v>Movimentação (Toneladas)</v>
          </cell>
          <cell r="E2454" t="str">
            <v>Cliente 7</v>
          </cell>
          <cell r="CD2454">
            <v>0</v>
          </cell>
        </row>
        <row r="2455">
          <cell r="B2455" t="str">
            <v>IT02_Aurora</v>
          </cell>
          <cell r="D2455" t="str">
            <v>Movimentação (Toneladas)</v>
          </cell>
          <cell r="E2455" t="str">
            <v>Cliente 8</v>
          </cell>
          <cell r="CD2455">
            <v>0</v>
          </cell>
        </row>
        <row r="2456">
          <cell r="B2456" t="str">
            <v>IT02_Aurora</v>
          </cell>
          <cell r="D2456" t="str">
            <v>Movimentação (Toneladas)</v>
          </cell>
          <cell r="E2456" t="str">
            <v>Cliente 9</v>
          </cell>
          <cell r="CD2456">
            <v>0</v>
          </cell>
        </row>
        <row r="2457">
          <cell r="B2457" t="str">
            <v>IT02_Aurora</v>
          </cell>
          <cell r="D2457" t="str">
            <v>Movimentação (Toneladas)</v>
          </cell>
          <cell r="E2457" t="str">
            <v>Cliente 10</v>
          </cell>
          <cell r="CD2457">
            <v>0</v>
          </cell>
        </row>
        <row r="2458">
          <cell r="B2458" t="str">
            <v>IT02_Aurora</v>
          </cell>
          <cell r="D2458" t="str">
            <v>Movimentação (Toneladas)</v>
          </cell>
          <cell r="E2458" t="str">
            <v>Cliente 11</v>
          </cell>
          <cell r="CD2458">
            <v>0</v>
          </cell>
        </row>
        <row r="2459">
          <cell r="B2459" t="str">
            <v>IT02_Aurora</v>
          </cell>
          <cell r="D2459" t="str">
            <v>Movimentação (Toneladas)</v>
          </cell>
          <cell r="E2459" t="str">
            <v>Cliente 12</v>
          </cell>
          <cell r="CD2459">
            <v>0</v>
          </cell>
        </row>
        <row r="2460">
          <cell r="B2460" t="str">
            <v>IT02_Aurora</v>
          </cell>
          <cell r="D2460" t="str">
            <v>Movimentação (Toneladas)</v>
          </cell>
          <cell r="E2460" t="str">
            <v>Cliente 13</v>
          </cell>
          <cell r="CD2460">
            <v>0</v>
          </cell>
        </row>
        <row r="2461">
          <cell r="B2461" t="str">
            <v>IT02_Aurora</v>
          </cell>
          <cell r="D2461" t="str">
            <v>Faturamento | Movimentação (BRL'000)</v>
          </cell>
          <cell r="E2461" t="str">
            <v>Subtotal</v>
          </cell>
          <cell r="CD2461">
            <v>0</v>
          </cell>
        </row>
        <row r="2462">
          <cell r="B2462" t="str">
            <v>IT02_Aurora</v>
          </cell>
          <cell r="D2462" t="str">
            <v>Faturamento | Movimentação (BRL'000)</v>
          </cell>
          <cell r="E2462" t="str">
            <v>Aurora</v>
          </cell>
          <cell r="CD2462">
            <v>0</v>
          </cell>
        </row>
        <row r="2463">
          <cell r="B2463" t="str">
            <v>IT02_Aurora</v>
          </cell>
          <cell r="D2463" t="str">
            <v>Faturamento | Movimentação (BRL'000)</v>
          </cell>
          <cell r="E2463" t="str">
            <v>Cliente 2</v>
          </cell>
          <cell r="CD2463">
            <v>0</v>
          </cell>
        </row>
        <row r="2464">
          <cell r="B2464" t="str">
            <v>IT02_Aurora</v>
          </cell>
          <cell r="D2464" t="str">
            <v>Faturamento | Movimentação (BRL'000)</v>
          </cell>
          <cell r="E2464" t="str">
            <v>Cliente 3</v>
          </cell>
          <cell r="CD2464">
            <v>0</v>
          </cell>
        </row>
        <row r="2465">
          <cell r="B2465" t="str">
            <v>IT02_Aurora</v>
          </cell>
          <cell r="D2465" t="str">
            <v>Faturamento | Movimentação (BRL'000)</v>
          </cell>
          <cell r="E2465" t="str">
            <v>Cliente 4</v>
          </cell>
          <cell r="CD2465">
            <v>0</v>
          </cell>
        </row>
        <row r="2466">
          <cell r="B2466" t="str">
            <v>IT02_Aurora</v>
          </cell>
          <cell r="D2466" t="str">
            <v>Faturamento | Movimentação (BRL'000)</v>
          </cell>
          <cell r="E2466" t="str">
            <v>Cliente 5</v>
          </cell>
          <cell r="CD2466">
            <v>0</v>
          </cell>
        </row>
        <row r="2467">
          <cell r="B2467" t="str">
            <v>IT02_Aurora</v>
          </cell>
          <cell r="D2467" t="str">
            <v>Faturamento | Movimentação (BRL'000)</v>
          </cell>
          <cell r="E2467" t="str">
            <v>Cliente 6</v>
          </cell>
          <cell r="CD2467">
            <v>0</v>
          </cell>
        </row>
        <row r="2468">
          <cell r="B2468" t="str">
            <v>IT02_Aurora</v>
          </cell>
          <cell r="D2468" t="str">
            <v>Faturamento | Movimentação (BRL'000)</v>
          </cell>
          <cell r="E2468" t="str">
            <v>Cliente 7</v>
          </cell>
          <cell r="CD2468">
            <v>0</v>
          </cell>
        </row>
        <row r="2469">
          <cell r="B2469" t="str">
            <v>IT02_Aurora</v>
          </cell>
          <cell r="D2469" t="str">
            <v>Faturamento | Movimentação (BRL'000)</v>
          </cell>
          <cell r="E2469" t="str">
            <v>Cliente 8</v>
          </cell>
          <cell r="CD2469">
            <v>0</v>
          </cell>
        </row>
        <row r="2470">
          <cell r="B2470" t="str">
            <v>IT02_Aurora</v>
          </cell>
          <cell r="D2470" t="str">
            <v>Faturamento | Movimentação (BRL'000)</v>
          </cell>
          <cell r="E2470" t="str">
            <v>Cliente 9</v>
          </cell>
          <cell r="CD2470">
            <v>0</v>
          </cell>
        </row>
        <row r="2471">
          <cell r="B2471" t="str">
            <v>IT02_Aurora</v>
          </cell>
          <cell r="D2471" t="str">
            <v>Faturamento | Movimentação (BRL'000)</v>
          </cell>
          <cell r="E2471" t="str">
            <v>Cliente 10</v>
          </cell>
          <cell r="CD2471">
            <v>0</v>
          </cell>
        </row>
        <row r="2472">
          <cell r="B2472" t="str">
            <v>IT02_Aurora</v>
          </cell>
          <cell r="D2472" t="str">
            <v>Faturamento | Movimentação (BRL'000)</v>
          </cell>
          <cell r="E2472" t="str">
            <v>Cliente 11</v>
          </cell>
          <cell r="CD2472">
            <v>0</v>
          </cell>
        </row>
        <row r="2473">
          <cell r="B2473" t="str">
            <v>IT02_Aurora</v>
          </cell>
          <cell r="D2473" t="str">
            <v>Faturamento | Movimentação (BRL'000)</v>
          </cell>
          <cell r="E2473" t="str">
            <v>Cliente 12</v>
          </cell>
          <cell r="CD2473">
            <v>0</v>
          </cell>
        </row>
        <row r="2474">
          <cell r="B2474" t="str">
            <v>IT02_Aurora</v>
          </cell>
          <cell r="D2474" t="str">
            <v>Faturamento | Movimentação (BRL'000)</v>
          </cell>
          <cell r="E2474" t="str">
            <v>Cliente 13</v>
          </cell>
          <cell r="CD2474">
            <v>0</v>
          </cell>
        </row>
        <row r="2475">
          <cell r="B2475" t="str">
            <v>IT02_Aurora</v>
          </cell>
          <cell r="D2475" t="str">
            <v>Ticket Médio | Movimentação (BRL)</v>
          </cell>
          <cell r="E2475" t="str">
            <v>Subtotal</v>
          </cell>
          <cell r="CD2475">
            <v>0</v>
          </cell>
        </row>
        <row r="2476">
          <cell r="B2476" t="str">
            <v>IT02_Aurora</v>
          </cell>
          <cell r="D2476" t="str">
            <v>Ticket Médio | Movimentação (BRL)</v>
          </cell>
          <cell r="E2476" t="str">
            <v>Aurora</v>
          </cell>
          <cell r="CD2476">
            <v>0</v>
          </cell>
        </row>
        <row r="2477">
          <cell r="B2477" t="str">
            <v>IT02_Aurora</v>
          </cell>
          <cell r="D2477" t="str">
            <v>Ticket Médio | Movimentação (BRL)</v>
          </cell>
          <cell r="E2477" t="str">
            <v>Cliente 2</v>
          </cell>
          <cell r="CD2477">
            <v>0</v>
          </cell>
        </row>
        <row r="2478">
          <cell r="B2478" t="str">
            <v>IT02_Aurora</v>
          </cell>
          <cell r="D2478" t="str">
            <v>Ticket Médio | Movimentação (BRL)</v>
          </cell>
          <cell r="E2478" t="str">
            <v>Cliente 3</v>
          </cell>
          <cell r="CD2478">
            <v>0</v>
          </cell>
        </row>
        <row r="2479">
          <cell r="B2479" t="str">
            <v>IT02_Aurora</v>
          </cell>
          <cell r="D2479" t="str">
            <v>Ticket Médio | Movimentação (BRL)</v>
          </cell>
          <cell r="E2479" t="str">
            <v>Cliente 4</v>
          </cell>
          <cell r="CD2479">
            <v>0</v>
          </cell>
        </row>
        <row r="2480">
          <cell r="B2480" t="str">
            <v>IT02_Aurora</v>
          </cell>
          <cell r="D2480" t="str">
            <v>Ticket Médio | Movimentação (BRL)</v>
          </cell>
          <cell r="E2480" t="str">
            <v>Cliente 5</v>
          </cell>
          <cell r="CD2480">
            <v>0</v>
          </cell>
        </row>
        <row r="2481">
          <cell r="B2481" t="str">
            <v>IT02_Aurora</v>
          </cell>
          <cell r="D2481" t="str">
            <v>Ticket Médio | Movimentação (BRL)</v>
          </cell>
          <cell r="E2481" t="str">
            <v>Cliente 6</v>
          </cell>
          <cell r="CD2481">
            <v>0</v>
          </cell>
        </row>
        <row r="2482">
          <cell r="B2482" t="str">
            <v>IT02_Aurora</v>
          </cell>
          <cell r="D2482" t="str">
            <v>Ticket Médio | Movimentação (BRL)</v>
          </cell>
          <cell r="E2482" t="str">
            <v>Cliente 7</v>
          </cell>
          <cell r="CD2482">
            <v>0</v>
          </cell>
        </row>
        <row r="2483">
          <cell r="B2483" t="str">
            <v>IT02_Aurora</v>
          </cell>
          <cell r="D2483" t="str">
            <v>Ticket Médio | Movimentação (BRL)</v>
          </cell>
          <cell r="E2483" t="str">
            <v>Cliente 8</v>
          </cell>
          <cell r="CD2483">
            <v>0</v>
          </cell>
        </row>
        <row r="2484">
          <cell r="B2484" t="str">
            <v>IT02_Aurora</v>
          </cell>
          <cell r="D2484" t="str">
            <v>Ticket Médio | Movimentação (BRL)</v>
          </cell>
          <cell r="E2484" t="str">
            <v>Cliente 9</v>
          </cell>
          <cell r="CD2484">
            <v>0</v>
          </cell>
        </row>
        <row r="2485">
          <cell r="B2485" t="str">
            <v>IT02_Aurora</v>
          </cell>
          <cell r="D2485" t="str">
            <v>Ticket Médio | Movimentação (BRL)</v>
          </cell>
          <cell r="E2485" t="str">
            <v>Cliente 10</v>
          </cell>
          <cell r="CD2485">
            <v>0</v>
          </cell>
        </row>
        <row r="2486">
          <cell r="B2486" t="str">
            <v>IT02_Aurora</v>
          </cell>
          <cell r="D2486" t="str">
            <v>Ticket Médio | Movimentação (BRL)</v>
          </cell>
          <cell r="E2486" t="str">
            <v>Cliente 11</v>
          </cell>
          <cell r="CD2486">
            <v>0</v>
          </cell>
        </row>
        <row r="2487">
          <cell r="B2487" t="str">
            <v>IT02_Aurora</v>
          </cell>
          <cell r="D2487" t="str">
            <v>Ticket Médio | Movimentação (BRL)</v>
          </cell>
          <cell r="E2487" t="str">
            <v>Cliente 12</v>
          </cell>
          <cell r="CD2487">
            <v>0</v>
          </cell>
        </row>
        <row r="2488">
          <cell r="B2488" t="str">
            <v>IT02_Aurora</v>
          </cell>
          <cell r="D2488" t="str">
            <v>Ticket Médio | Movimentação (BRL)</v>
          </cell>
          <cell r="E2488" t="str">
            <v>Cliente 13</v>
          </cell>
          <cell r="CD2488">
            <v>0</v>
          </cell>
        </row>
        <row r="2489">
          <cell r="B2489" t="str">
            <v>IT02_Aurora</v>
          </cell>
          <cell r="D2489" t="str">
            <v>Plugagem</v>
          </cell>
          <cell r="E2489" t="str">
            <v>Subtotal</v>
          </cell>
          <cell r="CD2489">
            <v>0</v>
          </cell>
        </row>
        <row r="2490">
          <cell r="B2490" t="str">
            <v>IT02_Aurora</v>
          </cell>
          <cell r="D2490" t="str">
            <v>Plugagem</v>
          </cell>
          <cell r="E2490" t="str">
            <v>Aurora</v>
          </cell>
          <cell r="CD2490">
            <v>0</v>
          </cell>
        </row>
        <row r="2491">
          <cell r="B2491" t="str">
            <v>IT02_Aurora</v>
          </cell>
          <cell r="D2491" t="str">
            <v>Plugagem</v>
          </cell>
          <cell r="E2491" t="str">
            <v>Cliente 2</v>
          </cell>
          <cell r="CD2491">
            <v>0</v>
          </cell>
        </row>
        <row r="2492">
          <cell r="B2492" t="str">
            <v>IT02_Aurora</v>
          </cell>
          <cell r="D2492" t="str">
            <v>Plugagem</v>
          </cell>
          <cell r="E2492" t="str">
            <v>Cliente 3</v>
          </cell>
          <cell r="CD2492">
            <v>0</v>
          </cell>
        </row>
        <row r="2493">
          <cell r="B2493" t="str">
            <v>IT02_Aurora</v>
          </cell>
          <cell r="D2493" t="str">
            <v>Plugagem</v>
          </cell>
          <cell r="E2493" t="str">
            <v>Cliente 4</v>
          </cell>
          <cell r="CD2493">
            <v>0</v>
          </cell>
        </row>
        <row r="2494">
          <cell r="B2494" t="str">
            <v>IT02_Aurora</v>
          </cell>
          <cell r="D2494" t="str">
            <v>Plugagem</v>
          </cell>
          <cell r="E2494" t="str">
            <v>Cliente 5</v>
          </cell>
          <cell r="CD2494">
            <v>0</v>
          </cell>
        </row>
        <row r="2495">
          <cell r="B2495" t="str">
            <v>IT02_Aurora</v>
          </cell>
          <cell r="D2495" t="str">
            <v>Plugagem</v>
          </cell>
          <cell r="E2495" t="str">
            <v>Cliente 6</v>
          </cell>
          <cell r="CD2495">
            <v>0</v>
          </cell>
        </row>
        <row r="2496">
          <cell r="B2496" t="str">
            <v>IT02_Aurora</v>
          </cell>
          <cell r="D2496" t="str">
            <v>Plugagem</v>
          </cell>
          <cell r="E2496" t="str">
            <v>Cliente 7</v>
          </cell>
          <cell r="CD2496">
            <v>0</v>
          </cell>
        </row>
        <row r="2497">
          <cell r="B2497" t="str">
            <v>IT02_Aurora</v>
          </cell>
          <cell r="D2497" t="str">
            <v>Plugagem</v>
          </cell>
          <cell r="E2497" t="str">
            <v>Cliente 8</v>
          </cell>
          <cell r="CD2497">
            <v>0</v>
          </cell>
        </row>
        <row r="2498">
          <cell r="B2498" t="str">
            <v>IT02_Aurora</v>
          </cell>
          <cell r="D2498" t="str">
            <v>Plugagem</v>
          </cell>
          <cell r="E2498" t="str">
            <v>Cliente 9</v>
          </cell>
          <cell r="CD2498">
            <v>0</v>
          </cell>
        </row>
        <row r="2499">
          <cell r="B2499" t="str">
            <v>IT02_Aurora</v>
          </cell>
          <cell r="D2499" t="str">
            <v>Plugagem</v>
          </cell>
          <cell r="E2499" t="str">
            <v>Cliente 10</v>
          </cell>
          <cell r="CD2499">
            <v>0</v>
          </cell>
        </row>
        <row r="2500">
          <cell r="B2500" t="str">
            <v>IT02_Aurora</v>
          </cell>
          <cell r="D2500" t="str">
            <v>Plugagem</v>
          </cell>
          <cell r="E2500" t="str">
            <v>Cliente 11</v>
          </cell>
          <cell r="CD2500">
            <v>0</v>
          </cell>
        </row>
        <row r="2501">
          <cell r="B2501" t="str">
            <v>IT02_Aurora</v>
          </cell>
          <cell r="D2501" t="str">
            <v>Plugagem</v>
          </cell>
          <cell r="E2501" t="str">
            <v>Cliente 12</v>
          </cell>
          <cell r="CD2501">
            <v>0</v>
          </cell>
        </row>
        <row r="2502">
          <cell r="B2502" t="str">
            <v>IT02_Aurora</v>
          </cell>
          <cell r="D2502" t="str">
            <v>Plugagem</v>
          </cell>
          <cell r="E2502" t="str">
            <v>Cliente 13</v>
          </cell>
          <cell r="CD2502">
            <v>0</v>
          </cell>
        </row>
        <row r="2503">
          <cell r="B2503" t="str">
            <v>IT02_Aurora</v>
          </cell>
          <cell r="D2503" t="str">
            <v>Faturamento | Plugagem (BRL'000)</v>
          </cell>
          <cell r="E2503" t="str">
            <v>Subtotal</v>
          </cell>
          <cell r="CD2503">
            <v>0</v>
          </cell>
        </row>
        <row r="2504">
          <cell r="B2504" t="str">
            <v>IT02_Aurora</v>
          </cell>
          <cell r="D2504" t="str">
            <v>Faturamento | Plugagem (BRL'000)</v>
          </cell>
          <cell r="E2504" t="str">
            <v>Aurora</v>
          </cell>
          <cell r="CD2504">
            <v>0</v>
          </cell>
        </row>
        <row r="2505">
          <cell r="B2505" t="str">
            <v>IT02_Aurora</v>
          </cell>
          <cell r="D2505" t="str">
            <v>Faturamento | Plugagem (BRL'000)</v>
          </cell>
          <cell r="E2505" t="str">
            <v>Cliente 2</v>
          </cell>
          <cell r="CD2505">
            <v>0</v>
          </cell>
        </row>
        <row r="2506">
          <cell r="B2506" t="str">
            <v>IT02_Aurora</v>
          </cell>
          <cell r="D2506" t="str">
            <v>Faturamento | Plugagem (BRL'000)</v>
          </cell>
          <cell r="E2506" t="str">
            <v>Cliente 3</v>
          </cell>
          <cell r="CD2506">
            <v>0</v>
          </cell>
        </row>
        <row r="2507">
          <cell r="B2507" t="str">
            <v>IT02_Aurora</v>
          </cell>
          <cell r="D2507" t="str">
            <v>Faturamento | Plugagem (BRL'000)</v>
          </cell>
          <cell r="E2507" t="str">
            <v>Cliente 4</v>
          </cell>
          <cell r="CD2507">
            <v>0</v>
          </cell>
        </row>
        <row r="2508">
          <cell r="B2508" t="str">
            <v>IT02_Aurora</v>
          </cell>
          <cell r="D2508" t="str">
            <v>Faturamento | Plugagem (BRL'000)</v>
          </cell>
          <cell r="E2508" t="str">
            <v>Cliente 5</v>
          </cell>
          <cell r="CD2508">
            <v>0</v>
          </cell>
        </row>
        <row r="2509">
          <cell r="B2509" t="str">
            <v>IT02_Aurora</v>
          </cell>
          <cell r="D2509" t="str">
            <v>Faturamento | Plugagem (BRL'000)</v>
          </cell>
          <cell r="E2509" t="str">
            <v>Cliente 6</v>
          </cell>
          <cell r="CD2509">
            <v>0</v>
          </cell>
        </row>
        <row r="2510">
          <cell r="B2510" t="str">
            <v>IT02_Aurora</v>
          </cell>
          <cell r="D2510" t="str">
            <v>Faturamento | Plugagem (BRL'000)</v>
          </cell>
          <cell r="E2510" t="str">
            <v>Cliente 7</v>
          </cell>
          <cell r="CD2510">
            <v>0</v>
          </cell>
        </row>
        <row r="2511">
          <cell r="B2511" t="str">
            <v>IT02_Aurora</v>
          </cell>
          <cell r="D2511" t="str">
            <v>Faturamento | Plugagem (BRL'000)</v>
          </cell>
          <cell r="E2511" t="str">
            <v>Cliente 8</v>
          </cell>
          <cell r="CD2511">
            <v>0</v>
          </cell>
        </row>
        <row r="2512">
          <cell r="B2512" t="str">
            <v>IT02_Aurora</v>
          </cell>
          <cell r="D2512" t="str">
            <v>Faturamento | Plugagem (BRL'000)</v>
          </cell>
          <cell r="E2512" t="str">
            <v>Cliente 9</v>
          </cell>
          <cell r="CD2512">
            <v>0</v>
          </cell>
        </row>
        <row r="2513">
          <cell r="B2513" t="str">
            <v>IT02_Aurora</v>
          </cell>
          <cell r="D2513" t="str">
            <v>Faturamento | Plugagem (BRL'000)</v>
          </cell>
          <cell r="E2513" t="str">
            <v>Cliente 10</v>
          </cell>
          <cell r="CD2513">
            <v>0</v>
          </cell>
        </row>
        <row r="2514">
          <cell r="B2514" t="str">
            <v>IT02_Aurora</v>
          </cell>
          <cell r="D2514" t="str">
            <v>Faturamento | Plugagem (BRL'000)</v>
          </cell>
          <cell r="E2514" t="str">
            <v>Cliente 11</v>
          </cell>
          <cell r="CD2514">
            <v>0</v>
          </cell>
        </row>
        <row r="2515">
          <cell r="B2515" t="str">
            <v>IT02_Aurora</v>
          </cell>
          <cell r="D2515" t="str">
            <v>Faturamento | Plugagem (BRL'000)</v>
          </cell>
          <cell r="E2515" t="str">
            <v>Cliente 12</v>
          </cell>
          <cell r="CD2515">
            <v>0</v>
          </cell>
        </row>
        <row r="2516">
          <cell r="B2516" t="str">
            <v>IT02_Aurora</v>
          </cell>
          <cell r="D2516" t="str">
            <v>Faturamento | Plugagem (BRL'000)</v>
          </cell>
          <cell r="E2516" t="str">
            <v>Cliente 13</v>
          </cell>
          <cell r="CD2516">
            <v>0</v>
          </cell>
        </row>
        <row r="2517">
          <cell r="B2517" t="str">
            <v>IT02_Aurora</v>
          </cell>
          <cell r="D2517" t="str">
            <v>Ticket Médio | Plugagem (BRL)</v>
          </cell>
          <cell r="E2517" t="str">
            <v>Subtotal</v>
          </cell>
          <cell r="CD2517">
            <v>0</v>
          </cell>
        </row>
        <row r="2518">
          <cell r="B2518" t="str">
            <v>IT02_Aurora</v>
          </cell>
          <cell r="D2518" t="str">
            <v>Ticket Médio | Plugagem (BRL)</v>
          </cell>
          <cell r="E2518" t="str">
            <v>Aurora</v>
          </cell>
          <cell r="CD2518">
            <v>0</v>
          </cell>
        </row>
        <row r="2519">
          <cell r="B2519" t="str">
            <v>IT02_Aurora</v>
          </cell>
          <cell r="D2519" t="str">
            <v>Ticket Médio | Plugagem (BRL)</v>
          </cell>
          <cell r="E2519" t="str">
            <v>Cliente 2</v>
          </cell>
          <cell r="CD2519">
            <v>0</v>
          </cell>
        </row>
        <row r="2520">
          <cell r="B2520" t="str">
            <v>IT02_Aurora</v>
          </cell>
          <cell r="D2520" t="str">
            <v>Ticket Médio | Plugagem (BRL)</v>
          </cell>
          <cell r="E2520" t="str">
            <v>Cliente 3</v>
          </cell>
          <cell r="CD2520">
            <v>0</v>
          </cell>
        </row>
        <row r="2521">
          <cell r="B2521" t="str">
            <v>IT02_Aurora</v>
          </cell>
          <cell r="D2521" t="str">
            <v>Ticket Médio | Plugagem (BRL)</v>
          </cell>
          <cell r="E2521" t="str">
            <v>Cliente 4</v>
          </cell>
          <cell r="CD2521">
            <v>0</v>
          </cell>
        </row>
        <row r="2522">
          <cell r="B2522" t="str">
            <v>IT02_Aurora</v>
          </cell>
          <cell r="D2522" t="str">
            <v>Ticket Médio | Plugagem (BRL)</v>
          </cell>
          <cell r="E2522" t="str">
            <v>Cliente 5</v>
          </cell>
          <cell r="CD2522">
            <v>0</v>
          </cell>
        </row>
        <row r="2523">
          <cell r="B2523" t="str">
            <v>IT02_Aurora</v>
          </cell>
          <cell r="D2523" t="str">
            <v>Ticket Médio | Plugagem (BRL)</v>
          </cell>
          <cell r="E2523" t="str">
            <v>Cliente 6</v>
          </cell>
          <cell r="CD2523">
            <v>0</v>
          </cell>
        </row>
        <row r="2524">
          <cell r="B2524" t="str">
            <v>IT02_Aurora</v>
          </cell>
          <cell r="D2524" t="str">
            <v>Ticket Médio | Plugagem (BRL)</v>
          </cell>
          <cell r="E2524" t="str">
            <v>Cliente 7</v>
          </cell>
          <cell r="CD2524">
            <v>0</v>
          </cell>
        </row>
        <row r="2525">
          <cell r="B2525" t="str">
            <v>IT02_Aurora</v>
          </cell>
          <cell r="D2525" t="str">
            <v>Ticket Médio | Plugagem (BRL)</v>
          </cell>
          <cell r="E2525" t="str">
            <v>Cliente 8</v>
          </cell>
          <cell r="CD2525">
            <v>0</v>
          </cell>
        </row>
        <row r="2526">
          <cell r="B2526" t="str">
            <v>IT02_Aurora</v>
          </cell>
          <cell r="D2526" t="str">
            <v>Ticket Médio | Plugagem (BRL)</v>
          </cell>
          <cell r="E2526" t="str">
            <v>Cliente 9</v>
          </cell>
          <cell r="CD2526">
            <v>0</v>
          </cell>
        </row>
        <row r="2527">
          <cell r="B2527" t="str">
            <v>IT02_Aurora</v>
          </cell>
          <cell r="D2527" t="str">
            <v>Ticket Médio | Plugagem (BRL)</v>
          </cell>
          <cell r="E2527" t="str">
            <v>Cliente 10</v>
          </cell>
          <cell r="CD2527">
            <v>0</v>
          </cell>
        </row>
        <row r="2528">
          <cell r="B2528" t="str">
            <v>IT02_Aurora</v>
          </cell>
          <cell r="D2528" t="str">
            <v>Ticket Médio | Plugagem (BRL)</v>
          </cell>
          <cell r="E2528" t="str">
            <v>Cliente 11</v>
          </cell>
          <cell r="CD2528">
            <v>0</v>
          </cell>
        </row>
        <row r="2529">
          <cell r="B2529" t="str">
            <v>IT02_Aurora</v>
          </cell>
          <cell r="D2529" t="str">
            <v>Ticket Médio | Plugagem (BRL)</v>
          </cell>
          <cell r="E2529" t="str">
            <v>Cliente 12</v>
          </cell>
          <cell r="CD2529">
            <v>0</v>
          </cell>
        </row>
        <row r="2530">
          <cell r="B2530" t="str">
            <v>IT02_Aurora</v>
          </cell>
          <cell r="D2530" t="str">
            <v>Ticket Médio | Plugagem (BRL)</v>
          </cell>
          <cell r="E2530" t="str">
            <v>Cliente 13</v>
          </cell>
          <cell r="CD2530">
            <v>0</v>
          </cell>
        </row>
        <row r="2531">
          <cell r="B2531" t="str">
            <v>IT02_Aurora</v>
          </cell>
          <cell r="D2531" t="str">
            <v>Faturamento | Adicional (BRL'000)</v>
          </cell>
          <cell r="E2531" t="str">
            <v>Subtotal</v>
          </cell>
          <cell r="CD2531">
            <v>0</v>
          </cell>
        </row>
        <row r="2532">
          <cell r="B2532" t="str">
            <v>IT02_Aurora</v>
          </cell>
          <cell r="D2532" t="str">
            <v>Faturamento | Adicional (BRL'000)</v>
          </cell>
          <cell r="E2532" t="str">
            <v>Aurora</v>
          </cell>
          <cell r="CD2532">
            <v>0</v>
          </cell>
        </row>
        <row r="2533">
          <cell r="B2533" t="str">
            <v>IT02_Aurora</v>
          </cell>
          <cell r="D2533" t="str">
            <v>Faturamento | Adicional (BRL'000)</v>
          </cell>
          <cell r="E2533" t="str">
            <v>Cliente 2</v>
          </cell>
          <cell r="CD2533">
            <v>0</v>
          </cell>
        </row>
        <row r="2534">
          <cell r="B2534" t="str">
            <v>IT02_Aurora</v>
          </cell>
          <cell r="D2534" t="str">
            <v>Faturamento | Adicional (BRL'000)</v>
          </cell>
          <cell r="E2534" t="str">
            <v>Cliente 3</v>
          </cell>
          <cell r="CD2534">
            <v>0</v>
          </cell>
        </row>
        <row r="2535">
          <cell r="B2535" t="str">
            <v>IT02_Aurora</v>
          </cell>
          <cell r="D2535" t="str">
            <v>Faturamento | Adicional (BRL'000)</v>
          </cell>
          <cell r="E2535" t="str">
            <v>Cliente 4</v>
          </cell>
          <cell r="CD2535">
            <v>0</v>
          </cell>
        </row>
        <row r="2536">
          <cell r="B2536" t="str">
            <v>IT02_Aurora</v>
          </cell>
          <cell r="D2536" t="str">
            <v>Faturamento | Adicional (BRL'000)</v>
          </cell>
          <cell r="E2536" t="str">
            <v>Cliente 5</v>
          </cell>
          <cell r="CD2536">
            <v>0</v>
          </cell>
        </row>
        <row r="2537">
          <cell r="B2537" t="str">
            <v>IT02_Aurora</v>
          </cell>
          <cell r="D2537" t="str">
            <v>Faturamento | Adicional (BRL'000)</v>
          </cell>
          <cell r="E2537" t="str">
            <v>Cliente 6</v>
          </cell>
          <cell r="CD2537">
            <v>0</v>
          </cell>
        </row>
        <row r="2538">
          <cell r="B2538" t="str">
            <v>IT02_Aurora</v>
          </cell>
          <cell r="D2538" t="str">
            <v>Faturamento | Adicional (BRL'000)</v>
          </cell>
          <cell r="E2538" t="str">
            <v>Cliente 7</v>
          </cell>
          <cell r="CD2538">
            <v>0</v>
          </cell>
        </row>
        <row r="2539">
          <cell r="B2539" t="str">
            <v>IT02_Aurora</v>
          </cell>
          <cell r="D2539" t="str">
            <v>Faturamento | Adicional (BRL'000)</v>
          </cell>
          <cell r="E2539" t="str">
            <v>Cliente 8</v>
          </cell>
          <cell r="CD2539">
            <v>0</v>
          </cell>
        </row>
        <row r="2540">
          <cell r="B2540" t="str">
            <v>IT02_Aurora</v>
          </cell>
          <cell r="D2540" t="str">
            <v>Faturamento | Adicional (BRL'000)</v>
          </cell>
          <cell r="E2540" t="str">
            <v>Cliente 9</v>
          </cell>
          <cell r="CD2540">
            <v>0</v>
          </cell>
        </row>
        <row r="2541">
          <cell r="B2541" t="str">
            <v>IT02_Aurora</v>
          </cell>
          <cell r="D2541" t="str">
            <v>Faturamento | Adicional (BRL'000)</v>
          </cell>
          <cell r="E2541" t="str">
            <v>Cliente 10</v>
          </cell>
          <cell r="CD2541">
            <v>0</v>
          </cell>
        </row>
        <row r="2542">
          <cell r="B2542" t="str">
            <v>IT02_Aurora</v>
          </cell>
          <cell r="D2542" t="str">
            <v>Faturamento | Adicional (BRL'000)</v>
          </cell>
          <cell r="E2542" t="str">
            <v>Cliente 11</v>
          </cell>
          <cell r="CD2542">
            <v>0</v>
          </cell>
        </row>
        <row r="2543">
          <cell r="B2543" t="str">
            <v>IT02_Aurora</v>
          </cell>
          <cell r="D2543" t="str">
            <v>Faturamento | Adicional (BRL'000)</v>
          </cell>
          <cell r="E2543" t="str">
            <v>Cliente 12</v>
          </cell>
          <cell r="CD2543">
            <v>0</v>
          </cell>
        </row>
        <row r="2544">
          <cell r="B2544" t="str">
            <v>IT02_Aurora</v>
          </cell>
          <cell r="D2544" t="str">
            <v>Faturamento | Adicional (BRL'000)</v>
          </cell>
          <cell r="E2544" t="str">
            <v>Cliente 13</v>
          </cell>
          <cell r="CD2544">
            <v>0</v>
          </cell>
        </row>
        <row r="2545">
          <cell r="B2545" t="str">
            <v>IT02_Aurora</v>
          </cell>
          <cell r="D2545" t="str">
            <v>Faturamento | Seguros (BRL'000)</v>
          </cell>
          <cell r="E2545" t="str">
            <v>Subtotal</v>
          </cell>
          <cell r="CD2545">
            <v>0</v>
          </cell>
        </row>
        <row r="2546">
          <cell r="B2546" t="str">
            <v>IT02_Aurora</v>
          </cell>
          <cell r="D2546" t="str">
            <v>Faturamento | Seguros (BRL'000)</v>
          </cell>
          <cell r="E2546" t="str">
            <v>Aurora</v>
          </cell>
          <cell r="CD2546">
            <v>0</v>
          </cell>
        </row>
        <row r="2547">
          <cell r="B2547" t="str">
            <v>IT02_Aurora</v>
          </cell>
          <cell r="D2547" t="str">
            <v>Faturamento | Seguros (BRL'000)</v>
          </cell>
          <cell r="E2547" t="str">
            <v>Cliente 2</v>
          </cell>
          <cell r="CD2547">
            <v>0</v>
          </cell>
        </row>
        <row r="2548">
          <cell r="B2548" t="str">
            <v>IT02_Aurora</v>
          </cell>
          <cell r="D2548" t="str">
            <v>Faturamento | Seguros (BRL'000)</v>
          </cell>
          <cell r="E2548" t="str">
            <v>Cliente 3</v>
          </cell>
          <cell r="CD2548">
            <v>0</v>
          </cell>
        </row>
        <row r="2549">
          <cell r="B2549" t="str">
            <v>IT02_Aurora</v>
          </cell>
          <cell r="D2549" t="str">
            <v>Faturamento | Seguros (BRL'000)</v>
          </cell>
          <cell r="E2549" t="str">
            <v>Cliente 4</v>
          </cell>
          <cell r="CD2549">
            <v>0</v>
          </cell>
        </row>
        <row r="2550">
          <cell r="B2550" t="str">
            <v>IT02_Aurora</v>
          </cell>
          <cell r="D2550" t="str">
            <v>Faturamento | Seguros (BRL'000)</v>
          </cell>
          <cell r="E2550" t="str">
            <v>Cliente 5</v>
          </cell>
          <cell r="CD2550">
            <v>0</v>
          </cell>
        </row>
        <row r="2551">
          <cell r="B2551" t="str">
            <v>IT02_Aurora</v>
          </cell>
          <cell r="D2551" t="str">
            <v>Faturamento | Seguros (BRL'000)</v>
          </cell>
          <cell r="E2551" t="str">
            <v>Cliente 6</v>
          </cell>
          <cell r="CD2551">
            <v>0</v>
          </cell>
        </row>
        <row r="2552">
          <cell r="B2552" t="str">
            <v>IT02_Aurora</v>
          </cell>
          <cell r="D2552" t="str">
            <v>Faturamento | Seguros (BRL'000)</v>
          </cell>
          <cell r="E2552" t="str">
            <v>Cliente 7</v>
          </cell>
          <cell r="CD2552">
            <v>0</v>
          </cell>
        </row>
        <row r="2553">
          <cell r="B2553" t="str">
            <v>IT02_Aurora</v>
          </cell>
          <cell r="D2553" t="str">
            <v>Faturamento | Seguros (BRL'000)</v>
          </cell>
          <cell r="E2553" t="str">
            <v>Cliente 8</v>
          </cell>
          <cell r="CD2553">
            <v>0</v>
          </cell>
        </row>
        <row r="2554">
          <cell r="B2554" t="str">
            <v>IT02_Aurora</v>
          </cell>
          <cell r="D2554" t="str">
            <v>Faturamento | Seguros (BRL'000)</v>
          </cell>
          <cell r="E2554" t="str">
            <v>Cliente 9</v>
          </cell>
          <cell r="CD2554">
            <v>0</v>
          </cell>
        </row>
        <row r="2555">
          <cell r="B2555" t="str">
            <v>IT02_Aurora</v>
          </cell>
          <cell r="D2555" t="str">
            <v>Faturamento | Seguros (BRL'000)</v>
          </cell>
          <cell r="E2555" t="str">
            <v>Cliente 10</v>
          </cell>
          <cell r="CD2555">
            <v>0</v>
          </cell>
        </row>
        <row r="2556">
          <cell r="B2556" t="str">
            <v>IT02_Aurora</v>
          </cell>
          <cell r="D2556" t="str">
            <v>Faturamento | Seguros (BRL'000)</v>
          </cell>
          <cell r="E2556" t="str">
            <v>Cliente 11</v>
          </cell>
          <cell r="CD2556">
            <v>0</v>
          </cell>
        </row>
        <row r="2557">
          <cell r="B2557" t="str">
            <v>IT02_Aurora</v>
          </cell>
          <cell r="D2557" t="str">
            <v>Faturamento | Seguros (BRL'000)</v>
          </cell>
          <cell r="E2557" t="str">
            <v>Cliente 12</v>
          </cell>
          <cell r="CD2557">
            <v>0</v>
          </cell>
        </row>
        <row r="2558">
          <cell r="B2558" t="str">
            <v>IT02_Aurora</v>
          </cell>
          <cell r="D2558" t="str">
            <v>Faturamento | Seguros (BRL'000)</v>
          </cell>
          <cell r="E2558" t="str">
            <v>Cliente 13</v>
          </cell>
          <cell r="CD2558">
            <v>0</v>
          </cell>
        </row>
        <row r="2559">
          <cell r="B2559" t="str">
            <v>IT02_Aurora</v>
          </cell>
          <cell r="D2559" t="str">
            <v>Faturamento | Locação (BRL'000)</v>
          </cell>
          <cell r="E2559" t="str">
            <v>Subtotal</v>
          </cell>
          <cell r="CD2559">
            <v>9082.0637161279992</v>
          </cell>
        </row>
        <row r="2560">
          <cell r="B2560" t="str">
            <v>IT02_Aurora</v>
          </cell>
          <cell r="D2560" t="str">
            <v>Faturamento | Locação (BRL'000)</v>
          </cell>
          <cell r="E2560" t="str">
            <v>Aurora</v>
          </cell>
          <cell r="CD2560">
            <v>9082.0637161279992</v>
          </cell>
        </row>
        <row r="2561">
          <cell r="B2561" t="str">
            <v>IT02_Aurora</v>
          </cell>
          <cell r="D2561" t="str">
            <v>Faturamento | Locação (BRL'000)</v>
          </cell>
          <cell r="E2561" t="str">
            <v>Cliente 2</v>
          </cell>
          <cell r="CD2561">
            <v>0</v>
          </cell>
        </row>
        <row r="2562">
          <cell r="B2562" t="str">
            <v>IT02_Aurora</v>
          </cell>
          <cell r="D2562" t="str">
            <v>Faturamento | Locação (BRL'000)</v>
          </cell>
          <cell r="E2562" t="str">
            <v>Cliente 3</v>
          </cell>
          <cell r="CD2562">
            <v>0</v>
          </cell>
        </row>
        <row r="2563">
          <cell r="B2563" t="str">
            <v>IT02_Aurora</v>
          </cell>
          <cell r="D2563" t="str">
            <v>Faturamento | Locação (BRL'000)</v>
          </cell>
          <cell r="E2563" t="str">
            <v>Cliente 4</v>
          </cell>
          <cell r="CD2563">
            <v>0</v>
          </cell>
        </row>
        <row r="2564">
          <cell r="B2564" t="str">
            <v>IT02_Aurora</v>
          </cell>
          <cell r="D2564" t="str">
            <v>Faturamento | Locação (BRL'000)</v>
          </cell>
          <cell r="E2564" t="str">
            <v>Cliente 5</v>
          </cell>
          <cell r="CD2564">
            <v>0</v>
          </cell>
        </row>
        <row r="2565">
          <cell r="B2565" t="str">
            <v>IT02_Aurora</v>
          </cell>
          <cell r="D2565" t="str">
            <v>Faturamento | Locação (BRL'000)</v>
          </cell>
          <cell r="E2565" t="str">
            <v>Cliente 6</v>
          </cell>
          <cell r="CD2565">
            <v>0</v>
          </cell>
        </row>
        <row r="2566">
          <cell r="B2566" t="str">
            <v>IT02_Aurora</v>
          </cell>
          <cell r="D2566" t="str">
            <v>Faturamento | Locação (BRL'000)</v>
          </cell>
          <cell r="E2566" t="str">
            <v>Cliente 7</v>
          </cell>
          <cell r="CD2566">
            <v>0</v>
          </cell>
        </row>
        <row r="2567">
          <cell r="B2567" t="str">
            <v>IT02_Aurora</v>
          </cell>
          <cell r="D2567" t="str">
            <v>Faturamento | Locação (BRL'000)</v>
          </cell>
          <cell r="E2567" t="str">
            <v>Cliente 8</v>
          </cell>
          <cell r="CD2567">
            <v>0</v>
          </cell>
        </row>
        <row r="2568">
          <cell r="B2568" t="str">
            <v>IT02_Aurora</v>
          </cell>
          <cell r="D2568" t="str">
            <v>Faturamento | Locação (BRL'000)</v>
          </cell>
          <cell r="E2568" t="str">
            <v>Cliente 9</v>
          </cell>
          <cell r="CD2568">
            <v>0</v>
          </cell>
        </row>
        <row r="2569">
          <cell r="B2569" t="str">
            <v>IT02_Aurora</v>
          </cell>
          <cell r="D2569" t="str">
            <v>Faturamento | Locação (BRL'000)</v>
          </cell>
          <cell r="E2569" t="str">
            <v>Cliente 10</v>
          </cell>
          <cell r="CD2569">
            <v>0</v>
          </cell>
        </row>
        <row r="2570">
          <cell r="B2570" t="str">
            <v>IT02_Aurora</v>
          </cell>
          <cell r="D2570" t="str">
            <v>Faturamento | Locação (BRL'000)</v>
          </cell>
          <cell r="E2570" t="str">
            <v>Cliente 11</v>
          </cell>
          <cell r="CD2570">
            <v>0</v>
          </cell>
        </row>
        <row r="2571">
          <cell r="B2571" t="str">
            <v>IT02_Aurora</v>
          </cell>
          <cell r="D2571" t="str">
            <v>Faturamento | Locação (BRL'000)</v>
          </cell>
          <cell r="E2571" t="str">
            <v>Cliente 12</v>
          </cell>
          <cell r="CD2571">
            <v>0</v>
          </cell>
        </row>
        <row r="2572">
          <cell r="B2572" t="str">
            <v>IT02_Aurora</v>
          </cell>
          <cell r="D2572" t="str">
            <v>Faturamento | Locação (BRL'000)</v>
          </cell>
          <cell r="E2572" t="str">
            <v>Cliente 13</v>
          </cell>
          <cell r="CD2572">
            <v>0</v>
          </cell>
        </row>
        <row r="2573">
          <cell r="B2573" t="str">
            <v>Recife_1</v>
          </cell>
          <cell r="D2573" t="str">
            <v>Faturamento | Locação (BRL'000)</v>
          </cell>
          <cell r="E2573" t="str">
            <v>Gross Revenue</v>
          </cell>
          <cell r="CD2573">
            <v>13049.578585758871</v>
          </cell>
        </row>
        <row r="2574">
          <cell r="B2574" t="str">
            <v>Recife_1</v>
          </cell>
          <cell r="D2574" t="str">
            <v>Faturamento | Locação (BRL'000)</v>
          </cell>
          <cell r="E2574" t="str">
            <v>COOPERATIVA CENTRAL AURORA ALIMENTO</v>
          </cell>
          <cell r="CD2574">
            <v>1350.24</v>
          </cell>
        </row>
        <row r="2575">
          <cell r="B2575" t="str">
            <v>Recife_1</v>
          </cell>
          <cell r="D2575" t="str">
            <v>Faturamento | Locação (BRL'000)</v>
          </cell>
          <cell r="E2575" t="str">
            <v>MATHEUS</v>
          </cell>
          <cell r="CD2575">
            <v>0</v>
          </cell>
        </row>
        <row r="2576">
          <cell r="B2576" t="str">
            <v>Recife_1</v>
          </cell>
          <cell r="D2576" t="str">
            <v>Faturamento | Locação (BRL'000)</v>
          </cell>
          <cell r="E2576" t="str">
            <v>MARTIN BROWER</v>
          </cell>
          <cell r="CD2576">
            <v>5621.4506445823999</v>
          </cell>
        </row>
        <row r="2577">
          <cell r="B2577" t="str">
            <v>Recife_1</v>
          </cell>
          <cell r="D2577" t="str">
            <v>Faturamento | Locação (BRL'000)</v>
          </cell>
          <cell r="E2577" t="str">
            <v>Novo cliente 1 - Reposição Matheus</v>
          </cell>
          <cell r="CD2577">
            <v>4595.5349999999989</v>
          </cell>
        </row>
        <row r="2578">
          <cell r="B2578" t="str">
            <v>Recife_1</v>
          </cell>
          <cell r="D2578" t="str">
            <v>Faturamento | Locação (BRL'000)</v>
          </cell>
          <cell r="E2578" t="str">
            <v>Novo cliente 2 - Reposição Aurora</v>
          </cell>
          <cell r="CD2578">
            <v>1482.35294117647</v>
          </cell>
        </row>
        <row r="2579">
          <cell r="B2579" t="str">
            <v>Recife_1</v>
          </cell>
          <cell r="D2579" t="str">
            <v>Faturamento | Locação (BRL'000)</v>
          </cell>
          <cell r="E2579" t="str">
            <v>Cliente 6</v>
          </cell>
          <cell r="CD2579">
            <v>0</v>
          </cell>
        </row>
        <row r="2580">
          <cell r="B2580" t="str">
            <v>Recife_1</v>
          </cell>
          <cell r="D2580" t="str">
            <v>Faturamento | Locação (BRL'000)</v>
          </cell>
          <cell r="E2580" t="str">
            <v>Cliente 7</v>
          </cell>
          <cell r="CD2580">
            <v>0</v>
          </cell>
        </row>
        <row r="2581">
          <cell r="B2581" t="str">
            <v>Recife_1</v>
          </cell>
          <cell r="D2581" t="str">
            <v>Faturamento | Locação (BRL'000)</v>
          </cell>
          <cell r="E2581" t="str">
            <v>Cliente 8</v>
          </cell>
          <cell r="CD2581">
            <v>0</v>
          </cell>
        </row>
        <row r="2582">
          <cell r="B2582" t="str">
            <v>Recife_1</v>
          </cell>
          <cell r="D2582" t="str">
            <v>Faturamento | Locação (BRL'000)</v>
          </cell>
          <cell r="E2582" t="str">
            <v>Cliente 9</v>
          </cell>
          <cell r="CD2582">
            <v>0</v>
          </cell>
        </row>
        <row r="2583">
          <cell r="B2583" t="str">
            <v>Recife_1</v>
          </cell>
          <cell r="D2583" t="str">
            <v>Faturamento | Locação (BRL'000)</v>
          </cell>
          <cell r="E2583" t="str">
            <v>Cliente 10</v>
          </cell>
          <cell r="CD2583">
            <v>0</v>
          </cell>
        </row>
        <row r="2584">
          <cell r="B2584" t="str">
            <v>Recife_1</v>
          </cell>
          <cell r="D2584" t="str">
            <v>Faturamento | Locação (BRL'000)</v>
          </cell>
          <cell r="E2584" t="str">
            <v>Cliente 11</v>
          </cell>
          <cell r="CD2584">
            <v>0</v>
          </cell>
        </row>
        <row r="2585">
          <cell r="B2585" t="str">
            <v>Recife_1</v>
          </cell>
          <cell r="D2585" t="str">
            <v>Faturamento | Locação (BRL'000)</v>
          </cell>
          <cell r="E2585" t="str">
            <v>Cliente 12</v>
          </cell>
          <cell r="CD2585">
            <v>0</v>
          </cell>
        </row>
        <row r="2586">
          <cell r="B2586" t="str">
            <v>Recife_1</v>
          </cell>
          <cell r="D2586" t="str">
            <v>Faturamento | Locação (BRL'000)</v>
          </cell>
          <cell r="E2586" t="str">
            <v>Cliente 13</v>
          </cell>
          <cell r="CD2586">
            <v>0</v>
          </cell>
        </row>
        <row r="2587">
          <cell r="B2587" t="str">
            <v>Recife_2</v>
          </cell>
          <cell r="D2587" t="str">
            <v>Faturamento | Locação (BRL'000)</v>
          </cell>
          <cell r="E2587" t="str">
            <v>Gross Revenue</v>
          </cell>
          <cell r="CD2587">
            <v>10644.716975933999</v>
          </cell>
        </row>
        <row r="2588">
          <cell r="B2588" t="str">
            <v>Recife_2</v>
          </cell>
          <cell r="D2588" t="str">
            <v>Faturamento | Locação (BRL'000)</v>
          </cell>
          <cell r="E2588" t="str">
            <v>JBS GROUP (Seara)</v>
          </cell>
          <cell r="CD2588">
            <v>5484.7169759340004</v>
          </cell>
        </row>
        <row r="2589">
          <cell r="B2589" t="str">
            <v>Recife_2</v>
          </cell>
          <cell r="D2589" t="str">
            <v>Faturamento | Locação (BRL'000)</v>
          </cell>
          <cell r="E2589" t="str">
            <v>MATHEUS</v>
          </cell>
          <cell r="CD2589">
            <v>0</v>
          </cell>
        </row>
        <row r="2590">
          <cell r="B2590" t="str">
            <v>Recife_2</v>
          </cell>
          <cell r="D2590" t="str">
            <v>Faturamento | Locação (BRL'000)</v>
          </cell>
          <cell r="E2590" t="str">
            <v>Novo Cliente - Reposição Matheus</v>
          </cell>
          <cell r="CD2590">
            <v>5160</v>
          </cell>
        </row>
        <row r="2591">
          <cell r="B2591" t="str">
            <v>Recife_2</v>
          </cell>
          <cell r="D2591" t="str">
            <v>Faturamento | Locação (BRL'000)</v>
          </cell>
          <cell r="E2591" t="str">
            <v>Cliente 4</v>
          </cell>
          <cell r="CD2591">
            <v>0</v>
          </cell>
        </row>
        <row r="2592">
          <cell r="B2592" t="str">
            <v>Recife_2</v>
          </cell>
          <cell r="D2592" t="str">
            <v>Faturamento | Locação (BRL'000)</v>
          </cell>
          <cell r="E2592" t="str">
            <v>Cliente 5</v>
          </cell>
          <cell r="CD2592">
            <v>0</v>
          </cell>
        </row>
        <row r="2593">
          <cell r="B2593" t="str">
            <v>Recife_2</v>
          </cell>
          <cell r="D2593" t="str">
            <v>Faturamento | Locação (BRL'000)</v>
          </cell>
          <cell r="E2593" t="str">
            <v>Cliente 6</v>
          </cell>
          <cell r="CD2593">
            <v>0</v>
          </cell>
        </row>
        <row r="2594">
          <cell r="B2594" t="str">
            <v>Recife_2</v>
          </cell>
          <cell r="D2594" t="str">
            <v>Faturamento | Locação (BRL'000)</v>
          </cell>
          <cell r="E2594" t="str">
            <v>Cliente 7</v>
          </cell>
          <cell r="CD2594">
            <v>0</v>
          </cell>
        </row>
        <row r="2595">
          <cell r="B2595" t="str">
            <v>Recife_2</v>
          </cell>
          <cell r="D2595" t="str">
            <v>Faturamento | Locação (BRL'000)</v>
          </cell>
          <cell r="E2595" t="str">
            <v>Cliente 8</v>
          </cell>
          <cell r="CD2595">
            <v>0</v>
          </cell>
        </row>
        <row r="2596">
          <cell r="B2596" t="str">
            <v>Recife_2</v>
          </cell>
          <cell r="D2596" t="str">
            <v>Faturamento | Locação (BRL'000)</v>
          </cell>
          <cell r="E2596" t="str">
            <v>Cliente 9</v>
          </cell>
          <cell r="CD2596">
            <v>0</v>
          </cell>
        </row>
        <row r="2597">
          <cell r="B2597" t="str">
            <v>Recife_2</v>
          </cell>
          <cell r="D2597" t="str">
            <v>Faturamento | Locação (BRL'000)</v>
          </cell>
          <cell r="E2597" t="str">
            <v>Cliente 10</v>
          </cell>
          <cell r="CD2597">
            <v>0</v>
          </cell>
        </row>
        <row r="2598">
          <cell r="B2598" t="str">
            <v>Recife_2</v>
          </cell>
          <cell r="D2598" t="str">
            <v>Faturamento | Locação (BRL'000)</v>
          </cell>
          <cell r="E2598" t="str">
            <v>Cliente 11</v>
          </cell>
          <cell r="CD2598">
            <v>0</v>
          </cell>
        </row>
        <row r="2599">
          <cell r="B2599" t="str">
            <v>Recife_2</v>
          </cell>
          <cell r="D2599" t="str">
            <v>Faturamento | Locação (BRL'000)</v>
          </cell>
          <cell r="E2599" t="str">
            <v>Cliente 12</v>
          </cell>
          <cell r="CD2599">
            <v>0</v>
          </cell>
        </row>
        <row r="2600">
          <cell r="B2600" t="str">
            <v>Recife_2</v>
          </cell>
          <cell r="D2600" t="str">
            <v>Faturamento | Locação (BRL'000)</v>
          </cell>
          <cell r="E2600" t="str">
            <v>Cliente 13</v>
          </cell>
          <cell r="CD2600">
            <v>0</v>
          </cell>
        </row>
        <row r="2601">
          <cell r="B2601" t="str">
            <v>Rio de Janeiro</v>
          </cell>
          <cell r="D2601" t="str">
            <v>Faturamento | Locação (BRL'000)</v>
          </cell>
          <cell r="E2601" t="str">
            <v>Gross Revenue</v>
          </cell>
          <cell r="CD2601">
            <v>27316.6293769</v>
          </cell>
        </row>
        <row r="2602">
          <cell r="B2602" t="str">
            <v>Rio de Janeiro</v>
          </cell>
          <cell r="D2602" t="str">
            <v>Faturamento | Locação (BRL'000)</v>
          </cell>
          <cell r="E2602" t="str">
            <v>BRF S.A</v>
          </cell>
          <cell r="CD2602">
            <v>22277.151776999999</v>
          </cell>
        </row>
        <row r="2603">
          <cell r="B2603" t="str">
            <v>Rio de Janeiro</v>
          </cell>
          <cell r="D2603" t="str">
            <v>Faturamento | Locação (BRL'000)</v>
          </cell>
          <cell r="E2603" t="str">
            <v>BRACCO IMAGING DO BRASIL IMP E DIST (1000005873)</v>
          </cell>
          <cell r="CD2603">
            <v>749.37896079999996</v>
          </cell>
        </row>
        <row r="2604">
          <cell r="B2604" t="str">
            <v>Rio de Janeiro</v>
          </cell>
          <cell r="D2604" t="str">
            <v>Faturamento | Locação (BRL'000)</v>
          </cell>
          <cell r="E2604" t="str">
            <v>DESCALVADO EXPRESS TRANSPORTES LTDA (1000005874)</v>
          </cell>
          <cell r="CD2604">
            <v>605.48592000000008</v>
          </cell>
        </row>
        <row r="2605">
          <cell r="B2605" t="str">
            <v>Rio de Janeiro</v>
          </cell>
          <cell r="D2605" t="str">
            <v>Faturamento | Locação (BRL'000)</v>
          </cell>
          <cell r="E2605" t="str">
            <v>IFCO SYSTEMS DO BRASIL SERVICOS DE  EMBALAGEM LTDA (1000005875)</v>
          </cell>
          <cell r="CD2605">
            <v>957.92620559999978</v>
          </cell>
        </row>
        <row r="2606">
          <cell r="B2606" t="str">
            <v>Rio de Janeiro</v>
          </cell>
          <cell r="D2606" t="str">
            <v>Faturamento | Locação (BRL'000)</v>
          </cell>
          <cell r="E2606" t="str">
            <v>NORSULCARGO NAVEGACAO S A (1000005877)</v>
          </cell>
          <cell r="CD2606">
            <v>574.96218599999997</v>
          </cell>
        </row>
        <row r="2607">
          <cell r="B2607" t="str">
            <v>Rio de Janeiro</v>
          </cell>
          <cell r="D2607" t="str">
            <v>Faturamento | Locação (BRL'000)</v>
          </cell>
          <cell r="E2607" t="str">
            <v>RIO COLOR DISTRIBUIDORA DE MATERIAI  CONSTRUCAO LTDA (1000005876)</v>
          </cell>
          <cell r="CD2607">
            <v>577.56042749999983</v>
          </cell>
        </row>
        <row r="2608">
          <cell r="B2608" t="str">
            <v>Rio de Janeiro</v>
          </cell>
          <cell r="D2608" t="str">
            <v>Faturamento | Locação (BRL'000)</v>
          </cell>
          <cell r="E2608" t="str">
            <v>TRANSCARAPIA TRANSPORTES LTDA (1000005878)</v>
          </cell>
          <cell r="CD2608">
            <v>579.91390000000001</v>
          </cell>
        </row>
        <row r="2609">
          <cell r="B2609" t="str">
            <v>Rio de Janeiro</v>
          </cell>
          <cell r="D2609" t="str">
            <v>Faturamento | Locação (BRL'000)</v>
          </cell>
          <cell r="E2609" t="str">
            <v>SALONLINE</v>
          </cell>
          <cell r="CD2609">
            <v>502.25000000000011</v>
          </cell>
        </row>
        <row r="2610">
          <cell r="B2610" t="str">
            <v>Rio de Janeiro</v>
          </cell>
          <cell r="D2610" t="str">
            <v>Faturamento | Locação (BRL'000)</v>
          </cell>
          <cell r="E2610" t="str">
            <v>Novo cliente</v>
          </cell>
          <cell r="CD2610">
            <v>492</v>
          </cell>
        </row>
        <row r="2611">
          <cell r="B2611" t="str">
            <v>Rio de Janeiro</v>
          </cell>
          <cell r="D2611" t="str">
            <v>Faturamento | Locação (BRL'000)</v>
          </cell>
          <cell r="E2611" t="str">
            <v>Cliente 10</v>
          </cell>
          <cell r="CD2611">
            <v>0</v>
          </cell>
        </row>
        <row r="2612">
          <cell r="B2612" t="str">
            <v>Rio de Janeiro</v>
          </cell>
          <cell r="D2612" t="str">
            <v>Faturamento | Locação (BRL'000)</v>
          </cell>
          <cell r="E2612" t="str">
            <v>Cliente 11</v>
          </cell>
          <cell r="CD2612">
            <v>0</v>
          </cell>
        </row>
        <row r="2613">
          <cell r="B2613" t="str">
            <v>Rio de Janeiro</v>
          </cell>
          <cell r="D2613" t="str">
            <v>Faturamento | Locação (BRL'000)</v>
          </cell>
          <cell r="E2613" t="str">
            <v>Cliente 12</v>
          </cell>
          <cell r="CD2613">
            <v>0</v>
          </cell>
        </row>
        <row r="2614">
          <cell r="B2614" t="str">
            <v>Rio de Janeiro</v>
          </cell>
          <cell r="D2614" t="str">
            <v>Faturamento | Locação (BRL'000)</v>
          </cell>
          <cell r="E2614" t="str">
            <v>Cliente 13</v>
          </cell>
          <cell r="CD2614">
            <v>0</v>
          </cell>
        </row>
        <row r="2619">
          <cell r="E2619" t="str">
            <v>ESTOQUE</v>
          </cell>
        </row>
        <row r="2620">
          <cell r="E2620" t="str">
            <v>MOVIMENTAÇÃO</v>
          </cell>
        </row>
        <row r="2621">
          <cell r="E2621" t="str">
            <v>GIRO</v>
          </cell>
        </row>
        <row r="2626">
          <cell r="E2626">
            <v>0.58823529411764697</v>
          </cell>
        </row>
        <row r="2660">
          <cell r="CD2660">
            <v>301.29334804786009</v>
          </cell>
        </row>
      </sheetData>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na Nagatani" refreshedDate="45894.713987499999" createdVersion="8" refreshedVersion="8" minRefreshableVersion="3" recordCount="273" xr:uid="{83EFC271-B7FD-476E-B205-00AEF4B1C248}">
  <cacheSource type="worksheet">
    <worksheetSource ref="A1:H277" sheet="CENTRO CUSTO"/>
  </cacheSource>
  <cacheFields count="8">
    <cacheField name="CENTRO DE CUSTO" numFmtId="0">
      <sharedItems count="273">
        <s v="LC-PE1 | Real Estate"/>
        <s v="LC-PE1 | Manutenção"/>
        <s v="LC-PE1 | ADM &amp; Facilities"/>
        <s v="LC-PE1 | Jurídico"/>
        <s v="LC-PE1 | Seguros"/>
        <s v="LC-PE2 | Real Estate"/>
        <s v="LC-PE2 | Manutenção"/>
        <s v="LC-PE2 | ADM &amp; Facilities"/>
        <s v="LC-PE2 | Jurídico"/>
        <s v="LC-PE2 | Seguros"/>
        <s v="LC-ITJ | Real Estate"/>
        <s v="LC-ITJ | Manutenção"/>
        <s v="LC-ITJ | ADM &amp; Facilities"/>
        <s v="LC-ITJ | Jurídico"/>
        <s v="LC-ITJ | Seguros"/>
        <s v="FG-PE2 | Operação Armazenagem"/>
        <s v="FG-PE2 | Operação Movimentação"/>
        <s v="FG-PE2 | Manutenção"/>
        <s v="FG-PE2 | Qualidade"/>
        <s v="FG-PE2 | Certificação"/>
        <s v="FG-PE2 | ADM &amp; Facilities"/>
        <s v="FG-PE2 | Seguros"/>
        <s v="FG-PE2 | Jurídico"/>
        <s v="FG-PE2 | TI"/>
        <s v="FG-PE2 | RH"/>
        <s v="CG-PTG | Operação Armazenagem"/>
        <s v="CG-PTG | Operação Movimentação"/>
        <s v="CG-PTG | Manutenção"/>
        <s v="CG-PTG | Qualidade"/>
        <s v="CG-PTG | Certificação"/>
        <s v="CG-PTG | ADM &amp; Facilities"/>
        <s v="CG-PTG | Seguros"/>
        <s v="CG-PTG | Jurídico"/>
        <s v="CG-PTG | TI"/>
        <s v="CG-PTG | RH"/>
        <s v="CG-PNG | Operação Armazenagem"/>
        <s v="CG-PNG | Operação Movimentação"/>
        <s v="CG-PNG | Manutenção"/>
        <s v="CG-PNG | Qualidade"/>
        <s v="CG-PNG | Certificação"/>
        <s v="CG-PNG | ADM &amp; Facilities"/>
        <s v="CG-PNG | Seguros"/>
        <s v="CG-PNG | Jurídico"/>
        <s v="CG-PNG | TI"/>
        <s v="CG-PNG | RH"/>
        <s v="FG-PNG | Operação Armazenagem"/>
        <s v="FG-PNG | Operação Movimentação"/>
        <s v="FG-PNG | Manutenção"/>
        <s v="FG-PNG | Qualidade"/>
        <s v="FG-PNG | Certificação"/>
        <s v="FG-PNG | ADM &amp; Facilities"/>
        <s v="FG-PNG | Seguros"/>
        <s v="FG-PNG | Jurídico"/>
        <s v="FG-PNG | TI"/>
        <s v="FG-PNG | RH"/>
        <s v="PT-PNG | Terminal Armazenagem"/>
        <s v="PT-PNG | Terminal Movimentação"/>
        <s v="PT-PNG | Manutenção"/>
        <s v="PT-PNG | Qualidade"/>
        <s v="PT-PNG | Certificação"/>
        <s v="PT-PNG | ADM &amp; Facilities"/>
        <s v="PT-PNG | Seguros"/>
        <s v="PT-PNG | Jurídico"/>
        <s v="PT-PNG | TI"/>
        <s v="PT-PNG | RH"/>
        <s v="PNG | Manutenção"/>
        <s v="PNG | Qualidade"/>
        <s v="PNG | Certificação"/>
        <s v="PNG | ADM &amp; Facilities"/>
        <s v="PNG | Seguros"/>
        <s v="PNG | Jurídico"/>
        <s v="PNG | TI"/>
        <s v="PNG | RH"/>
        <s v="FG-ITJ | Operação Armazenagem"/>
        <s v="FG-ITJ | Operação Movimentação"/>
        <s v="FG-ITJ | Manutenção"/>
        <s v="FG-ITJ | Qualidade"/>
        <s v="FG-ITJ | Certificação"/>
        <s v="FG-ITJ | ADM &amp; Facilities"/>
        <s v="FG-ITJ | Seguros"/>
        <s v="FG-ITJ | Jurídico"/>
        <s v="FG-ITJ | TI"/>
        <s v="FG-ITJ | RH"/>
        <s v="PT-ITJ | Terminal Armazenagem"/>
        <s v="PT-ITJ | Terminal Movimentação"/>
        <s v="PT-ITJ | Manutenção"/>
        <s v="PT-ITJ | Qualidade"/>
        <s v="PT-ITJ | Certificação"/>
        <s v="PT-ITJ | ADM &amp; Facilities"/>
        <s v="PT-ITJ | Seguros"/>
        <s v="PT-ITJ | Jurídico"/>
        <s v="PT-ITJ | TI"/>
        <s v="PT-ITJ | RH"/>
        <s v="ITJ | Manutenção"/>
        <s v="ITJ | Qualidade"/>
        <s v="ITJ | Certificação"/>
        <s v="ITJ | ADM &amp; Facilities"/>
        <s v="ITJ | Seguros"/>
        <s v="ITJ | Jurídico"/>
        <s v="ITJ | TI"/>
        <s v="ITJ | RH"/>
        <s v="FG-RGD | Operação Armazenagem"/>
        <s v="FG-RGD | Operação Movimentação"/>
        <s v="FG-RGD | Manutenção"/>
        <s v="FG-RGD | Qualidade"/>
        <s v="FG-RGD | Certificação"/>
        <s v="FG-RGD | ADM &amp; Facilities"/>
        <s v="FG-RGD | Seguros"/>
        <s v="GG-RGD | Jurídico"/>
        <s v="FG-RGD | TI"/>
        <s v="FG-RGD | RH"/>
        <s v="PT-RGD | Terminal Armazenagem"/>
        <s v="PT-RGD | Terminal Movimentação"/>
        <s v="PT-RGD | Manutenção"/>
        <s v="PT-RGD | Qualidade"/>
        <s v="PT-RGD | Certificação"/>
        <s v="PT-RGD | ADM &amp; Facilities"/>
        <s v="PT-RGD | Seguros"/>
        <s v="PT-RGD | Jurídico"/>
        <s v="PT-RGD | TI"/>
        <s v="PT-RGD | RH"/>
        <s v="RGD | Manutenção"/>
        <s v="RGD | Qualidade"/>
        <s v="RGD | Certificação"/>
        <s v="RGD | ADM &amp; Facilities"/>
        <s v="RGD | Seguros"/>
        <s v="RGD | Jurídico"/>
        <s v="RGD | TI"/>
        <s v="RGD | RH"/>
        <s v="LC-VLP | Real Estate"/>
        <s v="LC-VLP | Manutenção"/>
        <s v="LC-VLP | ADM &amp; Facilities"/>
        <s v="LC-VLP | Jurídico"/>
        <s v="LC-VLP | Seguros"/>
        <s v="LC-PSF | Real Estate"/>
        <s v="LC-PSF | Manutenção"/>
        <s v="LC-PSF | ADM &amp; Facilities"/>
        <s v="LC-PSF | Jurídico"/>
        <s v="LC-PSF | Seguros"/>
        <s v="FG-PSF | Operação Armazenagem"/>
        <s v="FG-PSF | Operação Movimentação"/>
        <s v="FG-PSF | Manutenção"/>
        <s v="FG-PSF | Qualidade"/>
        <s v="FG-PSF | Certificação"/>
        <s v="FG-PSF | ADM &amp; Facilities"/>
        <s v="FG-PSF | Seguros"/>
        <s v="FG-PSF | Jurídico"/>
        <s v="FG-PSF | TI"/>
        <s v="FG-PSF | RH"/>
        <s v="FG-VLP | Operação Armazenagem"/>
        <s v="FG-VLP | Operação Movimentação"/>
        <s v="FG-VLP | Manutenção"/>
        <s v="FG-VLP | Qualidade"/>
        <s v="FG-VLP | Certificação"/>
        <s v="FG-VLP | ADM &amp; Facilities"/>
        <s v="FG-VLP | Seguros"/>
        <s v="FG-VLP | Jurídico"/>
        <s v="FG-VLP | TI"/>
        <s v="FG-VLP | RH"/>
        <s v="LC-GRUA | Real Estate"/>
        <s v="LC-GRUA | Manutenção"/>
        <s v="LC-GRUA | ADM &amp; Facilities"/>
        <s v="LC-GRUA | Jurídico"/>
        <s v="LC-GRUA | Seguros"/>
        <s v="LC-GRUB | Real Estate"/>
        <s v="LC-GRUB | Manutenção"/>
        <s v="LC-GRUB | ADM &amp; Facilities"/>
        <s v="LC-GRUB | Jurídico"/>
        <s v="LC-GRUB | Seguros"/>
        <s v="FG-GRUB | Operação Armazenagem"/>
        <s v="FG-GRUB | Operação Movimentação"/>
        <s v="FG-GRUB | Manutenção"/>
        <s v="FG-GRUB | Qualidade"/>
        <s v="FG-GRUB | Certificação"/>
        <s v="FG-GRUB | ADM &amp; Facilities"/>
        <s v="FG-GRUB | Jurídico"/>
        <s v="FG-GRUB | Seguros"/>
        <s v="FG-GRUB | TI"/>
        <s v="FG-GRUB | RH"/>
        <s v="LC-RJ | Real Estate"/>
        <s v="LC-RJ | Manutenção"/>
        <s v="LC-RJ | ADM &amp; Facilities"/>
        <s v="LC-RJ | Jurídico"/>
        <s v="LC-RJ | Seguros"/>
        <s v="BU-MMAZ | Gestão Operacional"/>
        <s v="BU-MMAZ | Operação"/>
        <s v="BU-MMAZ | PCO"/>
        <s v="BU-MMAZ | Manutenção"/>
        <s v="BU-MMAZ | Saúde, Segurança, Meio ambiente"/>
        <s v="BU-MMAZ | Qualidade"/>
        <s v="BU-MMAZ | Seguros"/>
        <s v="BU-MMAZ | Comercial"/>
        <s v="BU-MMAZ | Faturamento"/>
        <s v="BU-MMAZ | Jurídico"/>
        <s v="BU-MMAZ | Suprimentos"/>
        <s v="BU-MMAZ | Tesouraria"/>
        <s v="BU-MMAZ | Contábil &amp; Tax"/>
        <s v="BU-MMAZ | RH"/>
        <s v="BU-MMAZ | TI"/>
        <s v="BU-MMAZ | ADM &amp; Facilities"/>
        <s v="BU-MMTR | Gestão Operacional"/>
        <s v="BU-MMTR | Operação"/>
        <s v="BU-MMTR | Gerenciamento de Risco"/>
        <s v="BU-MMTR | Manutenção"/>
        <s v="BU-MMTR | Saúde, Segurança, Meio ambiente"/>
        <s v="BU-MMTR | Qualidade"/>
        <s v="BU-MMTR | Seguros"/>
        <s v="BU-MMTR | Comercial"/>
        <s v="BU-MMTR | Faturamento"/>
        <s v="BU-MMTR | Jurídico"/>
        <s v="BU-MMTR | Suprimentos"/>
        <s v="BU-MMTR | Tesouraria"/>
        <s v="BU-MMTR | Contábil &amp; Tax"/>
        <s v="BU-MMTR | RH"/>
        <s v="BU-MMTR | TI"/>
        <s v="BU-MMTR | ADM &amp; Facilities"/>
        <s v="BU-MRV | Gestão Operacional"/>
        <s v="BU-MRV | Operação"/>
        <s v="BU-MRV | PCO"/>
        <s v="BU-MRV | Manutenção"/>
        <s v="BU-MRV | Saúde, Segurança, Meio ambiente"/>
        <s v="BU-MRV | Qualidade"/>
        <s v="BU-MRV | Seguros"/>
        <s v="BU-MRV | Comercial"/>
        <s v="BU-MRV | Faturamento"/>
        <s v="BU-MRV | Jurídico"/>
        <s v="BU-MRV | Suprimentos"/>
        <s v="BU-MRV | Tesouraria"/>
        <s v="BU-MRV | Contábil &amp; Tax"/>
        <s v="BU-MRV | RH"/>
        <s v="BU-MRV | TI"/>
        <s v="BU-MRV | ADM &amp; Facilities"/>
        <s v="BU-GRU | Gestão Operacional"/>
        <s v="BU-GRU | Operação"/>
        <s v="BU-GRU | PCO"/>
        <s v="BU-GRU | Manutenção"/>
        <s v="BU-GRU | Saúde, Segurança, Meio ambiente"/>
        <s v="BU-GRU | Qualidade"/>
        <s v="BU-GRU | Seguros"/>
        <s v="BU-GRU | Comercial"/>
        <s v="BU-GRU | Faturamento"/>
        <s v="BU-GRU | Jurídico"/>
        <s v="BU-GRU | Suprimentos"/>
        <s v="BU-GRU | Tesouraria"/>
        <s v="BU-GRU | Contábil &amp; Tax"/>
        <s v="BU-GRU | RH"/>
        <s v="BU-GRU | TI"/>
        <s v="BU-GRU | ADM &amp; Facilities"/>
        <s v="PL | Gestão Executiva"/>
        <s v="PL | Operação"/>
        <s v="PL | Seguros"/>
        <s v="PL | Comercial"/>
        <s v="PL | Comunicação"/>
        <s v="PL | Jurídico"/>
        <s v="PL | Transformação"/>
        <s v="PL | Tesouraria"/>
        <s v="PL | Contábil &amp; Tax"/>
        <s v="PL | FP&amp;A"/>
        <s v="PL | RH"/>
        <s v="PL | TI"/>
        <s v="PL | ADM &amp; Facilities"/>
        <s v="CP | Gestão Executiva"/>
        <s v="CP | Operação"/>
        <s v="CP | Seguros"/>
        <s v="CP | Comunicação"/>
        <s v="CP | Jurídico"/>
        <s v="CP | Suprimentos"/>
        <s v="CP | Tesouraria"/>
        <s v="CP | Contábil &amp; Tax"/>
        <s v="CP | FP&amp;A"/>
        <s v="CP | RH"/>
        <s v="CP | TI"/>
        <s v="CP | ADM &amp; Facilities"/>
      </sharedItems>
    </cacheField>
    <cacheField name="Área" numFmtId="0">
      <sharedItems count="5">
        <s v="Locação"/>
        <s v="Operação"/>
        <s v="BU"/>
        <s v="PL"/>
        <s v="CP"/>
      </sharedItems>
    </cacheField>
    <cacheField name="Departamento" numFmtId="0">
      <sharedItems count="22">
        <s v="Real Estate"/>
        <s v="Manutenção"/>
        <s v="ADM &amp; Facilities"/>
        <s v="Jurídico"/>
        <s v="Seguros"/>
        <s v="Operação Frio"/>
        <s v="Qualidade"/>
        <s v="TI"/>
        <s v="Recursos Humanos"/>
        <s v="Operação Seco"/>
        <s v="Operação Pátio"/>
        <s v="Operação"/>
        <s v="EHS"/>
        <s v="Comercial"/>
        <s v="Faturamento"/>
        <s v="Suprimentos"/>
        <s v="Financeiro"/>
        <s v="Executivos"/>
        <s v="Comunicação"/>
        <s v="Transformação"/>
        <s v="Real State" u="1"/>
        <s v="Operação BR, UY, PY" u="1"/>
      </sharedItems>
    </cacheField>
    <cacheField name="Responsável" numFmtId="0">
      <sharedItems count="34">
        <s v="Patrick Ghelfi"/>
        <s v="Fábio Sant Anna"/>
        <s v="Fabiane Ortiz"/>
        <s v="Luciane Barbosa"/>
        <s v="Wanderson Brandao"/>
        <s v="Simone Rodrigues"/>
        <s v="Alexandre Ayabe"/>
        <s v="Pedro Melo"/>
        <s v="Fabio Cox"/>
        <s v="Leonardo Pontin"/>
        <s v="William Monteiro"/>
        <s v="Affonso Silva"/>
        <s v="Juliano Molin"/>
        <s v="Guilherme Gandara"/>
        <s v="Luiz Rossi"/>
        <s v="Marcelo Ostrowski"/>
        <s v="Fabio Sturian"/>
        <s v="Adriana Farias"/>
        <s v="Eliezer Souza"/>
        <s v="Adilson Assunção"/>
        <s v="Reinaldo Watanabe"/>
        <s v="Evandro Calanca"/>
        <s v="Paula Gallego"/>
        <s v="Ricardo Lins"/>
        <s v="Rodrigo Chu"/>
        <s v="Noel Colmenero"/>
        <s v="Pedro Moreira"/>
        <s v="Ricardo Jacob"/>
        <s v="Leticia Jucha"/>
        <s v="Elton Martins"/>
        <s v="Thais Fuzetti"/>
        <s v="Juan Hurtado"/>
        <s v="Daniel Matamala"/>
        <s v="Jimmy Espinosa"/>
      </sharedItems>
    </cacheField>
    <cacheField name="DRE [ KPI ]" numFmtId="0">
      <sharedItems/>
    </cacheField>
    <cacheField name="Empresa" numFmtId="0">
      <sharedItems count="7">
        <s v="Martini Meat"/>
        <s v="MRV"/>
        <s v="SKM"/>
        <s v="Rio de Janeiro"/>
        <s v="Transporte"/>
        <s v="Cone Sul"/>
        <s v="LATAM"/>
      </sharedItems>
    </cacheField>
    <cacheField name="Unidade" numFmtId="0">
      <sharedItems count="18">
        <s v="Recife 1"/>
        <s v="Recife 2"/>
        <s v="Itajaí Aurora"/>
        <s v="Ponta Grossa"/>
        <s v="Paranaguá"/>
        <s v="Itajaí"/>
        <s v="Rio Grande"/>
        <s v="Velopark"/>
        <s v="Passo Fundo"/>
        <s v="G100A"/>
        <s v="G100B"/>
        <s v="RJ"/>
        <s v="BU-MMAZ"/>
        <s v="BU-TR"/>
        <s v="BU-MRV"/>
        <s v="BU-SKM"/>
        <s v="Plataforma"/>
        <s v="Corporativo"/>
      </sharedItems>
    </cacheField>
    <cacheField name="Tipo" numFmtId="0">
      <sharedItems count="6">
        <s v="Locação"/>
        <s v="Frigorífico"/>
        <s v="Carga Geral"/>
        <s v="Pátio"/>
        <s v="RATEIO Unidade"/>
        <s v="G&amp;A"/>
      </sharedItems>
    </cacheField>
  </cacheFields>
  <extLst>
    <ext xmlns:x14="http://schemas.microsoft.com/office/spreadsheetml/2009/9/main" uri="{725AE2AE-9491-48be-B2B4-4EB974FC3084}">
      <x14:pivotCacheDefinition pivotCacheId="2535540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2.636485995368" createdVersion="8" refreshedVersion="8" minRefreshableVersion="3" recordCount="418" xr:uid="{C4C2446F-85FE-4C87-9D5D-F504098DA816}">
  <cacheSource type="worksheet">
    <worksheetSource ref="A4:BT352" sheet="Budget"/>
  </cacheSource>
  <cacheFields count="72">
    <cacheField name="Cenário" numFmtId="0">
      <sharedItems containsBlank="1" count="3">
        <s v="Budget"/>
        <s v=""/>
        <m/>
      </sharedItems>
    </cacheField>
    <cacheField name="Ano" numFmtId="0">
      <sharedItems containsBlank="1" containsMixedTypes="1" containsNumber="1" containsInteger="1" minValue="2026" maxValue="2026" count="3">
        <n v="2026"/>
        <s v=""/>
        <m/>
      </sharedItems>
    </cacheField>
    <cacheField name="Empresa" numFmtId="0">
      <sharedItems containsBlank="1" count="16">
        <s v="Transporte"/>
        <s v="Martini Meat"/>
        <s v=""/>
        <s v="MRV"/>
        <s v="SKM"/>
        <s v="Rio de Janeiro"/>
        <s v="Cone Sul"/>
        <s v="LATAM"/>
        <s v="UY Frimosa"/>
        <s v="UY Tamiley"/>
        <m/>
        <s v="PY Frimosa"/>
        <s v="TELACAR SAS" u="1"/>
        <s v="TAMILEY SA" u="1"/>
        <s v="BETOROL SAS" u="1"/>
        <s v="FRIGORIFICO MODELO PY S.A. " u="1"/>
      </sharedItems>
    </cacheField>
    <cacheField name="Unidade" numFmtId="0">
      <sharedItems containsBlank="1" count="23">
        <s v="BU-TR"/>
        <s v="BU-MMAZ"/>
        <s v=""/>
        <s v="BU-MRV"/>
        <s v="BU-SKM"/>
        <s v="BU-RJ"/>
        <s v="Plataforma"/>
        <s v="Corporativo"/>
        <s v="Paranaguá"/>
        <s v="Itajaí"/>
        <s v="Rio Grande"/>
        <s v="Ponta Grossa"/>
        <s v="Recife 2"/>
        <s v="Velopark"/>
        <s v="Passo Fundo"/>
        <s v="G100B"/>
        <s v="Transportes"/>
        <s v="Recife 1"/>
        <s v="TELACAR SAS"/>
        <s v="TAMILEY SA"/>
        <s v="BETOROL SAS"/>
        <s v="FRIGORIFICO MODELO PY S.A. "/>
        <m u="1"/>
      </sharedItems>
    </cacheField>
    <cacheField name="Tipo" numFmtId="0">
      <sharedItems containsBlank="1" count="9">
        <s v="G&amp;A"/>
        <s v=""/>
        <s v="Frigorífico"/>
        <s v="Carga Geral"/>
        <s v="Pátio"/>
        <s v="Transportes"/>
        <s v="RATEIO Unidade"/>
        <s v="Locação"/>
        <m u="1"/>
      </sharedItems>
    </cacheField>
    <cacheField name="Fornecedor" numFmtId="0">
      <sharedItems containsBlank="1" count="119">
        <s v="SPRO"/>
        <m/>
        <s v="RAVANEDA"/>
        <s v="SEIDOR"/>
        <s v="KORBER"/>
        <s v="BOSSTECH"/>
        <s v="NS TECH"/>
        <s v="KMM TOS"/>
        <s v="TRIZZY"/>
        <s v="FLUKE"/>
        <s v="BRIVO"/>
        <s v="CONVERGENT"/>
        <s v="Forticlient + Fortimail "/>
        <s v="ITHOEN"/>
        <s v="OI/VIVO"/>
        <s v="VERIFICAR"/>
        <s v="ALHAMBRA"/>
        <s v="INTERFIBRAS TELECOMUNICAÇÕES LTDA"/>
        <s v="M. F. D. LARSEN LTDA"/>
        <s v="ROBSON GALASSI"/>
        <s v="RODRIGO BORGHI DA SILVA &amp; CIA LTDA"/>
        <s v="IVR INFORMATICA LTDA"/>
        <s v="ITELFIBRA TELECOMUNICACOES LTDA"/>
        <s v="RAZAOINFO INTERNET LTDA                    "/>
        <s v="GEOVANI FABRICIO WELTER"/>
        <s v="Claro Net"/>
        <s v="TELMEX (EMBRATEL)"/>
        <s v="COPYLINE"/>
        <s v="NOVENTIQ"/>
        <s v="Licenciamento workday"/>
        <s v="Workday AMS"/>
        <s v="GATE7"/>
        <s v="SOFTWARE.COM.BR"/>
        <s v="PROLOG"/>
        <s v="SENIOR"/>
        <s v="Digitech "/>
        <s v="Consultoria Sap"/>
        <s v="*A DEFINIR*"/>
        <s v="ClaraNet"/>
        <s v="GFB Soluções - VISYS"/>
        <s v="DataSite Brasil"/>
        <s v="DataTransp"/>
        <s v="TAMA ANALISE E GERENCIAMENTO DE SIS"/>
        <s v="SANTA CATARINA INFORMATICA LTDA"/>
        <s v="M.GOM REPARACAO E MANUTENCAO DE COM"/>
        <s v="DD Design Tecnologia (Portal Logistico)"/>
        <s v="SINLOG SISTEMAS EM LOGISTICA SA"/>
        <s v="FRETEBRAS INTERNET E SERVICOS LTDA"/>
        <s v="Essencia "/>
        <s v="Douglas Duarte"/>
        <s v="Squad dedicada do TMS 2 desenvolvedor 1 PO da NStech."/>
        <s v="Y3 Gestão em telecom e comercio"/>
        <s v="PUCC - BBX SOLUTIONS LTDA ME"/>
        <s v="VEPER(Manutenção totens, cancelas e torniquetes)"/>
        <s v="Pentest"/>
        <s v="Hash Data"/>
        <s v="4Sys"/>
        <s v="Starlink"/>
        <s v="Manutenção coletores"/>
        <s v="Datalake"/>
        <s v="Softexpert Mysig"/>
        <s v="CMR Software"/>
        <s v="Celulares TIM"/>
        <s v="Correios"/>
        <s v="M.A.B Instalações"/>
        <s v="Suprimentos de TI"/>
        <s v="Anydesk (suporte remoto)"/>
        <s v="Celulares Claro"/>
        <s v="Passagem"/>
        <s v="Hotel"/>
        <s v="Locação Carro"/>
        <s v="Reembolso"/>
        <s v="FLYTOUR"/>
        <s v="Locação"/>
        <s v="Deslocamento unidades"/>
        <s v="EMBRATEL"/>
        <s v="LNX NETWORK SRL"/>
        <s v="INFIOS US,INC"/>
        <s v="Desarrollo mejoras Korber"/>
        <s v="SEIDOR USA CORPORATION"/>
        <s v="EMAINT ENTERPRISES LLC"/>
        <s v="ANTEL"/>
        <s v="ENALUR SA"/>
        <s v="AM WIRELESS "/>
        <s v="CCTV"/>
        <s v="PHITEL "/>
        <s v="TELECTRÓNICA"/>
        <s v="EQUIPAMIENTO LÁSER"/>
        <s v="URUWARE SOFTWARE"/>
        <s v="ENTIS LTDA"/>
        <s v="ASEQUIS SA"/>
        <s v="NOVENTIQ INTERNATIONAL COLOMBIA SAS"/>
        <s v="MINDS GROUP"/>
        <s v="MARBUS"/>
        <s v="ARNALDO CASTRO"/>
        <s v="CLOCK D'ARGENT"/>
        <s v="IMPORTSYS LTDA"/>
        <s v="BERSIDAL SA"/>
        <s v="NIVAMÉRICA"/>
        <s v="Compumarket"/>
        <s v="Entrenamientos"/>
        <s v="Carlos Gastón"/>
        <s v="Kiga "/>
        <s v="TEISA"/>
        <s v="Núcleo "/>
        <s v="AMX"/>
        <s v="SAP Hana"/>
        <s v="Sap Hana AMS"/>
        <s v="KORBER INFIOS US,INC"/>
        <s v="e365"/>
        <s v="Anydesk"/>
        <s v="LNX Network"/>
        <s v="AUTIN" u="1"/>
        <s v="Camila Rodrigues" u="1"/>
        <s v="SoftExpert" u="1"/>
        <s v="*NOVO*" u="1"/>
        <s v="TELEFONICA TECH" u="1"/>
        <s v="DELOITTE" u="1"/>
        <s v="GRUPO ELECTRODATA o TELEFÓNICA TECH" u="1"/>
      </sharedItems>
    </cacheField>
    <cacheField name="Descrição Global" numFmtId="0">
      <sharedItems containsBlank="1" count="7">
        <s v="Applications support and maintenance"/>
        <m/>
        <s v="IT Maintenance and Services"/>
        <s v="Digital Security"/>
        <s v="IT Infrastructure and network"/>
        <s v="Travel and Oders Expenses"/>
        <s v="IT Maintenance and Services "/>
      </sharedItems>
    </cacheField>
    <cacheField name="Descrição" numFmtId="0">
      <sharedItems containsBlank="1" count="138">
        <s v="SAP R3 - Licença"/>
        <m/>
        <s v="SAP R3 - AMS"/>
        <s v="SAP S4 - Licença"/>
        <s v="SAP S4 - AMS"/>
        <s v="SAP S4 - VPN"/>
        <s v="Licença WMS (%Net Sales)"/>
        <s v="VPN WMS (%Net Sales)"/>
        <s v="Licença YMS (%Net Sales)"/>
        <s v="Licença KMM Transporte"/>
        <s v="Sistema Terminal Portuário Paranaguá"/>
        <s v="Sistema de agendamento"/>
        <s v="EMAINT - Software  manutenção "/>
        <s v="Controle de acessos"/>
        <s v="EAGLE EYES - Sistema CFTV"/>
        <s v="Forticlient + Fortimail (Licenças de endpoint, AntiSpam e Antivirus)"/>
        <s v="Sistema de gestão de RH Senior"/>
        <s v="Telefonia Fixa"/>
        <s v="Internet"/>
        <s v=" INTERNET - RODONÓPOLIS"/>
        <s v=" INTERNET - CAARAPO"/>
        <s v=" INTERNET - DOURADOS"/>
        <s v=" INTERNET - JACAREZINHO "/>
        <s v=" INTERNET - SIDROLANDIA"/>
        <s v=" INTERNET - ITAPOA"/>
        <s v=" INTERNET - PASSO FUNDO"/>
        <s v=" INTERNET - ITAPEJARA"/>
        <s v="INTERNET - SANTOS"/>
        <s v="INTERNET - ITAJAÍ "/>
        <s v="Outsourcing de impressão (Copyline + impriservice)"/>
        <s v="Office 365 (e-mail, sharepont, PBI)"/>
        <s v="WORKDAY - Licença"/>
        <s v="WORKDAY - AMS"/>
        <s v="Hosting Datacenter"/>
        <s v="ThinkCell - Addon Excell (3 PL 7 CP)"/>
        <s v="Sistema de gestão de PNEUS de frota"/>
        <s v="Sistema de controle de pausa termica"/>
        <s v="Outsoursing TI"/>
        <s v="Consultor SAP"/>
        <s v="Manutenção Infra (Rede, CFTV, WIFI, Notebook)"/>
        <s v="SAP R3 - Conta de email (legado)"/>
        <s v="Integrações de sistemas novos contratos (180h/mes)"/>
        <s v="Solução de Tarifação (Revisar e cancelar se possivel)"/>
        <s v="Processamento de dados (Revisar e cancelar se possivel)"/>
        <s v="Sistema legado do Transporte"/>
        <s v="Sistema Transporte Jornada do Motorista"/>
        <s v="Sistema Unico da contabilidade Transporte"/>
        <s v="Manutenção software unico transporte"/>
        <s v="Desenvolvimento de software transporte"/>
        <s v="Sistema do transporte logistiga"/>
        <s v="SOFTWARE - CAPTAÇÃO DE FRETE"/>
        <s v="Desenvolvimento de sistemas (GAPs Korber x Regras de exportação)"/>
        <s v="Desenvolvimento de sistemas"/>
        <s v="Sistema de controle de dispositivo MDM (%Net Sales)"/>
        <s v="Sistema de gestão de contas TIM (%Net Sales)"/>
        <s v="Manutenção de controle de acessos Paranaguá"/>
        <s v="Consultoria de segurança da informação"/>
        <s v="Sistema de formulários de qualidade (%Net Sales)"/>
        <s v="Sistema de integração entre Korber x Hana x 4tax (Todas empresas SKM, MRV)"/>
        <s v="Internet movel"/>
        <s v="Serviços de assistencia tecnica para coletores"/>
        <s v="Datalake BI analytics "/>
        <s v="Mysig sistema de qualidade"/>
        <s v="Gestão de clientes"/>
        <s v="Telefonia movel"/>
        <s v="Despesa de despachos TI (escritorio SP)"/>
        <s v="Manutenção CCTV paranaguá Redex"/>
        <s v="Despesas com suprimentos de TI perifericos"/>
        <s v="Software de acesso remoto"/>
        <s v="Visita unidade - ALDIR"/>
        <s v="Visita unidade - DIVAR"/>
        <s v="Visita unidade - LEONARDO"/>
        <s v="Visita unidade - AYABE"/>
        <s v="Visita UY - LF"/>
        <s v="Visita UY - LF (taxi, refeição)"/>
        <s v="Visita UY - AA"/>
        <s v="Visita UY - AA (taxi, refeição)"/>
        <s v="Visita unidade - IGOR"/>
        <s v="Visita unidade"/>
        <s v="Suporte ao sistema de RH Workday"/>
        <s v="Pentest (UY) "/>
        <s v="Forticlient  84 usr + Fortimail 67 usr (UY) "/>
        <s v="VPN Korber"/>
        <s v="Necesidades puntuales para desarrollar por korber"/>
        <s v="Licencias WMS Korber - P9 - 11 usr"/>
        <s v="Licencias WMS Korber - P5 P6 - 14 usr, P7, P8 - 9 usr "/>
        <s v="Licencias WMS Korber - Planta Cibils - 10 usr"/>
        <s v="AMS SAP + SOPORTE BASIS"/>
        <s v="Licenciamiento SAP 7.2 (UY)"/>
        <s v="Licencia E-Maint Enterprise Unlimited - 1 usr"/>
        <s v="Enlace Internet Principal - 1Gbps"/>
        <s v="Internet Secundario Dedicado 200Mbps (UY)"/>
        <s v="Telefonía Fija"/>
        <s v="Telefonía Celular Claro"/>
        <s v="Servicios Reparaciones CCTV"/>
        <s v="Mantenimiento redes (UY)"/>
        <s v="Mantenimiento impresoras Zebra"/>
        <s v="Alquiler de Impresoras (UY)"/>
        <s v="Factura electrónica UCFE"/>
        <s v="Software RRHH Salarios"/>
        <s v="Software y Hosting marcas personal"/>
        <s v="Hosting recibos sueldo"/>
        <s v="Mantenimiento Modulo Sistema Congelado"/>
        <s v="Office 365 (8 O365 E1 + 37 O365 E3 + EMS E3 37)"/>
        <s v="2 Licencias Anuales Eforms"/>
        <s v="Licenças sistema de RH Workday"/>
        <s v="Mantenimiento Cygnus WMS"/>
        <s v="Licencias Eagle Eye"/>
        <s v="LicencIa BRIVO (C.A.)"/>
        <s v="Licenciamiento Forti (No aplica 2026)"/>
        <s v="CCTV Polo Oeste"/>
        <s v="Mantenimiento UPS"/>
        <s v="Enlace Internet Principal - 500mbps"/>
        <s v="Telefonia Fija"/>
        <s v="Office 365 (3 O365 E1 + 7 O365 E3 + EMS E3 7)"/>
        <s v="Software Depósito Fiscal Importsys"/>
        <s v="Office 365 (2 O365 E1 + 5 O365 E3 + EMS E3 5)"/>
        <s v="Software ADUANA-Consulta clientes"/>
        <s v="Impresoras (suministro tóner y Sertec)"/>
        <s v="Insumos varios"/>
        <s v="softExpert HQSE"/>
        <s v="Capacitaciones IT (IA , Excel N1, N2)"/>
        <s v="Honorarios y consultoría de TI"/>
        <s v="Honorarios y consultoría de TI platataforma"/>
        <s v="Servicio de software de facturación electrónica"/>
        <s v="Servicio de internet"/>
        <s v="Servicio telefónico"/>
        <s v="Licencias SAP"/>
        <s v="3PL Hosting and Database Administration Services"/>
        <s v="Contas de email, Sharepoint, PowerBI"/>
        <s v="Licencia"/>
        <s v="Honorararios por auditoría IT Pentest"/>
        <s v="Insumos informáticos"/>
        <s v="Aplicação de automação com IA (PNG)" u="1"/>
        <s v="Sistema de agendamento (% Net Sales)" u="1"/>
        <s v="EMAINT - Software  manutenção (%Net Sales)" u="1"/>
        <s v="Licenciamiento Forti" u="1"/>
        <s v="Fortinet" u="1"/>
      </sharedItems>
    </cacheField>
    <cacheField name="Categoría" numFmtId="0">
      <sharedItems containsBlank="1"/>
    </cacheField>
    <cacheField name="Recorrência" numFmtId="0">
      <sharedItems containsBlank="1"/>
    </cacheField>
    <cacheField name="Prioridade" numFmtId="0">
      <sharedItems containsBlank="1"/>
    </cacheField>
    <cacheField name="Descr Centro de custo" numFmtId="0">
      <sharedItems containsBlank="1"/>
    </cacheField>
    <cacheField name="Responsável" numFmtId="0">
      <sharedItems containsBlank="1"/>
    </cacheField>
    <cacheField name="Despesa [ KPI ]" numFmtId="0">
      <sharedItems containsBlank="1" count="14">
        <s v="Licença SAP"/>
        <m/>
        <s v="Manutenção de Informática"/>
        <s v="Licença WMS-KORBER"/>
        <s v="Outras licenças"/>
        <s v="Softwares"/>
        <s v="Telefonia &amp; Internet"/>
        <s v="Aluguel - Máq./Equipto."/>
        <s v="Terceiros PJ"/>
        <s v="Consultoria"/>
        <s v="Outros serviços PJ"/>
        <s v="Viagens"/>
        <s v="Material de uso e consumo"/>
        <s v="Treinamentos"/>
      </sharedItems>
    </cacheField>
    <cacheField name="Mes de reajuste (inflação)" numFmtId="164">
      <sharedItems containsNonDate="0" containsDate="1" containsString="0" containsBlank="1" minDate="2026-01-01T00:00:00" maxDate="2026-08-02T00:00:00"/>
    </cacheField>
    <cacheField name="Moeda" numFmtId="0">
      <sharedItems containsBlank="1"/>
    </cacheField>
    <cacheField name="Jan" numFmtId="39">
      <sharedItems containsString="0" containsBlank="1" containsNumber="1" minValue="0" maxValue="67000"/>
    </cacheField>
    <cacheField name="Feb" numFmtId="39">
      <sharedItems containsString="0" containsBlank="1" containsNumber="1" minValue="0" maxValue="67000"/>
    </cacheField>
    <cacheField name="Mar" numFmtId="39">
      <sharedItems containsString="0" containsBlank="1" containsNumber="1" minValue="0" maxValue="67000"/>
    </cacheField>
    <cacheField name="Apr" numFmtId="39">
      <sharedItems containsString="0" containsBlank="1" containsNumber="1" minValue="0" maxValue="67000"/>
    </cacheField>
    <cacheField name="May" numFmtId="39">
      <sharedItems containsString="0" containsBlank="1" containsNumber="1" minValue="0" maxValue="67000"/>
    </cacheField>
    <cacheField name="Jun" numFmtId="39">
      <sharedItems containsString="0" containsBlank="1" containsNumber="1" minValue="0" maxValue="67000"/>
    </cacheField>
    <cacheField name="Jul" numFmtId="39">
      <sharedItems containsString="0" containsBlank="1" containsNumber="1" minValue="0" maxValue="67000"/>
    </cacheField>
    <cacheField name="Aug" numFmtId="39">
      <sharedItems containsString="0" containsBlank="1" containsNumber="1" minValue="0" maxValue="67000"/>
    </cacheField>
    <cacheField name="Sep" numFmtId="39">
      <sharedItems containsString="0" containsBlank="1" containsNumber="1" minValue="0" maxValue="67000"/>
    </cacheField>
    <cacheField name="Oct" numFmtId="39">
      <sharedItems containsString="0" containsBlank="1" containsNumber="1" minValue="0" maxValue="67000"/>
    </cacheField>
    <cacheField name="Nov" numFmtId="39">
      <sharedItems containsString="0" containsBlank="1" containsNumber="1" minValue="0" maxValue="67000"/>
    </cacheField>
    <cacheField name="Dec" numFmtId="39">
      <sharedItems containsString="0" containsBlank="1" containsNumber="1" minValue="0" maxValue="67000"/>
    </cacheField>
    <cacheField name="BG.2026" numFmtId="39">
      <sharedItems containsMixedTypes="1" containsNumber="1" minValue="0" maxValue="804000"/>
    </cacheField>
    <cacheField name="-" numFmtId="0">
      <sharedItems containsNonDate="0" containsString="0" containsBlank="1"/>
    </cacheField>
    <cacheField name="Jan2" numFmtId="39">
      <sharedItems containsBlank="1" containsMixedTypes="1" containsNumber="1" minValue="0" maxValue="67"/>
    </cacheField>
    <cacheField name="Feb2" numFmtId="39">
      <sharedItems containsBlank="1" containsMixedTypes="1" containsNumber="1" minValue="0" maxValue="67"/>
    </cacheField>
    <cacheField name="Mar2" numFmtId="39">
      <sharedItems containsBlank="1" containsMixedTypes="1" containsNumber="1" minValue="0" maxValue="67"/>
    </cacheField>
    <cacheField name="Apr2" numFmtId="39">
      <sharedItems containsBlank="1" containsMixedTypes="1" containsNumber="1" minValue="0" maxValue="67"/>
    </cacheField>
    <cacheField name="May2" numFmtId="39">
      <sharedItems containsBlank="1" containsMixedTypes="1" containsNumber="1" minValue="0" maxValue="67"/>
    </cacheField>
    <cacheField name="Jun2" numFmtId="39">
      <sharedItems containsBlank="1" containsMixedTypes="1" containsNumber="1" minValue="0" maxValue="67"/>
    </cacheField>
    <cacheField name="Jul2" numFmtId="39">
      <sharedItems containsBlank="1" containsMixedTypes="1" containsNumber="1" minValue="0" maxValue="67"/>
    </cacheField>
    <cacheField name="Aug2" numFmtId="39">
      <sharedItems containsBlank="1" containsMixedTypes="1" containsNumber="1" minValue="0" maxValue="67"/>
    </cacheField>
    <cacheField name="Sep2" numFmtId="39">
      <sharedItems containsBlank="1" containsMixedTypes="1" containsNumber="1" minValue="0" maxValue="67"/>
    </cacheField>
    <cacheField name="Oct2" numFmtId="39">
      <sharedItems containsBlank="1" containsMixedTypes="1" containsNumber="1" minValue="0" maxValue="67"/>
    </cacheField>
    <cacheField name="Nov2" numFmtId="39">
      <sharedItems containsBlank="1" containsMixedTypes="1" containsNumber="1" minValue="0" maxValue="67"/>
    </cacheField>
    <cacheField name="Dec2" numFmtId="39">
      <sharedItems containsBlank="1" containsMixedTypes="1" containsNumber="1" minValue="0" maxValue="162.28800000000001"/>
    </cacheField>
    <cacheField name="BG.20262" numFmtId="39">
      <sharedItems containsBlank="1" containsMixedTypes="1" containsNumber="1" minValue="0" maxValue="804"/>
    </cacheField>
    <cacheField name="-2" numFmtId="0">
      <sharedItems containsNonDate="0" containsString="0" containsBlank="1"/>
    </cacheField>
    <cacheField name="Jan3" numFmtId="39">
      <sharedItems containsBlank="1" containsMixedTypes="1" containsNumber="1" minValue="0" maxValue="67"/>
    </cacheField>
    <cacheField name="Feb3" numFmtId="39">
      <sharedItems containsBlank="1" containsMixedTypes="1" containsNumber="1" minValue="0" maxValue="67"/>
    </cacheField>
    <cacheField name="Mar3" numFmtId="39">
      <sharedItems containsBlank="1" containsMixedTypes="1" containsNumber="1" minValue="0" maxValue="67"/>
    </cacheField>
    <cacheField name="Apr3" numFmtId="39">
      <sharedItems containsBlank="1" containsMixedTypes="1" containsNumber="1" minValue="0" maxValue="67"/>
    </cacheField>
    <cacheField name="May3" numFmtId="39">
      <sharedItems containsBlank="1" containsMixedTypes="1" containsNumber="1" minValue="0" maxValue="67"/>
    </cacheField>
    <cacheField name="Jun3" numFmtId="39">
      <sharedItems containsBlank="1" containsMixedTypes="1" containsNumber="1" minValue="0" maxValue="67"/>
    </cacheField>
    <cacheField name="Jul3" numFmtId="39">
      <sharedItems containsBlank="1" containsMixedTypes="1" containsNumber="1" minValue="0" maxValue="67"/>
    </cacheField>
    <cacheField name="Aug3" numFmtId="39">
      <sharedItems containsBlank="1" containsMixedTypes="1" containsNumber="1" minValue="0" maxValue="67"/>
    </cacheField>
    <cacheField name="Sep3" numFmtId="39">
      <sharedItems containsBlank="1" containsMixedTypes="1" containsNumber="1" minValue="0" maxValue="67"/>
    </cacheField>
    <cacheField name="Oct3" numFmtId="39">
      <sharedItems containsBlank="1" containsMixedTypes="1" containsNumber="1" minValue="0" maxValue="67"/>
    </cacheField>
    <cacheField name="Nov3" numFmtId="39">
      <sharedItems containsBlank="1" containsMixedTypes="1" containsNumber="1" minValue="0" maxValue="67"/>
    </cacheField>
    <cacheField name="Dec3" numFmtId="39">
      <sharedItems containsBlank="1" containsMixedTypes="1" containsNumber="1" minValue="0" maxValue="162.28800000000001"/>
    </cacheField>
    <cacheField name="BG.20263" numFmtId="39">
      <sharedItems containsBlank="1" containsMixedTypes="1" containsNumber="1" minValue="0" maxValue="804"/>
    </cacheField>
    <cacheField name="-3" numFmtId="0">
      <sharedItems containsNonDate="0" containsString="0" containsBlank="1"/>
    </cacheField>
    <cacheField name="Jan4" numFmtId="39">
      <sharedItems containsBlank="1" containsMixedTypes="1" containsNumber="1" minValue="0" maxValue="11.394557823129253"/>
    </cacheField>
    <cacheField name="Feb4" numFmtId="39">
      <sharedItems containsBlank="1" containsMixedTypes="1" containsNumber="1" minValue="0" maxValue="11.394557823129253"/>
    </cacheField>
    <cacheField name="Mar4" numFmtId="39">
      <sharedItems containsBlank="1" containsMixedTypes="1" containsNumber="1" minValue="0" maxValue="11.394557823129253"/>
    </cacheField>
    <cacheField name="Apr4" numFmtId="39">
      <sharedItems containsBlank="1" containsMixedTypes="1" containsNumber="1" minValue="0" maxValue="11.394557823129253"/>
    </cacheField>
    <cacheField name="May4" numFmtId="39">
      <sharedItems containsBlank="1" containsMixedTypes="1" containsNumber="1" minValue="0" maxValue="11.394557823129253"/>
    </cacheField>
    <cacheField name="Jun4" numFmtId="39">
      <sharedItems containsBlank="1" containsMixedTypes="1" containsNumber="1" minValue="0" maxValue="11.394557823129253"/>
    </cacheField>
    <cacheField name="Jul4" numFmtId="39">
      <sharedItems containsBlank="1" containsMixedTypes="1" containsNumber="1" minValue="0" maxValue="11.394557823129253"/>
    </cacheField>
    <cacheField name="Aug4" numFmtId="39">
      <sharedItems containsBlank="1" containsMixedTypes="1" containsNumber="1" minValue="0" maxValue="11.394557823129253"/>
    </cacheField>
    <cacheField name="Sep4" numFmtId="39">
      <sharedItems containsBlank="1" containsMixedTypes="1" containsNumber="1" minValue="0" maxValue="11.394557823129253"/>
    </cacheField>
    <cacheField name="Oct4" numFmtId="39">
      <sharedItems containsBlank="1" containsMixedTypes="1" containsNumber="1" minValue="0" maxValue="11.394557823129253"/>
    </cacheField>
    <cacheField name="Nov4" numFmtId="39">
      <sharedItems containsBlank="1" containsMixedTypes="1" containsNumber="1" minValue="0" maxValue="11.394557823129253"/>
    </cacheField>
    <cacheField name="Dec4" numFmtId="39">
      <sharedItems containsBlank="1" containsMixedTypes="1" containsNumber="1" minValue="0" maxValue="27.6"/>
    </cacheField>
    <cacheField name="BG.20264" numFmtId="39">
      <sharedItems containsBlank="1" containsMixedTypes="1" containsNumber="1" minValue="0" maxValue="136.734693877551"/>
    </cacheField>
    <cacheField name="DRE [ KPI ]" numFmtId="0">
      <sharedItems containsBlank="1" count="6">
        <s v="G&amp;A BU"/>
        <s v=""/>
        <s v="G&amp;A PL"/>
        <s v="G&amp;A CP"/>
        <s v="Custo Fix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x v="0"/>
    <x v="0"/>
    <x v="0"/>
    <s v="Custo Fixo"/>
    <x v="0"/>
    <x v="0"/>
    <x v="0"/>
  </r>
  <r>
    <x v="1"/>
    <x v="0"/>
    <x v="1"/>
    <x v="1"/>
    <s v="Custo Fixo"/>
    <x v="0"/>
    <x v="0"/>
    <x v="0"/>
  </r>
  <r>
    <x v="2"/>
    <x v="0"/>
    <x v="2"/>
    <x v="0"/>
    <s v="Custo Fixo"/>
    <x v="0"/>
    <x v="0"/>
    <x v="0"/>
  </r>
  <r>
    <x v="3"/>
    <x v="0"/>
    <x v="3"/>
    <x v="2"/>
    <s v="Custo Fixo"/>
    <x v="0"/>
    <x v="0"/>
    <x v="0"/>
  </r>
  <r>
    <x v="4"/>
    <x v="0"/>
    <x v="4"/>
    <x v="3"/>
    <s v="Custo Fixo"/>
    <x v="0"/>
    <x v="0"/>
    <x v="0"/>
  </r>
  <r>
    <x v="5"/>
    <x v="0"/>
    <x v="0"/>
    <x v="0"/>
    <s v="Custo Fixo"/>
    <x v="0"/>
    <x v="1"/>
    <x v="0"/>
  </r>
  <r>
    <x v="6"/>
    <x v="0"/>
    <x v="1"/>
    <x v="1"/>
    <s v="Custo Fixo"/>
    <x v="0"/>
    <x v="1"/>
    <x v="0"/>
  </r>
  <r>
    <x v="7"/>
    <x v="0"/>
    <x v="2"/>
    <x v="0"/>
    <s v="Custo Fixo"/>
    <x v="0"/>
    <x v="1"/>
    <x v="0"/>
  </r>
  <r>
    <x v="8"/>
    <x v="0"/>
    <x v="3"/>
    <x v="2"/>
    <s v="Custo Fixo"/>
    <x v="0"/>
    <x v="1"/>
    <x v="0"/>
  </r>
  <r>
    <x v="9"/>
    <x v="0"/>
    <x v="4"/>
    <x v="3"/>
    <s v="Custo Fixo"/>
    <x v="0"/>
    <x v="1"/>
    <x v="0"/>
  </r>
  <r>
    <x v="10"/>
    <x v="0"/>
    <x v="0"/>
    <x v="0"/>
    <s v="Custo Fixo"/>
    <x v="0"/>
    <x v="2"/>
    <x v="0"/>
  </r>
  <r>
    <x v="11"/>
    <x v="0"/>
    <x v="1"/>
    <x v="1"/>
    <s v="Custo Fixo"/>
    <x v="0"/>
    <x v="2"/>
    <x v="0"/>
  </r>
  <r>
    <x v="12"/>
    <x v="0"/>
    <x v="2"/>
    <x v="0"/>
    <s v="Custo Fixo"/>
    <x v="0"/>
    <x v="2"/>
    <x v="0"/>
  </r>
  <r>
    <x v="13"/>
    <x v="0"/>
    <x v="3"/>
    <x v="2"/>
    <s v="Custo Fixo"/>
    <x v="0"/>
    <x v="2"/>
    <x v="0"/>
  </r>
  <r>
    <x v="14"/>
    <x v="0"/>
    <x v="4"/>
    <x v="3"/>
    <s v="Custo Fixo"/>
    <x v="0"/>
    <x v="2"/>
    <x v="0"/>
  </r>
  <r>
    <x v="15"/>
    <x v="1"/>
    <x v="5"/>
    <x v="4"/>
    <s v="Custo Fixo"/>
    <x v="0"/>
    <x v="1"/>
    <x v="1"/>
  </r>
  <r>
    <x v="16"/>
    <x v="1"/>
    <x v="5"/>
    <x v="4"/>
    <s v="Custo Fixo"/>
    <x v="0"/>
    <x v="1"/>
    <x v="1"/>
  </r>
  <r>
    <x v="17"/>
    <x v="1"/>
    <x v="1"/>
    <x v="1"/>
    <s v="Custo Fixo"/>
    <x v="0"/>
    <x v="1"/>
    <x v="1"/>
  </r>
  <r>
    <x v="18"/>
    <x v="1"/>
    <x v="6"/>
    <x v="5"/>
    <s v="Custo Fixo"/>
    <x v="0"/>
    <x v="1"/>
    <x v="1"/>
  </r>
  <r>
    <x v="19"/>
    <x v="1"/>
    <x v="6"/>
    <x v="5"/>
    <s v="Custo Fixo"/>
    <x v="0"/>
    <x v="1"/>
    <x v="1"/>
  </r>
  <r>
    <x v="20"/>
    <x v="1"/>
    <x v="2"/>
    <x v="4"/>
    <s v="Custo Fixo"/>
    <x v="0"/>
    <x v="1"/>
    <x v="1"/>
  </r>
  <r>
    <x v="21"/>
    <x v="1"/>
    <x v="4"/>
    <x v="3"/>
    <s v="Custo Fixo"/>
    <x v="0"/>
    <x v="1"/>
    <x v="1"/>
  </r>
  <r>
    <x v="22"/>
    <x v="1"/>
    <x v="3"/>
    <x v="2"/>
    <s v="Custo Fixo"/>
    <x v="0"/>
    <x v="1"/>
    <x v="1"/>
  </r>
  <r>
    <x v="23"/>
    <x v="1"/>
    <x v="7"/>
    <x v="6"/>
    <s v="Custo Fixo"/>
    <x v="0"/>
    <x v="1"/>
    <x v="1"/>
  </r>
  <r>
    <x v="24"/>
    <x v="1"/>
    <x v="8"/>
    <x v="7"/>
    <s v="Custo Fixo"/>
    <x v="0"/>
    <x v="1"/>
    <x v="1"/>
  </r>
  <r>
    <x v="25"/>
    <x v="1"/>
    <x v="9"/>
    <x v="8"/>
    <s v="Custo Fixo"/>
    <x v="0"/>
    <x v="3"/>
    <x v="2"/>
  </r>
  <r>
    <x v="26"/>
    <x v="1"/>
    <x v="9"/>
    <x v="8"/>
    <s v="Custo Fixo"/>
    <x v="0"/>
    <x v="3"/>
    <x v="2"/>
  </r>
  <r>
    <x v="27"/>
    <x v="1"/>
    <x v="1"/>
    <x v="1"/>
    <s v="Custo Fixo"/>
    <x v="0"/>
    <x v="3"/>
    <x v="2"/>
  </r>
  <r>
    <x v="28"/>
    <x v="1"/>
    <x v="6"/>
    <x v="5"/>
    <s v="Custo Fixo"/>
    <x v="0"/>
    <x v="3"/>
    <x v="2"/>
  </r>
  <r>
    <x v="29"/>
    <x v="1"/>
    <x v="6"/>
    <x v="5"/>
    <s v="Custo Fixo"/>
    <x v="0"/>
    <x v="3"/>
    <x v="2"/>
  </r>
  <r>
    <x v="30"/>
    <x v="1"/>
    <x v="2"/>
    <x v="8"/>
    <s v="Custo Fixo"/>
    <x v="0"/>
    <x v="3"/>
    <x v="2"/>
  </r>
  <r>
    <x v="31"/>
    <x v="1"/>
    <x v="4"/>
    <x v="3"/>
    <s v="Custo Fixo"/>
    <x v="0"/>
    <x v="3"/>
    <x v="2"/>
  </r>
  <r>
    <x v="32"/>
    <x v="1"/>
    <x v="3"/>
    <x v="2"/>
    <s v="Custo Fixo"/>
    <x v="0"/>
    <x v="3"/>
    <x v="2"/>
  </r>
  <r>
    <x v="33"/>
    <x v="1"/>
    <x v="7"/>
    <x v="6"/>
    <s v="Custo Fixo"/>
    <x v="0"/>
    <x v="3"/>
    <x v="2"/>
  </r>
  <r>
    <x v="34"/>
    <x v="1"/>
    <x v="8"/>
    <x v="7"/>
    <s v="Custo Fixo"/>
    <x v="0"/>
    <x v="3"/>
    <x v="2"/>
  </r>
  <r>
    <x v="35"/>
    <x v="1"/>
    <x v="9"/>
    <x v="9"/>
    <s v="Custo Fixo"/>
    <x v="0"/>
    <x v="4"/>
    <x v="2"/>
  </r>
  <r>
    <x v="36"/>
    <x v="1"/>
    <x v="9"/>
    <x v="9"/>
    <s v="Custo Fixo"/>
    <x v="0"/>
    <x v="4"/>
    <x v="2"/>
  </r>
  <r>
    <x v="37"/>
    <x v="1"/>
    <x v="1"/>
    <x v="1"/>
    <s v="Custo Fixo"/>
    <x v="0"/>
    <x v="4"/>
    <x v="2"/>
  </r>
  <r>
    <x v="38"/>
    <x v="1"/>
    <x v="6"/>
    <x v="5"/>
    <s v="Custo Fixo"/>
    <x v="0"/>
    <x v="4"/>
    <x v="2"/>
  </r>
  <r>
    <x v="39"/>
    <x v="1"/>
    <x v="6"/>
    <x v="5"/>
    <s v="Custo Fixo"/>
    <x v="0"/>
    <x v="4"/>
    <x v="2"/>
  </r>
  <r>
    <x v="40"/>
    <x v="1"/>
    <x v="2"/>
    <x v="9"/>
    <s v="Custo Fixo"/>
    <x v="0"/>
    <x v="4"/>
    <x v="2"/>
  </r>
  <r>
    <x v="41"/>
    <x v="1"/>
    <x v="4"/>
    <x v="3"/>
    <s v="Custo Fixo"/>
    <x v="0"/>
    <x v="4"/>
    <x v="2"/>
  </r>
  <r>
    <x v="42"/>
    <x v="1"/>
    <x v="3"/>
    <x v="2"/>
    <s v="Custo Fixo"/>
    <x v="0"/>
    <x v="4"/>
    <x v="2"/>
  </r>
  <r>
    <x v="43"/>
    <x v="1"/>
    <x v="7"/>
    <x v="6"/>
    <s v="Custo Fixo"/>
    <x v="0"/>
    <x v="4"/>
    <x v="2"/>
  </r>
  <r>
    <x v="44"/>
    <x v="1"/>
    <x v="8"/>
    <x v="7"/>
    <s v="Custo Fixo"/>
    <x v="0"/>
    <x v="4"/>
    <x v="2"/>
  </r>
  <r>
    <x v="45"/>
    <x v="1"/>
    <x v="5"/>
    <x v="9"/>
    <s v="Custo Fixo"/>
    <x v="0"/>
    <x v="4"/>
    <x v="1"/>
  </r>
  <r>
    <x v="46"/>
    <x v="1"/>
    <x v="5"/>
    <x v="9"/>
    <s v="Custo Fixo"/>
    <x v="0"/>
    <x v="4"/>
    <x v="1"/>
  </r>
  <r>
    <x v="47"/>
    <x v="1"/>
    <x v="1"/>
    <x v="1"/>
    <s v="Custo Fixo"/>
    <x v="0"/>
    <x v="4"/>
    <x v="1"/>
  </r>
  <r>
    <x v="48"/>
    <x v="1"/>
    <x v="6"/>
    <x v="5"/>
    <s v="Custo Fixo"/>
    <x v="0"/>
    <x v="4"/>
    <x v="1"/>
  </r>
  <r>
    <x v="49"/>
    <x v="1"/>
    <x v="6"/>
    <x v="5"/>
    <s v="Custo Fixo"/>
    <x v="0"/>
    <x v="4"/>
    <x v="1"/>
  </r>
  <r>
    <x v="50"/>
    <x v="1"/>
    <x v="2"/>
    <x v="9"/>
    <s v="Custo Fixo"/>
    <x v="0"/>
    <x v="4"/>
    <x v="1"/>
  </r>
  <r>
    <x v="51"/>
    <x v="1"/>
    <x v="4"/>
    <x v="3"/>
    <s v="Custo Fixo"/>
    <x v="0"/>
    <x v="4"/>
    <x v="1"/>
  </r>
  <r>
    <x v="52"/>
    <x v="1"/>
    <x v="3"/>
    <x v="2"/>
    <s v="Custo Fixo"/>
    <x v="0"/>
    <x v="4"/>
    <x v="1"/>
  </r>
  <r>
    <x v="53"/>
    <x v="1"/>
    <x v="7"/>
    <x v="6"/>
    <s v="Custo Fixo"/>
    <x v="0"/>
    <x v="4"/>
    <x v="1"/>
  </r>
  <r>
    <x v="54"/>
    <x v="1"/>
    <x v="8"/>
    <x v="7"/>
    <s v="Custo Fixo"/>
    <x v="0"/>
    <x v="4"/>
    <x v="1"/>
  </r>
  <r>
    <x v="55"/>
    <x v="1"/>
    <x v="10"/>
    <x v="9"/>
    <s v="Custo Fixo"/>
    <x v="0"/>
    <x v="4"/>
    <x v="3"/>
  </r>
  <r>
    <x v="56"/>
    <x v="1"/>
    <x v="10"/>
    <x v="9"/>
    <s v="Custo Fixo"/>
    <x v="0"/>
    <x v="4"/>
    <x v="3"/>
  </r>
  <r>
    <x v="57"/>
    <x v="1"/>
    <x v="1"/>
    <x v="1"/>
    <s v="Custo Fixo"/>
    <x v="0"/>
    <x v="4"/>
    <x v="3"/>
  </r>
  <r>
    <x v="58"/>
    <x v="1"/>
    <x v="6"/>
    <x v="5"/>
    <s v="Custo Fixo"/>
    <x v="0"/>
    <x v="4"/>
    <x v="3"/>
  </r>
  <r>
    <x v="59"/>
    <x v="1"/>
    <x v="6"/>
    <x v="5"/>
    <s v="Custo Fixo"/>
    <x v="0"/>
    <x v="4"/>
    <x v="3"/>
  </r>
  <r>
    <x v="60"/>
    <x v="1"/>
    <x v="2"/>
    <x v="9"/>
    <s v="Custo Fixo"/>
    <x v="0"/>
    <x v="4"/>
    <x v="3"/>
  </r>
  <r>
    <x v="61"/>
    <x v="1"/>
    <x v="4"/>
    <x v="3"/>
    <s v="Custo Fixo"/>
    <x v="0"/>
    <x v="4"/>
    <x v="3"/>
  </r>
  <r>
    <x v="62"/>
    <x v="1"/>
    <x v="3"/>
    <x v="2"/>
    <s v="Custo Fixo"/>
    <x v="0"/>
    <x v="4"/>
    <x v="3"/>
  </r>
  <r>
    <x v="63"/>
    <x v="1"/>
    <x v="7"/>
    <x v="6"/>
    <s v="Custo Fixo"/>
    <x v="0"/>
    <x v="4"/>
    <x v="3"/>
  </r>
  <r>
    <x v="64"/>
    <x v="1"/>
    <x v="8"/>
    <x v="7"/>
    <s v="Custo Fixo"/>
    <x v="0"/>
    <x v="4"/>
    <x v="3"/>
  </r>
  <r>
    <x v="65"/>
    <x v="1"/>
    <x v="1"/>
    <x v="1"/>
    <s v="Custo Fixo"/>
    <x v="0"/>
    <x v="4"/>
    <x v="4"/>
  </r>
  <r>
    <x v="66"/>
    <x v="1"/>
    <x v="6"/>
    <x v="5"/>
    <s v="Custo Fixo"/>
    <x v="0"/>
    <x v="4"/>
    <x v="4"/>
  </r>
  <r>
    <x v="67"/>
    <x v="1"/>
    <x v="6"/>
    <x v="5"/>
    <s v="Custo Fixo"/>
    <x v="0"/>
    <x v="4"/>
    <x v="4"/>
  </r>
  <r>
    <x v="68"/>
    <x v="1"/>
    <x v="2"/>
    <x v="9"/>
    <s v="Custo Fixo"/>
    <x v="0"/>
    <x v="4"/>
    <x v="4"/>
  </r>
  <r>
    <x v="69"/>
    <x v="1"/>
    <x v="4"/>
    <x v="3"/>
    <s v="Custo Fixo"/>
    <x v="0"/>
    <x v="4"/>
    <x v="4"/>
  </r>
  <r>
    <x v="70"/>
    <x v="1"/>
    <x v="3"/>
    <x v="2"/>
    <s v="Custo Fixo"/>
    <x v="0"/>
    <x v="4"/>
    <x v="4"/>
  </r>
  <r>
    <x v="71"/>
    <x v="1"/>
    <x v="7"/>
    <x v="6"/>
    <s v="Custo Fixo"/>
    <x v="0"/>
    <x v="4"/>
    <x v="4"/>
  </r>
  <r>
    <x v="72"/>
    <x v="1"/>
    <x v="8"/>
    <x v="7"/>
    <s v="Custo Fixo"/>
    <x v="0"/>
    <x v="4"/>
    <x v="4"/>
  </r>
  <r>
    <x v="73"/>
    <x v="1"/>
    <x v="5"/>
    <x v="10"/>
    <s v="Custo Fixo"/>
    <x v="0"/>
    <x v="5"/>
    <x v="1"/>
  </r>
  <r>
    <x v="74"/>
    <x v="1"/>
    <x v="5"/>
    <x v="10"/>
    <s v="Custo Fixo"/>
    <x v="0"/>
    <x v="5"/>
    <x v="1"/>
  </r>
  <r>
    <x v="75"/>
    <x v="1"/>
    <x v="1"/>
    <x v="1"/>
    <s v="Custo Fixo"/>
    <x v="0"/>
    <x v="5"/>
    <x v="1"/>
  </r>
  <r>
    <x v="76"/>
    <x v="1"/>
    <x v="6"/>
    <x v="5"/>
    <s v="Custo Fixo"/>
    <x v="0"/>
    <x v="5"/>
    <x v="1"/>
  </r>
  <r>
    <x v="77"/>
    <x v="1"/>
    <x v="6"/>
    <x v="5"/>
    <s v="Custo Fixo"/>
    <x v="0"/>
    <x v="5"/>
    <x v="1"/>
  </r>
  <r>
    <x v="78"/>
    <x v="1"/>
    <x v="2"/>
    <x v="10"/>
    <s v="Custo Fixo"/>
    <x v="0"/>
    <x v="5"/>
    <x v="1"/>
  </r>
  <r>
    <x v="79"/>
    <x v="1"/>
    <x v="4"/>
    <x v="3"/>
    <s v="Custo Fixo"/>
    <x v="0"/>
    <x v="5"/>
    <x v="1"/>
  </r>
  <r>
    <x v="80"/>
    <x v="1"/>
    <x v="3"/>
    <x v="2"/>
    <s v="Custo Fixo"/>
    <x v="0"/>
    <x v="5"/>
    <x v="1"/>
  </r>
  <r>
    <x v="81"/>
    <x v="1"/>
    <x v="7"/>
    <x v="6"/>
    <s v="Custo Fixo"/>
    <x v="0"/>
    <x v="5"/>
    <x v="1"/>
  </r>
  <r>
    <x v="82"/>
    <x v="1"/>
    <x v="8"/>
    <x v="7"/>
    <s v="Custo Fixo"/>
    <x v="0"/>
    <x v="5"/>
    <x v="1"/>
  </r>
  <r>
    <x v="83"/>
    <x v="1"/>
    <x v="10"/>
    <x v="10"/>
    <s v="Custo Fixo"/>
    <x v="0"/>
    <x v="5"/>
    <x v="3"/>
  </r>
  <r>
    <x v="84"/>
    <x v="1"/>
    <x v="10"/>
    <x v="10"/>
    <s v="Custo Fixo"/>
    <x v="0"/>
    <x v="5"/>
    <x v="3"/>
  </r>
  <r>
    <x v="85"/>
    <x v="1"/>
    <x v="1"/>
    <x v="1"/>
    <s v="Custo Fixo"/>
    <x v="0"/>
    <x v="5"/>
    <x v="3"/>
  </r>
  <r>
    <x v="86"/>
    <x v="1"/>
    <x v="6"/>
    <x v="5"/>
    <s v="Custo Fixo"/>
    <x v="0"/>
    <x v="5"/>
    <x v="3"/>
  </r>
  <r>
    <x v="87"/>
    <x v="1"/>
    <x v="6"/>
    <x v="5"/>
    <s v="Custo Fixo"/>
    <x v="0"/>
    <x v="5"/>
    <x v="3"/>
  </r>
  <r>
    <x v="88"/>
    <x v="1"/>
    <x v="2"/>
    <x v="10"/>
    <s v="Custo Fixo"/>
    <x v="0"/>
    <x v="5"/>
    <x v="3"/>
  </r>
  <r>
    <x v="89"/>
    <x v="1"/>
    <x v="4"/>
    <x v="3"/>
    <s v="Custo Fixo"/>
    <x v="0"/>
    <x v="5"/>
    <x v="3"/>
  </r>
  <r>
    <x v="90"/>
    <x v="1"/>
    <x v="3"/>
    <x v="2"/>
    <s v="Custo Fixo"/>
    <x v="0"/>
    <x v="5"/>
    <x v="3"/>
  </r>
  <r>
    <x v="91"/>
    <x v="1"/>
    <x v="7"/>
    <x v="6"/>
    <s v="Custo Fixo"/>
    <x v="0"/>
    <x v="5"/>
    <x v="3"/>
  </r>
  <r>
    <x v="92"/>
    <x v="1"/>
    <x v="8"/>
    <x v="7"/>
    <s v="Custo Fixo"/>
    <x v="0"/>
    <x v="5"/>
    <x v="3"/>
  </r>
  <r>
    <x v="93"/>
    <x v="1"/>
    <x v="1"/>
    <x v="1"/>
    <s v="Custo Fixo"/>
    <x v="0"/>
    <x v="5"/>
    <x v="4"/>
  </r>
  <r>
    <x v="94"/>
    <x v="1"/>
    <x v="6"/>
    <x v="5"/>
    <s v="Custo Fixo"/>
    <x v="0"/>
    <x v="5"/>
    <x v="4"/>
  </r>
  <r>
    <x v="95"/>
    <x v="1"/>
    <x v="6"/>
    <x v="5"/>
    <s v="Custo Fixo"/>
    <x v="0"/>
    <x v="5"/>
    <x v="4"/>
  </r>
  <r>
    <x v="96"/>
    <x v="1"/>
    <x v="2"/>
    <x v="10"/>
    <s v="Custo Fixo"/>
    <x v="0"/>
    <x v="5"/>
    <x v="4"/>
  </r>
  <r>
    <x v="97"/>
    <x v="1"/>
    <x v="4"/>
    <x v="3"/>
    <s v="Custo Fixo"/>
    <x v="0"/>
    <x v="5"/>
    <x v="4"/>
  </r>
  <r>
    <x v="98"/>
    <x v="1"/>
    <x v="3"/>
    <x v="2"/>
    <s v="Custo Fixo"/>
    <x v="0"/>
    <x v="5"/>
    <x v="4"/>
  </r>
  <r>
    <x v="99"/>
    <x v="1"/>
    <x v="7"/>
    <x v="6"/>
    <s v="Custo Fixo"/>
    <x v="0"/>
    <x v="5"/>
    <x v="4"/>
  </r>
  <r>
    <x v="100"/>
    <x v="1"/>
    <x v="8"/>
    <x v="7"/>
    <s v="Custo Fixo"/>
    <x v="0"/>
    <x v="5"/>
    <x v="4"/>
  </r>
  <r>
    <x v="101"/>
    <x v="1"/>
    <x v="5"/>
    <x v="11"/>
    <s v="Custo Fixo"/>
    <x v="0"/>
    <x v="6"/>
    <x v="1"/>
  </r>
  <r>
    <x v="102"/>
    <x v="1"/>
    <x v="5"/>
    <x v="11"/>
    <s v="Custo Fixo"/>
    <x v="0"/>
    <x v="6"/>
    <x v="1"/>
  </r>
  <r>
    <x v="103"/>
    <x v="1"/>
    <x v="1"/>
    <x v="1"/>
    <s v="Custo Fixo"/>
    <x v="0"/>
    <x v="6"/>
    <x v="1"/>
  </r>
  <r>
    <x v="104"/>
    <x v="1"/>
    <x v="6"/>
    <x v="5"/>
    <s v="Custo Fixo"/>
    <x v="0"/>
    <x v="6"/>
    <x v="1"/>
  </r>
  <r>
    <x v="105"/>
    <x v="1"/>
    <x v="6"/>
    <x v="5"/>
    <s v="Custo Fixo"/>
    <x v="0"/>
    <x v="6"/>
    <x v="1"/>
  </r>
  <r>
    <x v="106"/>
    <x v="1"/>
    <x v="2"/>
    <x v="11"/>
    <s v="Custo Fixo"/>
    <x v="0"/>
    <x v="6"/>
    <x v="1"/>
  </r>
  <r>
    <x v="107"/>
    <x v="1"/>
    <x v="4"/>
    <x v="3"/>
    <s v="Custo Fixo"/>
    <x v="0"/>
    <x v="6"/>
    <x v="1"/>
  </r>
  <r>
    <x v="108"/>
    <x v="1"/>
    <x v="3"/>
    <x v="2"/>
    <s v="Custo Fixo"/>
    <x v="0"/>
    <x v="6"/>
    <x v="1"/>
  </r>
  <r>
    <x v="109"/>
    <x v="1"/>
    <x v="7"/>
    <x v="6"/>
    <s v="Custo Fixo"/>
    <x v="0"/>
    <x v="6"/>
    <x v="1"/>
  </r>
  <r>
    <x v="110"/>
    <x v="1"/>
    <x v="8"/>
    <x v="7"/>
    <s v="Custo Fixo"/>
    <x v="0"/>
    <x v="6"/>
    <x v="1"/>
  </r>
  <r>
    <x v="111"/>
    <x v="1"/>
    <x v="10"/>
    <x v="11"/>
    <s v="Custo Fixo"/>
    <x v="0"/>
    <x v="6"/>
    <x v="3"/>
  </r>
  <r>
    <x v="112"/>
    <x v="1"/>
    <x v="10"/>
    <x v="11"/>
    <s v="Custo Fixo"/>
    <x v="0"/>
    <x v="6"/>
    <x v="3"/>
  </r>
  <r>
    <x v="113"/>
    <x v="1"/>
    <x v="1"/>
    <x v="1"/>
    <s v="Custo Fixo"/>
    <x v="0"/>
    <x v="6"/>
    <x v="3"/>
  </r>
  <r>
    <x v="114"/>
    <x v="1"/>
    <x v="6"/>
    <x v="5"/>
    <s v="Custo Fixo"/>
    <x v="0"/>
    <x v="6"/>
    <x v="3"/>
  </r>
  <r>
    <x v="115"/>
    <x v="1"/>
    <x v="6"/>
    <x v="5"/>
    <s v="Custo Fixo"/>
    <x v="0"/>
    <x v="6"/>
    <x v="3"/>
  </r>
  <r>
    <x v="116"/>
    <x v="1"/>
    <x v="2"/>
    <x v="11"/>
    <s v="Custo Fixo"/>
    <x v="0"/>
    <x v="6"/>
    <x v="3"/>
  </r>
  <r>
    <x v="117"/>
    <x v="1"/>
    <x v="4"/>
    <x v="3"/>
    <s v="Custo Fixo"/>
    <x v="0"/>
    <x v="6"/>
    <x v="3"/>
  </r>
  <r>
    <x v="118"/>
    <x v="1"/>
    <x v="3"/>
    <x v="2"/>
    <s v="Custo Fixo"/>
    <x v="0"/>
    <x v="6"/>
    <x v="3"/>
  </r>
  <r>
    <x v="119"/>
    <x v="1"/>
    <x v="7"/>
    <x v="6"/>
    <s v="Custo Fixo"/>
    <x v="0"/>
    <x v="6"/>
    <x v="3"/>
  </r>
  <r>
    <x v="120"/>
    <x v="1"/>
    <x v="8"/>
    <x v="7"/>
    <s v="Custo Fixo"/>
    <x v="0"/>
    <x v="6"/>
    <x v="3"/>
  </r>
  <r>
    <x v="121"/>
    <x v="1"/>
    <x v="1"/>
    <x v="1"/>
    <s v="Custo Fixo"/>
    <x v="0"/>
    <x v="6"/>
    <x v="4"/>
  </r>
  <r>
    <x v="122"/>
    <x v="1"/>
    <x v="6"/>
    <x v="5"/>
    <s v="Custo Fixo"/>
    <x v="0"/>
    <x v="6"/>
    <x v="4"/>
  </r>
  <r>
    <x v="123"/>
    <x v="1"/>
    <x v="6"/>
    <x v="5"/>
    <s v="Custo Fixo"/>
    <x v="0"/>
    <x v="6"/>
    <x v="4"/>
  </r>
  <r>
    <x v="124"/>
    <x v="1"/>
    <x v="2"/>
    <x v="11"/>
    <s v="Custo Fixo"/>
    <x v="0"/>
    <x v="6"/>
    <x v="4"/>
  </r>
  <r>
    <x v="125"/>
    <x v="1"/>
    <x v="4"/>
    <x v="3"/>
    <s v="Custo Fixo"/>
    <x v="0"/>
    <x v="6"/>
    <x v="4"/>
  </r>
  <r>
    <x v="126"/>
    <x v="1"/>
    <x v="3"/>
    <x v="2"/>
    <s v="Custo Fixo"/>
    <x v="0"/>
    <x v="6"/>
    <x v="4"/>
  </r>
  <r>
    <x v="127"/>
    <x v="1"/>
    <x v="7"/>
    <x v="6"/>
    <s v="Custo Fixo"/>
    <x v="0"/>
    <x v="6"/>
    <x v="4"/>
  </r>
  <r>
    <x v="128"/>
    <x v="1"/>
    <x v="8"/>
    <x v="7"/>
    <s v="Custo Fixo"/>
    <x v="0"/>
    <x v="6"/>
    <x v="4"/>
  </r>
  <r>
    <x v="129"/>
    <x v="0"/>
    <x v="0"/>
    <x v="0"/>
    <s v="Custo Fixo"/>
    <x v="1"/>
    <x v="7"/>
    <x v="0"/>
  </r>
  <r>
    <x v="130"/>
    <x v="0"/>
    <x v="1"/>
    <x v="1"/>
    <s v="Custo Fixo"/>
    <x v="1"/>
    <x v="7"/>
    <x v="0"/>
  </r>
  <r>
    <x v="131"/>
    <x v="0"/>
    <x v="2"/>
    <x v="0"/>
    <s v="Custo Fixo"/>
    <x v="1"/>
    <x v="7"/>
    <x v="0"/>
  </r>
  <r>
    <x v="132"/>
    <x v="0"/>
    <x v="3"/>
    <x v="2"/>
    <s v="Custo Fixo"/>
    <x v="1"/>
    <x v="7"/>
    <x v="0"/>
  </r>
  <r>
    <x v="133"/>
    <x v="0"/>
    <x v="4"/>
    <x v="3"/>
    <s v="Custo Fixo"/>
    <x v="1"/>
    <x v="7"/>
    <x v="0"/>
  </r>
  <r>
    <x v="134"/>
    <x v="0"/>
    <x v="0"/>
    <x v="0"/>
    <s v="Custo Fixo"/>
    <x v="1"/>
    <x v="8"/>
    <x v="0"/>
  </r>
  <r>
    <x v="135"/>
    <x v="0"/>
    <x v="1"/>
    <x v="1"/>
    <s v="Custo Fixo"/>
    <x v="1"/>
    <x v="8"/>
    <x v="0"/>
  </r>
  <r>
    <x v="136"/>
    <x v="0"/>
    <x v="2"/>
    <x v="0"/>
    <s v="Custo Fixo"/>
    <x v="1"/>
    <x v="8"/>
    <x v="0"/>
  </r>
  <r>
    <x v="137"/>
    <x v="0"/>
    <x v="3"/>
    <x v="2"/>
    <s v="Custo Fixo"/>
    <x v="1"/>
    <x v="8"/>
    <x v="0"/>
  </r>
  <r>
    <x v="138"/>
    <x v="0"/>
    <x v="4"/>
    <x v="3"/>
    <s v="Custo Fixo"/>
    <x v="1"/>
    <x v="8"/>
    <x v="0"/>
  </r>
  <r>
    <x v="139"/>
    <x v="1"/>
    <x v="5"/>
    <x v="12"/>
    <s v="Custo Fixo"/>
    <x v="1"/>
    <x v="8"/>
    <x v="1"/>
  </r>
  <r>
    <x v="140"/>
    <x v="1"/>
    <x v="5"/>
    <x v="12"/>
    <s v="Custo Fixo"/>
    <x v="1"/>
    <x v="8"/>
    <x v="1"/>
  </r>
  <r>
    <x v="141"/>
    <x v="1"/>
    <x v="1"/>
    <x v="1"/>
    <s v="Custo Fixo"/>
    <x v="1"/>
    <x v="8"/>
    <x v="1"/>
  </r>
  <r>
    <x v="142"/>
    <x v="1"/>
    <x v="6"/>
    <x v="5"/>
    <s v="Custo Fixo"/>
    <x v="1"/>
    <x v="8"/>
    <x v="1"/>
  </r>
  <r>
    <x v="143"/>
    <x v="1"/>
    <x v="6"/>
    <x v="5"/>
    <s v="Custo Fixo"/>
    <x v="1"/>
    <x v="8"/>
    <x v="1"/>
  </r>
  <r>
    <x v="144"/>
    <x v="1"/>
    <x v="2"/>
    <x v="12"/>
    <s v="Custo Fixo"/>
    <x v="1"/>
    <x v="8"/>
    <x v="1"/>
  </r>
  <r>
    <x v="145"/>
    <x v="1"/>
    <x v="4"/>
    <x v="3"/>
    <s v="Custo Fixo"/>
    <x v="1"/>
    <x v="8"/>
    <x v="1"/>
  </r>
  <r>
    <x v="146"/>
    <x v="1"/>
    <x v="3"/>
    <x v="2"/>
    <s v="Custo Fixo"/>
    <x v="1"/>
    <x v="8"/>
    <x v="1"/>
  </r>
  <r>
    <x v="147"/>
    <x v="1"/>
    <x v="7"/>
    <x v="6"/>
    <s v="Custo Fixo"/>
    <x v="1"/>
    <x v="8"/>
    <x v="1"/>
  </r>
  <r>
    <x v="148"/>
    <x v="1"/>
    <x v="8"/>
    <x v="7"/>
    <s v="Custo Fixo"/>
    <x v="1"/>
    <x v="8"/>
    <x v="1"/>
  </r>
  <r>
    <x v="149"/>
    <x v="1"/>
    <x v="5"/>
    <x v="12"/>
    <s v="Custo Fixo"/>
    <x v="1"/>
    <x v="7"/>
    <x v="1"/>
  </r>
  <r>
    <x v="150"/>
    <x v="1"/>
    <x v="5"/>
    <x v="12"/>
    <s v="Custo Fixo"/>
    <x v="1"/>
    <x v="7"/>
    <x v="1"/>
  </r>
  <r>
    <x v="151"/>
    <x v="1"/>
    <x v="1"/>
    <x v="1"/>
    <s v="Custo Fixo"/>
    <x v="1"/>
    <x v="7"/>
    <x v="1"/>
  </r>
  <r>
    <x v="152"/>
    <x v="1"/>
    <x v="6"/>
    <x v="5"/>
    <s v="Custo Fixo"/>
    <x v="1"/>
    <x v="7"/>
    <x v="1"/>
  </r>
  <r>
    <x v="153"/>
    <x v="1"/>
    <x v="6"/>
    <x v="5"/>
    <s v="Custo Fixo"/>
    <x v="1"/>
    <x v="7"/>
    <x v="1"/>
  </r>
  <r>
    <x v="154"/>
    <x v="1"/>
    <x v="2"/>
    <x v="12"/>
    <s v="Custo Fixo"/>
    <x v="1"/>
    <x v="7"/>
    <x v="1"/>
  </r>
  <r>
    <x v="155"/>
    <x v="1"/>
    <x v="4"/>
    <x v="3"/>
    <s v="Custo Fixo"/>
    <x v="1"/>
    <x v="7"/>
    <x v="1"/>
  </r>
  <r>
    <x v="156"/>
    <x v="1"/>
    <x v="3"/>
    <x v="2"/>
    <s v="Custo Fixo"/>
    <x v="1"/>
    <x v="7"/>
    <x v="1"/>
  </r>
  <r>
    <x v="157"/>
    <x v="1"/>
    <x v="7"/>
    <x v="6"/>
    <s v="Custo Fixo"/>
    <x v="1"/>
    <x v="7"/>
    <x v="1"/>
  </r>
  <r>
    <x v="158"/>
    <x v="1"/>
    <x v="8"/>
    <x v="7"/>
    <s v="Custo Fixo"/>
    <x v="1"/>
    <x v="7"/>
    <x v="1"/>
  </r>
  <r>
    <x v="159"/>
    <x v="0"/>
    <x v="0"/>
    <x v="0"/>
    <s v="Custo Fixo"/>
    <x v="2"/>
    <x v="9"/>
    <x v="0"/>
  </r>
  <r>
    <x v="160"/>
    <x v="0"/>
    <x v="1"/>
    <x v="1"/>
    <s v="Custo Fixo"/>
    <x v="2"/>
    <x v="9"/>
    <x v="0"/>
  </r>
  <r>
    <x v="161"/>
    <x v="0"/>
    <x v="2"/>
    <x v="0"/>
    <s v="Custo Fixo"/>
    <x v="2"/>
    <x v="9"/>
    <x v="0"/>
  </r>
  <r>
    <x v="162"/>
    <x v="0"/>
    <x v="3"/>
    <x v="2"/>
    <s v="Custo Fixo"/>
    <x v="2"/>
    <x v="9"/>
    <x v="0"/>
  </r>
  <r>
    <x v="163"/>
    <x v="0"/>
    <x v="4"/>
    <x v="3"/>
    <s v="Custo Fixo"/>
    <x v="2"/>
    <x v="9"/>
    <x v="0"/>
  </r>
  <r>
    <x v="164"/>
    <x v="0"/>
    <x v="0"/>
    <x v="0"/>
    <s v="Custo Fixo"/>
    <x v="2"/>
    <x v="10"/>
    <x v="0"/>
  </r>
  <r>
    <x v="165"/>
    <x v="0"/>
    <x v="1"/>
    <x v="1"/>
    <s v="Custo Fixo"/>
    <x v="2"/>
    <x v="10"/>
    <x v="0"/>
  </r>
  <r>
    <x v="166"/>
    <x v="0"/>
    <x v="2"/>
    <x v="0"/>
    <s v="Custo Fixo"/>
    <x v="2"/>
    <x v="10"/>
    <x v="0"/>
  </r>
  <r>
    <x v="167"/>
    <x v="0"/>
    <x v="3"/>
    <x v="2"/>
    <s v="Custo Fixo"/>
    <x v="2"/>
    <x v="10"/>
    <x v="0"/>
  </r>
  <r>
    <x v="168"/>
    <x v="0"/>
    <x v="4"/>
    <x v="3"/>
    <s v="Custo Fixo"/>
    <x v="2"/>
    <x v="10"/>
    <x v="0"/>
  </r>
  <r>
    <x v="169"/>
    <x v="1"/>
    <x v="5"/>
    <x v="13"/>
    <s v="Custo Fixo"/>
    <x v="2"/>
    <x v="10"/>
    <x v="1"/>
  </r>
  <r>
    <x v="170"/>
    <x v="1"/>
    <x v="5"/>
    <x v="13"/>
    <s v="Custo Fixo"/>
    <x v="2"/>
    <x v="10"/>
    <x v="1"/>
  </r>
  <r>
    <x v="171"/>
    <x v="1"/>
    <x v="1"/>
    <x v="1"/>
    <s v="Custo Fixo"/>
    <x v="2"/>
    <x v="10"/>
    <x v="1"/>
  </r>
  <r>
    <x v="172"/>
    <x v="1"/>
    <x v="6"/>
    <x v="5"/>
    <s v="Custo Fixo"/>
    <x v="2"/>
    <x v="10"/>
    <x v="1"/>
  </r>
  <r>
    <x v="173"/>
    <x v="1"/>
    <x v="6"/>
    <x v="5"/>
    <s v="Custo Fixo"/>
    <x v="2"/>
    <x v="10"/>
    <x v="1"/>
  </r>
  <r>
    <x v="174"/>
    <x v="1"/>
    <x v="2"/>
    <x v="13"/>
    <s v="Custo Fixo"/>
    <x v="2"/>
    <x v="10"/>
    <x v="1"/>
  </r>
  <r>
    <x v="175"/>
    <x v="1"/>
    <x v="3"/>
    <x v="2"/>
    <s v="Custo Fixo"/>
    <x v="2"/>
    <x v="10"/>
    <x v="1"/>
  </r>
  <r>
    <x v="176"/>
    <x v="1"/>
    <x v="4"/>
    <x v="3"/>
    <s v="Custo Fixo"/>
    <x v="2"/>
    <x v="10"/>
    <x v="1"/>
  </r>
  <r>
    <x v="177"/>
    <x v="1"/>
    <x v="7"/>
    <x v="6"/>
    <s v="Custo Fixo"/>
    <x v="2"/>
    <x v="10"/>
    <x v="1"/>
  </r>
  <r>
    <x v="178"/>
    <x v="1"/>
    <x v="8"/>
    <x v="7"/>
    <s v="Custo Fixo"/>
    <x v="2"/>
    <x v="10"/>
    <x v="1"/>
  </r>
  <r>
    <x v="179"/>
    <x v="0"/>
    <x v="0"/>
    <x v="0"/>
    <s v="Custo Fixo"/>
    <x v="3"/>
    <x v="11"/>
    <x v="0"/>
  </r>
  <r>
    <x v="180"/>
    <x v="0"/>
    <x v="1"/>
    <x v="1"/>
    <s v="Custo Fixo"/>
    <x v="3"/>
    <x v="11"/>
    <x v="0"/>
  </r>
  <r>
    <x v="181"/>
    <x v="0"/>
    <x v="2"/>
    <x v="0"/>
    <s v="Custo Fixo"/>
    <x v="3"/>
    <x v="11"/>
    <x v="0"/>
  </r>
  <r>
    <x v="182"/>
    <x v="0"/>
    <x v="3"/>
    <x v="2"/>
    <s v="Custo Fixo"/>
    <x v="3"/>
    <x v="11"/>
    <x v="0"/>
  </r>
  <r>
    <x v="183"/>
    <x v="0"/>
    <x v="4"/>
    <x v="3"/>
    <s v="Custo Fixo"/>
    <x v="3"/>
    <x v="11"/>
    <x v="0"/>
  </r>
  <r>
    <x v="184"/>
    <x v="2"/>
    <x v="11"/>
    <x v="14"/>
    <s v="G&amp;A BU"/>
    <x v="0"/>
    <x v="12"/>
    <x v="5"/>
  </r>
  <r>
    <x v="185"/>
    <x v="2"/>
    <x v="11"/>
    <x v="14"/>
    <s v="G&amp;A BU"/>
    <x v="0"/>
    <x v="12"/>
    <x v="5"/>
  </r>
  <r>
    <x v="186"/>
    <x v="2"/>
    <x v="11"/>
    <x v="14"/>
    <s v="G&amp;A BU"/>
    <x v="0"/>
    <x v="12"/>
    <x v="5"/>
  </r>
  <r>
    <x v="187"/>
    <x v="2"/>
    <x v="1"/>
    <x v="1"/>
    <s v="G&amp;A BU"/>
    <x v="0"/>
    <x v="12"/>
    <x v="5"/>
  </r>
  <r>
    <x v="188"/>
    <x v="2"/>
    <x v="12"/>
    <x v="5"/>
    <s v="G&amp;A BU"/>
    <x v="0"/>
    <x v="12"/>
    <x v="5"/>
  </r>
  <r>
    <x v="189"/>
    <x v="2"/>
    <x v="6"/>
    <x v="5"/>
    <s v="G&amp;A BU"/>
    <x v="0"/>
    <x v="12"/>
    <x v="5"/>
  </r>
  <r>
    <x v="190"/>
    <x v="2"/>
    <x v="4"/>
    <x v="3"/>
    <s v="G&amp;A BU"/>
    <x v="0"/>
    <x v="12"/>
    <x v="5"/>
  </r>
  <r>
    <x v="191"/>
    <x v="2"/>
    <x v="13"/>
    <x v="15"/>
    <s v="G&amp;A BU"/>
    <x v="0"/>
    <x v="12"/>
    <x v="5"/>
  </r>
  <r>
    <x v="192"/>
    <x v="2"/>
    <x v="14"/>
    <x v="15"/>
    <s v="G&amp;A BU"/>
    <x v="0"/>
    <x v="12"/>
    <x v="5"/>
  </r>
  <r>
    <x v="193"/>
    <x v="2"/>
    <x v="3"/>
    <x v="2"/>
    <s v="G&amp;A BU"/>
    <x v="0"/>
    <x v="12"/>
    <x v="5"/>
  </r>
  <r>
    <x v="194"/>
    <x v="2"/>
    <x v="15"/>
    <x v="16"/>
    <s v="G&amp;A BU"/>
    <x v="0"/>
    <x v="12"/>
    <x v="5"/>
  </r>
  <r>
    <x v="195"/>
    <x v="2"/>
    <x v="16"/>
    <x v="17"/>
    <s v="G&amp;A BU"/>
    <x v="0"/>
    <x v="12"/>
    <x v="5"/>
  </r>
  <r>
    <x v="196"/>
    <x v="2"/>
    <x v="16"/>
    <x v="18"/>
    <s v="G&amp;A BU"/>
    <x v="0"/>
    <x v="12"/>
    <x v="5"/>
  </r>
  <r>
    <x v="197"/>
    <x v="2"/>
    <x v="8"/>
    <x v="7"/>
    <s v="G&amp;A BU"/>
    <x v="0"/>
    <x v="12"/>
    <x v="5"/>
  </r>
  <r>
    <x v="198"/>
    <x v="2"/>
    <x v="7"/>
    <x v="6"/>
    <s v="G&amp;A BU"/>
    <x v="0"/>
    <x v="12"/>
    <x v="5"/>
  </r>
  <r>
    <x v="199"/>
    <x v="2"/>
    <x v="2"/>
    <x v="19"/>
    <s v="G&amp;A BU"/>
    <x v="0"/>
    <x v="12"/>
    <x v="5"/>
  </r>
  <r>
    <x v="200"/>
    <x v="2"/>
    <x v="11"/>
    <x v="20"/>
    <s v="G&amp;A BU"/>
    <x v="4"/>
    <x v="13"/>
    <x v="5"/>
  </r>
  <r>
    <x v="201"/>
    <x v="2"/>
    <x v="11"/>
    <x v="20"/>
    <s v="G&amp;A BU"/>
    <x v="4"/>
    <x v="13"/>
    <x v="5"/>
  </r>
  <r>
    <x v="202"/>
    <x v="2"/>
    <x v="11"/>
    <x v="20"/>
    <s v="G&amp;A BU"/>
    <x v="4"/>
    <x v="13"/>
    <x v="5"/>
  </r>
  <r>
    <x v="203"/>
    <x v="2"/>
    <x v="1"/>
    <x v="20"/>
    <s v="G&amp;A BU"/>
    <x v="4"/>
    <x v="13"/>
    <x v="5"/>
  </r>
  <r>
    <x v="204"/>
    <x v="2"/>
    <x v="12"/>
    <x v="20"/>
    <s v="G&amp;A BU"/>
    <x v="4"/>
    <x v="13"/>
    <x v="5"/>
  </r>
  <r>
    <x v="205"/>
    <x v="2"/>
    <x v="6"/>
    <x v="20"/>
    <s v="G&amp;A BU"/>
    <x v="4"/>
    <x v="13"/>
    <x v="5"/>
  </r>
  <r>
    <x v="206"/>
    <x v="2"/>
    <x v="4"/>
    <x v="20"/>
    <s v="G&amp;A BU"/>
    <x v="4"/>
    <x v="13"/>
    <x v="5"/>
  </r>
  <r>
    <x v="207"/>
    <x v="2"/>
    <x v="13"/>
    <x v="15"/>
    <s v="G&amp;A BU"/>
    <x v="4"/>
    <x v="13"/>
    <x v="5"/>
  </r>
  <r>
    <x v="208"/>
    <x v="2"/>
    <x v="14"/>
    <x v="15"/>
    <s v="G&amp;A BU"/>
    <x v="4"/>
    <x v="13"/>
    <x v="5"/>
  </r>
  <r>
    <x v="209"/>
    <x v="2"/>
    <x v="3"/>
    <x v="20"/>
    <s v="G&amp;A BU"/>
    <x v="4"/>
    <x v="13"/>
    <x v="5"/>
  </r>
  <r>
    <x v="210"/>
    <x v="2"/>
    <x v="15"/>
    <x v="20"/>
    <s v="G&amp;A BU"/>
    <x v="4"/>
    <x v="13"/>
    <x v="5"/>
  </r>
  <r>
    <x v="211"/>
    <x v="2"/>
    <x v="16"/>
    <x v="17"/>
    <s v="G&amp;A BU"/>
    <x v="4"/>
    <x v="13"/>
    <x v="5"/>
  </r>
  <r>
    <x v="212"/>
    <x v="2"/>
    <x v="16"/>
    <x v="18"/>
    <s v="G&amp;A BU"/>
    <x v="4"/>
    <x v="13"/>
    <x v="5"/>
  </r>
  <r>
    <x v="213"/>
    <x v="2"/>
    <x v="8"/>
    <x v="7"/>
    <s v="G&amp;A BU"/>
    <x v="4"/>
    <x v="13"/>
    <x v="5"/>
  </r>
  <r>
    <x v="214"/>
    <x v="2"/>
    <x v="7"/>
    <x v="6"/>
    <s v="G&amp;A BU"/>
    <x v="4"/>
    <x v="13"/>
    <x v="5"/>
  </r>
  <r>
    <x v="215"/>
    <x v="2"/>
    <x v="2"/>
    <x v="20"/>
    <s v="G&amp;A BU"/>
    <x v="4"/>
    <x v="13"/>
    <x v="5"/>
  </r>
  <r>
    <x v="216"/>
    <x v="2"/>
    <x v="11"/>
    <x v="14"/>
    <s v="G&amp;A BU"/>
    <x v="1"/>
    <x v="14"/>
    <x v="5"/>
  </r>
  <r>
    <x v="217"/>
    <x v="2"/>
    <x v="11"/>
    <x v="14"/>
    <s v="G&amp;A BU"/>
    <x v="1"/>
    <x v="14"/>
    <x v="5"/>
  </r>
  <r>
    <x v="218"/>
    <x v="2"/>
    <x v="11"/>
    <x v="14"/>
    <s v="G&amp;A BU"/>
    <x v="1"/>
    <x v="14"/>
    <x v="5"/>
  </r>
  <r>
    <x v="219"/>
    <x v="2"/>
    <x v="1"/>
    <x v="1"/>
    <s v="G&amp;A BU"/>
    <x v="1"/>
    <x v="14"/>
    <x v="5"/>
  </r>
  <r>
    <x v="220"/>
    <x v="2"/>
    <x v="12"/>
    <x v="5"/>
    <s v="G&amp;A BU"/>
    <x v="1"/>
    <x v="14"/>
    <x v="5"/>
  </r>
  <r>
    <x v="221"/>
    <x v="2"/>
    <x v="6"/>
    <x v="5"/>
    <s v="G&amp;A BU"/>
    <x v="1"/>
    <x v="14"/>
    <x v="5"/>
  </r>
  <r>
    <x v="222"/>
    <x v="2"/>
    <x v="4"/>
    <x v="3"/>
    <s v="G&amp;A BU"/>
    <x v="1"/>
    <x v="14"/>
    <x v="5"/>
  </r>
  <r>
    <x v="223"/>
    <x v="2"/>
    <x v="13"/>
    <x v="15"/>
    <s v="G&amp;A BU"/>
    <x v="1"/>
    <x v="14"/>
    <x v="5"/>
  </r>
  <r>
    <x v="224"/>
    <x v="2"/>
    <x v="14"/>
    <x v="15"/>
    <s v="G&amp;A BU"/>
    <x v="1"/>
    <x v="14"/>
    <x v="5"/>
  </r>
  <r>
    <x v="225"/>
    <x v="2"/>
    <x v="3"/>
    <x v="2"/>
    <s v="G&amp;A BU"/>
    <x v="1"/>
    <x v="14"/>
    <x v="5"/>
  </r>
  <r>
    <x v="226"/>
    <x v="2"/>
    <x v="15"/>
    <x v="16"/>
    <s v="G&amp;A BU"/>
    <x v="1"/>
    <x v="14"/>
    <x v="5"/>
  </r>
  <r>
    <x v="227"/>
    <x v="2"/>
    <x v="16"/>
    <x v="17"/>
    <s v="G&amp;A BU"/>
    <x v="1"/>
    <x v="14"/>
    <x v="5"/>
  </r>
  <r>
    <x v="228"/>
    <x v="2"/>
    <x v="16"/>
    <x v="18"/>
    <s v="G&amp;A BU"/>
    <x v="1"/>
    <x v="14"/>
    <x v="5"/>
  </r>
  <r>
    <x v="229"/>
    <x v="2"/>
    <x v="8"/>
    <x v="7"/>
    <s v="G&amp;A BU"/>
    <x v="1"/>
    <x v="14"/>
    <x v="5"/>
  </r>
  <r>
    <x v="230"/>
    <x v="2"/>
    <x v="7"/>
    <x v="6"/>
    <s v="G&amp;A BU"/>
    <x v="1"/>
    <x v="14"/>
    <x v="5"/>
  </r>
  <r>
    <x v="231"/>
    <x v="2"/>
    <x v="2"/>
    <x v="13"/>
    <s v="G&amp;A BU"/>
    <x v="1"/>
    <x v="14"/>
    <x v="5"/>
  </r>
  <r>
    <x v="232"/>
    <x v="2"/>
    <x v="11"/>
    <x v="14"/>
    <s v="G&amp;A BU"/>
    <x v="2"/>
    <x v="15"/>
    <x v="5"/>
  </r>
  <r>
    <x v="233"/>
    <x v="2"/>
    <x v="11"/>
    <x v="14"/>
    <s v="G&amp;A BU"/>
    <x v="2"/>
    <x v="15"/>
    <x v="5"/>
  </r>
  <r>
    <x v="234"/>
    <x v="2"/>
    <x v="11"/>
    <x v="14"/>
    <s v="G&amp;A BU"/>
    <x v="2"/>
    <x v="15"/>
    <x v="5"/>
  </r>
  <r>
    <x v="235"/>
    <x v="2"/>
    <x v="1"/>
    <x v="1"/>
    <s v="G&amp;A BU"/>
    <x v="2"/>
    <x v="15"/>
    <x v="5"/>
  </r>
  <r>
    <x v="236"/>
    <x v="2"/>
    <x v="12"/>
    <x v="5"/>
    <s v="G&amp;A BU"/>
    <x v="2"/>
    <x v="15"/>
    <x v="5"/>
  </r>
  <r>
    <x v="237"/>
    <x v="2"/>
    <x v="6"/>
    <x v="5"/>
    <s v="G&amp;A BU"/>
    <x v="2"/>
    <x v="15"/>
    <x v="5"/>
  </r>
  <r>
    <x v="238"/>
    <x v="2"/>
    <x v="4"/>
    <x v="3"/>
    <s v="G&amp;A BU"/>
    <x v="2"/>
    <x v="15"/>
    <x v="5"/>
  </r>
  <r>
    <x v="239"/>
    <x v="2"/>
    <x v="13"/>
    <x v="15"/>
    <s v="G&amp;A BU"/>
    <x v="2"/>
    <x v="15"/>
    <x v="5"/>
  </r>
  <r>
    <x v="240"/>
    <x v="2"/>
    <x v="14"/>
    <x v="15"/>
    <s v="G&amp;A BU"/>
    <x v="2"/>
    <x v="15"/>
    <x v="5"/>
  </r>
  <r>
    <x v="241"/>
    <x v="2"/>
    <x v="3"/>
    <x v="2"/>
    <s v="G&amp;A BU"/>
    <x v="2"/>
    <x v="15"/>
    <x v="5"/>
  </r>
  <r>
    <x v="242"/>
    <x v="2"/>
    <x v="15"/>
    <x v="16"/>
    <s v="G&amp;A BU"/>
    <x v="2"/>
    <x v="15"/>
    <x v="5"/>
  </r>
  <r>
    <x v="243"/>
    <x v="2"/>
    <x v="16"/>
    <x v="17"/>
    <s v="G&amp;A BU"/>
    <x v="2"/>
    <x v="15"/>
    <x v="5"/>
  </r>
  <r>
    <x v="244"/>
    <x v="2"/>
    <x v="16"/>
    <x v="18"/>
    <s v="G&amp;A BU"/>
    <x v="2"/>
    <x v="15"/>
    <x v="5"/>
  </r>
  <r>
    <x v="245"/>
    <x v="2"/>
    <x v="8"/>
    <x v="7"/>
    <s v="G&amp;A BU"/>
    <x v="2"/>
    <x v="15"/>
    <x v="5"/>
  </r>
  <r>
    <x v="246"/>
    <x v="2"/>
    <x v="7"/>
    <x v="6"/>
    <s v="G&amp;A BU"/>
    <x v="2"/>
    <x v="15"/>
    <x v="5"/>
  </r>
  <r>
    <x v="247"/>
    <x v="2"/>
    <x v="2"/>
    <x v="13"/>
    <s v="G&amp;A BU"/>
    <x v="2"/>
    <x v="15"/>
    <x v="5"/>
  </r>
  <r>
    <x v="248"/>
    <x v="3"/>
    <x v="17"/>
    <x v="21"/>
    <s v="G&amp;A PL"/>
    <x v="5"/>
    <x v="16"/>
    <x v="5"/>
  </r>
  <r>
    <x v="249"/>
    <x v="3"/>
    <x v="11"/>
    <x v="14"/>
    <s v="G&amp;A PL"/>
    <x v="5"/>
    <x v="16"/>
    <x v="5"/>
  </r>
  <r>
    <x v="250"/>
    <x v="3"/>
    <x v="4"/>
    <x v="3"/>
    <s v="G&amp;A PL"/>
    <x v="5"/>
    <x v="16"/>
    <x v="5"/>
  </r>
  <r>
    <x v="251"/>
    <x v="3"/>
    <x v="13"/>
    <x v="15"/>
    <s v="G&amp;A PL"/>
    <x v="5"/>
    <x v="16"/>
    <x v="5"/>
  </r>
  <r>
    <x v="252"/>
    <x v="3"/>
    <x v="18"/>
    <x v="22"/>
    <s v="G&amp;A PL"/>
    <x v="5"/>
    <x v="16"/>
    <x v="5"/>
  </r>
  <r>
    <x v="253"/>
    <x v="3"/>
    <x v="3"/>
    <x v="2"/>
    <s v="G&amp;A PL"/>
    <x v="5"/>
    <x v="16"/>
    <x v="5"/>
  </r>
  <r>
    <x v="254"/>
    <x v="3"/>
    <x v="19"/>
    <x v="23"/>
    <s v="G&amp;A PL"/>
    <x v="5"/>
    <x v="16"/>
    <x v="5"/>
  </r>
  <r>
    <x v="255"/>
    <x v="3"/>
    <x v="16"/>
    <x v="17"/>
    <s v="G&amp;A PL"/>
    <x v="5"/>
    <x v="16"/>
    <x v="5"/>
  </r>
  <r>
    <x v="256"/>
    <x v="3"/>
    <x v="16"/>
    <x v="18"/>
    <s v="G&amp;A PL"/>
    <x v="5"/>
    <x v="16"/>
    <x v="5"/>
  </r>
  <r>
    <x v="257"/>
    <x v="3"/>
    <x v="16"/>
    <x v="24"/>
    <s v="G&amp;A PL"/>
    <x v="5"/>
    <x v="16"/>
    <x v="5"/>
  </r>
  <r>
    <x v="258"/>
    <x v="3"/>
    <x v="8"/>
    <x v="7"/>
    <s v="G&amp;A PL"/>
    <x v="5"/>
    <x v="16"/>
    <x v="5"/>
  </r>
  <r>
    <x v="259"/>
    <x v="3"/>
    <x v="7"/>
    <x v="6"/>
    <s v="G&amp;A PL"/>
    <x v="5"/>
    <x v="16"/>
    <x v="5"/>
  </r>
  <r>
    <x v="260"/>
    <x v="3"/>
    <x v="2"/>
    <x v="25"/>
    <s v="G&amp;A PL"/>
    <x v="5"/>
    <x v="16"/>
    <x v="5"/>
  </r>
  <r>
    <x v="261"/>
    <x v="4"/>
    <x v="17"/>
    <x v="26"/>
    <s v="G&amp;A CP"/>
    <x v="6"/>
    <x v="17"/>
    <x v="5"/>
  </r>
  <r>
    <x v="262"/>
    <x v="4"/>
    <x v="11"/>
    <x v="27"/>
    <s v="G&amp;A CP"/>
    <x v="6"/>
    <x v="17"/>
    <x v="5"/>
  </r>
  <r>
    <x v="263"/>
    <x v="4"/>
    <x v="4"/>
    <x v="3"/>
    <s v="G&amp;A CP"/>
    <x v="6"/>
    <x v="17"/>
    <x v="5"/>
  </r>
  <r>
    <x v="264"/>
    <x v="4"/>
    <x v="18"/>
    <x v="28"/>
    <s v="G&amp;A CP"/>
    <x v="6"/>
    <x v="17"/>
    <x v="5"/>
  </r>
  <r>
    <x v="265"/>
    <x v="4"/>
    <x v="3"/>
    <x v="2"/>
    <s v="G&amp;A CP"/>
    <x v="6"/>
    <x v="17"/>
    <x v="5"/>
  </r>
  <r>
    <x v="266"/>
    <x v="4"/>
    <x v="15"/>
    <x v="16"/>
    <s v="G&amp;A CP"/>
    <x v="6"/>
    <x v="17"/>
    <x v="5"/>
  </r>
  <r>
    <x v="267"/>
    <x v="4"/>
    <x v="16"/>
    <x v="29"/>
    <s v="G&amp;A CP"/>
    <x v="6"/>
    <x v="17"/>
    <x v="5"/>
  </r>
  <r>
    <x v="268"/>
    <x v="4"/>
    <x v="16"/>
    <x v="30"/>
    <s v="G&amp;A CP"/>
    <x v="6"/>
    <x v="17"/>
    <x v="5"/>
  </r>
  <r>
    <x v="269"/>
    <x v="4"/>
    <x v="16"/>
    <x v="31"/>
    <s v="G&amp;A CP"/>
    <x v="6"/>
    <x v="17"/>
    <x v="5"/>
  </r>
  <r>
    <x v="270"/>
    <x v="4"/>
    <x v="8"/>
    <x v="32"/>
    <s v="G&amp;A CP"/>
    <x v="6"/>
    <x v="17"/>
    <x v="5"/>
  </r>
  <r>
    <x v="271"/>
    <x v="4"/>
    <x v="7"/>
    <x v="33"/>
    <s v="G&amp;A CP"/>
    <x v="6"/>
    <x v="17"/>
    <x v="5"/>
  </r>
  <r>
    <x v="272"/>
    <x v="4"/>
    <x v="2"/>
    <x v="25"/>
    <s v="G&amp;A CP"/>
    <x v="6"/>
    <x v="17"/>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x v="0"/>
    <x v="0"/>
    <x v="0"/>
    <x v="0"/>
    <x v="0"/>
    <x v="0"/>
    <x v="0"/>
    <x v="0"/>
    <s v="Existente"/>
    <s v="Mensal"/>
    <s v="Contrato em Curso"/>
    <s v="BU-MMTR | TI"/>
    <s v="Alexandre Ayabe"/>
    <x v="0"/>
    <d v="2026-01-01T00:00:00"/>
    <s v="BRL"/>
    <n v="0"/>
    <n v="0"/>
    <n v="0"/>
    <n v="0"/>
    <n v="0"/>
    <n v="0"/>
    <n v="0"/>
    <n v="0"/>
    <n v="0"/>
    <n v="0"/>
    <n v="0"/>
    <n v="0"/>
    <n v="0"/>
    <m/>
    <n v="0"/>
    <n v="0"/>
    <n v="0"/>
    <n v="0"/>
    <n v="0"/>
    <n v="0"/>
    <n v="0"/>
    <n v="0"/>
    <n v="0"/>
    <n v="0"/>
    <n v="0"/>
    <n v="0"/>
    <n v="0"/>
    <m/>
    <n v="0"/>
    <n v="0"/>
    <n v="0"/>
    <n v="0"/>
    <n v="0"/>
    <n v="0"/>
    <n v="0"/>
    <n v="0"/>
    <n v="0"/>
    <n v="0"/>
    <n v="0"/>
    <n v="0"/>
    <n v="0"/>
    <m/>
    <n v="0"/>
    <n v="0"/>
    <n v="0"/>
    <n v="0"/>
    <n v="0"/>
    <n v="0"/>
    <n v="0"/>
    <n v="0"/>
    <n v="0"/>
    <n v="0"/>
    <n v="0"/>
    <n v="0"/>
    <n v="0"/>
    <x v="0"/>
  </r>
  <r>
    <x v="0"/>
    <x v="0"/>
    <x v="1"/>
    <x v="1"/>
    <x v="0"/>
    <x v="0"/>
    <x v="0"/>
    <x v="0"/>
    <s v="Existente"/>
    <s v="Mensal"/>
    <s v="Contrato em Curso"/>
    <s v="BU-MMAZ | TI"/>
    <s v="Alexandre Ayabe"/>
    <x v="0"/>
    <d v="2026-01-01T00:00:00"/>
    <s v="BRL"/>
    <n v="54166.666666666664"/>
    <n v="54166.666666666664"/>
    <n v="54166.666666666664"/>
    <n v="54166.666666666664"/>
    <n v="54166.666666666664"/>
    <n v="54166.666666666664"/>
    <n v="54166.666666666664"/>
    <n v="54166.666666666664"/>
    <n v="54166.666666666664"/>
    <n v="54166.666666666664"/>
    <n v="54166.666666666664"/>
    <n v="54166.666666666664"/>
    <n v="650000"/>
    <m/>
    <n v="54.166666666666664"/>
    <n v="54.166666666666664"/>
    <n v="54.166666666666664"/>
    <n v="54.166666666666664"/>
    <n v="54.166666666666664"/>
    <n v="54.166666666666664"/>
    <n v="54.166666666666664"/>
    <n v="54.166666666666664"/>
    <n v="54.166666666666664"/>
    <n v="54.166666666666664"/>
    <n v="54.166666666666664"/>
    <n v="54.166666666666664"/>
    <n v="650"/>
    <m/>
    <n v="57.12823346277662"/>
    <n v="57.12823346277662"/>
    <n v="57.12823346277662"/>
    <n v="57.12823346277662"/>
    <n v="57.12823346277662"/>
    <n v="57.12823346277662"/>
    <n v="57.12823346277662"/>
    <n v="57.12823346277662"/>
    <n v="57.12823346277662"/>
    <n v="57.12823346277662"/>
    <n v="57.12823346277662"/>
    <n v="57.12823346277662"/>
    <n v="685.53880155331944"/>
    <m/>
    <n v="9.7156859630572487"/>
    <n v="9.7156859630572487"/>
    <n v="9.7156859630572487"/>
    <n v="9.7156859630572487"/>
    <n v="9.7156859630572487"/>
    <n v="9.7156859630572487"/>
    <n v="9.7156859630572487"/>
    <n v="9.7156859630572487"/>
    <n v="9.7156859630572487"/>
    <n v="9.7156859630572487"/>
    <n v="9.7156859630572487"/>
    <n v="9.7156859630572487"/>
    <n v="116.58823155668701"/>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2"/>
    <x v="0"/>
    <x v="2"/>
    <s v="Existente"/>
    <s v="Mensal"/>
    <s v="Contrato em Curso"/>
    <s v="BU-MMTR | TI"/>
    <s v="Alexandre Ayabe"/>
    <x v="2"/>
    <m/>
    <s v="BRL"/>
    <n v="0"/>
    <n v="0"/>
    <n v="0"/>
    <m/>
    <m/>
    <m/>
    <m/>
    <m/>
    <m/>
    <m/>
    <m/>
    <m/>
    <n v="0"/>
    <m/>
    <n v="0"/>
    <n v="0"/>
    <n v="0"/>
    <s v=""/>
    <s v=""/>
    <s v=""/>
    <s v=""/>
    <s v=""/>
    <s v=""/>
    <s v=""/>
    <s v=""/>
    <s v=""/>
    <n v="0"/>
    <m/>
    <n v="0"/>
    <n v="0"/>
    <n v="0"/>
    <s v=""/>
    <s v=""/>
    <s v=""/>
    <s v=""/>
    <s v=""/>
    <s v=""/>
    <s v=""/>
    <s v=""/>
    <s v=""/>
    <n v="0"/>
    <m/>
    <n v="0"/>
    <n v="0"/>
    <n v="0"/>
    <s v=""/>
    <s v=""/>
    <s v=""/>
    <s v=""/>
    <s v=""/>
    <s v=""/>
    <s v=""/>
    <s v=""/>
    <s v=""/>
    <n v="0"/>
    <x v="0"/>
  </r>
  <r>
    <x v="0"/>
    <x v="0"/>
    <x v="1"/>
    <x v="1"/>
    <x v="0"/>
    <x v="2"/>
    <x v="0"/>
    <x v="2"/>
    <s v="Existente"/>
    <s v="Mensal"/>
    <s v="Contrato em Curso"/>
    <s v="BU-MMAZ | TI"/>
    <s v="Alexandre Ayabe"/>
    <x v="2"/>
    <m/>
    <s v="BRL"/>
    <n v="35000"/>
    <n v="35000"/>
    <n v="35000"/>
    <m/>
    <m/>
    <m/>
    <m/>
    <m/>
    <m/>
    <m/>
    <m/>
    <m/>
    <n v="105000"/>
    <m/>
    <n v="35"/>
    <n v="35"/>
    <n v="35"/>
    <s v=""/>
    <s v=""/>
    <s v=""/>
    <s v=""/>
    <s v=""/>
    <s v=""/>
    <s v=""/>
    <s v=""/>
    <s v=""/>
    <n v="105"/>
    <m/>
    <n v="35"/>
    <n v="35"/>
    <n v="35"/>
    <s v=""/>
    <s v=""/>
    <s v=""/>
    <s v=""/>
    <s v=""/>
    <s v=""/>
    <s v=""/>
    <s v=""/>
    <s v=""/>
    <n v="105"/>
    <m/>
    <n v="5.9523809523809526"/>
    <n v="5.9523809523809526"/>
    <n v="5.9523809523809526"/>
    <s v=""/>
    <s v=""/>
    <s v=""/>
    <s v=""/>
    <s v=""/>
    <s v=""/>
    <s v=""/>
    <s v=""/>
    <s v=""/>
    <n v="17.857142857142858"/>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3"/>
    <x v="0"/>
    <x v="3"/>
    <s v="Novo"/>
    <s v="Mensal"/>
    <s v="Baixa - Eficiência"/>
    <s v="BU-MMTR | TI"/>
    <s v="Alexandre Ayabe"/>
    <x v="0"/>
    <m/>
    <s v="USD"/>
    <n v="2104.14"/>
    <n v="2104.14"/>
    <n v="2104.14"/>
    <n v="2104.14"/>
    <n v="2104.14"/>
    <n v="2104.14"/>
    <n v="2104.14"/>
    <n v="2104.14"/>
    <n v="2104.14"/>
    <n v="2104.14"/>
    <n v="2104.14"/>
    <n v="2104.14"/>
    <n v="25249.679999999997"/>
    <m/>
    <n v="12.3723432"/>
    <n v="12.3723432"/>
    <n v="12.3723432"/>
    <n v="12.3723432"/>
    <n v="12.3723432"/>
    <n v="12.3723432"/>
    <n v="12.3723432"/>
    <n v="12.3723432"/>
    <n v="12.3723432"/>
    <n v="12.3723432"/>
    <n v="12.3723432"/>
    <n v="12.3723432"/>
    <n v="148.46811840000001"/>
    <m/>
    <n v="12.3723432"/>
    <n v="12.3723432"/>
    <n v="12.3723432"/>
    <n v="12.3723432"/>
    <n v="12.3723432"/>
    <n v="12.3723432"/>
    <n v="12.3723432"/>
    <n v="12.3723432"/>
    <n v="12.3723432"/>
    <n v="12.3723432"/>
    <n v="12.3723432"/>
    <n v="12.3723432"/>
    <n v="148.46811840000001"/>
    <m/>
    <n v="2.1041400000000001"/>
    <n v="2.1041400000000001"/>
    <n v="2.1041400000000001"/>
    <n v="2.1041400000000001"/>
    <n v="2.1041400000000001"/>
    <n v="2.1041400000000001"/>
    <n v="2.1041400000000001"/>
    <n v="2.1041400000000001"/>
    <n v="2.1041400000000001"/>
    <n v="2.1041400000000001"/>
    <n v="2.1041400000000001"/>
    <n v="2.1041400000000001"/>
    <n v="25.249680000000009"/>
    <x v="0"/>
  </r>
  <r>
    <x v="0"/>
    <x v="0"/>
    <x v="1"/>
    <x v="1"/>
    <x v="0"/>
    <x v="3"/>
    <x v="0"/>
    <x v="3"/>
    <s v="Novo"/>
    <s v="Mensal"/>
    <s v="Contrato em Curso"/>
    <s v="BU-MMAZ | TI"/>
    <s v="Alexandre Ayabe"/>
    <x v="0"/>
    <m/>
    <s v="USD"/>
    <n v="5611.04"/>
    <n v="5611.04"/>
    <n v="5611.04"/>
    <n v="5611.04"/>
    <n v="5611.04"/>
    <n v="5611.04"/>
    <n v="5611.04"/>
    <n v="5611.04"/>
    <n v="5611.04"/>
    <n v="5611.04"/>
    <n v="5611.04"/>
    <n v="5611.04"/>
    <n v="67332.479999999996"/>
    <m/>
    <n v="32.992915199999999"/>
    <n v="32.992915199999999"/>
    <n v="32.992915199999999"/>
    <n v="32.992915199999999"/>
    <n v="32.992915199999999"/>
    <n v="32.992915199999999"/>
    <n v="32.992915199999999"/>
    <n v="32.992915199999999"/>
    <n v="32.992915199999999"/>
    <n v="32.992915199999999"/>
    <n v="32.992915199999999"/>
    <n v="32.992915199999999"/>
    <n v="395.91498239999987"/>
    <m/>
    <n v="32.992915199999999"/>
    <n v="32.992915199999999"/>
    <n v="32.992915199999999"/>
    <n v="32.992915199999999"/>
    <n v="32.992915199999999"/>
    <n v="32.992915199999999"/>
    <n v="32.992915199999999"/>
    <n v="32.992915199999999"/>
    <n v="32.992915199999999"/>
    <n v="32.992915199999999"/>
    <n v="32.992915199999999"/>
    <n v="32.992915199999999"/>
    <n v="395.91498239999987"/>
    <m/>
    <n v="5.61104"/>
    <n v="5.61104"/>
    <n v="5.61104"/>
    <n v="5.61104"/>
    <n v="5.61104"/>
    <n v="5.61104"/>
    <n v="5.61104"/>
    <n v="5.61104"/>
    <n v="5.61104"/>
    <n v="5.61104"/>
    <n v="5.61104"/>
    <n v="5.61104"/>
    <n v="67.332480000000018"/>
    <x v="0"/>
  </r>
  <r>
    <x v="0"/>
    <x v="0"/>
    <x v="3"/>
    <x v="3"/>
    <x v="0"/>
    <x v="3"/>
    <x v="0"/>
    <x v="3"/>
    <s v="Novo"/>
    <s v="Mensal"/>
    <s v="Contrato em Curso"/>
    <s v="BU-MRV | TI"/>
    <s v="Alexandre Ayabe"/>
    <x v="0"/>
    <m/>
    <s v="USD"/>
    <n v="584.48333333333335"/>
    <n v="584.48333333333335"/>
    <n v="584.48333333333335"/>
    <n v="584.48333333333335"/>
    <n v="584.48333333333335"/>
    <n v="584.48333333333335"/>
    <n v="584.48333333333335"/>
    <n v="584.48333333333335"/>
    <n v="584.48333333333335"/>
    <n v="584.48333333333335"/>
    <n v="584.48333333333335"/>
    <n v="584.48333333333335"/>
    <n v="7013.800000000002"/>
    <m/>
    <n v="3.4367620000000003"/>
    <n v="3.4367620000000003"/>
    <n v="3.4367620000000003"/>
    <n v="3.4367620000000003"/>
    <n v="3.4367620000000003"/>
    <n v="3.4367620000000003"/>
    <n v="3.4367620000000003"/>
    <n v="3.4367620000000003"/>
    <n v="3.4367620000000003"/>
    <n v="3.4367620000000003"/>
    <n v="3.4367620000000003"/>
    <n v="3.4367620000000003"/>
    <n v="41.241144000000013"/>
    <m/>
    <n v="3.4367620000000003"/>
    <n v="3.4367620000000003"/>
    <n v="3.4367620000000003"/>
    <n v="3.4367620000000003"/>
    <n v="3.4367620000000003"/>
    <n v="3.4367620000000003"/>
    <n v="3.4367620000000003"/>
    <n v="3.4367620000000003"/>
    <n v="3.4367620000000003"/>
    <n v="3.4367620000000003"/>
    <n v="3.4367620000000003"/>
    <n v="3.4367620000000003"/>
    <n v="41.241144000000013"/>
    <m/>
    <n v="0.58448333333333335"/>
    <n v="0.58448333333333335"/>
    <n v="0.58448333333333335"/>
    <n v="0.58448333333333335"/>
    <n v="0.58448333333333335"/>
    <n v="0.58448333333333335"/>
    <n v="0.58448333333333335"/>
    <n v="0.58448333333333335"/>
    <n v="0.58448333333333335"/>
    <n v="0.58448333333333335"/>
    <n v="0.58448333333333335"/>
    <n v="0.58448333333333335"/>
    <n v="7.0137999999999989"/>
    <x v="0"/>
  </r>
  <r>
    <x v="0"/>
    <x v="0"/>
    <x v="4"/>
    <x v="4"/>
    <x v="0"/>
    <x v="3"/>
    <x v="0"/>
    <x v="3"/>
    <s v="Existente"/>
    <s v="Mensal"/>
    <s v="Contrato em Curso"/>
    <s v="BU-GRU | TI"/>
    <s v="Alexandre Ayabe"/>
    <x v="0"/>
    <m/>
    <s v="USD"/>
    <n v="701.38"/>
    <n v="701.38"/>
    <n v="701.38"/>
    <n v="701.38"/>
    <n v="701.38"/>
    <n v="701.38"/>
    <n v="701.38"/>
    <n v="701.38"/>
    <n v="701.38"/>
    <n v="701.38"/>
    <n v="701.38"/>
    <n v="701.38"/>
    <n v="8416.56"/>
    <m/>
    <n v="4.1241143999999998"/>
    <n v="4.1241143999999998"/>
    <n v="4.1241143999999998"/>
    <n v="4.1241143999999998"/>
    <n v="4.1241143999999998"/>
    <n v="4.1241143999999998"/>
    <n v="4.1241143999999998"/>
    <n v="4.1241143999999998"/>
    <n v="4.1241143999999998"/>
    <n v="4.1241143999999998"/>
    <n v="4.1241143999999998"/>
    <n v="4.1241143999999998"/>
    <n v="49.489372799999984"/>
    <m/>
    <n v="4.1241143999999998"/>
    <n v="4.1241143999999998"/>
    <n v="4.1241143999999998"/>
    <n v="4.1241143999999998"/>
    <n v="4.1241143999999998"/>
    <n v="4.1241143999999998"/>
    <n v="4.1241143999999998"/>
    <n v="4.1241143999999998"/>
    <n v="4.1241143999999998"/>
    <n v="4.1241143999999998"/>
    <n v="4.1241143999999998"/>
    <n v="4.1241143999999998"/>
    <n v="49.489372799999984"/>
    <m/>
    <n v="0.70138"/>
    <n v="0.70138"/>
    <n v="0.70138"/>
    <n v="0.70138"/>
    <n v="0.70138"/>
    <n v="0.70138"/>
    <n v="0.70138"/>
    <n v="0.70138"/>
    <n v="0.70138"/>
    <n v="0.70138"/>
    <n v="0.70138"/>
    <n v="0.70138"/>
    <n v="8.4165600000000023"/>
    <x v="0"/>
  </r>
  <r>
    <x v="0"/>
    <x v="0"/>
    <x v="5"/>
    <x v="5"/>
    <x v="0"/>
    <x v="3"/>
    <x v="0"/>
    <x v="3"/>
    <s v="Novo"/>
    <s v="Mensal"/>
    <s v="Contrato em Curso"/>
    <s v="BU-RJ | TI"/>
    <s v="Alexandre Ayabe"/>
    <x v="0"/>
    <m/>
    <s v="USD"/>
    <n v="233.79333333333332"/>
    <n v="233.79333333333332"/>
    <n v="233.79333333333332"/>
    <n v="233.79333333333332"/>
    <n v="233.79333333333332"/>
    <n v="233.79333333333332"/>
    <n v="233.79333333333332"/>
    <n v="233.79333333333332"/>
    <n v="233.79333333333332"/>
    <n v="233.79333333333332"/>
    <n v="233.79333333333332"/>
    <n v="233.79333333333332"/>
    <n v="2805.5200000000004"/>
    <m/>
    <n v="1.3747047999999999"/>
    <n v="1.3747047999999999"/>
    <n v="1.3747047999999999"/>
    <n v="1.3747047999999999"/>
    <n v="1.3747047999999999"/>
    <n v="1.3747047999999999"/>
    <n v="1.3747047999999999"/>
    <n v="1.3747047999999999"/>
    <n v="1.3747047999999999"/>
    <n v="1.3747047999999999"/>
    <n v="1.3747047999999999"/>
    <n v="1.3747047999999999"/>
    <n v="16.496457599999999"/>
    <m/>
    <n v="1.3747047999999999"/>
    <n v="1.3747047999999999"/>
    <n v="1.3747047999999999"/>
    <n v="1.3747047999999999"/>
    <n v="1.3747047999999999"/>
    <n v="1.3747047999999999"/>
    <n v="1.3747047999999999"/>
    <n v="1.3747047999999999"/>
    <n v="1.3747047999999999"/>
    <n v="1.3747047999999999"/>
    <n v="1.3747047999999999"/>
    <n v="1.3747047999999999"/>
    <n v="16.496457599999999"/>
    <m/>
    <n v="0.23379333333333333"/>
    <n v="0.23379333333333333"/>
    <n v="0.23379333333333333"/>
    <n v="0.23379333333333333"/>
    <n v="0.23379333333333333"/>
    <n v="0.23379333333333333"/>
    <n v="0.23379333333333333"/>
    <n v="0.23379333333333333"/>
    <n v="0.23379333333333333"/>
    <n v="0.23379333333333333"/>
    <n v="0.23379333333333333"/>
    <n v="0.23379333333333333"/>
    <n v="2.80552"/>
    <x v="0"/>
  </r>
  <r>
    <x v="0"/>
    <x v="0"/>
    <x v="6"/>
    <x v="6"/>
    <x v="0"/>
    <x v="3"/>
    <x v="0"/>
    <x v="3"/>
    <s v="Novo"/>
    <s v="Mensal"/>
    <s v="Contrato em Curso"/>
    <s v="PL | TI"/>
    <s v="Alexandre Ayabe"/>
    <x v="0"/>
    <m/>
    <s v="USD"/>
    <n v="1870.3466666666666"/>
    <n v="1870.3466666666666"/>
    <n v="1870.3466666666666"/>
    <n v="1870.3466666666666"/>
    <n v="1870.3466666666666"/>
    <n v="1870.3466666666666"/>
    <n v="1870.3466666666666"/>
    <n v="1870.3466666666666"/>
    <n v="1870.3466666666666"/>
    <n v="1870.3466666666666"/>
    <n v="1870.3466666666666"/>
    <n v="1870.3466666666666"/>
    <n v="22444.160000000003"/>
    <m/>
    <n v="10.9976384"/>
    <n v="10.9976384"/>
    <n v="10.9976384"/>
    <n v="10.9976384"/>
    <n v="10.9976384"/>
    <n v="10.9976384"/>
    <n v="10.9976384"/>
    <n v="10.9976384"/>
    <n v="10.9976384"/>
    <n v="10.9976384"/>
    <n v="10.9976384"/>
    <n v="10.9976384"/>
    <n v="131.9716608"/>
    <m/>
    <n v="10.9976384"/>
    <n v="10.9976384"/>
    <n v="10.9976384"/>
    <n v="10.9976384"/>
    <n v="10.9976384"/>
    <n v="10.9976384"/>
    <n v="10.9976384"/>
    <n v="10.9976384"/>
    <n v="10.9976384"/>
    <n v="10.9976384"/>
    <n v="10.9976384"/>
    <n v="10.9976384"/>
    <n v="131.9716608"/>
    <m/>
    <n v="1.8703466666666666"/>
    <n v="1.8703466666666666"/>
    <n v="1.8703466666666666"/>
    <n v="1.8703466666666666"/>
    <n v="1.8703466666666666"/>
    <n v="1.8703466666666666"/>
    <n v="1.8703466666666666"/>
    <n v="1.8703466666666666"/>
    <n v="1.8703466666666666"/>
    <n v="1.8703466666666666"/>
    <n v="1.8703466666666666"/>
    <n v="1.8703466666666666"/>
    <n v="22.44416"/>
    <x v="2"/>
  </r>
  <r>
    <x v="0"/>
    <x v="0"/>
    <x v="7"/>
    <x v="7"/>
    <x v="0"/>
    <x v="3"/>
    <x v="0"/>
    <x v="3"/>
    <s v="Novo"/>
    <s v="Mensal"/>
    <s v="Contrato em Curso"/>
    <s v="CP | TI"/>
    <s v="Jimmy Espinosa"/>
    <x v="0"/>
    <m/>
    <s v="USD"/>
    <n v="584.48333333333335"/>
    <n v="584.48333333333335"/>
    <n v="584.48333333333335"/>
    <n v="584.48333333333335"/>
    <n v="584.48333333333335"/>
    <n v="584.48333333333335"/>
    <n v="584.48333333333335"/>
    <n v="584.48333333333335"/>
    <n v="584.48333333333335"/>
    <n v="584.48333333333335"/>
    <n v="584.48333333333335"/>
    <n v="584.48333333333335"/>
    <n v="7013.800000000002"/>
    <m/>
    <n v="3.4367620000000003"/>
    <n v="3.4367620000000003"/>
    <n v="3.4367620000000003"/>
    <n v="3.4367620000000003"/>
    <n v="3.4367620000000003"/>
    <n v="3.4367620000000003"/>
    <n v="3.4367620000000003"/>
    <n v="3.4367620000000003"/>
    <n v="3.4367620000000003"/>
    <n v="3.4367620000000003"/>
    <n v="3.4367620000000003"/>
    <n v="3.4367620000000003"/>
    <n v="41.241144000000013"/>
    <m/>
    <n v="3.4367620000000003"/>
    <n v="3.4367620000000003"/>
    <n v="3.4367620000000003"/>
    <n v="3.4367620000000003"/>
    <n v="3.4367620000000003"/>
    <n v="3.4367620000000003"/>
    <n v="3.4367620000000003"/>
    <n v="3.4367620000000003"/>
    <n v="3.4367620000000003"/>
    <n v="3.4367620000000003"/>
    <n v="3.4367620000000003"/>
    <n v="3.4367620000000003"/>
    <n v="41.241144000000013"/>
    <m/>
    <n v="0.58448333333333335"/>
    <n v="0.58448333333333335"/>
    <n v="0.58448333333333335"/>
    <n v="0.58448333333333335"/>
    <n v="0.58448333333333335"/>
    <n v="0.58448333333333335"/>
    <n v="0.58448333333333335"/>
    <n v="0.58448333333333335"/>
    <n v="0.58448333333333335"/>
    <n v="0.58448333333333335"/>
    <n v="0.58448333333333335"/>
    <n v="0.58448333333333335"/>
    <n v="7.0137999999999989"/>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3"/>
    <x v="0"/>
    <x v="4"/>
    <s v="Novo"/>
    <s v="Mensal"/>
    <s v="Contrato em Curso"/>
    <s v="BU-MMTR | TI"/>
    <s v="Alexandre Ayabe"/>
    <x v="2"/>
    <m/>
    <s v="USD"/>
    <n v="2807.3700000000003"/>
    <n v="2807.3700000000003"/>
    <n v="2807.3700000000003"/>
    <n v="2807.3700000000003"/>
    <n v="2807.3700000000003"/>
    <n v="2807.3700000000003"/>
    <n v="2807.3700000000003"/>
    <n v="2807.3700000000003"/>
    <n v="2807.3700000000003"/>
    <n v="2807.3700000000003"/>
    <n v="2807.3700000000003"/>
    <n v="2807.3700000000003"/>
    <n v="33688.439999999995"/>
    <m/>
    <n v="16.507335600000001"/>
    <n v="16.507335600000001"/>
    <n v="16.507335600000001"/>
    <n v="16.507335600000001"/>
    <n v="16.507335600000001"/>
    <n v="16.507335600000001"/>
    <n v="16.507335600000001"/>
    <n v="16.507335600000001"/>
    <n v="16.507335600000001"/>
    <n v="16.507335600000001"/>
    <n v="16.507335600000001"/>
    <n v="16.507335600000001"/>
    <n v="198.08802720000003"/>
    <m/>
    <n v="16.507335600000001"/>
    <n v="16.507335600000001"/>
    <n v="16.507335600000001"/>
    <n v="16.507335600000001"/>
    <n v="16.507335600000001"/>
    <n v="16.507335600000001"/>
    <n v="16.507335600000001"/>
    <n v="16.507335600000001"/>
    <n v="16.507335600000001"/>
    <n v="16.507335600000001"/>
    <n v="16.507335600000001"/>
    <n v="16.507335600000001"/>
    <n v="198.08802720000003"/>
    <m/>
    <n v="2.8073700000000001"/>
    <n v="2.8073700000000001"/>
    <n v="2.8073700000000001"/>
    <n v="2.8073700000000001"/>
    <n v="2.8073700000000001"/>
    <n v="2.8073700000000001"/>
    <n v="2.8073700000000001"/>
    <n v="2.8073700000000001"/>
    <n v="2.8073700000000001"/>
    <n v="2.8073700000000001"/>
    <n v="2.8073700000000001"/>
    <n v="2.8073700000000001"/>
    <n v="33.688439999999993"/>
    <x v="0"/>
  </r>
  <r>
    <x v="0"/>
    <x v="0"/>
    <x v="1"/>
    <x v="1"/>
    <x v="0"/>
    <x v="3"/>
    <x v="0"/>
    <x v="4"/>
    <s v="Novo"/>
    <s v="Mensal"/>
    <s v="Contrato em Curso"/>
    <s v="BU-MMAZ | TI"/>
    <s v="Alexandre Ayabe"/>
    <x v="2"/>
    <m/>
    <s v="USD"/>
    <n v="7486.32"/>
    <n v="7486.32"/>
    <n v="7486.32"/>
    <n v="7486.32"/>
    <n v="7486.32"/>
    <n v="7486.32"/>
    <n v="7486.32"/>
    <n v="7486.32"/>
    <n v="7486.32"/>
    <n v="7486.32"/>
    <n v="7486.32"/>
    <n v="7486.32"/>
    <n v="89835.840000000026"/>
    <m/>
    <n v="44.019561600000003"/>
    <n v="44.019561600000003"/>
    <n v="44.019561600000003"/>
    <n v="44.019561600000003"/>
    <n v="44.019561600000003"/>
    <n v="44.019561600000003"/>
    <n v="44.019561600000003"/>
    <n v="44.019561600000003"/>
    <n v="44.019561600000003"/>
    <n v="44.019561600000003"/>
    <n v="44.019561600000003"/>
    <n v="44.019561600000003"/>
    <n v="528.23473919999992"/>
    <m/>
    <n v="44.019561600000003"/>
    <n v="44.019561600000003"/>
    <n v="44.019561600000003"/>
    <n v="44.019561600000003"/>
    <n v="44.019561600000003"/>
    <n v="44.019561600000003"/>
    <n v="44.019561600000003"/>
    <n v="44.019561600000003"/>
    <n v="44.019561600000003"/>
    <n v="44.019561600000003"/>
    <n v="44.019561600000003"/>
    <n v="44.019561600000003"/>
    <n v="528.23473919999992"/>
    <m/>
    <n v="7.486320000000001"/>
    <n v="7.486320000000001"/>
    <n v="7.486320000000001"/>
    <n v="7.486320000000001"/>
    <n v="7.486320000000001"/>
    <n v="7.486320000000001"/>
    <n v="7.486320000000001"/>
    <n v="7.486320000000001"/>
    <n v="7.486320000000001"/>
    <n v="7.486320000000001"/>
    <n v="7.486320000000001"/>
    <n v="7.486320000000001"/>
    <n v="89.835840000000019"/>
    <x v="0"/>
  </r>
  <r>
    <x v="0"/>
    <x v="0"/>
    <x v="3"/>
    <x v="3"/>
    <x v="0"/>
    <x v="3"/>
    <x v="0"/>
    <x v="4"/>
    <s v="Novo"/>
    <s v="Mensal"/>
    <s v="Contrato em Curso"/>
    <s v="BU-MRV | TI"/>
    <s v="Alexandre Ayabe"/>
    <x v="2"/>
    <m/>
    <s v="USD"/>
    <n v="779.82499999999993"/>
    <n v="779.82499999999993"/>
    <n v="779.82499999999993"/>
    <n v="779.82499999999993"/>
    <n v="779.82499999999993"/>
    <n v="779.82499999999993"/>
    <n v="779.82499999999993"/>
    <n v="779.82499999999993"/>
    <n v="779.82499999999993"/>
    <n v="779.82499999999993"/>
    <n v="779.82499999999993"/>
    <n v="779.82499999999993"/>
    <n v="9357.9"/>
    <m/>
    <n v="4.5853709999999994"/>
    <n v="4.5853709999999994"/>
    <n v="4.5853709999999994"/>
    <n v="4.5853709999999994"/>
    <n v="4.5853709999999994"/>
    <n v="4.5853709999999994"/>
    <n v="4.5853709999999994"/>
    <n v="4.5853709999999994"/>
    <n v="4.5853709999999994"/>
    <n v="4.5853709999999994"/>
    <n v="4.5853709999999994"/>
    <n v="4.5853709999999994"/>
    <n v="55.024452000000004"/>
    <m/>
    <n v="4.5853709999999994"/>
    <n v="4.5853709999999994"/>
    <n v="4.5853709999999994"/>
    <n v="4.5853709999999994"/>
    <n v="4.5853709999999994"/>
    <n v="4.5853709999999994"/>
    <n v="4.5853709999999994"/>
    <n v="4.5853709999999994"/>
    <n v="4.5853709999999994"/>
    <n v="4.5853709999999994"/>
    <n v="4.5853709999999994"/>
    <n v="4.5853709999999994"/>
    <n v="55.024452000000004"/>
    <m/>
    <n v="0.77982499999999988"/>
    <n v="0.77982499999999988"/>
    <n v="0.77982499999999988"/>
    <n v="0.77982499999999988"/>
    <n v="0.77982499999999988"/>
    <n v="0.77982499999999988"/>
    <n v="0.77982499999999988"/>
    <n v="0.77982499999999988"/>
    <n v="0.77982499999999988"/>
    <n v="0.77982499999999988"/>
    <n v="0.77982499999999988"/>
    <n v="0.77982499999999988"/>
    <n v="9.357899999999999"/>
    <x v="0"/>
  </r>
  <r>
    <x v="0"/>
    <x v="0"/>
    <x v="4"/>
    <x v="4"/>
    <x v="0"/>
    <x v="3"/>
    <x v="0"/>
    <x v="4"/>
    <s v="Existente"/>
    <s v="Mensal"/>
    <s v="Contrato em Curso"/>
    <s v="BU-GRU | TI"/>
    <s v="Alexandre Ayabe"/>
    <x v="2"/>
    <m/>
    <s v="USD"/>
    <n v="935.79"/>
    <n v="935.79"/>
    <n v="935.79"/>
    <n v="935.79"/>
    <n v="935.79"/>
    <n v="935.79"/>
    <n v="935.79"/>
    <n v="935.79"/>
    <n v="935.79"/>
    <n v="935.79"/>
    <n v="935.79"/>
    <n v="935.79"/>
    <n v="11229.480000000003"/>
    <m/>
    <n v="5.5024452000000004"/>
    <n v="5.5024452000000004"/>
    <n v="5.5024452000000004"/>
    <n v="5.5024452000000004"/>
    <n v="5.5024452000000004"/>
    <n v="5.5024452000000004"/>
    <n v="5.5024452000000004"/>
    <n v="5.5024452000000004"/>
    <n v="5.5024452000000004"/>
    <n v="5.5024452000000004"/>
    <n v="5.5024452000000004"/>
    <n v="5.5024452000000004"/>
    <n v="66.02934239999999"/>
    <m/>
    <n v="5.5024452000000004"/>
    <n v="5.5024452000000004"/>
    <n v="5.5024452000000004"/>
    <n v="5.5024452000000004"/>
    <n v="5.5024452000000004"/>
    <n v="5.5024452000000004"/>
    <n v="5.5024452000000004"/>
    <n v="5.5024452000000004"/>
    <n v="5.5024452000000004"/>
    <n v="5.5024452000000004"/>
    <n v="5.5024452000000004"/>
    <n v="5.5024452000000004"/>
    <n v="66.02934239999999"/>
    <m/>
    <n v="0.93579000000000012"/>
    <n v="0.93579000000000012"/>
    <n v="0.93579000000000012"/>
    <n v="0.93579000000000012"/>
    <n v="0.93579000000000012"/>
    <n v="0.93579000000000012"/>
    <n v="0.93579000000000012"/>
    <n v="0.93579000000000012"/>
    <n v="0.93579000000000012"/>
    <n v="0.93579000000000012"/>
    <n v="0.93579000000000012"/>
    <n v="0.93579000000000012"/>
    <n v="11.229480000000002"/>
    <x v="0"/>
  </r>
  <r>
    <x v="0"/>
    <x v="0"/>
    <x v="5"/>
    <x v="5"/>
    <x v="0"/>
    <x v="3"/>
    <x v="0"/>
    <x v="4"/>
    <s v="Existente"/>
    <s v="Mensal"/>
    <s v="Contrato em Curso"/>
    <s v="BU-RJ | TI"/>
    <s v="Alexandre Ayabe"/>
    <x v="2"/>
    <m/>
    <s v="USD"/>
    <n v="311.93"/>
    <n v="311.93"/>
    <n v="311.93"/>
    <n v="311.93"/>
    <n v="311.93"/>
    <n v="311.93"/>
    <n v="311.93"/>
    <n v="311.93"/>
    <n v="311.93"/>
    <n v="311.93"/>
    <n v="311.93"/>
    <n v="311.93"/>
    <n v="3743.1599999999994"/>
    <m/>
    <n v="1.8341484000000001"/>
    <n v="1.8341484000000001"/>
    <n v="1.8341484000000001"/>
    <n v="1.8341484000000001"/>
    <n v="1.8341484000000001"/>
    <n v="1.8341484000000001"/>
    <n v="1.8341484000000001"/>
    <n v="1.8341484000000001"/>
    <n v="1.8341484000000001"/>
    <n v="1.8341484000000001"/>
    <n v="1.8341484000000001"/>
    <n v="1.8341484000000001"/>
    <n v="22.009780800000001"/>
    <m/>
    <n v="1.8341484000000001"/>
    <n v="1.8341484000000001"/>
    <n v="1.8341484000000001"/>
    <n v="1.8341484000000001"/>
    <n v="1.8341484000000001"/>
    <n v="1.8341484000000001"/>
    <n v="1.8341484000000001"/>
    <n v="1.8341484000000001"/>
    <n v="1.8341484000000001"/>
    <n v="1.8341484000000001"/>
    <n v="1.8341484000000001"/>
    <n v="1.8341484000000001"/>
    <n v="22.009780800000001"/>
    <m/>
    <n v="0.31193000000000004"/>
    <n v="0.31193000000000004"/>
    <n v="0.31193000000000004"/>
    <n v="0.31193000000000004"/>
    <n v="0.31193000000000004"/>
    <n v="0.31193000000000004"/>
    <n v="0.31193000000000004"/>
    <n v="0.31193000000000004"/>
    <n v="0.31193000000000004"/>
    <n v="0.31193000000000004"/>
    <n v="0.31193000000000004"/>
    <n v="0.31193000000000004"/>
    <n v="3.7431600000000014"/>
    <x v="0"/>
  </r>
  <r>
    <x v="0"/>
    <x v="0"/>
    <x v="6"/>
    <x v="6"/>
    <x v="0"/>
    <x v="3"/>
    <x v="0"/>
    <x v="4"/>
    <s v="Novo"/>
    <s v="Mensal"/>
    <s v="Contrato em Curso"/>
    <s v="PL | TI"/>
    <s v="Alexandre Ayabe"/>
    <x v="2"/>
    <m/>
    <s v="USD"/>
    <n v="2495.44"/>
    <n v="2495.44"/>
    <n v="2495.44"/>
    <n v="2495.44"/>
    <n v="2495.44"/>
    <n v="2495.44"/>
    <n v="2495.44"/>
    <n v="2495.44"/>
    <n v="2495.44"/>
    <n v="2495.44"/>
    <n v="2495.44"/>
    <n v="2495.44"/>
    <n v="29945.279999999995"/>
    <m/>
    <n v="14.673187200000001"/>
    <n v="14.673187200000001"/>
    <n v="14.673187200000001"/>
    <n v="14.673187200000001"/>
    <n v="14.673187200000001"/>
    <n v="14.673187200000001"/>
    <n v="14.673187200000001"/>
    <n v="14.673187200000001"/>
    <n v="14.673187200000001"/>
    <n v="14.673187200000001"/>
    <n v="14.673187200000001"/>
    <n v="14.673187200000001"/>
    <n v="176.07824640000001"/>
    <m/>
    <n v="14.673187200000001"/>
    <n v="14.673187200000001"/>
    <n v="14.673187200000001"/>
    <n v="14.673187200000001"/>
    <n v="14.673187200000001"/>
    <n v="14.673187200000001"/>
    <n v="14.673187200000001"/>
    <n v="14.673187200000001"/>
    <n v="14.673187200000001"/>
    <n v="14.673187200000001"/>
    <n v="14.673187200000001"/>
    <n v="14.673187200000001"/>
    <n v="176.07824640000001"/>
    <m/>
    <n v="2.4954400000000003"/>
    <n v="2.4954400000000003"/>
    <n v="2.4954400000000003"/>
    <n v="2.4954400000000003"/>
    <n v="2.4954400000000003"/>
    <n v="2.4954400000000003"/>
    <n v="2.4954400000000003"/>
    <n v="2.4954400000000003"/>
    <n v="2.4954400000000003"/>
    <n v="2.4954400000000003"/>
    <n v="2.4954400000000003"/>
    <n v="2.4954400000000003"/>
    <n v="29.945280000000011"/>
    <x v="2"/>
  </r>
  <r>
    <x v="0"/>
    <x v="0"/>
    <x v="7"/>
    <x v="7"/>
    <x v="0"/>
    <x v="3"/>
    <x v="0"/>
    <x v="4"/>
    <s v="Novo"/>
    <s v="Mensal"/>
    <s v="Contrato em Curso"/>
    <s v="CP | TI"/>
    <s v="Jimmy Espinosa"/>
    <x v="2"/>
    <m/>
    <s v="USD"/>
    <n v="779.82499999999993"/>
    <n v="779.82499999999993"/>
    <n v="779.82499999999993"/>
    <n v="779.82499999999993"/>
    <n v="779.82499999999993"/>
    <n v="779.82499999999993"/>
    <n v="779.82499999999993"/>
    <n v="779.82499999999993"/>
    <n v="779.82499999999993"/>
    <n v="779.82499999999993"/>
    <n v="779.82499999999993"/>
    <n v="779.82499999999993"/>
    <n v="9357.9"/>
    <m/>
    <n v="4.5853709999999994"/>
    <n v="4.5853709999999994"/>
    <n v="4.5853709999999994"/>
    <n v="4.5853709999999994"/>
    <n v="4.5853709999999994"/>
    <n v="4.5853709999999994"/>
    <n v="4.5853709999999994"/>
    <n v="4.5853709999999994"/>
    <n v="4.5853709999999994"/>
    <n v="4.5853709999999994"/>
    <n v="4.5853709999999994"/>
    <n v="4.5853709999999994"/>
    <n v="55.024452000000004"/>
    <m/>
    <n v="4.5853709999999994"/>
    <n v="4.5853709999999994"/>
    <n v="4.5853709999999994"/>
    <n v="4.5853709999999994"/>
    <n v="4.5853709999999994"/>
    <n v="4.5853709999999994"/>
    <n v="4.5853709999999994"/>
    <n v="4.5853709999999994"/>
    <n v="4.5853709999999994"/>
    <n v="4.5853709999999994"/>
    <n v="4.5853709999999994"/>
    <n v="4.5853709999999994"/>
    <n v="55.024452000000004"/>
    <m/>
    <n v="0.77982499999999988"/>
    <n v="0.77982499999999988"/>
    <n v="0.77982499999999988"/>
    <n v="0.77982499999999988"/>
    <n v="0.77982499999999988"/>
    <n v="0.77982499999999988"/>
    <n v="0.77982499999999988"/>
    <n v="0.77982499999999988"/>
    <n v="0.77982499999999988"/>
    <n v="0.77982499999999988"/>
    <n v="0.77982499999999988"/>
    <n v="0.77982499999999988"/>
    <n v="9.357899999999999"/>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3"/>
    <x v="0"/>
    <x v="5"/>
    <s v="Novo"/>
    <s v="Mensal"/>
    <s v="Contrato em Curso"/>
    <s v="BU-MMAZ | TI"/>
    <s v="Alexandre Ayabe"/>
    <x v="2"/>
    <m/>
    <s v="USD"/>
    <n v="400"/>
    <n v="400"/>
    <n v="400"/>
    <n v="400"/>
    <n v="400"/>
    <n v="400"/>
    <n v="400"/>
    <n v="400"/>
    <n v="400"/>
    <n v="400"/>
    <n v="400"/>
    <n v="400"/>
    <n v="4800"/>
    <m/>
    <n v="2.3519999999999999"/>
    <n v="2.3519999999999999"/>
    <n v="2.3519999999999999"/>
    <n v="2.3519999999999999"/>
    <n v="2.3519999999999999"/>
    <n v="2.3519999999999999"/>
    <n v="2.3519999999999999"/>
    <n v="2.3519999999999999"/>
    <n v="2.3519999999999999"/>
    <n v="2.3519999999999999"/>
    <n v="2.3519999999999999"/>
    <n v="2.3519999999999999"/>
    <n v="28.224"/>
    <m/>
    <n v="2.3519999999999999"/>
    <n v="2.3519999999999999"/>
    <n v="2.3519999999999999"/>
    <n v="2.3519999999999999"/>
    <n v="2.3519999999999999"/>
    <n v="2.3519999999999999"/>
    <n v="2.3519999999999999"/>
    <n v="2.3519999999999999"/>
    <n v="2.3519999999999999"/>
    <n v="2.3519999999999999"/>
    <n v="2.3519999999999999"/>
    <n v="2.3519999999999999"/>
    <n v="28.224"/>
    <m/>
    <n v="0.39999999999999997"/>
    <n v="0.39999999999999997"/>
    <n v="0.39999999999999997"/>
    <n v="0.39999999999999997"/>
    <n v="0.39999999999999997"/>
    <n v="0.39999999999999997"/>
    <n v="0.39999999999999997"/>
    <n v="0.39999999999999997"/>
    <n v="0.39999999999999997"/>
    <n v="0.39999999999999997"/>
    <n v="0.39999999999999997"/>
    <n v="0.39999999999999997"/>
    <n v="4.8"/>
    <x v="0"/>
  </r>
  <r>
    <x v="0"/>
    <x v="0"/>
    <x v="3"/>
    <x v="3"/>
    <x v="0"/>
    <x v="3"/>
    <x v="0"/>
    <x v="5"/>
    <s v="Novo"/>
    <s v="Mensal"/>
    <s v="Contrato em Curso"/>
    <s v="BU-MRV | TI"/>
    <s v="Alexandre Ayabe"/>
    <x v="2"/>
    <m/>
    <s v="USD"/>
    <n v="100"/>
    <n v="100"/>
    <n v="100"/>
    <n v="100"/>
    <n v="100"/>
    <n v="100"/>
    <n v="100"/>
    <n v="100"/>
    <n v="100"/>
    <n v="100"/>
    <n v="100"/>
    <n v="100"/>
    <n v="1200"/>
    <m/>
    <n v="0.58799999999999997"/>
    <n v="0.58799999999999997"/>
    <n v="0.58799999999999997"/>
    <n v="0.58799999999999997"/>
    <n v="0.58799999999999997"/>
    <n v="0.58799999999999997"/>
    <n v="0.58799999999999997"/>
    <n v="0.58799999999999997"/>
    <n v="0.58799999999999997"/>
    <n v="0.58799999999999997"/>
    <n v="0.58799999999999997"/>
    <n v="0.58799999999999997"/>
    <n v="7.056"/>
    <m/>
    <n v="0.58799999999999997"/>
    <n v="0.58799999999999997"/>
    <n v="0.58799999999999997"/>
    <n v="0.58799999999999997"/>
    <n v="0.58799999999999997"/>
    <n v="0.58799999999999997"/>
    <n v="0.58799999999999997"/>
    <n v="0.58799999999999997"/>
    <n v="0.58799999999999997"/>
    <n v="0.58799999999999997"/>
    <n v="0.58799999999999997"/>
    <n v="0.58799999999999997"/>
    <n v="7.056"/>
    <m/>
    <n v="9.9999999999999992E-2"/>
    <n v="9.9999999999999992E-2"/>
    <n v="9.9999999999999992E-2"/>
    <n v="9.9999999999999992E-2"/>
    <n v="9.9999999999999992E-2"/>
    <n v="9.9999999999999992E-2"/>
    <n v="9.9999999999999992E-2"/>
    <n v="9.9999999999999992E-2"/>
    <n v="9.9999999999999992E-2"/>
    <n v="9.9999999999999992E-2"/>
    <n v="9.9999999999999992E-2"/>
    <n v="9.9999999999999992E-2"/>
    <n v="1.2"/>
    <x v="0"/>
  </r>
  <r>
    <x v="0"/>
    <x v="0"/>
    <x v="4"/>
    <x v="4"/>
    <x v="0"/>
    <x v="3"/>
    <x v="0"/>
    <x v="5"/>
    <s v="Novo"/>
    <s v="Mensal"/>
    <s v="Contrato em Curso"/>
    <s v="BU-GRU | TI"/>
    <s v="Alexandre Ayabe"/>
    <x v="2"/>
    <m/>
    <s v="USD"/>
    <n v="100"/>
    <n v="100"/>
    <n v="100"/>
    <n v="100"/>
    <n v="100"/>
    <n v="100"/>
    <n v="100"/>
    <n v="100"/>
    <n v="100"/>
    <n v="100"/>
    <n v="100"/>
    <n v="100"/>
    <n v="1200"/>
    <m/>
    <n v="0.58799999999999997"/>
    <n v="0.58799999999999997"/>
    <n v="0.58799999999999997"/>
    <n v="0.58799999999999997"/>
    <n v="0.58799999999999997"/>
    <n v="0.58799999999999997"/>
    <n v="0.58799999999999997"/>
    <n v="0.58799999999999997"/>
    <n v="0.58799999999999997"/>
    <n v="0.58799999999999997"/>
    <n v="0.58799999999999997"/>
    <n v="0.58799999999999997"/>
    <n v="7.056"/>
    <m/>
    <n v="0.58799999999999997"/>
    <n v="0.58799999999999997"/>
    <n v="0.58799999999999997"/>
    <n v="0.58799999999999997"/>
    <n v="0.58799999999999997"/>
    <n v="0.58799999999999997"/>
    <n v="0.58799999999999997"/>
    <n v="0.58799999999999997"/>
    <n v="0.58799999999999997"/>
    <n v="0.58799999999999997"/>
    <n v="0.58799999999999997"/>
    <n v="0.58799999999999997"/>
    <n v="7.056"/>
    <m/>
    <n v="9.9999999999999992E-2"/>
    <n v="9.9999999999999992E-2"/>
    <n v="9.9999999999999992E-2"/>
    <n v="9.9999999999999992E-2"/>
    <n v="9.9999999999999992E-2"/>
    <n v="9.9999999999999992E-2"/>
    <n v="9.9999999999999992E-2"/>
    <n v="9.9999999999999992E-2"/>
    <n v="9.9999999999999992E-2"/>
    <n v="9.9999999999999992E-2"/>
    <n v="9.9999999999999992E-2"/>
    <n v="9.9999999999999992E-2"/>
    <n v="1.2"/>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4"/>
    <x v="0"/>
    <x v="6"/>
    <s v="Existente"/>
    <s v="Mensal"/>
    <s v="Contrato em Curso"/>
    <s v="FG-PNG | TI"/>
    <s v="Alexandre Ayabe"/>
    <x v="3"/>
    <m/>
    <s v="USD"/>
    <n v="1288.3266666666668"/>
    <n v="1288.3266666666668"/>
    <n v="1288.3266666666668"/>
    <n v="1288.3266666666668"/>
    <n v="1288.3266666666668"/>
    <n v="1288.3266666666668"/>
    <n v="1288.3266666666668"/>
    <n v="1288.3266666666668"/>
    <n v="1288.3266666666668"/>
    <n v="1288.3266666666668"/>
    <n v="1288.3266666666668"/>
    <n v="1288.3266666666668"/>
    <n v="15459.920000000006"/>
    <m/>
    <n v="7.5753608000000003"/>
    <n v="7.5753608000000003"/>
    <n v="7.5753608000000003"/>
    <n v="7.5753608000000003"/>
    <n v="7.5753608000000003"/>
    <n v="7.5753608000000003"/>
    <n v="7.5753608000000003"/>
    <n v="7.5753608000000003"/>
    <n v="7.5753608000000003"/>
    <n v="7.5753608000000003"/>
    <n v="7.5753608000000003"/>
    <n v="7.5753608000000003"/>
    <n v="90.904329599999997"/>
    <m/>
    <n v="7.5753608000000003"/>
    <n v="7.5753608000000003"/>
    <n v="7.5753608000000003"/>
    <n v="7.5753608000000003"/>
    <n v="7.5753608000000003"/>
    <n v="7.5753608000000003"/>
    <n v="7.5753608000000003"/>
    <n v="7.5753608000000003"/>
    <n v="7.5753608000000003"/>
    <n v="7.5753608000000003"/>
    <n v="7.5753608000000003"/>
    <n v="7.5753608000000003"/>
    <n v="90.904329599999997"/>
    <m/>
    <n v="1.2883266666666668"/>
    <n v="1.2883266666666668"/>
    <n v="1.2883266666666668"/>
    <n v="1.2883266666666668"/>
    <n v="1.2883266666666668"/>
    <n v="1.2883266666666668"/>
    <n v="1.2883266666666668"/>
    <n v="1.2883266666666668"/>
    <n v="1.2883266666666668"/>
    <n v="1.2883266666666668"/>
    <n v="1.2883266666666668"/>
    <n v="1.2883266666666668"/>
    <n v="15.459919999999999"/>
    <x v="4"/>
  </r>
  <r>
    <x v="0"/>
    <x v="0"/>
    <x v="1"/>
    <x v="8"/>
    <x v="3"/>
    <x v="4"/>
    <x v="0"/>
    <x v="6"/>
    <s v="Existente"/>
    <s v="Mensal"/>
    <s v="Contrato em Curso"/>
    <s v="CG-PNG | TI"/>
    <s v="Alexandre Ayabe"/>
    <x v="3"/>
    <m/>
    <s v="USD"/>
    <n v="322.08166666666671"/>
    <n v="322.08166666666671"/>
    <n v="322.08166666666671"/>
    <n v="322.08166666666671"/>
    <n v="322.08166666666671"/>
    <n v="322.08166666666671"/>
    <n v="322.08166666666671"/>
    <n v="322.08166666666671"/>
    <n v="322.08166666666671"/>
    <n v="322.08166666666671"/>
    <n v="322.08166666666671"/>
    <n v="322.08166666666671"/>
    <n v="3864.9800000000014"/>
    <m/>
    <n v="1.8938402000000001"/>
    <n v="1.8938402000000001"/>
    <n v="1.8938402000000001"/>
    <n v="1.8938402000000001"/>
    <n v="1.8938402000000001"/>
    <n v="1.8938402000000001"/>
    <n v="1.8938402000000001"/>
    <n v="1.8938402000000001"/>
    <n v="1.8938402000000001"/>
    <n v="1.8938402000000001"/>
    <n v="1.8938402000000001"/>
    <n v="1.8938402000000001"/>
    <n v="22.726082399999999"/>
    <m/>
    <n v="1.8938402000000001"/>
    <n v="1.8938402000000001"/>
    <n v="1.8938402000000001"/>
    <n v="1.8938402000000001"/>
    <n v="1.8938402000000001"/>
    <n v="1.8938402000000001"/>
    <n v="1.8938402000000001"/>
    <n v="1.8938402000000001"/>
    <n v="1.8938402000000001"/>
    <n v="1.8938402000000001"/>
    <n v="1.8938402000000001"/>
    <n v="1.8938402000000001"/>
    <n v="22.726082399999999"/>
    <m/>
    <n v="0.32208166666666671"/>
    <n v="0.32208166666666671"/>
    <n v="0.32208166666666671"/>
    <n v="0.32208166666666671"/>
    <n v="0.32208166666666671"/>
    <n v="0.32208166666666671"/>
    <n v="0.32208166666666671"/>
    <n v="0.32208166666666671"/>
    <n v="0.32208166666666671"/>
    <n v="0.32208166666666671"/>
    <n v="0.32208166666666671"/>
    <n v="0.32208166666666671"/>
    <n v="3.8649799999999996"/>
    <x v="4"/>
  </r>
  <r>
    <x v="0"/>
    <x v="0"/>
    <x v="1"/>
    <x v="9"/>
    <x v="2"/>
    <x v="4"/>
    <x v="0"/>
    <x v="6"/>
    <s v="Existente"/>
    <s v="Mensal"/>
    <s v="Contrato em Curso"/>
    <s v="FG-ITJ | TI"/>
    <s v="Alexandre Ayabe"/>
    <x v="3"/>
    <m/>
    <s v="USD"/>
    <n v="230.05833333333337"/>
    <n v="230.05833333333337"/>
    <n v="230.05833333333337"/>
    <n v="230.05833333333337"/>
    <n v="230.05833333333337"/>
    <n v="230.05833333333337"/>
    <n v="230.05833333333337"/>
    <n v="230.05833333333337"/>
    <n v="230.05833333333337"/>
    <n v="230.05833333333337"/>
    <n v="230.05833333333337"/>
    <n v="230.05833333333337"/>
    <n v="2760.7000000000003"/>
    <m/>
    <n v="1.3527430000000003"/>
    <n v="1.3527430000000003"/>
    <n v="1.3527430000000003"/>
    <n v="1.3527430000000003"/>
    <n v="1.3527430000000003"/>
    <n v="1.3527430000000003"/>
    <n v="1.3527430000000003"/>
    <n v="1.3527430000000003"/>
    <n v="1.3527430000000003"/>
    <n v="1.3527430000000003"/>
    <n v="1.3527430000000003"/>
    <n v="1.3527430000000003"/>
    <n v="16.232916000000003"/>
    <m/>
    <n v="1.3527430000000003"/>
    <n v="1.3527430000000003"/>
    <n v="1.3527430000000003"/>
    <n v="1.3527430000000003"/>
    <n v="1.3527430000000003"/>
    <n v="1.3527430000000003"/>
    <n v="1.3527430000000003"/>
    <n v="1.3527430000000003"/>
    <n v="1.3527430000000003"/>
    <n v="1.3527430000000003"/>
    <n v="1.3527430000000003"/>
    <n v="1.3527430000000003"/>
    <n v="16.232916000000003"/>
    <m/>
    <n v="0.23005833333333339"/>
    <n v="0.23005833333333339"/>
    <n v="0.23005833333333339"/>
    <n v="0.23005833333333339"/>
    <n v="0.23005833333333339"/>
    <n v="0.23005833333333339"/>
    <n v="0.23005833333333339"/>
    <n v="0.23005833333333339"/>
    <n v="0.23005833333333339"/>
    <n v="0.23005833333333339"/>
    <n v="0.23005833333333339"/>
    <n v="0.23005833333333339"/>
    <n v="2.7607000000000013"/>
    <x v="4"/>
  </r>
  <r>
    <x v="0"/>
    <x v="0"/>
    <x v="1"/>
    <x v="10"/>
    <x v="2"/>
    <x v="4"/>
    <x v="0"/>
    <x v="6"/>
    <s v="Existente"/>
    <s v="Mensal"/>
    <s v="Contrato em Curso"/>
    <s v="FG-RGD | TI"/>
    <s v="Alexandre Ayabe"/>
    <x v="3"/>
    <m/>
    <s v="USD"/>
    <n v="230.05833333333337"/>
    <n v="230.05833333333337"/>
    <n v="230.05833333333337"/>
    <n v="230.05833333333337"/>
    <n v="230.05833333333337"/>
    <n v="230.05833333333337"/>
    <n v="230.05833333333337"/>
    <n v="230.05833333333337"/>
    <n v="230.05833333333337"/>
    <n v="230.05833333333337"/>
    <n v="230.05833333333337"/>
    <n v="230.05833333333337"/>
    <n v="2760.7000000000003"/>
    <m/>
    <n v="1.3527430000000003"/>
    <n v="1.3527430000000003"/>
    <n v="1.3527430000000003"/>
    <n v="1.3527430000000003"/>
    <n v="1.3527430000000003"/>
    <n v="1.3527430000000003"/>
    <n v="1.3527430000000003"/>
    <n v="1.3527430000000003"/>
    <n v="1.3527430000000003"/>
    <n v="1.3527430000000003"/>
    <n v="1.3527430000000003"/>
    <n v="1.3527430000000003"/>
    <n v="16.232916000000003"/>
    <m/>
    <n v="1.3527430000000003"/>
    <n v="1.3527430000000003"/>
    <n v="1.3527430000000003"/>
    <n v="1.3527430000000003"/>
    <n v="1.3527430000000003"/>
    <n v="1.3527430000000003"/>
    <n v="1.3527430000000003"/>
    <n v="1.3527430000000003"/>
    <n v="1.3527430000000003"/>
    <n v="1.3527430000000003"/>
    <n v="1.3527430000000003"/>
    <n v="1.3527430000000003"/>
    <n v="16.232916000000003"/>
    <m/>
    <n v="0.23005833333333339"/>
    <n v="0.23005833333333339"/>
    <n v="0.23005833333333339"/>
    <n v="0.23005833333333339"/>
    <n v="0.23005833333333339"/>
    <n v="0.23005833333333339"/>
    <n v="0.23005833333333339"/>
    <n v="0.23005833333333339"/>
    <n v="0.23005833333333339"/>
    <n v="0.23005833333333339"/>
    <n v="0.23005833333333339"/>
    <n v="0.23005833333333339"/>
    <n v="2.7607000000000013"/>
    <x v="4"/>
  </r>
  <r>
    <x v="0"/>
    <x v="0"/>
    <x v="1"/>
    <x v="11"/>
    <x v="3"/>
    <x v="4"/>
    <x v="0"/>
    <x v="6"/>
    <s v="Existente"/>
    <s v="Mensal"/>
    <s v="Contrato em Curso"/>
    <s v="CG-PTG | TI"/>
    <s v="Alexandre Ayabe"/>
    <x v="3"/>
    <m/>
    <s v="USD"/>
    <n v="414.10500000000002"/>
    <n v="414.10500000000002"/>
    <n v="414.10500000000002"/>
    <n v="414.10500000000002"/>
    <n v="414.10500000000002"/>
    <n v="414.10500000000002"/>
    <n v="414.10500000000002"/>
    <n v="414.10500000000002"/>
    <n v="414.10500000000002"/>
    <n v="414.10500000000002"/>
    <n v="414.10500000000002"/>
    <n v="414.10500000000002"/>
    <n v="4969.26"/>
    <m/>
    <n v="2.4349374000000004"/>
    <n v="2.4349374000000004"/>
    <n v="2.4349374000000004"/>
    <n v="2.4349374000000004"/>
    <n v="2.4349374000000004"/>
    <n v="2.4349374000000004"/>
    <n v="2.4349374000000004"/>
    <n v="2.4349374000000004"/>
    <n v="2.4349374000000004"/>
    <n v="2.4349374000000004"/>
    <n v="2.4349374000000004"/>
    <n v="2.4349374000000004"/>
    <n v="29.219248799999999"/>
    <m/>
    <n v="2.4349374000000004"/>
    <n v="2.4349374000000004"/>
    <n v="2.4349374000000004"/>
    <n v="2.4349374000000004"/>
    <n v="2.4349374000000004"/>
    <n v="2.4349374000000004"/>
    <n v="2.4349374000000004"/>
    <n v="2.4349374000000004"/>
    <n v="2.4349374000000004"/>
    <n v="2.4349374000000004"/>
    <n v="2.4349374000000004"/>
    <n v="2.4349374000000004"/>
    <n v="29.219248799999999"/>
    <m/>
    <n v="0.41410500000000006"/>
    <n v="0.41410500000000006"/>
    <n v="0.41410500000000006"/>
    <n v="0.41410500000000006"/>
    <n v="0.41410500000000006"/>
    <n v="0.41410500000000006"/>
    <n v="0.41410500000000006"/>
    <n v="0.41410500000000006"/>
    <n v="0.41410500000000006"/>
    <n v="0.41410500000000006"/>
    <n v="0.41410500000000006"/>
    <n v="0.41410500000000006"/>
    <n v="4.9692600000000011"/>
    <x v="4"/>
  </r>
  <r>
    <x v="0"/>
    <x v="0"/>
    <x v="1"/>
    <x v="12"/>
    <x v="2"/>
    <x v="4"/>
    <x v="0"/>
    <x v="6"/>
    <s v="Existente"/>
    <s v="Mensal"/>
    <s v="Contrato em Curso"/>
    <s v="FG-PE2 | TI"/>
    <s v="Alexandre Ayabe"/>
    <x v="3"/>
    <m/>
    <s v="USD"/>
    <n v="276.07"/>
    <n v="276.07"/>
    <n v="276.07"/>
    <n v="276.07"/>
    <n v="276.07"/>
    <n v="276.07"/>
    <n v="276.07"/>
    <n v="276.07"/>
    <n v="276.07"/>
    <n v="276.07"/>
    <n v="276.07"/>
    <n v="276.07"/>
    <n v="3312.8400000000006"/>
    <m/>
    <n v="1.6232915999999999"/>
    <n v="1.6232915999999999"/>
    <n v="1.6232915999999999"/>
    <n v="1.6232915999999999"/>
    <n v="1.6232915999999999"/>
    <n v="1.6232915999999999"/>
    <n v="1.6232915999999999"/>
    <n v="1.6232915999999999"/>
    <n v="1.6232915999999999"/>
    <n v="1.6232915999999999"/>
    <n v="1.6232915999999999"/>
    <n v="1.6232915999999999"/>
    <n v="19.479499199999999"/>
    <m/>
    <n v="1.6232915999999999"/>
    <n v="1.6232915999999999"/>
    <n v="1.6232915999999999"/>
    <n v="1.6232915999999999"/>
    <n v="1.6232915999999999"/>
    <n v="1.6232915999999999"/>
    <n v="1.6232915999999999"/>
    <n v="1.6232915999999999"/>
    <n v="1.6232915999999999"/>
    <n v="1.6232915999999999"/>
    <n v="1.6232915999999999"/>
    <n v="1.6232915999999999"/>
    <n v="19.479499199999999"/>
    <m/>
    <n v="0.27606999999999998"/>
    <n v="0.27606999999999998"/>
    <n v="0.27606999999999998"/>
    <n v="0.27606999999999998"/>
    <n v="0.27606999999999998"/>
    <n v="0.27606999999999998"/>
    <n v="0.27606999999999998"/>
    <n v="0.27606999999999998"/>
    <n v="0.27606999999999998"/>
    <n v="0.27606999999999998"/>
    <n v="0.27606999999999998"/>
    <n v="0.27606999999999998"/>
    <n v="3.3128399999999991"/>
    <x v="4"/>
  </r>
  <r>
    <x v="0"/>
    <x v="0"/>
    <x v="3"/>
    <x v="13"/>
    <x v="2"/>
    <x v="4"/>
    <x v="0"/>
    <x v="6"/>
    <s v="Existente"/>
    <s v="Mensal"/>
    <s v="Contrato em Curso"/>
    <s v="FG-VLP | TI"/>
    <s v="Alexandre Ayabe"/>
    <x v="3"/>
    <m/>
    <s v="USD"/>
    <n v="828.21"/>
    <n v="828.21"/>
    <n v="828.21"/>
    <n v="828.21"/>
    <n v="828.21"/>
    <n v="828.21"/>
    <n v="828.21"/>
    <n v="828.21"/>
    <n v="828.21"/>
    <n v="828.21"/>
    <n v="828.21"/>
    <n v="828.21"/>
    <n v="9938.52"/>
    <m/>
    <n v="4.8698748000000007"/>
    <n v="4.8698748000000007"/>
    <n v="4.8698748000000007"/>
    <n v="4.8698748000000007"/>
    <n v="4.8698748000000007"/>
    <n v="4.8698748000000007"/>
    <n v="4.8698748000000007"/>
    <n v="4.8698748000000007"/>
    <n v="4.8698748000000007"/>
    <n v="4.8698748000000007"/>
    <n v="4.8698748000000007"/>
    <n v="4.8698748000000007"/>
    <n v="58.438497599999998"/>
    <m/>
    <n v="4.8698748000000007"/>
    <n v="4.8698748000000007"/>
    <n v="4.8698748000000007"/>
    <n v="4.8698748000000007"/>
    <n v="4.8698748000000007"/>
    <n v="4.8698748000000007"/>
    <n v="4.8698748000000007"/>
    <n v="4.8698748000000007"/>
    <n v="4.8698748000000007"/>
    <n v="4.8698748000000007"/>
    <n v="4.8698748000000007"/>
    <n v="4.8698748000000007"/>
    <n v="58.438497599999998"/>
    <m/>
    <n v="0.82821000000000011"/>
    <n v="0.82821000000000011"/>
    <n v="0.82821000000000011"/>
    <n v="0.82821000000000011"/>
    <n v="0.82821000000000011"/>
    <n v="0.82821000000000011"/>
    <n v="0.82821000000000011"/>
    <n v="0.82821000000000011"/>
    <n v="0.82821000000000011"/>
    <n v="0.82821000000000011"/>
    <n v="0.82821000000000011"/>
    <n v="0.82821000000000011"/>
    <n v="9.9385200000000022"/>
    <x v="4"/>
  </r>
  <r>
    <x v="0"/>
    <x v="0"/>
    <x v="3"/>
    <x v="14"/>
    <x v="2"/>
    <x v="4"/>
    <x v="0"/>
    <x v="6"/>
    <s v="Existente"/>
    <s v="Mensal"/>
    <s v="Contrato em Curso"/>
    <s v="FG-PSF | TI"/>
    <s v="Alexandre Ayabe"/>
    <x v="3"/>
    <m/>
    <s v="USD"/>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4"/>
    <x v="0"/>
    <x v="6"/>
    <s v="Existente"/>
    <s v="Mensal"/>
    <s v="Contrato em Curso"/>
    <s v="FG-GRUB | TI"/>
    <s v="Alexandre Ayabe"/>
    <x v="3"/>
    <m/>
    <s v="USD"/>
    <n v="1012.2566666666667"/>
    <n v="1012.2566666666667"/>
    <n v="1012.2566666666667"/>
    <n v="1012.2566666666667"/>
    <n v="1012.2566666666667"/>
    <n v="1012.2566666666667"/>
    <n v="1012.2566666666667"/>
    <n v="1012.2566666666667"/>
    <n v="1012.2566666666667"/>
    <n v="1012.2566666666667"/>
    <n v="1012.2566666666667"/>
    <n v="1012.2566666666667"/>
    <n v="12147.079999999996"/>
    <m/>
    <n v="5.9520691999999995"/>
    <n v="5.9520691999999995"/>
    <n v="5.9520691999999995"/>
    <n v="5.9520691999999995"/>
    <n v="5.9520691999999995"/>
    <n v="5.9520691999999995"/>
    <n v="5.9520691999999995"/>
    <n v="5.9520691999999995"/>
    <n v="5.9520691999999995"/>
    <n v="5.9520691999999995"/>
    <n v="5.9520691999999995"/>
    <n v="5.9520691999999995"/>
    <n v="71.424830399999976"/>
    <m/>
    <n v="5.9520691999999995"/>
    <n v="5.9520691999999995"/>
    <n v="5.9520691999999995"/>
    <n v="5.9520691999999995"/>
    <n v="5.9520691999999995"/>
    <n v="5.9520691999999995"/>
    <n v="5.9520691999999995"/>
    <n v="5.9520691999999995"/>
    <n v="5.9520691999999995"/>
    <n v="5.9520691999999995"/>
    <n v="5.9520691999999995"/>
    <n v="5.9520691999999995"/>
    <n v="71.424830399999976"/>
    <m/>
    <n v="1.0122566666666666"/>
    <n v="1.0122566666666666"/>
    <n v="1.0122566666666666"/>
    <n v="1.0122566666666666"/>
    <n v="1.0122566666666666"/>
    <n v="1.0122566666666666"/>
    <n v="1.0122566666666666"/>
    <n v="1.0122566666666666"/>
    <n v="1.0122566666666666"/>
    <n v="1.0122566666666666"/>
    <n v="1.0122566666666666"/>
    <n v="1.0122566666666666"/>
    <n v="12.147079999999995"/>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4"/>
    <x v="0"/>
    <x v="7"/>
    <s v="Existente"/>
    <s v="Mensal"/>
    <s v="Contrato em Curso"/>
    <s v="FG-PNG | TI"/>
    <s v="Alexandre Ayabe"/>
    <x v="4"/>
    <m/>
    <s v="USD"/>
    <n v="235.20000000000002"/>
    <n v="235.20000000000002"/>
    <n v="235.20000000000002"/>
    <n v="235.20000000000002"/>
    <n v="235.20000000000002"/>
    <n v="235.20000000000002"/>
    <n v="235.20000000000002"/>
    <n v="235.20000000000002"/>
    <n v="235.20000000000002"/>
    <n v="235.20000000000002"/>
    <n v="235.20000000000002"/>
    <n v="235.20000000000002"/>
    <n v="2822.3999999999996"/>
    <m/>
    <n v="1.3829760000000002"/>
    <n v="1.3829760000000002"/>
    <n v="1.3829760000000002"/>
    <n v="1.3829760000000002"/>
    <n v="1.3829760000000002"/>
    <n v="1.3829760000000002"/>
    <n v="1.3829760000000002"/>
    <n v="1.3829760000000002"/>
    <n v="1.3829760000000002"/>
    <n v="1.3829760000000002"/>
    <n v="1.3829760000000002"/>
    <n v="1.3829760000000002"/>
    <n v="16.595711999999999"/>
    <m/>
    <n v="1.3829760000000002"/>
    <n v="1.3829760000000002"/>
    <n v="1.3829760000000002"/>
    <n v="1.3829760000000002"/>
    <n v="1.3829760000000002"/>
    <n v="1.3829760000000002"/>
    <n v="1.3829760000000002"/>
    <n v="1.3829760000000002"/>
    <n v="1.3829760000000002"/>
    <n v="1.3829760000000002"/>
    <n v="1.3829760000000002"/>
    <n v="1.3829760000000002"/>
    <n v="16.595711999999999"/>
    <m/>
    <n v="0.23520000000000005"/>
    <n v="0.23520000000000005"/>
    <n v="0.23520000000000005"/>
    <n v="0.23520000000000005"/>
    <n v="0.23520000000000005"/>
    <n v="0.23520000000000005"/>
    <n v="0.23520000000000005"/>
    <n v="0.23520000000000005"/>
    <n v="0.23520000000000005"/>
    <n v="0.23520000000000005"/>
    <n v="0.23520000000000005"/>
    <n v="0.23520000000000005"/>
    <n v="2.8224"/>
    <x v="4"/>
  </r>
  <r>
    <x v="0"/>
    <x v="0"/>
    <x v="1"/>
    <x v="8"/>
    <x v="3"/>
    <x v="4"/>
    <x v="0"/>
    <x v="7"/>
    <s v="Existente"/>
    <s v="Mensal"/>
    <s v="Contrato em Curso"/>
    <s v="CG-PNG | TI"/>
    <s v="Alexandre Ayabe"/>
    <x v="4"/>
    <m/>
    <s v="USD"/>
    <n v="58.800000000000004"/>
    <n v="58.800000000000004"/>
    <n v="58.800000000000004"/>
    <n v="58.800000000000004"/>
    <n v="58.800000000000004"/>
    <n v="58.800000000000004"/>
    <n v="58.800000000000004"/>
    <n v="58.800000000000004"/>
    <n v="58.800000000000004"/>
    <n v="58.800000000000004"/>
    <n v="58.800000000000004"/>
    <n v="58.800000000000004"/>
    <n v="705.59999999999991"/>
    <m/>
    <n v="0.34574400000000005"/>
    <n v="0.34574400000000005"/>
    <n v="0.34574400000000005"/>
    <n v="0.34574400000000005"/>
    <n v="0.34574400000000005"/>
    <n v="0.34574400000000005"/>
    <n v="0.34574400000000005"/>
    <n v="0.34574400000000005"/>
    <n v="0.34574400000000005"/>
    <n v="0.34574400000000005"/>
    <n v="0.34574400000000005"/>
    <n v="0.34574400000000005"/>
    <n v="4.1489279999999997"/>
    <m/>
    <n v="0.34574400000000005"/>
    <n v="0.34574400000000005"/>
    <n v="0.34574400000000005"/>
    <n v="0.34574400000000005"/>
    <n v="0.34574400000000005"/>
    <n v="0.34574400000000005"/>
    <n v="0.34574400000000005"/>
    <n v="0.34574400000000005"/>
    <n v="0.34574400000000005"/>
    <n v="0.34574400000000005"/>
    <n v="0.34574400000000005"/>
    <n v="0.34574400000000005"/>
    <n v="4.1489279999999997"/>
    <m/>
    <n v="5.8800000000000012E-2"/>
    <n v="5.8800000000000012E-2"/>
    <n v="5.8800000000000012E-2"/>
    <n v="5.8800000000000012E-2"/>
    <n v="5.8800000000000012E-2"/>
    <n v="5.8800000000000012E-2"/>
    <n v="5.8800000000000012E-2"/>
    <n v="5.8800000000000012E-2"/>
    <n v="5.8800000000000012E-2"/>
    <n v="5.8800000000000012E-2"/>
    <n v="5.8800000000000012E-2"/>
    <n v="5.8800000000000012E-2"/>
    <n v="0.7056"/>
    <x v="4"/>
  </r>
  <r>
    <x v="0"/>
    <x v="0"/>
    <x v="1"/>
    <x v="9"/>
    <x v="2"/>
    <x v="4"/>
    <x v="0"/>
    <x v="7"/>
    <s v="Existente"/>
    <s v="Mensal"/>
    <s v="Contrato em Curso"/>
    <s v="FG-ITJ | TI"/>
    <s v="Alexandre Ayabe"/>
    <x v="4"/>
    <m/>
    <s v="USD"/>
    <n v="42"/>
    <n v="42"/>
    <n v="42"/>
    <n v="42"/>
    <n v="42"/>
    <n v="42"/>
    <n v="42"/>
    <n v="42"/>
    <n v="42"/>
    <n v="42"/>
    <n v="42"/>
    <n v="42"/>
    <n v="5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4.2000000000000003E-2"/>
    <n v="4.2000000000000003E-2"/>
    <n v="4.2000000000000003E-2"/>
    <n v="4.2000000000000003E-2"/>
    <n v="4.2000000000000003E-2"/>
    <n v="4.2000000000000003E-2"/>
    <n v="4.2000000000000003E-2"/>
    <n v="4.2000000000000003E-2"/>
    <n v="4.2000000000000003E-2"/>
    <n v="4.2000000000000003E-2"/>
    <n v="4.2000000000000003E-2"/>
    <n v="4.2000000000000003E-2"/>
    <n v="0.50399999999999989"/>
    <x v="4"/>
  </r>
  <r>
    <x v="0"/>
    <x v="0"/>
    <x v="1"/>
    <x v="10"/>
    <x v="2"/>
    <x v="4"/>
    <x v="0"/>
    <x v="7"/>
    <s v="Existente"/>
    <s v="Mensal"/>
    <s v="Contrato em Curso"/>
    <s v="FG-RGD | TI"/>
    <s v="Alexandre Ayabe"/>
    <x v="4"/>
    <m/>
    <s v="USD"/>
    <n v="42"/>
    <n v="42"/>
    <n v="42"/>
    <n v="42"/>
    <n v="42"/>
    <n v="42"/>
    <n v="42"/>
    <n v="42"/>
    <n v="42"/>
    <n v="42"/>
    <n v="42"/>
    <n v="42"/>
    <n v="5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4.2000000000000003E-2"/>
    <n v="4.2000000000000003E-2"/>
    <n v="4.2000000000000003E-2"/>
    <n v="4.2000000000000003E-2"/>
    <n v="4.2000000000000003E-2"/>
    <n v="4.2000000000000003E-2"/>
    <n v="4.2000000000000003E-2"/>
    <n v="4.2000000000000003E-2"/>
    <n v="4.2000000000000003E-2"/>
    <n v="4.2000000000000003E-2"/>
    <n v="4.2000000000000003E-2"/>
    <n v="4.2000000000000003E-2"/>
    <n v="0.50399999999999989"/>
    <x v="4"/>
  </r>
  <r>
    <x v="0"/>
    <x v="0"/>
    <x v="1"/>
    <x v="11"/>
    <x v="3"/>
    <x v="4"/>
    <x v="0"/>
    <x v="7"/>
    <s v="Existente"/>
    <s v="Mensal"/>
    <s v="Contrato em Curso"/>
    <s v="CG-PTG | TI"/>
    <s v="Alexandre Ayabe"/>
    <x v="4"/>
    <m/>
    <s v="USD"/>
    <n v="75.599999999999994"/>
    <n v="75.599999999999994"/>
    <n v="75.599999999999994"/>
    <n v="75.599999999999994"/>
    <n v="75.599999999999994"/>
    <n v="75.599999999999994"/>
    <n v="75.599999999999994"/>
    <n v="75.599999999999994"/>
    <n v="75.599999999999994"/>
    <n v="75.599999999999994"/>
    <n v="75.599999999999994"/>
    <n v="75.599999999999994"/>
    <n v="907.20000000000016"/>
    <m/>
    <n v="0.44452799999999998"/>
    <n v="0.44452799999999998"/>
    <n v="0.44452799999999998"/>
    <n v="0.44452799999999998"/>
    <n v="0.44452799999999998"/>
    <n v="0.44452799999999998"/>
    <n v="0.44452799999999998"/>
    <n v="0.44452799999999998"/>
    <n v="0.44452799999999998"/>
    <n v="0.44452799999999998"/>
    <n v="0.44452799999999998"/>
    <n v="0.44452799999999998"/>
    <n v="5.3343359999999995"/>
    <m/>
    <n v="0.44452799999999998"/>
    <n v="0.44452799999999998"/>
    <n v="0.44452799999999998"/>
    <n v="0.44452799999999998"/>
    <n v="0.44452799999999998"/>
    <n v="0.44452799999999998"/>
    <n v="0.44452799999999998"/>
    <n v="0.44452799999999998"/>
    <n v="0.44452799999999998"/>
    <n v="0.44452799999999998"/>
    <n v="0.44452799999999998"/>
    <n v="0.44452799999999998"/>
    <n v="5.3343359999999995"/>
    <m/>
    <n v="7.5600000000000001E-2"/>
    <n v="7.5600000000000001E-2"/>
    <n v="7.5600000000000001E-2"/>
    <n v="7.5600000000000001E-2"/>
    <n v="7.5600000000000001E-2"/>
    <n v="7.5600000000000001E-2"/>
    <n v="7.5600000000000001E-2"/>
    <n v="7.5600000000000001E-2"/>
    <n v="7.5600000000000001E-2"/>
    <n v="7.5600000000000001E-2"/>
    <n v="7.5600000000000001E-2"/>
    <n v="7.5600000000000001E-2"/>
    <n v="0.90720000000000001"/>
    <x v="4"/>
  </r>
  <r>
    <x v="0"/>
    <x v="0"/>
    <x v="1"/>
    <x v="12"/>
    <x v="2"/>
    <x v="4"/>
    <x v="0"/>
    <x v="7"/>
    <s v="Existente"/>
    <s v="Mensal"/>
    <s v="Contrato em Curso"/>
    <s v="FG-PE2 | TI"/>
    <s v="Alexandre Ayabe"/>
    <x v="4"/>
    <m/>
    <s v="USD"/>
    <n v="50.4"/>
    <n v="50.4"/>
    <n v="50.4"/>
    <n v="50.4"/>
    <n v="50.4"/>
    <n v="50.4"/>
    <n v="50.4"/>
    <n v="50.4"/>
    <n v="50.4"/>
    <n v="50.4"/>
    <n v="50.4"/>
    <n v="50.4"/>
    <n v="604.79999999999984"/>
    <m/>
    <n v="0.29635199999999995"/>
    <n v="0.29635199999999995"/>
    <n v="0.29635199999999995"/>
    <n v="0.29635199999999995"/>
    <n v="0.29635199999999995"/>
    <n v="0.29635199999999995"/>
    <n v="0.29635199999999995"/>
    <n v="0.29635199999999995"/>
    <n v="0.29635199999999995"/>
    <n v="0.29635199999999995"/>
    <n v="0.29635199999999995"/>
    <n v="0.29635199999999995"/>
    <n v="3.5562239999999985"/>
    <m/>
    <n v="0.29635199999999995"/>
    <n v="0.29635199999999995"/>
    <n v="0.29635199999999995"/>
    <n v="0.29635199999999995"/>
    <n v="0.29635199999999995"/>
    <n v="0.29635199999999995"/>
    <n v="0.29635199999999995"/>
    <n v="0.29635199999999995"/>
    <n v="0.29635199999999995"/>
    <n v="0.29635199999999995"/>
    <n v="0.29635199999999995"/>
    <n v="0.29635199999999995"/>
    <n v="3.5562239999999985"/>
    <m/>
    <n v="5.0399999999999993E-2"/>
    <n v="5.0399999999999993E-2"/>
    <n v="5.0399999999999993E-2"/>
    <n v="5.0399999999999993E-2"/>
    <n v="5.0399999999999993E-2"/>
    <n v="5.0399999999999993E-2"/>
    <n v="5.0399999999999993E-2"/>
    <n v="5.0399999999999993E-2"/>
    <n v="5.0399999999999993E-2"/>
    <n v="5.0399999999999993E-2"/>
    <n v="5.0399999999999993E-2"/>
    <n v="5.0399999999999993E-2"/>
    <n v="0.60479999999999989"/>
    <x v="4"/>
  </r>
  <r>
    <x v="0"/>
    <x v="0"/>
    <x v="3"/>
    <x v="13"/>
    <x v="2"/>
    <x v="4"/>
    <x v="0"/>
    <x v="7"/>
    <s v="Existente"/>
    <s v="Mensal"/>
    <s v="Contrato em Curso"/>
    <s v="FG-VLP | TI"/>
    <s v="Alexandre Ayabe"/>
    <x v="4"/>
    <m/>
    <s v="USD"/>
    <n v="151.19999999999999"/>
    <n v="151.19999999999999"/>
    <n v="151.19999999999999"/>
    <n v="151.19999999999999"/>
    <n v="151.19999999999999"/>
    <n v="151.19999999999999"/>
    <n v="151.19999999999999"/>
    <n v="151.19999999999999"/>
    <n v="151.19999999999999"/>
    <n v="151.19999999999999"/>
    <n v="151.19999999999999"/>
    <n v="151.19999999999999"/>
    <n v="1814.4000000000003"/>
    <m/>
    <n v="0.88905599999999996"/>
    <n v="0.88905599999999996"/>
    <n v="0.88905599999999996"/>
    <n v="0.88905599999999996"/>
    <n v="0.88905599999999996"/>
    <n v="0.88905599999999996"/>
    <n v="0.88905599999999996"/>
    <n v="0.88905599999999996"/>
    <n v="0.88905599999999996"/>
    <n v="0.88905599999999996"/>
    <n v="0.88905599999999996"/>
    <n v="0.88905599999999996"/>
    <n v="10.668671999999999"/>
    <m/>
    <n v="0.88905599999999996"/>
    <n v="0.88905599999999996"/>
    <n v="0.88905599999999996"/>
    <n v="0.88905599999999996"/>
    <n v="0.88905599999999996"/>
    <n v="0.88905599999999996"/>
    <n v="0.88905599999999996"/>
    <n v="0.88905599999999996"/>
    <n v="0.88905599999999996"/>
    <n v="0.88905599999999996"/>
    <n v="0.88905599999999996"/>
    <n v="0.88905599999999996"/>
    <n v="10.668671999999999"/>
    <m/>
    <n v="0.1512"/>
    <n v="0.1512"/>
    <n v="0.1512"/>
    <n v="0.1512"/>
    <n v="0.1512"/>
    <n v="0.1512"/>
    <n v="0.1512"/>
    <n v="0.1512"/>
    <n v="0.1512"/>
    <n v="0.1512"/>
    <n v="0.1512"/>
    <n v="0.1512"/>
    <n v="1.8144"/>
    <x v="4"/>
  </r>
  <r>
    <x v="0"/>
    <x v="0"/>
    <x v="3"/>
    <x v="14"/>
    <x v="2"/>
    <x v="4"/>
    <x v="0"/>
    <x v="7"/>
    <s v="Existente"/>
    <s v="Mensal"/>
    <s v="Contrato em Curso"/>
    <s v="FG-PSF | TI"/>
    <s v="Alexandre Ayabe"/>
    <x v="4"/>
    <m/>
    <s v="USD"/>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4"/>
    <x v="0"/>
    <x v="7"/>
    <s v="Existente"/>
    <s v="Mensal"/>
    <s v="Contrato em Curso"/>
    <s v="FG-GRUB | TI"/>
    <s v="Alexandre Ayabe"/>
    <x v="4"/>
    <m/>
    <s v="USD"/>
    <n v="184.79999999999998"/>
    <n v="184.79999999999998"/>
    <n v="184.79999999999998"/>
    <n v="184.79999999999998"/>
    <n v="184.79999999999998"/>
    <n v="184.79999999999998"/>
    <n v="184.79999999999998"/>
    <n v="184.79999999999998"/>
    <n v="184.79999999999998"/>
    <n v="184.79999999999998"/>
    <n v="184.79999999999998"/>
    <n v="184.79999999999998"/>
    <n v="2217.6"/>
    <m/>
    <n v="1.0866239999999998"/>
    <n v="1.0866239999999998"/>
    <n v="1.0866239999999998"/>
    <n v="1.0866239999999998"/>
    <n v="1.0866239999999998"/>
    <n v="1.0866239999999998"/>
    <n v="1.0866239999999998"/>
    <n v="1.0866239999999998"/>
    <n v="1.0866239999999998"/>
    <n v="1.0866239999999998"/>
    <n v="1.0866239999999998"/>
    <n v="1.0866239999999998"/>
    <n v="13.039488"/>
    <m/>
    <n v="1.0866239999999998"/>
    <n v="1.0866239999999998"/>
    <n v="1.0866239999999998"/>
    <n v="1.0866239999999998"/>
    <n v="1.0866239999999998"/>
    <n v="1.0866239999999998"/>
    <n v="1.0866239999999998"/>
    <n v="1.0866239999999998"/>
    <n v="1.0866239999999998"/>
    <n v="1.0866239999999998"/>
    <n v="1.0866239999999998"/>
    <n v="1.0866239999999998"/>
    <n v="13.039488"/>
    <m/>
    <n v="0.18479999999999996"/>
    <n v="0.18479999999999996"/>
    <n v="0.18479999999999996"/>
    <n v="0.18479999999999996"/>
    <n v="0.18479999999999996"/>
    <n v="0.18479999999999996"/>
    <n v="0.18479999999999996"/>
    <n v="0.18479999999999996"/>
    <n v="0.18479999999999996"/>
    <n v="0.18479999999999996"/>
    <n v="0.18479999999999996"/>
    <n v="0.18479999999999996"/>
    <n v="2.2176"/>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4"/>
    <x v="5"/>
    <x v="0"/>
    <x v="8"/>
    <s v="Novo"/>
    <s v="Mensal"/>
    <s v="Contrato em Curso"/>
    <s v="PT-PNG | TI"/>
    <s v="Alexandre Ayabe"/>
    <x v="3"/>
    <m/>
    <s v="BRL"/>
    <n v="22550"/>
    <n v="22550"/>
    <n v="22550"/>
    <n v="22550"/>
    <n v="22550"/>
    <n v="22550"/>
    <n v="22550"/>
    <n v="22550"/>
    <n v="22550"/>
    <n v="22550"/>
    <n v="22550"/>
    <n v="22550"/>
    <n v="270600"/>
    <m/>
    <n v="22.55"/>
    <n v="22.55"/>
    <n v="22.55"/>
    <n v="22.55"/>
    <n v="22.55"/>
    <n v="22.55"/>
    <n v="22.55"/>
    <n v="22.55"/>
    <n v="22.55"/>
    <n v="22.55"/>
    <n v="22.55"/>
    <n v="22.55"/>
    <n v="270.60000000000008"/>
    <m/>
    <n v="22.55"/>
    <n v="22.55"/>
    <n v="22.55"/>
    <n v="22.55"/>
    <n v="22.55"/>
    <n v="22.55"/>
    <n v="22.55"/>
    <n v="22.55"/>
    <n v="22.55"/>
    <n v="22.55"/>
    <n v="22.55"/>
    <n v="22.55"/>
    <n v="270.60000000000008"/>
    <m/>
    <n v="3.8350340136054424"/>
    <n v="3.8350340136054424"/>
    <n v="3.8350340136054424"/>
    <n v="3.8350340136054424"/>
    <n v="3.8350340136054424"/>
    <n v="3.8350340136054424"/>
    <n v="3.8350340136054424"/>
    <n v="3.8350340136054424"/>
    <n v="3.8350340136054424"/>
    <n v="3.8350340136054424"/>
    <n v="3.8350340136054424"/>
    <n v="3.8350340136054424"/>
    <n v="46.020408163265323"/>
    <x v="4"/>
  </r>
  <r>
    <x v="0"/>
    <x v="0"/>
    <x v="1"/>
    <x v="9"/>
    <x v="4"/>
    <x v="5"/>
    <x v="0"/>
    <x v="8"/>
    <s v="Novo"/>
    <s v="Mensal"/>
    <s v="Contrato em Curso"/>
    <s v="PT-ITJ | TI"/>
    <s v="Alexandre Ayabe"/>
    <x v="3"/>
    <m/>
    <s v="BRL"/>
    <n v="3575"/>
    <n v="3575"/>
    <n v="3575"/>
    <n v="3575"/>
    <n v="3575"/>
    <n v="3575"/>
    <n v="3575"/>
    <n v="3575"/>
    <n v="3575"/>
    <n v="3575"/>
    <n v="3575"/>
    <n v="3575"/>
    <n v="42900"/>
    <m/>
    <n v="3.5750000000000002"/>
    <n v="3.5750000000000002"/>
    <n v="3.5750000000000002"/>
    <n v="3.5750000000000002"/>
    <n v="3.5750000000000002"/>
    <n v="3.5750000000000002"/>
    <n v="3.5750000000000002"/>
    <n v="3.5750000000000002"/>
    <n v="3.5750000000000002"/>
    <n v="3.5750000000000002"/>
    <n v="3.5750000000000002"/>
    <n v="3.5750000000000002"/>
    <n v="42.900000000000006"/>
    <m/>
    <n v="3.5750000000000002"/>
    <n v="3.5750000000000002"/>
    <n v="3.5750000000000002"/>
    <n v="3.5750000000000002"/>
    <n v="3.5750000000000002"/>
    <n v="3.5750000000000002"/>
    <n v="3.5750000000000002"/>
    <n v="3.5750000000000002"/>
    <n v="3.5750000000000002"/>
    <n v="3.5750000000000002"/>
    <n v="3.5750000000000002"/>
    <n v="3.5750000000000002"/>
    <n v="42.900000000000006"/>
    <m/>
    <n v="0.60799319727891166"/>
    <n v="0.60799319727891166"/>
    <n v="0.60799319727891166"/>
    <n v="0.60799319727891166"/>
    <n v="0.60799319727891166"/>
    <n v="0.60799319727891166"/>
    <n v="0.60799319727891166"/>
    <n v="0.60799319727891166"/>
    <n v="0.60799319727891166"/>
    <n v="0.60799319727891166"/>
    <n v="0.60799319727891166"/>
    <n v="0.60799319727891166"/>
    <n v="7.2959183673469417"/>
    <x v="4"/>
  </r>
  <r>
    <x v="0"/>
    <x v="0"/>
    <x v="1"/>
    <x v="10"/>
    <x v="4"/>
    <x v="5"/>
    <x v="0"/>
    <x v="8"/>
    <s v="Novo"/>
    <s v="Mensal"/>
    <s v="Contrato em Curso"/>
    <s v="PT-RGD | TI"/>
    <s v="Alexandre Ayabe"/>
    <x v="3"/>
    <m/>
    <s v="BRL"/>
    <n v="1375"/>
    <n v="1375"/>
    <n v="1375"/>
    <n v="1375"/>
    <n v="1375"/>
    <n v="1375"/>
    <n v="1375"/>
    <n v="1375"/>
    <n v="1375"/>
    <n v="1375"/>
    <n v="1375"/>
    <n v="1375"/>
    <n v="16500"/>
    <m/>
    <n v="1.375"/>
    <n v="1.375"/>
    <n v="1.375"/>
    <n v="1.375"/>
    <n v="1.375"/>
    <n v="1.375"/>
    <n v="1.375"/>
    <n v="1.375"/>
    <n v="1.375"/>
    <n v="1.375"/>
    <n v="1.375"/>
    <n v="1.375"/>
    <n v="16.5"/>
    <m/>
    <n v="1.375"/>
    <n v="1.375"/>
    <n v="1.375"/>
    <n v="1.375"/>
    <n v="1.375"/>
    <n v="1.375"/>
    <n v="1.375"/>
    <n v="1.375"/>
    <n v="1.375"/>
    <n v="1.375"/>
    <n v="1.375"/>
    <n v="1.375"/>
    <n v="16.5"/>
    <m/>
    <n v="0.233843537414966"/>
    <n v="0.233843537414966"/>
    <n v="0.233843537414966"/>
    <n v="0.233843537414966"/>
    <n v="0.233843537414966"/>
    <n v="0.233843537414966"/>
    <n v="0.233843537414966"/>
    <n v="0.233843537414966"/>
    <n v="0.233843537414966"/>
    <n v="0.233843537414966"/>
    <n v="0.233843537414966"/>
    <n v="0.233843537414966"/>
    <n v="2.8061224489795928"/>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6"/>
    <x v="0"/>
    <x v="9"/>
    <s v="Existente"/>
    <s v="Mensal"/>
    <s v="Contrato em Curso"/>
    <s v="TR | TI"/>
    <s v="Alexandre Ayabe"/>
    <x v="5"/>
    <m/>
    <s v="BRL"/>
    <n v="67000"/>
    <n v="67000"/>
    <n v="67000"/>
    <n v="67000"/>
    <n v="67000"/>
    <n v="67000"/>
    <n v="67000"/>
    <n v="67000"/>
    <n v="67000"/>
    <n v="67000"/>
    <n v="67000"/>
    <n v="67000"/>
    <n v="804000"/>
    <m/>
    <n v="67"/>
    <n v="67"/>
    <n v="67"/>
    <n v="67"/>
    <n v="67"/>
    <n v="67"/>
    <n v="67"/>
    <n v="67"/>
    <n v="67"/>
    <n v="67"/>
    <n v="67"/>
    <n v="67"/>
    <n v="804"/>
    <m/>
    <n v="67"/>
    <n v="67"/>
    <n v="67"/>
    <n v="67"/>
    <n v="67"/>
    <n v="67"/>
    <n v="67"/>
    <n v="67"/>
    <n v="67"/>
    <n v="67"/>
    <n v="67"/>
    <n v="67"/>
    <n v="804"/>
    <m/>
    <n v="11.394557823129253"/>
    <n v="11.394557823129253"/>
    <n v="11.394557823129253"/>
    <n v="11.394557823129253"/>
    <n v="11.394557823129253"/>
    <n v="11.394557823129253"/>
    <n v="11.394557823129253"/>
    <n v="11.394557823129253"/>
    <n v="11.394557823129253"/>
    <n v="11.394557823129253"/>
    <n v="11.394557823129253"/>
    <n v="11.394557823129253"/>
    <n v="136.734693877551"/>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4"/>
    <x v="7"/>
    <x v="0"/>
    <x v="10"/>
    <s v="Existente"/>
    <s v="Mensal"/>
    <s v="Contrato em Curso"/>
    <s v="PT-PNG | TI"/>
    <s v="Alexandre Ayabe"/>
    <x v="5"/>
    <m/>
    <s v="BRL"/>
    <n v="14000"/>
    <n v="14000"/>
    <n v="14000"/>
    <n v="14000"/>
    <n v="14000"/>
    <n v="14000"/>
    <n v="14000"/>
    <n v="14000"/>
    <n v="14000"/>
    <n v="14000"/>
    <n v="14000"/>
    <n v="14000"/>
    <n v="168000"/>
    <m/>
    <n v="14"/>
    <n v="14"/>
    <n v="14"/>
    <n v="14"/>
    <n v="14"/>
    <n v="14"/>
    <n v="14"/>
    <n v="14"/>
    <n v="14"/>
    <n v="14"/>
    <n v="14"/>
    <n v="14"/>
    <n v="168"/>
    <m/>
    <n v="14"/>
    <n v="14"/>
    <n v="14"/>
    <n v="14"/>
    <n v="14"/>
    <n v="14"/>
    <n v="14"/>
    <n v="14"/>
    <n v="14"/>
    <n v="14"/>
    <n v="14"/>
    <n v="14"/>
    <n v="168"/>
    <m/>
    <n v="2.3809523809523809"/>
    <n v="2.3809523809523809"/>
    <n v="2.3809523809523809"/>
    <n v="2.3809523809523809"/>
    <n v="2.3809523809523809"/>
    <n v="2.3809523809523809"/>
    <n v="2.3809523809523809"/>
    <n v="2.3809523809523809"/>
    <n v="2.3809523809523809"/>
    <n v="2.3809523809523809"/>
    <n v="2.3809523809523809"/>
    <n v="2.3809523809523809"/>
    <n v="28.571428571428566"/>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8"/>
    <x v="0"/>
    <x v="11"/>
    <s v="Existente"/>
    <s v="Mensal"/>
    <s v="Contrato em Curso"/>
    <s v="FG-PNG | TI"/>
    <s v="Alexandre Ayabe"/>
    <x v="5"/>
    <m/>
    <s v="BRL"/>
    <n v="6500"/>
    <n v="6500"/>
    <n v="6500"/>
    <n v="6500"/>
    <n v="6500"/>
    <n v="6500"/>
    <n v="6500"/>
    <n v="6500"/>
    <n v="6500"/>
    <n v="6500"/>
    <n v="6500"/>
    <n v="6500"/>
    <n v="78000"/>
    <m/>
    <n v="6.5"/>
    <n v="6.5"/>
    <n v="6.5"/>
    <n v="6.5"/>
    <n v="6.5"/>
    <n v="6.5"/>
    <n v="6.5"/>
    <n v="6.5"/>
    <n v="6.5"/>
    <n v="6.5"/>
    <n v="6.5"/>
    <n v="6.5"/>
    <n v="78"/>
    <m/>
    <n v="6.5"/>
    <n v="6.5"/>
    <n v="6.5"/>
    <n v="6.5"/>
    <n v="6.5"/>
    <n v="6.5"/>
    <n v="6.5"/>
    <n v="6.5"/>
    <n v="6.5"/>
    <n v="6.5"/>
    <n v="6.5"/>
    <n v="6.5"/>
    <n v="78"/>
    <m/>
    <n v="1.1054421768707483"/>
    <n v="1.1054421768707483"/>
    <n v="1.1054421768707483"/>
    <n v="1.1054421768707483"/>
    <n v="1.1054421768707483"/>
    <n v="1.1054421768707483"/>
    <n v="1.1054421768707483"/>
    <n v="1.1054421768707483"/>
    <n v="1.1054421768707483"/>
    <n v="1.1054421768707483"/>
    <n v="1.1054421768707483"/>
    <n v="1.1054421768707483"/>
    <n v="13.265306122448983"/>
    <x v="4"/>
  </r>
  <r>
    <x v="0"/>
    <x v="0"/>
    <x v="1"/>
    <x v="8"/>
    <x v="3"/>
    <x v="8"/>
    <x v="0"/>
    <x v="11"/>
    <s v="Existente"/>
    <s v="Mensal"/>
    <s v="Contrato em Curso"/>
    <s v="CG-PNG | TI"/>
    <s v="Alexandre Ayabe"/>
    <x v="5"/>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1"/>
    <x v="9"/>
    <x v="2"/>
    <x v="8"/>
    <x v="0"/>
    <x v="11"/>
    <s v="Existente"/>
    <s v="Mensal"/>
    <s v="Contrato em Curso"/>
    <s v="FG-ITJ | TI"/>
    <s v="Alexandre Ayabe"/>
    <x v="5"/>
    <m/>
    <s v="BRL"/>
    <n v="3750"/>
    <n v="3750"/>
    <n v="3750"/>
    <n v="3750"/>
    <n v="3750"/>
    <n v="3750"/>
    <n v="3750"/>
    <n v="3750"/>
    <n v="3750"/>
    <n v="3750"/>
    <n v="3750"/>
    <n v="3750"/>
    <n v="45000"/>
    <m/>
    <n v="3.75"/>
    <n v="3.75"/>
    <n v="3.75"/>
    <n v="3.75"/>
    <n v="3.75"/>
    <n v="3.75"/>
    <n v="3.75"/>
    <n v="3.75"/>
    <n v="3.75"/>
    <n v="3.75"/>
    <n v="3.75"/>
    <n v="3.75"/>
    <n v="45"/>
    <m/>
    <n v="3.75"/>
    <n v="3.75"/>
    <n v="3.75"/>
    <n v="3.75"/>
    <n v="3.75"/>
    <n v="3.75"/>
    <n v="3.75"/>
    <n v="3.75"/>
    <n v="3.75"/>
    <n v="3.75"/>
    <n v="3.75"/>
    <n v="3.75"/>
    <n v="45"/>
    <m/>
    <n v="0.63775510204081631"/>
    <n v="0.63775510204081631"/>
    <n v="0.63775510204081631"/>
    <n v="0.63775510204081631"/>
    <n v="0.63775510204081631"/>
    <n v="0.63775510204081631"/>
    <n v="0.63775510204081631"/>
    <n v="0.63775510204081631"/>
    <n v="0.63775510204081631"/>
    <n v="0.63775510204081631"/>
    <n v="0.63775510204081631"/>
    <n v="0.63775510204081631"/>
    <n v="7.653061224489794"/>
    <x v="4"/>
  </r>
  <r>
    <x v="0"/>
    <x v="0"/>
    <x v="1"/>
    <x v="10"/>
    <x v="2"/>
    <x v="8"/>
    <x v="0"/>
    <x v="11"/>
    <s v="Existente"/>
    <s v="Mensal"/>
    <s v="Contrato em Curso"/>
    <s v="FG-RGD | TI"/>
    <s v="Alexandre Ayabe"/>
    <x v="5"/>
    <m/>
    <s v="BRL"/>
    <n v="1250"/>
    <n v="1250"/>
    <n v="1250"/>
    <n v="1250"/>
    <n v="1250"/>
    <n v="1250"/>
    <n v="1250"/>
    <n v="1250"/>
    <n v="1250"/>
    <n v="1250"/>
    <n v="1250"/>
    <n v="1250"/>
    <n v="15000"/>
    <m/>
    <n v="1.25"/>
    <n v="1.25"/>
    <n v="1.25"/>
    <n v="1.25"/>
    <n v="1.25"/>
    <n v="1.25"/>
    <n v="1.25"/>
    <n v="1.25"/>
    <n v="1.25"/>
    <n v="1.25"/>
    <n v="1.25"/>
    <n v="1.25"/>
    <n v="15"/>
    <m/>
    <n v="1.25"/>
    <n v="1.25"/>
    <n v="1.25"/>
    <n v="1.25"/>
    <n v="1.25"/>
    <n v="1.25"/>
    <n v="1.25"/>
    <n v="1.25"/>
    <n v="1.25"/>
    <n v="1.25"/>
    <n v="1.25"/>
    <n v="1.25"/>
    <n v="15"/>
    <m/>
    <n v="0.21258503401360546"/>
    <n v="0.21258503401360546"/>
    <n v="0.21258503401360546"/>
    <n v="0.21258503401360546"/>
    <n v="0.21258503401360546"/>
    <n v="0.21258503401360546"/>
    <n v="0.21258503401360546"/>
    <n v="0.21258503401360546"/>
    <n v="0.21258503401360546"/>
    <n v="0.21258503401360546"/>
    <n v="0.21258503401360546"/>
    <n v="0.21258503401360546"/>
    <n v="2.5510204081632657"/>
    <x v="4"/>
  </r>
  <r>
    <x v="0"/>
    <x v="0"/>
    <x v="1"/>
    <x v="11"/>
    <x v="3"/>
    <x v="8"/>
    <x v="0"/>
    <x v="11"/>
    <s v="Existente"/>
    <s v="Mensal"/>
    <s v="Contrato em Curso"/>
    <s v="CG-PTG | TI"/>
    <s v="Alexandre Ayabe"/>
    <x v="5"/>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4"/>
  </r>
  <r>
    <x v="0"/>
    <x v="0"/>
    <x v="1"/>
    <x v="12"/>
    <x v="2"/>
    <x v="8"/>
    <x v="0"/>
    <x v="11"/>
    <s v="Existente"/>
    <s v="Mensal"/>
    <s v="Contrato em Curso"/>
    <s v="FG-PE2 | TI"/>
    <s v="Alexandre Ayabe"/>
    <x v="5"/>
    <m/>
    <s v="BRL"/>
    <n v="1250"/>
    <n v="1250"/>
    <n v="1250"/>
    <n v="1250"/>
    <n v="1250"/>
    <n v="1250"/>
    <n v="1250"/>
    <n v="1250"/>
    <n v="1250"/>
    <n v="1250"/>
    <n v="1250"/>
    <n v="1250"/>
    <n v="15000"/>
    <m/>
    <n v="1.25"/>
    <n v="1.25"/>
    <n v="1.25"/>
    <n v="1.25"/>
    <n v="1.25"/>
    <n v="1.25"/>
    <n v="1.25"/>
    <n v="1.25"/>
    <n v="1.25"/>
    <n v="1.25"/>
    <n v="1.25"/>
    <n v="1.25"/>
    <n v="15"/>
    <m/>
    <n v="1.25"/>
    <n v="1.25"/>
    <n v="1.25"/>
    <n v="1.25"/>
    <n v="1.25"/>
    <n v="1.25"/>
    <n v="1.25"/>
    <n v="1.25"/>
    <n v="1.25"/>
    <n v="1.25"/>
    <n v="1.25"/>
    <n v="1.25"/>
    <n v="15"/>
    <m/>
    <n v="0.21258503401360546"/>
    <n v="0.21258503401360546"/>
    <n v="0.21258503401360546"/>
    <n v="0.21258503401360546"/>
    <n v="0.21258503401360546"/>
    <n v="0.21258503401360546"/>
    <n v="0.21258503401360546"/>
    <n v="0.21258503401360546"/>
    <n v="0.21258503401360546"/>
    <n v="0.21258503401360546"/>
    <n v="0.21258503401360546"/>
    <n v="0.21258503401360546"/>
    <n v="2.5510204081632657"/>
    <x v="4"/>
  </r>
  <r>
    <x v="0"/>
    <x v="0"/>
    <x v="3"/>
    <x v="13"/>
    <x v="2"/>
    <x v="8"/>
    <x v="0"/>
    <x v="11"/>
    <s v="Existente"/>
    <s v="Mensal"/>
    <s v="Contrato em Curso"/>
    <s v="FG-VLP | TI"/>
    <s v="Alexandre Ayabe"/>
    <x v="5"/>
    <m/>
    <s v="BRL"/>
    <n v="4000"/>
    <n v="4000"/>
    <n v="4000"/>
    <n v="4000"/>
    <n v="4000"/>
    <n v="4000"/>
    <n v="4000"/>
    <n v="4000"/>
    <n v="4000"/>
    <n v="4000"/>
    <n v="4000"/>
    <n v="4000"/>
    <n v="48000"/>
    <m/>
    <n v="4"/>
    <n v="4"/>
    <n v="4"/>
    <n v="4"/>
    <n v="4"/>
    <n v="4"/>
    <n v="4"/>
    <n v="4"/>
    <n v="4"/>
    <n v="4"/>
    <n v="4"/>
    <n v="4"/>
    <n v="48"/>
    <m/>
    <n v="4"/>
    <n v="4"/>
    <n v="4"/>
    <n v="4"/>
    <n v="4"/>
    <n v="4"/>
    <n v="4"/>
    <n v="4"/>
    <n v="4"/>
    <n v="4"/>
    <n v="4"/>
    <n v="4"/>
    <n v="48"/>
    <m/>
    <n v="0.68027210884353739"/>
    <n v="0.68027210884353739"/>
    <n v="0.68027210884353739"/>
    <n v="0.68027210884353739"/>
    <n v="0.68027210884353739"/>
    <n v="0.68027210884353739"/>
    <n v="0.68027210884353739"/>
    <n v="0.68027210884353739"/>
    <n v="0.68027210884353739"/>
    <n v="0.68027210884353739"/>
    <n v="0.68027210884353739"/>
    <n v="0.68027210884353739"/>
    <n v="8.1632653061224492"/>
    <x v="4"/>
  </r>
  <r>
    <x v="0"/>
    <x v="0"/>
    <x v="3"/>
    <x v="14"/>
    <x v="2"/>
    <x v="8"/>
    <x v="0"/>
    <x v="11"/>
    <s v="Existente"/>
    <s v="Mensal"/>
    <s v="Contrato em Curso"/>
    <s v="FG-PSF | TI"/>
    <s v="Alexandre Ayabe"/>
    <x v="5"/>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8"/>
    <x v="0"/>
    <x v="11"/>
    <s v="Existente"/>
    <s v="Mensal"/>
    <s v="Contrato em Curso"/>
    <s v="FG-GRUB | TI"/>
    <s v="Alexandre Ayabe"/>
    <x v="5"/>
    <m/>
    <s v="BRL"/>
    <n v="4750"/>
    <n v="4750"/>
    <n v="4750"/>
    <n v="4750"/>
    <n v="4750"/>
    <n v="4750"/>
    <n v="4750"/>
    <n v="4750"/>
    <n v="4750"/>
    <n v="4750"/>
    <n v="4750"/>
    <n v="4750"/>
    <n v="57000"/>
    <m/>
    <n v="4.75"/>
    <n v="4.75"/>
    <n v="4.75"/>
    <n v="4.75"/>
    <n v="4.75"/>
    <n v="4.75"/>
    <n v="4.75"/>
    <n v="4.75"/>
    <n v="4.75"/>
    <n v="4.75"/>
    <n v="4.75"/>
    <n v="4.75"/>
    <n v="57"/>
    <m/>
    <n v="4.75"/>
    <n v="4.75"/>
    <n v="4.75"/>
    <n v="4.75"/>
    <n v="4.75"/>
    <n v="4.75"/>
    <n v="4.75"/>
    <n v="4.75"/>
    <n v="4.75"/>
    <n v="4.75"/>
    <n v="4.75"/>
    <n v="4.75"/>
    <n v="57"/>
    <m/>
    <n v="0.80782312925170074"/>
    <n v="0.80782312925170074"/>
    <n v="0.80782312925170074"/>
    <n v="0.80782312925170074"/>
    <n v="0.80782312925170074"/>
    <n v="0.80782312925170074"/>
    <n v="0.80782312925170074"/>
    <n v="0.80782312925170074"/>
    <n v="0.80782312925170074"/>
    <n v="0.80782312925170074"/>
    <n v="0.80782312925170074"/>
    <n v="0.80782312925170074"/>
    <n v="9.6938775510204067"/>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9"/>
    <x v="0"/>
    <x v="12"/>
    <s v="Existente"/>
    <s v="Mensal"/>
    <s v="Contrato em Curso"/>
    <s v="TR | TI"/>
    <s v="Alexandre Ayabe"/>
    <x v="4"/>
    <d v="2026-01-01T00:00:00"/>
    <s v="USD"/>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8"/>
    <x v="3"/>
    <x v="9"/>
    <x v="0"/>
    <x v="12"/>
    <s v="Existente"/>
    <s v="Mensal"/>
    <s v="Contrato em Curso"/>
    <s v="CG-PNG | TI"/>
    <s v="Alexandre Ayabe"/>
    <x v="4"/>
    <d v="2026-01-01T00:00:00"/>
    <s v="USD"/>
    <n v="125"/>
    <n v="125"/>
    <n v="125"/>
    <n v="125"/>
    <n v="125"/>
    <n v="125"/>
    <n v="125"/>
    <n v="125"/>
    <n v="125"/>
    <n v="125"/>
    <n v="125"/>
    <n v="125"/>
    <n v="1500"/>
    <m/>
    <n v="0.73499999999999999"/>
    <n v="0.73499999999999999"/>
    <n v="0.73499999999999999"/>
    <n v="0.73499999999999999"/>
    <n v="0.73499999999999999"/>
    <n v="0.73499999999999999"/>
    <n v="0.73499999999999999"/>
    <n v="0.73499999999999999"/>
    <n v="0.73499999999999999"/>
    <n v="0.73499999999999999"/>
    <n v="0.73499999999999999"/>
    <n v="0.73499999999999999"/>
    <n v="8.82"/>
    <m/>
    <n v="0.7751861832949074"/>
    <n v="0.7751861832949074"/>
    <n v="0.7751861832949074"/>
    <n v="0.7751861832949074"/>
    <n v="0.7751861832949074"/>
    <n v="0.7751861832949074"/>
    <n v="0.7751861832949074"/>
    <n v="0.7751861832949074"/>
    <n v="0.7751861832949074"/>
    <n v="0.7751861832949074"/>
    <n v="0.7751861832949074"/>
    <n v="0.7751861832949074"/>
    <n v="9.3022341995388906"/>
    <m/>
    <n v="0.13183438491409991"/>
    <n v="0.13183438491409991"/>
    <n v="0.13183438491409991"/>
    <n v="0.13183438491409991"/>
    <n v="0.13183438491409991"/>
    <n v="0.13183438491409991"/>
    <n v="0.13183438491409991"/>
    <n v="0.13183438491409991"/>
    <n v="0.13183438491409991"/>
    <n v="0.13183438491409991"/>
    <n v="0.13183438491409991"/>
    <n v="0.13183438491409991"/>
    <n v="1.582012618969199"/>
    <x v="4"/>
  </r>
  <r>
    <x v="0"/>
    <x v="0"/>
    <x v="1"/>
    <x v="8"/>
    <x v="2"/>
    <x v="9"/>
    <x v="0"/>
    <x v="12"/>
    <s v="Existente"/>
    <s v="Mensal"/>
    <s v="Contrato em Curso"/>
    <s v="FG-PNG | TI"/>
    <s v="Alexandre Ayabe"/>
    <x v="4"/>
    <d v="2026-01-01T00:00:00"/>
    <s v="USD"/>
    <n v="541.66666666666663"/>
    <n v="541.66666666666663"/>
    <n v="541.66666666666663"/>
    <n v="541.66666666666663"/>
    <n v="541.66666666666663"/>
    <n v="541.66666666666663"/>
    <n v="541.66666666666663"/>
    <n v="541.66666666666663"/>
    <n v="541.66666666666663"/>
    <n v="541.66666666666663"/>
    <n v="541.66666666666663"/>
    <n v="541.66666666666663"/>
    <n v="6500.0000000000009"/>
    <m/>
    <n v="3.1849999999999996"/>
    <n v="3.1849999999999996"/>
    <n v="3.1849999999999996"/>
    <n v="3.1849999999999996"/>
    <n v="3.1849999999999996"/>
    <n v="3.1849999999999996"/>
    <n v="3.1849999999999996"/>
    <n v="3.1849999999999996"/>
    <n v="3.1849999999999996"/>
    <n v="3.1849999999999996"/>
    <n v="3.1849999999999996"/>
    <n v="3.1849999999999996"/>
    <n v="38.219999999999992"/>
    <m/>
    <n v="3.3591401276112651"/>
    <n v="3.3591401276112651"/>
    <n v="3.3591401276112651"/>
    <n v="3.3591401276112651"/>
    <n v="3.3591401276112651"/>
    <n v="3.3591401276112651"/>
    <n v="3.3591401276112651"/>
    <n v="3.3591401276112651"/>
    <n v="3.3591401276112651"/>
    <n v="3.3591401276112651"/>
    <n v="3.3591401276112651"/>
    <n v="3.3591401276112651"/>
    <n v="40.309681531335173"/>
    <m/>
    <n v="0.57128233462776623"/>
    <n v="0.57128233462776623"/>
    <n v="0.57128233462776623"/>
    <n v="0.57128233462776623"/>
    <n v="0.57128233462776623"/>
    <n v="0.57128233462776623"/>
    <n v="0.57128233462776623"/>
    <n v="0.57128233462776623"/>
    <n v="0.57128233462776623"/>
    <n v="0.57128233462776623"/>
    <n v="0.57128233462776623"/>
    <n v="0.57128233462776623"/>
    <n v="6.8553880155331965"/>
    <x v="4"/>
  </r>
  <r>
    <x v="0"/>
    <x v="0"/>
    <x v="1"/>
    <x v="10"/>
    <x v="2"/>
    <x v="9"/>
    <x v="0"/>
    <x v="12"/>
    <s v="Existente"/>
    <s v="Mensal"/>
    <s v="Contrato em Curso"/>
    <s v="FG-RGD | TI"/>
    <s v="Alexandre Ayabe"/>
    <x v="4"/>
    <d v="2026-01-01T00:00:00"/>
    <s v="USD"/>
    <n v="104.16666666666667"/>
    <n v="104.16666666666667"/>
    <n v="104.16666666666667"/>
    <n v="104.16666666666667"/>
    <n v="104.16666666666667"/>
    <n v="104.16666666666667"/>
    <n v="104.16666666666667"/>
    <n v="104.16666666666667"/>
    <n v="104.16666666666667"/>
    <n v="104.16666666666667"/>
    <n v="104.16666666666667"/>
    <n v="104.16666666666667"/>
    <n v="1250"/>
    <m/>
    <n v="0.61250000000000004"/>
    <n v="0.61250000000000004"/>
    <n v="0.61250000000000004"/>
    <n v="0.61250000000000004"/>
    <n v="0.61250000000000004"/>
    <n v="0.61250000000000004"/>
    <n v="0.61250000000000004"/>
    <n v="0.61250000000000004"/>
    <n v="0.61250000000000004"/>
    <n v="0.61250000000000004"/>
    <n v="0.61250000000000004"/>
    <n v="0.61250000000000004"/>
    <n v="7.3499999999999988"/>
    <m/>
    <n v="0.64598848607908954"/>
    <n v="0.64598848607908954"/>
    <n v="0.64598848607908954"/>
    <n v="0.64598848607908954"/>
    <n v="0.64598848607908954"/>
    <n v="0.64598848607908954"/>
    <n v="0.64598848607908954"/>
    <n v="0.64598848607908954"/>
    <n v="0.64598848607908954"/>
    <n v="0.64598848607908954"/>
    <n v="0.64598848607908954"/>
    <n v="0.64598848607908954"/>
    <n v="7.7518618329490758"/>
    <m/>
    <n v="0.10986198742841659"/>
    <n v="0.10986198742841659"/>
    <n v="0.10986198742841659"/>
    <n v="0.10986198742841659"/>
    <n v="0.10986198742841659"/>
    <n v="0.10986198742841659"/>
    <n v="0.10986198742841659"/>
    <n v="0.10986198742841659"/>
    <n v="0.10986198742841659"/>
    <n v="0.10986198742841659"/>
    <n v="0.10986198742841659"/>
    <n v="0.10986198742841659"/>
    <n v="1.3183438491409991"/>
    <x v="4"/>
  </r>
  <r>
    <x v="0"/>
    <x v="0"/>
    <x v="1"/>
    <x v="11"/>
    <x v="3"/>
    <x v="9"/>
    <x v="0"/>
    <x v="12"/>
    <s v="Existente"/>
    <s v="Mensal"/>
    <s v="Contrato em Curso"/>
    <s v="CG-PTG | TI"/>
    <s v="Alexandre Ayabe"/>
    <x v="4"/>
    <d v="2026-01-01T00:00:00"/>
    <s v="USD"/>
    <n v="166.66666666666666"/>
    <n v="166.66666666666666"/>
    <n v="166.66666666666666"/>
    <n v="166.66666666666666"/>
    <n v="166.66666666666666"/>
    <n v="166.66666666666666"/>
    <n v="166.66666666666666"/>
    <n v="166.66666666666666"/>
    <n v="166.66666666666666"/>
    <n v="166.66666666666666"/>
    <n v="166.66666666666666"/>
    <n v="166.66666666666666"/>
    <n v="2000.0000000000002"/>
    <m/>
    <n v="0.97999999999999987"/>
    <n v="0.97999999999999987"/>
    <n v="0.97999999999999987"/>
    <n v="0.97999999999999987"/>
    <n v="0.97999999999999987"/>
    <n v="0.97999999999999987"/>
    <n v="0.97999999999999987"/>
    <n v="0.97999999999999987"/>
    <n v="0.97999999999999987"/>
    <n v="0.97999999999999987"/>
    <n v="0.97999999999999987"/>
    <n v="0.97999999999999987"/>
    <n v="11.76"/>
    <m/>
    <n v="1.0335815777265431"/>
    <n v="1.0335815777265431"/>
    <n v="1.0335815777265431"/>
    <n v="1.0335815777265431"/>
    <n v="1.0335815777265431"/>
    <n v="1.0335815777265431"/>
    <n v="1.0335815777265431"/>
    <n v="1.0335815777265431"/>
    <n v="1.0335815777265431"/>
    <n v="1.0335815777265431"/>
    <n v="1.0335815777265431"/>
    <n v="1.0335815777265431"/>
    <n v="12.40297893271852"/>
    <m/>
    <n v="0.17577917988546651"/>
    <n v="0.17577917988546651"/>
    <n v="0.17577917988546651"/>
    <n v="0.17577917988546651"/>
    <n v="0.17577917988546651"/>
    <n v="0.17577917988546651"/>
    <n v="0.17577917988546651"/>
    <n v="0.17577917988546651"/>
    <n v="0.17577917988546651"/>
    <n v="0.17577917988546651"/>
    <n v="0.17577917988546651"/>
    <n v="0.17577917988546651"/>
    <n v="2.1093501586255976"/>
    <x v="4"/>
  </r>
  <r>
    <x v="0"/>
    <x v="0"/>
    <x v="1"/>
    <x v="9"/>
    <x v="2"/>
    <x v="9"/>
    <x v="0"/>
    <x v="12"/>
    <s v="Existente"/>
    <s v="Mensal"/>
    <s v="Contrato em Curso"/>
    <s v="FG-ITJ | TI"/>
    <s v="Alexandre Ayabe"/>
    <x v="4"/>
    <d v="2026-01-01T00:00:00"/>
    <s v="USD"/>
    <n v="312.5"/>
    <n v="312.5"/>
    <n v="312.5"/>
    <n v="312.5"/>
    <n v="312.5"/>
    <n v="312.5"/>
    <n v="312.5"/>
    <n v="312.5"/>
    <n v="312.5"/>
    <n v="312.5"/>
    <n v="312.5"/>
    <n v="312.5"/>
    <n v="3750"/>
    <m/>
    <n v="1.8374999999999999"/>
    <n v="1.8374999999999999"/>
    <n v="1.8374999999999999"/>
    <n v="1.8374999999999999"/>
    <n v="1.8374999999999999"/>
    <n v="1.8374999999999999"/>
    <n v="1.8374999999999999"/>
    <n v="1.8374999999999999"/>
    <n v="1.8374999999999999"/>
    <n v="1.8374999999999999"/>
    <n v="1.8374999999999999"/>
    <n v="1.8374999999999999"/>
    <n v="22.049999999999997"/>
    <m/>
    <n v="1.9379654582372685"/>
    <n v="1.9379654582372685"/>
    <n v="1.9379654582372685"/>
    <n v="1.9379654582372685"/>
    <n v="1.9379654582372685"/>
    <n v="1.9379654582372685"/>
    <n v="1.9379654582372685"/>
    <n v="1.9379654582372685"/>
    <n v="1.9379654582372685"/>
    <n v="1.9379654582372685"/>
    <n v="1.9379654582372685"/>
    <n v="1.9379654582372685"/>
    <n v="23.255585498847221"/>
    <m/>
    <n v="0.32958596228524978"/>
    <n v="0.32958596228524978"/>
    <n v="0.32958596228524978"/>
    <n v="0.32958596228524978"/>
    <n v="0.32958596228524978"/>
    <n v="0.32958596228524978"/>
    <n v="0.32958596228524978"/>
    <n v="0.32958596228524978"/>
    <n v="0.32958596228524978"/>
    <n v="0.32958596228524978"/>
    <n v="0.32958596228524978"/>
    <n v="0.32958596228524978"/>
    <n v="3.955031547422998"/>
    <x v="4"/>
  </r>
  <r>
    <x v="0"/>
    <x v="0"/>
    <x v="1"/>
    <x v="12"/>
    <x v="2"/>
    <x v="9"/>
    <x v="0"/>
    <x v="12"/>
    <s v="Existente"/>
    <s v="Mensal"/>
    <s v="Contrato em Curso"/>
    <s v="FG-PE2 | TI"/>
    <s v="Alexandre Ayabe"/>
    <x v="4"/>
    <d v="2026-01-01T00:00:00"/>
    <s v="USD"/>
    <n v="104.16666666666667"/>
    <n v="104.16666666666667"/>
    <n v="104.16666666666667"/>
    <n v="104.16666666666667"/>
    <n v="104.16666666666667"/>
    <n v="104.16666666666667"/>
    <n v="104.16666666666667"/>
    <n v="104.16666666666667"/>
    <n v="104.16666666666667"/>
    <n v="104.16666666666667"/>
    <n v="104.16666666666667"/>
    <n v="104.16666666666667"/>
    <n v="1250"/>
    <m/>
    <n v="0.61250000000000004"/>
    <n v="0.61250000000000004"/>
    <n v="0.61250000000000004"/>
    <n v="0.61250000000000004"/>
    <n v="0.61250000000000004"/>
    <n v="0.61250000000000004"/>
    <n v="0.61250000000000004"/>
    <n v="0.61250000000000004"/>
    <n v="0.61250000000000004"/>
    <n v="0.61250000000000004"/>
    <n v="0.61250000000000004"/>
    <n v="0.61250000000000004"/>
    <n v="7.3499999999999988"/>
    <m/>
    <n v="0.64598848607908954"/>
    <n v="0.64598848607908954"/>
    <n v="0.64598848607908954"/>
    <n v="0.64598848607908954"/>
    <n v="0.64598848607908954"/>
    <n v="0.64598848607908954"/>
    <n v="0.64598848607908954"/>
    <n v="0.64598848607908954"/>
    <n v="0.64598848607908954"/>
    <n v="0.64598848607908954"/>
    <n v="0.64598848607908954"/>
    <n v="0.64598848607908954"/>
    <n v="7.7518618329490758"/>
    <m/>
    <n v="0.10986198742841659"/>
    <n v="0.10986198742841659"/>
    <n v="0.10986198742841659"/>
    <n v="0.10986198742841659"/>
    <n v="0.10986198742841659"/>
    <n v="0.10986198742841659"/>
    <n v="0.10986198742841659"/>
    <n v="0.10986198742841659"/>
    <n v="0.10986198742841659"/>
    <n v="0.10986198742841659"/>
    <n v="0.10986198742841659"/>
    <n v="0.10986198742841659"/>
    <n v="1.3183438491409991"/>
    <x v="4"/>
  </r>
  <r>
    <x v="0"/>
    <x v="0"/>
    <x v="3"/>
    <x v="14"/>
    <x v="2"/>
    <x v="9"/>
    <x v="0"/>
    <x v="12"/>
    <s v="Existente"/>
    <s v="Mensal"/>
    <s v="Contrato em Curso"/>
    <s v="FG-PSF | TI"/>
    <s v="Alexandre Ayabe"/>
    <x v="4"/>
    <d v="2026-01-01T00:00:00"/>
    <s v="USD"/>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3"/>
    <x v="13"/>
    <x v="2"/>
    <x v="9"/>
    <x v="0"/>
    <x v="12"/>
    <s v="Existente"/>
    <s v="Mensal"/>
    <s v="Contrato em Curso"/>
    <s v="FG-VLP | TI"/>
    <s v="Alexandre Ayabe"/>
    <x v="4"/>
    <d v="2026-01-01T00:00:00"/>
    <s v="USD"/>
    <n v="333.33333333333331"/>
    <n v="333.33333333333331"/>
    <n v="333.33333333333331"/>
    <n v="333.33333333333331"/>
    <n v="333.33333333333331"/>
    <n v="333.33333333333331"/>
    <n v="333.33333333333331"/>
    <n v="333.33333333333331"/>
    <n v="333.33333333333331"/>
    <n v="333.33333333333331"/>
    <n v="333.33333333333331"/>
    <n v="333.33333333333331"/>
    <n v="4000.0000000000005"/>
    <m/>
    <n v="1.9599999999999997"/>
    <n v="1.9599999999999997"/>
    <n v="1.9599999999999997"/>
    <n v="1.9599999999999997"/>
    <n v="1.9599999999999997"/>
    <n v="1.9599999999999997"/>
    <n v="1.9599999999999997"/>
    <n v="1.9599999999999997"/>
    <n v="1.9599999999999997"/>
    <n v="1.9599999999999997"/>
    <n v="1.9599999999999997"/>
    <n v="1.9599999999999997"/>
    <n v="23.52"/>
    <m/>
    <n v="2.0671631554530863"/>
    <n v="2.0671631554530863"/>
    <n v="2.0671631554530863"/>
    <n v="2.0671631554530863"/>
    <n v="2.0671631554530863"/>
    <n v="2.0671631554530863"/>
    <n v="2.0671631554530863"/>
    <n v="2.0671631554530863"/>
    <n v="2.0671631554530863"/>
    <n v="2.0671631554530863"/>
    <n v="2.0671631554530863"/>
    <n v="2.0671631554530863"/>
    <n v="24.805957865437041"/>
    <m/>
    <n v="0.35155835977093303"/>
    <n v="0.35155835977093303"/>
    <n v="0.35155835977093303"/>
    <n v="0.35155835977093303"/>
    <n v="0.35155835977093303"/>
    <n v="0.35155835977093303"/>
    <n v="0.35155835977093303"/>
    <n v="0.35155835977093303"/>
    <n v="0.35155835977093303"/>
    <n v="0.35155835977093303"/>
    <n v="0.35155835977093303"/>
    <n v="0.35155835977093303"/>
    <n v="4.2187003172511952"/>
    <x v="4"/>
  </r>
  <r>
    <x v="0"/>
    <x v="0"/>
    <x v="4"/>
    <x v="15"/>
    <x v="2"/>
    <x v="9"/>
    <x v="0"/>
    <x v="12"/>
    <s v="Existente"/>
    <s v="Mensal"/>
    <s v="Contrato em Curso"/>
    <s v="FG-GRUB | TI"/>
    <s v="Alexandre Ayabe"/>
    <x v="4"/>
    <d v="2026-01-01T00:00:00"/>
    <s v="USD"/>
    <n v="395.83333333333331"/>
    <n v="395.83333333333331"/>
    <n v="395.83333333333331"/>
    <n v="395.83333333333331"/>
    <n v="395.83333333333331"/>
    <n v="395.83333333333331"/>
    <n v="395.83333333333331"/>
    <n v="395.83333333333331"/>
    <n v="395.83333333333331"/>
    <n v="395.83333333333331"/>
    <n v="395.83333333333331"/>
    <n v="395.83333333333331"/>
    <n v="4750"/>
    <m/>
    <n v="2.3275000000000001"/>
    <n v="2.3275000000000001"/>
    <n v="2.3275000000000001"/>
    <n v="2.3275000000000001"/>
    <n v="2.3275000000000001"/>
    <n v="2.3275000000000001"/>
    <n v="2.3275000000000001"/>
    <n v="2.3275000000000001"/>
    <n v="2.3275000000000001"/>
    <n v="2.3275000000000001"/>
    <n v="2.3275000000000001"/>
    <n v="2.3275000000000001"/>
    <n v="27.930000000000003"/>
    <m/>
    <n v="2.4547562471005402"/>
    <n v="2.4547562471005402"/>
    <n v="2.4547562471005402"/>
    <n v="2.4547562471005402"/>
    <n v="2.4547562471005402"/>
    <n v="2.4547562471005402"/>
    <n v="2.4547562471005402"/>
    <n v="2.4547562471005402"/>
    <n v="2.4547562471005402"/>
    <n v="2.4547562471005402"/>
    <n v="2.4547562471005402"/>
    <n v="2.4547562471005402"/>
    <n v="29.457074965206484"/>
    <m/>
    <n v="0.41747555222798305"/>
    <n v="0.41747555222798305"/>
    <n v="0.41747555222798305"/>
    <n v="0.41747555222798305"/>
    <n v="0.41747555222798305"/>
    <n v="0.41747555222798305"/>
    <n v="0.41747555222798305"/>
    <n v="0.41747555222798305"/>
    <n v="0.41747555222798305"/>
    <n v="0.41747555222798305"/>
    <n v="0.41747555222798305"/>
    <n v="0.41747555222798305"/>
    <n v="5.0097066267357961"/>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4"/>
    <x v="4"/>
    <x v="0"/>
    <x v="10"/>
    <x v="0"/>
    <x v="13"/>
    <s v="Existente"/>
    <s v="Anual"/>
    <s v="Média - Impacta a operação"/>
    <s v="BU-GRU | TI"/>
    <s v="Alexandre Ayabe"/>
    <x v="4"/>
    <m/>
    <s v="USD"/>
    <n v="58.333333333333336"/>
    <n v="58.333333333333336"/>
    <n v="58.333333333333336"/>
    <n v="58.333333333333336"/>
    <n v="58.333333333333336"/>
    <n v="58.333333333333336"/>
    <n v="58.333333333333336"/>
    <n v="58.333333333333336"/>
    <n v="58.333333333333336"/>
    <n v="58.333333333333336"/>
    <n v="58.333333333333336"/>
    <n v="58.333333333333336"/>
    <n v="700.00000000000011"/>
    <m/>
    <n v="0.34300000000000003"/>
    <n v="0.34300000000000003"/>
    <n v="0.34300000000000003"/>
    <n v="0.34300000000000003"/>
    <n v="0.34300000000000003"/>
    <n v="0.34300000000000003"/>
    <n v="0.34300000000000003"/>
    <n v="0.34300000000000003"/>
    <n v="0.34300000000000003"/>
    <n v="0.34300000000000003"/>
    <n v="0.34300000000000003"/>
    <n v="0.34300000000000003"/>
    <n v="4.1160000000000005"/>
    <m/>
    <n v="0.34300000000000003"/>
    <n v="0.34300000000000003"/>
    <n v="0.34300000000000003"/>
    <n v="0.34300000000000003"/>
    <n v="0.34300000000000003"/>
    <n v="0.34300000000000003"/>
    <n v="0.34300000000000003"/>
    <n v="0.34300000000000003"/>
    <n v="0.34300000000000003"/>
    <n v="0.34300000000000003"/>
    <n v="0.34300000000000003"/>
    <n v="0.34300000000000003"/>
    <n v="4.1160000000000005"/>
    <m/>
    <n v="5.8333333333333341E-2"/>
    <n v="5.8333333333333341E-2"/>
    <n v="5.8333333333333341E-2"/>
    <n v="5.8333333333333341E-2"/>
    <n v="5.8333333333333341E-2"/>
    <n v="5.8333333333333341E-2"/>
    <n v="5.8333333333333341E-2"/>
    <n v="5.8333333333333341E-2"/>
    <n v="5.8333333333333341E-2"/>
    <n v="5.8333333333333341E-2"/>
    <n v="5.8333333333333341E-2"/>
    <n v="5.8333333333333341E-2"/>
    <n v="0.70000000000000007"/>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4"/>
    <x v="4"/>
    <x v="0"/>
    <x v="11"/>
    <x v="2"/>
    <x v="14"/>
    <s v="Existente"/>
    <s v="Anual"/>
    <s v="Média - Impacta a operação"/>
    <s v="BU-GRU | TI"/>
    <s v="Alexandre Ayabe"/>
    <x v="4"/>
    <m/>
    <s v="USD"/>
    <n v="4500"/>
    <n v="4500"/>
    <n v="4500"/>
    <n v="4500"/>
    <n v="4500"/>
    <n v="4500"/>
    <n v="4500"/>
    <n v="4500"/>
    <n v="4500"/>
    <n v="5000"/>
    <n v="5000"/>
    <n v="5000"/>
    <n v="55500"/>
    <m/>
    <n v="26.46"/>
    <n v="26.46"/>
    <n v="26.46"/>
    <n v="26.46"/>
    <n v="26.46"/>
    <n v="26.46"/>
    <n v="26.46"/>
    <n v="26.46"/>
    <n v="26.46"/>
    <n v="29.4"/>
    <n v="29.4"/>
    <n v="29.4"/>
    <n v="326.33999999999997"/>
    <m/>
    <n v="26.46"/>
    <n v="26.46"/>
    <n v="26.46"/>
    <n v="26.46"/>
    <n v="26.46"/>
    <n v="26.46"/>
    <n v="26.46"/>
    <n v="26.46"/>
    <n v="26.46"/>
    <n v="29.4"/>
    <n v="29.4"/>
    <n v="29.4"/>
    <n v="326.33999999999997"/>
    <m/>
    <n v="4.5"/>
    <n v="4.5"/>
    <n v="4.5"/>
    <n v="4.5"/>
    <n v="4.5"/>
    <n v="4.5"/>
    <n v="4.5"/>
    <n v="4.5"/>
    <n v="4.5"/>
    <n v="5"/>
    <n v="5"/>
    <n v="5"/>
    <n v="55.5"/>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12"/>
    <x v="3"/>
    <x v="15"/>
    <s v="Existente"/>
    <s v="Mensal"/>
    <s v="Contrato em Curso"/>
    <s v="TR | TI"/>
    <s v="Alexandre Ayabe"/>
    <x v="4"/>
    <m/>
    <s v="USD"/>
    <n v="480"/>
    <n v="480"/>
    <n v="480"/>
    <n v="480"/>
    <n v="480"/>
    <n v="480"/>
    <n v="480"/>
    <n v="480"/>
    <n v="480"/>
    <n v="480"/>
    <n v="480"/>
    <n v="480"/>
    <n v="5760"/>
    <m/>
    <n v="2.8224"/>
    <n v="2.8224"/>
    <n v="2.8224"/>
    <n v="2.8224"/>
    <n v="2.8224"/>
    <n v="2.8224"/>
    <n v="2.8224"/>
    <n v="2.8224"/>
    <n v="2.8224"/>
    <n v="2.8224"/>
    <n v="2.8224"/>
    <n v="2.8224"/>
    <n v="33.868800000000007"/>
    <m/>
    <n v="2.8224"/>
    <n v="2.8224"/>
    <n v="2.8224"/>
    <n v="2.8224"/>
    <n v="2.8224"/>
    <n v="2.8224"/>
    <n v="2.8224"/>
    <n v="2.8224"/>
    <n v="2.8224"/>
    <n v="2.8224"/>
    <n v="2.8224"/>
    <n v="2.8224"/>
    <n v="33.868800000000007"/>
    <m/>
    <n v="0.48000000000000004"/>
    <n v="0.48000000000000004"/>
    <n v="0.48000000000000004"/>
    <n v="0.48000000000000004"/>
    <n v="0.48000000000000004"/>
    <n v="0.48000000000000004"/>
    <n v="0.48000000000000004"/>
    <n v="0.48000000000000004"/>
    <n v="0.48000000000000004"/>
    <n v="0.48000000000000004"/>
    <n v="0.48000000000000004"/>
    <n v="0.48000000000000004"/>
    <n v="5.7600000000000016"/>
    <x v="4"/>
  </r>
  <r>
    <x v="0"/>
    <x v="0"/>
    <x v="1"/>
    <x v="8"/>
    <x v="6"/>
    <x v="12"/>
    <x v="3"/>
    <x v="15"/>
    <s v="Existente"/>
    <s v="Mensal"/>
    <s v="Contrato em Curso"/>
    <s v="PNG | TI"/>
    <s v="Alexandre Ayabe"/>
    <x v="4"/>
    <m/>
    <s v="USD"/>
    <n v="533.33333333333337"/>
    <n v="533.33333333333337"/>
    <n v="533.33333333333337"/>
    <n v="533.33333333333337"/>
    <n v="533.33333333333337"/>
    <n v="533.33333333333337"/>
    <n v="533.33333333333337"/>
    <n v="533.33333333333337"/>
    <n v="533.33333333333337"/>
    <n v="533.33333333333337"/>
    <n v="533.33333333333337"/>
    <n v="533.33333333333337"/>
    <n v="6399.9999999999991"/>
    <m/>
    <n v="3.1360000000000001"/>
    <n v="3.1360000000000001"/>
    <n v="3.1360000000000001"/>
    <n v="3.1360000000000001"/>
    <n v="3.1360000000000001"/>
    <n v="3.1360000000000001"/>
    <n v="3.1360000000000001"/>
    <n v="3.1360000000000001"/>
    <n v="3.1360000000000001"/>
    <n v="3.1360000000000001"/>
    <n v="3.1360000000000001"/>
    <n v="3.1360000000000001"/>
    <n v="37.631999999999998"/>
    <m/>
    <n v="3.1360000000000001"/>
    <n v="3.1360000000000001"/>
    <n v="3.1360000000000001"/>
    <n v="3.1360000000000001"/>
    <n v="3.1360000000000001"/>
    <n v="3.1360000000000001"/>
    <n v="3.1360000000000001"/>
    <n v="3.1360000000000001"/>
    <n v="3.1360000000000001"/>
    <n v="3.1360000000000001"/>
    <n v="3.1360000000000001"/>
    <n v="3.1360000000000001"/>
    <n v="37.631999999999998"/>
    <m/>
    <n v="0.53333333333333333"/>
    <n v="0.53333333333333333"/>
    <n v="0.53333333333333333"/>
    <n v="0.53333333333333333"/>
    <n v="0.53333333333333333"/>
    <n v="0.53333333333333333"/>
    <n v="0.53333333333333333"/>
    <n v="0.53333333333333333"/>
    <n v="0.53333333333333333"/>
    <n v="0.53333333333333333"/>
    <n v="0.53333333333333333"/>
    <n v="0.53333333333333333"/>
    <n v="6.3999999999999995"/>
    <x v="4"/>
  </r>
  <r>
    <x v="0"/>
    <x v="0"/>
    <x v="1"/>
    <x v="9"/>
    <x v="6"/>
    <x v="12"/>
    <x v="3"/>
    <x v="15"/>
    <s v="Existente"/>
    <s v="Mensal"/>
    <s v="Contrato em Curso"/>
    <s v="ITJ | TI"/>
    <s v="Alexandre Ayabe"/>
    <x v="4"/>
    <m/>
    <s v="USD"/>
    <n v="480"/>
    <n v="480"/>
    <n v="480"/>
    <n v="480"/>
    <n v="480"/>
    <n v="480"/>
    <n v="480"/>
    <n v="480"/>
    <n v="480"/>
    <n v="480"/>
    <n v="480"/>
    <n v="480"/>
    <n v="5760"/>
    <m/>
    <n v="2.8224"/>
    <n v="2.8224"/>
    <n v="2.8224"/>
    <n v="2.8224"/>
    <n v="2.8224"/>
    <n v="2.8224"/>
    <n v="2.8224"/>
    <n v="2.8224"/>
    <n v="2.8224"/>
    <n v="2.8224"/>
    <n v="2.8224"/>
    <n v="2.8224"/>
    <n v="33.868800000000007"/>
    <m/>
    <n v="2.8224"/>
    <n v="2.8224"/>
    <n v="2.8224"/>
    <n v="2.8224"/>
    <n v="2.8224"/>
    <n v="2.8224"/>
    <n v="2.8224"/>
    <n v="2.8224"/>
    <n v="2.8224"/>
    <n v="2.8224"/>
    <n v="2.8224"/>
    <n v="2.8224"/>
    <n v="33.868800000000007"/>
    <m/>
    <n v="0.48000000000000004"/>
    <n v="0.48000000000000004"/>
    <n v="0.48000000000000004"/>
    <n v="0.48000000000000004"/>
    <n v="0.48000000000000004"/>
    <n v="0.48000000000000004"/>
    <n v="0.48000000000000004"/>
    <n v="0.48000000000000004"/>
    <n v="0.48000000000000004"/>
    <n v="0.48000000000000004"/>
    <n v="0.48000000000000004"/>
    <n v="0.48000000000000004"/>
    <n v="5.7600000000000016"/>
    <x v="4"/>
  </r>
  <r>
    <x v="0"/>
    <x v="0"/>
    <x v="1"/>
    <x v="10"/>
    <x v="6"/>
    <x v="12"/>
    <x v="3"/>
    <x v="15"/>
    <s v="Existente"/>
    <s v="Mensal"/>
    <s v="Contrato em Curso"/>
    <s v="RGD | TI"/>
    <s v="Alexandre Ayabe"/>
    <x v="4"/>
    <m/>
    <s v="USD"/>
    <n v="213.33333333333334"/>
    <n v="213.33333333333334"/>
    <n v="213.33333333333334"/>
    <n v="213.33333333333334"/>
    <n v="213.33333333333334"/>
    <n v="213.33333333333334"/>
    <n v="213.33333333333334"/>
    <n v="213.33333333333334"/>
    <n v="213.33333333333334"/>
    <n v="213.33333333333334"/>
    <n v="213.33333333333334"/>
    <n v="213.33333333333334"/>
    <n v="2560"/>
    <m/>
    <n v="1.2544000000000002"/>
    <n v="1.2544000000000002"/>
    <n v="1.2544000000000002"/>
    <n v="1.2544000000000002"/>
    <n v="1.2544000000000002"/>
    <n v="1.2544000000000002"/>
    <n v="1.2544000000000002"/>
    <n v="1.2544000000000002"/>
    <n v="1.2544000000000002"/>
    <n v="1.2544000000000002"/>
    <n v="1.2544000000000002"/>
    <n v="1.2544000000000002"/>
    <n v="15.052800000000003"/>
    <m/>
    <n v="1.2544000000000002"/>
    <n v="1.2544000000000002"/>
    <n v="1.2544000000000002"/>
    <n v="1.2544000000000002"/>
    <n v="1.2544000000000002"/>
    <n v="1.2544000000000002"/>
    <n v="1.2544000000000002"/>
    <n v="1.2544000000000002"/>
    <n v="1.2544000000000002"/>
    <n v="1.2544000000000002"/>
    <n v="1.2544000000000002"/>
    <n v="1.2544000000000002"/>
    <n v="15.052800000000003"/>
    <m/>
    <n v="0.21333333333333337"/>
    <n v="0.21333333333333337"/>
    <n v="0.21333333333333337"/>
    <n v="0.21333333333333337"/>
    <n v="0.21333333333333337"/>
    <n v="0.21333333333333337"/>
    <n v="0.21333333333333337"/>
    <n v="0.21333333333333337"/>
    <n v="0.21333333333333337"/>
    <n v="0.21333333333333337"/>
    <n v="0.21333333333333337"/>
    <n v="0.21333333333333337"/>
    <n v="2.5600000000000005"/>
    <x v="4"/>
  </r>
  <r>
    <x v="0"/>
    <x v="0"/>
    <x v="1"/>
    <x v="11"/>
    <x v="3"/>
    <x v="12"/>
    <x v="3"/>
    <x v="15"/>
    <s v="Existente"/>
    <s v="Mensal"/>
    <s v="Contrato em Curso"/>
    <s v="CG-PTG | TI"/>
    <s v="Alexandre Ayabe"/>
    <x v="4"/>
    <m/>
    <s v="USD"/>
    <n v="115"/>
    <n v="115"/>
    <n v="115"/>
    <n v="115"/>
    <n v="115"/>
    <n v="115"/>
    <n v="115"/>
    <n v="115"/>
    <n v="115"/>
    <n v="115"/>
    <n v="115"/>
    <n v="115"/>
    <n v="1380"/>
    <m/>
    <n v="0.67619999999999991"/>
    <n v="0.67619999999999991"/>
    <n v="0.67619999999999991"/>
    <n v="0.67619999999999991"/>
    <n v="0.67619999999999991"/>
    <n v="0.67619999999999991"/>
    <n v="0.67619999999999991"/>
    <n v="0.67619999999999991"/>
    <n v="0.67619999999999991"/>
    <n v="0.67619999999999991"/>
    <n v="0.67619999999999991"/>
    <n v="0.67619999999999991"/>
    <n v="8.1143999999999981"/>
    <m/>
    <n v="0.67619999999999991"/>
    <n v="0.67619999999999991"/>
    <n v="0.67619999999999991"/>
    <n v="0.67619999999999991"/>
    <n v="0.67619999999999991"/>
    <n v="0.67619999999999991"/>
    <n v="0.67619999999999991"/>
    <n v="0.67619999999999991"/>
    <n v="0.67619999999999991"/>
    <n v="0.67619999999999991"/>
    <n v="0.67619999999999991"/>
    <n v="0.67619999999999991"/>
    <n v="8.1143999999999981"/>
    <m/>
    <n v="0.11499999999999999"/>
    <n v="0.11499999999999999"/>
    <n v="0.11499999999999999"/>
    <n v="0.11499999999999999"/>
    <n v="0.11499999999999999"/>
    <n v="0.11499999999999999"/>
    <n v="0.11499999999999999"/>
    <n v="0.11499999999999999"/>
    <n v="0.11499999999999999"/>
    <n v="0.11499999999999999"/>
    <n v="0.11499999999999999"/>
    <n v="0.11499999999999999"/>
    <n v="1.38"/>
    <x v="4"/>
  </r>
  <r>
    <x v="0"/>
    <x v="0"/>
    <x v="1"/>
    <x v="12"/>
    <x v="2"/>
    <x v="12"/>
    <x v="3"/>
    <x v="15"/>
    <s v="Existente"/>
    <s v="Mensal"/>
    <s v="Contrato em Curso"/>
    <s v="FG-PE2 | TI"/>
    <s v="Alexandre Ayabe"/>
    <x v="4"/>
    <m/>
    <s v="USD"/>
    <n v="80"/>
    <n v="80"/>
    <n v="80"/>
    <n v="80"/>
    <n v="80"/>
    <n v="80"/>
    <n v="80"/>
    <n v="80"/>
    <n v="80"/>
    <n v="80"/>
    <n v="80"/>
    <n v="80"/>
    <n v="960"/>
    <m/>
    <n v="0.47039999999999998"/>
    <n v="0.47039999999999998"/>
    <n v="0.47039999999999998"/>
    <n v="0.47039999999999998"/>
    <n v="0.47039999999999998"/>
    <n v="0.47039999999999998"/>
    <n v="0.47039999999999998"/>
    <n v="0.47039999999999998"/>
    <n v="0.47039999999999998"/>
    <n v="0.47039999999999998"/>
    <n v="0.47039999999999998"/>
    <n v="0.47039999999999998"/>
    <n v="5.6447999999999992"/>
    <m/>
    <n v="0.47039999999999998"/>
    <n v="0.47039999999999998"/>
    <n v="0.47039999999999998"/>
    <n v="0.47039999999999998"/>
    <n v="0.47039999999999998"/>
    <n v="0.47039999999999998"/>
    <n v="0.47039999999999998"/>
    <n v="0.47039999999999998"/>
    <n v="0.47039999999999998"/>
    <n v="0.47039999999999998"/>
    <n v="0.47039999999999998"/>
    <n v="0.47039999999999998"/>
    <n v="5.6447999999999992"/>
    <m/>
    <n v="0.08"/>
    <n v="0.08"/>
    <n v="0.08"/>
    <n v="0.08"/>
    <n v="0.08"/>
    <n v="0.08"/>
    <n v="0.08"/>
    <n v="0.08"/>
    <n v="0.08"/>
    <n v="0.08"/>
    <n v="0.08"/>
    <n v="0.08"/>
    <n v="0.95999999999999985"/>
    <x v="4"/>
  </r>
  <r>
    <x v="0"/>
    <x v="0"/>
    <x v="3"/>
    <x v="13"/>
    <x v="2"/>
    <x v="12"/>
    <x v="3"/>
    <x v="15"/>
    <s v="Existente"/>
    <s v="Mensal"/>
    <s v="Contrato em Curso"/>
    <s v="FG-VLP | TI"/>
    <s v="Alexandre Ayabe"/>
    <x v="4"/>
    <m/>
    <s v="USD"/>
    <n v="66.666666666666671"/>
    <n v="66.666666666666671"/>
    <n v="66.666666666666671"/>
    <n v="66.666666666666671"/>
    <n v="66.666666666666671"/>
    <n v="66.666666666666671"/>
    <n v="66.666666666666671"/>
    <n v="66.666666666666671"/>
    <n v="66.666666666666671"/>
    <n v="66.666666666666671"/>
    <n v="66.666666666666671"/>
    <n v="66.666666666666671"/>
    <n v="799.99999999999989"/>
    <m/>
    <n v="0.39200000000000002"/>
    <n v="0.39200000000000002"/>
    <n v="0.39200000000000002"/>
    <n v="0.39200000000000002"/>
    <n v="0.39200000000000002"/>
    <n v="0.39200000000000002"/>
    <n v="0.39200000000000002"/>
    <n v="0.39200000000000002"/>
    <n v="0.39200000000000002"/>
    <n v="0.39200000000000002"/>
    <n v="0.39200000000000002"/>
    <n v="0.39200000000000002"/>
    <n v="4.7039999999999997"/>
    <m/>
    <n v="0.39200000000000002"/>
    <n v="0.39200000000000002"/>
    <n v="0.39200000000000002"/>
    <n v="0.39200000000000002"/>
    <n v="0.39200000000000002"/>
    <n v="0.39200000000000002"/>
    <n v="0.39200000000000002"/>
    <n v="0.39200000000000002"/>
    <n v="0.39200000000000002"/>
    <n v="0.39200000000000002"/>
    <n v="0.39200000000000002"/>
    <n v="0.39200000000000002"/>
    <n v="4.7039999999999997"/>
    <m/>
    <n v="6.6666666666666666E-2"/>
    <n v="6.6666666666666666E-2"/>
    <n v="6.6666666666666666E-2"/>
    <n v="6.6666666666666666E-2"/>
    <n v="6.6666666666666666E-2"/>
    <n v="6.6666666666666666E-2"/>
    <n v="6.6666666666666666E-2"/>
    <n v="6.6666666666666666E-2"/>
    <n v="6.6666666666666666E-2"/>
    <n v="6.6666666666666666E-2"/>
    <n v="6.6666666666666666E-2"/>
    <n v="6.6666666666666666E-2"/>
    <n v="0.79999999999999993"/>
    <x v="4"/>
  </r>
  <r>
    <x v="0"/>
    <x v="0"/>
    <x v="3"/>
    <x v="14"/>
    <x v="2"/>
    <x v="12"/>
    <x v="3"/>
    <x v="15"/>
    <s v="Existente"/>
    <s v="Mensal"/>
    <s v="Contrato em Curso"/>
    <s v="FG-PSF | TI"/>
    <s v="Alexandre Ayabe"/>
    <x v="4"/>
    <m/>
    <s v="USD"/>
    <n v="66.666666666666671"/>
    <n v="66.666666666666671"/>
    <n v="66.666666666666671"/>
    <n v="66.666666666666671"/>
    <n v="66.666666666666671"/>
    <n v="66.666666666666671"/>
    <n v="66.666666666666671"/>
    <n v="66.666666666666671"/>
    <n v="66.666666666666671"/>
    <n v="66.666666666666671"/>
    <n v="66.666666666666671"/>
    <n v="66.666666666666671"/>
    <n v="799.99999999999989"/>
    <m/>
    <n v="0.39200000000000002"/>
    <n v="0.39200000000000002"/>
    <n v="0.39200000000000002"/>
    <n v="0.39200000000000002"/>
    <n v="0.39200000000000002"/>
    <n v="0.39200000000000002"/>
    <n v="0.39200000000000002"/>
    <n v="0.39200000000000002"/>
    <n v="0.39200000000000002"/>
    <n v="0.39200000000000002"/>
    <n v="0.39200000000000002"/>
    <n v="0.39200000000000002"/>
    <n v="4.7039999999999997"/>
    <m/>
    <n v="0.39200000000000002"/>
    <n v="0.39200000000000002"/>
    <n v="0.39200000000000002"/>
    <n v="0.39200000000000002"/>
    <n v="0.39200000000000002"/>
    <n v="0.39200000000000002"/>
    <n v="0.39200000000000002"/>
    <n v="0.39200000000000002"/>
    <n v="0.39200000000000002"/>
    <n v="0.39200000000000002"/>
    <n v="0.39200000000000002"/>
    <n v="0.39200000000000002"/>
    <n v="4.7039999999999997"/>
    <m/>
    <n v="6.6666666666666666E-2"/>
    <n v="6.6666666666666666E-2"/>
    <n v="6.6666666666666666E-2"/>
    <n v="6.6666666666666666E-2"/>
    <n v="6.6666666666666666E-2"/>
    <n v="6.6666666666666666E-2"/>
    <n v="6.6666666666666666E-2"/>
    <n v="6.6666666666666666E-2"/>
    <n v="6.6666666666666666E-2"/>
    <n v="6.6666666666666666E-2"/>
    <n v="6.6666666666666666E-2"/>
    <n v="6.6666666666666666E-2"/>
    <n v="0.79999999999999993"/>
    <x v="4"/>
  </r>
  <r>
    <x v="0"/>
    <x v="0"/>
    <x v="4"/>
    <x v="15"/>
    <x v="2"/>
    <x v="12"/>
    <x v="3"/>
    <x v="15"/>
    <s v="Existente"/>
    <s v="Mensal"/>
    <s v="Contrato em Curso"/>
    <s v="FG-GRUB | TI"/>
    <s v="Alexandre Ayabe"/>
    <x v="4"/>
    <m/>
    <s v="USD"/>
    <n v="160"/>
    <n v="160"/>
    <n v="160"/>
    <n v="160"/>
    <n v="160"/>
    <n v="160"/>
    <n v="160"/>
    <n v="160"/>
    <n v="160"/>
    <n v="160"/>
    <n v="160"/>
    <n v="160"/>
    <n v="1920"/>
    <m/>
    <n v="0.94079999999999997"/>
    <n v="0.94079999999999997"/>
    <n v="0.94079999999999997"/>
    <n v="0.94079999999999997"/>
    <n v="0.94079999999999997"/>
    <n v="0.94079999999999997"/>
    <n v="0.94079999999999997"/>
    <n v="0.94079999999999997"/>
    <n v="0.94079999999999997"/>
    <n v="0.94079999999999997"/>
    <n v="0.94079999999999997"/>
    <n v="0.94079999999999997"/>
    <n v="11.289599999999998"/>
    <m/>
    <n v="0.94079999999999997"/>
    <n v="0.94079999999999997"/>
    <n v="0.94079999999999997"/>
    <n v="0.94079999999999997"/>
    <n v="0.94079999999999997"/>
    <n v="0.94079999999999997"/>
    <n v="0.94079999999999997"/>
    <n v="0.94079999999999997"/>
    <n v="0.94079999999999997"/>
    <n v="0.94079999999999997"/>
    <n v="0.94079999999999997"/>
    <n v="0.94079999999999997"/>
    <n v="11.289599999999998"/>
    <m/>
    <n v="0.16"/>
    <n v="0.16"/>
    <n v="0.16"/>
    <n v="0.16"/>
    <n v="0.16"/>
    <n v="0.16"/>
    <n v="0.16"/>
    <n v="0.16"/>
    <n v="0.16"/>
    <n v="0.16"/>
    <n v="0.16"/>
    <n v="0.16"/>
    <n v="1.9199999999999997"/>
    <x v="4"/>
  </r>
  <r>
    <x v="0"/>
    <x v="0"/>
    <x v="6"/>
    <x v="6"/>
    <x v="0"/>
    <x v="12"/>
    <x v="3"/>
    <x v="15"/>
    <s v="Existente"/>
    <s v="Mensal"/>
    <s v="Contrato em Curso"/>
    <s v="PL | TI"/>
    <s v="Alexandre Ayabe"/>
    <x v="4"/>
    <m/>
    <s v="USD"/>
    <n v="426.66666666666669"/>
    <n v="426.66666666666669"/>
    <n v="426.66666666666669"/>
    <n v="426.66666666666669"/>
    <n v="426.66666666666669"/>
    <n v="426.66666666666669"/>
    <n v="426.66666666666669"/>
    <n v="426.66666666666669"/>
    <n v="426.66666666666669"/>
    <n v="426.66666666666669"/>
    <n v="426.66666666666669"/>
    <n v="426.66666666666669"/>
    <n v="5120"/>
    <m/>
    <n v="2.5088000000000004"/>
    <n v="2.5088000000000004"/>
    <n v="2.5088000000000004"/>
    <n v="2.5088000000000004"/>
    <n v="2.5088000000000004"/>
    <n v="2.5088000000000004"/>
    <n v="2.5088000000000004"/>
    <n v="2.5088000000000004"/>
    <n v="2.5088000000000004"/>
    <n v="2.5088000000000004"/>
    <n v="2.5088000000000004"/>
    <n v="2.5088000000000004"/>
    <n v="30.105600000000006"/>
    <m/>
    <n v="2.5088000000000004"/>
    <n v="2.5088000000000004"/>
    <n v="2.5088000000000004"/>
    <n v="2.5088000000000004"/>
    <n v="2.5088000000000004"/>
    <n v="2.5088000000000004"/>
    <n v="2.5088000000000004"/>
    <n v="2.5088000000000004"/>
    <n v="2.5088000000000004"/>
    <n v="2.5088000000000004"/>
    <n v="2.5088000000000004"/>
    <n v="2.5088000000000004"/>
    <n v="30.105600000000006"/>
    <m/>
    <n v="0.42666666666666675"/>
    <n v="0.42666666666666675"/>
    <n v="0.42666666666666675"/>
    <n v="0.42666666666666675"/>
    <n v="0.42666666666666675"/>
    <n v="0.42666666666666675"/>
    <n v="0.42666666666666675"/>
    <n v="0.42666666666666675"/>
    <n v="0.42666666666666675"/>
    <n v="0.42666666666666675"/>
    <n v="0.42666666666666675"/>
    <n v="0.42666666666666675"/>
    <n v="5.120000000000001"/>
    <x v="2"/>
  </r>
  <r>
    <x v="0"/>
    <x v="0"/>
    <x v="7"/>
    <x v="7"/>
    <x v="0"/>
    <x v="12"/>
    <x v="3"/>
    <x v="15"/>
    <s v="Existente"/>
    <s v="Mensal"/>
    <s v="Contrato em Curso"/>
    <s v="CP | TI"/>
    <s v="Jimmy Espinosa"/>
    <x v="4"/>
    <m/>
    <s v="USD"/>
    <n v="133.33333333333334"/>
    <n v="133.33333333333334"/>
    <n v="133.33333333333334"/>
    <n v="133.33333333333334"/>
    <n v="133.33333333333334"/>
    <n v="133.33333333333334"/>
    <n v="133.33333333333334"/>
    <n v="133.33333333333334"/>
    <n v="133.33333333333334"/>
    <n v="133.33333333333334"/>
    <n v="133.33333333333334"/>
    <n v="133.33333333333334"/>
    <n v="1599.9999999999998"/>
    <m/>
    <n v="0.78400000000000003"/>
    <n v="0.78400000000000003"/>
    <n v="0.78400000000000003"/>
    <n v="0.78400000000000003"/>
    <n v="0.78400000000000003"/>
    <n v="0.78400000000000003"/>
    <n v="0.78400000000000003"/>
    <n v="0.78400000000000003"/>
    <n v="0.78400000000000003"/>
    <n v="0.78400000000000003"/>
    <n v="0.78400000000000003"/>
    <n v="0.78400000000000003"/>
    <n v="9.4079999999999995"/>
    <m/>
    <n v="0.78400000000000003"/>
    <n v="0.78400000000000003"/>
    <n v="0.78400000000000003"/>
    <n v="0.78400000000000003"/>
    <n v="0.78400000000000003"/>
    <n v="0.78400000000000003"/>
    <n v="0.78400000000000003"/>
    <n v="0.78400000000000003"/>
    <n v="0.78400000000000003"/>
    <n v="0.78400000000000003"/>
    <n v="0.78400000000000003"/>
    <n v="0.78400000000000003"/>
    <n v="9.4079999999999995"/>
    <m/>
    <n v="0.13333333333333333"/>
    <n v="0.13333333333333333"/>
    <n v="0.13333333333333333"/>
    <n v="0.13333333333333333"/>
    <n v="0.13333333333333333"/>
    <n v="0.13333333333333333"/>
    <n v="0.13333333333333333"/>
    <n v="0.13333333333333333"/>
    <n v="0.13333333333333333"/>
    <n v="0.13333333333333333"/>
    <n v="0.13333333333333333"/>
    <n v="0.13333333333333333"/>
    <n v="1.5999999999999999"/>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13"/>
    <x v="0"/>
    <x v="16"/>
    <s v="Existente"/>
    <s v="Mensal"/>
    <s v="Contrato em Curso"/>
    <s v="BU-MMTR | TI"/>
    <s v="Alexandre Ayabe"/>
    <x v="4"/>
    <m/>
    <s v="BRL"/>
    <n v="6840"/>
    <n v="6840"/>
    <n v="6840"/>
    <n v="6840"/>
    <n v="6840"/>
    <n v="6840"/>
    <n v="6840"/>
    <n v="6840"/>
    <n v="6840"/>
    <n v="6840"/>
    <n v="6840"/>
    <n v="6840"/>
    <n v="82080"/>
    <m/>
    <n v="6.84"/>
    <n v="6.84"/>
    <n v="6.84"/>
    <n v="6.84"/>
    <n v="6.84"/>
    <n v="6.84"/>
    <n v="6.84"/>
    <n v="6.84"/>
    <n v="6.84"/>
    <n v="6.84"/>
    <n v="6.84"/>
    <n v="6.84"/>
    <n v="82.080000000000027"/>
    <m/>
    <n v="6.84"/>
    <n v="6.84"/>
    <n v="6.84"/>
    <n v="6.84"/>
    <n v="6.84"/>
    <n v="6.84"/>
    <n v="6.84"/>
    <n v="6.84"/>
    <n v="6.84"/>
    <n v="6.84"/>
    <n v="6.84"/>
    <n v="6.84"/>
    <n v="82.080000000000027"/>
    <m/>
    <n v="1.1632653061224489"/>
    <n v="1.1632653061224489"/>
    <n v="1.1632653061224489"/>
    <n v="1.1632653061224489"/>
    <n v="1.1632653061224489"/>
    <n v="1.1632653061224489"/>
    <n v="1.1632653061224489"/>
    <n v="1.1632653061224489"/>
    <n v="1.1632653061224489"/>
    <n v="1.1632653061224489"/>
    <n v="1.1632653061224489"/>
    <n v="1.1632653061224489"/>
    <n v="13.959183673469388"/>
    <x v="0"/>
  </r>
  <r>
    <x v="0"/>
    <x v="0"/>
    <x v="1"/>
    <x v="1"/>
    <x v="0"/>
    <x v="13"/>
    <x v="0"/>
    <x v="16"/>
    <s v="Existente"/>
    <s v="Mensal"/>
    <s v="Contrato em Curso"/>
    <s v="BU-MMAZ | TI"/>
    <s v="Alexandre Ayabe"/>
    <x v="4"/>
    <m/>
    <s v="BRL"/>
    <n v="19000"/>
    <n v="19000"/>
    <n v="19000"/>
    <n v="19000"/>
    <n v="19000"/>
    <n v="19000"/>
    <n v="19000"/>
    <n v="19000"/>
    <n v="19000"/>
    <n v="19000"/>
    <n v="19000"/>
    <n v="19000"/>
    <n v="228000"/>
    <m/>
    <n v="19"/>
    <n v="19"/>
    <n v="19"/>
    <n v="19"/>
    <n v="19"/>
    <n v="19"/>
    <n v="19"/>
    <n v="19"/>
    <n v="19"/>
    <n v="19"/>
    <n v="19"/>
    <n v="19"/>
    <n v="228"/>
    <m/>
    <n v="19"/>
    <n v="19"/>
    <n v="19"/>
    <n v="19"/>
    <n v="19"/>
    <n v="19"/>
    <n v="19"/>
    <n v="19"/>
    <n v="19"/>
    <n v="19"/>
    <n v="19"/>
    <n v="19"/>
    <n v="228"/>
    <m/>
    <n v="3.231292517006803"/>
    <n v="3.231292517006803"/>
    <n v="3.231292517006803"/>
    <n v="3.231292517006803"/>
    <n v="3.231292517006803"/>
    <n v="3.231292517006803"/>
    <n v="3.231292517006803"/>
    <n v="3.231292517006803"/>
    <n v="3.231292517006803"/>
    <n v="3.231292517006803"/>
    <n v="3.231292517006803"/>
    <n v="3.231292517006803"/>
    <n v="38.775510204081627"/>
    <x v="0"/>
  </r>
  <r>
    <x v="0"/>
    <x v="0"/>
    <x v="3"/>
    <x v="3"/>
    <x v="0"/>
    <x v="13"/>
    <x v="0"/>
    <x v="16"/>
    <s v="Existente"/>
    <s v="Mensal"/>
    <s v="Contrato em Curso"/>
    <s v="BU-MRV | TI"/>
    <s v="Alexandre Ayabe"/>
    <x v="4"/>
    <m/>
    <s v="BRL"/>
    <n v="1900"/>
    <n v="1900"/>
    <n v="1900"/>
    <n v="1900"/>
    <n v="1900"/>
    <n v="1900"/>
    <n v="1900"/>
    <n v="1900"/>
    <n v="1900"/>
    <n v="1900"/>
    <n v="1900"/>
    <n v="1900"/>
    <n v="22800"/>
    <m/>
    <n v="1.9"/>
    <n v="1.9"/>
    <n v="1.9"/>
    <n v="1.9"/>
    <n v="1.9"/>
    <n v="1.9"/>
    <n v="1.9"/>
    <n v="1.9"/>
    <n v="1.9"/>
    <n v="1.9"/>
    <n v="1.9"/>
    <n v="1.9"/>
    <n v="22.799999999999997"/>
    <m/>
    <n v="1.9"/>
    <n v="1.9"/>
    <n v="1.9"/>
    <n v="1.9"/>
    <n v="1.9"/>
    <n v="1.9"/>
    <n v="1.9"/>
    <n v="1.9"/>
    <n v="1.9"/>
    <n v="1.9"/>
    <n v="1.9"/>
    <n v="1.9"/>
    <n v="22.799999999999997"/>
    <m/>
    <n v="0.32312925170068024"/>
    <n v="0.32312925170068024"/>
    <n v="0.32312925170068024"/>
    <n v="0.32312925170068024"/>
    <n v="0.32312925170068024"/>
    <n v="0.32312925170068024"/>
    <n v="0.32312925170068024"/>
    <n v="0.32312925170068024"/>
    <n v="0.32312925170068024"/>
    <n v="0.32312925170068024"/>
    <n v="0.32312925170068024"/>
    <n v="0.32312925170068024"/>
    <n v="3.8775510204081622"/>
    <x v="0"/>
  </r>
  <r>
    <x v="0"/>
    <x v="0"/>
    <x v="4"/>
    <x v="4"/>
    <x v="0"/>
    <x v="13"/>
    <x v="0"/>
    <x v="16"/>
    <s v="Existente"/>
    <s v="Mensal"/>
    <s v="Contrato em Curso"/>
    <s v="BU-GRU | TI"/>
    <s v="Alexandre Ayabe"/>
    <x v="4"/>
    <m/>
    <s v="BRL"/>
    <n v="2280"/>
    <n v="2280"/>
    <n v="2280"/>
    <n v="2280"/>
    <n v="2280"/>
    <n v="2280"/>
    <n v="2280"/>
    <n v="2280"/>
    <n v="2280"/>
    <n v="2280"/>
    <n v="2280"/>
    <n v="2280"/>
    <n v="27360"/>
    <m/>
    <n v="2.2799999999999998"/>
    <n v="2.2799999999999998"/>
    <n v="2.2799999999999998"/>
    <n v="2.2799999999999998"/>
    <n v="2.2799999999999998"/>
    <n v="2.2799999999999998"/>
    <n v="2.2799999999999998"/>
    <n v="2.2799999999999998"/>
    <n v="2.2799999999999998"/>
    <n v="2.2799999999999998"/>
    <n v="2.2799999999999998"/>
    <n v="2.2799999999999998"/>
    <n v="27.360000000000003"/>
    <m/>
    <n v="2.2799999999999998"/>
    <n v="2.2799999999999998"/>
    <n v="2.2799999999999998"/>
    <n v="2.2799999999999998"/>
    <n v="2.2799999999999998"/>
    <n v="2.2799999999999998"/>
    <n v="2.2799999999999998"/>
    <n v="2.2799999999999998"/>
    <n v="2.2799999999999998"/>
    <n v="2.2799999999999998"/>
    <n v="2.2799999999999998"/>
    <n v="2.2799999999999998"/>
    <n v="27.360000000000003"/>
    <m/>
    <n v="0.38775510204081631"/>
    <n v="0.38775510204081631"/>
    <n v="0.38775510204081631"/>
    <n v="0.38775510204081631"/>
    <n v="0.38775510204081631"/>
    <n v="0.38775510204081631"/>
    <n v="0.38775510204081631"/>
    <n v="0.38775510204081631"/>
    <n v="0.38775510204081631"/>
    <n v="0.38775510204081631"/>
    <n v="0.38775510204081631"/>
    <n v="0.38775510204081631"/>
    <n v="4.6530612244897949"/>
    <x v="0"/>
  </r>
  <r>
    <x v="0"/>
    <x v="0"/>
    <x v="6"/>
    <x v="6"/>
    <x v="0"/>
    <x v="13"/>
    <x v="0"/>
    <x v="16"/>
    <s v="Existente"/>
    <s v="Mensal"/>
    <s v="Contrato em Curso"/>
    <s v="PL | TI"/>
    <s v="Alexandre Ayabe"/>
    <x v="4"/>
    <m/>
    <s v="BRL"/>
    <n v="6080"/>
    <n v="6080"/>
    <n v="6080"/>
    <n v="6080"/>
    <n v="6080"/>
    <n v="6080"/>
    <n v="6080"/>
    <n v="6080"/>
    <n v="6080"/>
    <n v="6080"/>
    <n v="6080"/>
    <n v="6080"/>
    <n v="72960"/>
    <m/>
    <n v="6.08"/>
    <n v="6.08"/>
    <n v="6.08"/>
    <n v="6.08"/>
    <n v="6.08"/>
    <n v="6.08"/>
    <n v="6.08"/>
    <n v="6.08"/>
    <n v="6.08"/>
    <n v="6.08"/>
    <n v="6.08"/>
    <n v="6.08"/>
    <n v="72.959999999999994"/>
    <m/>
    <n v="6.08"/>
    <n v="6.08"/>
    <n v="6.08"/>
    <n v="6.08"/>
    <n v="6.08"/>
    <n v="6.08"/>
    <n v="6.08"/>
    <n v="6.08"/>
    <n v="6.08"/>
    <n v="6.08"/>
    <n v="6.08"/>
    <n v="6.08"/>
    <n v="72.959999999999994"/>
    <m/>
    <n v="1.0340136054421769"/>
    <n v="1.0340136054421769"/>
    <n v="1.0340136054421769"/>
    <n v="1.0340136054421769"/>
    <n v="1.0340136054421769"/>
    <n v="1.0340136054421769"/>
    <n v="1.0340136054421769"/>
    <n v="1.0340136054421769"/>
    <n v="1.0340136054421769"/>
    <n v="1.0340136054421769"/>
    <n v="1.0340136054421769"/>
    <n v="1.0340136054421769"/>
    <n v="12.40816326530612"/>
    <x v="2"/>
  </r>
  <r>
    <x v="0"/>
    <x v="0"/>
    <x v="7"/>
    <x v="7"/>
    <x v="0"/>
    <x v="13"/>
    <x v="0"/>
    <x v="16"/>
    <s v="Existente"/>
    <s v="Mensal"/>
    <s v="Contrato em Curso"/>
    <s v="CP | TI"/>
    <s v="Jimmy Espinosa"/>
    <x v="5"/>
    <m/>
    <s v="BRL"/>
    <n v="1900"/>
    <n v="1900"/>
    <n v="1900"/>
    <n v="1900"/>
    <n v="1900"/>
    <n v="1900"/>
    <n v="1900"/>
    <n v="1900"/>
    <n v="1900"/>
    <n v="1900"/>
    <n v="1900"/>
    <n v="1900"/>
    <n v="22800"/>
    <m/>
    <n v="1.9"/>
    <n v="1.9"/>
    <n v="1.9"/>
    <n v="1.9"/>
    <n v="1.9"/>
    <n v="1.9"/>
    <n v="1.9"/>
    <n v="1.9"/>
    <n v="1.9"/>
    <n v="1.9"/>
    <n v="1.9"/>
    <n v="1.9"/>
    <n v="22.799999999999997"/>
    <m/>
    <n v="1.9"/>
    <n v="1.9"/>
    <n v="1.9"/>
    <n v="1.9"/>
    <n v="1.9"/>
    <n v="1.9"/>
    <n v="1.9"/>
    <n v="1.9"/>
    <n v="1.9"/>
    <n v="1.9"/>
    <n v="1.9"/>
    <n v="1.9"/>
    <n v="22.799999999999997"/>
    <m/>
    <n v="0.32312925170068024"/>
    <n v="0.32312925170068024"/>
    <n v="0.32312925170068024"/>
    <n v="0.32312925170068024"/>
    <n v="0.32312925170068024"/>
    <n v="0.32312925170068024"/>
    <n v="0.32312925170068024"/>
    <n v="0.32312925170068024"/>
    <n v="0.32312925170068024"/>
    <n v="0.32312925170068024"/>
    <n v="0.32312925170068024"/>
    <n v="0.32312925170068024"/>
    <n v="3.8775510204081622"/>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0"/>
    <x v="6"/>
    <x v="14"/>
    <x v="1"/>
    <x v="17"/>
    <s v="Existente"/>
    <s v="Mensal"/>
    <s v="Contrato em Curso"/>
    <s v="RGD | TI"/>
    <s v="Alexandre Ayabe"/>
    <x v="6"/>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6"/>
    <x v="15"/>
    <x v="1"/>
    <x v="17"/>
    <s v="Existente"/>
    <s v="Mensal"/>
    <s v="Contrato em Curso"/>
    <s v="PNG | TI"/>
    <s v="Alexandre Ayabe"/>
    <x v="6"/>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4"/>
  </r>
  <r>
    <x v="0"/>
    <x v="0"/>
    <x v="1"/>
    <x v="8"/>
    <x v="3"/>
    <x v="15"/>
    <x v="1"/>
    <x v="17"/>
    <s v="Existente"/>
    <s v="Mensal"/>
    <s v="Contrato em Curso"/>
    <s v="CG-PNG | TI"/>
    <s v="Alexandre Ayabe"/>
    <x v="6"/>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4"/>
  </r>
  <r>
    <x v="0"/>
    <x v="0"/>
    <x v="1"/>
    <x v="9"/>
    <x v="6"/>
    <x v="15"/>
    <x v="1"/>
    <x v="17"/>
    <s v="Existente"/>
    <s v="Mensal"/>
    <s v="Contrato em Curso"/>
    <s v="ITJ | TI"/>
    <s v="Alexandre Ayabe"/>
    <x v="6"/>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1"/>
    <x v="12"/>
    <x v="2"/>
    <x v="15"/>
    <x v="1"/>
    <x v="17"/>
    <s v="Existente"/>
    <s v="Mensal"/>
    <s v="Contrato em Curso"/>
    <s v="FG-PE2 | TI"/>
    <s v="Alexandre Ayabe"/>
    <x v="6"/>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3"/>
    <x v="13"/>
    <x v="2"/>
    <x v="15"/>
    <x v="1"/>
    <x v="17"/>
    <s v="Existente"/>
    <s v="Mensal"/>
    <s v="Contrato em Curso"/>
    <s v="FG-VLP | TI"/>
    <s v="Alexandre Ayabe"/>
    <x v="6"/>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6"/>
    <x v="16"/>
    <x v="2"/>
    <x v="18"/>
    <s v="Existente"/>
    <s v="Mensal"/>
    <s v="Contrato em Curso"/>
    <s v="PNG | TI"/>
    <s v="Alexandre Ayabe"/>
    <x v="6"/>
    <d v="2026-01-01T00:00:00"/>
    <s v="BRL"/>
    <n v="14950"/>
    <n v="14950"/>
    <n v="14950"/>
    <n v="14950"/>
    <n v="14950"/>
    <n v="14950"/>
    <n v="14950"/>
    <n v="14950"/>
    <n v="14950"/>
    <n v="14950"/>
    <n v="14950"/>
    <n v="14950"/>
    <n v="179400"/>
    <m/>
    <n v="14.95"/>
    <n v="14.95"/>
    <n v="14.95"/>
    <n v="14.95"/>
    <n v="14.95"/>
    <n v="14.95"/>
    <n v="14.95"/>
    <n v="14.95"/>
    <n v="14.95"/>
    <n v="14.95"/>
    <n v="14.95"/>
    <n v="14.95"/>
    <n v="179.39999999999998"/>
    <m/>
    <n v="15.767392435726348"/>
    <n v="15.767392435726348"/>
    <n v="15.767392435726348"/>
    <n v="15.767392435726348"/>
    <n v="15.767392435726348"/>
    <n v="15.767392435726348"/>
    <n v="15.767392435726348"/>
    <n v="15.767392435726348"/>
    <n v="15.767392435726348"/>
    <n v="15.767392435726348"/>
    <n v="15.767392435726348"/>
    <n v="15.767392435726348"/>
    <n v="189.20870922871617"/>
    <m/>
    <n v="2.6815293258038007"/>
    <n v="2.6815293258038007"/>
    <n v="2.6815293258038007"/>
    <n v="2.6815293258038007"/>
    <n v="2.6815293258038007"/>
    <n v="2.6815293258038007"/>
    <n v="2.6815293258038007"/>
    <n v="2.6815293258038007"/>
    <n v="2.6815293258038007"/>
    <n v="2.6815293258038007"/>
    <n v="2.6815293258038007"/>
    <n v="2.6815293258038007"/>
    <n v="32.178351909645606"/>
    <x v="4"/>
  </r>
  <r>
    <x v="0"/>
    <x v="0"/>
    <x v="1"/>
    <x v="8"/>
    <x v="3"/>
    <x v="16"/>
    <x v="2"/>
    <x v="18"/>
    <s v="Existente"/>
    <s v="Mensal"/>
    <s v="Contrato em Curso"/>
    <s v="CG-PNG | TI"/>
    <s v="Alexandre Ayabe"/>
    <x v="6"/>
    <d v="2026-01-01T00:00:00"/>
    <s v="BRL"/>
    <n v="3250"/>
    <n v="3250"/>
    <n v="3250"/>
    <n v="3250"/>
    <n v="3250"/>
    <n v="3250"/>
    <n v="3250"/>
    <n v="3250"/>
    <n v="3250"/>
    <n v="3250"/>
    <n v="3250"/>
    <n v="3250"/>
    <n v="39000"/>
    <m/>
    <n v="3.25"/>
    <n v="3.25"/>
    <n v="3.25"/>
    <n v="3.25"/>
    <n v="3.25"/>
    <n v="3.25"/>
    <n v="3.25"/>
    <n v="3.25"/>
    <n v="3.25"/>
    <n v="3.25"/>
    <n v="3.25"/>
    <n v="3.25"/>
    <n v="39"/>
    <m/>
    <n v="3.4276940077665974"/>
    <n v="3.4276940077665974"/>
    <n v="3.4276940077665974"/>
    <n v="3.4276940077665974"/>
    <n v="3.4276940077665974"/>
    <n v="3.4276940077665974"/>
    <n v="3.4276940077665974"/>
    <n v="3.4276940077665974"/>
    <n v="3.4276940077665974"/>
    <n v="3.4276940077665974"/>
    <n v="3.4276940077665974"/>
    <n v="3.4276940077665974"/>
    <n v="41.13232809319917"/>
    <m/>
    <n v="0.58294115778343492"/>
    <n v="0.58294115778343492"/>
    <n v="0.58294115778343492"/>
    <n v="0.58294115778343492"/>
    <n v="0.58294115778343492"/>
    <n v="0.58294115778343492"/>
    <n v="0.58294115778343492"/>
    <n v="0.58294115778343492"/>
    <n v="0.58294115778343492"/>
    <n v="0.58294115778343492"/>
    <n v="0.58294115778343492"/>
    <n v="0.58294115778343492"/>
    <n v="6.9952938934012208"/>
    <x v="4"/>
  </r>
  <r>
    <x v="0"/>
    <x v="0"/>
    <x v="1"/>
    <x v="9"/>
    <x v="6"/>
    <x v="16"/>
    <x v="2"/>
    <x v="18"/>
    <s v="Existente"/>
    <s v="Mensal"/>
    <s v="Contrato em Curso"/>
    <s v="ITJ | TI"/>
    <s v="Alexandre Ayabe"/>
    <x v="6"/>
    <d v="2026-01-01T00:00:00"/>
    <s v="BRL"/>
    <n v="9100.0000000000018"/>
    <n v="9100.0000000000018"/>
    <n v="9100.0000000000018"/>
    <n v="9100.0000000000018"/>
    <n v="9100.0000000000018"/>
    <n v="9100.0000000000018"/>
    <n v="9100.0000000000018"/>
    <n v="9100.0000000000018"/>
    <n v="9100.0000000000018"/>
    <n v="9100.0000000000018"/>
    <n v="9100.0000000000018"/>
    <n v="9100.0000000000018"/>
    <n v="109200.00000000001"/>
    <m/>
    <n v="9.1000000000000014"/>
    <n v="9.1000000000000014"/>
    <n v="9.1000000000000014"/>
    <n v="9.1000000000000014"/>
    <n v="9.1000000000000014"/>
    <n v="9.1000000000000014"/>
    <n v="9.1000000000000014"/>
    <n v="9.1000000000000014"/>
    <n v="9.1000000000000014"/>
    <n v="9.1000000000000014"/>
    <n v="9.1000000000000014"/>
    <n v="9.1000000000000014"/>
    <n v="109.19999999999999"/>
    <m/>
    <n v="9.5975432217464753"/>
    <n v="9.5975432217464753"/>
    <n v="9.5975432217464753"/>
    <n v="9.5975432217464753"/>
    <n v="9.5975432217464753"/>
    <n v="9.5975432217464753"/>
    <n v="9.5975432217464753"/>
    <n v="9.5975432217464753"/>
    <n v="9.5975432217464753"/>
    <n v="9.5975432217464753"/>
    <n v="9.5975432217464753"/>
    <n v="9.5975432217464753"/>
    <n v="115.17051866095771"/>
    <m/>
    <n v="1.6322352417936183"/>
    <n v="1.6322352417936183"/>
    <n v="1.6322352417936183"/>
    <n v="1.6322352417936183"/>
    <n v="1.6322352417936183"/>
    <n v="1.6322352417936183"/>
    <n v="1.6322352417936183"/>
    <n v="1.6322352417936183"/>
    <n v="1.6322352417936183"/>
    <n v="1.6322352417936183"/>
    <n v="1.6322352417936183"/>
    <n v="1.6322352417936183"/>
    <n v="19.586822901523419"/>
    <x v="4"/>
  </r>
  <r>
    <x v="0"/>
    <x v="0"/>
    <x v="1"/>
    <x v="10"/>
    <x v="6"/>
    <x v="16"/>
    <x v="2"/>
    <x v="18"/>
    <s v="Existente"/>
    <s v="Mensal"/>
    <s v="Contrato em Curso"/>
    <s v="RGD | TI"/>
    <s v="Alexandre Ayabe"/>
    <x v="6"/>
    <d v="2026-01-01T00:00:00"/>
    <s v="BRL"/>
    <n v="5850"/>
    <n v="5850"/>
    <n v="5850"/>
    <n v="5850"/>
    <n v="5850"/>
    <n v="5850"/>
    <n v="5850"/>
    <n v="5850"/>
    <n v="5850"/>
    <n v="5850"/>
    <n v="5850"/>
    <n v="5850"/>
    <n v="70200"/>
    <m/>
    <n v="5.85"/>
    <n v="5.85"/>
    <n v="5.85"/>
    <n v="5.85"/>
    <n v="5.85"/>
    <n v="5.85"/>
    <n v="5.85"/>
    <n v="5.85"/>
    <n v="5.85"/>
    <n v="5.85"/>
    <n v="5.85"/>
    <n v="5.85"/>
    <n v="70.2"/>
    <m/>
    <n v="6.1698492139798748"/>
    <n v="6.1698492139798748"/>
    <n v="6.1698492139798748"/>
    <n v="6.1698492139798748"/>
    <n v="6.1698492139798748"/>
    <n v="6.1698492139798748"/>
    <n v="6.1698492139798748"/>
    <n v="6.1698492139798748"/>
    <n v="6.1698492139798748"/>
    <n v="6.1698492139798748"/>
    <n v="6.1698492139798748"/>
    <n v="6.1698492139798748"/>
    <n v="74.038190567758491"/>
    <m/>
    <n v="1.0492940840101828"/>
    <n v="1.0492940840101828"/>
    <n v="1.0492940840101828"/>
    <n v="1.0492940840101828"/>
    <n v="1.0492940840101828"/>
    <n v="1.0492940840101828"/>
    <n v="1.0492940840101828"/>
    <n v="1.0492940840101828"/>
    <n v="1.0492940840101828"/>
    <n v="1.0492940840101828"/>
    <n v="1.0492940840101828"/>
    <n v="1.0492940840101828"/>
    <n v="12.591529008122196"/>
    <x v="4"/>
  </r>
  <r>
    <x v="0"/>
    <x v="0"/>
    <x v="1"/>
    <x v="11"/>
    <x v="3"/>
    <x v="16"/>
    <x v="2"/>
    <x v="18"/>
    <s v="Existente"/>
    <s v="Mensal"/>
    <s v="Contrato em Curso"/>
    <s v="CG-PTG | TI"/>
    <s v="Alexandre Ayabe"/>
    <x v="6"/>
    <d v="2026-01-01T00:00:00"/>
    <s v="BRL"/>
    <n v="3250"/>
    <n v="3250"/>
    <n v="3250"/>
    <n v="3250"/>
    <n v="3250"/>
    <n v="3250"/>
    <n v="3250"/>
    <n v="3250"/>
    <n v="3250"/>
    <n v="3250"/>
    <n v="3250"/>
    <n v="3250"/>
    <n v="39000"/>
    <m/>
    <n v="3.25"/>
    <n v="3.25"/>
    <n v="3.25"/>
    <n v="3.25"/>
    <n v="3.25"/>
    <n v="3.25"/>
    <n v="3.25"/>
    <n v="3.25"/>
    <n v="3.25"/>
    <n v="3.25"/>
    <n v="3.25"/>
    <n v="3.25"/>
    <n v="39"/>
    <m/>
    <n v="3.4276940077665974"/>
    <n v="3.4276940077665974"/>
    <n v="3.4276940077665974"/>
    <n v="3.4276940077665974"/>
    <n v="3.4276940077665974"/>
    <n v="3.4276940077665974"/>
    <n v="3.4276940077665974"/>
    <n v="3.4276940077665974"/>
    <n v="3.4276940077665974"/>
    <n v="3.4276940077665974"/>
    <n v="3.4276940077665974"/>
    <n v="3.4276940077665974"/>
    <n v="41.13232809319917"/>
    <m/>
    <n v="0.58294115778343492"/>
    <n v="0.58294115778343492"/>
    <n v="0.58294115778343492"/>
    <n v="0.58294115778343492"/>
    <n v="0.58294115778343492"/>
    <n v="0.58294115778343492"/>
    <n v="0.58294115778343492"/>
    <n v="0.58294115778343492"/>
    <n v="0.58294115778343492"/>
    <n v="0.58294115778343492"/>
    <n v="0.58294115778343492"/>
    <n v="0.58294115778343492"/>
    <n v="6.9952938934012208"/>
    <x v="4"/>
  </r>
  <r>
    <x v="0"/>
    <x v="0"/>
    <x v="1"/>
    <x v="12"/>
    <x v="2"/>
    <x v="16"/>
    <x v="2"/>
    <x v="18"/>
    <s v="Existente"/>
    <s v="Mensal"/>
    <s v="Contrato em Curso"/>
    <s v="FG-PE2 | TI"/>
    <s v="Alexandre Ayabe"/>
    <x v="6"/>
    <d v="2026-01-01T00:00:00"/>
    <s v="BRL"/>
    <n v="3250"/>
    <n v="3250"/>
    <n v="3250"/>
    <n v="3250"/>
    <n v="3250"/>
    <n v="3250"/>
    <n v="3250"/>
    <n v="3250"/>
    <n v="3250"/>
    <n v="3250"/>
    <n v="3250"/>
    <n v="3250"/>
    <n v="39000"/>
    <m/>
    <n v="3.25"/>
    <n v="3.25"/>
    <n v="3.25"/>
    <n v="3.25"/>
    <n v="3.25"/>
    <n v="3.25"/>
    <n v="3.25"/>
    <n v="3.25"/>
    <n v="3.25"/>
    <n v="3.25"/>
    <n v="3.25"/>
    <n v="3.25"/>
    <n v="39"/>
    <m/>
    <n v="3.4276940077665974"/>
    <n v="3.4276940077665974"/>
    <n v="3.4276940077665974"/>
    <n v="3.4276940077665974"/>
    <n v="3.4276940077665974"/>
    <n v="3.4276940077665974"/>
    <n v="3.4276940077665974"/>
    <n v="3.4276940077665974"/>
    <n v="3.4276940077665974"/>
    <n v="3.4276940077665974"/>
    <n v="3.4276940077665974"/>
    <n v="3.4276940077665974"/>
    <n v="41.13232809319917"/>
    <m/>
    <n v="0.58294115778343492"/>
    <n v="0.58294115778343492"/>
    <n v="0.58294115778343492"/>
    <n v="0.58294115778343492"/>
    <n v="0.58294115778343492"/>
    <n v="0.58294115778343492"/>
    <n v="0.58294115778343492"/>
    <n v="0.58294115778343492"/>
    <n v="0.58294115778343492"/>
    <n v="0.58294115778343492"/>
    <n v="0.58294115778343492"/>
    <n v="0.58294115778343492"/>
    <n v="6.9952938934012208"/>
    <x v="4"/>
  </r>
  <r>
    <x v="0"/>
    <x v="0"/>
    <x v="4"/>
    <x v="15"/>
    <x v="2"/>
    <x v="16"/>
    <x v="2"/>
    <x v="18"/>
    <s v="Existente"/>
    <s v="Mensal"/>
    <s v="Contrato em Curso"/>
    <s v="FG-GRUB | TI"/>
    <s v="Alexandre Ayabe"/>
    <x v="6"/>
    <d v="2026-01-01T00:00:00"/>
    <s v="BRL"/>
    <n v="10400"/>
    <n v="10400"/>
    <n v="10400"/>
    <n v="10400"/>
    <n v="10400"/>
    <n v="10400"/>
    <n v="10400"/>
    <n v="10400"/>
    <n v="10400"/>
    <n v="10400"/>
    <n v="10400"/>
    <n v="10400"/>
    <n v="124800"/>
    <m/>
    <n v="10.4"/>
    <n v="10.4"/>
    <n v="10.4"/>
    <n v="10.4"/>
    <n v="10.4"/>
    <n v="10.4"/>
    <n v="10.4"/>
    <n v="10.4"/>
    <n v="10.4"/>
    <n v="10.4"/>
    <n v="10.4"/>
    <n v="10.4"/>
    <n v="124.80000000000003"/>
    <m/>
    <n v="10.968620824853113"/>
    <n v="10.968620824853113"/>
    <n v="10.968620824853113"/>
    <n v="10.968620824853113"/>
    <n v="10.968620824853113"/>
    <n v="10.968620824853113"/>
    <n v="10.968620824853113"/>
    <n v="10.968620824853113"/>
    <n v="10.968620824853113"/>
    <n v="10.968620824853113"/>
    <n v="10.968620824853113"/>
    <n v="10.968620824853113"/>
    <n v="131.6234498982374"/>
    <m/>
    <n v="1.865411704906992"/>
    <n v="1.865411704906992"/>
    <n v="1.865411704906992"/>
    <n v="1.865411704906992"/>
    <n v="1.865411704906992"/>
    <n v="1.865411704906992"/>
    <n v="1.865411704906992"/>
    <n v="1.865411704906992"/>
    <n v="1.865411704906992"/>
    <n v="1.865411704906992"/>
    <n v="1.865411704906992"/>
    <n v="1.865411704906992"/>
    <n v="22.384940458883907"/>
    <x v="4"/>
  </r>
  <r>
    <x v="0"/>
    <x v="0"/>
    <x v="3"/>
    <x v="13"/>
    <x v="2"/>
    <x v="16"/>
    <x v="2"/>
    <x v="18"/>
    <s v="Existente"/>
    <s v="Mensal"/>
    <s v="Contrato em Curso"/>
    <s v="FG-VLP | TI"/>
    <s v="Alexandre Ayabe"/>
    <x v="6"/>
    <d v="2026-01-01T00:00:00"/>
    <s v="BRL"/>
    <n v="9750"/>
    <n v="9750"/>
    <n v="9750"/>
    <n v="9750"/>
    <n v="9750"/>
    <n v="9750"/>
    <n v="9750"/>
    <n v="9750"/>
    <n v="9750"/>
    <n v="9750"/>
    <n v="9750"/>
    <n v="9750"/>
    <n v="117000"/>
    <m/>
    <n v="9.75"/>
    <n v="9.75"/>
    <n v="9.75"/>
    <n v="9.75"/>
    <n v="9.75"/>
    <n v="9.75"/>
    <n v="9.75"/>
    <n v="9.75"/>
    <n v="9.75"/>
    <n v="9.75"/>
    <n v="9.75"/>
    <n v="9.75"/>
    <n v="117"/>
    <m/>
    <n v="10.283082023299793"/>
    <n v="10.283082023299793"/>
    <n v="10.283082023299793"/>
    <n v="10.283082023299793"/>
    <n v="10.283082023299793"/>
    <n v="10.283082023299793"/>
    <n v="10.283082023299793"/>
    <n v="10.283082023299793"/>
    <n v="10.283082023299793"/>
    <n v="10.283082023299793"/>
    <n v="10.283082023299793"/>
    <n v="10.283082023299793"/>
    <n v="123.39698427959753"/>
    <m/>
    <n v="1.748823473350305"/>
    <n v="1.748823473350305"/>
    <n v="1.748823473350305"/>
    <n v="1.748823473350305"/>
    <n v="1.748823473350305"/>
    <n v="1.748823473350305"/>
    <n v="1.748823473350305"/>
    <n v="1.748823473350305"/>
    <n v="1.748823473350305"/>
    <n v="1.748823473350305"/>
    <n v="1.748823473350305"/>
    <n v="1.748823473350305"/>
    <n v="20.985881680203661"/>
    <x v="4"/>
  </r>
  <r>
    <x v="0"/>
    <x v="0"/>
    <x v="3"/>
    <x v="14"/>
    <x v="2"/>
    <x v="16"/>
    <x v="2"/>
    <x v="18"/>
    <s v="Existente"/>
    <s v="Mensal"/>
    <s v="Contrato em Curso"/>
    <s v="FG-PSF | TI"/>
    <s v="Alexandre Ayabe"/>
    <x v="6"/>
    <d v="2026-01-01T00:00:00"/>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6"/>
    <x v="6"/>
    <x v="0"/>
    <x v="16"/>
    <x v="2"/>
    <x v="18"/>
    <s v="Existente"/>
    <s v="Mensal"/>
    <s v="Contrato em Curso"/>
    <s v="PL | TI"/>
    <s v="Alexandre Ayabe"/>
    <x v="6"/>
    <d v="2026-01-01T00:00:00"/>
    <s v="BRL"/>
    <n v="2600"/>
    <n v="2600"/>
    <n v="2600"/>
    <n v="2600"/>
    <n v="2600"/>
    <n v="2600"/>
    <n v="2600"/>
    <n v="2600"/>
    <n v="2600"/>
    <n v="2600"/>
    <n v="2600"/>
    <n v="2600"/>
    <n v="31200"/>
    <m/>
    <n v="2.6"/>
    <n v="2.6"/>
    <n v="2.6"/>
    <n v="2.6"/>
    <n v="2.6"/>
    <n v="2.6"/>
    <n v="2.6"/>
    <n v="2.6"/>
    <n v="2.6"/>
    <n v="2.6"/>
    <n v="2.6"/>
    <n v="2.6"/>
    <n v="31.200000000000006"/>
    <m/>
    <n v="2.7421552062132784"/>
    <n v="2.7421552062132784"/>
    <n v="2.7421552062132784"/>
    <n v="2.7421552062132784"/>
    <n v="2.7421552062132784"/>
    <n v="2.7421552062132784"/>
    <n v="2.7421552062132784"/>
    <n v="2.7421552062132784"/>
    <n v="2.7421552062132784"/>
    <n v="2.7421552062132784"/>
    <n v="2.7421552062132784"/>
    <n v="2.7421552062132784"/>
    <n v="32.905862474559349"/>
    <m/>
    <n v="0.46635292622674801"/>
    <n v="0.46635292622674801"/>
    <n v="0.46635292622674801"/>
    <n v="0.46635292622674801"/>
    <n v="0.46635292622674801"/>
    <n v="0.46635292622674801"/>
    <n v="0.46635292622674801"/>
    <n v="0.46635292622674801"/>
    <n v="0.46635292622674801"/>
    <n v="0.46635292622674801"/>
    <n v="0.46635292622674801"/>
    <n v="0.46635292622674801"/>
    <n v="5.5962351147209768"/>
    <x v="2"/>
  </r>
  <r>
    <x v="0"/>
    <x v="0"/>
    <x v="7"/>
    <x v="7"/>
    <x v="0"/>
    <x v="16"/>
    <x v="2"/>
    <x v="18"/>
    <s v="Existente"/>
    <s v="Mensal"/>
    <s v="Contrato em Curso"/>
    <s v="CP | TI"/>
    <s v="Jimmy Espinosa"/>
    <x v="6"/>
    <d v="2026-01-01T00:00:00"/>
    <s v="BRL"/>
    <n v="2600"/>
    <n v="2600"/>
    <n v="2600"/>
    <n v="2600"/>
    <n v="2600"/>
    <n v="2600"/>
    <n v="2600"/>
    <n v="2600"/>
    <n v="2600"/>
    <n v="2600"/>
    <n v="2600"/>
    <n v="2600"/>
    <n v="31200"/>
    <m/>
    <n v="2.6"/>
    <n v="2.6"/>
    <n v="2.6"/>
    <n v="2.6"/>
    <n v="2.6"/>
    <n v="2.6"/>
    <n v="2.6"/>
    <n v="2.6"/>
    <n v="2.6"/>
    <n v="2.6"/>
    <n v="2.6"/>
    <n v="2.6"/>
    <n v="31.200000000000006"/>
    <m/>
    <n v="2.7421552062132784"/>
    <n v="2.7421552062132784"/>
    <n v="2.7421552062132784"/>
    <n v="2.7421552062132784"/>
    <n v="2.7421552062132784"/>
    <n v="2.7421552062132784"/>
    <n v="2.7421552062132784"/>
    <n v="2.7421552062132784"/>
    <n v="2.7421552062132784"/>
    <n v="2.7421552062132784"/>
    <n v="2.7421552062132784"/>
    <n v="2.7421552062132784"/>
    <n v="32.905862474559349"/>
    <m/>
    <n v="0.46635292622674801"/>
    <n v="0.46635292622674801"/>
    <n v="0.46635292622674801"/>
    <n v="0.46635292622674801"/>
    <n v="0.46635292622674801"/>
    <n v="0.46635292622674801"/>
    <n v="0.46635292622674801"/>
    <n v="0.46635292622674801"/>
    <n v="0.46635292622674801"/>
    <n v="0.46635292622674801"/>
    <n v="0.46635292622674801"/>
    <n v="0.46635292622674801"/>
    <n v="5.5962351147209768"/>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17"/>
    <x v="2"/>
    <x v="19"/>
    <s v="Existente"/>
    <s v="Mensal"/>
    <s v="Contrato em Curso"/>
    <s v="BU-MMTR | TI"/>
    <s v="Alexandre Ayabe"/>
    <x v="6"/>
    <d v="2026-01-02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18"/>
    <x v="2"/>
    <x v="20"/>
    <s v="Existente"/>
    <s v="Mensal"/>
    <s v="Contrato em Curso"/>
    <s v="BU-MMTR | TI"/>
    <s v="Alexandre Ayabe"/>
    <x v="6"/>
    <d v="2026-01-03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19"/>
    <x v="2"/>
    <x v="21"/>
    <s v="Existente"/>
    <s v="Mensal"/>
    <s v="Contrato em Curso"/>
    <s v="BU-MMTR | TI"/>
    <s v="Alexandre Ayabe"/>
    <x v="6"/>
    <d v="2026-01-04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0"/>
    <x v="2"/>
    <x v="22"/>
    <s v="Existente"/>
    <s v="Mensal"/>
    <s v="Contrato em Curso"/>
    <s v="BU-MMTR | TI"/>
    <s v="Alexandre Ayabe"/>
    <x v="6"/>
    <d v="2026-01-05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1"/>
    <x v="2"/>
    <x v="23"/>
    <s v="Existente"/>
    <s v="Mensal"/>
    <s v="Contrato em Curso"/>
    <s v="BU-MMTR | TI"/>
    <s v="Alexandre Ayabe"/>
    <x v="6"/>
    <d v="2026-01-06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2"/>
    <x v="2"/>
    <x v="24"/>
    <s v="Existente"/>
    <s v="Mensal"/>
    <s v="Contrato em Curso"/>
    <s v="BU-MMTR | TI"/>
    <s v="Alexandre Ayabe"/>
    <x v="6"/>
    <d v="2026-01-07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3"/>
    <x v="2"/>
    <x v="25"/>
    <s v="Existente"/>
    <s v="Mensal"/>
    <s v="Contrato em Curso"/>
    <s v="BU-MMTR | TI"/>
    <s v="Alexandre Ayabe"/>
    <x v="6"/>
    <d v="2026-01-08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4"/>
    <x v="2"/>
    <x v="26"/>
    <s v="Existente"/>
    <s v="Mensal"/>
    <s v="Contrato em Curso"/>
    <s v="BU-MMTR | TI"/>
    <s v="Alexandre Ayabe"/>
    <x v="6"/>
    <d v="2026-01-09T00:00:00"/>
    <s v="BRL"/>
    <n v="400"/>
    <n v="400"/>
    <n v="400"/>
    <n v="400"/>
    <n v="400"/>
    <n v="400"/>
    <n v="400"/>
    <n v="400"/>
    <n v="400"/>
    <n v="400"/>
    <n v="400"/>
    <n v="400"/>
    <n v="4800"/>
    <m/>
    <n v="0.4"/>
    <n v="0.4"/>
    <n v="0.4"/>
    <n v="0.4"/>
    <n v="0.4"/>
    <n v="0.4"/>
    <n v="0.4"/>
    <n v="0.4"/>
    <n v="0.4"/>
    <n v="0.4"/>
    <n v="0.4"/>
    <n v="0.4"/>
    <n v="4.8"/>
    <m/>
    <n v="0.42187003172511972"/>
    <n v="0.42187003172511972"/>
    <n v="0.42187003172511972"/>
    <n v="0.42187003172511972"/>
    <n v="0.42187003172511972"/>
    <n v="0.42187003172511972"/>
    <n v="0.42187003172511972"/>
    <n v="0.42187003172511972"/>
    <n v="0.42187003172511972"/>
    <n v="0.42187003172511972"/>
    <n v="0.42187003172511972"/>
    <n v="0.42187003172511972"/>
    <n v="5.0624403807014362"/>
    <m/>
    <n v="7.1746604034884309E-2"/>
    <n v="7.1746604034884309E-2"/>
    <n v="7.1746604034884309E-2"/>
    <n v="7.1746604034884309E-2"/>
    <n v="7.1746604034884309E-2"/>
    <n v="7.1746604034884309E-2"/>
    <n v="7.1746604034884309E-2"/>
    <n v="7.1746604034884309E-2"/>
    <n v="7.1746604034884309E-2"/>
    <n v="7.1746604034884309E-2"/>
    <n v="7.1746604034884309E-2"/>
    <n v="7.1746604034884309E-2"/>
    <n v="0.86095924841861171"/>
    <x v="0"/>
  </r>
  <r>
    <x v="0"/>
    <x v="0"/>
    <x v="0"/>
    <x v="0"/>
    <x v="0"/>
    <x v="25"/>
    <x v="2"/>
    <x v="27"/>
    <s v="Existente"/>
    <s v="Mensal"/>
    <s v="Contrato em Curso"/>
    <s v="BU-MMTR | TI"/>
    <s v="Alexandre Ayabe"/>
    <x v="6"/>
    <d v="2026-01-09T00:00:00"/>
    <s v="BRL"/>
    <n v="150"/>
    <n v="150"/>
    <n v="150"/>
    <n v="150"/>
    <n v="150"/>
    <n v="150"/>
    <n v="150"/>
    <n v="150"/>
    <n v="150"/>
    <n v="150"/>
    <n v="150"/>
    <n v="150"/>
    <n v="1800"/>
    <m/>
    <n v="0.15"/>
    <n v="0.15"/>
    <n v="0.15"/>
    <n v="0.15"/>
    <n v="0.15"/>
    <n v="0.15"/>
    <n v="0.15"/>
    <n v="0.15"/>
    <n v="0.15"/>
    <n v="0.15"/>
    <n v="0.15"/>
    <n v="0.15"/>
    <n v="1.7999999999999996"/>
    <m/>
    <n v="0.15820126189691988"/>
    <n v="0.15820126189691988"/>
    <n v="0.15820126189691988"/>
    <n v="0.15820126189691988"/>
    <n v="0.15820126189691988"/>
    <n v="0.15820126189691988"/>
    <n v="0.15820126189691988"/>
    <n v="0.15820126189691988"/>
    <n v="0.15820126189691988"/>
    <n v="0.15820126189691988"/>
    <n v="0.15820126189691988"/>
    <n v="0.15820126189691988"/>
    <n v="1.8984151427630389"/>
    <m/>
    <n v="2.6904976513081613E-2"/>
    <n v="2.6904976513081613E-2"/>
    <n v="2.6904976513081613E-2"/>
    <n v="2.6904976513081613E-2"/>
    <n v="2.6904976513081613E-2"/>
    <n v="2.6904976513081613E-2"/>
    <n v="2.6904976513081613E-2"/>
    <n v="2.6904976513081613E-2"/>
    <n v="2.6904976513081613E-2"/>
    <n v="2.6904976513081613E-2"/>
    <n v="2.6904976513081613E-2"/>
    <n v="2.6904976513081613E-2"/>
    <n v="0.32285971815697928"/>
    <x v="0"/>
  </r>
  <r>
    <x v="0"/>
    <x v="0"/>
    <x v="0"/>
    <x v="0"/>
    <x v="0"/>
    <x v="26"/>
    <x v="2"/>
    <x v="28"/>
    <s v="Existente"/>
    <s v="Mensal"/>
    <s v="Contrato em Curso"/>
    <s v="BU-MMTR | TI"/>
    <s v="Alexandre Ayabe"/>
    <x v="6"/>
    <d v="2026-01-09T00:00:00"/>
    <s v="BRL"/>
    <n v="940"/>
    <n v="940"/>
    <n v="940"/>
    <n v="940"/>
    <n v="940"/>
    <n v="940"/>
    <n v="940"/>
    <n v="940"/>
    <n v="940"/>
    <n v="940"/>
    <n v="940"/>
    <n v="940"/>
    <n v="11280"/>
    <m/>
    <n v="0.94"/>
    <n v="0.94"/>
    <n v="0.94"/>
    <n v="0.94"/>
    <n v="0.94"/>
    <n v="0.94"/>
    <n v="0.94"/>
    <n v="0.94"/>
    <n v="0.94"/>
    <n v="0.94"/>
    <n v="0.94"/>
    <n v="0.94"/>
    <n v="11.279999999999996"/>
    <m/>
    <n v="0.99139457455403124"/>
    <n v="0.99139457455403124"/>
    <n v="0.99139457455403124"/>
    <n v="0.99139457455403124"/>
    <n v="0.99139457455403124"/>
    <n v="0.99139457455403124"/>
    <n v="0.99139457455403124"/>
    <n v="0.99139457455403124"/>
    <n v="0.99139457455403124"/>
    <n v="0.99139457455403124"/>
    <n v="0.99139457455403124"/>
    <n v="0.99139457455403124"/>
    <n v="11.896734894648374"/>
    <m/>
    <n v="0.1686045194819781"/>
    <n v="0.1686045194819781"/>
    <n v="0.1686045194819781"/>
    <n v="0.1686045194819781"/>
    <n v="0.1686045194819781"/>
    <n v="0.1686045194819781"/>
    <n v="0.1686045194819781"/>
    <n v="0.1686045194819781"/>
    <n v="0.1686045194819781"/>
    <n v="0.1686045194819781"/>
    <n v="0.1686045194819781"/>
    <n v="0.1686045194819781"/>
    <n v="2.0232542337837374"/>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3"/>
    <x v="13"/>
    <x v="2"/>
    <x v="27"/>
    <x v="2"/>
    <x v="29"/>
    <s v="Existente"/>
    <s v="Mensal"/>
    <s v="Contrato em Curso"/>
    <s v="FG-VLP | TI"/>
    <s v="Alexandre Ayabe"/>
    <x v="7"/>
    <d v="2026-01-01T00:00:00"/>
    <s v="BRL"/>
    <n v="2500"/>
    <n v="2500"/>
    <n v="2500"/>
    <n v="2500"/>
    <n v="2500"/>
    <n v="2500"/>
    <n v="2500"/>
    <n v="2500"/>
    <n v="2500"/>
    <n v="2500"/>
    <n v="2500"/>
    <n v="2500"/>
    <n v="30000"/>
    <m/>
    <n v="2.5"/>
    <n v="2.5"/>
    <n v="2.5"/>
    <n v="2.5"/>
    <n v="2.5"/>
    <n v="2.5"/>
    <n v="2.5"/>
    <n v="2.5"/>
    <n v="2.5"/>
    <n v="2.5"/>
    <n v="2.5"/>
    <n v="2.5"/>
    <n v="30"/>
    <m/>
    <n v="2.6366876982819982"/>
    <n v="2.6366876982819982"/>
    <n v="2.6366876982819982"/>
    <n v="2.6366876982819982"/>
    <n v="2.6366876982819982"/>
    <n v="2.6366876982819982"/>
    <n v="2.6366876982819982"/>
    <n v="2.6366876982819982"/>
    <n v="2.6366876982819982"/>
    <n v="2.6366876982819982"/>
    <n v="2.6366876982819982"/>
    <n v="2.6366876982819982"/>
    <n v="31.640252379383984"/>
    <m/>
    <n v="0.44841627521802691"/>
    <n v="0.44841627521802691"/>
    <n v="0.44841627521802691"/>
    <n v="0.44841627521802691"/>
    <n v="0.44841627521802691"/>
    <n v="0.44841627521802691"/>
    <n v="0.44841627521802691"/>
    <n v="0.44841627521802691"/>
    <n v="0.44841627521802691"/>
    <n v="0.44841627521802691"/>
    <n v="0.44841627521802691"/>
    <n v="0.44841627521802691"/>
    <n v="5.3809953026163226"/>
    <x v="4"/>
  </r>
  <r>
    <x v="0"/>
    <x v="0"/>
    <x v="1"/>
    <x v="9"/>
    <x v="6"/>
    <x v="27"/>
    <x v="2"/>
    <x v="29"/>
    <s v="Existente"/>
    <s v="Mensal"/>
    <s v="Contrato em Curso"/>
    <s v="ITJ | TI"/>
    <s v="Alexandre Ayabe"/>
    <x v="7"/>
    <d v="2026-01-01T00:00:00"/>
    <s v="BRL"/>
    <n v="5500"/>
    <n v="5500"/>
    <n v="5500"/>
    <n v="5500"/>
    <n v="5500"/>
    <n v="5500"/>
    <n v="5500"/>
    <n v="5500"/>
    <n v="5500"/>
    <n v="5500"/>
    <n v="5500"/>
    <n v="5500"/>
    <n v="66000"/>
    <m/>
    <n v="5.5"/>
    <n v="5.5"/>
    <n v="5.5"/>
    <n v="5.5"/>
    <n v="5.5"/>
    <n v="5.5"/>
    <n v="5.5"/>
    <n v="5.5"/>
    <n v="5.5"/>
    <n v="5.5"/>
    <n v="5.5"/>
    <n v="5.5"/>
    <n v="66"/>
    <m/>
    <n v="5.8007129362203962"/>
    <n v="5.8007129362203962"/>
    <n v="5.8007129362203962"/>
    <n v="5.8007129362203962"/>
    <n v="5.8007129362203962"/>
    <n v="5.8007129362203962"/>
    <n v="5.8007129362203962"/>
    <n v="5.8007129362203962"/>
    <n v="5.8007129362203962"/>
    <n v="5.8007129362203962"/>
    <n v="5.8007129362203962"/>
    <n v="5.8007129362203962"/>
    <n v="69.60855523464474"/>
    <m/>
    <n v="0.98651580547965922"/>
    <n v="0.98651580547965922"/>
    <n v="0.98651580547965922"/>
    <n v="0.98651580547965922"/>
    <n v="0.98651580547965922"/>
    <n v="0.98651580547965922"/>
    <n v="0.98651580547965922"/>
    <n v="0.98651580547965922"/>
    <n v="0.98651580547965922"/>
    <n v="0.98651580547965922"/>
    <n v="0.98651580547965922"/>
    <n v="0.98651580547965922"/>
    <n v="11.838189665755907"/>
    <x v="4"/>
  </r>
  <r>
    <x v="0"/>
    <x v="0"/>
    <x v="0"/>
    <x v="16"/>
    <x v="5"/>
    <x v="27"/>
    <x v="2"/>
    <x v="29"/>
    <s v="Existente"/>
    <s v="Mensal"/>
    <s v="Contrato em Curso"/>
    <s v="TR | TI"/>
    <s v="Alexandre Ayabe"/>
    <x v="7"/>
    <d v="2026-01-01T00:00:00"/>
    <s v="BRL"/>
    <n v="8000"/>
    <n v="8000"/>
    <n v="8000"/>
    <n v="8000"/>
    <n v="8000"/>
    <n v="8000"/>
    <n v="8000"/>
    <n v="8000"/>
    <n v="8000"/>
    <n v="8000"/>
    <n v="8000"/>
    <n v="8000"/>
    <n v="96000"/>
    <m/>
    <n v="8"/>
    <n v="8"/>
    <n v="8"/>
    <n v="8"/>
    <n v="8"/>
    <n v="8"/>
    <n v="8"/>
    <n v="8"/>
    <n v="8"/>
    <n v="8"/>
    <n v="8"/>
    <n v="8"/>
    <n v="96"/>
    <m/>
    <n v="8.437400634502394"/>
    <n v="8.437400634502394"/>
    <n v="8.437400634502394"/>
    <n v="8.437400634502394"/>
    <n v="8.437400634502394"/>
    <n v="8.437400634502394"/>
    <n v="8.437400634502394"/>
    <n v="8.437400634502394"/>
    <n v="8.437400634502394"/>
    <n v="8.437400634502394"/>
    <n v="8.437400634502394"/>
    <n v="8.437400634502394"/>
    <n v="101.24880761402873"/>
    <m/>
    <n v="1.4349320806976862"/>
    <n v="1.4349320806976862"/>
    <n v="1.4349320806976862"/>
    <n v="1.4349320806976862"/>
    <n v="1.4349320806976862"/>
    <n v="1.4349320806976862"/>
    <n v="1.4349320806976862"/>
    <n v="1.4349320806976862"/>
    <n v="1.4349320806976862"/>
    <n v="1.4349320806976862"/>
    <n v="1.4349320806976862"/>
    <n v="1.4349320806976862"/>
    <n v="17.219184968372236"/>
    <x v="4"/>
  </r>
  <r>
    <x v="0"/>
    <x v="0"/>
    <x v="1"/>
    <x v="11"/>
    <x v="3"/>
    <x v="27"/>
    <x v="2"/>
    <x v="29"/>
    <s v="Existente"/>
    <s v="Mensal"/>
    <s v="Contrato em Curso"/>
    <s v="CG-PTG | TI"/>
    <s v="Alexandre Ayabe"/>
    <x v="7"/>
    <d v="2026-01-01T00:00:00"/>
    <s v="BRL"/>
    <n v="800"/>
    <n v="800"/>
    <n v="800"/>
    <n v="800"/>
    <n v="800"/>
    <n v="800"/>
    <n v="800"/>
    <n v="800"/>
    <n v="800"/>
    <n v="800"/>
    <n v="800"/>
    <n v="800"/>
    <n v="9600"/>
    <m/>
    <n v="0.8"/>
    <n v="0.8"/>
    <n v="0.8"/>
    <n v="0.8"/>
    <n v="0.8"/>
    <n v="0.8"/>
    <n v="0.8"/>
    <n v="0.8"/>
    <n v="0.8"/>
    <n v="0.8"/>
    <n v="0.8"/>
    <n v="0.8"/>
    <n v="9.6"/>
    <m/>
    <n v="0.84374006345023944"/>
    <n v="0.84374006345023944"/>
    <n v="0.84374006345023944"/>
    <n v="0.84374006345023944"/>
    <n v="0.84374006345023944"/>
    <n v="0.84374006345023944"/>
    <n v="0.84374006345023944"/>
    <n v="0.84374006345023944"/>
    <n v="0.84374006345023944"/>
    <n v="0.84374006345023944"/>
    <n v="0.84374006345023944"/>
    <n v="0.84374006345023944"/>
    <n v="10.124880761402872"/>
    <m/>
    <n v="0.14349320806976862"/>
    <n v="0.14349320806976862"/>
    <n v="0.14349320806976862"/>
    <n v="0.14349320806976862"/>
    <n v="0.14349320806976862"/>
    <n v="0.14349320806976862"/>
    <n v="0.14349320806976862"/>
    <n v="0.14349320806976862"/>
    <n v="0.14349320806976862"/>
    <n v="0.14349320806976862"/>
    <n v="0.14349320806976862"/>
    <n v="0.14349320806976862"/>
    <n v="1.7219184968372234"/>
    <x v="4"/>
  </r>
  <r>
    <x v="0"/>
    <x v="0"/>
    <x v="1"/>
    <x v="12"/>
    <x v="2"/>
    <x v="27"/>
    <x v="2"/>
    <x v="29"/>
    <s v="Existente"/>
    <s v="Mensal"/>
    <s v="Contrato em Curso"/>
    <s v="FG-PE2 | TI"/>
    <s v="Alexandre Ayabe"/>
    <x v="7"/>
    <d v="2026-01-01T00:00:00"/>
    <s v="BRL"/>
    <n v="2200"/>
    <n v="2200"/>
    <n v="2200"/>
    <n v="2200"/>
    <n v="2200"/>
    <n v="2200"/>
    <n v="2200"/>
    <n v="2200"/>
    <n v="2200"/>
    <n v="2200"/>
    <n v="2200"/>
    <n v="2200"/>
    <n v="26400"/>
    <m/>
    <n v="2.2000000000000002"/>
    <n v="2.2000000000000002"/>
    <n v="2.2000000000000002"/>
    <n v="2.2000000000000002"/>
    <n v="2.2000000000000002"/>
    <n v="2.2000000000000002"/>
    <n v="2.2000000000000002"/>
    <n v="2.2000000000000002"/>
    <n v="2.2000000000000002"/>
    <n v="2.2000000000000002"/>
    <n v="2.2000000000000002"/>
    <n v="2.2000000000000002"/>
    <n v="26.399999999999995"/>
    <m/>
    <n v="2.3202851744881587"/>
    <n v="2.3202851744881587"/>
    <n v="2.3202851744881587"/>
    <n v="2.3202851744881587"/>
    <n v="2.3202851744881587"/>
    <n v="2.3202851744881587"/>
    <n v="2.3202851744881587"/>
    <n v="2.3202851744881587"/>
    <n v="2.3202851744881587"/>
    <n v="2.3202851744881587"/>
    <n v="2.3202851744881587"/>
    <n v="2.3202851744881587"/>
    <n v="27.843422093857907"/>
    <m/>
    <n v="0.39460632219186376"/>
    <n v="0.39460632219186376"/>
    <n v="0.39460632219186376"/>
    <n v="0.39460632219186376"/>
    <n v="0.39460632219186376"/>
    <n v="0.39460632219186376"/>
    <n v="0.39460632219186376"/>
    <n v="0.39460632219186376"/>
    <n v="0.39460632219186376"/>
    <n v="0.39460632219186376"/>
    <n v="0.39460632219186376"/>
    <n v="0.39460632219186376"/>
    <n v="4.7352758663023655"/>
    <x v="4"/>
  </r>
  <r>
    <x v="0"/>
    <x v="0"/>
    <x v="1"/>
    <x v="8"/>
    <x v="6"/>
    <x v="27"/>
    <x v="2"/>
    <x v="29"/>
    <s v="Existente"/>
    <s v="Mensal"/>
    <s v="Contrato em Curso"/>
    <s v="PNG | TI"/>
    <s v="Alexandre Ayabe"/>
    <x v="7"/>
    <d v="2026-01-01T00:00:00"/>
    <s v="BRL"/>
    <n v="10000"/>
    <n v="10000"/>
    <n v="10000"/>
    <n v="10000"/>
    <n v="10000"/>
    <n v="10000"/>
    <n v="10000"/>
    <n v="10000"/>
    <n v="10000"/>
    <n v="10000"/>
    <n v="10000"/>
    <n v="10000"/>
    <n v="120000"/>
    <m/>
    <n v="10"/>
    <n v="10"/>
    <n v="10"/>
    <n v="10"/>
    <n v="10"/>
    <n v="10"/>
    <n v="10"/>
    <n v="10"/>
    <n v="10"/>
    <n v="10"/>
    <n v="10"/>
    <n v="10"/>
    <n v="120"/>
    <m/>
    <n v="10.546750793127993"/>
    <n v="10.546750793127993"/>
    <n v="10.546750793127993"/>
    <n v="10.546750793127993"/>
    <n v="10.546750793127993"/>
    <n v="10.546750793127993"/>
    <n v="10.546750793127993"/>
    <n v="10.546750793127993"/>
    <n v="10.546750793127993"/>
    <n v="10.546750793127993"/>
    <n v="10.546750793127993"/>
    <n v="10.546750793127993"/>
    <n v="126.56100951753594"/>
    <m/>
    <n v="1.7936651008721076"/>
    <n v="1.7936651008721076"/>
    <n v="1.7936651008721076"/>
    <n v="1.7936651008721076"/>
    <n v="1.7936651008721076"/>
    <n v="1.7936651008721076"/>
    <n v="1.7936651008721076"/>
    <n v="1.7936651008721076"/>
    <n v="1.7936651008721076"/>
    <n v="1.7936651008721076"/>
    <n v="1.7936651008721076"/>
    <n v="1.7936651008721076"/>
    <n v="21.523981210465291"/>
    <x v="4"/>
  </r>
  <r>
    <x v="0"/>
    <x v="0"/>
    <x v="1"/>
    <x v="10"/>
    <x v="6"/>
    <x v="27"/>
    <x v="2"/>
    <x v="29"/>
    <s v="Existente"/>
    <s v="Mensal"/>
    <s v="Contrato em Curso"/>
    <s v="RGD | TI"/>
    <s v="Alexandre Ayabe"/>
    <x v="7"/>
    <d v="2026-01-01T00:00:00"/>
    <s v="BRL"/>
    <n v="3000"/>
    <n v="3000"/>
    <n v="3000"/>
    <n v="3000"/>
    <n v="3000"/>
    <n v="3000"/>
    <n v="3000"/>
    <n v="3000"/>
    <n v="3000"/>
    <n v="3000"/>
    <n v="3000"/>
    <n v="3000"/>
    <n v="36000"/>
    <m/>
    <n v="3"/>
    <n v="3"/>
    <n v="3"/>
    <n v="3"/>
    <n v="3"/>
    <n v="3"/>
    <n v="3"/>
    <n v="3"/>
    <n v="3"/>
    <n v="3"/>
    <n v="3"/>
    <n v="3"/>
    <n v="36"/>
    <m/>
    <n v="3.1640252379383975"/>
    <n v="3.1640252379383975"/>
    <n v="3.1640252379383975"/>
    <n v="3.1640252379383975"/>
    <n v="3.1640252379383975"/>
    <n v="3.1640252379383975"/>
    <n v="3.1640252379383975"/>
    <n v="3.1640252379383975"/>
    <n v="3.1640252379383975"/>
    <n v="3.1640252379383975"/>
    <n v="3.1640252379383975"/>
    <n v="3.1640252379383975"/>
    <n v="37.968302855260767"/>
    <m/>
    <n v="0.53809953026163226"/>
    <n v="0.53809953026163226"/>
    <n v="0.53809953026163226"/>
    <n v="0.53809953026163226"/>
    <n v="0.53809953026163226"/>
    <n v="0.53809953026163226"/>
    <n v="0.53809953026163226"/>
    <n v="0.53809953026163226"/>
    <n v="0.53809953026163226"/>
    <n v="0.53809953026163226"/>
    <n v="0.53809953026163226"/>
    <n v="0.53809953026163226"/>
    <n v="6.4571943631395889"/>
    <x v="4"/>
  </r>
  <r>
    <x v="0"/>
    <x v="0"/>
    <x v="4"/>
    <x v="15"/>
    <x v="2"/>
    <x v="27"/>
    <x v="2"/>
    <x v="29"/>
    <s v="Existente"/>
    <s v="Mensal"/>
    <s v="Contrato em Curso"/>
    <s v="FG-GRUB | TI"/>
    <s v="Alexandre Ayabe"/>
    <x v="7"/>
    <d v="2026-01-01T00:00:00"/>
    <s v="BRL"/>
    <n v="1500"/>
    <n v="1500"/>
    <n v="1500"/>
    <n v="1500"/>
    <n v="1500"/>
    <n v="1500"/>
    <n v="1500"/>
    <n v="1500"/>
    <n v="1500"/>
    <n v="1500"/>
    <n v="1500"/>
    <n v="1500"/>
    <n v="18000"/>
    <m/>
    <n v="1.5"/>
    <n v="1.5"/>
    <n v="1.5"/>
    <n v="1.5"/>
    <n v="1.5"/>
    <n v="1.5"/>
    <n v="1.5"/>
    <n v="1.5"/>
    <n v="1.5"/>
    <n v="1.5"/>
    <n v="1.5"/>
    <n v="1.5"/>
    <n v="18"/>
    <m/>
    <n v="1.5820126189691988"/>
    <n v="1.5820126189691988"/>
    <n v="1.5820126189691988"/>
    <n v="1.5820126189691988"/>
    <n v="1.5820126189691988"/>
    <n v="1.5820126189691988"/>
    <n v="1.5820126189691988"/>
    <n v="1.5820126189691988"/>
    <n v="1.5820126189691988"/>
    <n v="1.5820126189691988"/>
    <n v="1.5820126189691988"/>
    <n v="1.5820126189691988"/>
    <n v="18.984151427630383"/>
    <m/>
    <n v="0.26904976513081613"/>
    <n v="0.26904976513081613"/>
    <n v="0.26904976513081613"/>
    <n v="0.26904976513081613"/>
    <n v="0.26904976513081613"/>
    <n v="0.26904976513081613"/>
    <n v="0.26904976513081613"/>
    <n v="0.26904976513081613"/>
    <n v="0.26904976513081613"/>
    <n v="0.26904976513081613"/>
    <n v="0.26904976513081613"/>
    <n v="0.26904976513081613"/>
    <n v="3.2285971815697945"/>
    <x v="4"/>
  </r>
  <r>
    <x v="0"/>
    <x v="0"/>
    <x v="6"/>
    <x v="6"/>
    <x v="0"/>
    <x v="27"/>
    <x v="2"/>
    <x v="29"/>
    <s v="Existente"/>
    <s v="Mensal"/>
    <s v="Contrato em Curso"/>
    <s v="PL | TI"/>
    <s v="Alexandre Ayabe"/>
    <x v="7"/>
    <d v="2026-01-01T00:00:00"/>
    <s v="BRL"/>
    <n v="250"/>
    <n v="250"/>
    <n v="250"/>
    <n v="250"/>
    <n v="250"/>
    <n v="250"/>
    <n v="250"/>
    <n v="250"/>
    <n v="250"/>
    <n v="250"/>
    <n v="250"/>
    <n v="250"/>
    <n v="3000"/>
    <m/>
    <n v="0.25"/>
    <n v="0.25"/>
    <n v="0.25"/>
    <n v="0.25"/>
    <n v="0.25"/>
    <n v="0.25"/>
    <n v="0.25"/>
    <n v="0.25"/>
    <n v="0.25"/>
    <n v="0.25"/>
    <n v="0.25"/>
    <n v="0.25"/>
    <n v="3"/>
    <m/>
    <n v="0.26366876982819981"/>
    <n v="0.26366876982819981"/>
    <n v="0.26366876982819981"/>
    <n v="0.26366876982819981"/>
    <n v="0.26366876982819981"/>
    <n v="0.26366876982819981"/>
    <n v="0.26366876982819981"/>
    <n v="0.26366876982819981"/>
    <n v="0.26366876982819981"/>
    <n v="0.26366876982819981"/>
    <n v="0.26366876982819981"/>
    <n v="0.26366876982819981"/>
    <n v="3.164025237938398"/>
    <m/>
    <n v="4.4841627521802693E-2"/>
    <n v="4.4841627521802693E-2"/>
    <n v="4.4841627521802693E-2"/>
    <n v="4.4841627521802693E-2"/>
    <n v="4.4841627521802693E-2"/>
    <n v="4.4841627521802693E-2"/>
    <n v="4.4841627521802693E-2"/>
    <n v="4.4841627521802693E-2"/>
    <n v="4.4841627521802693E-2"/>
    <n v="4.4841627521802693E-2"/>
    <n v="4.4841627521802693E-2"/>
    <n v="4.4841627521802693E-2"/>
    <n v="0.53809953026163237"/>
    <x v="2"/>
  </r>
  <r>
    <x v="0"/>
    <x v="0"/>
    <x v="7"/>
    <x v="7"/>
    <x v="0"/>
    <x v="27"/>
    <x v="2"/>
    <x v="29"/>
    <s v="Existente"/>
    <s v="Mensal"/>
    <s v="Contrato em Curso"/>
    <s v="CP | TI"/>
    <s v="Jimmy Espinosa"/>
    <x v="7"/>
    <d v="2026-01-01T00:00:00"/>
    <s v="BRL"/>
    <n v="250"/>
    <n v="250"/>
    <n v="250"/>
    <n v="250"/>
    <n v="250"/>
    <n v="250"/>
    <n v="250"/>
    <n v="250"/>
    <n v="250"/>
    <n v="250"/>
    <n v="250"/>
    <n v="250"/>
    <n v="3000"/>
    <m/>
    <n v="0.25"/>
    <n v="0.25"/>
    <n v="0.25"/>
    <n v="0.25"/>
    <n v="0.25"/>
    <n v="0.25"/>
    <n v="0.25"/>
    <n v="0.25"/>
    <n v="0.25"/>
    <n v="0.25"/>
    <n v="0.25"/>
    <n v="0.25"/>
    <n v="3"/>
    <m/>
    <n v="0.26366876982819981"/>
    <n v="0.26366876982819981"/>
    <n v="0.26366876982819981"/>
    <n v="0.26366876982819981"/>
    <n v="0.26366876982819981"/>
    <n v="0.26366876982819981"/>
    <n v="0.26366876982819981"/>
    <n v="0.26366876982819981"/>
    <n v="0.26366876982819981"/>
    <n v="0.26366876982819981"/>
    <n v="0.26366876982819981"/>
    <n v="0.26366876982819981"/>
    <n v="3.164025237938398"/>
    <m/>
    <n v="4.4841627521802693E-2"/>
    <n v="4.4841627521802693E-2"/>
    <n v="4.4841627521802693E-2"/>
    <n v="4.4841627521802693E-2"/>
    <n v="4.4841627521802693E-2"/>
    <n v="4.4841627521802693E-2"/>
    <n v="4.4841627521802693E-2"/>
    <n v="4.4841627521802693E-2"/>
    <n v="4.4841627521802693E-2"/>
    <n v="4.4841627521802693E-2"/>
    <n v="4.4841627521802693E-2"/>
    <n v="4.4841627521802693E-2"/>
    <n v="0.53809953026163237"/>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28"/>
    <x v="2"/>
    <x v="30"/>
    <s v="Existente"/>
    <s v="Anual"/>
    <s v="Contrato em Curso"/>
    <s v="BU-MMTR | TI"/>
    <s v="Alexandre Ayabe"/>
    <x v="4"/>
    <m/>
    <s v="USD"/>
    <n v="2070"/>
    <n v="2070"/>
    <n v="2070"/>
    <n v="2070"/>
    <n v="2070"/>
    <n v="2070"/>
    <n v="2070"/>
    <n v="2070"/>
    <n v="2070"/>
    <n v="2070"/>
    <n v="2070"/>
    <n v="2070"/>
    <n v="24840"/>
    <m/>
    <n v="12.1716"/>
    <n v="12.1716"/>
    <n v="12.1716"/>
    <n v="12.1716"/>
    <n v="12.1716"/>
    <n v="12.1716"/>
    <n v="12.1716"/>
    <n v="12.1716"/>
    <n v="12.1716"/>
    <n v="12.1716"/>
    <n v="12.1716"/>
    <n v="12.1716"/>
    <n v="146.0592"/>
    <m/>
    <n v="12.1716"/>
    <n v="12.1716"/>
    <n v="12.1716"/>
    <n v="12.1716"/>
    <n v="12.1716"/>
    <n v="12.1716"/>
    <n v="12.1716"/>
    <n v="12.1716"/>
    <n v="12.1716"/>
    <n v="12.1716"/>
    <n v="12.1716"/>
    <n v="12.1716"/>
    <n v="146.0592"/>
    <m/>
    <n v="2.0699999999999998"/>
    <n v="2.0699999999999998"/>
    <n v="2.0699999999999998"/>
    <n v="2.0699999999999998"/>
    <n v="2.0699999999999998"/>
    <n v="2.0699999999999998"/>
    <n v="2.0699999999999998"/>
    <n v="2.0699999999999998"/>
    <n v="2.0699999999999998"/>
    <n v="2.0699999999999998"/>
    <n v="2.0699999999999998"/>
    <n v="2.0699999999999998"/>
    <n v="24.84"/>
    <x v="0"/>
  </r>
  <r>
    <x v="0"/>
    <x v="0"/>
    <x v="1"/>
    <x v="1"/>
    <x v="0"/>
    <x v="28"/>
    <x v="2"/>
    <x v="30"/>
    <s v="Existente"/>
    <s v="Anual"/>
    <s v="Contrato em Curso"/>
    <s v="BU-MMAZ | TI"/>
    <s v="Alexandre Ayabe"/>
    <x v="4"/>
    <m/>
    <s v="USD"/>
    <n v="5750"/>
    <n v="5750"/>
    <n v="5750"/>
    <n v="5750"/>
    <n v="5750"/>
    <n v="5750"/>
    <n v="5750"/>
    <n v="5750"/>
    <n v="5750"/>
    <n v="5750"/>
    <n v="5750"/>
    <n v="5750"/>
    <n v="69000"/>
    <m/>
    <n v="33.81"/>
    <n v="33.81"/>
    <n v="33.81"/>
    <n v="33.81"/>
    <n v="33.81"/>
    <n v="33.81"/>
    <n v="33.81"/>
    <n v="33.81"/>
    <n v="33.81"/>
    <n v="33.81"/>
    <n v="33.81"/>
    <n v="33.81"/>
    <n v="405.72"/>
    <m/>
    <n v="33.81"/>
    <n v="33.81"/>
    <n v="33.81"/>
    <n v="33.81"/>
    <n v="33.81"/>
    <n v="33.81"/>
    <n v="33.81"/>
    <n v="33.81"/>
    <n v="33.81"/>
    <n v="33.81"/>
    <n v="33.81"/>
    <n v="33.81"/>
    <n v="405.72"/>
    <m/>
    <n v="5.7500000000000009"/>
    <n v="5.7500000000000009"/>
    <n v="5.7500000000000009"/>
    <n v="5.7500000000000009"/>
    <n v="5.7500000000000009"/>
    <n v="5.7500000000000009"/>
    <n v="5.7500000000000009"/>
    <n v="5.7500000000000009"/>
    <n v="5.7500000000000009"/>
    <n v="5.7500000000000009"/>
    <n v="5.7500000000000009"/>
    <n v="5.7500000000000009"/>
    <n v="69.000000000000014"/>
    <x v="0"/>
  </r>
  <r>
    <x v="0"/>
    <x v="0"/>
    <x v="3"/>
    <x v="3"/>
    <x v="0"/>
    <x v="28"/>
    <x v="2"/>
    <x v="30"/>
    <s v="Existente"/>
    <s v="Anual"/>
    <s v="Contrato em Curso"/>
    <s v="BU-MRV | TI"/>
    <s v="Alexandre Ayabe"/>
    <x v="4"/>
    <m/>
    <s v="USD"/>
    <n v="575"/>
    <n v="575"/>
    <n v="575"/>
    <n v="575"/>
    <n v="575"/>
    <n v="575"/>
    <n v="575"/>
    <n v="575"/>
    <n v="575"/>
    <n v="575"/>
    <n v="575"/>
    <n v="575"/>
    <n v="6900"/>
    <m/>
    <n v="3.3809999999999998"/>
    <n v="3.3809999999999998"/>
    <n v="3.3809999999999998"/>
    <n v="3.3809999999999998"/>
    <n v="3.3809999999999998"/>
    <n v="3.3809999999999998"/>
    <n v="3.3809999999999998"/>
    <n v="3.3809999999999998"/>
    <n v="3.3809999999999998"/>
    <n v="3.3809999999999998"/>
    <n v="3.3809999999999998"/>
    <n v="3.3809999999999998"/>
    <n v="40.571999999999996"/>
    <m/>
    <n v="3.3809999999999998"/>
    <n v="3.3809999999999998"/>
    <n v="3.3809999999999998"/>
    <n v="3.3809999999999998"/>
    <n v="3.3809999999999998"/>
    <n v="3.3809999999999998"/>
    <n v="3.3809999999999998"/>
    <n v="3.3809999999999998"/>
    <n v="3.3809999999999998"/>
    <n v="3.3809999999999998"/>
    <n v="3.3809999999999998"/>
    <n v="3.3809999999999998"/>
    <n v="40.571999999999996"/>
    <m/>
    <n v="0.57499999999999996"/>
    <n v="0.57499999999999996"/>
    <n v="0.57499999999999996"/>
    <n v="0.57499999999999996"/>
    <n v="0.57499999999999996"/>
    <n v="0.57499999999999996"/>
    <n v="0.57499999999999996"/>
    <n v="0.57499999999999996"/>
    <n v="0.57499999999999996"/>
    <n v="0.57499999999999996"/>
    <n v="0.57499999999999996"/>
    <n v="0.57499999999999996"/>
    <n v="6.9000000000000012"/>
    <x v="0"/>
  </r>
  <r>
    <x v="0"/>
    <x v="0"/>
    <x v="4"/>
    <x v="4"/>
    <x v="0"/>
    <x v="28"/>
    <x v="2"/>
    <x v="30"/>
    <s v="Existente"/>
    <s v="Anual"/>
    <s v="Contrato em Curso"/>
    <s v="BU-GRU | TI"/>
    <s v="Alexandre Ayabe"/>
    <x v="4"/>
    <m/>
    <s v="USD"/>
    <n v="690"/>
    <n v="690"/>
    <n v="690"/>
    <n v="690"/>
    <n v="690"/>
    <n v="690"/>
    <n v="690"/>
    <n v="690"/>
    <n v="690"/>
    <n v="690"/>
    <n v="690"/>
    <n v="690"/>
    <n v="8280"/>
    <m/>
    <n v="4.0571999999999999"/>
    <n v="4.0571999999999999"/>
    <n v="4.0571999999999999"/>
    <n v="4.0571999999999999"/>
    <n v="4.0571999999999999"/>
    <n v="4.0571999999999999"/>
    <n v="4.0571999999999999"/>
    <n v="4.0571999999999999"/>
    <n v="4.0571999999999999"/>
    <n v="4.0571999999999999"/>
    <n v="4.0571999999999999"/>
    <n v="4.0571999999999999"/>
    <n v="48.686400000000013"/>
    <m/>
    <n v="4.0571999999999999"/>
    <n v="4.0571999999999999"/>
    <n v="4.0571999999999999"/>
    <n v="4.0571999999999999"/>
    <n v="4.0571999999999999"/>
    <n v="4.0571999999999999"/>
    <n v="4.0571999999999999"/>
    <n v="4.0571999999999999"/>
    <n v="4.0571999999999999"/>
    <n v="4.0571999999999999"/>
    <n v="4.0571999999999999"/>
    <n v="4.0571999999999999"/>
    <n v="48.686400000000013"/>
    <m/>
    <n v="0.69"/>
    <n v="0.69"/>
    <n v="0.69"/>
    <n v="0.69"/>
    <n v="0.69"/>
    <n v="0.69"/>
    <n v="0.69"/>
    <n v="0.69"/>
    <n v="0.69"/>
    <n v="0.69"/>
    <n v="0.69"/>
    <n v="0.69"/>
    <n v="8.2799999999999976"/>
    <x v="0"/>
  </r>
  <r>
    <x v="0"/>
    <x v="0"/>
    <x v="6"/>
    <x v="6"/>
    <x v="0"/>
    <x v="28"/>
    <x v="2"/>
    <x v="30"/>
    <s v="Existente"/>
    <s v="Anual"/>
    <s v="Contrato em Curso"/>
    <s v="PL | TI"/>
    <s v="Alexandre Ayabe"/>
    <x v="4"/>
    <m/>
    <s v="USD"/>
    <n v="1840"/>
    <n v="1840"/>
    <n v="1840"/>
    <n v="1840"/>
    <n v="1840"/>
    <n v="1840"/>
    <n v="1840"/>
    <n v="1840"/>
    <n v="1840"/>
    <n v="1840"/>
    <n v="1840"/>
    <n v="1840"/>
    <n v="22080"/>
    <m/>
    <n v="10.819199999999999"/>
    <n v="10.819199999999999"/>
    <n v="10.819199999999999"/>
    <n v="10.819199999999999"/>
    <n v="10.819199999999999"/>
    <n v="10.819199999999999"/>
    <n v="10.819199999999999"/>
    <n v="10.819199999999999"/>
    <n v="10.819199999999999"/>
    <n v="10.819199999999999"/>
    <n v="10.819199999999999"/>
    <n v="10.819199999999999"/>
    <n v="129.83039999999997"/>
    <m/>
    <n v="10.819199999999999"/>
    <n v="10.819199999999999"/>
    <n v="10.819199999999999"/>
    <n v="10.819199999999999"/>
    <n v="10.819199999999999"/>
    <n v="10.819199999999999"/>
    <n v="10.819199999999999"/>
    <n v="10.819199999999999"/>
    <n v="10.819199999999999"/>
    <n v="10.819199999999999"/>
    <n v="10.819199999999999"/>
    <n v="10.819199999999999"/>
    <n v="129.83039999999997"/>
    <m/>
    <n v="1.8399999999999999"/>
    <n v="1.8399999999999999"/>
    <n v="1.8399999999999999"/>
    <n v="1.8399999999999999"/>
    <n v="1.8399999999999999"/>
    <n v="1.8399999999999999"/>
    <n v="1.8399999999999999"/>
    <n v="1.8399999999999999"/>
    <n v="1.8399999999999999"/>
    <n v="1.8399999999999999"/>
    <n v="1.8399999999999999"/>
    <n v="1.8399999999999999"/>
    <n v="22.08"/>
    <x v="2"/>
  </r>
  <r>
    <x v="0"/>
    <x v="0"/>
    <x v="7"/>
    <x v="7"/>
    <x v="0"/>
    <x v="28"/>
    <x v="2"/>
    <x v="30"/>
    <s v="Existente"/>
    <s v="Anual"/>
    <s v="Contrato em Curso"/>
    <s v="CP | TI"/>
    <s v="Jimmy Espinosa"/>
    <x v="4"/>
    <m/>
    <s v="USD"/>
    <n v="575"/>
    <n v="575"/>
    <n v="575"/>
    <n v="575"/>
    <n v="575"/>
    <n v="575"/>
    <n v="575"/>
    <n v="575"/>
    <n v="575"/>
    <n v="575"/>
    <n v="575"/>
    <n v="575"/>
    <n v="6900"/>
    <m/>
    <n v="3.3809999999999998"/>
    <n v="3.3809999999999998"/>
    <n v="3.3809999999999998"/>
    <n v="3.3809999999999998"/>
    <n v="3.3809999999999998"/>
    <n v="3.3809999999999998"/>
    <n v="3.3809999999999998"/>
    <n v="3.3809999999999998"/>
    <n v="3.3809999999999998"/>
    <n v="3.3809999999999998"/>
    <n v="3.3809999999999998"/>
    <n v="3.3809999999999998"/>
    <n v="40.571999999999996"/>
    <m/>
    <n v="3.3809999999999998"/>
    <n v="3.3809999999999998"/>
    <n v="3.3809999999999998"/>
    <n v="3.3809999999999998"/>
    <n v="3.3809999999999998"/>
    <n v="3.3809999999999998"/>
    <n v="3.3809999999999998"/>
    <n v="3.3809999999999998"/>
    <n v="3.3809999999999998"/>
    <n v="3.3809999999999998"/>
    <n v="3.3809999999999998"/>
    <n v="3.3809999999999998"/>
    <n v="40.571999999999996"/>
    <m/>
    <n v="0.57499999999999996"/>
    <n v="0.57499999999999996"/>
    <n v="0.57499999999999996"/>
    <n v="0.57499999999999996"/>
    <n v="0.57499999999999996"/>
    <n v="0.57499999999999996"/>
    <n v="0.57499999999999996"/>
    <n v="0.57499999999999996"/>
    <n v="0.57499999999999996"/>
    <n v="0.57499999999999996"/>
    <n v="0.57499999999999996"/>
    <n v="0.57499999999999996"/>
    <n v="6.9000000000000012"/>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29"/>
    <x v="0"/>
    <x v="31"/>
    <s v="Existente"/>
    <s v="Anual"/>
    <s v="Contrato em Curso"/>
    <s v="PL | TI"/>
    <s v="Alexandre Ayabe"/>
    <x v="4"/>
    <m/>
    <s v="USD"/>
    <n v="4042.8833333333332"/>
    <n v="4042.8833333333332"/>
    <n v="4042.8833333333332"/>
    <n v="4042.8833333333332"/>
    <n v="4042.8833333333332"/>
    <n v="4042.8833333333332"/>
    <n v="4042.8833333333332"/>
    <n v="4042.8833333333332"/>
    <n v="4042.8833333333332"/>
    <n v="4042.8833333333332"/>
    <n v="4042.8833333333332"/>
    <n v="4042.8833333333332"/>
    <n v="48514.599999999984"/>
    <m/>
    <n v="23.772153999999997"/>
    <n v="23.772153999999997"/>
    <n v="23.772153999999997"/>
    <n v="23.772153999999997"/>
    <n v="23.772153999999997"/>
    <n v="23.772153999999997"/>
    <n v="23.772153999999997"/>
    <n v="23.772153999999997"/>
    <n v="23.772153999999997"/>
    <n v="23.772153999999997"/>
    <n v="23.772153999999997"/>
    <n v="23.772153999999997"/>
    <n v="285.26584799999995"/>
    <m/>
    <n v="23.772153999999997"/>
    <n v="23.772153999999997"/>
    <n v="23.772153999999997"/>
    <n v="23.772153999999997"/>
    <n v="23.772153999999997"/>
    <n v="23.772153999999997"/>
    <n v="23.772153999999997"/>
    <n v="23.772153999999997"/>
    <n v="23.772153999999997"/>
    <n v="23.772153999999997"/>
    <n v="23.772153999999997"/>
    <n v="23.772153999999997"/>
    <n v="285.26584799999995"/>
    <m/>
    <n v="4.0428833333333332"/>
    <n v="4.0428833333333332"/>
    <n v="4.0428833333333332"/>
    <n v="4.0428833333333332"/>
    <n v="4.0428833333333332"/>
    <n v="4.0428833333333332"/>
    <n v="4.0428833333333332"/>
    <n v="4.0428833333333332"/>
    <n v="4.0428833333333332"/>
    <n v="4.0428833333333332"/>
    <n v="4.0428833333333332"/>
    <n v="4.0428833333333332"/>
    <n v="48.514600000000009"/>
    <x v="2"/>
  </r>
  <r>
    <x v="0"/>
    <x v="0"/>
    <x v="7"/>
    <x v="7"/>
    <x v="0"/>
    <x v="29"/>
    <x v="0"/>
    <x v="31"/>
    <s v="Existente"/>
    <s v="Anual"/>
    <s v="Contrato em Curso"/>
    <s v="CP | TI"/>
    <s v="Jimmy Espinosa"/>
    <x v="4"/>
    <m/>
    <s v="USD"/>
    <n v="212.78333333333333"/>
    <n v="212.78333333333333"/>
    <n v="212.78333333333333"/>
    <n v="212.78333333333333"/>
    <n v="212.78333333333333"/>
    <n v="212.78333333333333"/>
    <n v="212.78333333333333"/>
    <n v="212.78333333333333"/>
    <n v="212.78333333333333"/>
    <n v="212.78333333333333"/>
    <n v="212.78333333333333"/>
    <n v="212.78333333333333"/>
    <n v="2553.4"/>
    <m/>
    <n v="1.251166"/>
    <n v="1.251166"/>
    <n v="1.251166"/>
    <n v="1.251166"/>
    <n v="1.251166"/>
    <n v="1.251166"/>
    <n v="1.251166"/>
    <n v="1.251166"/>
    <n v="1.251166"/>
    <n v="1.251166"/>
    <n v="1.251166"/>
    <n v="1.251166"/>
    <n v="15.013991999999996"/>
    <m/>
    <n v="1.251166"/>
    <n v="1.251166"/>
    <n v="1.251166"/>
    <n v="1.251166"/>
    <n v="1.251166"/>
    <n v="1.251166"/>
    <n v="1.251166"/>
    <n v="1.251166"/>
    <n v="1.251166"/>
    <n v="1.251166"/>
    <n v="1.251166"/>
    <n v="1.251166"/>
    <n v="15.013991999999996"/>
    <m/>
    <n v="0.21278333333333332"/>
    <n v="0.21278333333333332"/>
    <n v="0.21278333333333332"/>
    <n v="0.21278333333333332"/>
    <n v="0.21278333333333332"/>
    <n v="0.21278333333333332"/>
    <n v="0.21278333333333332"/>
    <n v="0.21278333333333332"/>
    <n v="0.21278333333333332"/>
    <n v="0.21278333333333332"/>
    <n v="0.21278333333333332"/>
    <n v="0.21278333333333332"/>
    <n v="2.5533999999999999"/>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30"/>
    <x v="0"/>
    <x v="32"/>
    <s v="Existente"/>
    <s v="Anual"/>
    <s v="Contrato em Curso"/>
    <s v="PL | TI"/>
    <s v="Alexandre Ayabe"/>
    <x v="4"/>
    <m/>
    <s v="USD"/>
    <n v="3314.3916666666664"/>
    <n v="3449.1333333333332"/>
    <n v="3449.1333333333332"/>
    <n v="3449.1333333333332"/>
    <n v="3449.1333333333332"/>
    <n v="3449.1333333333332"/>
    <n v="3449.1333333333332"/>
    <n v="3449.1333333333332"/>
    <n v="3449.1333333333332"/>
    <n v="3449.1333333333332"/>
    <n v="3449.1333333333332"/>
    <n v="3449.1333333333332"/>
    <n v="41254.858333333323"/>
    <m/>
    <n v="19.488623"/>
    <n v="20.280904"/>
    <n v="20.280904"/>
    <n v="20.280904"/>
    <n v="20.280904"/>
    <n v="20.280904"/>
    <n v="20.280904"/>
    <n v="20.280904"/>
    <n v="20.280904"/>
    <n v="20.280904"/>
    <n v="20.280904"/>
    <n v="20.280904"/>
    <n v="242.57856699999994"/>
    <m/>
    <n v="19.488623"/>
    <n v="20.280904"/>
    <n v="20.280904"/>
    <n v="20.280904"/>
    <n v="20.280904"/>
    <n v="20.280904"/>
    <n v="20.280904"/>
    <n v="20.280904"/>
    <n v="20.280904"/>
    <n v="20.280904"/>
    <n v="20.280904"/>
    <n v="20.280904"/>
    <n v="242.57856699999994"/>
    <m/>
    <n v="3.3143916666666668"/>
    <n v="3.4491333333333332"/>
    <n v="3.4491333333333332"/>
    <n v="3.4491333333333332"/>
    <n v="3.4491333333333332"/>
    <n v="3.4491333333333332"/>
    <n v="3.4491333333333332"/>
    <n v="3.4491333333333332"/>
    <n v="3.4491333333333332"/>
    <n v="3.4491333333333332"/>
    <n v="3.4491333333333332"/>
    <n v="3.4491333333333332"/>
    <n v="41.254858333333331"/>
    <x v="2"/>
  </r>
  <r>
    <x v="0"/>
    <x v="0"/>
    <x v="7"/>
    <x v="7"/>
    <x v="0"/>
    <x v="30"/>
    <x v="0"/>
    <x v="32"/>
    <s v="Existente"/>
    <s v="Anual"/>
    <s v="Contrato em Curso"/>
    <s v="CP | TI"/>
    <s v="Jimmy Espinosa"/>
    <x v="4"/>
    <m/>
    <s v="USD"/>
    <n v="174.44166666666669"/>
    <n v="181.53333333333333"/>
    <n v="181.53333333333333"/>
    <n v="181.53333333333333"/>
    <n v="181.53333333333333"/>
    <n v="181.53333333333333"/>
    <n v="181.53333333333333"/>
    <n v="181.53333333333333"/>
    <n v="181.53333333333333"/>
    <n v="181.53333333333333"/>
    <n v="181.53333333333333"/>
    <n v="181.53333333333333"/>
    <n v="2171.3083333333334"/>
    <m/>
    <n v="1.025717"/>
    <n v="1.0674159999999999"/>
    <n v="1.0674159999999999"/>
    <n v="1.0674159999999999"/>
    <n v="1.0674159999999999"/>
    <n v="1.0674159999999999"/>
    <n v="1.0674159999999999"/>
    <n v="1.0674159999999999"/>
    <n v="1.0674159999999999"/>
    <n v="1.0674159999999999"/>
    <n v="1.0674159999999999"/>
    <n v="1.0674159999999999"/>
    <n v="12.767292999999997"/>
    <m/>
    <n v="1.025717"/>
    <n v="1.0674159999999999"/>
    <n v="1.0674159999999999"/>
    <n v="1.0674159999999999"/>
    <n v="1.0674159999999999"/>
    <n v="1.0674159999999999"/>
    <n v="1.0674159999999999"/>
    <n v="1.0674159999999999"/>
    <n v="1.0674159999999999"/>
    <n v="1.0674159999999999"/>
    <n v="1.0674159999999999"/>
    <n v="1.0674159999999999"/>
    <n v="12.767292999999997"/>
    <m/>
    <n v="0.17444166666666666"/>
    <n v="0.18153333333333332"/>
    <n v="0.18153333333333332"/>
    <n v="0.18153333333333332"/>
    <n v="0.18153333333333332"/>
    <n v="0.18153333333333332"/>
    <n v="0.18153333333333332"/>
    <n v="0.18153333333333332"/>
    <n v="0.18153333333333332"/>
    <n v="0.18153333333333332"/>
    <n v="0.18153333333333332"/>
    <n v="0.18153333333333332"/>
    <n v="2.1713083333333332"/>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31"/>
    <x v="2"/>
    <x v="33"/>
    <s v="Existente"/>
    <s v="Mensal"/>
    <s v="Contrato em Curso"/>
    <s v="BU-MMTR | TI"/>
    <s v="Alexandre Ayabe"/>
    <x v="2"/>
    <d v="2026-06-01T00:00:00"/>
    <s v="BRL"/>
    <n v="17280"/>
    <n v="17280"/>
    <n v="17280"/>
    <n v="17280"/>
    <n v="17280"/>
    <n v="17280"/>
    <n v="17280"/>
    <n v="17280"/>
    <n v="17280"/>
    <n v="17280"/>
    <n v="17280"/>
    <n v="17280"/>
    <n v="207360"/>
    <m/>
    <n v="17.28"/>
    <n v="17.28"/>
    <n v="17.28"/>
    <n v="17.28"/>
    <n v="17.28"/>
    <n v="17.28"/>
    <n v="17.28"/>
    <n v="17.28"/>
    <n v="17.28"/>
    <n v="17.28"/>
    <n v="17.28"/>
    <n v="17.28"/>
    <n v="207.36"/>
    <m/>
    <n v="17.28"/>
    <n v="17.28"/>
    <n v="17.28"/>
    <n v="17.28"/>
    <n v="17.28"/>
    <n v="18.008426441379463"/>
    <n v="18.008426441379463"/>
    <n v="18.008426441379463"/>
    <n v="18.008426441379463"/>
    <n v="18.008426441379463"/>
    <n v="18.008426441379463"/>
    <n v="18.008426441379463"/>
    <n v="212.4589850896563"/>
    <m/>
    <n v="2.9387755102040818"/>
    <n v="2.9387755102040818"/>
    <n v="2.9387755102040818"/>
    <n v="2.9387755102040818"/>
    <n v="2.9387755102040818"/>
    <n v="3.0626575580577318"/>
    <n v="3.0626575580577318"/>
    <n v="3.0626575580577318"/>
    <n v="3.0626575580577318"/>
    <n v="3.0626575580577318"/>
    <n v="3.0626575580577318"/>
    <n v="3.0626575580577318"/>
    <n v="36.132480457424535"/>
    <x v="0"/>
  </r>
  <r>
    <x v="0"/>
    <x v="0"/>
    <x v="1"/>
    <x v="1"/>
    <x v="0"/>
    <x v="31"/>
    <x v="2"/>
    <x v="33"/>
    <s v="Existente"/>
    <s v="Mensal"/>
    <s v="Contrato em Curso"/>
    <s v="BU-MMAZ | TI"/>
    <s v="Alexandre Ayabe"/>
    <x v="2"/>
    <d v="2026-06-01T00:00:00"/>
    <s v="BRL"/>
    <n v="48000"/>
    <n v="48000"/>
    <n v="48000"/>
    <n v="48000"/>
    <n v="48000"/>
    <n v="48000"/>
    <n v="48000"/>
    <n v="48000"/>
    <n v="48000"/>
    <n v="48000"/>
    <n v="48000"/>
    <n v="48000"/>
    <n v="576000"/>
    <m/>
    <n v="48"/>
    <n v="48"/>
    <n v="48"/>
    <n v="48"/>
    <n v="48"/>
    <n v="48"/>
    <n v="48"/>
    <n v="48"/>
    <n v="48"/>
    <n v="48"/>
    <n v="48"/>
    <n v="48"/>
    <n v="576"/>
    <m/>
    <n v="48"/>
    <n v="48"/>
    <n v="48"/>
    <n v="48"/>
    <n v="48"/>
    <n v="50.023406781609609"/>
    <n v="50.023406781609609"/>
    <n v="50.023406781609609"/>
    <n v="50.023406781609609"/>
    <n v="50.023406781609609"/>
    <n v="50.023406781609609"/>
    <n v="50.023406781609609"/>
    <n v="590.16384747126722"/>
    <m/>
    <n v="8.1632653061224492"/>
    <n v="8.1632653061224492"/>
    <n v="8.1632653061224492"/>
    <n v="8.1632653061224492"/>
    <n v="8.1632653061224492"/>
    <n v="8.5073821057159194"/>
    <n v="8.5073821057159194"/>
    <n v="8.5073821057159194"/>
    <n v="8.5073821057159194"/>
    <n v="8.5073821057159194"/>
    <n v="8.5073821057159194"/>
    <n v="8.5073821057159194"/>
    <n v="100.36800127062368"/>
    <x v="0"/>
  </r>
  <r>
    <x v="0"/>
    <x v="0"/>
    <x v="3"/>
    <x v="3"/>
    <x v="0"/>
    <x v="31"/>
    <x v="2"/>
    <x v="33"/>
    <s v="Existente"/>
    <s v="Mensal"/>
    <s v="Contrato em Curso"/>
    <s v="BU-MRV | TI"/>
    <s v="Alexandre Ayabe"/>
    <x v="2"/>
    <d v="2026-06-01T00:00:00"/>
    <s v="BRL"/>
    <n v="4800"/>
    <n v="4800"/>
    <n v="4800"/>
    <n v="4800"/>
    <n v="4800"/>
    <n v="4800"/>
    <n v="4800"/>
    <n v="4800"/>
    <n v="4800"/>
    <n v="4800"/>
    <n v="4800"/>
    <n v="4800"/>
    <n v="57600"/>
    <m/>
    <n v="4.8"/>
    <n v="4.8"/>
    <n v="4.8"/>
    <n v="4.8"/>
    <n v="4.8"/>
    <n v="4.8"/>
    <n v="4.8"/>
    <n v="4.8"/>
    <n v="4.8"/>
    <n v="4.8"/>
    <n v="4.8"/>
    <n v="4.8"/>
    <n v="57.599999999999987"/>
    <m/>
    <n v="4.8"/>
    <n v="4.8"/>
    <n v="4.8"/>
    <n v="4.8"/>
    <n v="4.8"/>
    <n v="5.0023406781609614"/>
    <n v="5.0023406781609614"/>
    <n v="5.0023406781609614"/>
    <n v="5.0023406781609614"/>
    <n v="5.0023406781609614"/>
    <n v="5.0023406781609614"/>
    <n v="5.0023406781609614"/>
    <n v="59.016384747126736"/>
    <m/>
    <n v="0.81632653061224492"/>
    <n v="0.81632653061224492"/>
    <n v="0.81632653061224492"/>
    <n v="0.81632653061224492"/>
    <n v="0.81632653061224492"/>
    <n v="0.85073821057159205"/>
    <n v="0.85073821057159205"/>
    <n v="0.85073821057159205"/>
    <n v="0.85073821057159205"/>
    <n v="0.85073821057159205"/>
    <n v="0.85073821057159205"/>
    <n v="0.85073821057159205"/>
    <n v="10.036800127062369"/>
    <x v="0"/>
  </r>
  <r>
    <x v="0"/>
    <x v="0"/>
    <x v="4"/>
    <x v="4"/>
    <x v="0"/>
    <x v="31"/>
    <x v="2"/>
    <x v="33"/>
    <s v="Existente"/>
    <s v="Mensal"/>
    <s v="Contrato em Curso"/>
    <s v="BU-GRU | TI"/>
    <s v="Alexandre Ayabe"/>
    <x v="2"/>
    <d v="2026-06-01T00:00:00"/>
    <s v="BRL"/>
    <n v="5760"/>
    <n v="5760"/>
    <n v="5760"/>
    <n v="5760"/>
    <n v="5760"/>
    <n v="5760"/>
    <n v="5760"/>
    <n v="5760"/>
    <n v="5760"/>
    <n v="5760"/>
    <n v="5760"/>
    <n v="5760"/>
    <n v="69120"/>
    <m/>
    <n v="5.76"/>
    <n v="5.76"/>
    <n v="5.76"/>
    <n v="5.76"/>
    <n v="5.76"/>
    <n v="5.76"/>
    <n v="5.76"/>
    <n v="5.76"/>
    <n v="5.76"/>
    <n v="5.76"/>
    <n v="5.76"/>
    <n v="5.76"/>
    <n v="69.11999999999999"/>
    <m/>
    <n v="5.76"/>
    <n v="5.76"/>
    <n v="5.76"/>
    <n v="5.76"/>
    <n v="5.76"/>
    <n v="6.0028088137931537"/>
    <n v="6.0028088137931537"/>
    <n v="6.0028088137931537"/>
    <n v="6.0028088137931537"/>
    <n v="6.0028088137931537"/>
    <n v="6.0028088137931537"/>
    <n v="6.0028088137931537"/>
    <n v="70.81966169655206"/>
    <m/>
    <n v="0.97959183673469385"/>
    <n v="0.97959183673469385"/>
    <n v="0.97959183673469385"/>
    <n v="0.97959183673469385"/>
    <n v="0.97959183673469385"/>
    <n v="1.0208858526859106"/>
    <n v="1.0208858526859106"/>
    <n v="1.0208858526859106"/>
    <n v="1.0208858526859106"/>
    <n v="1.0208858526859106"/>
    <n v="1.0208858526859106"/>
    <n v="1.0208858526859106"/>
    <n v="12.044160152474847"/>
    <x v="0"/>
  </r>
  <r>
    <x v="0"/>
    <x v="0"/>
    <x v="6"/>
    <x v="6"/>
    <x v="0"/>
    <x v="31"/>
    <x v="2"/>
    <x v="33"/>
    <s v="Existente"/>
    <s v="Mensal"/>
    <s v="Contrato em Curso"/>
    <s v="PL | TI"/>
    <s v="Alexandre Ayabe"/>
    <x v="2"/>
    <d v="2026-06-01T00:00:00"/>
    <s v="BRL"/>
    <n v="15360"/>
    <n v="15360"/>
    <n v="15360"/>
    <n v="15360"/>
    <n v="15360"/>
    <n v="15360"/>
    <n v="15360"/>
    <n v="15360"/>
    <n v="15360"/>
    <n v="15360"/>
    <n v="15360"/>
    <n v="15360"/>
    <n v="184320"/>
    <m/>
    <n v="15.36"/>
    <n v="15.36"/>
    <n v="15.36"/>
    <n v="15.36"/>
    <n v="15.36"/>
    <n v="15.36"/>
    <n v="15.36"/>
    <n v="15.36"/>
    <n v="15.36"/>
    <n v="15.36"/>
    <n v="15.36"/>
    <n v="15.36"/>
    <n v="184.32000000000005"/>
    <m/>
    <n v="15.36"/>
    <n v="15.36"/>
    <n v="15.36"/>
    <n v="15.36"/>
    <n v="15.36"/>
    <n v="16.007490170115076"/>
    <n v="16.007490170115076"/>
    <n v="16.007490170115076"/>
    <n v="16.007490170115076"/>
    <n v="16.007490170115076"/>
    <n v="16.007490170115076"/>
    <n v="16.007490170115076"/>
    <n v="188.85243119080559"/>
    <m/>
    <n v="2.6122448979591835"/>
    <n v="2.6122448979591835"/>
    <n v="2.6122448979591835"/>
    <n v="2.6122448979591835"/>
    <n v="2.6122448979591835"/>
    <n v="2.7223622738290949"/>
    <n v="2.7223622738290949"/>
    <n v="2.7223622738290949"/>
    <n v="2.7223622738290949"/>
    <n v="2.7223622738290949"/>
    <n v="2.7223622738290949"/>
    <n v="2.7223622738290949"/>
    <n v="32.117760406599587"/>
    <x v="2"/>
  </r>
  <r>
    <x v="0"/>
    <x v="0"/>
    <x v="7"/>
    <x v="7"/>
    <x v="0"/>
    <x v="31"/>
    <x v="2"/>
    <x v="33"/>
    <s v="Existente"/>
    <s v="Mensal"/>
    <s v="Contrato em Curso"/>
    <s v="CP | TI"/>
    <s v="Jimmy Espinosa"/>
    <x v="2"/>
    <d v="2026-06-01T00:00:00"/>
    <s v="BRL"/>
    <n v="4800"/>
    <n v="4800"/>
    <n v="4800"/>
    <n v="4800"/>
    <n v="4800"/>
    <n v="4800"/>
    <n v="4800"/>
    <n v="4800"/>
    <n v="4800"/>
    <n v="4800"/>
    <n v="4800"/>
    <n v="4800"/>
    <n v="57600"/>
    <m/>
    <n v="4.8"/>
    <n v="4.8"/>
    <n v="4.8"/>
    <n v="4.8"/>
    <n v="4.8"/>
    <n v="4.8"/>
    <n v="4.8"/>
    <n v="4.8"/>
    <n v="4.8"/>
    <n v="4.8"/>
    <n v="4.8"/>
    <n v="4.8"/>
    <n v="57.599999999999987"/>
    <m/>
    <n v="4.8"/>
    <n v="4.8"/>
    <n v="4.8"/>
    <n v="4.8"/>
    <n v="4.8"/>
    <n v="5.0023406781609614"/>
    <n v="5.0023406781609614"/>
    <n v="5.0023406781609614"/>
    <n v="5.0023406781609614"/>
    <n v="5.0023406781609614"/>
    <n v="5.0023406781609614"/>
    <n v="5.0023406781609614"/>
    <n v="59.016384747126736"/>
    <m/>
    <n v="0.81632653061224492"/>
    <n v="0.81632653061224492"/>
    <n v="0.81632653061224492"/>
    <n v="0.81632653061224492"/>
    <n v="0.81632653061224492"/>
    <n v="0.85073821057159205"/>
    <n v="0.85073821057159205"/>
    <n v="0.85073821057159205"/>
    <n v="0.85073821057159205"/>
    <n v="0.85073821057159205"/>
    <n v="0.85073821057159205"/>
    <n v="0.85073821057159205"/>
    <n v="10.036800127062369"/>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32"/>
    <x v="0"/>
    <x v="34"/>
    <s v="Existente"/>
    <s v="Mensal"/>
    <s v="Contrato em Curso"/>
    <s v="PL | TI"/>
    <s v="Alexandre Ayabe"/>
    <x v="4"/>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2"/>
  </r>
  <r>
    <x v="0"/>
    <x v="0"/>
    <x v="7"/>
    <x v="7"/>
    <x v="0"/>
    <x v="32"/>
    <x v="0"/>
    <x v="34"/>
    <s v="Existente"/>
    <s v="Mensal"/>
    <s v="Contrato em Curso"/>
    <s v="CP | TI"/>
    <s v="Jimmy Espinosa"/>
    <x v="4"/>
    <m/>
    <s v="BRL"/>
    <n v="1750"/>
    <n v="1750"/>
    <n v="1750"/>
    <n v="1750"/>
    <n v="1750"/>
    <n v="1750"/>
    <n v="1750"/>
    <n v="1750"/>
    <n v="1750"/>
    <n v="1750"/>
    <n v="1750"/>
    <n v="1750"/>
    <n v="21000"/>
    <m/>
    <n v="1.75"/>
    <n v="1.75"/>
    <n v="1.75"/>
    <n v="1.75"/>
    <n v="1.75"/>
    <n v="1.75"/>
    <n v="1.75"/>
    <n v="1.75"/>
    <n v="1.75"/>
    <n v="1.75"/>
    <n v="1.75"/>
    <n v="1.75"/>
    <n v="21"/>
    <m/>
    <n v="1.75"/>
    <n v="1.75"/>
    <n v="1.75"/>
    <n v="1.75"/>
    <n v="1.75"/>
    <n v="1.75"/>
    <n v="1.75"/>
    <n v="1.75"/>
    <n v="1.75"/>
    <n v="1.75"/>
    <n v="1.75"/>
    <n v="1.75"/>
    <n v="21"/>
    <m/>
    <n v="0.29761904761904762"/>
    <n v="0.29761904761904762"/>
    <n v="0.29761904761904762"/>
    <n v="0.29761904761904762"/>
    <n v="0.29761904761904762"/>
    <n v="0.29761904761904762"/>
    <n v="0.29761904761904762"/>
    <n v="0.29761904761904762"/>
    <n v="0.29761904761904762"/>
    <n v="0.29761904761904762"/>
    <n v="0.29761904761904762"/>
    <n v="0.29761904761904762"/>
    <n v="3.5714285714285707"/>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33"/>
    <x v="0"/>
    <x v="35"/>
    <s v="Existente"/>
    <s v="Mensal"/>
    <s v="Contrato em Curso"/>
    <s v="TR | TI"/>
    <s v="Alexandre Ayabe"/>
    <x v="5"/>
    <m/>
    <s v="BRL"/>
    <n v="633.34"/>
    <n v="633.34"/>
    <n v="633.34"/>
    <n v="633.34"/>
    <n v="633.34"/>
    <n v="633.34"/>
    <n v="633.34"/>
    <n v="633.34"/>
    <n v="633.34"/>
    <n v="633.34"/>
    <n v="633.34"/>
    <n v="633.34"/>
    <n v="7600.0800000000008"/>
    <m/>
    <n v="0.63334000000000001"/>
    <n v="0.63334000000000001"/>
    <n v="0.63334000000000001"/>
    <n v="0.63334000000000001"/>
    <n v="0.63334000000000001"/>
    <n v="0.63334000000000001"/>
    <n v="0.63334000000000001"/>
    <n v="0.63334000000000001"/>
    <n v="0.63334000000000001"/>
    <n v="0.63334000000000001"/>
    <n v="0.63334000000000001"/>
    <n v="0.63334000000000001"/>
    <n v="7.6000800000000019"/>
    <m/>
    <n v="0.63334000000000001"/>
    <n v="0.63334000000000001"/>
    <n v="0.63334000000000001"/>
    <n v="0.63334000000000001"/>
    <n v="0.63334000000000001"/>
    <n v="0.63334000000000001"/>
    <n v="0.63334000000000001"/>
    <n v="0.63334000000000001"/>
    <n v="0.63334000000000001"/>
    <n v="0.63334000000000001"/>
    <n v="0.63334000000000001"/>
    <n v="0.63334000000000001"/>
    <n v="7.6000800000000019"/>
    <m/>
    <n v="0.1077108843537415"/>
    <n v="0.1077108843537415"/>
    <n v="0.1077108843537415"/>
    <n v="0.1077108843537415"/>
    <n v="0.1077108843537415"/>
    <n v="0.1077108843537415"/>
    <n v="0.1077108843537415"/>
    <n v="0.1077108843537415"/>
    <n v="0.1077108843537415"/>
    <n v="0.1077108843537415"/>
    <n v="0.1077108843537415"/>
    <n v="0.1077108843537415"/>
    <n v="1.2925306122448983"/>
    <x v="4"/>
  </r>
  <r>
    <x v="0"/>
    <x v="0"/>
    <x v="0"/>
    <x v="16"/>
    <x v="5"/>
    <x v="33"/>
    <x v="0"/>
    <x v="35"/>
    <s v="Existente"/>
    <s v="Mensal"/>
    <s v="Contrato em Curso"/>
    <s v="TR | TI"/>
    <s v="Alexandre Ayabe"/>
    <x v="5"/>
    <m/>
    <s v="BRL"/>
    <n v="4966"/>
    <n v="4966"/>
    <n v="4966"/>
    <n v="4966"/>
    <n v="4966"/>
    <n v="4966"/>
    <n v="4966"/>
    <n v="4966"/>
    <n v="4966"/>
    <n v="4966"/>
    <n v="4966"/>
    <n v="4966"/>
    <n v="59592"/>
    <m/>
    <n v="4.9660000000000002"/>
    <n v="4.9660000000000002"/>
    <n v="4.9660000000000002"/>
    <n v="4.9660000000000002"/>
    <n v="4.9660000000000002"/>
    <n v="4.9660000000000002"/>
    <n v="4.9660000000000002"/>
    <n v="4.9660000000000002"/>
    <n v="4.9660000000000002"/>
    <n v="4.9660000000000002"/>
    <n v="4.9660000000000002"/>
    <n v="4.9660000000000002"/>
    <n v="59.592000000000006"/>
    <m/>
    <n v="4.9660000000000002"/>
    <n v="4.9660000000000002"/>
    <n v="4.9660000000000002"/>
    <n v="4.9660000000000002"/>
    <n v="4.9660000000000002"/>
    <n v="4.9660000000000002"/>
    <n v="4.9660000000000002"/>
    <n v="4.9660000000000002"/>
    <n v="4.9660000000000002"/>
    <n v="4.9660000000000002"/>
    <n v="4.9660000000000002"/>
    <n v="4.9660000000000002"/>
    <n v="59.592000000000006"/>
    <m/>
    <n v="0.84455782312925176"/>
    <n v="0.84455782312925176"/>
    <n v="0.84455782312925176"/>
    <n v="0.84455782312925176"/>
    <n v="0.84455782312925176"/>
    <n v="0.84455782312925176"/>
    <n v="0.84455782312925176"/>
    <n v="0.84455782312925176"/>
    <n v="0.84455782312925176"/>
    <n v="0.84455782312925176"/>
    <n v="0.84455782312925176"/>
    <n v="0.84455782312925176"/>
    <n v="10.134693877551021"/>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34"/>
    <x v="0"/>
    <x v="36"/>
    <s v="Novo"/>
    <s v="Mensal"/>
    <s v="Média - Impacta a operação"/>
    <s v="FG-PNG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1"/>
    <x v="9"/>
    <x v="2"/>
    <x v="34"/>
    <x v="0"/>
    <x v="36"/>
    <s v="Novo"/>
    <s v="Mensal"/>
    <s v="Média - Impacta a operação"/>
    <s v="FG-ITJ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1"/>
    <x v="10"/>
    <x v="2"/>
    <x v="34"/>
    <x v="0"/>
    <x v="36"/>
    <s v="Novo"/>
    <s v="Mensal"/>
    <s v="Média - Impacta a operação"/>
    <s v="FG-RGD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1"/>
    <x v="12"/>
    <x v="2"/>
    <x v="34"/>
    <x v="0"/>
    <x v="36"/>
    <s v="Novo"/>
    <s v="Mensal"/>
    <s v="Média - Impacta a operação"/>
    <s v="FG-PE2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3"/>
    <x v="13"/>
    <x v="2"/>
    <x v="34"/>
    <x v="0"/>
    <x v="36"/>
    <s v="Novo"/>
    <s v="Mensal"/>
    <s v="Média - Impacta a operação"/>
    <s v="FG-VLP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3"/>
    <x v="14"/>
    <x v="2"/>
    <x v="34"/>
    <x v="0"/>
    <x v="36"/>
    <s v="Novo"/>
    <s v="Mensal"/>
    <s v="Média - Impacta a operação"/>
    <s v="FG-PSF | TI"/>
    <s v="Alexandre Ayabe"/>
    <x v="5"/>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34"/>
    <x v="0"/>
    <x v="36"/>
    <s v="Novo"/>
    <s v="Mensal"/>
    <s v="Média - Impacta a operação"/>
    <s v="FG-GRUB | TI"/>
    <s v="Alexandre Ayabe"/>
    <x v="5"/>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35"/>
    <x v="2"/>
    <x v="37"/>
    <s v="Existente"/>
    <s v="Mensal"/>
    <s v="Contrato em Curso"/>
    <s v="FG-PNG | TI"/>
    <s v="Alexandre Ayabe"/>
    <x v="8"/>
    <m/>
    <s v="BRL"/>
    <n v="18000"/>
    <n v="18000"/>
    <n v="18000"/>
    <n v="18000"/>
    <n v="18000"/>
    <n v="18000"/>
    <n v="18000"/>
    <n v="18000"/>
    <n v="18000"/>
    <n v="18000"/>
    <n v="18000"/>
    <n v="18000"/>
    <n v="216000"/>
    <m/>
    <n v="18"/>
    <n v="18"/>
    <n v="18"/>
    <n v="18"/>
    <n v="18"/>
    <n v="18"/>
    <n v="18"/>
    <n v="18"/>
    <n v="18"/>
    <n v="18"/>
    <n v="18"/>
    <n v="18"/>
    <n v="216"/>
    <m/>
    <n v="18"/>
    <n v="18"/>
    <n v="18"/>
    <n v="18"/>
    <n v="18"/>
    <n v="18"/>
    <n v="18"/>
    <n v="18"/>
    <n v="18"/>
    <n v="18"/>
    <n v="18"/>
    <n v="18"/>
    <n v="216"/>
    <m/>
    <n v="3.0612244897959182"/>
    <n v="3.0612244897959182"/>
    <n v="3.0612244897959182"/>
    <n v="3.0612244897959182"/>
    <n v="3.0612244897959182"/>
    <n v="3.0612244897959182"/>
    <n v="3.0612244897959182"/>
    <n v="3.0612244897959182"/>
    <n v="3.0612244897959182"/>
    <n v="3.0612244897959182"/>
    <n v="3.0612244897959182"/>
    <n v="3.0612244897959182"/>
    <n v="36.734693877551017"/>
    <x v="4"/>
  </r>
  <r>
    <x v="0"/>
    <x v="0"/>
    <x v="1"/>
    <x v="9"/>
    <x v="2"/>
    <x v="35"/>
    <x v="2"/>
    <x v="37"/>
    <s v="Existente"/>
    <s v="Mensal"/>
    <s v="Contrato em Curso"/>
    <s v="FG-ITJ | TI"/>
    <s v="Alexandre Ayabe"/>
    <x v="8"/>
    <m/>
    <s v="BRL"/>
    <n v="11000"/>
    <n v="11000"/>
    <n v="11000"/>
    <n v="11000"/>
    <n v="11000"/>
    <n v="11000"/>
    <n v="11000"/>
    <n v="11000"/>
    <n v="11000"/>
    <n v="11000"/>
    <n v="11000"/>
    <n v="11000"/>
    <n v="132000"/>
    <m/>
    <n v="11"/>
    <n v="11"/>
    <n v="11"/>
    <n v="11"/>
    <n v="11"/>
    <n v="11"/>
    <n v="11"/>
    <n v="11"/>
    <n v="11"/>
    <n v="11"/>
    <n v="11"/>
    <n v="11"/>
    <n v="132"/>
    <m/>
    <n v="11"/>
    <n v="11"/>
    <n v="11"/>
    <n v="11"/>
    <n v="11"/>
    <n v="11"/>
    <n v="11"/>
    <n v="11"/>
    <n v="11"/>
    <n v="11"/>
    <n v="11"/>
    <n v="11"/>
    <n v="132"/>
    <m/>
    <n v="1.870748299319728"/>
    <n v="1.870748299319728"/>
    <n v="1.870748299319728"/>
    <n v="1.870748299319728"/>
    <n v="1.870748299319728"/>
    <n v="1.870748299319728"/>
    <n v="1.870748299319728"/>
    <n v="1.870748299319728"/>
    <n v="1.870748299319728"/>
    <n v="1.870748299319728"/>
    <n v="1.870748299319728"/>
    <n v="1.870748299319728"/>
    <n v="22.448979591836743"/>
    <x v="4"/>
  </r>
  <r>
    <x v="0"/>
    <x v="0"/>
    <x v="1"/>
    <x v="10"/>
    <x v="2"/>
    <x v="35"/>
    <x v="2"/>
    <x v="37"/>
    <s v="Existente"/>
    <s v="Mensal"/>
    <s v="Contrato em Curso"/>
    <s v="FG-RGD | TI"/>
    <s v="Alexandre Ayabe"/>
    <x v="8"/>
    <m/>
    <s v="BRL"/>
    <n v="10000"/>
    <n v="10000"/>
    <n v="10000"/>
    <n v="10000"/>
    <n v="10000"/>
    <n v="10000"/>
    <n v="10000"/>
    <n v="10000"/>
    <n v="10000"/>
    <n v="10000"/>
    <n v="10000"/>
    <n v="10000"/>
    <n v="120000"/>
    <m/>
    <n v="10"/>
    <n v="10"/>
    <n v="10"/>
    <n v="10"/>
    <n v="10"/>
    <n v="10"/>
    <n v="10"/>
    <n v="10"/>
    <n v="10"/>
    <n v="10"/>
    <n v="10"/>
    <n v="10"/>
    <n v="120"/>
    <m/>
    <n v="10"/>
    <n v="10"/>
    <n v="10"/>
    <n v="10"/>
    <n v="10"/>
    <n v="10"/>
    <n v="10"/>
    <n v="10"/>
    <n v="10"/>
    <n v="10"/>
    <n v="10"/>
    <n v="10"/>
    <n v="120"/>
    <m/>
    <n v="1.7006802721088436"/>
    <n v="1.7006802721088436"/>
    <n v="1.7006802721088436"/>
    <n v="1.7006802721088436"/>
    <n v="1.7006802721088436"/>
    <n v="1.7006802721088436"/>
    <n v="1.7006802721088436"/>
    <n v="1.7006802721088436"/>
    <n v="1.7006802721088436"/>
    <n v="1.7006802721088436"/>
    <n v="1.7006802721088436"/>
    <n v="1.7006802721088436"/>
    <n v="20.408163265306126"/>
    <x v="4"/>
  </r>
  <r>
    <x v="0"/>
    <x v="0"/>
    <x v="1"/>
    <x v="12"/>
    <x v="2"/>
    <x v="35"/>
    <x v="2"/>
    <x v="37"/>
    <s v="Existente"/>
    <s v="Mensal"/>
    <s v="Contrato em Curso"/>
    <s v="FG-PE2 | TI"/>
    <s v="Alexandre Ayabe"/>
    <x v="8"/>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12"/>
    <x v="2"/>
    <x v="35"/>
    <x v="2"/>
    <x v="37"/>
    <s v="Existente"/>
    <s v="Mensal"/>
    <s v="Contrato em Curso"/>
    <s v="FG-PE2 | TI"/>
    <s v="Alexandre Ayabe"/>
    <x v="8"/>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12"/>
    <x v="2"/>
    <x v="35"/>
    <x v="2"/>
    <x v="37"/>
    <s v="Existente"/>
    <s v="Mensal"/>
    <s v="Contrato em Curso"/>
    <s v="FG-PE2 | TI"/>
    <s v="Alexandre Ayabe"/>
    <x v="8"/>
    <m/>
    <s v="BRL"/>
    <n v="12000"/>
    <n v="12000"/>
    <n v="12000"/>
    <n v="12000"/>
    <n v="12000"/>
    <n v="12000"/>
    <n v="12000"/>
    <n v="12000"/>
    <n v="12000"/>
    <n v="12000"/>
    <n v="12000"/>
    <n v="12000"/>
    <n v="144000"/>
    <m/>
    <n v="12"/>
    <n v="12"/>
    <n v="12"/>
    <n v="12"/>
    <n v="12"/>
    <n v="12"/>
    <n v="12"/>
    <n v="12"/>
    <n v="12"/>
    <n v="12"/>
    <n v="12"/>
    <n v="12"/>
    <n v="144"/>
    <m/>
    <n v="12"/>
    <n v="12"/>
    <n v="12"/>
    <n v="12"/>
    <n v="12"/>
    <n v="12"/>
    <n v="12"/>
    <n v="12"/>
    <n v="12"/>
    <n v="12"/>
    <n v="12"/>
    <n v="12"/>
    <n v="144"/>
    <m/>
    <n v="2.0408163265306123"/>
    <n v="2.0408163265306123"/>
    <n v="2.0408163265306123"/>
    <n v="2.0408163265306123"/>
    <n v="2.0408163265306123"/>
    <n v="2.0408163265306123"/>
    <n v="2.0408163265306123"/>
    <n v="2.0408163265306123"/>
    <n v="2.0408163265306123"/>
    <n v="2.0408163265306123"/>
    <n v="2.0408163265306123"/>
    <n v="2.0408163265306123"/>
    <n v="24.489795918367353"/>
    <x v="4"/>
  </r>
  <r>
    <x v="0"/>
    <x v="0"/>
    <x v="3"/>
    <x v="13"/>
    <x v="2"/>
    <x v="35"/>
    <x v="2"/>
    <x v="37"/>
    <s v="Existente"/>
    <s v="Mensal"/>
    <s v="Contrato em Curso"/>
    <s v="FG-VLP | TI"/>
    <s v="Alexandre Ayabe"/>
    <x v="8"/>
    <m/>
    <s v="BRL"/>
    <n v="6000"/>
    <n v="6000"/>
    <n v="6000"/>
    <n v="6000"/>
    <n v="6000"/>
    <n v="6000"/>
    <n v="6000"/>
    <n v="6000"/>
    <n v="6000"/>
    <n v="6000"/>
    <n v="6000"/>
    <n v="6000"/>
    <n v="72000"/>
    <m/>
    <n v="6"/>
    <n v="6"/>
    <n v="6"/>
    <n v="6"/>
    <n v="6"/>
    <n v="6"/>
    <n v="6"/>
    <n v="6"/>
    <n v="6"/>
    <n v="6"/>
    <n v="6"/>
    <n v="6"/>
    <n v="72"/>
    <m/>
    <n v="6"/>
    <n v="6"/>
    <n v="6"/>
    <n v="6"/>
    <n v="6"/>
    <n v="6"/>
    <n v="6"/>
    <n v="6"/>
    <n v="6"/>
    <n v="6"/>
    <n v="6"/>
    <n v="6"/>
    <n v="72"/>
    <m/>
    <n v="1.0204081632653061"/>
    <n v="1.0204081632653061"/>
    <n v="1.0204081632653061"/>
    <n v="1.0204081632653061"/>
    <n v="1.0204081632653061"/>
    <n v="1.0204081632653061"/>
    <n v="1.0204081632653061"/>
    <n v="1.0204081632653061"/>
    <n v="1.0204081632653061"/>
    <n v="1.0204081632653061"/>
    <n v="1.0204081632653061"/>
    <n v="1.0204081632653061"/>
    <n v="12.244897959183676"/>
    <x v="4"/>
  </r>
  <r>
    <x v="0"/>
    <x v="0"/>
    <x v="3"/>
    <x v="14"/>
    <x v="2"/>
    <x v="35"/>
    <x v="2"/>
    <x v="37"/>
    <s v="Existente"/>
    <s v="Mensal"/>
    <s v="Contrato em Curso"/>
    <s v="FG-PSF | TI"/>
    <s v="Alexandre Ayabe"/>
    <x v="8"/>
    <m/>
    <s v="BRL"/>
    <n v="6000"/>
    <n v="6000"/>
    <n v="6000"/>
    <n v="6000"/>
    <n v="6000"/>
    <n v="6000"/>
    <n v="6000"/>
    <n v="6000"/>
    <n v="6000"/>
    <n v="6000"/>
    <n v="6000"/>
    <n v="6000"/>
    <n v="72000"/>
    <m/>
    <n v="6"/>
    <n v="6"/>
    <n v="6"/>
    <n v="6"/>
    <n v="6"/>
    <n v="6"/>
    <n v="6"/>
    <n v="6"/>
    <n v="6"/>
    <n v="6"/>
    <n v="6"/>
    <n v="6"/>
    <n v="72"/>
    <m/>
    <n v="6"/>
    <n v="6"/>
    <n v="6"/>
    <n v="6"/>
    <n v="6"/>
    <n v="6"/>
    <n v="6"/>
    <n v="6"/>
    <n v="6"/>
    <n v="6"/>
    <n v="6"/>
    <n v="6"/>
    <n v="72"/>
    <m/>
    <n v="1.0204081632653061"/>
    <n v="1.0204081632653061"/>
    <n v="1.0204081632653061"/>
    <n v="1.0204081632653061"/>
    <n v="1.0204081632653061"/>
    <n v="1.0204081632653061"/>
    <n v="1.0204081632653061"/>
    <n v="1.0204081632653061"/>
    <n v="1.0204081632653061"/>
    <n v="1.0204081632653061"/>
    <n v="1.0204081632653061"/>
    <n v="1.0204081632653061"/>
    <n v="12.244897959183676"/>
    <x v="4"/>
  </r>
  <r>
    <x v="0"/>
    <x v="0"/>
    <x v="4"/>
    <x v="15"/>
    <x v="2"/>
    <x v="35"/>
    <x v="2"/>
    <x v="37"/>
    <s v="Existente"/>
    <s v="Mensal"/>
    <s v="Contrato em Curso"/>
    <s v="FG-GRUB | TI"/>
    <s v="Alexandre Ayabe"/>
    <x v="8"/>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36"/>
    <x v="2"/>
    <x v="38"/>
    <s v="Existente"/>
    <s v="Mensal"/>
    <s v="Contrato em Curso"/>
    <s v="PL | TI"/>
    <s v="Alexandre Ayabe"/>
    <x v="9"/>
    <m/>
    <s v="BRL"/>
    <n v="30000"/>
    <n v="30000"/>
    <n v="30000"/>
    <n v="30000"/>
    <n v="30000"/>
    <n v="30000"/>
    <n v="30000"/>
    <n v="30000"/>
    <n v="30000"/>
    <n v="30000"/>
    <n v="30000"/>
    <n v="30000"/>
    <n v="360000"/>
    <m/>
    <n v="30"/>
    <n v="30"/>
    <n v="30"/>
    <n v="30"/>
    <n v="30"/>
    <n v="30"/>
    <n v="30"/>
    <n v="30"/>
    <n v="30"/>
    <n v="30"/>
    <n v="30"/>
    <n v="30"/>
    <n v="360"/>
    <m/>
    <n v="30"/>
    <n v="30"/>
    <n v="30"/>
    <n v="30"/>
    <n v="30"/>
    <n v="30"/>
    <n v="30"/>
    <n v="30"/>
    <n v="30"/>
    <n v="30"/>
    <n v="30"/>
    <n v="30"/>
    <n v="360"/>
    <m/>
    <n v="5.1020408163265305"/>
    <n v="5.1020408163265305"/>
    <n v="5.1020408163265305"/>
    <n v="5.1020408163265305"/>
    <n v="5.1020408163265305"/>
    <n v="5.1020408163265305"/>
    <n v="5.1020408163265305"/>
    <n v="5.1020408163265305"/>
    <n v="5.1020408163265305"/>
    <n v="5.1020408163265305"/>
    <n v="5.1020408163265305"/>
    <n v="5.1020408163265305"/>
    <n v="61.224489795918352"/>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37"/>
    <x v="2"/>
    <x v="39"/>
    <s v="Novo"/>
    <s v="Pontual"/>
    <s v="Média - Impacta a operação"/>
    <s v="TR | TI"/>
    <s v="Alexandre Ayabe"/>
    <x v="2"/>
    <m/>
    <s v="BRL"/>
    <n v="0"/>
    <n v="0"/>
    <n v="8000"/>
    <n v="0"/>
    <n v="0"/>
    <n v="8000"/>
    <n v="0"/>
    <n v="0"/>
    <n v="8000"/>
    <n v="0"/>
    <n v="0"/>
    <n v="8000"/>
    <n v="32000"/>
    <m/>
    <n v="0"/>
    <n v="0"/>
    <n v="8"/>
    <n v="0"/>
    <n v="0"/>
    <n v="8"/>
    <n v="0"/>
    <n v="0"/>
    <n v="8"/>
    <n v="0"/>
    <n v="0"/>
    <n v="8"/>
    <n v="32"/>
    <m/>
    <n v="0"/>
    <n v="0"/>
    <n v="8"/>
    <n v="0"/>
    <n v="0"/>
    <n v="8"/>
    <n v="0"/>
    <n v="0"/>
    <n v="8"/>
    <n v="0"/>
    <n v="0"/>
    <n v="8"/>
    <n v="32"/>
    <m/>
    <n v="0"/>
    <n v="0"/>
    <n v="1.3605442176870748"/>
    <n v="0"/>
    <n v="0"/>
    <n v="1.3605442176870748"/>
    <n v="0"/>
    <n v="0"/>
    <n v="1.3605442176870748"/>
    <n v="0"/>
    <n v="0"/>
    <n v="1.3605442176870748"/>
    <n v="5.4421768707482991"/>
    <x v="4"/>
  </r>
  <r>
    <x v="0"/>
    <x v="0"/>
    <x v="1"/>
    <x v="8"/>
    <x v="6"/>
    <x v="37"/>
    <x v="2"/>
    <x v="39"/>
    <s v="Novo"/>
    <s v="Pontual"/>
    <s v="Média - Impacta a operação"/>
    <s v="PNG | TI"/>
    <s v="Alexandre Ayabe"/>
    <x v="2"/>
    <m/>
    <s v="BRL"/>
    <n v="0"/>
    <n v="0"/>
    <n v="10000"/>
    <n v="0"/>
    <n v="0"/>
    <n v="10000"/>
    <n v="0"/>
    <n v="0"/>
    <n v="10000"/>
    <n v="0"/>
    <n v="0"/>
    <n v="10000"/>
    <n v="40000"/>
    <m/>
    <n v="0"/>
    <n v="0"/>
    <n v="10"/>
    <n v="0"/>
    <n v="0"/>
    <n v="10"/>
    <n v="0"/>
    <n v="0"/>
    <n v="10"/>
    <n v="0"/>
    <n v="0"/>
    <n v="10"/>
    <n v="40"/>
    <m/>
    <n v="0"/>
    <n v="0"/>
    <n v="10"/>
    <n v="0"/>
    <n v="0"/>
    <n v="10"/>
    <n v="0"/>
    <n v="0"/>
    <n v="10"/>
    <n v="0"/>
    <n v="0"/>
    <n v="10"/>
    <n v="40"/>
    <m/>
    <n v="0"/>
    <n v="0"/>
    <n v="1.7006802721088436"/>
    <n v="0"/>
    <n v="0"/>
    <n v="1.7006802721088436"/>
    <n v="0"/>
    <n v="0"/>
    <n v="1.7006802721088436"/>
    <n v="0"/>
    <n v="0"/>
    <n v="1.7006802721088436"/>
    <n v="6.8027210884353746"/>
    <x v="4"/>
  </r>
  <r>
    <x v="0"/>
    <x v="0"/>
    <x v="1"/>
    <x v="8"/>
    <x v="3"/>
    <x v="37"/>
    <x v="2"/>
    <x v="39"/>
    <s v="Novo"/>
    <s v="Pontual"/>
    <s v="Média - Impacta a operação"/>
    <s v="CG-PNG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9"/>
    <x v="6"/>
    <x v="37"/>
    <x v="2"/>
    <x v="39"/>
    <s v="Novo"/>
    <s v="Pontual"/>
    <s v="Média - Impacta a operação"/>
    <s v="ITJ | TI"/>
    <s v="Alexandre Ayabe"/>
    <x v="2"/>
    <m/>
    <s v="BRL"/>
    <n v="0"/>
    <n v="0"/>
    <n v="10000"/>
    <n v="0"/>
    <n v="0"/>
    <n v="10000"/>
    <n v="0"/>
    <n v="0"/>
    <n v="10000"/>
    <n v="0"/>
    <n v="0"/>
    <n v="10000"/>
    <n v="40000"/>
    <m/>
    <n v="0"/>
    <n v="0"/>
    <n v="10"/>
    <n v="0"/>
    <n v="0"/>
    <n v="10"/>
    <n v="0"/>
    <n v="0"/>
    <n v="10"/>
    <n v="0"/>
    <n v="0"/>
    <n v="10"/>
    <n v="40"/>
    <m/>
    <n v="0"/>
    <n v="0"/>
    <n v="10"/>
    <n v="0"/>
    <n v="0"/>
    <n v="10"/>
    <n v="0"/>
    <n v="0"/>
    <n v="10"/>
    <n v="0"/>
    <n v="0"/>
    <n v="10"/>
    <n v="40"/>
    <m/>
    <n v="0"/>
    <n v="0"/>
    <n v="1.7006802721088436"/>
    <n v="0"/>
    <n v="0"/>
    <n v="1.7006802721088436"/>
    <n v="0"/>
    <n v="0"/>
    <n v="1.7006802721088436"/>
    <n v="0"/>
    <n v="0"/>
    <n v="1.7006802721088436"/>
    <n v="6.8027210884353746"/>
    <x v="4"/>
  </r>
  <r>
    <x v="0"/>
    <x v="0"/>
    <x v="1"/>
    <x v="10"/>
    <x v="6"/>
    <x v="37"/>
    <x v="2"/>
    <x v="39"/>
    <s v="Novo"/>
    <s v="Pontual"/>
    <s v="Média - Impacta a operação"/>
    <s v="RGD | TI"/>
    <s v="Alexandre Ayabe"/>
    <x v="2"/>
    <m/>
    <s v="BRL"/>
    <n v="0"/>
    <n v="0"/>
    <n v="4000"/>
    <n v="0"/>
    <n v="0"/>
    <n v="4000"/>
    <n v="0"/>
    <n v="0"/>
    <n v="4000"/>
    <n v="0"/>
    <n v="0"/>
    <n v="4000"/>
    <n v="16000"/>
    <m/>
    <n v="0"/>
    <n v="0"/>
    <n v="4"/>
    <n v="0"/>
    <n v="0"/>
    <n v="4"/>
    <n v="0"/>
    <n v="0"/>
    <n v="4"/>
    <n v="0"/>
    <n v="0"/>
    <n v="4"/>
    <n v="16"/>
    <m/>
    <n v="0"/>
    <n v="0"/>
    <n v="4"/>
    <n v="0"/>
    <n v="0"/>
    <n v="4"/>
    <n v="0"/>
    <n v="0"/>
    <n v="4"/>
    <n v="0"/>
    <n v="0"/>
    <n v="4"/>
    <n v="16"/>
    <m/>
    <n v="0"/>
    <n v="0"/>
    <n v="0.68027210884353739"/>
    <n v="0"/>
    <n v="0"/>
    <n v="0.68027210884353739"/>
    <n v="0"/>
    <n v="0"/>
    <n v="0.68027210884353739"/>
    <n v="0"/>
    <n v="0"/>
    <n v="0.68027210884353739"/>
    <n v="2.7210884353741496"/>
    <x v="4"/>
  </r>
  <r>
    <x v="0"/>
    <x v="0"/>
    <x v="1"/>
    <x v="11"/>
    <x v="3"/>
    <x v="37"/>
    <x v="2"/>
    <x v="39"/>
    <s v="Novo"/>
    <s v="Pontual"/>
    <s v="Média - Impacta a operação"/>
    <s v="CG-PTG | TI"/>
    <s v="Alexandre Ayabe"/>
    <x v="2"/>
    <m/>
    <s v="BRL"/>
    <n v="0"/>
    <n v="0"/>
    <n v="2000"/>
    <n v="0"/>
    <n v="0"/>
    <n v="2000"/>
    <n v="0"/>
    <n v="0"/>
    <n v="2000"/>
    <n v="0"/>
    <n v="0"/>
    <n v="2000"/>
    <n v="8000"/>
    <m/>
    <n v="0"/>
    <n v="0"/>
    <n v="2"/>
    <n v="0"/>
    <n v="0"/>
    <n v="2"/>
    <n v="0"/>
    <n v="0"/>
    <n v="2"/>
    <n v="0"/>
    <n v="0"/>
    <n v="2"/>
    <n v="8"/>
    <m/>
    <n v="0"/>
    <n v="0"/>
    <n v="2"/>
    <n v="0"/>
    <n v="0"/>
    <n v="2"/>
    <n v="0"/>
    <n v="0"/>
    <n v="2"/>
    <n v="0"/>
    <n v="0"/>
    <n v="2"/>
    <n v="8"/>
    <m/>
    <n v="0"/>
    <n v="0"/>
    <n v="0.3401360544217687"/>
    <n v="0"/>
    <n v="0"/>
    <n v="0.3401360544217687"/>
    <n v="0"/>
    <n v="0"/>
    <n v="0.3401360544217687"/>
    <n v="0"/>
    <n v="0"/>
    <n v="0.3401360544217687"/>
    <n v="1.3605442176870748"/>
    <x v="4"/>
  </r>
  <r>
    <x v="0"/>
    <x v="0"/>
    <x v="3"/>
    <x v="13"/>
    <x v="2"/>
    <x v="37"/>
    <x v="2"/>
    <x v="39"/>
    <s v="Novo"/>
    <s v="Pontual"/>
    <s v="Média - Impacta a operação"/>
    <s v="FG-VLP | TI"/>
    <s v="Alexandre Ayabe"/>
    <x v="2"/>
    <m/>
    <s v="BRL"/>
    <n v="0"/>
    <n v="0"/>
    <n v="3500"/>
    <n v="0"/>
    <n v="0"/>
    <n v="3500"/>
    <n v="0"/>
    <n v="0"/>
    <n v="3500"/>
    <n v="0"/>
    <n v="0"/>
    <n v="3500"/>
    <n v="14000"/>
    <m/>
    <n v="0"/>
    <n v="0"/>
    <n v="3.5"/>
    <n v="0"/>
    <n v="0"/>
    <n v="3.5"/>
    <n v="0"/>
    <n v="0"/>
    <n v="3.5"/>
    <n v="0"/>
    <n v="0"/>
    <n v="3.5"/>
    <n v="14"/>
    <m/>
    <n v="0"/>
    <n v="0"/>
    <n v="3.5"/>
    <n v="0"/>
    <n v="0"/>
    <n v="3.5"/>
    <n v="0"/>
    <n v="0"/>
    <n v="3.5"/>
    <n v="0"/>
    <n v="0"/>
    <n v="3.5"/>
    <n v="14"/>
    <m/>
    <n v="0"/>
    <n v="0"/>
    <n v="0.59523809523809523"/>
    <n v="0"/>
    <n v="0"/>
    <n v="0.59523809523809523"/>
    <n v="0"/>
    <n v="0"/>
    <n v="0.59523809523809523"/>
    <n v="0"/>
    <n v="0"/>
    <n v="0.59523809523809523"/>
    <n v="2.3809523809523809"/>
    <x v="4"/>
  </r>
  <r>
    <x v="0"/>
    <x v="0"/>
    <x v="3"/>
    <x v="14"/>
    <x v="2"/>
    <x v="37"/>
    <x v="2"/>
    <x v="39"/>
    <s v="Novo"/>
    <s v="Pontual"/>
    <s v="Média - Impacta a operação"/>
    <s v="FG-PSF | TI"/>
    <s v="Alexandre Ayabe"/>
    <x v="2"/>
    <m/>
    <s v="BRL"/>
    <n v="0"/>
    <n v="0"/>
    <n v="3500"/>
    <n v="0"/>
    <n v="0"/>
    <n v="3500"/>
    <n v="0"/>
    <n v="0"/>
    <n v="3500"/>
    <n v="0"/>
    <n v="0"/>
    <n v="3500"/>
    <n v="14000"/>
    <m/>
    <n v="0"/>
    <n v="0"/>
    <n v="3.5"/>
    <n v="0"/>
    <n v="0"/>
    <n v="3.5"/>
    <n v="0"/>
    <n v="0"/>
    <n v="3.5"/>
    <n v="0"/>
    <n v="0"/>
    <n v="3.5"/>
    <n v="14"/>
    <m/>
    <n v="0"/>
    <n v="0"/>
    <n v="3.5"/>
    <n v="0"/>
    <n v="0"/>
    <n v="3.5"/>
    <n v="0"/>
    <n v="0"/>
    <n v="3.5"/>
    <n v="0"/>
    <n v="0"/>
    <n v="3.5"/>
    <n v="14"/>
    <m/>
    <n v="0"/>
    <n v="0"/>
    <n v="0.59523809523809523"/>
    <n v="0"/>
    <n v="0"/>
    <n v="0.59523809523809523"/>
    <n v="0"/>
    <n v="0"/>
    <n v="0.59523809523809523"/>
    <n v="0"/>
    <n v="0"/>
    <n v="0.59523809523809523"/>
    <n v="2.3809523809523809"/>
    <x v="4"/>
  </r>
  <r>
    <x v="0"/>
    <x v="0"/>
    <x v="1"/>
    <x v="17"/>
    <x v="7"/>
    <x v="37"/>
    <x v="2"/>
    <x v="39"/>
    <s v="Novo"/>
    <s v="Pontual"/>
    <s v="Média - Impacta a operação"/>
    <s v="LC-PE1 | TI"/>
    <s v="Alexandre Ayabe"/>
    <x v="2"/>
    <m/>
    <s v="BRL"/>
    <n v="0"/>
    <n v="0"/>
    <n v="6000"/>
    <n v="0"/>
    <n v="0"/>
    <n v="6000"/>
    <n v="0"/>
    <n v="0"/>
    <n v="6000"/>
    <n v="0"/>
    <n v="0"/>
    <n v="6000"/>
    <n v="24000"/>
    <m/>
    <n v="0"/>
    <n v="0"/>
    <n v="6"/>
    <n v="0"/>
    <n v="0"/>
    <n v="6"/>
    <n v="0"/>
    <n v="0"/>
    <n v="6"/>
    <n v="0"/>
    <n v="0"/>
    <n v="6"/>
    <n v="24"/>
    <m/>
    <n v="0"/>
    <n v="0"/>
    <n v="6"/>
    <n v="0"/>
    <n v="0"/>
    <n v="6"/>
    <n v="0"/>
    <n v="0"/>
    <n v="6"/>
    <n v="0"/>
    <n v="0"/>
    <n v="6"/>
    <n v="24"/>
    <m/>
    <n v="0"/>
    <n v="0"/>
    <n v="1.0204081632653061"/>
    <n v="0"/>
    <n v="0"/>
    <n v="1.0204081632653061"/>
    <n v="0"/>
    <n v="0"/>
    <n v="1.0204081632653061"/>
    <n v="0"/>
    <n v="0"/>
    <n v="1.0204081632653061"/>
    <n v="4.0816326530612246"/>
    <x v="4"/>
  </r>
  <r>
    <x v="0"/>
    <x v="0"/>
    <x v="1"/>
    <x v="12"/>
    <x v="2"/>
    <x v="37"/>
    <x v="2"/>
    <x v="39"/>
    <s v="Novo"/>
    <s v="Pontual"/>
    <s v="Média - Impacta a operação"/>
    <s v="FG-PE2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37"/>
    <x v="2"/>
    <x v="39"/>
    <s v="Novo"/>
    <s v="Pontual"/>
    <s v="Média - Impacta a operação"/>
    <s v="FG-GRUB | TI"/>
    <s v="Alexandre Ayabe"/>
    <x v="2"/>
    <m/>
    <s v="BRL"/>
    <n v="0"/>
    <n v="0"/>
    <n v="2000"/>
    <n v="0"/>
    <n v="0"/>
    <n v="2000"/>
    <n v="0"/>
    <n v="0"/>
    <n v="2000"/>
    <n v="0"/>
    <n v="0"/>
    <n v="2000"/>
    <n v="8000"/>
    <m/>
    <n v="0"/>
    <n v="0"/>
    <n v="2"/>
    <n v="0"/>
    <n v="0"/>
    <n v="2"/>
    <n v="0"/>
    <n v="0"/>
    <n v="2"/>
    <n v="0"/>
    <n v="0"/>
    <n v="2"/>
    <n v="8"/>
    <m/>
    <n v="0"/>
    <n v="0"/>
    <n v="2"/>
    <n v="0"/>
    <n v="0"/>
    <n v="2"/>
    <n v="0"/>
    <n v="0"/>
    <n v="2"/>
    <n v="0"/>
    <n v="0"/>
    <n v="2"/>
    <n v="8"/>
    <m/>
    <n v="0"/>
    <n v="0"/>
    <n v="0.3401360544217687"/>
    <n v="0"/>
    <n v="0"/>
    <n v="0.3401360544217687"/>
    <n v="0"/>
    <n v="0"/>
    <n v="0.3401360544217687"/>
    <n v="0"/>
    <n v="0"/>
    <n v="0.3401360544217687"/>
    <n v="1.3605442176870748"/>
    <x v="4"/>
  </r>
  <r>
    <x v="0"/>
    <x v="0"/>
    <x v="6"/>
    <x v="6"/>
    <x v="0"/>
    <x v="37"/>
    <x v="2"/>
    <x v="39"/>
    <s v="Novo"/>
    <s v="Pontual"/>
    <s v="Média - Impacta a operação"/>
    <s v="PL | TI"/>
    <s v="Alexandre Ayabe"/>
    <x v="2"/>
    <m/>
    <s v="BRL"/>
    <n v="0"/>
    <n v="0"/>
    <n v="8000"/>
    <n v="0"/>
    <n v="0"/>
    <n v="8000"/>
    <n v="0"/>
    <n v="0"/>
    <n v="8000"/>
    <n v="0"/>
    <n v="0"/>
    <n v="8000"/>
    <n v="32000"/>
    <m/>
    <n v="0"/>
    <n v="0"/>
    <n v="8"/>
    <n v="0"/>
    <n v="0"/>
    <n v="8"/>
    <n v="0"/>
    <n v="0"/>
    <n v="8"/>
    <n v="0"/>
    <n v="0"/>
    <n v="8"/>
    <n v="32"/>
    <m/>
    <n v="0"/>
    <n v="0"/>
    <n v="8"/>
    <n v="0"/>
    <n v="0"/>
    <n v="8"/>
    <n v="0"/>
    <n v="0"/>
    <n v="8"/>
    <n v="0"/>
    <n v="0"/>
    <n v="8"/>
    <n v="32"/>
    <m/>
    <n v="0"/>
    <n v="0"/>
    <n v="1.3605442176870748"/>
    <n v="0"/>
    <n v="0"/>
    <n v="1.3605442176870748"/>
    <n v="0"/>
    <n v="0"/>
    <n v="1.3605442176870748"/>
    <n v="0"/>
    <n v="0"/>
    <n v="1.3605442176870748"/>
    <n v="5.4421768707482991"/>
    <x v="2"/>
  </r>
  <r>
    <x v="0"/>
    <x v="0"/>
    <x v="7"/>
    <x v="7"/>
    <x v="0"/>
    <x v="37"/>
    <x v="2"/>
    <x v="39"/>
    <s v="Novo"/>
    <s v="Pontual"/>
    <s v="Média - Impacta a operação"/>
    <s v="CP | TI"/>
    <s v="Jimmy Espinosa"/>
    <x v="2"/>
    <m/>
    <s v="BRL"/>
    <n v="0"/>
    <n v="0"/>
    <n v="2000"/>
    <n v="0"/>
    <n v="0"/>
    <n v="2000"/>
    <n v="0"/>
    <n v="0"/>
    <n v="2000"/>
    <n v="0"/>
    <n v="0"/>
    <n v="2000"/>
    <n v="8000"/>
    <m/>
    <n v="0"/>
    <n v="0"/>
    <n v="2"/>
    <n v="0"/>
    <n v="0"/>
    <n v="2"/>
    <n v="0"/>
    <n v="0"/>
    <n v="2"/>
    <n v="0"/>
    <n v="0"/>
    <n v="2"/>
    <n v="8"/>
    <m/>
    <n v="0"/>
    <n v="0"/>
    <n v="2"/>
    <n v="0"/>
    <n v="0"/>
    <n v="2"/>
    <n v="0"/>
    <n v="0"/>
    <n v="2"/>
    <n v="0"/>
    <n v="0"/>
    <n v="2"/>
    <n v="8"/>
    <m/>
    <n v="0"/>
    <n v="0"/>
    <n v="0.3401360544217687"/>
    <n v="0"/>
    <n v="0"/>
    <n v="0.3401360544217687"/>
    <n v="0"/>
    <n v="0"/>
    <n v="0.3401360544217687"/>
    <n v="0"/>
    <n v="0"/>
    <n v="0.3401360544217687"/>
    <n v="1.3605442176870748"/>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38"/>
    <x v="2"/>
    <x v="40"/>
    <s v="Existente"/>
    <s v="Mensal"/>
    <s v="Contrato em Curso"/>
    <s v="BU-MMTR | TI"/>
    <s v="Alexandre Ayabe"/>
    <x v="4"/>
    <m/>
    <s v="BRL"/>
    <n v="0"/>
    <n v="0"/>
    <n v="0"/>
    <n v="0"/>
    <n v="0"/>
    <n v="0"/>
    <n v="0"/>
    <n v="0"/>
    <n v="0"/>
    <n v="0"/>
    <n v="0"/>
    <n v="0"/>
    <n v="0"/>
    <m/>
    <n v="0"/>
    <n v="0"/>
    <n v="0"/>
    <n v="0"/>
    <n v="0"/>
    <n v="0"/>
    <n v="0"/>
    <n v="0"/>
    <n v="0"/>
    <n v="0"/>
    <n v="0"/>
    <n v="0"/>
    <n v="0"/>
    <m/>
    <n v="0"/>
    <n v="0"/>
    <n v="0"/>
    <n v="0"/>
    <n v="0"/>
    <n v="0"/>
    <n v="0"/>
    <n v="0"/>
    <n v="0"/>
    <n v="0"/>
    <n v="0"/>
    <n v="0"/>
    <n v="0"/>
    <m/>
    <n v="0"/>
    <n v="0"/>
    <n v="0"/>
    <n v="0"/>
    <n v="0"/>
    <n v="0"/>
    <n v="0"/>
    <n v="0"/>
    <n v="0"/>
    <n v="0"/>
    <n v="0"/>
    <n v="0"/>
    <n v="0"/>
    <x v="0"/>
  </r>
  <r>
    <x v="0"/>
    <x v="0"/>
    <x v="1"/>
    <x v="1"/>
    <x v="0"/>
    <x v="38"/>
    <x v="2"/>
    <x v="40"/>
    <s v="Existente"/>
    <s v="Mensal"/>
    <s v="Contrato em Curso"/>
    <s v="BU-MMAZ | TI"/>
    <s v="Alexandre Ayabe"/>
    <x v="4"/>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37"/>
    <x v="0"/>
    <x v="41"/>
    <s v="Existente"/>
    <s v="Pontual"/>
    <s v="Média - Impacta a operação"/>
    <s v="BU-MMTR | TI"/>
    <s v="Alexandre Ayabe"/>
    <x v="2"/>
    <m/>
    <s v="BRL"/>
    <n v="3420"/>
    <n v="3420"/>
    <n v="3420"/>
    <n v="3420"/>
    <n v="3420"/>
    <n v="3420"/>
    <n v="3420"/>
    <n v="3420"/>
    <n v="3420"/>
    <n v="3420"/>
    <n v="3420"/>
    <n v="3420"/>
    <n v="41040"/>
    <m/>
    <n v="3.42"/>
    <n v="3.42"/>
    <n v="3.42"/>
    <n v="3.42"/>
    <n v="3.42"/>
    <n v="3.42"/>
    <n v="3.42"/>
    <n v="3.42"/>
    <n v="3.42"/>
    <n v="3.42"/>
    <n v="3.42"/>
    <n v="3.42"/>
    <n v="41.040000000000013"/>
    <m/>
    <n v="3.42"/>
    <n v="3.42"/>
    <n v="3.42"/>
    <n v="3.42"/>
    <n v="3.42"/>
    <n v="3.42"/>
    <n v="3.42"/>
    <n v="3.42"/>
    <n v="3.42"/>
    <n v="3.42"/>
    <n v="3.42"/>
    <n v="3.42"/>
    <n v="41.040000000000013"/>
    <m/>
    <n v="0.58163265306122447"/>
    <n v="0.58163265306122447"/>
    <n v="0.58163265306122447"/>
    <n v="0.58163265306122447"/>
    <n v="0.58163265306122447"/>
    <n v="0.58163265306122447"/>
    <n v="0.58163265306122447"/>
    <n v="0.58163265306122447"/>
    <n v="0.58163265306122447"/>
    <n v="0.58163265306122447"/>
    <n v="0.58163265306122447"/>
    <n v="0.58163265306122447"/>
    <n v="6.9795918367346941"/>
    <x v="0"/>
  </r>
  <r>
    <x v="0"/>
    <x v="0"/>
    <x v="1"/>
    <x v="1"/>
    <x v="0"/>
    <x v="37"/>
    <x v="0"/>
    <x v="41"/>
    <s v="Existente"/>
    <s v="Pontual"/>
    <s v="Média - Impacta a operação"/>
    <s v="BU-MMAZ | TI"/>
    <s v="Alexandre Ayabe"/>
    <x v="2"/>
    <m/>
    <s v="BRL"/>
    <n v="9500"/>
    <n v="9500"/>
    <n v="9500"/>
    <n v="9500"/>
    <n v="9500"/>
    <n v="9500"/>
    <n v="9500"/>
    <n v="9500"/>
    <n v="9500"/>
    <n v="9500"/>
    <n v="9500"/>
    <n v="9500"/>
    <n v="114000"/>
    <m/>
    <n v="9.5"/>
    <n v="9.5"/>
    <n v="9.5"/>
    <n v="9.5"/>
    <n v="9.5"/>
    <n v="9.5"/>
    <n v="9.5"/>
    <n v="9.5"/>
    <n v="9.5"/>
    <n v="9.5"/>
    <n v="9.5"/>
    <n v="9.5"/>
    <n v="114"/>
    <m/>
    <n v="9.5"/>
    <n v="9.5"/>
    <n v="9.5"/>
    <n v="9.5"/>
    <n v="9.5"/>
    <n v="9.5"/>
    <n v="9.5"/>
    <n v="9.5"/>
    <n v="9.5"/>
    <n v="9.5"/>
    <n v="9.5"/>
    <n v="9.5"/>
    <n v="114"/>
    <m/>
    <n v="1.6156462585034015"/>
    <n v="1.6156462585034015"/>
    <n v="1.6156462585034015"/>
    <n v="1.6156462585034015"/>
    <n v="1.6156462585034015"/>
    <n v="1.6156462585034015"/>
    <n v="1.6156462585034015"/>
    <n v="1.6156462585034015"/>
    <n v="1.6156462585034015"/>
    <n v="1.6156462585034015"/>
    <n v="1.6156462585034015"/>
    <n v="1.6156462585034015"/>
    <n v="19.387755102040813"/>
    <x v="0"/>
  </r>
  <r>
    <x v="0"/>
    <x v="0"/>
    <x v="3"/>
    <x v="3"/>
    <x v="0"/>
    <x v="37"/>
    <x v="0"/>
    <x v="41"/>
    <s v="Existente"/>
    <s v="Pontual"/>
    <s v="Média - Impacta a operação"/>
    <s v="BU-MRV | TI"/>
    <s v="Alexandre Ayabe"/>
    <x v="2"/>
    <m/>
    <s v="BRL"/>
    <n v="950"/>
    <n v="950"/>
    <n v="950"/>
    <n v="950"/>
    <n v="950"/>
    <n v="950"/>
    <n v="950"/>
    <n v="950"/>
    <n v="950"/>
    <n v="950"/>
    <n v="950"/>
    <n v="950"/>
    <n v="11400"/>
    <m/>
    <n v="0.95"/>
    <n v="0.95"/>
    <n v="0.95"/>
    <n v="0.95"/>
    <n v="0.95"/>
    <n v="0.95"/>
    <n v="0.95"/>
    <n v="0.95"/>
    <n v="0.95"/>
    <n v="0.95"/>
    <n v="0.95"/>
    <n v="0.95"/>
    <n v="11.399999999999999"/>
    <m/>
    <n v="0.95"/>
    <n v="0.95"/>
    <n v="0.95"/>
    <n v="0.95"/>
    <n v="0.95"/>
    <n v="0.95"/>
    <n v="0.95"/>
    <n v="0.95"/>
    <n v="0.95"/>
    <n v="0.95"/>
    <n v="0.95"/>
    <n v="0.95"/>
    <n v="11.399999999999999"/>
    <m/>
    <n v="0.16156462585034012"/>
    <n v="0.16156462585034012"/>
    <n v="0.16156462585034012"/>
    <n v="0.16156462585034012"/>
    <n v="0.16156462585034012"/>
    <n v="0.16156462585034012"/>
    <n v="0.16156462585034012"/>
    <n v="0.16156462585034012"/>
    <n v="0.16156462585034012"/>
    <n v="0.16156462585034012"/>
    <n v="0.16156462585034012"/>
    <n v="0.16156462585034012"/>
    <n v="1.9387755102040811"/>
    <x v="0"/>
  </r>
  <r>
    <x v="0"/>
    <x v="0"/>
    <x v="4"/>
    <x v="4"/>
    <x v="0"/>
    <x v="37"/>
    <x v="0"/>
    <x v="41"/>
    <s v="Existente"/>
    <s v="Pontual"/>
    <s v="Média - Impacta a operação"/>
    <s v="BU-GRU | TI"/>
    <s v="Alexandre Ayabe"/>
    <x v="2"/>
    <m/>
    <s v="BRL"/>
    <n v="1140"/>
    <n v="1140"/>
    <n v="1140"/>
    <n v="1140"/>
    <n v="1140"/>
    <n v="1140"/>
    <n v="1140"/>
    <n v="1140"/>
    <n v="1140"/>
    <n v="1140"/>
    <n v="1140"/>
    <n v="1140"/>
    <n v="13680"/>
    <m/>
    <n v="1.1399999999999999"/>
    <n v="1.1399999999999999"/>
    <n v="1.1399999999999999"/>
    <n v="1.1399999999999999"/>
    <n v="1.1399999999999999"/>
    <n v="1.1399999999999999"/>
    <n v="1.1399999999999999"/>
    <n v="1.1399999999999999"/>
    <n v="1.1399999999999999"/>
    <n v="1.1399999999999999"/>
    <n v="1.1399999999999999"/>
    <n v="1.1399999999999999"/>
    <n v="13.680000000000001"/>
    <m/>
    <n v="1.1399999999999999"/>
    <n v="1.1399999999999999"/>
    <n v="1.1399999999999999"/>
    <n v="1.1399999999999999"/>
    <n v="1.1399999999999999"/>
    <n v="1.1399999999999999"/>
    <n v="1.1399999999999999"/>
    <n v="1.1399999999999999"/>
    <n v="1.1399999999999999"/>
    <n v="1.1399999999999999"/>
    <n v="1.1399999999999999"/>
    <n v="1.1399999999999999"/>
    <n v="13.680000000000001"/>
    <m/>
    <n v="0.19387755102040816"/>
    <n v="0.19387755102040816"/>
    <n v="0.19387755102040816"/>
    <n v="0.19387755102040816"/>
    <n v="0.19387755102040816"/>
    <n v="0.19387755102040816"/>
    <n v="0.19387755102040816"/>
    <n v="0.19387755102040816"/>
    <n v="0.19387755102040816"/>
    <n v="0.19387755102040816"/>
    <n v="0.19387755102040816"/>
    <n v="0.19387755102040816"/>
    <n v="2.3265306122448974"/>
    <x v="0"/>
  </r>
  <r>
    <x v="0"/>
    <x v="0"/>
    <x v="6"/>
    <x v="6"/>
    <x v="0"/>
    <x v="37"/>
    <x v="0"/>
    <x v="41"/>
    <s v="Existente"/>
    <s v="Pontual"/>
    <s v="Média - Impacta a operação"/>
    <s v="PL | TI"/>
    <s v="Alexandre Ayabe"/>
    <x v="2"/>
    <m/>
    <s v="BRL"/>
    <n v="3040"/>
    <n v="3040"/>
    <n v="3040"/>
    <n v="3040"/>
    <n v="3040"/>
    <n v="3040"/>
    <n v="3040"/>
    <n v="3040"/>
    <n v="3040"/>
    <n v="3040"/>
    <n v="3040"/>
    <n v="3040"/>
    <n v="36480"/>
    <m/>
    <n v="3.04"/>
    <n v="3.04"/>
    <n v="3.04"/>
    <n v="3.04"/>
    <n v="3.04"/>
    <n v="3.04"/>
    <n v="3.04"/>
    <n v="3.04"/>
    <n v="3.04"/>
    <n v="3.04"/>
    <n v="3.04"/>
    <n v="3.04"/>
    <n v="36.479999999999997"/>
    <m/>
    <n v="3.04"/>
    <n v="3.04"/>
    <n v="3.04"/>
    <n v="3.04"/>
    <n v="3.04"/>
    <n v="3.04"/>
    <n v="3.04"/>
    <n v="3.04"/>
    <n v="3.04"/>
    <n v="3.04"/>
    <n v="3.04"/>
    <n v="3.04"/>
    <n v="36.479999999999997"/>
    <m/>
    <n v="0.51700680272108845"/>
    <n v="0.51700680272108845"/>
    <n v="0.51700680272108845"/>
    <n v="0.51700680272108845"/>
    <n v="0.51700680272108845"/>
    <n v="0.51700680272108845"/>
    <n v="0.51700680272108845"/>
    <n v="0.51700680272108845"/>
    <n v="0.51700680272108845"/>
    <n v="0.51700680272108845"/>
    <n v="0.51700680272108845"/>
    <n v="0.51700680272108845"/>
    <n v="6.2040816326530601"/>
    <x v="2"/>
  </r>
  <r>
    <x v="0"/>
    <x v="0"/>
    <x v="7"/>
    <x v="7"/>
    <x v="0"/>
    <x v="37"/>
    <x v="0"/>
    <x v="41"/>
    <s v="Existente"/>
    <s v="Pontual"/>
    <s v="Média - Impacta a operação"/>
    <s v="CP | TI"/>
    <s v="Jimmy Espinosa"/>
    <x v="2"/>
    <m/>
    <s v="BRL"/>
    <n v="950"/>
    <n v="950"/>
    <n v="950"/>
    <n v="950"/>
    <n v="950"/>
    <n v="950"/>
    <n v="950"/>
    <n v="950"/>
    <n v="950"/>
    <n v="950"/>
    <n v="950"/>
    <n v="950"/>
    <n v="11400"/>
    <m/>
    <n v="0.95"/>
    <n v="0.95"/>
    <n v="0.95"/>
    <n v="0.95"/>
    <n v="0.95"/>
    <n v="0.95"/>
    <n v="0.95"/>
    <n v="0.95"/>
    <n v="0.95"/>
    <n v="0.95"/>
    <n v="0.95"/>
    <n v="0.95"/>
    <n v="11.399999999999999"/>
    <m/>
    <n v="0.95"/>
    <n v="0.95"/>
    <n v="0.95"/>
    <n v="0.95"/>
    <n v="0.95"/>
    <n v="0.95"/>
    <n v="0.95"/>
    <n v="0.95"/>
    <n v="0.95"/>
    <n v="0.95"/>
    <n v="0.95"/>
    <n v="0.95"/>
    <n v="11.399999999999999"/>
    <m/>
    <n v="0.16156462585034012"/>
    <n v="0.16156462585034012"/>
    <n v="0.16156462585034012"/>
    <n v="0.16156462585034012"/>
    <n v="0.16156462585034012"/>
    <n v="0.16156462585034012"/>
    <n v="0.16156462585034012"/>
    <n v="0.16156462585034012"/>
    <n v="0.16156462585034012"/>
    <n v="0.16156462585034012"/>
    <n v="0.16156462585034012"/>
    <n v="0.16156462585034012"/>
    <n v="1.9387755102040811"/>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39"/>
    <x v="2"/>
    <x v="42"/>
    <s v="Existente"/>
    <s v="Mensal"/>
    <s v="Contrato em Curso"/>
    <s v="FG-PNG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9"/>
    <x v="2"/>
    <x v="39"/>
    <x v="2"/>
    <x v="42"/>
    <s v="Existente"/>
    <s v="Mensal"/>
    <s v="Contrato em Curso"/>
    <s v="FG-ITJ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10"/>
    <x v="2"/>
    <x v="39"/>
    <x v="2"/>
    <x v="42"/>
    <s v="Existente"/>
    <s v="Mensal"/>
    <s v="Contrato em Curso"/>
    <s v="FG-RGD | TI"/>
    <s v="Alexandre Ayabe"/>
    <x v="2"/>
    <m/>
    <s v="BRL"/>
    <n v="142"/>
    <n v="142"/>
    <n v="142"/>
    <n v="142"/>
    <n v="142"/>
    <n v="142"/>
    <n v="142"/>
    <n v="142"/>
    <n v="142"/>
    <n v="142"/>
    <n v="142"/>
    <n v="142"/>
    <n v="1704"/>
    <m/>
    <n v="0.14199999999999999"/>
    <n v="0.14199999999999999"/>
    <n v="0.14199999999999999"/>
    <n v="0.14199999999999999"/>
    <n v="0.14199999999999999"/>
    <n v="0.14199999999999999"/>
    <n v="0.14199999999999999"/>
    <n v="0.14199999999999999"/>
    <n v="0.14199999999999999"/>
    <n v="0.14199999999999999"/>
    <n v="0.14199999999999999"/>
    <n v="0.14199999999999999"/>
    <n v="1.7039999999999995"/>
    <m/>
    <n v="0.14199999999999999"/>
    <n v="0.14199999999999999"/>
    <n v="0.14199999999999999"/>
    <n v="0.14199999999999999"/>
    <n v="0.14199999999999999"/>
    <n v="0.14199999999999999"/>
    <n v="0.14199999999999999"/>
    <n v="0.14199999999999999"/>
    <n v="0.14199999999999999"/>
    <n v="0.14199999999999999"/>
    <n v="0.14199999999999999"/>
    <n v="0.14199999999999999"/>
    <n v="1.7039999999999995"/>
    <m/>
    <n v="2.4149659863945575E-2"/>
    <n v="2.4149659863945575E-2"/>
    <n v="2.4149659863945575E-2"/>
    <n v="2.4149659863945575E-2"/>
    <n v="2.4149659863945575E-2"/>
    <n v="2.4149659863945575E-2"/>
    <n v="2.4149659863945575E-2"/>
    <n v="2.4149659863945575E-2"/>
    <n v="2.4149659863945575E-2"/>
    <n v="2.4149659863945575E-2"/>
    <n v="2.4149659863945575E-2"/>
    <n v="2.4149659863945575E-2"/>
    <n v="0.28979591836734692"/>
    <x v="4"/>
  </r>
  <r>
    <x v="0"/>
    <x v="0"/>
    <x v="1"/>
    <x v="12"/>
    <x v="2"/>
    <x v="39"/>
    <x v="2"/>
    <x v="42"/>
    <s v="Existente"/>
    <s v="Mensal"/>
    <s v="Contrato em Curso"/>
    <s v="FG-PE2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12"/>
    <x v="2"/>
    <x v="39"/>
    <x v="2"/>
    <x v="42"/>
    <s v="Existente"/>
    <s v="Mensal"/>
    <s v="Contrato em Curso"/>
    <s v="FG-PE2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1"/>
    <x v="17"/>
    <x v="7"/>
    <x v="39"/>
    <x v="2"/>
    <x v="42"/>
    <s v="Existente"/>
    <s v="Mensal"/>
    <s v="Contrato em Curso"/>
    <s v="LC-PE1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3"/>
    <x v="13"/>
    <x v="2"/>
    <x v="39"/>
    <x v="2"/>
    <x v="42"/>
    <s v="Existente"/>
    <s v="Mensal"/>
    <s v="Contrato em Curso"/>
    <s v="FG-VLP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3"/>
    <x v="14"/>
    <x v="2"/>
    <x v="39"/>
    <x v="2"/>
    <x v="42"/>
    <s v="Existente"/>
    <s v="Mensal"/>
    <s v="Contrato em Curso"/>
    <s v="FG-PSF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4"/>
    <x v="15"/>
    <x v="2"/>
    <x v="39"/>
    <x v="2"/>
    <x v="42"/>
    <s v="Existente"/>
    <s v="Mensal"/>
    <s v="Contrato em Curso"/>
    <s v="FG-GRUB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40"/>
    <x v="0"/>
    <x v="43"/>
    <s v="Existente"/>
    <s v="Mensal"/>
    <s v="Contrato em Curso"/>
    <s v="BU-MMTR | TI"/>
    <s v="Alexandre Ayabe"/>
    <x v="4"/>
    <m/>
    <s v="BRL"/>
    <n v="390"/>
    <n v="390"/>
    <n v="390"/>
    <n v="390"/>
    <n v="390"/>
    <n v="390"/>
    <n v="390"/>
    <n v="390"/>
    <n v="390"/>
    <n v="390"/>
    <n v="390"/>
    <n v="390"/>
    <n v="4680"/>
    <m/>
    <n v="0.39"/>
    <n v="0.39"/>
    <n v="0.39"/>
    <n v="0.39"/>
    <n v="0.39"/>
    <n v="0.39"/>
    <n v="0.39"/>
    <n v="0.39"/>
    <n v="0.39"/>
    <n v="0.39"/>
    <n v="0.39"/>
    <n v="0.39"/>
    <n v="4.6800000000000006"/>
    <m/>
    <n v="0.39"/>
    <n v="0.39"/>
    <n v="0.39"/>
    <n v="0.39"/>
    <n v="0.39"/>
    <n v="0.39"/>
    <n v="0.39"/>
    <n v="0.39"/>
    <n v="0.39"/>
    <n v="0.39"/>
    <n v="0.39"/>
    <n v="0.39"/>
    <n v="4.6800000000000006"/>
    <m/>
    <n v="6.6326530612244902E-2"/>
    <n v="6.6326530612244902E-2"/>
    <n v="6.6326530612244902E-2"/>
    <n v="6.6326530612244902E-2"/>
    <n v="6.6326530612244902E-2"/>
    <n v="6.6326530612244902E-2"/>
    <n v="6.6326530612244902E-2"/>
    <n v="6.6326530612244902E-2"/>
    <n v="6.6326530612244902E-2"/>
    <n v="6.6326530612244902E-2"/>
    <n v="6.6326530612244902E-2"/>
    <n v="6.6326530612244902E-2"/>
    <n v="0.79591836734693888"/>
    <x v="0"/>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16"/>
    <x v="5"/>
    <x v="41"/>
    <x v="0"/>
    <x v="44"/>
    <s v="Existente"/>
    <s v="Mensal"/>
    <s v="Contrato em Curso"/>
    <s v="TR | TI"/>
    <s v="Alexandre Ayabe"/>
    <x v="4"/>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0"/>
    <x v="16"/>
    <x v="5"/>
    <x v="42"/>
    <x v="0"/>
    <x v="45"/>
    <s v="Existente"/>
    <s v="Mensal"/>
    <s v="Contrato em Curso"/>
    <s v="TR | TI"/>
    <s v="Alexandre Ayabe"/>
    <x v="4"/>
    <m/>
    <s v="BRL"/>
    <n v="3700"/>
    <n v="3700"/>
    <n v="3700"/>
    <n v="3700"/>
    <n v="3700"/>
    <n v="3700"/>
    <n v="3700"/>
    <n v="3700"/>
    <n v="3700"/>
    <n v="3700"/>
    <n v="3700"/>
    <n v="3700"/>
    <n v="44400"/>
    <m/>
    <n v="3.7"/>
    <n v="3.7"/>
    <n v="3.7"/>
    <n v="3.7"/>
    <n v="3.7"/>
    <n v="3.7"/>
    <n v="3.7"/>
    <n v="3.7"/>
    <n v="3.7"/>
    <n v="3.7"/>
    <n v="3.7"/>
    <n v="3.7"/>
    <n v="44.400000000000006"/>
    <m/>
    <n v="3.7"/>
    <n v="3.7"/>
    <n v="3.7"/>
    <n v="3.7"/>
    <n v="3.7"/>
    <n v="3.7"/>
    <n v="3.7"/>
    <n v="3.7"/>
    <n v="3.7"/>
    <n v="3.7"/>
    <n v="3.7"/>
    <n v="3.7"/>
    <n v="44.400000000000006"/>
    <m/>
    <n v="0.62925170068027214"/>
    <n v="0.62925170068027214"/>
    <n v="0.62925170068027214"/>
    <n v="0.62925170068027214"/>
    <n v="0.62925170068027214"/>
    <n v="0.62925170068027214"/>
    <n v="0.62925170068027214"/>
    <n v="0.62925170068027214"/>
    <n v="0.62925170068027214"/>
    <n v="0.62925170068027214"/>
    <n v="0.62925170068027214"/>
    <n v="0.62925170068027214"/>
    <n v="7.5510204081632653"/>
    <x v="4"/>
  </r>
  <r>
    <x v="0"/>
    <x v="0"/>
    <x v="0"/>
    <x v="16"/>
    <x v="5"/>
    <x v="43"/>
    <x v="0"/>
    <x v="46"/>
    <s v="Existente"/>
    <s v="Mensal"/>
    <s v="Contrato em Curso"/>
    <s v="TR | TI"/>
    <s v="Alexandre Ayabe"/>
    <x v="4"/>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0"/>
    <x v="16"/>
    <x v="5"/>
    <x v="44"/>
    <x v="0"/>
    <x v="47"/>
    <s v="Existente"/>
    <s v="Mensal"/>
    <s v="Contrato em Curso"/>
    <s v="TR | TI"/>
    <s v="Alexandre Ayabe"/>
    <x v="4"/>
    <m/>
    <s v="BRL"/>
    <n v="150"/>
    <n v="150"/>
    <n v="150"/>
    <n v="150"/>
    <n v="150"/>
    <n v="150"/>
    <n v="150"/>
    <n v="150"/>
    <n v="150"/>
    <n v="150"/>
    <n v="150"/>
    <n v="150"/>
    <n v="1800"/>
    <m/>
    <n v="0.15"/>
    <n v="0.15"/>
    <n v="0.15"/>
    <n v="0.15"/>
    <n v="0.15"/>
    <n v="0.15"/>
    <n v="0.15"/>
    <n v="0.15"/>
    <n v="0.15"/>
    <n v="0.15"/>
    <n v="0.15"/>
    <n v="0.15"/>
    <n v="1.7999999999999996"/>
    <m/>
    <n v="0.15"/>
    <n v="0.15"/>
    <n v="0.15"/>
    <n v="0.15"/>
    <n v="0.15"/>
    <n v="0.15"/>
    <n v="0.15"/>
    <n v="0.15"/>
    <n v="0.15"/>
    <n v="0.15"/>
    <n v="0.15"/>
    <n v="0.15"/>
    <n v="1.7999999999999996"/>
    <m/>
    <n v="2.5510204081632654E-2"/>
    <n v="2.5510204081632654E-2"/>
    <n v="2.5510204081632654E-2"/>
    <n v="2.5510204081632654E-2"/>
    <n v="2.5510204081632654E-2"/>
    <n v="2.5510204081632654E-2"/>
    <n v="2.5510204081632654E-2"/>
    <n v="2.5510204081632654E-2"/>
    <n v="2.5510204081632654E-2"/>
    <n v="2.5510204081632654E-2"/>
    <n v="2.5510204081632654E-2"/>
    <n v="2.5510204081632654E-2"/>
    <n v="0.30612244897959184"/>
    <x v="4"/>
  </r>
  <r>
    <x v="0"/>
    <x v="0"/>
    <x v="0"/>
    <x v="16"/>
    <x v="5"/>
    <x v="45"/>
    <x v="0"/>
    <x v="48"/>
    <s v="Existente"/>
    <s v="Mensal"/>
    <s v="Contrato em Curso"/>
    <s v="TR | TI"/>
    <s v="Alexandre Ayabe"/>
    <x v="2"/>
    <m/>
    <s v="BRL"/>
    <n v="10000"/>
    <n v="10000"/>
    <n v="10000"/>
    <n v="10000"/>
    <n v="10000"/>
    <n v="10000"/>
    <n v="10000"/>
    <n v="10000"/>
    <n v="10000"/>
    <n v="10000"/>
    <n v="10000"/>
    <n v="10000"/>
    <n v="120000"/>
    <m/>
    <n v="10"/>
    <n v="10"/>
    <n v="10"/>
    <n v="10"/>
    <n v="10"/>
    <n v="10"/>
    <n v="10"/>
    <n v="10"/>
    <n v="10"/>
    <n v="10"/>
    <n v="10"/>
    <n v="10"/>
    <n v="120"/>
    <m/>
    <n v="10"/>
    <n v="10"/>
    <n v="10"/>
    <n v="10"/>
    <n v="10"/>
    <n v="10"/>
    <n v="10"/>
    <n v="10"/>
    <n v="10"/>
    <n v="10"/>
    <n v="10"/>
    <n v="10"/>
    <n v="120"/>
    <m/>
    <n v="1.7006802721088436"/>
    <n v="1.7006802721088436"/>
    <n v="1.7006802721088436"/>
    <n v="1.7006802721088436"/>
    <n v="1.7006802721088436"/>
    <n v="1.7006802721088436"/>
    <n v="1.7006802721088436"/>
    <n v="1.7006802721088436"/>
    <n v="1.7006802721088436"/>
    <n v="1.7006802721088436"/>
    <n v="1.7006802721088436"/>
    <n v="1.7006802721088436"/>
    <n v="20.408163265306126"/>
    <x v="4"/>
  </r>
  <r>
    <x v="0"/>
    <x v="0"/>
    <x v="0"/>
    <x v="16"/>
    <x v="5"/>
    <x v="46"/>
    <x v="0"/>
    <x v="49"/>
    <s v="Existente"/>
    <s v="Mensal"/>
    <s v="Contrato em Curso"/>
    <s v="TR | TI"/>
    <s v="Alexandre Ayabe"/>
    <x v="5"/>
    <m/>
    <s v="BRL"/>
    <n v="1200"/>
    <n v="1200"/>
    <n v="1200"/>
    <n v="1200"/>
    <n v="1200"/>
    <n v="1200"/>
    <n v="1200"/>
    <n v="1200"/>
    <n v="1200"/>
    <n v="1200"/>
    <n v="1200"/>
    <n v="1200"/>
    <n v="14400"/>
    <m/>
    <n v="1.2"/>
    <n v="1.2"/>
    <n v="1.2"/>
    <n v="1.2"/>
    <n v="1.2"/>
    <n v="1.2"/>
    <n v="1.2"/>
    <n v="1.2"/>
    <n v="1.2"/>
    <n v="1.2"/>
    <n v="1.2"/>
    <n v="1.2"/>
    <n v="14.399999999999997"/>
    <m/>
    <n v="1.2"/>
    <n v="1.2"/>
    <n v="1.2"/>
    <n v="1.2"/>
    <n v="1.2"/>
    <n v="1.2"/>
    <n v="1.2"/>
    <n v="1.2"/>
    <n v="1.2"/>
    <n v="1.2"/>
    <n v="1.2"/>
    <n v="1.2"/>
    <n v="14.399999999999997"/>
    <m/>
    <n v="0.20408163265306123"/>
    <n v="0.20408163265306123"/>
    <n v="0.20408163265306123"/>
    <n v="0.20408163265306123"/>
    <n v="0.20408163265306123"/>
    <n v="0.20408163265306123"/>
    <n v="0.20408163265306123"/>
    <n v="0.20408163265306123"/>
    <n v="0.20408163265306123"/>
    <n v="0.20408163265306123"/>
    <n v="0.20408163265306123"/>
    <n v="0.20408163265306123"/>
    <n v="2.4489795918367347"/>
    <x v="4"/>
  </r>
  <r>
    <x v="0"/>
    <x v="0"/>
    <x v="0"/>
    <x v="16"/>
    <x v="5"/>
    <x v="47"/>
    <x v="0"/>
    <x v="50"/>
    <s v="Existente"/>
    <s v="Mensal"/>
    <s v="Contrato em Curso"/>
    <s v="TR | TI"/>
    <s v="Alexandre Ayabe"/>
    <x v="5"/>
    <m/>
    <s v="BRL"/>
    <n v="240"/>
    <n v="240"/>
    <n v="240"/>
    <n v="240"/>
    <n v="240"/>
    <n v="240"/>
    <n v="240"/>
    <n v="240"/>
    <n v="240"/>
    <n v="240"/>
    <n v="240"/>
    <n v="240"/>
    <n v="2880"/>
    <m/>
    <n v="0.24"/>
    <n v="0.24"/>
    <n v="0.24"/>
    <n v="0.24"/>
    <n v="0.24"/>
    <n v="0.24"/>
    <n v="0.24"/>
    <n v="0.24"/>
    <n v="0.24"/>
    <n v="0.24"/>
    <n v="0.24"/>
    <n v="0.24"/>
    <n v="2.8800000000000008"/>
    <m/>
    <n v="0.24"/>
    <n v="0.24"/>
    <n v="0.24"/>
    <n v="0.24"/>
    <n v="0.24"/>
    <n v="0.24"/>
    <n v="0.24"/>
    <n v="0.24"/>
    <n v="0.24"/>
    <n v="0.24"/>
    <n v="0.24"/>
    <n v="0.24"/>
    <n v="2.8800000000000008"/>
    <m/>
    <n v="4.0816326530612242E-2"/>
    <n v="4.0816326530612242E-2"/>
    <n v="4.0816326530612242E-2"/>
    <n v="4.0816326530612242E-2"/>
    <n v="4.0816326530612242E-2"/>
    <n v="4.0816326530612242E-2"/>
    <n v="4.0816326530612242E-2"/>
    <n v="4.0816326530612242E-2"/>
    <n v="4.0816326530612242E-2"/>
    <n v="4.0816326530612242E-2"/>
    <n v="4.0816326530612242E-2"/>
    <n v="4.0816326530612242E-2"/>
    <n v="0.48979591836734687"/>
    <x v="4"/>
  </r>
  <r>
    <x v="0"/>
    <x v="0"/>
    <x v="0"/>
    <x v="16"/>
    <x v="5"/>
    <x v="48"/>
    <x v="0"/>
    <x v="51"/>
    <s v="Novo"/>
    <s v="Mensal"/>
    <s v="Média - Impacta a operação"/>
    <s v="TR | TI"/>
    <s v="Alexandre Ayabe"/>
    <x v="2"/>
    <d v="2026-01-01T00:00:00"/>
    <s v="BRL"/>
    <n v="11000"/>
    <n v="11000"/>
    <n v="11000"/>
    <n v="11000"/>
    <n v="11000"/>
    <n v="11000"/>
    <n v="11000"/>
    <n v="11000"/>
    <n v="11000"/>
    <n v="11000"/>
    <n v="11000"/>
    <n v="11000"/>
    <n v="132000"/>
    <m/>
    <n v="11"/>
    <n v="11"/>
    <n v="11"/>
    <n v="11"/>
    <n v="11"/>
    <n v="11"/>
    <n v="11"/>
    <n v="11"/>
    <n v="11"/>
    <n v="11"/>
    <n v="11"/>
    <n v="11"/>
    <n v="132"/>
    <m/>
    <n v="11.601425872440792"/>
    <n v="11.601425872440792"/>
    <n v="11.601425872440792"/>
    <n v="11.601425872440792"/>
    <n v="11.601425872440792"/>
    <n v="11.601425872440792"/>
    <n v="11.601425872440792"/>
    <n v="11.601425872440792"/>
    <n v="11.601425872440792"/>
    <n v="11.601425872440792"/>
    <n v="11.601425872440792"/>
    <n v="11.601425872440792"/>
    <n v="139.21711046928948"/>
    <m/>
    <n v="1.9730316109593184"/>
    <n v="1.9730316109593184"/>
    <n v="1.9730316109593184"/>
    <n v="1.9730316109593184"/>
    <n v="1.9730316109593184"/>
    <n v="1.9730316109593184"/>
    <n v="1.9730316109593184"/>
    <n v="1.9730316109593184"/>
    <n v="1.9730316109593184"/>
    <n v="1.9730316109593184"/>
    <n v="1.9730316109593184"/>
    <n v="1.9730316109593184"/>
    <n v="23.676379331511814"/>
    <x v="4"/>
  </r>
  <r>
    <x v="0"/>
    <x v="0"/>
    <x v="0"/>
    <x v="16"/>
    <x v="5"/>
    <x v="49"/>
    <x v="0"/>
    <x v="52"/>
    <s v="Novo"/>
    <s v="Mensal"/>
    <s v="Média - Impacta a operação"/>
    <s v="TR | TI"/>
    <s v="Alexandre Ayabe"/>
    <x v="2"/>
    <d v="2026-01-01T00:00:00"/>
    <s v="BRL"/>
    <n v="1600"/>
    <n v="1600"/>
    <n v="1600"/>
    <n v="1600"/>
    <n v="1600"/>
    <n v="1600"/>
    <n v="1600"/>
    <n v="1600"/>
    <n v="1600"/>
    <n v="1600"/>
    <n v="1600"/>
    <n v="1600"/>
    <n v="19200"/>
    <m/>
    <n v="1.6"/>
    <n v="1.6"/>
    <n v="1.6"/>
    <n v="1.6"/>
    <n v="1.6"/>
    <n v="1.6"/>
    <n v="1.6"/>
    <n v="1.6"/>
    <n v="1.6"/>
    <n v="1.6"/>
    <n v="1.6"/>
    <n v="1.6"/>
    <n v="19.2"/>
    <m/>
    <n v="1.6874801269004789"/>
    <n v="1.6874801269004789"/>
    <n v="1.6874801269004789"/>
    <n v="1.6874801269004789"/>
    <n v="1.6874801269004789"/>
    <n v="1.6874801269004789"/>
    <n v="1.6874801269004789"/>
    <n v="1.6874801269004789"/>
    <n v="1.6874801269004789"/>
    <n v="1.6874801269004789"/>
    <n v="1.6874801269004789"/>
    <n v="1.6874801269004789"/>
    <n v="20.249761522805745"/>
    <m/>
    <n v="0.28698641613953724"/>
    <n v="0.28698641613953724"/>
    <n v="0.28698641613953724"/>
    <n v="0.28698641613953724"/>
    <n v="0.28698641613953724"/>
    <n v="0.28698641613953724"/>
    <n v="0.28698641613953724"/>
    <n v="0.28698641613953724"/>
    <n v="0.28698641613953724"/>
    <n v="0.28698641613953724"/>
    <n v="0.28698641613953724"/>
    <n v="0.28698641613953724"/>
    <n v="3.4438369936744468"/>
    <x v="4"/>
  </r>
  <r>
    <x v="0"/>
    <x v="0"/>
    <x v="0"/>
    <x v="16"/>
    <x v="5"/>
    <x v="50"/>
    <x v="0"/>
    <x v="52"/>
    <s v="Novo"/>
    <s v="Mensal"/>
    <s v="Média - Impacta a operação"/>
    <s v="TR | TI"/>
    <s v="Alexandre Ayabe"/>
    <x v="2"/>
    <d v="2026-01-01T00:00:00"/>
    <s v="BRL"/>
    <n v="10000"/>
    <n v="10000"/>
    <n v="10000"/>
    <n v="10000"/>
    <n v="10000"/>
    <n v="10000"/>
    <n v="10000"/>
    <n v="10000"/>
    <n v="10000"/>
    <n v="10000"/>
    <n v="10000"/>
    <n v="10000"/>
    <n v="120000"/>
    <m/>
    <n v="10"/>
    <n v="10"/>
    <n v="10"/>
    <n v="10"/>
    <n v="10"/>
    <n v="10"/>
    <n v="10"/>
    <n v="10"/>
    <n v="10"/>
    <n v="10"/>
    <n v="10"/>
    <n v="10"/>
    <n v="120"/>
    <m/>
    <n v="10.546750793127993"/>
    <n v="10.546750793127993"/>
    <n v="10.546750793127993"/>
    <n v="10.546750793127993"/>
    <n v="10.546750793127993"/>
    <n v="10.546750793127993"/>
    <n v="10.546750793127993"/>
    <n v="10.546750793127993"/>
    <n v="10.546750793127993"/>
    <n v="10.546750793127993"/>
    <n v="10.546750793127993"/>
    <n v="10.546750793127993"/>
    <n v="126.56100951753594"/>
    <m/>
    <n v="1.7936651008721076"/>
    <n v="1.7936651008721076"/>
    <n v="1.7936651008721076"/>
    <n v="1.7936651008721076"/>
    <n v="1.7936651008721076"/>
    <n v="1.7936651008721076"/>
    <n v="1.7936651008721076"/>
    <n v="1.7936651008721076"/>
    <n v="1.7936651008721076"/>
    <n v="1.7936651008721076"/>
    <n v="1.7936651008721076"/>
    <n v="1.7936651008721076"/>
    <n v="21.523981210465291"/>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51"/>
    <x v="3"/>
    <x v="53"/>
    <s v="Existente"/>
    <s v="Mensal"/>
    <s v="Contrato em Curso"/>
    <s v="BU-MMTR | TI"/>
    <s v="Alexandre Ayabe"/>
    <x v="4"/>
    <m/>
    <s v="BRL"/>
    <n v="0"/>
    <n v="0"/>
    <n v="0"/>
    <n v="0"/>
    <n v="0"/>
    <n v="0"/>
    <n v="0"/>
    <n v="0"/>
    <n v="0"/>
    <n v="0"/>
    <n v="0"/>
    <n v="0"/>
    <n v="0"/>
    <m/>
    <n v="0"/>
    <n v="0"/>
    <n v="0"/>
    <n v="0"/>
    <n v="0"/>
    <n v="0"/>
    <n v="0"/>
    <n v="0"/>
    <n v="0"/>
    <n v="0"/>
    <n v="0"/>
    <n v="0"/>
    <n v="0"/>
    <m/>
    <n v="0"/>
    <n v="0"/>
    <n v="0"/>
    <n v="0"/>
    <n v="0"/>
    <n v="0"/>
    <n v="0"/>
    <n v="0"/>
    <n v="0"/>
    <n v="0"/>
    <n v="0"/>
    <n v="0"/>
    <n v="0"/>
    <m/>
    <n v="0"/>
    <n v="0"/>
    <n v="0"/>
    <n v="0"/>
    <n v="0"/>
    <n v="0"/>
    <n v="0"/>
    <n v="0"/>
    <n v="0"/>
    <n v="0"/>
    <n v="0"/>
    <n v="0"/>
    <n v="0"/>
    <x v="0"/>
  </r>
  <r>
    <x v="0"/>
    <x v="0"/>
    <x v="1"/>
    <x v="1"/>
    <x v="0"/>
    <x v="51"/>
    <x v="3"/>
    <x v="53"/>
    <s v="Existente"/>
    <s v="Mensal"/>
    <s v="Contrato em Curso"/>
    <s v="BU-MMAZ | TI"/>
    <s v="Alexandre Ayabe"/>
    <x v="4"/>
    <m/>
    <s v="BRL"/>
    <n v="1950"/>
    <n v="1950"/>
    <n v="1950"/>
    <n v="1950"/>
    <n v="1950"/>
    <n v="1950"/>
    <n v="1950"/>
    <n v="1950"/>
    <n v="1950"/>
    <n v="1950"/>
    <n v="1950"/>
    <n v="1950"/>
    <n v="23400"/>
    <m/>
    <n v="1.95"/>
    <n v="1.95"/>
    <n v="1.95"/>
    <n v="1.95"/>
    <n v="1.95"/>
    <n v="1.95"/>
    <n v="1.95"/>
    <n v="1.95"/>
    <n v="1.95"/>
    <n v="1.95"/>
    <n v="1.95"/>
    <n v="1.95"/>
    <n v="23.399999999999995"/>
    <m/>
    <n v="1.95"/>
    <n v="1.95"/>
    <n v="1.95"/>
    <n v="1.95"/>
    <n v="1.95"/>
    <n v="1.95"/>
    <n v="1.95"/>
    <n v="1.95"/>
    <n v="1.95"/>
    <n v="1.95"/>
    <n v="1.95"/>
    <n v="1.95"/>
    <n v="23.399999999999995"/>
    <m/>
    <n v="0.33163265306122447"/>
    <n v="0.33163265306122447"/>
    <n v="0.33163265306122447"/>
    <n v="0.33163265306122447"/>
    <n v="0.33163265306122447"/>
    <n v="0.33163265306122447"/>
    <n v="0.33163265306122447"/>
    <n v="0.33163265306122447"/>
    <n v="0.33163265306122447"/>
    <n v="0.33163265306122447"/>
    <n v="0.33163265306122447"/>
    <n v="0.33163265306122447"/>
    <n v="3.9795918367346945"/>
    <x v="0"/>
  </r>
  <r>
    <x v="0"/>
    <x v="0"/>
    <x v="3"/>
    <x v="3"/>
    <x v="0"/>
    <x v="51"/>
    <x v="3"/>
    <x v="53"/>
    <s v="Existente"/>
    <s v="Mensal"/>
    <s v="Contrato em Curso"/>
    <s v="BU-MRV | TI"/>
    <s v="Alexandre Ayabe"/>
    <x v="4"/>
    <m/>
    <s v="BRL"/>
    <n v="390"/>
    <n v="390"/>
    <n v="390"/>
    <n v="390"/>
    <n v="390"/>
    <n v="390"/>
    <n v="390"/>
    <n v="390"/>
    <n v="390"/>
    <n v="390"/>
    <n v="390"/>
    <n v="390"/>
    <n v="4680"/>
    <m/>
    <n v="0.39"/>
    <n v="0.39"/>
    <n v="0.39"/>
    <n v="0.39"/>
    <n v="0.39"/>
    <n v="0.39"/>
    <n v="0.39"/>
    <n v="0.39"/>
    <n v="0.39"/>
    <n v="0.39"/>
    <n v="0.39"/>
    <n v="0.39"/>
    <n v="4.6800000000000006"/>
    <m/>
    <n v="0.39"/>
    <n v="0.39"/>
    <n v="0.39"/>
    <n v="0.39"/>
    <n v="0.39"/>
    <n v="0.39"/>
    <n v="0.39"/>
    <n v="0.39"/>
    <n v="0.39"/>
    <n v="0.39"/>
    <n v="0.39"/>
    <n v="0.39"/>
    <n v="4.6800000000000006"/>
    <m/>
    <n v="6.6326530612244902E-2"/>
    <n v="6.6326530612244902E-2"/>
    <n v="6.6326530612244902E-2"/>
    <n v="6.6326530612244902E-2"/>
    <n v="6.6326530612244902E-2"/>
    <n v="6.6326530612244902E-2"/>
    <n v="6.6326530612244902E-2"/>
    <n v="6.6326530612244902E-2"/>
    <n v="6.6326530612244902E-2"/>
    <n v="6.6326530612244902E-2"/>
    <n v="6.6326530612244902E-2"/>
    <n v="6.6326530612244902E-2"/>
    <n v="0.79591836734693888"/>
    <x v="0"/>
  </r>
  <r>
    <x v="0"/>
    <x v="0"/>
    <x v="4"/>
    <x v="4"/>
    <x v="0"/>
    <x v="51"/>
    <x v="3"/>
    <x v="53"/>
    <s v="Existente"/>
    <s v="Mensal"/>
    <s v="Contrato em Curso"/>
    <s v="BU-GRU | TI"/>
    <s v="Alexandre Ayabe"/>
    <x v="4"/>
    <m/>
    <s v="BRL"/>
    <n v="660"/>
    <n v="660"/>
    <n v="660"/>
    <n v="660"/>
    <n v="660"/>
    <n v="660"/>
    <n v="660"/>
    <n v="660"/>
    <n v="660"/>
    <n v="660"/>
    <n v="660"/>
    <n v="660"/>
    <n v="7920"/>
    <m/>
    <n v="0.66"/>
    <n v="0.66"/>
    <n v="0.66"/>
    <n v="0.66"/>
    <n v="0.66"/>
    <n v="0.66"/>
    <n v="0.66"/>
    <n v="0.66"/>
    <n v="0.66"/>
    <n v="0.66"/>
    <n v="0.66"/>
    <n v="0.66"/>
    <n v="7.9200000000000008"/>
    <m/>
    <n v="0.66"/>
    <n v="0.66"/>
    <n v="0.66"/>
    <n v="0.66"/>
    <n v="0.66"/>
    <n v="0.66"/>
    <n v="0.66"/>
    <n v="0.66"/>
    <n v="0.66"/>
    <n v="0.66"/>
    <n v="0.66"/>
    <n v="0.66"/>
    <n v="7.9200000000000008"/>
    <m/>
    <n v="0.11224489795918369"/>
    <n v="0.11224489795918369"/>
    <n v="0.11224489795918369"/>
    <n v="0.11224489795918369"/>
    <n v="0.11224489795918369"/>
    <n v="0.11224489795918369"/>
    <n v="0.11224489795918369"/>
    <n v="0.11224489795918369"/>
    <n v="0.11224489795918369"/>
    <n v="0.11224489795918369"/>
    <n v="0.11224489795918369"/>
    <n v="0.11224489795918369"/>
    <n v="1.3469387755102042"/>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52"/>
    <x v="2"/>
    <x v="54"/>
    <s v="Existente"/>
    <s v="Mensal"/>
    <s v="Contrato em Curso"/>
    <s v="BU-MMAZ | TI"/>
    <s v="Alexandre Ayabe"/>
    <x v="4"/>
    <m/>
    <s v="BRL"/>
    <n v="260"/>
    <n v="260"/>
    <n v="260"/>
    <n v="260"/>
    <n v="260"/>
    <n v="260"/>
    <n v="260"/>
    <n v="260"/>
    <n v="260"/>
    <n v="260"/>
    <n v="260"/>
    <n v="260"/>
    <n v="3120"/>
    <m/>
    <n v="0.26"/>
    <n v="0.26"/>
    <n v="0.26"/>
    <n v="0.26"/>
    <n v="0.26"/>
    <n v="0.26"/>
    <n v="0.26"/>
    <n v="0.26"/>
    <n v="0.26"/>
    <n v="0.26"/>
    <n v="0.26"/>
    <n v="0.26"/>
    <n v="3.1199999999999992"/>
    <m/>
    <n v="0.26"/>
    <n v="0.26"/>
    <n v="0.26"/>
    <n v="0.26"/>
    <n v="0.26"/>
    <n v="0.26"/>
    <n v="0.26"/>
    <n v="0.26"/>
    <n v="0.26"/>
    <n v="0.26"/>
    <n v="0.26"/>
    <n v="0.26"/>
    <n v="3.1199999999999992"/>
    <m/>
    <n v="4.4217687074829932E-2"/>
    <n v="4.4217687074829932E-2"/>
    <n v="4.4217687074829932E-2"/>
    <n v="4.4217687074829932E-2"/>
    <n v="4.4217687074829932E-2"/>
    <n v="4.4217687074829932E-2"/>
    <n v="4.4217687074829932E-2"/>
    <n v="4.4217687074829932E-2"/>
    <n v="4.4217687074829932E-2"/>
    <n v="4.4217687074829932E-2"/>
    <n v="4.4217687074829932E-2"/>
    <n v="4.4217687074829932E-2"/>
    <n v="0.53061224489795922"/>
    <x v="0"/>
  </r>
  <r>
    <x v="0"/>
    <x v="0"/>
    <x v="3"/>
    <x v="3"/>
    <x v="0"/>
    <x v="52"/>
    <x v="2"/>
    <x v="54"/>
    <s v="Existente"/>
    <s v="Mensal"/>
    <s v="Contrato em Curso"/>
    <s v="BU-MRV | TI"/>
    <s v="Alexandre Ayabe"/>
    <x v="4"/>
    <m/>
    <s v="BRL"/>
    <n v="52"/>
    <n v="52"/>
    <n v="52"/>
    <n v="52"/>
    <n v="52"/>
    <n v="52"/>
    <n v="52"/>
    <n v="52"/>
    <n v="52"/>
    <n v="52"/>
    <n v="52"/>
    <n v="52"/>
    <n v="624"/>
    <m/>
    <n v="5.1999999999999998E-2"/>
    <n v="5.1999999999999998E-2"/>
    <n v="5.1999999999999998E-2"/>
    <n v="5.1999999999999998E-2"/>
    <n v="5.1999999999999998E-2"/>
    <n v="5.1999999999999998E-2"/>
    <n v="5.1999999999999998E-2"/>
    <n v="5.1999999999999998E-2"/>
    <n v="5.1999999999999998E-2"/>
    <n v="5.1999999999999998E-2"/>
    <n v="5.1999999999999998E-2"/>
    <n v="5.1999999999999998E-2"/>
    <n v="0.62400000000000011"/>
    <m/>
    <n v="5.1999999999999998E-2"/>
    <n v="5.1999999999999998E-2"/>
    <n v="5.1999999999999998E-2"/>
    <n v="5.1999999999999998E-2"/>
    <n v="5.1999999999999998E-2"/>
    <n v="5.1999999999999998E-2"/>
    <n v="5.1999999999999998E-2"/>
    <n v="5.1999999999999998E-2"/>
    <n v="5.1999999999999998E-2"/>
    <n v="5.1999999999999998E-2"/>
    <n v="5.1999999999999998E-2"/>
    <n v="5.1999999999999998E-2"/>
    <n v="0.62400000000000011"/>
    <m/>
    <n v="8.8435374149659855E-3"/>
    <n v="8.8435374149659855E-3"/>
    <n v="8.8435374149659855E-3"/>
    <n v="8.8435374149659855E-3"/>
    <n v="8.8435374149659855E-3"/>
    <n v="8.8435374149659855E-3"/>
    <n v="8.8435374149659855E-3"/>
    <n v="8.8435374149659855E-3"/>
    <n v="8.8435374149659855E-3"/>
    <n v="8.8435374149659855E-3"/>
    <n v="8.8435374149659855E-3"/>
    <n v="8.8435374149659855E-3"/>
    <n v="0.10612244897959185"/>
    <x v="0"/>
  </r>
  <r>
    <x v="0"/>
    <x v="0"/>
    <x v="4"/>
    <x v="4"/>
    <x v="0"/>
    <x v="52"/>
    <x v="2"/>
    <x v="54"/>
    <s v="Existente"/>
    <s v="Mensal"/>
    <s v="Contrato em Curso"/>
    <s v="BU-GRU | TI"/>
    <s v="Alexandre Ayabe"/>
    <x v="4"/>
    <m/>
    <s v="BRL"/>
    <n v="88"/>
    <n v="88"/>
    <n v="88"/>
    <n v="88"/>
    <n v="88"/>
    <n v="88"/>
    <n v="88"/>
    <n v="88"/>
    <n v="88"/>
    <n v="88"/>
    <n v="88"/>
    <n v="88"/>
    <n v="1056"/>
    <m/>
    <n v="8.7999999999999995E-2"/>
    <n v="8.7999999999999995E-2"/>
    <n v="8.7999999999999995E-2"/>
    <n v="8.7999999999999995E-2"/>
    <n v="8.7999999999999995E-2"/>
    <n v="8.7999999999999995E-2"/>
    <n v="8.7999999999999995E-2"/>
    <n v="8.7999999999999995E-2"/>
    <n v="8.7999999999999995E-2"/>
    <n v="8.7999999999999995E-2"/>
    <n v="8.7999999999999995E-2"/>
    <n v="8.7999999999999995E-2"/>
    <n v="1.0559999999999998"/>
    <m/>
    <n v="8.7999999999999995E-2"/>
    <n v="8.7999999999999995E-2"/>
    <n v="8.7999999999999995E-2"/>
    <n v="8.7999999999999995E-2"/>
    <n v="8.7999999999999995E-2"/>
    <n v="8.7999999999999995E-2"/>
    <n v="8.7999999999999995E-2"/>
    <n v="8.7999999999999995E-2"/>
    <n v="8.7999999999999995E-2"/>
    <n v="8.7999999999999995E-2"/>
    <n v="8.7999999999999995E-2"/>
    <n v="8.7999999999999995E-2"/>
    <n v="1.0559999999999998"/>
    <m/>
    <n v="1.4965986394557823E-2"/>
    <n v="1.4965986394557823E-2"/>
    <n v="1.4965986394557823E-2"/>
    <n v="1.4965986394557823E-2"/>
    <n v="1.4965986394557823E-2"/>
    <n v="1.4965986394557823E-2"/>
    <n v="1.4965986394557823E-2"/>
    <n v="1.4965986394557823E-2"/>
    <n v="1.4965986394557823E-2"/>
    <n v="1.4965986394557823E-2"/>
    <n v="1.4965986394557823E-2"/>
    <n v="1.4965986394557823E-2"/>
    <n v="0.17959183673469384"/>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6"/>
    <x v="53"/>
    <x v="2"/>
    <x v="55"/>
    <s v="Existente"/>
    <s v="Mensal"/>
    <s v="Contrato em Curso"/>
    <s v="PNG | TI"/>
    <s v="Alexandre Ayabe"/>
    <x v="2"/>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54"/>
    <x v="3"/>
    <x v="56"/>
    <s v="Existente"/>
    <s v="Anual"/>
    <s v="Contrato em Curso"/>
    <s v="PL | TI"/>
    <s v="Alexandre Ayabe"/>
    <x v="2"/>
    <m/>
    <s v="USD"/>
    <n v="291.66666666666669"/>
    <n v="291.66666666666669"/>
    <n v="291.66666666666669"/>
    <n v="291.66666666666669"/>
    <n v="291.66666666666669"/>
    <n v="291.66666666666669"/>
    <n v="291.66666666666669"/>
    <n v="291.66666666666669"/>
    <n v="291.66666666666669"/>
    <n v="291.66666666666669"/>
    <n v="291.66666666666669"/>
    <n v="291.66666666666669"/>
    <n v="3499.9999999999995"/>
    <m/>
    <n v="1.7150000000000001"/>
    <n v="1.7150000000000001"/>
    <n v="1.7150000000000001"/>
    <n v="1.7150000000000001"/>
    <n v="1.7150000000000001"/>
    <n v="1.7150000000000001"/>
    <n v="1.7150000000000001"/>
    <n v="1.7150000000000001"/>
    <n v="1.7150000000000001"/>
    <n v="1.7150000000000001"/>
    <n v="1.7150000000000001"/>
    <n v="1.7150000000000001"/>
    <n v="20.580000000000002"/>
    <m/>
    <n v="1.7150000000000001"/>
    <n v="1.7150000000000001"/>
    <n v="1.7150000000000001"/>
    <n v="1.7150000000000001"/>
    <n v="1.7150000000000001"/>
    <n v="1.7150000000000001"/>
    <n v="1.7150000000000001"/>
    <n v="1.7150000000000001"/>
    <n v="1.7150000000000001"/>
    <n v="1.7150000000000001"/>
    <n v="1.7150000000000001"/>
    <n v="1.7150000000000001"/>
    <n v="20.580000000000002"/>
    <m/>
    <n v="0.29166666666666669"/>
    <n v="0.29166666666666669"/>
    <n v="0.29166666666666669"/>
    <n v="0.29166666666666669"/>
    <n v="0.29166666666666669"/>
    <n v="0.29166666666666669"/>
    <n v="0.29166666666666669"/>
    <n v="0.29166666666666669"/>
    <n v="0.29166666666666669"/>
    <n v="0.29166666666666669"/>
    <n v="0.29166666666666669"/>
    <n v="0.29166666666666669"/>
    <n v="3.4999999999999996"/>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55"/>
    <x v="0"/>
    <x v="57"/>
    <s v="Novo"/>
    <s v="Mensal"/>
    <s v="Alta - Para a operação"/>
    <s v="BU-MMAZ | TI"/>
    <s v="Alexandre Ayabe"/>
    <x v="4"/>
    <m/>
    <s v="BRL"/>
    <n v="1300"/>
    <n v="1300"/>
    <n v="1300"/>
    <n v="1300"/>
    <n v="1300"/>
    <n v="1300"/>
    <n v="1300"/>
    <n v="1300"/>
    <n v="1300"/>
    <n v="1300"/>
    <n v="1300"/>
    <n v="1300"/>
    <n v="15600"/>
    <m/>
    <n v="1.3"/>
    <n v="1.3"/>
    <n v="1.3"/>
    <n v="1.3"/>
    <n v="1.3"/>
    <n v="1.3"/>
    <n v="1.3"/>
    <n v="1.3"/>
    <n v="1.3"/>
    <n v="1.3"/>
    <n v="1.3"/>
    <n v="1.3"/>
    <n v="15.600000000000003"/>
    <m/>
    <n v="1.3"/>
    <n v="1.3"/>
    <n v="1.3"/>
    <n v="1.3"/>
    <n v="1.3"/>
    <n v="1.3"/>
    <n v="1.3"/>
    <n v="1.3"/>
    <n v="1.3"/>
    <n v="1.3"/>
    <n v="1.3"/>
    <n v="1.3"/>
    <n v="15.600000000000003"/>
    <m/>
    <n v="0.22108843537414968"/>
    <n v="0.22108843537414968"/>
    <n v="0.22108843537414968"/>
    <n v="0.22108843537414968"/>
    <n v="0.22108843537414968"/>
    <n v="0.22108843537414968"/>
    <n v="0.22108843537414968"/>
    <n v="0.22108843537414968"/>
    <n v="0.22108843537414968"/>
    <n v="0.22108843537414968"/>
    <n v="0.22108843537414968"/>
    <n v="0.22108843537414968"/>
    <n v="2.6530612244897953"/>
    <x v="0"/>
  </r>
  <r>
    <x v="0"/>
    <x v="0"/>
    <x v="3"/>
    <x v="3"/>
    <x v="0"/>
    <x v="55"/>
    <x v="0"/>
    <x v="57"/>
    <s v="Novo"/>
    <s v="Mensal"/>
    <s v="Alta - Para a operação"/>
    <s v="BU-MRV | TI"/>
    <s v="Alexandre Ayabe"/>
    <x v="4"/>
    <m/>
    <s v="BRL"/>
    <n v="260"/>
    <n v="260"/>
    <n v="260"/>
    <n v="260"/>
    <n v="260"/>
    <n v="260"/>
    <n v="260"/>
    <n v="260"/>
    <n v="260"/>
    <n v="260"/>
    <n v="260"/>
    <n v="260"/>
    <n v="3120"/>
    <m/>
    <n v="0.26"/>
    <n v="0.26"/>
    <n v="0.26"/>
    <n v="0.26"/>
    <n v="0.26"/>
    <n v="0.26"/>
    <n v="0.26"/>
    <n v="0.26"/>
    <n v="0.26"/>
    <n v="0.26"/>
    <n v="0.26"/>
    <n v="0.26"/>
    <n v="3.1199999999999992"/>
    <m/>
    <n v="0.26"/>
    <n v="0.26"/>
    <n v="0.26"/>
    <n v="0.26"/>
    <n v="0.26"/>
    <n v="0.26"/>
    <n v="0.26"/>
    <n v="0.26"/>
    <n v="0.26"/>
    <n v="0.26"/>
    <n v="0.26"/>
    <n v="0.26"/>
    <n v="3.1199999999999992"/>
    <m/>
    <n v="4.4217687074829932E-2"/>
    <n v="4.4217687074829932E-2"/>
    <n v="4.4217687074829932E-2"/>
    <n v="4.4217687074829932E-2"/>
    <n v="4.4217687074829932E-2"/>
    <n v="4.4217687074829932E-2"/>
    <n v="4.4217687074829932E-2"/>
    <n v="4.4217687074829932E-2"/>
    <n v="4.4217687074829932E-2"/>
    <n v="4.4217687074829932E-2"/>
    <n v="4.4217687074829932E-2"/>
    <n v="4.4217687074829932E-2"/>
    <n v="0.53061224489795922"/>
    <x v="0"/>
  </r>
  <r>
    <x v="0"/>
    <x v="0"/>
    <x v="4"/>
    <x v="4"/>
    <x v="0"/>
    <x v="55"/>
    <x v="0"/>
    <x v="57"/>
    <s v="Novo"/>
    <s v="Mensal"/>
    <s v="Alta - Para a operação"/>
    <s v="BU-GRU | TI"/>
    <s v="Alexandre Ayabe"/>
    <x v="4"/>
    <m/>
    <s v="BRL"/>
    <n v="440"/>
    <n v="440"/>
    <n v="440"/>
    <n v="440"/>
    <n v="440"/>
    <n v="440"/>
    <n v="440"/>
    <n v="440"/>
    <n v="440"/>
    <n v="440"/>
    <n v="440"/>
    <n v="440"/>
    <n v="5280"/>
    <m/>
    <n v="0.44"/>
    <n v="0.44"/>
    <n v="0.44"/>
    <n v="0.44"/>
    <n v="0.44"/>
    <n v="0.44"/>
    <n v="0.44"/>
    <n v="0.44"/>
    <n v="0.44"/>
    <n v="0.44"/>
    <n v="0.44"/>
    <n v="0.44"/>
    <n v="5.2800000000000011"/>
    <m/>
    <n v="0.44"/>
    <n v="0.44"/>
    <n v="0.44"/>
    <n v="0.44"/>
    <n v="0.44"/>
    <n v="0.44"/>
    <n v="0.44"/>
    <n v="0.44"/>
    <n v="0.44"/>
    <n v="0.44"/>
    <n v="0.44"/>
    <n v="0.44"/>
    <n v="5.2800000000000011"/>
    <m/>
    <n v="7.4829931972789115E-2"/>
    <n v="7.4829931972789115E-2"/>
    <n v="7.4829931972789115E-2"/>
    <n v="7.4829931972789115E-2"/>
    <n v="7.4829931972789115E-2"/>
    <n v="7.4829931972789115E-2"/>
    <n v="7.4829931972789115E-2"/>
    <n v="7.4829931972789115E-2"/>
    <n v="7.4829931972789115E-2"/>
    <n v="7.4829931972789115E-2"/>
    <n v="7.4829931972789115E-2"/>
    <n v="7.4829931972789115E-2"/>
    <n v="0.89795918367346916"/>
    <x v="0"/>
  </r>
  <r>
    <x v="1"/>
    <x v="1"/>
    <x v="2"/>
    <x v="2"/>
    <x v="1"/>
    <x v="1"/>
    <x v="1"/>
    <x v="1"/>
    <m/>
    <m/>
    <m/>
    <m/>
    <s v=""/>
    <x v="1"/>
    <m/>
    <m/>
    <m/>
    <m/>
    <m/>
    <m/>
    <m/>
    <m/>
    <m/>
    <m/>
    <m/>
    <m/>
    <m/>
    <m/>
    <s v=""/>
    <m/>
    <s v=""/>
    <s v=""/>
    <s v=""/>
    <s v=""/>
    <s v=""/>
    <s v=""/>
    <s v=""/>
    <s v=""/>
    <s v=""/>
    <s v=""/>
    <s v=""/>
    <s v=""/>
    <s v=""/>
    <m/>
    <s v=""/>
    <s v=""/>
    <s v=""/>
    <s v=""/>
    <s v=""/>
    <s v=""/>
    <s v=""/>
    <s v=""/>
    <s v=""/>
    <s v=""/>
    <s v=""/>
    <s v=""/>
    <s v=""/>
    <m/>
    <s v=""/>
    <s v=""/>
    <s v=""/>
    <s v=""/>
    <s v=""/>
    <s v=""/>
    <s v=""/>
    <s v=""/>
    <s v=""/>
    <s v=""/>
    <s v=""/>
    <s v=""/>
    <s v=""/>
    <x v="1"/>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56"/>
    <x v="0"/>
    <x v="58"/>
    <s v="Novo"/>
    <s v="Mensal"/>
    <s v="Alta - Para a operação"/>
    <s v="BU-MMAZ | TI"/>
    <s v="Alexandre Ayabe"/>
    <x v="5"/>
    <m/>
    <s v="BRL"/>
    <n v="14300"/>
    <n v="14300"/>
    <n v="14300"/>
    <n v="14300"/>
    <n v="14300"/>
    <n v="14300"/>
    <n v="14300"/>
    <n v="14300"/>
    <n v="14300"/>
    <n v="14300"/>
    <n v="14300"/>
    <n v="14300"/>
    <n v="171600"/>
    <m/>
    <n v="14.3"/>
    <n v="14.3"/>
    <n v="14.3"/>
    <n v="14.3"/>
    <n v="14.3"/>
    <n v="14.3"/>
    <n v="14.3"/>
    <n v="14.3"/>
    <n v="14.3"/>
    <n v="14.3"/>
    <n v="14.3"/>
    <n v="14.3"/>
    <n v="171.60000000000002"/>
    <m/>
    <n v="14.3"/>
    <n v="14.3"/>
    <n v="14.3"/>
    <n v="14.3"/>
    <n v="14.3"/>
    <n v="14.3"/>
    <n v="14.3"/>
    <n v="14.3"/>
    <n v="14.3"/>
    <n v="14.3"/>
    <n v="14.3"/>
    <n v="14.3"/>
    <n v="171.60000000000002"/>
    <m/>
    <n v="2.4319727891156466"/>
    <n v="2.4319727891156466"/>
    <n v="2.4319727891156466"/>
    <n v="2.4319727891156466"/>
    <n v="2.4319727891156466"/>
    <n v="2.4319727891156466"/>
    <n v="2.4319727891156466"/>
    <n v="2.4319727891156466"/>
    <n v="2.4319727891156466"/>
    <n v="2.4319727891156466"/>
    <n v="2.4319727891156466"/>
    <n v="2.4319727891156466"/>
    <n v="29.183673469387767"/>
    <x v="0"/>
  </r>
  <r>
    <x v="0"/>
    <x v="0"/>
    <x v="3"/>
    <x v="3"/>
    <x v="0"/>
    <x v="56"/>
    <x v="0"/>
    <x v="58"/>
    <s v="Novo"/>
    <s v="Mensal"/>
    <s v="Alta - Para a operação"/>
    <s v="BU-MRV | TI"/>
    <s v="Alexandre Ayabe"/>
    <x v="5"/>
    <m/>
    <s v="BRL"/>
    <n v="2860"/>
    <n v="2860"/>
    <n v="2860"/>
    <n v="2860"/>
    <n v="2860"/>
    <n v="2860"/>
    <n v="2860"/>
    <n v="2860"/>
    <n v="2860"/>
    <n v="2860"/>
    <n v="2860"/>
    <n v="2860"/>
    <n v="34320"/>
    <m/>
    <n v="2.86"/>
    <n v="2.86"/>
    <n v="2.86"/>
    <n v="2.86"/>
    <n v="2.86"/>
    <n v="2.86"/>
    <n v="2.86"/>
    <n v="2.86"/>
    <n v="2.86"/>
    <n v="2.86"/>
    <n v="2.86"/>
    <n v="2.86"/>
    <n v="34.32"/>
    <m/>
    <n v="2.86"/>
    <n v="2.86"/>
    <n v="2.86"/>
    <n v="2.86"/>
    <n v="2.86"/>
    <n v="2.86"/>
    <n v="2.86"/>
    <n v="2.86"/>
    <n v="2.86"/>
    <n v="2.86"/>
    <n v="2.86"/>
    <n v="2.86"/>
    <n v="34.32"/>
    <m/>
    <n v="0.48639455782312924"/>
    <n v="0.48639455782312924"/>
    <n v="0.48639455782312924"/>
    <n v="0.48639455782312924"/>
    <n v="0.48639455782312924"/>
    <n v="0.48639455782312924"/>
    <n v="0.48639455782312924"/>
    <n v="0.48639455782312924"/>
    <n v="0.48639455782312924"/>
    <n v="0.48639455782312924"/>
    <n v="0.48639455782312924"/>
    <n v="0.48639455782312924"/>
    <n v="5.8367346938775491"/>
    <x v="0"/>
  </r>
  <r>
    <x v="0"/>
    <x v="0"/>
    <x v="4"/>
    <x v="4"/>
    <x v="0"/>
    <x v="56"/>
    <x v="0"/>
    <x v="58"/>
    <s v="Novo"/>
    <s v="Mensal"/>
    <s v="Alta - Para a operação"/>
    <s v="BU-GRU | TI"/>
    <s v="Alexandre Ayabe"/>
    <x v="5"/>
    <m/>
    <s v="BRL"/>
    <n v="4840"/>
    <n v="4840"/>
    <n v="4840"/>
    <n v="4840"/>
    <n v="4840"/>
    <n v="4840"/>
    <n v="4840"/>
    <n v="4840"/>
    <n v="4840"/>
    <n v="4840"/>
    <n v="4840"/>
    <n v="4840"/>
    <n v="58080"/>
    <m/>
    <n v="4.84"/>
    <n v="4.84"/>
    <n v="4.84"/>
    <n v="4.84"/>
    <n v="4.84"/>
    <n v="4.84"/>
    <n v="4.84"/>
    <n v="4.84"/>
    <n v="4.84"/>
    <n v="4.84"/>
    <n v="4.84"/>
    <n v="4.84"/>
    <n v="58.080000000000013"/>
    <m/>
    <n v="4.84"/>
    <n v="4.84"/>
    <n v="4.84"/>
    <n v="4.84"/>
    <n v="4.84"/>
    <n v="4.84"/>
    <n v="4.84"/>
    <n v="4.84"/>
    <n v="4.84"/>
    <n v="4.84"/>
    <n v="4.84"/>
    <n v="4.84"/>
    <n v="58.080000000000013"/>
    <m/>
    <n v="0.8231292517006803"/>
    <n v="0.8231292517006803"/>
    <n v="0.8231292517006803"/>
    <n v="0.8231292517006803"/>
    <n v="0.8231292517006803"/>
    <n v="0.8231292517006803"/>
    <n v="0.8231292517006803"/>
    <n v="0.8231292517006803"/>
    <n v="0.8231292517006803"/>
    <n v="0.8231292517006803"/>
    <n v="0.8231292517006803"/>
    <n v="0.8231292517006803"/>
    <n v="9.8775510204081627"/>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57"/>
    <x v="2"/>
    <x v="59"/>
    <s v="Novo"/>
    <s v="Mensal"/>
    <s v="Média - Impacta a operação"/>
    <s v="BU-MMAZ | TI"/>
    <s v="Alexandre Ayabe"/>
    <x v="6"/>
    <m/>
    <s v="BRL"/>
    <n v="1300"/>
    <n v="1300"/>
    <n v="1300"/>
    <n v="1300"/>
    <n v="1300"/>
    <n v="1300"/>
    <n v="1300"/>
    <n v="1300"/>
    <n v="1300"/>
    <n v="1300"/>
    <n v="1300"/>
    <n v="1300"/>
    <n v="15600"/>
    <m/>
    <n v="1.3"/>
    <n v="1.3"/>
    <n v="1.3"/>
    <n v="1.3"/>
    <n v="1.3"/>
    <n v="1.3"/>
    <n v="1.3"/>
    <n v="1.3"/>
    <n v="1.3"/>
    <n v="1.3"/>
    <n v="1.3"/>
    <n v="1.3"/>
    <n v="15.600000000000003"/>
    <m/>
    <n v="1.3"/>
    <n v="1.3"/>
    <n v="1.3"/>
    <n v="1.3"/>
    <n v="1.3"/>
    <n v="1.3"/>
    <n v="1.3"/>
    <n v="1.3"/>
    <n v="1.3"/>
    <n v="1.3"/>
    <n v="1.3"/>
    <n v="1.3"/>
    <n v="15.600000000000003"/>
    <m/>
    <n v="0.22108843537414968"/>
    <n v="0.22108843537414968"/>
    <n v="0.22108843537414968"/>
    <n v="0.22108843537414968"/>
    <n v="0.22108843537414968"/>
    <n v="0.22108843537414968"/>
    <n v="0.22108843537414968"/>
    <n v="0.22108843537414968"/>
    <n v="0.22108843537414968"/>
    <n v="0.22108843537414968"/>
    <n v="0.22108843537414968"/>
    <n v="0.22108843537414968"/>
    <n v="2.6530612244897953"/>
    <x v="0"/>
  </r>
  <r>
    <x v="0"/>
    <x v="0"/>
    <x v="3"/>
    <x v="3"/>
    <x v="0"/>
    <x v="57"/>
    <x v="2"/>
    <x v="59"/>
    <s v="Novo"/>
    <s v="Mensal"/>
    <s v="Média - Impacta a operação"/>
    <s v="BU-MRV | TI"/>
    <s v="Alexandre Ayabe"/>
    <x v="6"/>
    <m/>
    <s v="BRL"/>
    <n v="260"/>
    <n v="260"/>
    <n v="260"/>
    <n v="260"/>
    <n v="260"/>
    <n v="260"/>
    <n v="260"/>
    <n v="260"/>
    <n v="260"/>
    <n v="260"/>
    <n v="260"/>
    <n v="260"/>
    <n v="3120"/>
    <m/>
    <n v="0.26"/>
    <n v="0.26"/>
    <n v="0.26"/>
    <n v="0.26"/>
    <n v="0.26"/>
    <n v="0.26"/>
    <n v="0.26"/>
    <n v="0.26"/>
    <n v="0.26"/>
    <n v="0.26"/>
    <n v="0.26"/>
    <n v="0.26"/>
    <n v="3.1199999999999992"/>
    <m/>
    <n v="0.26"/>
    <n v="0.26"/>
    <n v="0.26"/>
    <n v="0.26"/>
    <n v="0.26"/>
    <n v="0.26"/>
    <n v="0.26"/>
    <n v="0.26"/>
    <n v="0.26"/>
    <n v="0.26"/>
    <n v="0.26"/>
    <n v="0.26"/>
    <n v="3.1199999999999992"/>
    <m/>
    <n v="4.4217687074829932E-2"/>
    <n v="4.4217687074829932E-2"/>
    <n v="4.4217687074829932E-2"/>
    <n v="4.4217687074829932E-2"/>
    <n v="4.4217687074829932E-2"/>
    <n v="4.4217687074829932E-2"/>
    <n v="4.4217687074829932E-2"/>
    <n v="4.4217687074829932E-2"/>
    <n v="4.4217687074829932E-2"/>
    <n v="4.4217687074829932E-2"/>
    <n v="4.4217687074829932E-2"/>
    <n v="4.4217687074829932E-2"/>
    <n v="0.53061224489795922"/>
    <x v="0"/>
  </r>
  <r>
    <x v="0"/>
    <x v="0"/>
    <x v="4"/>
    <x v="4"/>
    <x v="0"/>
    <x v="57"/>
    <x v="2"/>
    <x v="59"/>
    <s v="Novo"/>
    <s v="Mensal"/>
    <s v="Média - Impacta a operação"/>
    <s v="BU-GRU | TI"/>
    <s v="Alexandre Ayabe"/>
    <x v="6"/>
    <m/>
    <s v="BRL"/>
    <n v="440"/>
    <n v="440"/>
    <n v="440"/>
    <n v="440"/>
    <n v="440"/>
    <n v="440"/>
    <n v="440"/>
    <n v="440"/>
    <n v="440"/>
    <n v="440"/>
    <n v="440"/>
    <n v="440"/>
    <n v="5280"/>
    <m/>
    <n v="0.44"/>
    <n v="0.44"/>
    <n v="0.44"/>
    <n v="0.44"/>
    <n v="0.44"/>
    <n v="0.44"/>
    <n v="0.44"/>
    <n v="0.44"/>
    <n v="0.44"/>
    <n v="0.44"/>
    <n v="0.44"/>
    <n v="0.44"/>
    <n v="5.2800000000000011"/>
    <m/>
    <n v="0.44"/>
    <n v="0.44"/>
    <n v="0.44"/>
    <n v="0.44"/>
    <n v="0.44"/>
    <n v="0.44"/>
    <n v="0.44"/>
    <n v="0.44"/>
    <n v="0.44"/>
    <n v="0.44"/>
    <n v="0.44"/>
    <n v="0.44"/>
    <n v="5.2800000000000011"/>
    <m/>
    <n v="7.4829931972789115E-2"/>
    <n v="7.4829931972789115E-2"/>
    <n v="7.4829931972789115E-2"/>
    <n v="7.4829931972789115E-2"/>
    <n v="7.4829931972789115E-2"/>
    <n v="7.4829931972789115E-2"/>
    <n v="7.4829931972789115E-2"/>
    <n v="7.4829931972789115E-2"/>
    <n v="7.4829931972789115E-2"/>
    <n v="7.4829931972789115E-2"/>
    <n v="7.4829931972789115E-2"/>
    <n v="7.4829931972789115E-2"/>
    <n v="0.89795918367346916"/>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2"/>
    <x v="58"/>
    <x v="2"/>
    <x v="60"/>
    <s v="Novo"/>
    <s v="Mensal"/>
    <s v="Média - Impacta a operação"/>
    <s v="FG-PNG | TI"/>
    <s v="Alexandre Ayabe"/>
    <x v="2"/>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1"/>
    <x v="10"/>
    <x v="2"/>
    <x v="58"/>
    <x v="2"/>
    <x v="60"/>
    <s v="Novo"/>
    <s v="Mensal"/>
    <s v="Média - Impacta a operação"/>
    <s v="FG-RGD | TI"/>
    <s v="Alexandre Ayabe"/>
    <x v="2"/>
    <m/>
    <s v="BRL"/>
    <n v="300"/>
    <n v="300"/>
    <n v="300"/>
    <n v="300"/>
    <n v="300"/>
    <n v="300"/>
    <n v="300"/>
    <n v="300"/>
    <n v="300"/>
    <n v="300"/>
    <n v="300"/>
    <n v="300"/>
    <n v="3600"/>
    <m/>
    <n v="0.3"/>
    <n v="0.3"/>
    <n v="0.3"/>
    <n v="0.3"/>
    <n v="0.3"/>
    <n v="0.3"/>
    <n v="0.3"/>
    <n v="0.3"/>
    <n v="0.3"/>
    <n v="0.3"/>
    <n v="0.3"/>
    <n v="0.3"/>
    <n v="3.5999999999999992"/>
    <m/>
    <n v="0.3"/>
    <n v="0.3"/>
    <n v="0.3"/>
    <n v="0.3"/>
    <n v="0.3"/>
    <n v="0.3"/>
    <n v="0.3"/>
    <n v="0.3"/>
    <n v="0.3"/>
    <n v="0.3"/>
    <n v="0.3"/>
    <n v="0.3"/>
    <n v="3.5999999999999992"/>
    <m/>
    <n v="5.1020408163265307E-2"/>
    <n v="5.1020408163265307E-2"/>
    <n v="5.1020408163265307E-2"/>
    <n v="5.1020408163265307E-2"/>
    <n v="5.1020408163265307E-2"/>
    <n v="5.1020408163265307E-2"/>
    <n v="5.1020408163265307E-2"/>
    <n v="5.1020408163265307E-2"/>
    <n v="5.1020408163265307E-2"/>
    <n v="5.1020408163265307E-2"/>
    <n v="5.1020408163265307E-2"/>
    <n v="5.1020408163265307E-2"/>
    <n v="0.61224489795918369"/>
    <x v="4"/>
  </r>
  <r>
    <x v="0"/>
    <x v="0"/>
    <x v="1"/>
    <x v="9"/>
    <x v="2"/>
    <x v="58"/>
    <x v="2"/>
    <x v="60"/>
    <s v="Novo"/>
    <s v="Mensal"/>
    <s v="Média - Impacta a operação"/>
    <s v="FG-ITJ | TI"/>
    <s v="Alexandre Ayabe"/>
    <x v="2"/>
    <m/>
    <s v="BRL"/>
    <n v="900"/>
    <n v="900"/>
    <n v="900"/>
    <n v="900"/>
    <n v="900"/>
    <n v="900"/>
    <n v="900"/>
    <n v="900"/>
    <n v="900"/>
    <n v="900"/>
    <n v="900"/>
    <n v="900"/>
    <n v="10800"/>
    <m/>
    <n v="0.9"/>
    <n v="0.9"/>
    <n v="0.9"/>
    <n v="0.9"/>
    <n v="0.9"/>
    <n v="0.9"/>
    <n v="0.9"/>
    <n v="0.9"/>
    <n v="0.9"/>
    <n v="0.9"/>
    <n v="0.9"/>
    <n v="0.9"/>
    <n v="10.800000000000002"/>
    <m/>
    <n v="0.9"/>
    <n v="0.9"/>
    <n v="0.9"/>
    <n v="0.9"/>
    <n v="0.9"/>
    <n v="0.9"/>
    <n v="0.9"/>
    <n v="0.9"/>
    <n v="0.9"/>
    <n v="0.9"/>
    <n v="0.9"/>
    <n v="0.9"/>
    <n v="10.800000000000002"/>
    <m/>
    <n v="0.15306122448979592"/>
    <n v="0.15306122448979592"/>
    <n v="0.15306122448979592"/>
    <n v="0.15306122448979592"/>
    <n v="0.15306122448979592"/>
    <n v="0.15306122448979592"/>
    <n v="0.15306122448979592"/>
    <n v="0.15306122448979592"/>
    <n v="0.15306122448979592"/>
    <n v="0.15306122448979592"/>
    <n v="0.15306122448979592"/>
    <n v="0.15306122448979592"/>
    <n v="1.8367346938775515"/>
    <x v="4"/>
  </r>
  <r>
    <x v="0"/>
    <x v="0"/>
    <x v="1"/>
    <x v="12"/>
    <x v="2"/>
    <x v="58"/>
    <x v="2"/>
    <x v="60"/>
    <s v="Novo"/>
    <s v="Mensal"/>
    <s v="Média - Impacta a operação"/>
    <s v="FG-PE2 | TI"/>
    <s v="Alexandre Ayabe"/>
    <x v="2"/>
    <m/>
    <s v="BRL"/>
    <n v="300"/>
    <n v="300"/>
    <n v="300"/>
    <n v="300"/>
    <n v="300"/>
    <n v="300"/>
    <n v="300"/>
    <n v="300"/>
    <n v="300"/>
    <n v="300"/>
    <n v="300"/>
    <n v="300"/>
    <n v="3600"/>
    <m/>
    <n v="0.3"/>
    <n v="0.3"/>
    <n v="0.3"/>
    <n v="0.3"/>
    <n v="0.3"/>
    <n v="0.3"/>
    <n v="0.3"/>
    <n v="0.3"/>
    <n v="0.3"/>
    <n v="0.3"/>
    <n v="0.3"/>
    <n v="0.3"/>
    <n v="3.5999999999999992"/>
    <m/>
    <n v="0.3"/>
    <n v="0.3"/>
    <n v="0.3"/>
    <n v="0.3"/>
    <n v="0.3"/>
    <n v="0.3"/>
    <n v="0.3"/>
    <n v="0.3"/>
    <n v="0.3"/>
    <n v="0.3"/>
    <n v="0.3"/>
    <n v="0.3"/>
    <n v="3.5999999999999992"/>
    <m/>
    <n v="5.1020408163265307E-2"/>
    <n v="5.1020408163265307E-2"/>
    <n v="5.1020408163265307E-2"/>
    <n v="5.1020408163265307E-2"/>
    <n v="5.1020408163265307E-2"/>
    <n v="5.1020408163265307E-2"/>
    <n v="5.1020408163265307E-2"/>
    <n v="5.1020408163265307E-2"/>
    <n v="5.1020408163265307E-2"/>
    <n v="5.1020408163265307E-2"/>
    <n v="5.1020408163265307E-2"/>
    <n v="5.1020408163265307E-2"/>
    <n v="0.61224489795918369"/>
    <x v="4"/>
  </r>
  <r>
    <x v="0"/>
    <x v="0"/>
    <x v="3"/>
    <x v="14"/>
    <x v="2"/>
    <x v="58"/>
    <x v="2"/>
    <x v="60"/>
    <s v="Novo"/>
    <s v="Mensal"/>
    <s v="Média - Impacta a operação"/>
    <s v="FG-PSF | TI"/>
    <s v="Alexandre Ayabe"/>
    <x v="2"/>
    <m/>
    <s v="BRL"/>
    <n v="0"/>
    <n v="0"/>
    <n v="0"/>
    <n v="0"/>
    <n v="0"/>
    <n v="0"/>
    <n v="0"/>
    <n v="0"/>
    <n v="0"/>
    <n v="0"/>
    <n v="0"/>
    <n v="0"/>
    <n v="0"/>
    <m/>
    <n v="0"/>
    <n v="0"/>
    <n v="0"/>
    <n v="0"/>
    <n v="0"/>
    <n v="0"/>
    <n v="0"/>
    <n v="0"/>
    <n v="0"/>
    <n v="0"/>
    <n v="0"/>
    <n v="0"/>
    <n v="0"/>
    <m/>
    <n v="0"/>
    <n v="0"/>
    <n v="0"/>
    <n v="0"/>
    <n v="0"/>
    <n v="0"/>
    <n v="0"/>
    <n v="0"/>
    <n v="0"/>
    <n v="0"/>
    <n v="0"/>
    <n v="0"/>
    <n v="0"/>
    <m/>
    <n v="0"/>
    <n v="0"/>
    <n v="0"/>
    <n v="0"/>
    <n v="0"/>
    <n v="0"/>
    <n v="0"/>
    <n v="0"/>
    <n v="0"/>
    <n v="0"/>
    <n v="0"/>
    <n v="0"/>
    <n v="0"/>
    <x v="4"/>
  </r>
  <r>
    <x v="0"/>
    <x v="0"/>
    <x v="3"/>
    <x v="13"/>
    <x v="2"/>
    <x v="58"/>
    <x v="2"/>
    <x v="60"/>
    <s v="Novo"/>
    <s v="Mensal"/>
    <s v="Média - Impacta a operação"/>
    <s v="FG-VLP | TI"/>
    <s v="Alexandre Ayabe"/>
    <x v="2"/>
    <m/>
    <s v="BRL"/>
    <n v="900"/>
    <n v="900"/>
    <n v="900"/>
    <n v="900"/>
    <n v="900"/>
    <n v="900"/>
    <n v="900"/>
    <n v="900"/>
    <n v="900"/>
    <n v="900"/>
    <n v="900"/>
    <n v="900"/>
    <n v="10800"/>
    <m/>
    <n v="0.9"/>
    <n v="0.9"/>
    <n v="0.9"/>
    <n v="0.9"/>
    <n v="0.9"/>
    <n v="0.9"/>
    <n v="0.9"/>
    <n v="0.9"/>
    <n v="0.9"/>
    <n v="0.9"/>
    <n v="0.9"/>
    <n v="0.9"/>
    <n v="10.800000000000002"/>
    <m/>
    <n v="0.9"/>
    <n v="0.9"/>
    <n v="0.9"/>
    <n v="0.9"/>
    <n v="0.9"/>
    <n v="0.9"/>
    <n v="0.9"/>
    <n v="0.9"/>
    <n v="0.9"/>
    <n v="0.9"/>
    <n v="0.9"/>
    <n v="0.9"/>
    <n v="10.800000000000002"/>
    <m/>
    <n v="0.15306122448979592"/>
    <n v="0.15306122448979592"/>
    <n v="0.15306122448979592"/>
    <n v="0.15306122448979592"/>
    <n v="0.15306122448979592"/>
    <n v="0.15306122448979592"/>
    <n v="0.15306122448979592"/>
    <n v="0.15306122448979592"/>
    <n v="0.15306122448979592"/>
    <n v="0.15306122448979592"/>
    <n v="0.15306122448979592"/>
    <n v="0.15306122448979592"/>
    <n v="1.8367346938775515"/>
    <x v="4"/>
  </r>
  <r>
    <x v="0"/>
    <x v="0"/>
    <x v="4"/>
    <x v="15"/>
    <x v="2"/>
    <x v="58"/>
    <x v="2"/>
    <x v="60"/>
    <s v="Novo"/>
    <s v="Mensal"/>
    <s v="Média - Impacta a operação"/>
    <s v="FG-GRUB | TI"/>
    <s v="Alexandre Ayabe"/>
    <x v="2"/>
    <m/>
    <s v="BRL"/>
    <n v="1100"/>
    <n v="1100"/>
    <n v="1100"/>
    <n v="1100"/>
    <n v="1100"/>
    <n v="1100"/>
    <n v="1100"/>
    <n v="1100"/>
    <n v="1100"/>
    <n v="1100"/>
    <n v="1100"/>
    <n v="1100"/>
    <n v="13200"/>
    <m/>
    <n v="1.1000000000000001"/>
    <n v="1.1000000000000001"/>
    <n v="1.1000000000000001"/>
    <n v="1.1000000000000001"/>
    <n v="1.1000000000000001"/>
    <n v="1.1000000000000001"/>
    <n v="1.1000000000000001"/>
    <n v="1.1000000000000001"/>
    <n v="1.1000000000000001"/>
    <n v="1.1000000000000001"/>
    <n v="1.1000000000000001"/>
    <n v="1.1000000000000001"/>
    <n v="13.199999999999998"/>
    <m/>
    <n v="1.1000000000000001"/>
    <n v="1.1000000000000001"/>
    <n v="1.1000000000000001"/>
    <n v="1.1000000000000001"/>
    <n v="1.1000000000000001"/>
    <n v="1.1000000000000001"/>
    <n v="1.1000000000000001"/>
    <n v="1.1000000000000001"/>
    <n v="1.1000000000000001"/>
    <n v="1.1000000000000001"/>
    <n v="1.1000000000000001"/>
    <n v="1.1000000000000001"/>
    <n v="13.199999999999998"/>
    <m/>
    <n v="0.1870748299319728"/>
    <n v="0.1870748299319728"/>
    <n v="0.1870748299319728"/>
    <n v="0.1870748299319728"/>
    <n v="0.1870748299319728"/>
    <n v="0.1870748299319728"/>
    <n v="0.1870748299319728"/>
    <n v="0.1870748299319728"/>
    <n v="0.1870748299319728"/>
    <n v="0.1870748299319728"/>
    <n v="0.1870748299319728"/>
    <n v="0.1870748299319728"/>
    <n v="2.2448979591836742"/>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59"/>
    <x v="4"/>
    <x v="61"/>
    <s v="Novo"/>
    <s v="Mensal"/>
    <s v="Média - Impacta a operação"/>
    <s v="BU-MMTR | TI"/>
    <s v="Alexandre Ayabe"/>
    <x v="2"/>
    <m/>
    <s v="USD"/>
    <n v="0"/>
    <n v="0"/>
    <n v="0"/>
    <n v="0"/>
    <n v="0"/>
    <n v="0"/>
    <n v="0"/>
    <n v="0"/>
    <n v="0"/>
    <n v="0"/>
    <n v="0"/>
    <n v="0"/>
    <n v="0"/>
    <m/>
    <n v="0"/>
    <n v="0"/>
    <n v="0"/>
    <n v="0"/>
    <n v="0"/>
    <n v="0"/>
    <n v="0"/>
    <n v="0"/>
    <n v="0"/>
    <n v="0"/>
    <n v="0"/>
    <n v="0"/>
    <n v="0"/>
    <m/>
    <n v="0"/>
    <n v="0"/>
    <n v="0"/>
    <n v="0"/>
    <n v="0"/>
    <n v="0"/>
    <n v="0"/>
    <n v="0"/>
    <n v="0"/>
    <n v="0"/>
    <n v="0"/>
    <n v="0"/>
    <n v="0"/>
    <m/>
    <n v="0"/>
    <n v="0"/>
    <n v="0"/>
    <n v="0"/>
    <n v="0"/>
    <n v="0"/>
    <n v="0"/>
    <n v="0"/>
    <n v="0"/>
    <n v="0"/>
    <n v="0"/>
    <n v="0"/>
    <n v="0"/>
    <x v="0"/>
  </r>
  <r>
    <x v="0"/>
    <x v="0"/>
    <x v="1"/>
    <x v="1"/>
    <x v="0"/>
    <x v="59"/>
    <x v="4"/>
    <x v="61"/>
    <s v="Novo"/>
    <s v="Mensal"/>
    <s v="Média - Impacta a operação"/>
    <s v="BU-MMAZ | TI"/>
    <s v="Alexandre Ayabe"/>
    <x v="2"/>
    <m/>
    <s v="USD"/>
    <n v="650"/>
    <n v="650"/>
    <n v="650"/>
    <n v="650"/>
    <n v="650"/>
    <n v="650"/>
    <n v="650"/>
    <n v="650"/>
    <n v="650"/>
    <n v="650"/>
    <n v="650"/>
    <n v="650"/>
    <n v="7800"/>
    <m/>
    <n v="3.8220000000000001"/>
    <n v="3.8220000000000001"/>
    <n v="3.8220000000000001"/>
    <n v="3.8220000000000001"/>
    <n v="3.8220000000000001"/>
    <n v="3.8220000000000001"/>
    <n v="3.8220000000000001"/>
    <n v="3.8220000000000001"/>
    <n v="3.8220000000000001"/>
    <n v="3.8220000000000001"/>
    <n v="3.8220000000000001"/>
    <n v="3.8220000000000001"/>
    <n v="45.864000000000004"/>
    <m/>
    <n v="3.8220000000000001"/>
    <n v="3.8220000000000001"/>
    <n v="3.8220000000000001"/>
    <n v="3.8220000000000001"/>
    <n v="3.8220000000000001"/>
    <n v="3.8220000000000001"/>
    <n v="3.8220000000000001"/>
    <n v="3.8220000000000001"/>
    <n v="3.8220000000000001"/>
    <n v="3.8220000000000001"/>
    <n v="3.8220000000000001"/>
    <n v="3.8220000000000001"/>
    <n v="45.864000000000004"/>
    <m/>
    <n v="0.65"/>
    <n v="0.65"/>
    <n v="0.65"/>
    <n v="0.65"/>
    <n v="0.65"/>
    <n v="0.65"/>
    <n v="0.65"/>
    <n v="0.65"/>
    <n v="0.65"/>
    <n v="0.65"/>
    <n v="0.65"/>
    <n v="0.65"/>
    <n v="7.8000000000000016"/>
    <x v="0"/>
  </r>
  <r>
    <x v="0"/>
    <x v="0"/>
    <x v="3"/>
    <x v="3"/>
    <x v="0"/>
    <x v="59"/>
    <x v="4"/>
    <x v="61"/>
    <s v="Novo"/>
    <s v="Mensal"/>
    <s v="Média - Impacta a operação"/>
    <s v="BU-MRV | TI"/>
    <s v="Alexandre Ayabe"/>
    <x v="2"/>
    <m/>
    <s v="USD"/>
    <n v="130"/>
    <n v="130"/>
    <n v="130"/>
    <n v="130"/>
    <n v="130"/>
    <n v="130"/>
    <n v="130"/>
    <n v="130"/>
    <n v="130"/>
    <n v="130"/>
    <n v="130"/>
    <n v="130"/>
    <n v="1560"/>
    <m/>
    <n v="0.76439999999999997"/>
    <n v="0.76439999999999997"/>
    <n v="0.76439999999999997"/>
    <n v="0.76439999999999997"/>
    <n v="0.76439999999999997"/>
    <n v="0.76439999999999997"/>
    <n v="0.76439999999999997"/>
    <n v="0.76439999999999997"/>
    <n v="0.76439999999999997"/>
    <n v="0.76439999999999997"/>
    <n v="0.76439999999999997"/>
    <n v="0.76439999999999997"/>
    <n v="9.1728000000000005"/>
    <m/>
    <n v="0.76439999999999997"/>
    <n v="0.76439999999999997"/>
    <n v="0.76439999999999997"/>
    <n v="0.76439999999999997"/>
    <n v="0.76439999999999997"/>
    <n v="0.76439999999999997"/>
    <n v="0.76439999999999997"/>
    <n v="0.76439999999999997"/>
    <n v="0.76439999999999997"/>
    <n v="0.76439999999999997"/>
    <n v="0.76439999999999997"/>
    <n v="0.76439999999999997"/>
    <n v="9.1728000000000005"/>
    <m/>
    <n v="0.13"/>
    <n v="0.13"/>
    <n v="0.13"/>
    <n v="0.13"/>
    <n v="0.13"/>
    <n v="0.13"/>
    <n v="0.13"/>
    <n v="0.13"/>
    <n v="0.13"/>
    <n v="0.13"/>
    <n v="0.13"/>
    <n v="0.13"/>
    <n v="1.5599999999999996"/>
    <x v="0"/>
  </r>
  <r>
    <x v="0"/>
    <x v="0"/>
    <x v="4"/>
    <x v="4"/>
    <x v="0"/>
    <x v="59"/>
    <x v="4"/>
    <x v="61"/>
    <s v="Novo"/>
    <s v="Mensal"/>
    <s v="Média - Impacta a operação"/>
    <s v="BU-GRU | TI"/>
    <s v="Alexandre Ayabe"/>
    <x v="2"/>
    <m/>
    <s v="USD"/>
    <n v="220"/>
    <n v="220"/>
    <n v="220"/>
    <n v="220"/>
    <n v="220"/>
    <n v="220"/>
    <n v="220"/>
    <n v="220"/>
    <n v="220"/>
    <n v="220"/>
    <n v="220"/>
    <n v="220"/>
    <n v="2640"/>
    <m/>
    <n v="1.2935999999999999"/>
    <n v="1.2935999999999999"/>
    <n v="1.2935999999999999"/>
    <n v="1.2935999999999999"/>
    <n v="1.2935999999999999"/>
    <n v="1.2935999999999999"/>
    <n v="1.2935999999999999"/>
    <n v="1.2935999999999999"/>
    <n v="1.2935999999999999"/>
    <n v="1.2935999999999999"/>
    <n v="1.2935999999999999"/>
    <n v="1.2935999999999999"/>
    <n v="15.523199999999997"/>
    <m/>
    <n v="1.2935999999999999"/>
    <n v="1.2935999999999999"/>
    <n v="1.2935999999999999"/>
    <n v="1.2935999999999999"/>
    <n v="1.2935999999999999"/>
    <n v="1.2935999999999999"/>
    <n v="1.2935999999999999"/>
    <n v="1.2935999999999999"/>
    <n v="1.2935999999999999"/>
    <n v="1.2935999999999999"/>
    <n v="1.2935999999999999"/>
    <n v="1.2935999999999999"/>
    <n v="15.523199999999997"/>
    <m/>
    <n v="0.21999999999999997"/>
    <n v="0.21999999999999997"/>
    <n v="0.21999999999999997"/>
    <n v="0.21999999999999997"/>
    <n v="0.21999999999999997"/>
    <n v="0.21999999999999997"/>
    <n v="0.21999999999999997"/>
    <n v="0.21999999999999997"/>
    <n v="0.21999999999999997"/>
    <n v="0.21999999999999997"/>
    <n v="0.21999999999999997"/>
    <n v="0.21999999999999997"/>
    <n v="2.6399999999999997"/>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60"/>
    <x v="0"/>
    <x v="62"/>
    <s v="Novo"/>
    <s v="Mensal"/>
    <s v="Média - Impacta a operação"/>
    <s v="BU-MMAZ | TI"/>
    <s v="Alexandre Ayabe"/>
    <x v="4"/>
    <m/>
    <s v="USD"/>
    <n v="222"/>
    <n v="222"/>
    <n v="222"/>
    <n v="222"/>
    <n v="222"/>
    <n v="222"/>
    <n v="222"/>
    <n v="222"/>
    <n v="222"/>
    <n v="222"/>
    <n v="222"/>
    <n v="222"/>
    <n v="2664"/>
    <m/>
    <n v="1.3053599999999999"/>
    <n v="1.3053599999999999"/>
    <n v="1.3053599999999999"/>
    <n v="1.3053599999999999"/>
    <n v="1.3053599999999999"/>
    <n v="1.3053599999999999"/>
    <n v="1.3053599999999999"/>
    <n v="1.3053599999999999"/>
    <n v="1.3053599999999999"/>
    <n v="1.3053599999999999"/>
    <n v="1.3053599999999999"/>
    <n v="1.3053599999999999"/>
    <n v="15.664320000000002"/>
    <m/>
    <n v="1.3053599999999999"/>
    <n v="1.3053599999999999"/>
    <n v="1.3053599999999999"/>
    <n v="1.3053599999999999"/>
    <n v="1.3053599999999999"/>
    <n v="1.3053599999999999"/>
    <n v="1.3053599999999999"/>
    <n v="1.3053599999999999"/>
    <n v="1.3053599999999999"/>
    <n v="1.3053599999999999"/>
    <n v="1.3053599999999999"/>
    <n v="1.3053599999999999"/>
    <n v="15.664320000000002"/>
    <m/>
    <n v="0.22199999999999998"/>
    <n v="0.22199999999999998"/>
    <n v="0.22199999999999998"/>
    <n v="0.22199999999999998"/>
    <n v="0.22199999999999998"/>
    <n v="0.22199999999999998"/>
    <n v="0.22199999999999998"/>
    <n v="0.22199999999999998"/>
    <n v="0.22199999999999998"/>
    <n v="0.22199999999999998"/>
    <n v="0.22199999999999998"/>
    <n v="0.22199999999999998"/>
    <n v="2.6639999999999997"/>
    <x v="0"/>
  </r>
  <r>
    <x v="0"/>
    <x v="0"/>
    <x v="3"/>
    <x v="3"/>
    <x v="0"/>
    <x v="60"/>
    <x v="0"/>
    <x v="62"/>
    <s v="Novo"/>
    <s v="Mensal"/>
    <s v="Média - Impacta a operação"/>
    <s v="BU-MRV | TI"/>
    <s v="Alexandre Ayabe"/>
    <x v="4"/>
    <m/>
    <m/>
    <m/>
    <m/>
    <m/>
    <m/>
    <m/>
    <m/>
    <m/>
    <m/>
    <m/>
    <m/>
    <m/>
    <m/>
    <s v=""/>
    <m/>
    <s v=""/>
    <s v=""/>
    <s v=""/>
    <s v=""/>
    <s v=""/>
    <s v=""/>
    <s v=""/>
    <s v=""/>
    <s v=""/>
    <s v=""/>
    <s v=""/>
    <s v=""/>
    <s v=""/>
    <m/>
    <s v=""/>
    <s v=""/>
    <s v=""/>
    <s v=""/>
    <s v=""/>
    <s v=""/>
    <s v=""/>
    <s v=""/>
    <s v=""/>
    <s v=""/>
    <s v=""/>
    <s v=""/>
    <s v=""/>
    <m/>
    <s v=""/>
    <s v=""/>
    <s v=""/>
    <s v=""/>
    <s v=""/>
    <s v=""/>
    <s v=""/>
    <s v=""/>
    <s v=""/>
    <s v=""/>
    <s v=""/>
    <s v=""/>
    <s v=""/>
    <x v="0"/>
  </r>
  <r>
    <x v="0"/>
    <x v="0"/>
    <x v="4"/>
    <x v="4"/>
    <x v="0"/>
    <x v="60"/>
    <x v="0"/>
    <x v="62"/>
    <s v="Novo"/>
    <s v="Mensal"/>
    <s v="Média - Impacta a operação"/>
    <s v="BU-GRU | TI"/>
    <s v="Alexandre Ayabe"/>
    <x v="4"/>
    <m/>
    <m/>
    <m/>
    <m/>
    <m/>
    <m/>
    <m/>
    <m/>
    <m/>
    <m/>
    <m/>
    <m/>
    <m/>
    <m/>
    <s v=""/>
    <m/>
    <s v=""/>
    <s v=""/>
    <s v=""/>
    <s v=""/>
    <s v=""/>
    <s v=""/>
    <s v=""/>
    <s v=""/>
    <s v=""/>
    <s v=""/>
    <s v=""/>
    <s v=""/>
    <s v=""/>
    <m/>
    <s v=""/>
    <s v=""/>
    <s v=""/>
    <s v=""/>
    <s v=""/>
    <s v=""/>
    <s v=""/>
    <s v=""/>
    <s v=""/>
    <s v=""/>
    <s v=""/>
    <s v=""/>
    <s v=""/>
    <m/>
    <s v=""/>
    <s v=""/>
    <s v=""/>
    <s v=""/>
    <s v=""/>
    <s v=""/>
    <s v=""/>
    <s v=""/>
    <s v=""/>
    <s v=""/>
    <s v=""/>
    <s v=""/>
    <s v=""/>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1"/>
    <x v="0"/>
    <x v="63"/>
    <s v="Existente"/>
    <s v="Mensal"/>
    <s v="Contrato em Curso"/>
    <s v="PL | TI"/>
    <s v="Alexandre Ayabe"/>
    <x v="4"/>
    <m/>
    <s v="USD"/>
    <m/>
    <m/>
    <m/>
    <m/>
    <m/>
    <m/>
    <m/>
    <m/>
    <m/>
    <m/>
    <m/>
    <m/>
    <s v=""/>
    <m/>
    <s v=""/>
    <s v=""/>
    <s v=""/>
    <s v=""/>
    <s v=""/>
    <s v=""/>
    <s v=""/>
    <s v=""/>
    <s v=""/>
    <s v=""/>
    <s v=""/>
    <s v=""/>
    <s v=""/>
    <m/>
    <s v=""/>
    <s v=""/>
    <s v=""/>
    <s v=""/>
    <s v=""/>
    <s v=""/>
    <s v=""/>
    <s v=""/>
    <s v=""/>
    <s v=""/>
    <s v=""/>
    <s v=""/>
    <s v=""/>
    <m/>
    <s v=""/>
    <s v=""/>
    <s v=""/>
    <s v=""/>
    <s v=""/>
    <s v=""/>
    <s v=""/>
    <s v=""/>
    <s v=""/>
    <s v=""/>
    <s v=""/>
    <s v=""/>
    <s v=""/>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1"/>
    <x v="0"/>
    <x v="62"/>
    <x v="4"/>
    <x v="64"/>
    <s v="Existente"/>
    <s v="Mensal"/>
    <s v="Contrato em Curso"/>
    <s v="BU-MMAZ | TI"/>
    <s v="Alexandre Ayabe"/>
    <x v="6"/>
    <d v="2026-08-01T00:00:00"/>
    <s v="BRL"/>
    <n v="32000"/>
    <n v="32000"/>
    <n v="32000"/>
    <n v="32000"/>
    <n v="32000"/>
    <n v="32000"/>
    <n v="32000"/>
    <n v="32000"/>
    <n v="32000"/>
    <n v="32000"/>
    <n v="32000"/>
    <n v="32000"/>
    <n v="384000"/>
    <m/>
    <n v="32"/>
    <n v="32"/>
    <n v="32"/>
    <n v="32"/>
    <n v="32"/>
    <n v="32"/>
    <n v="32"/>
    <n v="32"/>
    <n v="32"/>
    <n v="32"/>
    <n v="32"/>
    <n v="32"/>
    <n v="384"/>
    <m/>
    <n v="32"/>
    <n v="32"/>
    <n v="32"/>
    <n v="32"/>
    <n v="32"/>
    <n v="32"/>
    <n v="32"/>
    <n v="33.315257900131932"/>
    <n v="33.315257900131932"/>
    <n v="33.315257900131932"/>
    <n v="33.315257900131932"/>
    <n v="33.315257900131932"/>
    <n v="390.5762895006597"/>
    <m/>
    <n v="5.4421768707482991"/>
    <n v="5.4421768707482991"/>
    <n v="5.4421768707482991"/>
    <n v="5.4421768707482991"/>
    <n v="5.4421768707482991"/>
    <n v="5.4421768707482991"/>
    <n v="5.4421768707482991"/>
    <n v="5.6658601870972678"/>
    <n v="5.6658601870972678"/>
    <n v="5.6658601870972678"/>
    <n v="5.6658601870972678"/>
    <n v="5.6658601870972678"/>
    <n v="66.424539030724432"/>
    <x v="0"/>
  </r>
  <r>
    <x v="0"/>
    <x v="0"/>
    <x v="0"/>
    <x v="0"/>
    <x v="0"/>
    <x v="62"/>
    <x v="4"/>
    <x v="64"/>
    <s v="Existente"/>
    <s v="Mensal"/>
    <s v="Contrato em Curso"/>
    <s v="BU-MMTR | TI"/>
    <s v="Alexandre Ayabe"/>
    <x v="6"/>
    <m/>
    <s v="BRL"/>
    <m/>
    <m/>
    <m/>
    <m/>
    <m/>
    <m/>
    <m/>
    <m/>
    <m/>
    <m/>
    <m/>
    <m/>
    <s v=""/>
    <m/>
    <s v=""/>
    <s v=""/>
    <s v=""/>
    <s v=""/>
    <s v=""/>
    <s v=""/>
    <s v=""/>
    <s v=""/>
    <s v=""/>
    <s v=""/>
    <s v=""/>
    <s v=""/>
    <s v=""/>
    <m/>
    <s v=""/>
    <s v=""/>
    <s v=""/>
    <s v=""/>
    <s v=""/>
    <s v=""/>
    <s v=""/>
    <s v=""/>
    <s v=""/>
    <s v=""/>
    <s v=""/>
    <s v=""/>
    <s v=""/>
    <m/>
    <s v=""/>
    <s v=""/>
    <s v=""/>
    <s v=""/>
    <s v=""/>
    <s v=""/>
    <s v=""/>
    <s v=""/>
    <s v=""/>
    <s v=""/>
    <s v=""/>
    <s v=""/>
    <s v=""/>
    <x v="0"/>
  </r>
  <r>
    <x v="0"/>
    <x v="0"/>
    <x v="3"/>
    <x v="3"/>
    <x v="0"/>
    <x v="62"/>
    <x v="4"/>
    <x v="64"/>
    <s v="Existente"/>
    <s v="Mensal"/>
    <s v="Contrato em Curso"/>
    <s v="BU-MRV | TI"/>
    <s v="Alexandre Ayabe"/>
    <x v="6"/>
    <m/>
    <s v="BRL"/>
    <m/>
    <m/>
    <m/>
    <m/>
    <m/>
    <m/>
    <m/>
    <m/>
    <m/>
    <m/>
    <m/>
    <m/>
    <s v=""/>
    <m/>
    <s v=""/>
    <s v=""/>
    <s v=""/>
    <s v=""/>
    <s v=""/>
    <s v=""/>
    <s v=""/>
    <s v=""/>
    <s v=""/>
    <s v=""/>
    <s v=""/>
    <s v=""/>
    <s v=""/>
    <m/>
    <s v=""/>
    <s v=""/>
    <s v=""/>
    <s v=""/>
    <s v=""/>
    <s v=""/>
    <s v=""/>
    <s v=""/>
    <s v=""/>
    <s v=""/>
    <s v=""/>
    <s v=""/>
    <s v=""/>
    <m/>
    <s v=""/>
    <s v=""/>
    <s v=""/>
    <s v=""/>
    <s v=""/>
    <s v=""/>
    <s v=""/>
    <s v=""/>
    <s v=""/>
    <s v=""/>
    <s v=""/>
    <s v=""/>
    <s v=""/>
    <x v="0"/>
  </r>
  <r>
    <x v="0"/>
    <x v="0"/>
    <x v="4"/>
    <x v="4"/>
    <x v="0"/>
    <x v="62"/>
    <x v="4"/>
    <x v="64"/>
    <s v="Existente"/>
    <s v="Mensal"/>
    <s v="Contrato em Curso"/>
    <s v="BU-GRU | TI"/>
    <s v="Alexandre Ayabe"/>
    <x v="6"/>
    <m/>
    <s v="BRL"/>
    <m/>
    <m/>
    <m/>
    <m/>
    <m/>
    <m/>
    <m/>
    <m/>
    <m/>
    <m/>
    <m/>
    <m/>
    <s v=""/>
    <m/>
    <s v=""/>
    <s v=""/>
    <s v=""/>
    <s v=""/>
    <s v=""/>
    <s v=""/>
    <s v=""/>
    <s v=""/>
    <s v=""/>
    <s v=""/>
    <s v=""/>
    <s v=""/>
    <s v=""/>
    <m/>
    <s v=""/>
    <s v=""/>
    <s v=""/>
    <s v=""/>
    <s v=""/>
    <s v=""/>
    <s v=""/>
    <s v=""/>
    <s v=""/>
    <s v=""/>
    <s v=""/>
    <s v=""/>
    <s v=""/>
    <m/>
    <s v=""/>
    <s v=""/>
    <s v=""/>
    <s v=""/>
    <s v=""/>
    <s v=""/>
    <s v=""/>
    <s v=""/>
    <s v=""/>
    <s v=""/>
    <s v=""/>
    <s v=""/>
    <s v=""/>
    <x v="0"/>
  </r>
  <r>
    <x v="0"/>
    <x v="0"/>
    <x v="6"/>
    <x v="6"/>
    <x v="0"/>
    <x v="62"/>
    <x v="4"/>
    <x v="64"/>
    <s v="Existente"/>
    <s v="Mensal"/>
    <s v="Contrato em Curso"/>
    <s v="PL | TI"/>
    <s v="Alexandre Ayabe"/>
    <x v="6"/>
    <m/>
    <s v="BRL"/>
    <m/>
    <m/>
    <m/>
    <m/>
    <m/>
    <m/>
    <m/>
    <m/>
    <m/>
    <m/>
    <m/>
    <m/>
    <s v=""/>
    <m/>
    <s v=""/>
    <s v=""/>
    <s v=""/>
    <s v=""/>
    <s v=""/>
    <s v=""/>
    <s v=""/>
    <s v=""/>
    <s v=""/>
    <s v=""/>
    <s v=""/>
    <s v=""/>
    <s v=""/>
    <m/>
    <s v=""/>
    <s v=""/>
    <s v=""/>
    <s v=""/>
    <s v=""/>
    <s v=""/>
    <s v=""/>
    <s v=""/>
    <s v=""/>
    <s v=""/>
    <s v=""/>
    <s v=""/>
    <s v=""/>
    <m/>
    <s v=""/>
    <s v=""/>
    <s v=""/>
    <s v=""/>
    <s v=""/>
    <s v=""/>
    <s v=""/>
    <s v=""/>
    <s v=""/>
    <s v=""/>
    <s v=""/>
    <s v=""/>
    <s v=""/>
    <x v="2"/>
  </r>
  <r>
    <x v="0"/>
    <x v="0"/>
    <x v="7"/>
    <x v="7"/>
    <x v="0"/>
    <x v="62"/>
    <x v="4"/>
    <x v="64"/>
    <s v="Existente"/>
    <s v="Mensal"/>
    <s v="Contrato em Curso"/>
    <s v="CP | TI"/>
    <s v="Jimmy Espinosa"/>
    <x v="6"/>
    <m/>
    <s v="BRL"/>
    <m/>
    <m/>
    <m/>
    <m/>
    <m/>
    <m/>
    <m/>
    <m/>
    <m/>
    <m/>
    <m/>
    <m/>
    <s v=""/>
    <m/>
    <s v=""/>
    <s v=""/>
    <s v=""/>
    <s v=""/>
    <s v=""/>
    <s v=""/>
    <s v=""/>
    <s v=""/>
    <s v=""/>
    <s v=""/>
    <s v=""/>
    <s v=""/>
    <s v=""/>
    <m/>
    <s v=""/>
    <s v=""/>
    <s v=""/>
    <s v=""/>
    <s v=""/>
    <s v=""/>
    <s v=""/>
    <s v=""/>
    <s v=""/>
    <s v=""/>
    <s v=""/>
    <s v=""/>
    <s v=""/>
    <m/>
    <s v=""/>
    <s v=""/>
    <s v=""/>
    <s v=""/>
    <s v=""/>
    <s v=""/>
    <s v=""/>
    <s v=""/>
    <s v=""/>
    <s v=""/>
    <s v=""/>
    <s v=""/>
    <s v=""/>
    <x v="3"/>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3"/>
    <x v="5"/>
    <x v="65"/>
    <s v="Novo"/>
    <s v="Mensal"/>
    <s v="Média - Impacta a operação"/>
    <s v="PL | TI"/>
    <s v="Alexandre Ayabe"/>
    <x v="10"/>
    <m/>
    <s v="BRL"/>
    <n v="1200"/>
    <n v="1200"/>
    <n v="1200"/>
    <n v="1200"/>
    <n v="1200"/>
    <n v="1200"/>
    <n v="1200"/>
    <n v="1200"/>
    <n v="1200"/>
    <n v="1200"/>
    <n v="1200"/>
    <n v="1200"/>
    <n v="14400"/>
    <m/>
    <n v="1.2"/>
    <n v="1.2"/>
    <n v="1.2"/>
    <n v="1.2"/>
    <n v="1.2"/>
    <n v="1.2"/>
    <n v="1.2"/>
    <n v="1.2"/>
    <n v="1.2"/>
    <n v="1.2"/>
    <n v="1.2"/>
    <n v="1.2"/>
    <n v="14.399999999999997"/>
    <m/>
    <n v="1.2"/>
    <n v="1.2"/>
    <n v="1.2"/>
    <n v="1.2"/>
    <n v="1.2"/>
    <n v="1.2"/>
    <n v="1.2"/>
    <n v="1.2"/>
    <n v="1.2"/>
    <n v="1.2"/>
    <n v="1.2"/>
    <n v="1.2"/>
    <n v="14.399999999999997"/>
    <m/>
    <n v="0.20408163265306123"/>
    <n v="0.20408163265306123"/>
    <n v="0.20408163265306123"/>
    <n v="0.20408163265306123"/>
    <n v="0.20408163265306123"/>
    <n v="0.20408163265306123"/>
    <n v="0.20408163265306123"/>
    <n v="0.20408163265306123"/>
    <n v="0.20408163265306123"/>
    <n v="0.20408163265306123"/>
    <n v="0.20408163265306123"/>
    <n v="0.20408163265306123"/>
    <n v="2.4489795918367347"/>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6"/>
    <x v="64"/>
    <x v="4"/>
    <x v="66"/>
    <s v="Existente"/>
    <s v="Mensal"/>
    <s v="Contrato em Curso"/>
    <s v="PNG | TI"/>
    <s v="Alexandre Ayabe"/>
    <x v="2"/>
    <m/>
    <s v="BRL"/>
    <n v="4000"/>
    <n v="4000"/>
    <n v="4000"/>
    <n v="4000"/>
    <n v="4000"/>
    <n v="4000"/>
    <n v="4000"/>
    <n v="4000"/>
    <n v="4000"/>
    <n v="4000"/>
    <n v="4000"/>
    <n v="4000"/>
    <n v="48000"/>
    <m/>
    <n v="4"/>
    <n v="4"/>
    <n v="4"/>
    <n v="4"/>
    <n v="4"/>
    <n v="4"/>
    <n v="4"/>
    <n v="4"/>
    <n v="4"/>
    <n v="4"/>
    <n v="4"/>
    <n v="4"/>
    <n v="48"/>
    <m/>
    <n v="4"/>
    <n v="4"/>
    <n v="4"/>
    <n v="4"/>
    <n v="4"/>
    <n v="4"/>
    <n v="4"/>
    <n v="4"/>
    <n v="4"/>
    <n v="4"/>
    <n v="4"/>
    <n v="4"/>
    <n v="48"/>
    <m/>
    <n v="0.68027210884353739"/>
    <n v="0.68027210884353739"/>
    <n v="0.68027210884353739"/>
    <n v="0.68027210884353739"/>
    <n v="0.68027210884353739"/>
    <n v="0.68027210884353739"/>
    <n v="0.68027210884353739"/>
    <n v="0.68027210884353739"/>
    <n v="0.68027210884353739"/>
    <n v="0.68027210884353739"/>
    <n v="0.68027210884353739"/>
    <n v="0.68027210884353739"/>
    <n v="8.1632653061224492"/>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0"/>
    <x v="0"/>
    <x v="0"/>
    <x v="65"/>
    <x v="5"/>
    <x v="67"/>
    <s v="Existente"/>
    <s v="Mensal"/>
    <s v="Média - Impacta a operação"/>
    <s v="BU-MMTR | TI"/>
    <s v="Alexandre Ayabe"/>
    <x v="2"/>
    <m/>
    <s v="BRL"/>
    <n v="5000"/>
    <n v="5000"/>
    <n v="5000"/>
    <n v="5000"/>
    <n v="5000"/>
    <n v="5000"/>
    <n v="5000"/>
    <n v="5000"/>
    <n v="5000"/>
    <n v="5000"/>
    <n v="5000"/>
    <n v="5000"/>
    <n v="60000"/>
    <m/>
    <n v="5"/>
    <n v="5"/>
    <n v="5"/>
    <n v="5"/>
    <n v="5"/>
    <n v="5"/>
    <n v="5"/>
    <n v="5"/>
    <n v="5"/>
    <n v="5"/>
    <n v="5"/>
    <n v="5"/>
    <n v="60"/>
    <m/>
    <n v="5"/>
    <n v="5"/>
    <n v="5"/>
    <n v="5"/>
    <n v="5"/>
    <n v="5"/>
    <n v="5"/>
    <n v="5"/>
    <n v="5"/>
    <n v="5"/>
    <n v="5"/>
    <n v="5"/>
    <n v="60"/>
    <m/>
    <n v="0.85034013605442182"/>
    <n v="0.85034013605442182"/>
    <n v="0.85034013605442182"/>
    <n v="0.85034013605442182"/>
    <n v="0.85034013605442182"/>
    <n v="0.85034013605442182"/>
    <n v="0.85034013605442182"/>
    <n v="0.85034013605442182"/>
    <n v="0.85034013605442182"/>
    <n v="0.85034013605442182"/>
    <n v="0.85034013605442182"/>
    <n v="0.85034013605442182"/>
    <n v="10.204081632653063"/>
    <x v="0"/>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6"/>
    <x v="4"/>
    <x v="68"/>
    <s v="Existente"/>
    <s v="Anual"/>
    <s v="Contrato em Curso"/>
    <s v="PL | TI"/>
    <s v="Alexandre Ayabe"/>
    <x v="4"/>
    <d v="2026-08-01T00:00:00"/>
    <s v="BRL"/>
    <n v="1250"/>
    <n v="1250"/>
    <n v="1250"/>
    <n v="1250"/>
    <n v="1250"/>
    <n v="1250"/>
    <n v="1250"/>
    <n v="1250"/>
    <n v="1250"/>
    <n v="1250"/>
    <n v="1250"/>
    <n v="1250"/>
    <n v="15000"/>
    <m/>
    <n v="1.25"/>
    <n v="1.25"/>
    <n v="1.25"/>
    <n v="1.25"/>
    <n v="1.25"/>
    <n v="1.25"/>
    <n v="1.25"/>
    <n v="1.25"/>
    <n v="1.25"/>
    <n v="1.25"/>
    <n v="1.25"/>
    <n v="1.25"/>
    <n v="15"/>
    <m/>
    <n v="1.3183438491409991"/>
    <n v="1.3054523095035018"/>
    <n v="1.3023279916358099"/>
    <n v="1.300892894149051"/>
    <n v="1.3016627302917547"/>
    <n v="1.3026928849377504"/>
    <n v="1.302034907161671"/>
    <n v="1.3013772617239037"/>
    <n v="1.3007199484565866"/>
    <n v="1.3000629671919437"/>
    <n v="1.2994063177622837"/>
    <n v="1.2987500000000014"/>
    <n v="15.633724061955256"/>
    <m/>
    <n v="0.22420813760901345"/>
    <n v="0.22201569889515338"/>
    <n v="0.22148435231901531"/>
    <n v="0.22124028812058691"/>
    <n v="0.22137121263465218"/>
    <n v="0.22154640900301878"/>
    <n v="0.22143450802069237"/>
    <n v="0.22132266355848701"/>
    <n v="0.22121087558785485"/>
    <n v="0.22109914408026254"/>
    <n v="0.2209874690071911"/>
    <n v="0.22087585034013629"/>
    <n v="2.6587966091760644"/>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9"/>
    <x v="6"/>
    <x v="67"/>
    <x v="4"/>
    <x v="64"/>
    <s v="Existente"/>
    <s v="Mensal"/>
    <s v="Contrato em Curso"/>
    <s v="ITJ | TI"/>
    <s v="Alexandre Ayabe"/>
    <x v="6"/>
    <m/>
    <s v="BRL"/>
    <n v="3900"/>
    <n v="3900"/>
    <n v="3900"/>
    <n v="3900"/>
    <n v="3900"/>
    <n v="3900"/>
    <n v="3900"/>
    <n v="3900"/>
    <n v="3900"/>
    <n v="3900"/>
    <n v="3900"/>
    <n v="3900"/>
    <n v="46800"/>
    <m/>
    <n v="3.9"/>
    <n v="3.9"/>
    <n v="3.9"/>
    <n v="3.9"/>
    <n v="3.9"/>
    <n v="3.9"/>
    <n v="3.9"/>
    <n v="3.9"/>
    <n v="3.9"/>
    <n v="3.9"/>
    <n v="3.9"/>
    <n v="3.9"/>
    <n v="46.79999999999999"/>
    <m/>
    <n v="3.9"/>
    <n v="3.9"/>
    <n v="3.9"/>
    <n v="3.9"/>
    <n v="3.9"/>
    <n v="3.9"/>
    <n v="3.9"/>
    <n v="3.9"/>
    <n v="3.9"/>
    <n v="3.9"/>
    <n v="3.9"/>
    <n v="3.9"/>
    <n v="46.79999999999999"/>
    <m/>
    <n v="0.66326530612244894"/>
    <n v="0.66326530612244894"/>
    <n v="0.66326530612244894"/>
    <n v="0.66326530612244894"/>
    <n v="0.66326530612244894"/>
    <n v="0.66326530612244894"/>
    <n v="0.66326530612244894"/>
    <n v="0.66326530612244894"/>
    <n v="0.66326530612244894"/>
    <n v="0.66326530612244894"/>
    <n v="0.66326530612244894"/>
    <n v="0.66326530612244894"/>
    <n v="7.959183673469389"/>
    <x v="4"/>
  </r>
  <r>
    <x v="0"/>
    <x v="0"/>
    <x v="0"/>
    <x v="16"/>
    <x v="5"/>
    <x v="67"/>
    <x v="4"/>
    <x v="64"/>
    <s v="Existente"/>
    <s v="Mensal"/>
    <s v="Contrato em Curso"/>
    <s v="TR | TI"/>
    <s v="Alexandre Ayabe"/>
    <x v="6"/>
    <m/>
    <s v="BRL"/>
    <n v="9100"/>
    <n v="9100"/>
    <n v="9100"/>
    <n v="9100"/>
    <n v="9100"/>
    <n v="9100"/>
    <n v="9100"/>
    <n v="9100"/>
    <n v="9100"/>
    <n v="9100"/>
    <n v="9100"/>
    <n v="9100"/>
    <n v="109200"/>
    <m/>
    <n v="9.1"/>
    <n v="9.1"/>
    <n v="9.1"/>
    <n v="9.1"/>
    <n v="9.1"/>
    <n v="9.1"/>
    <n v="9.1"/>
    <n v="9.1"/>
    <n v="9.1"/>
    <n v="9.1"/>
    <n v="9.1"/>
    <n v="9.1"/>
    <n v="109.19999999999997"/>
    <m/>
    <n v="9.1"/>
    <n v="9.1"/>
    <n v="9.1"/>
    <n v="9.1"/>
    <n v="9.1"/>
    <n v="9.1"/>
    <n v="9.1"/>
    <n v="9.1"/>
    <n v="9.1"/>
    <n v="9.1"/>
    <n v="9.1"/>
    <n v="9.1"/>
    <n v="109.19999999999997"/>
    <m/>
    <n v="1.5476190476190477"/>
    <n v="1.5476190476190477"/>
    <n v="1.5476190476190477"/>
    <n v="1.5476190476190477"/>
    <n v="1.5476190476190477"/>
    <n v="1.5476190476190477"/>
    <n v="1.5476190476190477"/>
    <n v="1.5476190476190477"/>
    <n v="1.5476190476190477"/>
    <n v="1.5476190476190477"/>
    <n v="1.5476190476190477"/>
    <n v="1.5476190476190477"/>
    <n v="18.571428571428573"/>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8"/>
    <x v="5"/>
    <x v="69"/>
    <s v="Existente"/>
    <s v="Mensal"/>
    <s v="Baixa - Eficiência"/>
    <s v="PL | TI"/>
    <s v="Alexandre Ayabe"/>
    <x v="11"/>
    <m/>
    <s v="BRL"/>
    <n v="1200"/>
    <n v="1200"/>
    <n v="1200"/>
    <n v="1200"/>
    <n v="1200"/>
    <n v="1200"/>
    <n v="1200"/>
    <n v="1200"/>
    <n v="1200"/>
    <n v="1200"/>
    <n v="1200"/>
    <n v="1200"/>
    <n v="14400"/>
    <m/>
    <n v="1.2"/>
    <n v="1.2"/>
    <n v="1.2"/>
    <n v="1.2"/>
    <n v="1.2"/>
    <n v="1.2"/>
    <n v="1.2"/>
    <n v="1.2"/>
    <n v="1.2"/>
    <n v="1.2"/>
    <n v="1.2"/>
    <n v="1.2"/>
    <n v="14.399999999999997"/>
    <m/>
    <n v="1.2"/>
    <n v="1.2"/>
    <n v="1.2"/>
    <n v="1.2"/>
    <n v="1.2"/>
    <n v="1.2"/>
    <n v="1.2"/>
    <n v="1.2"/>
    <n v="1.2"/>
    <n v="1.2"/>
    <n v="1.2"/>
    <n v="1.2"/>
    <n v="14.399999999999997"/>
    <m/>
    <n v="0.20408163265306123"/>
    <n v="0.20408163265306123"/>
    <n v="0.20408163265306123"/>
    <n v="0.20408163265306123"/>
    <n v="0.20408163265306123"/>
    <n v="0.20408163265306123"/>
    <n v="0.20408163265306123"/>
    <n v="0.20408163265306123"/>
    <n v="0.20408163265306123"/>
    <n v="0.20408163265306123"/>
    <n v="0.20408163265306123"/>
    <n v="0.20408163265306123"/>
    <n v="2.4489795918367347"/>
    <x v="2"/>
  </r>
  <r>
    <x v="0"/>
    <x v="0"/>
    <x v="6"/>
    <x v="6"/>
    <x v="0"/>
    <x v="69"/>
    <x v="5"/>
    <x v="69"/>
    <s v="Existente"/>
    <s v="Mensal"/>
    <s v="Baixa - Eficiência"/>
    <s v="PL | TI"/>
    <s v="Alexandre Ayabe"/>
    <x v="11"/>
    <m/>
    <s v="BRL"/>
    <n v="1600"/>
    <n v="1600"/>
    <n v="1600"/>
    <n v="1600"/>
    <n v="1600"/>
    <n v="1600"/>
    <n v="1600"/>
    <n v="1600"/>
    <n v="1600"/>
    <n v="1600"/>
    <n v="1600"/>
    <n v="1600"/>
    <n v="19200"/>
    <m/>
    <n v="1.6"/>
    <n v="1.6"/>
    <n v="1.6"/>
    <n v="1.6"/>
    <n v="1.6"/>
    <n v="1.6"/>
    <n v="1.6"/>
    <n v="1.6"/>
    <n v="1.6"/>
    <n v="1.6"/>
    <n v="1.6"/>
    <n v="1.6"/>
    <n v="19.2"/>
    <m/>
    <n v="1.6"/>
    <n v="1.6"/>
    <n v="1.6"/>
    <n v="1.6"/>
    <n v="1.6"/>
    <n v="1.6"/>
    <n v="1.6"/>
    <n v="1.6"/>
    <n v="1.6"/>
    <n v="1.6"/>
    <n v="1.6"/>
    <n v="1.6"/>
    <n v="19.2"/>
    <m/>
    <n v="0.27210884353741499"/>
    <n v="0.27210884353741499"/>
    <n v="0.27210884353741499"/>
    <n v="0.27210884353741499"/>
    <n v="0.27210884353741499"/>
    <n v="0.27210884353741499"/>
    <n v="0.27210884353741499"/>
    <n v="0.27210884353741499"/>
    <n v="0.27210884353741499"/>
    <n v="0.27210884353741499"/>
    <n v="0.27210884353741499"/>
    <n v="0.27210884353741499"/>
    <n v="3.2653061224489792"/>
    <x v="2"/>
  </r>
  <r>
    <x v="0"/>
    <x v="0"/>
    <x v="6"/>
    <x v="6"/>
    <x v="0"/>
    <x v="70"/>
    <x v="5"/>
    <x v="69"/>
    <s v="Existente"/>
    <s v="Mensal"/>
    <s v="Baixa - Eficiência"/>
    <s v="PL | TI"/>
    <s v="Alexandre Ayabe"/>
    <x v="11"/>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2"/>
  </r>
  <r>
    <x v="0"/>
    <x v="0"/>
    <x v="6"/>
    <x v="6"/>
    <x v="0"/>
    <x v="71"/>
    <x v="5"/>
    <x v="69"/>
    <s v="Existente"/>
    <s v="Mensal"/>
    <s v="Baixa - Eficiência"/>
    <s v="PL | TI"/>
    <s v="Alexandre Ayabe"/>
    <x v="11"/>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8"/>
    <x v="5"/>
    <x v="70"/>
    <s v="Existente"/>
    <s v="Mensal"/>
    <s v="Baixa - Eficiência"/>
    <s v="PL | TI"/>
    <s v="Alexandre Ayabe"/>
    <x v="11"/>
    <m/>
    <s v="BRL"/>
    <n v="1200"/>
    <n v="1200"/>
    <n v="1200"/>
    <n v="1200"/>
    <n v="1200"/>
    <n v="1200"/>
    <n v="1200"/>
    <n v="1200"/>
    <n v="1200"/>
    <n v="1200"/>
    <n v="1200"/>
    <n v="1200"/>
    <n v="14400"/>
    <m/>
    <n v="1.2"/>
    <n v="1.2"/>
    <n v="1.2"/>
    <n v="1.2"/>
    <n v="1.2"/>
    <n v="1.2"/>
    <n v="1.2"/>
    <n v="1.2"/>
    <n v="1.2"/>
    <n v="1.2"/>
    <n v="1.2"/>
    <n v="1.2"/>
    <n v="14.399999999999997"/>
    <m/>
    <n v="1.2"/>
    <n v="1.2"/>
    <n v="1.2"/>
    <n v="1.2"/>
    <n v="1.2"/>
    <n v="1.2"/>
    <n v="1.2"/>
    <n v="1.2"/>
    <n v="1.2"/>
    <n v="1.2"/>
    <n v="1.2"/>
    <n v="1.2"/>
    <n v="14.399999999999997"/>
    <m/>
    <n v="0.20408163265306123"/>
    <n v="0.20408163265306123"/>
    <n v="0.20408163265306123"/>
    <n v="0.20408163265306123"/>
    <n v="0.20408163265306123"/>
    <n v="0.20408163265306123"/>
    <n v="0.20408163265306123"/>
    <n v="0.20408163265306123"/>
    <n v="0.20408163265306123"/>
    <n v="0.20408163265306123"/>
    <n v="0.20408163265306123"/>
    <n v="0.20408163265306123"/>
    <n v="2.4489795918367347"/>
    <x v="2"/>
  </r>
  <r>
    <x v="0"/>
    <x v="0"/>
    <x v="6"/>
    <x v="6"/>
    <x v="0"/>
    <x v="69"/>
    <x v="5"/>
    <x v="70"/>
    <s v="Existente"/>
    <s v="Mensal"/>
    <s v="Baixa - Eficiência"/>
    <s v="PL | TI"/>
    <s v="Alexandre Ayabe"/>
    <x v="11"/>
    <m/>
    <s v="BRL"/>
    <n v="1600"/>
    <n v="1600"/>
    <n v="1600"/>
    <n v="1600"/>
    <n v="1600"/>
    <n v="1600"/>
    <n v="1600"/>
    <n v="1600"/>
    <n v="1600"/>
    <n v="1600"/>
    <n v="1600"/>
    <n v="1600"/>
    <n v="19200"/>
    <m/>
    <n v="1.6"/>
    <n v="1.6"/>
    <n v="1.6"/>
    <n v="1.6"/>
    <n v="1.6"/>
    <n v="1.6"/>
    <n v="1.6"/>
    <n v="1.6"/>
    <n v="1.6"/>
    <n v="1.6"/>
    <n v="1.6"/>
    <n v="1.6"/>
    <n v="19.2"/>
    <m/>
    <n v="1.6"/>
    <n v="1.6"/>
    <n v="1.6"/>
    <n v="1.6"/>
    <n v="1.6"/>
    <n v="1.6"/>
    <n v="1.6"/>
    <n v="1.6"/>
    <n v="1.6"/>
    <n v="1.6"/>
    <n v="1.6"/>
    <n v="1.6"/>
    <n v="19.2"/>
    <m/>
    <n v="0.27210884353741499"/>
    <n v="0.27210884353741499"/>
    <n v="0.27210884353741499"/>
    <n v="0.27210884353741499"/>
    <n v="0.27210884353741499"/>
    <n v="0.27210884353741499"/>
    <n v="0.27210884353741499"/>
    <n v="0.27210884353741499"/>
    <n v="0.27210884353741499"/>
    <n v="0.27210884353741499"/>
    <n v="0.27210884353741499"/>
    <n v="0.27210884353741499"/>
    <n v="3.2653061224489792"/>
    <x v="2"/>
  </r>
  <r>
    <x v="0"/>
    <x v="0"/>
    <x v="6"/>
    <x v="6"/>
    <x v="0"/>
    <x v="70"/>
    <x v="5"/>
    <x v="70"/>
    <s v="Existente"/>
    <s v="Mensal"/>
    <s v="Baixa - Eficiência"/>
    <s v="PL | TI"/>
    <s v="Alexandre Ayabe"/>
    <x v="11"/>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2"/>
  </r>
  <r>
    <x v="0"/>
    <x v="0"/>
    <x v="6"/>
    <x v="6"/>
    <x v="0"/>
    <x v="71"/>
    <x v="5"/>
    <x v="70"/>
    <s v="Existente"/>
    <s v="Mensal"/>
    <s v="Baixa - Eficiência"/>
    <s v="PL | TI"/>
    <s v="Alexandre Ayabe"/>
    <x v="11"/>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8"/>
    <x v="5"/>
    <x v="71"/>
    <s v="Existente"/>
    <s v="Mensal"/>
    <s v="Baixa - Eficiência"/>
    <s v="PL | TI"/>
    <s v="Alexandre Ayabe"/>
    <x v="11"/>
    <m/>
    <s v="BRL"/>
    <n v="1200"/>
    <n v="1200"/>
    <n v="1200"/>
    <n v="1200"/>
    <n v="1200"/>
    <n v="1200"/>
    <n v="1200"/>
    <n v="1200"/>
    <n v="1200"/>
    <n v="1200"/>
    <n v="1200"/>
    <n v="1200"/>
    <n v="14400"/>
    <m/>
    <n v="1.2"/>
    <n v="1.2"/>
    <n v="1.2"/>
    <n v="1.2"/>
    <n v="1.2"/>
    <n v="1.2"/>
    <n v="1.2"/>
    <n v="1.2"/>
    <n v="1.2"/>
    <n v="1.2"/>
    <n v="1.2"/>
    <n v="1.2"/>
    <n v="14.399999999999997"/>
    <m/>
    <n v="1.2"/>
    <n v="1.2"/>
    <n v="1.2"/>
    <n v="1.2"/>
    <n v="1.2"/>
    <n v="1.2"/>
    <n v="1.2"/>
    <n v="1.2"/>
    <n v="1.2"/>
    <n v="1.2"/>
    <n v="1.2"/>
    <n v="1.2"/>
    <n v="14.399999999999997"/>
    <m/>
    <n v="0.20408163265306123"/>
    <n v="0.20408163265306123"/>
    <n v="0.20408163265306123"/>
    <n v="0.20408163265306123"/>
    <n v="0.20408163265306123"/>
    <n v="0.20408163265306123"/>
    <n v="0.20408163265306123"/>
    <n v="0.20408163265306123"/>
    <n v="0.20408163265306123"/>
    <n v="0.20408163265306123"/>
    <n v="0.20408163265306123"/>
    <n v="0.20408163265306123"/>
    <n v="2.4489795918367347"/>
    <x v="2"/>
  </r>
  <r>
    <x v="0"/>
    <x v="0"/>
    <x v="6"/>
    <x v="6"/>
    <x v="0"/>
    <x v="69"/>
    <x v="5"/>
    <x v="71"/>
    <s v="Existente"/>
    <s v="Mensal"/>
    <s v="Baixa - Eficiência"/>
    <s v="PL | TI"/>
    <s v="Alexandre Ayabe"/>
    <x v="11"/>
    <m/>
    <s v="BRL"/>
    <n v="1600"/>
    <n v="1600"/>
    <n v="1600"/>
    <n v="1600"/>
    <n v="1600"/>
    <n v="1600"/>
    <n v="1600"/>
    <n v="1600"/>
    <n v="1600"/>
    <n v="1600"/>
    <n v="1600"/>
    <n v="1600"/>
    <n v="19200"/>
    <m/>
    <n v="1.6"/>
    <n v="1.6"/>
    <n v="1.6"/>
    <n v="1.6"/>
    <n v="1.6"/>
    <n v="1.6"/>
    <n v="1.6"/>
    <n v="1.6"/>
    <n v="1.6"/>
    <n v="1.6"/>
    <n v="1.6"/>
    <n v="1.6"/>
    <n v="19.2"/>
    <m/>
    <n v="1.6"/>
    <n v="1.6"/>
    <n v="1.6"/>
    <n v="1.6"/>
    <n v="1.6"/>
    <n v="1.6"/>
    <n v="1.6"/>
    <n v="1.6"/>
    <n v="1.6"/>
    <n v="1.6"/>
    <n v="1.6"/>
    <n v="1.6"/>
    <n v="19.2"/>
    <m/>
    <n v="0.27210884353741499"/>
    <n v="0.27210884353741499"/>
    <n v="0.27210884353741499"/>
    <n v="0.27210884353741499"/>
    <n v="0.27210884353741499"/>
    <n v="0.27210884353741499"/>
    <n v="0.27210884353741499"/>
    <n v="0.27210884353741499"/>
    <n v="0.27210884353741499"/>
    <n v="0.27210884353741499"/>
    <n v="0.27210884353741499"/>
    <n v="0.27210884353741499"/>
    <n v="3.2653061224489792"/>
    <x v="2"/>
  </r>
  <r>
    <x v="0"/>
    <x v="0"/>
    <x v="6"/>
    <x v="6"/>
    <x v="0"/>
    <x v="70"/>
    <x v="5"/>
    <x v="71"/>
    <s v="Existente"/>
    <s v="Mensal"/>
    <s v="Baixa - Eficiência"/>
    <s v="PL | TI"/>
    <s v="Alexandre Ayabe"/>
    <x v="11"/>
    <m/>
    <s v="BRL"/>
    <n v="750"/>
    <n v="750"/>
    <n v="750"/>
    <n v="750"/>
    <n v="750"/>
    <n v="750"/>
    <n v="750"/>
    <n v="750"/>
    <n v="750"/>
    <n v="750"/>
    <n v="750"/>
    <n v="750"/>
    <n v="9000"/>
    <m/>
    <n v="0.75"/>
    <n v="0.75"/>
    <n v="0.75"/>
    <n v="0.75"/>
    <n v="0.75"/>
    <n v="0.75"/>
    <n v="0.75"/>
    <n v="0.75"/>
    <n v="0.75"/>
    <n v="0.75"/>
    <n v="0.75"/>
    <n v="0.75"/>
    <n v="9"/>
    <m/>
    <n v="0.75"/>
    <n v="0.75"/>
    <n v="0.75"/>
    <n v="0.75"/>
    <n v="0.75"/>
    <n v="0.75"/>
    <n v="0.75"/>
    <n v="0.75"/>
    <n v="0.75"/>
    <n v="0.75"/>
    <n v="0.75"/>
    <n v="0.75"/>
    <n v="9"/>
    <m/>
    <n v="0.12755102040816327"/>
    <n v="0.12755102040816327"/>
    <n v="0.12755102040816327"/>
    <n v="0.12755102040816327"/>
    <n v="0.12755102040816327"/>
    <n v="0.12755102040816327"/>
    <n v="0.12755102040816327"/>
    <n v="0.12755102040816327"/>
    <n v="0.12755102040816327"/>
    <n v="0.12755102040816327"/>
    <n v="0.12755102040816327"/>
    <n v="0.12755102040816327"/>
    <n v="1.5306122448979596"/>
    <x v="2"/>
  </r>
  <r>
    <x v="0"/>
    <x v="0"/>
    <x v="6"/>
    <x v="6"/>
    <x v="0"/>
    <x v="71"/>
    <x v="5"/>
    <x v="71"/>
    <s v="Existente"/>
    <s v="Mensal"/>
    <s v="Baixa - Eficiência"/>
    <s v="PL | TI"/>
    <s v="Alexandre Ayabe"/>
    <x v="11"/>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8"/>
    <x v="5"/>
    <x v="72"/>
    <s v="Existente"/>
    <s v="Mensal"/>
    <s v="Baixa - Eficiência"/>
    <s v="PL | TI"/>
    <s v="Alexandre Ayabe"/>
    <x v="11"/>
    <m/>
    <s v="BRL"/>
    <n v="4000"/>
    <m/>
    <n v="4000"/>
    <m/>
    <n v="4000"/>
    <m/>
    <n v="4000"/>
    <m/>
    <n v="4000"/>
    <m/>
    <n v="4000"/>
    <m/>
    <n v="24000"/>
    <m/>
    <n v="4"/>
    <s v=""/>
    <n v="4"/>
    <s v=""/>
    <n v="4"/>
    <s v=""/>
    <n v="4"/>
    <s v=""/>
    <n v="4"/>
    <s v=""/>
    <n v="4"/>
    <s v=""/>
    <n v="24"/>
    <m/>
    <n v="4"/>
    <s v=""/>
    <n v="4"/>
    <s v=""/>
    <n v="4"/>
    <s v=""/>
    <n v="4"/>
    <s v=""/>
    <n v="4"/>
    <s v=""/>
    <n v="4"/>
    <s v=""/>
    <n v="24"/>
    <m/>
    <n v="0.68027210884353739"/>
    <s v=""/>
    <n v="0.68027210884353739"/>
    <s v=""/>
    <n v="0.68027210884353739"/>
    <s v=""/>
    <n v="0.68027210884353739"/>
    <s v=""/>
    <n v="0.68027210884353739"/>
    <s v=""/>
    <n v="0.68027210884353739"/>
    <s v=""/>
    <n v="4.0816326530612246"/>
    <x v="2"/>
  </r>
  <r>
    <x v="0"/>
    <x v="0"/>
    <x v="6"/>
    <x v="6"/>
    <x v="0"/>
    <x v="69"/>
    <x v="5"/>
    <x v="72"/>
    <s v="Existente"/>
    <s v="Mensal"/>
    <s v="Baixa - Eficiência"/>
    <s v="PL | TI"/>
    <s v="Alexandre Ayabe"/>
    <x v="11"/>
    <m/>
    <s v="BRL"/>
    <n v="800"/>
    <m/>
    <n v="800"/>
    <m/>
    <n v="800"/>
    <m/>
    <n v="800"/>
    <m/>
    <n v="800"/>
    <m/>
    <n v="800"/>
    <m/>
    <n v="4800"/>
    <m/>
    <n v="0.8"/>
    <s v=""/>
    <n v="0.8"/>
    <s v=""/>
    <n v="0.8"/>
    <s v=""/>
    <n v="0.8"/>
    <s v=""/>
    <n v="0.8"/>
    <s v=""/>
    <n v="0.8"/>
    <s v=""/>
    <n v="4.8"/>
    <m/>
    <n v="0.8"/>
    <s v=""/>
    <n v="0.8"/>
    <s v=""/>
    <n v="0.8"/>
    <s v=""/>
    <n v="0.8"/>
    <s v=""/>
    <n v="0.8"/>
    <s v=""/>
    <n v="0.8"/>
    <s v=""/>
    <n v="4.8"/>
    <m/>
    <n v="0.1360544217687075"/>
    <s v=""/>
    <n v="0.1360544217687075"/>
    <s v=""/>
    <n v="0.1360544217687075"/>
    <s v=""/>
    <n v="0.1360544217687075"/>
    <s v=""/>
    <n v="0.1360544217687075"/>
    <s v=""/>
    <n v="0.1360544217687075"/>
    <s v=""/>
    <n v="0.81632653061224503"/>
    <x v="2"/>
  </r>
  <r>
    <x v="0"/>
    <x v="0"/>
    <x v="6"/>
    <x v="6"/>
    <x v="0"/>
    <x v="70"/>
    <x v="5"/>
    <x v="72"/>
    <s v="Existente"/>
    <s v="Mensal"/>
    <s v="Baixa - Eficiência"/>
    <s v="PL | TI"/>
    <s v="Alexandre Ayabe"/>
    <x v="11"/>
    <m/>
    <s v="BRL"/>
    <n v="450"/>
    <m/>
    <n v="450"/>
    <m/>
    <n v="450"/>
    <m/>
    <n v="450"/>
    <m/>
    <n v="450"/>
    <m/>
    <n v="450"/>
    <m/>
    <n v="2700"/>
    <m/>
    <n v="0.45"/>
    <s v=""/>
    <n v="0.45"/>
    <s v=""/>
    <n v="0.45"/>
    <s v=""/>
    <n v="0.45"/>
    <s v=""/>
    <n v="0.45"/>
    <s v=""/>
    <n v="0.45"/>
    <s v=""/>
    <n v="2.7"/>
    <m/>
    <n v="0.45"/>
    <s v=""/>
    <n v="0.45"/>
    <s v=""/>
    <n v="0.45"/>
    <s v=""/>
    <n v="0.45"/>
    <s v=""/>
    <n v="0.45"/>
    <s v=""/>
    <n v="0.45"/>
    <s v=""/>
    <n v="2.7"/>
    <m/>
    <n v="7.6530612244897961E-2"/>
    <s v=""/>
    <n v="7.6530612244897961E-2"/>
    <s v=""/>
    <n v="7.6530612244897961E-2"/>
    <s v=""/>
    <n v="7.6530612244897961E-2"/>
    <s v=""/>
    <n v="7.6530612244897961E-2"/>
    <s v=""/>
    <n v="7.6530612244897961E-2"/>
    <s v=""/>
    <n v="0.45918367346938782"/>
    <x v="2"/>
  </r>
  <r>
    <x v="0"/>
    <x v="0"/>
    <x v="6"/>
    <x v="6"/>
    <x v="0"/>
    <x v="71"/>
    <x v="5"/>
    <x v="72"/>
    <s v="Existente"/>
    <s v="Mensal"/>
    <s v="Baixa - Eficiência"/>
    <s v="PL | TI"/>
    <s v="Alexandre Ayabe"/>
    <x v="11"/>
    <m/>
    <s v="BRL"/>
    <n v="1200"/>
    <m/>
    <n v="1200"/>
    <m/>
    <n v="1200"/>
    <m/>
    <n v="1200"/>
    <m/>
    <n v="1200"/>
    <m/>
    <n v="1200"/>
    <m/>
    <n v="7200"/>
    <m/>
    <n v="1.2"/>
    <s v=""/>
    <n v="1.2"/>
    <s v=""/>
    <n v="1.2"/>
    <s v=""/>
    <n v="1.2"/>
    <s v=""/>
    <n v="1.2"/>
    <s v=""/>
    <n v="1.2"/>
    <s v=""/>
    <n v="7.2"/>
    <m/>
    <n v="1.2"/>
    <s v=""/>
    <n v="1.2"/>
    <s v=""/>
    <n v="1.2"/>
    <s v=""/>
    <n v="1.2"/>
    <s v=""/>
    <n v="1.2"/>
    <s v=""/>
    <n v="1.2"/>
    <s v=""/>
    <n v="7.2"/>
    <m/>
    <n v="0.20408163265306123"/>
    <s v=""/>
    <n v="0.20408163265306123"/>
    <s v=""/>
    <n v="0.20408163265306123"/>
    <s v=""/>
    <n v="0.20408163265306123"/>
    <s v=""/>
    <n v="0.20408163265306123"/>
    <s v=""/>
    <n v="0.20408163265306123"/>
    <s v=""/>
    <n v="1.2244897959183674"/>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72"/>
    <x v="5"/>
    <x v="73"/>
    <s v="Existente"/>
    <s v="Mensal"/>
    <s v="Baixa - Eficiência"/>
    <s v="PL | TI"/>
    <s v="Alexandre Ayabe"/>
    <x v="11"/>
    <m/>
    <s v="BRL"/>
    <m/>
    <n v="3500"/>
    <m/>
    <m/>
    <n v="3500"/>
    <m/>
    <m/>
    <n v="3500"/>
    <m/>
    <m/>
    <n v="3500"/>
    <m/>
    <n v="14000"/>
    <m/>
    <s v=""/>
    <n v="3.5"/>
    <s v=""/>
    <s v=""/>
    <n v="3.5"/>
    <s v=""/>
    <s v=""/>
    <n v="3.5"/>
    <s v=""/>
    <s v=""/>
    <n v="3.5"/>
    <s v=""/>
    <n v="14"/>
    <m/>
    <s v=""/>
    <n v="3.5"/>
    <s v=""/>
    <s v=""/>
    <n v="3.5"/>
    <s v=""/>
    <s v=""/>
    <n v="3.5"/>
    <s v=""/>
    <s v=""/>
    <n v="3.5"/>
    <s v=""/>
    <n v="14"/>
    <m/>
    <s v=""/>
    <n v="0.59523809523809523"/>
    <s v=""/>
    <s v=""/>
    <n v="0.59523809523809523"/>
    <s v=""/>
    <s v=""/>
    <n v="0.59523809523809523"/>
    <s v=""/>
    <s v=""/>
    <n v="0.59523809523809523"/>
    <s v=""/>
    <n v="2.3809523809523809"/>
    <x v="2"/>
  </r>
  <r>
    <x v="0"/>
    <x v="0"/>
    <x v="6"/>
    <x v="6"/>
    <x v="0"/>
    <x v="71"/>
    <x v="5"/>
    <x v="74"/>
    <s v="Existente"/>
    <s v="Mensal"/>
    <s v="Baixa - Eficiência"/>
    <s v="PL | TI"/>
    <s v="Alexandre Ayabe"/>
    <x v="11"/>
    <m/>
    <s v="USD"/>
    <m/>
    <n v="150"/>
    <m/>
    <m/>
    <n v="150"/>
    <m/>
    <m/>
    <n v="150"/>
    <m/>
    <m/>
    <n v="150"/>
    <m/>
    <n v="600"/>
    <m/>
    <s v=""/>
    <n v="0.88200000000000001"/>
    <s v=""/>
    <s v=""/>
    <n v="0.88200000000000001"/>
    <s v=""/>
    <s v=""/>
    <n v="0.88200000000000001"/>
    <s v=""/>
    <s v=""/>
    <n v="0.88200000000000001"/>
    <s v=""/>
    <n v="3.528"/>
    <m/>
    <s v=""/>
    <n v="0.88200000000000001"/>
    <s v=""/>
    <s v=""/>
    <n v="0.88200000000000001"/>
    <s v=""/>
    <s v=""/>
    <n v="0.88200000000000001"/>
    <s v=""/>
    <s v=""/>
    <n v="0.88200000000000001"/>
    <s v=""/>
    <n v="3.528"/>
    <m/>
    <s v=""/>
    <n v="0.15"/>
    <s v=""/>
    <s v=""/>
    <n v="0.15"/>
    <s v=""/>
    <s v=""/>
    <n v="0.15"/>
    <s v=""/>
    <s v=""/>
    <n v="0.15"/>
    <s v=""/>
    <n v="0.6"/>
    <x v="2"/>
  </r>
  <r>
    <x v="0"/>
    <x v="0"/>
    <x v="6"/>
    <x v="6"/>
    <x v="0"/>
    <x v="72"/>
    <x v="5"/>
    <x v="75"/>
    <s v="Existente"/>
    <s v="Mensal"/>
    <s v="Baixa - Eficiência"/>
    <s v="PL | TI"/>
    <s v="Alexandre Ayabe"/>
    <x v="11"/>
    <m/>
    <s v="BRL"/>
    <m/>
    <n v="3500"/>
    <m/>
    <m/>
    <n v="3500"/>
    <m/>
    <m/>
    <n v="3500"/>
    <m/>
    <m/>
    <n v="3500"/>
    <m/>
    <n v="14000"/>
    <m/>
    <s v=""/>
    <n v="3.5"/>
    <s v=""/>
    <s v=""/>
    <n v="3.5"/>
    <s v=""/>
    <s v=""/>
    <n v="3.5"/>
    <s v=""/>
    <s v=""/>
    <n v="3.5"/>
    <s v=""/>
    <n v="14"/>
    <m/>
    <s v=""/>
    <n v="3.5"/>
    <s v=""/>
    <s v=""/>
    <n v="3.5"/>
    <s v=""/>
    <s v=""/>
    <n v="3.5"/>
    <s v=""/>
    <s v=""/>
    <n v="3.5"/>
    <s v=""/>
    <n v="14"/>
    <m/>
    <s v=""/>
    <n v="0.59523809523809523"/>
    <s v=""/>
    <s v=""/>
    <n v="0.59523809523809523"/>
    <s v=""/>
    <s v=""/>
    <n v="0.59523809523809523"/>
    <s v=""/>
    <s v=""/>
    <n v="0.59523809523809523"/>
    <s v=""/>
    <n v="2.3809523809523809"/>
    <x v="2"/>
  </r>
  <r>
    <x v="0"/>
    <x v="0"/>
    <x v="6"/>
    <x v="6"/>
    <x v="0"/>
    <x v="71"/>
    <x v="5"/>
    <x v="76"/>
    <s v="Existente"/>
    <s v="Mensal"/>
    <s v="Baixa - Eficiência"/>
    <s v="PL | TI"/>
    <s v="Alexandre Ayabe"/>
    <x v="11"/>
    <m/>
    <s v="USD"/>
    <m/>
    <n v="150"/>
    <m/>
    <m/>
    <n v="150"/>
    <m/>
    <m/>
    <n v="150"/>
    <m/>
    <m/>
    <n v="150"/>
    <m/>
    <n v="600"/>
    <m/>
    <s v=""/>
    <n v="0.88200000000000001"/>
    <s v=""/>
    <s v=""/>
    <n v="0.88200000000000001"/>
    <s v=""/>
    <s v=""/>
    <n v="0.88200000000000001"/>
    <s v=""/>
    <s v=""/>
    <n v="0.88200000000000001"/>
    <s v=""/>
    <n v="3.528"/>
    <m/>
    <s v=""/>
    <n v="0.88200000000000001"/>
    <s v=""/>
    <s v=""/>
    <n v="0.88200000000000001"/>
    <s v=""/>
    <s v=""/>
    <n v="0.88200000000000001"/>
    <s v=""/>
    <s v=""/>
    <n v="0.88200000000000001"/>
    <s v=""/>
    <n v="3.528"/>
    <m/>
    <s v=""/>
    <n v="0.15"/>
    <s v=""/>
    <s v=""/>
    <n v="0.15"/>
    <s v=""/>
    <s v=""/>
    <n v="0.15"/>
    <s v=""/>
    <s v=""/>
    <n v="0.15"/>
    <s v=""/>
    <n v="0.6"/>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68"/>
    <x v="5"/>
    <x v="77"/>
    <s v="Existente"/>
    <s v="Mensal"/>
    <s v="Baixa - Eficiência"/>
    <s v="PL | TI"/>
    <s v="Alexandre Ayabe"/>
    <x v="11"/>
    <m/>
    <s v="BRL"/>
    <n v="1200"/>
    <m/>
    <n v="1200"/>
    <m/>
    <n v="1200"/>
    <m/>
    <n v="1200"/>
    <m/>
    <n v="1200"/>
    <m/>
    <n v="1200"/>
    <m/>
    <n v="7200"/>
    <m/>
    <n v="1.2"/>
    <s v=""/>
    <n v="1.2"/>
    <s v=""/>
    <n v="1.2"/>
    <s v=""/>
    <n v="1.2"/>
    <s v=""/>
    <n v="1.2"/>
    <s v=""/>
    <n v="1.2"/>
    <s v=""/>
    <n v="7.2"/>
    <m/>
    <n v="1.2"/>
    <s v=""/>
    <n v="1.2"/>
    <s v=""/>
    <n v="1.2"/>
    <s v=""/>
    <n v="1.2"/>
    <s v=""/>
    <n v="1.2"/>
    <s v=""/>
    <n v="1.2"/>
    <s v=""/>
    <n v="7.2"/>
    <m/>
    <n v="0.20408163265306123"/>
    <s v=""/>
    <n v="0.20408163265306123"/>
    <s v=""/>
    <n v="0.20408163265306123"/>
    <s v=""/>
    <n v="0.20408163265306123"/>
    <s v=""/>
    <n v="0.20408163265306123"/>
    <s v=""/>
    <n v="0.20408163265306123"/>
    <s v=""/>
    <n v="1.2244897959183674"/>
    <x v="2"/>
  </r>
  <r>
    <x v="0"/>
    <x v="0"/>
    <x v="6"/>
    <x v="6"/>
    <x v="0"/>
    <x v="69"/>
    <x v="5"/>
    <x v="77"/>
    <s v="Existente"/>
    <s v="Mensal"/>
    <s v="Baixa - Eficiência"/>
    <s v="PL | TI"/>
    <s v="Alexandre Ayabe"/>
    <x v="11"/>
    <m/>
    <s v="BRL"/>
    <n v="800"/>
    <m/>
    <n v="800"/>
    <m/>
    <n v="800"/>
    <m/>
    <n v="800"/>
    <m/>
    <n v="800"/>
    <m/>
    <n v="800"/>
    <m/>
    <n v="4800"/>
    <m/>
    <n v="0.8"/>
    <s v=""/>
    <n v="0.8"/>
    <s v=""/>
    <n v="0.8"/>
    <s v=""/>
    <n v="0.8"/>
    <s v=""/>
    <n v="0.8"/>
    <s v=""/>
    <n v="0.8"/>
    <s v=""/>
    <n v="4.8"/>
    <m/>
    <n v="0.8"/>
    <s v=""/>
    <n v="0.8"/>
    <s v=""/>
    <n v="0.8"/>
    <s v=""/>
    <n v="0.8"/>
    <s v=""/>
    <n v="0.8"/>
    <s v=""/>
    <n v="0.8"/>
    <s v=""/>
    <n v="4.8"/>
    <m/>
    <n v="0.1360544217687075"/>
    <s v=""/>
    <n v="0.1360544217687075"/>
    <s v=""/>
    <n v="0.1360544217687075"/>
    <s v=""/>
    <n v="0.1360544217687075"/>
    <s v=""/>
    <n v="0.1360544217687075"/>
    <s v=""/>
    <n v="0.1360544217687075"/>
    <s v=""/>
    <n v="0.81632653061224503"/>
    <x v="2"/>
  </r>
  <r>
    <x v="0"/>
    <x v="0"/>
    <x v="6"/>
    <x v="6"/>
    <x v="0"/>
    <x v="73"/>
    <x v="5"/>
    <x v="77"/>
    <s v="Existente"/>
    <s v="Mensal"/>
    <s v="Baixa - Eficiência"/>
    <s v="PL | TI"/>
    <s v="Alexandre Ayabe"/>
    <x v="11"/>
    <m/>
    <s v="BRL"/>
    <n v="450"/>
    <m/>
    <n v="450"/>
    <m/>
    <n v="450"/>
    <m/>
    <n v="450"/>
    <m/>
    <n v="450"/>
    <m/>
    <n v="450"/>
    <m/>
    <n v="2700"/>
    <m/>
    <n v="0.45"/>
    <s v=""/>
    <n v="0.45"/>
    <s v=""/>
    <n v="0.45"/>
    <s v=""/>
    <n v="0.45"/>
    <s v=""/>
    <n v="0.45"/>
    <s v=""/>
    <n v="0.45"/>
    <s v=""/>
    <n v="2.7"/>
    <m/>
    <n v="0.45"/>
    <s v=""/>
    <n v="0.45"/>
    <s v=""/>
    <n v="0.45"/>
    <s v=""/>
    <n v="0.45"/>
    <s v=""/>
    <n v="0.45"/>
    <s v=""/>
    <n v="0.45"/>
    <s v=""/>
    <n v="2.7"/>
    <m/>
    <n v="7.6530612244897961E-2"/>
    <s v=""/>
    <n v="7.6530612244897961E-2"/>
    <s v=""/>
    <n v="7.6530612244897961E-2"/>
    <s v=""/>
    <n v="7.6530612244897961E-2"/>
    <s v=""/>
    <n v="7.6530612244897961E-2"/>
    <s v=""/>
    <n v="7.6530612244897961E-2"/>
    <s v=""/>
    <n v="0.45918367346938782"/>
    <x v="2"/>
  </r>
  <r>
    <x v="0"/>
    <x v="0"/>
    <x v="6"/>
    <x v="6"/>
    <x v="0"/>
    <x v="71"/>
    <x v="5"/>
    <x v="77"/>
    <s v="Existente"/>
    <s v="Mensal"/>
    <s v="Baixa - Eficiência"/>
    <s v="PL | TI"/>
    <s v="Alexandre Ayabe"/>
    <x v="11"/>
    <m/>
    <s v="BRL"/>
    <n v="1200"/>
    <m/>
    <n v="1200"/>
    <m/>
    <n v="1200"/>
    <m/>
    <n v="1200"/>
    <m/>
    <n v="1200"/>
    <m/>
    <n v="1200"/>
    <m/>
    <n v="7200"/>
    <m/>
    <n v="1.2"/>
    <s v=""/>
    <n v="1.2"/>
    <s v=""/>
    <n v="1.2"/>
    <s v=""/>
    <n v="1.2"/>
    <s v=""/>
    <n v="1.2"/>
    <s v=""/>
    <n v="1.2"/>
    <s v=""/>
    <n v="7.2"/>
    <m/>
    <n v="1.2"/>
    <s v=""/>
    <n v="1.2"/>
    <s v=""/>
    <n v="1.2"/>
    <s v=""/>
    <n v="1.2"/>
    <s v=""/>
    <n v="1.2"/>
    <s v=""/>
    <n v="1.2"/>
    <s v=""/>
    <n v="7.2"/>
    <m/>
    <n v="0.20408163265306123"/>
    <s v=""/>
    <n v="0.20408163265306123"/>
    <s v=""/>
    <n v="0.20408163265306123"/>
    <s v=""/>
    <n v="0.20408163265306123"/>
    <s v=""/>
    <n v="0.20408163265306123"/>
    <s v=""/>
    <n v="0.20408163265306123"/>
    <s v=""/>
    <n v="1.2244897959183674"/>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6"/>
    <x v="6"/>
    <x v="0"/>
    <x v="74"/>
    <x v="5"/>
    <x v="78"/>
    <s v="Existente"/>
    <s v="Mensal"/>
    <s v="Baixa - Eficiência"/>
    <s v="PL | TI"/>
    <s v="Alexandre Ayabe"/>
    <x v="11"/>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2"/>
  </r>
  <r>
    <x v="1"/>
    <x v="1"/>
    <x v="2"/>
    <x v="2"/>
    <x v="1"/>
    <x v="1"/>
    <x v="1"/>
    <x v="1"/>
    <m/>
    <m/>
    <m/>
    <m/>
    <s v=""/>
    <x v="1"/>
    <m/>
    <m/>
    <m/>
    <m/>
    <m/>
    <m/>
    <m/>
    <m/>
    <m/>
    <m/>
    <m/>
    <m/>
    <m/>
    <m/>
    <s v=""/>
    <m/>
    <s v=""/>
    <s v=""/>
    <s v=""/>
    <s v=""/>
    <s v=""/>
    <s v=""/>
    <s v=""/>
    <s v=""/>
    <s v=""/>
    <s v=""/>
    <s v=""/>
    <s v=""/>
    <s v=""/>
    <m/>
    <s v=""/>
    <s v=""/>
    <s v=""/>
    <s v=""/>
    <s v=""/>
    <s v=""/>
    <s v=""/>
    <s v=""/>
    <s v=""/>
    <s v=""/>
    <s v=""/>
    <s v=""/>
    <s v=""/>
    <m/>
    <s v=""/>
    <s v=""/>
    <s v=""/>
    <s v=""/>
    <s v=""/>
    <s v=""/>
    <s v=""/>
    <s v=""/>
    <s v=""/>
    <s v=""/>
    <s v=""/>
    <s v=""/>
    <s v=""/>
    <x v="1"/>
  </r>
  <r>
    <x v="0"/>
    <x v="0"/>
    <x v="1"/>
    <x v="8"/>
    <x v="6"/>
    <x v="75"/>
    <x v="2"/>
    <x v="18"/>
    <s v="Existente"/>
    <s v="Mensal"/>
    <s v="Contrato em Curso"/>
    <s v="PNG | TI"/>
    <s v="Alexandre Ayabe"/>
    <x v="6"/>
    <m/>
    <s v="BRL"/>
    <n v="2500"/>
    <n v="2500"/>
    <n v="2500"/>
    <n v="2500"/>
    <n v="2500"/>
    <n v="2500"/>
    <n v="2500"/>
    <n v="2500"/>
    <n v="2500"/>
    <n v="2500"/>
    <n v="2500"/>
    <n v="2500"/>
    <n v="30000"/>
    <m/>
    <n v="2.5"/>
    <n v="2.5"/>
    <n v="2.5"/>
    <n v="2.5"/>
    <n v="2.5"/>
    <n v="2.5"/>
    <n v="2.5"/>
    <n v="2.5"/>
    <n v="2.5"/>
    <n v="2.5"/>
    <n v="2.5"/>
    <n v="2.5"/>
    <n v="30"/>
    <m/>
    <n v="2.5"/>
    <n v="2.5"/>
    <n v="2.5"/>
    <n v="2.5"/>
    <n v="2.5"/>
    <n v="2.5"/>
    <n v="2.5"/>
    <n v="2.5"/>
    <n v="2.5"/>
    <n v="2.5"/>
    <n v="2.5"/>
    <n v="2.5"/>
    <n v="30"/>
    <m/>
    <n v="0.42517006802721091"/>
    <n v="0.42517006802721091"/>
    <n v="0.42517006802721091"/>
    <n v="0.42517006802721091"/>
    <n v="0.42517006802721091"/>
    <n v="0.42517006802721091"/>
    <n v="0.42517006802721091"/>
    <n v="0.42517006802721091"/>
    <n v="0.42517006802721091"/>
    <n v="0.42517006802721091"/>
    <n v="0.42517006802721091"/>
    <n v="0.42517006802721091"/>
    <n v="5.1020408163265314"/>
    <x v="4"/>
  </r>
  <r>
    <x v="0"/>
    <x v="0"/>
    <x v="1"/>
    <x v="8"/>
    <x v="3"/>
    <x v="75"/>
    <x v="2"/>
    <x v="18"/>
    <s v="Existente"/>
    <s v="Mensal"/>
    <s v="Contrato em Curso"/>
    <s v="CG-PNG | TI"/>
    <s v="Alexandre Ayabe"/>
    <x v="6"/>
    <m/>
    <s v="BRL"/>
    <n v="2500"/>
    <n v="2500"/>
    <n v="2500"/>
    <n v="2500"/>
    <n v="2500"/>
    <n v="2500"/>
    <n v="2500"/>
    <n v="2500"/>
    <n v="2500"/>
    <n v="2500"/>
    <n v="2500"/>
    <n v="2500"/>
    <n v="30000"/>
    <m/>
    <n v="2.5"/>
    <n v="2.5"/>
    <n v="2.5"/>
    <n v="2.5"/>
    <n v="2.5"/>
    <n v="2.5"/>
    <n v="2.5"/>
    <n v="2.5"/>
    <n v="2.5"/>
    <n v="2.5"/>
    <n v="2.5"/>
    <n v="2.5"/>
    <n v="30"/>
    <m/>
    <n v="2.5"/>
    <n v="2.5"/>
    <n v="2.5"/>
    <n v="2.5"/>
    <n v="2.5"/>
    <n v="2.5"/>
    <n v="2.5"/>
    <n v="2.5"/>
    <n v="2.5"/>
    <n v="2.5"/>
    <n v="2.5"/>
    <n v="2.5"/>
    <n v="30"/>
    <m/>
    <n v="0.42517006802721091"/>
    <n v="0.42517006802721091"/>
    <n v="0.42517006802721091"/>
    <n v="0.42517006802721091"/>
    <n v="0.42517006802721091"/>
    <n v="0.42517006802721091"/>
    <n v="0.42517006802721091"/>
    <n v="0.42517006802721091"/>
    <n v="0.42517006802721091"/>
    <n v="0.42517006802721091"/>
    <n v="0.42517006802721091"/>
    <n v="0.42517006802721091"/>
    <n v="5.1020408163265314"/>
    <x v="4"/>
  </r>
  <r>
    <x v="0"/>
    <x v="0"/>
    <x v="1"/>
    <x v="9"/>
    <x v="6"/>
    <x v="75"/>
    <x v="2"/>
    <x v="18"/>
    <s v="Existente"/>
    <s v="Mensal"/>
    <s v="Contrato em Curso"/>
    <s v="ITJ | TI"/>
    <s v="Alexandre Ayabe"/>
    <x v="6"/>
    <m/>
    <s v="BRL"/>
    <n v="3000"/>
    <n v="3000"/>
    <n v="3000"/>
    <n v="3000"/>
    <n v="3000"/>
    <n v="3000"/>
    <n v="3000"/>
    <n v="3000"/>
    <n v="3000"/>
    <n v="3000"/>
    <n v="3000"/>
    <n v="3000"/>
    <n v="36000"/>
    <m/>
    <n v="3"/>
    <n v="3"/>
    <n v="3"/>
    <n v="3"/>
    <n v="3"/>
    <n v="3"/>
    <n v="3"/>
    <n v="3"/>
    <n v="3"/>
    <n v="3"/>
    <n v="3"/>
    <n v="3"/>
    <n v="36"/>
    <m/>
    <n v="3"/>
    <n v="3"/>
    <n v="3"/>
    <n v="3"/>
    <n v="3"/>
    <n v="3"/>
    <n v="3"/>
    <n v="3"/>
    <n v="3"/>
    <n v="3"/>
    <n v="3"/>
    <n v="3"/>
    <n v="36"/>
    <m/>
    <n v="0.51020408163265307"/>
    <n v="0.51020408163265307"/>
    <n v="0.51020408163265307"/>
    <n v="0.51020408163265307"/>
    <n v="0.51020408163265307"/>
    <n v="0.51020408163265307"/>
    <n v="0.51020408163265307"/>
    <n v="0.51020408163265307"/>
    <n v="0.51020408163265307"/>
    <n v="0.51020408163265307"/>
    <n v="0.51020408163265307"/>
    <n v="0.51020408163265307"/>
    <n v="6.1224489795918382"/>
    <x v="4"/>
  </r>
  <r>
    <x v="0"/>
    <x v="0"/>
    <x v="1"/>
    <x v="10"/>
    <x v="6"/>
    <x v="75"/>
    <x v="2"/>
    <x v="18"/>
    <s v="Existente"/>
    <s v="Mensal"/>
    <s v="Contrato em Curso"/>
    <s v="RGD | TI"/>
    <s v="Alexandre Ayabe"/>
    <x v="6"/>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1"/>
    <x v="11"/>
    <x v="3"/>
    <x v="75"/>
    <x v="2"/>
    <x v="18"/>
    <s v="Existente"/>
    <s v="Mensal"/>
    <s v="Contrato em Curso"/>
    <s v="CG-PTG | TI"/>
    <s v="Alexandre Ayabe"/>
    <x v="6"/>
    <m/>
    <s v="BRL"/>
    <n v="1500"/>
    <n v="1500"/>
    <n v="1500"/>
    <n v="1500"/>
    <n v="1500"/>
    <n v="1500"/>
    <n v="1500"/>
    <n v="1500"/>
    <n v="1500"/>
    <n v="1500"/>
    <n v="1500"/>
    <n v="1500"/>
    <n v="18000"/>
    <m/>
    <n v="1.5"/>
    <n v="1.5"/>
    <n v="1.5"/>
    <n v="1.5"/>
    <n v="1.5"/>
    <n v="1.5"/>
    <n v="1.5"/>
    <n v="1.5"/>
    <n v="1.5"/>
    <n v="1.5"/>
    <n v="1.5"/>
    <n v="1.5"/>
    <n v="18"/>
    <m/>
    <n v="1.5"/>
    <n v="1.5"/>
    <n v="1.5"/>
    <n v="1.5"/>
    <n v="1.5"/>
    <n v="1.5"/>
    <n v="1.5"/>
    <n v="1.5"/>
    <n v="1.5"/>
    <n v="1.5"/>
    <n v="1.5"/>
    <n v="1.5"/>
    <n v="18"/>
    <m/>
    <n v="0.25510204081632654"/>
    <n v="0.25510204081632654"/>
    <n v="0.25510204081632654"/>
    <n v="0.25510204081632654"/>
    <n v="0.25510204081632654"/>
    <n v="0.25510204081632654"/>
    <n v="0.25510204081632654"/>
    <n v="0.25510204081632654"/>
    <n v="0.25510204081632654"/>
    <n v="0.25510204081632654"/>
    <n v="0.25510204081632654"/>
    <n v="0.25510204081632654"/>
    <n v="3.0612244897959191"/>
    <x v="4"/>
  </r>
  <r>
    <x v="0"/>
    <x v="0"/>
    <x v="3"/>
    <x v="13"/>
    <x v="2"/>
    <x v="75"/>
    <x v="2"/>
    <x v="18"/>
    <s v="Existente"/>
    <s v="Mensal"/>
    <s v="Contrato em Curso"/>
    <s v="FG-VLP | TI"/>
    <s v="Alexandre Ayabe"/>
    <x v="6"/>
    <m/>
    <s v="BRL"/>
    <n v="2000"/>
    <n v="2000"/>
    <n v="2000"/>
    <n v="2000"/>
    <n v="2000"/>
    <n v="2000"/>
    <n v="2000"/>
    <n v="2000"/>
    <n v="2000"/>
    <n v="2000"/>
    <n v="2000"/>
    <n v="2000"/>
    <n v="24000"/>
    <m/>
    <n v="2"/>
    <n v="2"/>
    <n v="2"/>
    <n v="2"/>
    <n v="2"/>
    <n v="2"/>
    <n v="2"/>
    <n v="2"/>
    <n v="2"/>
    <n v="2"/>
    <n v="2"/>
    <n v="2"/>
    <n v="24"/>
    <m/>
    <n v="2"/>
    <n v="2"/>
    <n v="2"/>
    <n v="2"/>
    <n v="2"/>
    <n v="2"/>
    <n v="2"/>
    <n v="2"/>
    <n v="2"/>
    <n v="2"/>
    <n v="2"/>
    <n v="2"/>
    <n v="24"/>
    <m/>
    <n v="0.3401360544217687"/>
    <n v="0.3401360544217687"/>
    <n v="0.3401360544217687"/>
    <n v="0.3401360544217687"/>
    <n v="0.3401360544217687"/>
    <n v="0.3401360544217687"/>
    <n v="0.3401360544217687"/>
    <n v="0.3401360544217687"/>
    <n v="0.3401360544217687"/>
    <n v="0.3401360544217687"/>
    <n v="0.3401360544217687"/>
    <n v="0.3401360544217687"/>
    <n v="4.0816326530612246"/>
    <x v="4"/>
  </r>
  <r>
    <x v="1"/>
    <x v="1"/>
    <x v="2"/>
    <x v="2"/>
    <x v="1"/>
    <x v="1"/>
    <x v="1"/>
    <x v="1"/>
    <m/>
    <m/>
    <m/>
    <m/>
    <s v=""/>
    <x v="1"/>
    <m/>
    <m/>
    <m/>
    <m/>
    <m/>
    <m/>
    <m/>
    <m/>
    <m/>
    <m/>
    <m/>
    <m/>
    <m/>
    <m/>
    <s v=""/>
    <m/>
    <s v=""/>
    <s v=""/>
    <s v=""/>
    <s v=""/>
    <s v=""/>
    <s v=""/>
    <s v=""/>
    <s v=""/>
    <s v=""/>
    <s v=""/>
    <s v=""/>
    <s v=""/>
    <s v=""/>
    <m/>
    <s v=""/>
    <s v=""/>
    <s v=""/>
    <s v=""/>
    <s v=""/>
    <s v=""/>
    <s v=""/>
    <s v=""/>
    <s v=""/>
    <s v=""/>
    <s v=""/>
    <s v=""/>
    <s v=""/>
    <m/>
    <s v=""/>
    <s v=""/>
    <s v=""/>
    <s v=""/>
    <s v=""/>
    <s v=""/>
    <s v=""/>
    <s v=""/>
    <s v=""/>
    <s v=""/>
    <s v=""/>
    <s v=""/>
    <s v=""/>
    <x v="1"/>
  </r>
  <r>
    <x v="0"/>
    <x v="0"/>
    <x v="8"/>
    <x v="18"/>
    <x v="2"/>
    <x v="30"/>
    <x v="0"/>
    <x v="79"/>
    <s v="Existente"/>
    <s v="Mensal"/>
    <s v="Contrato em Curso"/>
    <m/>
    <s v=""/>
    <x v="2"/>
    <m/>
    <s v="USD"/>
    <n v="932"/>
    <m/>
    <m/>
    <n v="932"/>
    <m/>
    <m/>
    <n v="932"/>
    <m/>
    <m/>
    <n v="932"/>
    <m/>
    <m/>
    <n v="3728"/>
    <m/>
    <n v="5.4801599999999997"/>
    <s v=""/>
    <s v=""/>
    <n v="5.4801599999999997"/>
    <s v=""/>
    <s v=""/>
    <n v="5.4801599999999997"/>
    <s v=""/>
    <s v=""/>
    <n v="5.4801599999999997"/>
    <s v=""/>
    <s v=""/>
    <n v="21.920639999999999"/>
    <m/>
    <n v="5.4801599999999997"/>
    <s v=""/>
    <s v=""/>
    <n v="5.4801599999999997"/>
    <s v=""/>
    <s v=""/>
    <n v="5.4801599999999997"/>
    <s v=""/>
    <s v=""/>
    <n v="5.4801599999999997"/>
    <s v=""/>
    <s v=""/>
    <n v="21.920639999999999"/>
    <m/>
    <n v="0.93199999999999994"/>
    <s v=""/>
    <s v=""/>
    <n v="0.93199999999999994"/>
    <s v=""/>
    <s v=""/>
    <n v="0.93199999999999994"/>
    <s v=""/>
    <s v=""/>
    <n v="0.93199999999999994"/>
    <s v=""/>
    <s v=""/>
    <n v="3.7279999999999998"/>
    <x v="1"/>
  </r>
  <r>
    <x v="0"/>
    <x v="0"/>
    <x v="8"/>
    <x v="18"/>
    <x v="2"/>
    <x v="76"/>
    <x v="3"/>
    <x v="80"/>
    <s v="Existente"/>
    <s v="Anual"/>
    <s v="Contrato em Curso"/>
    <m/>
    <s v=""/>
    <x v="2"/>
    <m/>
    <s v="USD"/>
    <m/>
    <m/>
    <m/>
    <m/>
    <m/>
    <m/>
    <m/>
    <m/>
    <n v="2000"/>
    <m/>
    <m/>
    <m/>
    <n v="2000"/>
    <m/>
    <s v=""/>
    <s v=""/>
    <s v=""/>
    <s v=""/>
    <s v=""/>
    <s v=""/>
    <s v=""/>
    <s v=""/>
    <n v="11.76"/>
    <s v=""/>
    <s v=""/>
    <s v=""/>
    <n v="11.76"/>
    <m/>
    <s v=""/>
    <s v=""/>
    <s v=""/>
    <s v=""/>
    <s v=""/>
    <s v=""/>
    <s v=""/>
    <s v=""/>
    <n v="11.76"/>
    <s v=""/>
    <s v=""/>
    <s v=""/>
    <n v="11.76"/>
    <m/>
    <s v=""/>
    <s v=""/>
    <s v=""/>
    <s v=""/>
    <s v=""/>
    <s v=""/>
    <s v=""/>
    <s v=""/>
    <n v="2"/>
    <s v=""/>
    <s v=""/>
    <s v=""/>
    <n v="2"/>
    <x v="1"/>
  </r>
  <r>
    <x v="0"/>
    <x v="0"/>
    <x v="8"/>
    <x v="18"/>
    <x v="2"/>
    <x v="12"/>
    <x v="3"/>
    <x v="81"/>
    <s v="Existente"/>
    <s v="Anual"/>
    <s v="Contrato em Curso"/>
    <m/>
    <s v=""/>
    <x v="4"/>
    <m/>
    <s v="USD"/>
    <m/>
    <m/>
    <m/>
    <m/>
    <m/>
    <m/>
    <m/>
    <n v="2700"/>
    <m/>
    <m/>
    <m/>
    <m/>
    <n v="2700"/>
    <m/>
    <s v=""/>
    <s v=""/>
    <s v=""/>
    <s v=""/>
    <s v=""/>
    <s v=""/>
    <s v=""/>
    <n v="15.875999999999999"/>
    <s v=""/>
    <s v=""/>
    <s v=""/>
    <s v=""/>
    <n v="15.875999999999999"/>
    <m/>
    <s v=""/>
    <s v=""/>
    <s v=""/>
    <s v=""/>
    <s v=""/>
    <s v=""/>
    <s v=""/>
    <n v="15.875999999999999"/>
    <s v=""/>
    <s v=""/>
    <s v=""/>
    <s v=""/>
    <n v="15.875999999999999"/>
    <m/>
    <s v=""/>
    <s v=""/>
    <s v=""/>
    <s v=""/>
    <s v=""/>
    <s v=""/>
    <s v=""/>
    <n v="2.6999999999999997"/>
    <s v=""/>
    <s v=""/>
    <s v=""/>
    <s v=""/>
    <n v="2.6999999999999997"/>
    <x v="1"/>
  </r>
  <r>
    <x v="0"/>
    <x v="0"/>
    <x v="8"/>
    <x v="18"/>
    <x v="2"/>
    <x v="77"/>
    <x v="0"/>
    <x v="82"/>
    <s v="Existente"/>
    <s v="Mensal"/>
    <s v="Contrato em Curso"/>
    <m/>
    <s v=""/>
    <x v="2"/>
    <m/>
    <s v="USD"/>
    <n v="120"/>
    <n v="120"/>
    <n v="120"/>
    <n v="120"/>
    <n v="120"/>
    <n v="120"/>
    <n v="120"/>
    <n v="120"/>
    <n v="120"/>
    <n v="120"/>
    <n v="120"/>
    <n v="120"/>
    <n v="1440"/>
    <m/>
    <n v="0.7056"/>
    <n v="0.7056"/>
    <n v="0.7056"/>
    <n v="0.7056"/>
    <n v="0.7056"/>
    <n v="0.7056"/>
    <n v="0.7056"/>
    <n v="0.7056"/>
    <n v="0.7056"/>
    <n v="0.7056"/>
    <n v="0.7056"/>
    <n v="0.7056"/>
    <n v="8.4672000000000018"/>
    <m/>
    <n v="0.7056"/>
    <n v="0.7056"/>
    <n v="0.7056"/>
    <n v="0.7056"/>
    <n v="0.7056"/>
    <n v="0.7056"/>
    <n v="0.7056"/>
    <n v="0.7056"/>
    <n v="0.7056"/>
    <n v="0.7056"/>
    <n v="0.7056"/>
    <n v="0.7056"/>
    <n v="8.4672000000000018"/>
    <m/>
    <n v="0.12000000000000001"/>
    <n v="0.12000000000000001"/>
    <n v="0.12000000000000001"/>
    <n v="0.12000000000000001"/>
    <n v="0.12000000000000001"/>
    <n v="0.12000000000000001"/>
    <n v="0.12000000000000001"/>
    <n v="0.12000000000000001"/>
    <n v="0.12000000000000001"/>
    <n v="0.12000000000000001"/>
    <n v="0.12000000000000001"/>
    <n v="0.12000000000000001"/>
    <n v="1.4400000000000004"/>
    <x v="1"/>
  </r>
  <r>
    <x v="0"/>
    <x v="0"/>
    <x v="8"/>
    <x v="18"/>
    <x v="2"/>
    <x v="78"/>
    <x v="0"/>
    <x v="83"/>
    <s v="Existente"/>
    <s v="Pontual"/>
    <s v="Contrato em Curso"/>
    <m/>
    <s v=""/>
    <x v="1"/>
    <m/>
    <s v="USD"/>
    <m/>
    <m/>
    <m/>
    <m/>
    <m/>
    <m/>
    <m/>
    <m/>
    <m/>
    <m/>
    <m/>
    <m/>
    <s v=""/>
    <m/>
    <s v=""/>
    <s v=""/>
    <s v=""/>
    <s v=""/>
    <s v=""/>
    <s v=""/>
    <s v=""/>
    <s v=""/>
    <s v=""/>
    <s v=""/>
    <s v=""/>
    <s v=""/>
    <s v=""/>
    <m/>
    <s v=""/>
    <s v=""/>
    <s v=""/>
    <s v=""/>
    <s v=""/>
    <s v=""/>
    <s v=""/>
    <s v=""/>
    <s v=""/>
    <s v=""/>
    <s v=""/>
    <s v=""/>
    <s v=""/>
    <m/>
    <s v=""/>
    <s v=""/>
    <s v=""/>
    <s v=""/>
    <s v=""/>
    <s v=""/>
    <s v=""/>
    <s v=""/>
    <s v=""/>
    <s v=""/>
    <s v=""/>
    <s v=""/>
    <s v=""/>
    <x v="1"/>
  </r>
  <r>
    <x v="0"/>
    <x v="0"/>
    <x v="8"/>
    <x v="18"/>
    <x v="2"/>
    <x v="77"/>
    <x v="0"/>
    <x v="84"/>
    <s v="Existente"/>
    <s v="Anual"/>
    <s v="Contrato em Curso"/>
    <m/>
    <s v=""/>
    <x v="3"/>
    <m/>
    <s v="USD"/>
    <n v="1200"/>
    <n v="1200"/>
    <n v="1200"/>
    <n v="1200"/>
    <n v="1200"/>
    <n v="1200"/>
    <n v="1200"/>
    <n v="1200"/>
    <n v="1200"/>
    <n v="1200"/>
    <n v="1200"/>
    <n v="1200"/>
    <n v="14400"/>
    <m/>
    <n v="7.056"/>
    <n v="7.056"/>
    <n v="7.056"/>
    <n v="7.056"/>
    <n v="7.056"/>
    <n v="7.056"/>
    <n v="7.056"/>
    <n v="7.056"/>
    <n v="7.056"/>
    <n v="7.056"/>
    <n v="7.056"/>
    <n v="7.056"/>
    <n v="84.671999999999983"/>
    <m/>
    <n v="7.056"/>
    <n v="7.056"/>
    <n v="7.056"/>
    <n v="7.056"/>
    <n v="7.056"/>
    <n v="7.056"/>
    <n v="7.056"/>
    <n v="7.056"/>
    <n v="7.056"/>
    <n v="7.056"/>
    <n v="7.056"/>
    <n v="7.056"/>
    <n v="84.671999999999983"/>
    <m/>
    <n v="1.2"/>
    <n v="1.2"/>
    <n v="1.2"/>
    <n v="1.2"/>
    <n v="1.2"/>
    <n v="1.2"/>
    <n v="1.2"/>
    <n v="1.2"/>
    <n v="1.2"/>
    <n v="1.2"/>
    <n v="1.2"/>
    <n v="1.2"/>
    <n v="14.399999999999997"/>
    <x v="1"/>
  </r>
  <r>
    <x v="0"/>
    <x v="0"/>
    <x v="8"/>
    <x v="18"/>
    <x v="2"/>
    <x v="77"/>
    <x v="0"/>
    <x v="85"/>
    <s v="Novo"/>
    <s v="Anual"/>
    <s v="Alta - Para a operação"/>
    <m/>
    <s v=""/>
    <x v="3"/>
    <m/>
    <s v="USD"/>
    <m/>
    <m/>
    <m/>
    <m/>
    <m/>
    <m/>
    <m/>
    <m/>
    <m/>
    <m/>
    <m/>
    <n v="27600"/>
    <n v="27600"/>
    <m/>
    <s v=""/>
    <s v=""/>
    <s v=""/>
    <s v=""/>
    <s v=""/>
    <s v=""/>
    <s v=""/>
    <s v=""/>
    <s v=""/>
    <s v=""/>
    <s v=""/>
    <n v="162.28800000000001"/>
    <n v="162.28800000000001"/>
    <m/>
    <s v=""/>
    <s v=""/>
    <s v=""/>
    <s v=""/>
    <s v=""/>
    <s v=""/>
    <s v=""/>
    <s v=""/>
    <s v=""/>
    <s v=""/>
    <s v=""/>
    <n v="162.28800000000001"/>
    <n v="162.28800000000001"/>
    <m/>
    <s v=""/>
    <s v=""/>
    <s v=""/>
    <s v=""/>
    <s v=""/>
    <s v=""/>
    <s v=""/>
    <s v=""/>
    <s v=""/>
    <s v=""/>
    <s v=""/>
    <n v="27.6"/>
    <n v="27.6"/>
    <x v="1"/>
  </r>
  <r>
    <x v="0"/>
    <x v="0"/>
    <x v="9"/>
    <x v="19"/>
    <x v="2"/>
    <x v="77"/>
    <x v="0"/>
    <x v="86"/>
    <s v="Existente"/>
    <s v="Anual"/>
    <s v="Contrato em Curso"/>
    <m/>
    <s v=""/>
    <x v="3"/>
    <m/>
    <s v="USD"/>
    <m/>
    <m/>
    <m/>
    <m/>
    <m/>
    <m/>
    <m/>
    <m/>
    <m/>
    <m/>
    <m/>
    <n v="12000"/>
    <n v="12000"/>
    <m/>
    <s v=""/>
    <s v=""/>
    <s v=""/>
    <s v=""/>
    <s v=""/>
    <s v=""/>
    <s v=""/>
    <s v=""/>
    <s v=""/>
    <s v=""/>
    <s v=""/>
    <n v="70.56"/>
    <n v="70.56"/>
    <m/>
    <s v=""/>
    <s v=""/>
    <s v=""/>
    <s v=""/>
    <s v=""/>
    <s v=""/>
    <s v=""/>
    <s v=""/>
    <s v=""/>
    <s v=""/>
    <s v=""/>
    <n v="70.56"/>
    <n v="70.56"/>
    <m/>
    <s v=""/>
    <s v=""/>
    <s v=""/>
    <s v=""/>
    <s v=""/>
    <s v=""/>
    <s v=""/>
    <s v=""/>
    <s v=""/>
    <s v=""/>
    <s v=""/>
    <n v="12"/>
    <n v="12"/>
    <x v="1"/>
  </r>
  <r>
    <x v="0"/>
    <x v="0"/>
    <x v="8"/>
    <x v="18"/>
    <x v="2"/>
    <x v="79"/>
    <x v="0"/>
    <x v="87"/>
    <s v="Existente"/>
    <s v="Mensal"/>
    <s v="Contrato em Curso"/>
    <m/>
    <s v=""/>
    <x v="2"/>
    <m/>
    <s v="USD"/>
    <n v="659.2"/>
    <n v="659.2"/>
    <n v="659.2"/>
    <n v="659.2"/>
    <n v="659.2"/>
    <n v="659.2"/>
    <n v="659.2"/>
    <n v="659.2"/>
    <n v="659.2"/>
    <n v="659.2"/>
    <n v="659.2"/>
    <n v="659.2"/>
    <n v="7910.3999999999987"/>
    <m/>
    <n v="3.876096"/>
    <n v="3.876096"/>
    <n v="3.876096"/>
    <n v="3.876096"/>
    <n v="3.876096"/>
    <n v="3.876096"/>
    <n v="3.876096"/>
    <n v="3.876096"/>
    <n v="3.876096"/>
    <n v="3.876096"/>
    <n v="3.876096"/>
    <n v="3.876096"/>
    <n v="46.513151999999991"/>
    <m/>
    <n v="3.876096"/>
    <n v="3.876096"/>
    <n v="3.876096"/>
    <n v="3.876096"/>
    <n v="3.876096"/>
    <n v="3.876096"/>
    <n v="3.876096"/>
    <n v="3.876096"/>
    <n v="3.876096"/>
    <n v="3.876096"/>
    <n v="3.876096"/>
    <n v="3.876096"/>
    <n v="46.513151999999991"/>
    <m/>
    <n v="0.65920000000000001"/>
    <n v="0.65920000000000001"/>
    <n v="0.65920000000000001"/>
    <n v="0.65920000000000001"/>
    <n v="0.65920000000000001"/>
    <n v="0.65920000000000001"/>
    <n v="0.65920000000000001"/>
    <n v="0.65920000000000001"/>
    <n v="0.65920000000000001"/>
    <n v="0.65920000000000001"/>
    <n v="0.65920000000000001"/>
    <n v="0.65920000000000001"/>
    <n v="7.9104000000000019"/>
    <x v="1"/>
  </r>
  <r>
    <x v="0"/>
    <x v="0"/>
    <x v="8"/>
    <x v="18"/>
    <x v="2"/>
    <x v="79"/>
    <x v="0"/>
    <x v="88"/>
    <s v="Existente"/>
    <s v="Anual"/>
    <s v="Contrato em Curso"/>
    <m/>
    <s v=""/>
    <x v="0"/>
    <m/>
    <s v="USD"/>
    <n v="682.99999999999989"/>
    <n v="682.99999999999989"/>
    <n v="682.99999999999989"/>
    <n v="682.99999999999989"/>
    <n v="682.99999999999989"/>
    <n v="682.99999999999989"/>
    <n v="859.8"/>
    <n v="859.8"/>
    <n v="859.8"/>
    <n v="859.8"/>
    <n v="859.8"/>
    <n v="859.8"/>
    <n v="9256.7999999999993"/>
    <m/>
    <n v="4.0160399999999994"/>
    <n v="4.0160399999999994"/>
    <n v="4.0160399999999994"/>
    <n v="4.0160399999999994"/>
    <n v="4.0160399999999994"/>
    <n v="4.0160399999999994"/>
    <n v="5.0556239999999999"/>
    <n v="5.0556239999999999"/>
    <n v="5.0556239999999999"/>
    <n v="5.0556239999999999"/>
    <n v="5.0556239999999999"/>
    <n v="5.0556239999999999"/>
    <n v="54.429984000000005"/>
    <m/>
    <n v="4.0160399999999994"/>
    <n v="4.0160399999999994"/>
    <n v="4.0160399999999994"/>
    <n v="4.0160399999999994"/>
    <n v="4.0160399999999994"/>
    <n v="4.0160399999999994"/>
    <n v="5.0556239999999999"/>
    <n v="5.0556239999999999"/>
    <n v="5.0556239999999999"/>
    <n v="5.0556239999999999"/>
    <n v="5.0556239999999999"/>
    <n v="5.0556239999999999"/>
    <n v="54.429984000000005"/>
    <m/>
    <n v="0.68299999999999994"/>
    <n v="0.68299999999999994"/>
    <n v="0.68299999999999994"/>
    <n v="0.68299999999999994"/>
    <n v="0.68299999999999994"/>
    <n v="0.68299999999999994"/>
    <n v="0.85980000000000001"/>
    <n v="0.85980000000000001"/>
    <n v="0.85980000000000001"/>
    <n v="0.85980000000000001"/>
    <n v="0.85980000000000001"/>
    <n v="0.85980000000000001"/>
    <n v="9.2568000000000001"/>
    <x v="1"/>
  </r>
  <r>
    <x v="0"/>
    <x v="0"/>
    <x v="9"/>
    <x v="19"/>
    <x v="2"/>
    <x v="79"/>
    <x v="0"/>
    <x v="87"/>
    <s v="Existente"/>
    <s v="Mensal"/>
    <s v="Contrato em Curso"/>
    <m/>
    <s v=""/>
    <x v="2"/>
    <m/>
    <s v="USD"/>
    <n v="109.86666666666667"/>
    <n v="109.86666666666667"/>
    <n v="109.86666666666667"/>
    <n v="109.86666666666667"/>
    <n v="109.86666666666667"/>
    <n v="109.86666666666667"/>
    <n v="109.86666666666667"/>
    <n v="109.86666666666667"/>
    <n v="109.86666666666667"/>
    <n v="109.86666666666667"/>
    <n v="109.86666666666667"/>
    <n v="109.86666666666667"/>
    <n v="1318.4"/>
    <m/>
    <n v="0.64601600000000003"/>
    <n v="0.64601600000000003"/>
    <n v="0.64601600000000003"/>
    <n v="0.64601600000000003"/>
    <n v="0.64601600000000003"/>
    <n v="0.64601600000000003"/>
    <n v="0.64601600000000003"/>
    <n v="0.64601600000000003"/>
    <n v="0.64601600000000003"/>
    <n v="0.64601600000000003"/>
    <n v="0.64601600000000003"/>
    <n v="0.64601600000000003"/>
    <n v="7.7521920000000017"/>
    <m/>
    <n v="0.64601600000000003"/>
    <n v="0.64601600000000003"/>
    <n v="0.64601600000000003"/>
    <n v="0.64601600000000003"/>
    <n v="0.64601600000000003"/>
    <n v="0.64601600000000003"/>
    <n v="0.64601600000000003"/>
    <n v="0.64601600000000003"/>
    <n v="0.64601600000000003"/>
    <n v="0.64601600000000003"/>
    <n v="0.64601600000000003"/>
    <n v="0.64601600000000003"/>
    <n v="7.7521920000000017"/>
    <m/>
    <n v="0.10986666666666667"/>
    <n v="0.10986666666666667"/>
    <n v="0.10986666666666667"/>
    <n v="0.10986666666666667"/>
    <n v="0.10986666666666667"/>
    <n v="0.10986666666666667"/>
    <n v="0.10986666666666667"/>
    <n v="0.10986666666666667"/>
    <n v="0.10986666666666667"/>
    <n v="0.10986666666666667"/>
    <n v="0.10986666666666667"/>
    <n v="0.10986666666666667"/>
    <n v="1.3184"/>
    <x v="1"/>
  </r>
  <r>
    <x v="0"/>
    <x v="0"/>
    <x v="9"/>
    <x v="19"/>
    <x v="2"/>
    <x v="79"/>
    <x v="0"/>
    <x v="88"/>
    <s v="Existente"/>
    <s v="Anual"/>
    <s v="Contrato em Curso"/>
    <m/>
    <s v=""/>
    <x v="0"/>
    <m/>
    <s v="USD"/>
    <n v="113.83333333333333"/>
    <n v="113.83333333333333"/>
    <n v="113.83333333333333"/>
    <n v="113.83333333333333"/>
    <n v="113.83333333333333"/>
    <n v="113.83333333333333"/>
    <n v="143.30000000000001"/>
    <n v="143.30000000000001"/>
    <n v="143.30000000000001"/>
    <n v="143.30000000000001"/>
    <n v="143.30000000000001"/>
    <n v="143.30000000000001"/>
    <n v="1542.7999999999997"/>
    <m/>
    <n v="0.66933999999999994"/>
    <n v="0.66933999999999994"/>
    <n v="0.66933999999999994"/>
    <n v="0.66933999999999994"/>
    <n v="0.66933999999999994"/>
    <n v="0.66933999999999994"/>
    <n v="0.84260400000000002"/>
    <n v="0.84260400000000002"/>
    <n v="0.84260400000000002"/>
    <n v="0.84260400000000002"/>
    <n v="0.84260400000000002"/>
    <n v="0.84260400000000002"/>
    <n v="9.0716639999999984"/>
    <m/>
    <n v="0.66933999999999994"/>
    <n v="0.66933999999999994"/>
    <n v="0.66933999999999994"/>
    <n v="0.66933999999999994"/>
    <n v="0.66933999999999994"/>
    <n v="0.66933999999999994"/>
    <n v="0.84260400000000002"/>
    <n v="0.84260400000000002"/>
    <n v="0.84260400000000002"/>
    <n v="0.84260400000000002"/>
    <n v="0.84260400000000002"/>
    <n v="0.84260400000000002"/>
    <n v="9.0716639999999984"/>
    <m/>
    <n v="0.11383333333333333"/>
    <n v="0.11383333333333333"/>
    <n v="0.11383333333333333"/>
    <n v="0.11383333333333333"/>
    <n v="0.11383333333333333"/>
    <n v="0.11383333333333333"/>
    <n v="0.14330000000000001"/>
    <n v="0.14330000000000001"/>
    <n v="0.14330000000000001"/>
    <n v="0.14330000000000001"/>
    <n v="0.14330000000000001"/>
    <n v="0.14330000000000001"/>
    <n v="1.5427999999999999"/>
    <x v="1"/>
  </r>
  <r>
    <x v="0"/>
    <x v="0"/>
    <x v="8"/>
    <x v="20"/>
    <x v="2"/>
    <x v="79"/>
    <x v="0"/>
    <x v="87"/>
    <s v="Existente"/>
    <s v="Mensal"/>
    <s v="Contrato em Curso"/>
    <m/>
    <s v=""/>
    <x v="2"/>
    <m/>
    <s v="USD"/>
    <n v="329.6"/>
    <n v="329.6"/>
    <n v="329.6"/>
    <n v="329.6"/>
    <n v="329.6"/>
    <n v="329.6"/>
    <n v="329.6"/>
    <n v="329.6"/>
    <n v="329.6"/>
    <n v="329.6"/>
    <n v="329.6"/>
    <n v="329.6"/>
    <n v="3955.1999999999994"/>
    <m/>
    <n v="1.938048"/>
    <n v="1.938048"/>
    <n v="1.938048"/>
    <n v="1.938048"/>
    <n v="1.938048"/>
    <n v="1.938048"/>
    <n v="1.938048"/>
    <n v="1.938048"/>
    <n v="1.938048"/>
    <n v="1.938048"/>
    <n v="1.938048"/>
    <n v="1.938048"/>
    <n v="23.256575999999995"/>
    <m/>
    <n v="1.938048"/>
    <n v="1.938048"/>
    <n v="1.938048"/>
    <n v="1.938048"/>
    <n v="1.938048"/>
    <n v="1.938048"/>
    <n v="1.938048"/>
    <n v="1.938048"/>
    <n v="1.938048"/>
    <n v="1.938048"/>
    <n v="1.938048"/>
    <n v="1.938048"/>
    <n v="23.256575999999995"/>
    <m/>
    <n v="0.3296"/>
    <n v="0.3296"/>
    <n v="0.3296"/>
    <n v="0.3296"/>
    <n v="0.3296"/>
    <n v="0.3296"/>
    <n v="0.3296"/>
    <n v="0.3296"/>
    <n v="0.3296"/>
    <n v="0.3296"/>
    <n v="0.3296"/>
    <n v="0.3296"/>
    <n v="3.9552000000000009"/>
    <x v="1"/>
  </r>
  <r>
    <x v="0"/>
    <x v="0"/>
    <x v="8"/>
    <x v="20"/>
    <x v="2"/>
    <x v="79"/>
    <x v="0"/>
    <x v="88"/>
    <s v="Existente"/>
    <s v="Anual"/>
    <s v="Contrato em Curso"/>
    <m/>
    <s v=""/>
    <x v="0"/>
    <m/>
    <s v="USD"/>
    <n v="341.49999999999994"/>
    <n v="341.49999999999994"/>
    <n v="341.49999999999994"/>
    <n v="341.49999999999994"/>
    <n v="341.49999999999994"/>
    <n v="341.49999999999994"/>
    <n v="429.9"/>
    <n v="429.9"/>
    <n v="429.9"/>
    <n v="429.9"/>
    <n v="429.9"/>
    <n v="429.9"/>
    <n v="4628.3999999999996"/>
    <m/>
    <n v="2.0080199999999997"/>
    <n v="2.0080199999999997"/>
    <n v="2.0080199999999997"/>
    <n v="2.0080199999999997"/>
    <n v="2.0080199999999997"/>
    <n v="2.0080199999999997"/>
    <n v="2.5278119999999999"/>
    <n v="2.5278119999999999"/>
    <n v="2.5278119999999999"/>
    <n v="2.5278119999999999"/>
    <n v="2.5278119999999999"/>
    <n v="2.5278119999999999"/>
    <n v="27.214992000000002"/>
    <m/>
    <n v="2.0080199999999997"/>
    <n v="2.0080199999999997"/>
    <n v="2.0080199999999997"/>
    <n v="2.0080199999999997"/>
    <n v="2.0080199999999997"/>
    <n v="2.0080199999999997"/>
    <n v="2.5278119999999999"/>
    <n v="2.5278119999999999"/>
    <n v="2.5278119999999999"/>
    <n v="2.5278119999999999"/>
    <n v="2.5278119999999999"/>
    <n v="2.5278119999999999"/>
    <n v="27.214992000000002"/>
    <m/>
    <n v="0.34149999999999997"/>
    <n v="0.34149999999999997"/>
    <n v="0.34149999999999997"/>
    <n v="0.34149999999999997"/>
    <n v="0.34149999999999997"/>
    <n v="0.34149999999999997"/>
    <n v="0.4299"/>
    <n v="0.4299"/>
    <n v="0.4299"/>
    <n v="0.4299"/>
    <n v="0.4299"/>
    <n v="0.4299"/>
    <n v="4.6284000000000001"/>
    <x v="1"/>
  </r>
  <r>
    <x v="0"/>
    <x v="0"/>
    <x v="8"/>
    <x v="18"/>
    <x v="2"/>
    <x v="80"/>
    <x v="0"/>
    <x v="89"/>
    <s v="Existente"/>
    <s v="Anual"/>
    <s v="Contrato em Curso"/>
    <m/>
    <s v=""/>
    <x v="4"/>
    <m/>
    <s v="USD"/>
    <m/>
    <n v="5000"/>
    <m/>
    <m/>
    <m/>
    <m/>
    <m/>
    <m/>
    <m/>
    <m/>
    <m/>
    <m/>
    <n v="5000"/>
    <m/>
    <s v=""/>
    <n v="29.4"/>
    <s v=""/>
    <s v=""/>
    <s v=""/>
    <s v=""/>
    <s v=""/>
    <s v=""/>
    <s v=""/>
    <s v=""/>
    <s v=""/>
    <s v=""/>
    <n v="29.4"/>
    <m/>
    <s v=""/>
    <n v="29.4"/>
    <s v=""/>
    <s v=""/>
    <s v=""/>
    <s v=""/>
    <s v=""/>
    <s v=""/>
    <s v=""/>
    <s v=""/>
    <s v=""/>
    <s v=""/>
    <n v="29.4"/>
    <m/>
    <s v=""/>
    <n v="5"/>
    <s v=""/>
    <s v=""/>
    <s v=""/>
    <s v=""/>
    <s v=""/>
    <s v=""/>
    <s v=""/>
    <s v=""/>
    <s v=""/>
    <s v=""/>
    <n v="5"/>
    <x v="1"/>
  </r>
  <r>
    <x v="0"/>
    <x v="0"/>
    <x v="8"/>
    <x v="18"/>
    <x v="2"/>
    <x v="81"/>
    <x v="4"/>
    <x v="90"/>
    <s v="Existente"/>
    <s v="Mensal"/>
    <s v="Contrato em Curso"/>
    <m/>
    <s v=""/>
    <x v="6"/>
    <m/>
    <s v="USD"/>
    <n v="937.81752754820934"/>
    <n v="937.81752754820934"/>
    <n v="937.81752754820934"/>
    <n v="937.81752754820934"/>
    <n v="937.81752754820934"/>
    <n v="937.81752754820934"/>
    <n v="937.81752754820934"/>
    <n v="937.81752754820934"/>
    <n v="937.81752754820934"/>
    <n v="937.81752754820934"/>
    <n v="937.81752754820934"/>
    <n v="937.81752754820934"/>
    <n v="11253.810330578513"/>
    <m/>
    <n v="5.5143670619834708"/>
    <n v="5.5143670619834708"/>
    <n v="5.5143670619834708"/>
    <n v="5.5143670619834708"/>
    <n v="5.5143670619834708"/>
    <n v="5.5143670619834708"/>
    <n v="5.5143670619834708"/>
    <n v="5.5143670619834708"/>
    <n v="5.5143670619834708"/>
    <n v="5.5143670619834708"/>
    <n v="5.5143670619834708"/>
    <n v="5.5143670619834708"/>
    <n v="66.17240474380165"/>
    <m/>
    <n v="5.5143670619834708"/>
    <n v="5.5143670619834708"/>
    <n v="5.5143670619834708"/>
    <n v="5.5143670619834708"/>
    <n v="5.5143670619834708"/>
    <n v="5.5143670619834708"/>
    <n v="5.5143670619834708"/>
    <n v="5.5143670619834708"/>
    <n v="5.5143670619834708"/>
    <n v="5.5143670619834708"/>
    <n v="5.5143670619834708"/>
    <n v="5.5143670619834708"/>
    <n v="66.17240474380165"/>
    <m/>
    <n v="0.93781752754820935"/>
    <n v="0.93781752754820935"/>
    <n v="0.93781752754820935"/>
    <n v="0.93781752754820935"/>
    <n v="0.93781752754820935"/>
    <n v="0.93781752754820935"/>
    <n v="0.93781752754820935"/>
    <n v="0.93781752754820935"/>
    <n v="0.93781752754820935"/>
    <n v="0.93781752754820935"/>
    <n v="0.93781752754820935"/>
    <n v="0.93781752754820935"/>
    <n v="11.25381033057851"/>
    <x v="1"/>
  </r>
  <r>
    <x v="0"/>
    <x v="0"/>
    <x v="8"/>
    <x v="18"/>
    <x v="2"/>
    <x v="82"/>
    <x v="4"/>
    <x v="91"/>
    <s v="Existente"/>
    <s v="Mensal"/>
    <s v="Contrato em Curso"/>
    <m/>
    <s v=""/>
    <x v="6"/>
    <m/>
    <s v="USD"/>
    <n v="1494.4903581267217"/>
    <n v="1494.4903581267217"/>
    <n v="1494.4903581267217"/>
    <n v="1494.4903581267217"/>
    <n v="1494.4903581267217"/>
    <n v="1494.4903581267217"/>
    <n v="1494.4903581267217"/>
    <n v="1494.4903581267217"/>
    <n v="1494.4903581267217"/>
    <n v="1494.4903581267217"/>
    <n v="1494.4903581267217"/>
    <n v="1494.4903581267217"/>
    <n v="17933.884297520657"/>
    <m/>
    <n v="8.7876033057851242"/>
    <n v="8.7876033057851242"/>
    <n v="8.7876033057851242"/>
    <n v="8.7876033057851242"/>
    <n v="8.7876033057851242"/>
    <n v="8.7876033057851242"/>
    <n v="8.7876033057851242"/>
    <n v="8.7876033057851242"/>
    <n v="8.7876033057851242"/>
    <n v="8.7876033057851242"/>
    <n v="8.7876033057851242"/>
    <n v="8.7876033057851242"/>
    <n v="105.4512396694215"/>
    <m/>
    <n v="8.7876033057851242"/>
    <n v="8.7876033057851242"/>
    <n v="8.7876033057851242"/>
    <n v="8.7876033057851242"/>
    <n v="8.7876033057851242"/>
    <n v="8.7876033057851242"/>
    <n v="8.7876033057851242"/>
    <n v="8.7876033057851242"/>
    <n v="8.7876033057851242"/>
    <n v="8.7876033057851242"/>
    <n v="8.7876033057851242"/>
    <n v="8.7876033057851242"/>
    <n v="105.4512396694215"/>
    <m/>
    <n v="1.4944903581267219"/>
    <n v="1.4944903581267219"/>
    <n v="1.4944903581267219"/>
    <n v="1.4944903581267219"/>
    <n v="1.4944903581267219"/>
    <n v="1.4944903581267219"/>
    <n v="1.4944903581267219"/>
    <n v="1.4944903581267219"/>
    <n v="1.4944903581267219"/>
    <n v="1.4944903581267219"/>
    <n v="1.4944903581267219"/>
    <n v="1.4944903581267219"/>
    <n v="17.933884297520663"/>
    <x v="1"/>
  </r>
  <r>
    <x v="0"/>
    <x v="0"/>
    <x v="8"/>
    <x v="18"/>
    <x v="2"/>
    <x v="81"/>
    <x v="4"/>
    <x v="92"/>
    <s v="Existente"/>
    <s v="Mensal"/>
    <s v="Contrato em Curso"/>
    <m/>
    <s v=""/>
    <x v="6"/>
    <m/>
    <s v="USD"/>
    <n v="39.531680440771346"/>
    <n v="39.531680440771346"/>
    <n v="39.531680440771346"/>
    <n v="39.531680440771346"/>
    <n v="39.531680440771346"/>
    <n v="39.531680440771346"/>
    <n v="39.531680440771346"/>
    <n v="39.531680440771346"/>
    <n v="39.531680440771346"/>
    <n v="39.531680440771346"/>
    <n v="39.531680440771346"/>
    <n v="39.531680440771346"/>
    <n v="474.38016528925624"/>
    <m/>
    <n v="0.2324462809917355"/>
    <n v="0.2324462809917355"/>
    <n v="0.2324462809917355"/>
    <n v="0.2324462809917355"/>
    <n v="0.2324462809917355"/>
    <n v="0.2324462809917355"/>
    <n v="0.2324462809917355"/>
    <n v="0.2324462809917355"/>
    <n v="0.2324462809917355"/>
    <n v="0.2324462809917355"/>
    <n v="0.2324462809917355"/>
    <n v="0.2324462809917355"/>
    <n v="2.7893553719008266"/>
    <m/>
    <n v="0.2324462809917355"/>
    <n v="0.2324462809917355"/>
    <n v="0.2324462809917355"/>
    <n v="0.2324462809917355"/>
    <n v="0.2324462809917355"/>
    <n v="0.2324462809917355"/>
    <n v="0.2324462809917355"/>
    <n v="0.2324462809917355"/>
    <n v="0.2324462809917355"/>
    <n v="0.2324462809917355"/>
    <n v="0.2324462809917355"/>
    <n v="0.2324462809917355"/>
    <n v="2.7893553719008266"/>
    <m/>
    <n v="3.9531680440771343E-2"/>
    <n v="3.9531680440771343E-2"/>
    <n v="3.9531680440771343E-2"/>
    <n v="3.9531680440771343E-2"/>
    <n v="3.9531680440771343E-2"/>
    <n v="3.9531680440771343E-2"/>
    <n v="3.9531680440771343E-2"/>
    <n v="3.9531680440771343E-2"/>
    <n v="3.9531680440771343E-2"/>
    <n v="3.9531680440771343E-2"/>
    <n v="3.9531680440771343E-2"/>
    <n v="3.9531680440771343E-2"/>
    <n v="0.47438016528925603"/>
    <x v="1"/>
  </r>
  <r>
    <x v="0"/>
    <x v="0"/>
    <x v="8"/>
    <x v="18"/>
    <x v="2"/>
    <x v="83"/>
    <x v="4"/>
    <x v="93"/>
    <s v="Existente"/>
    <s v="Mensal"/>
    <s v="Contrato em Curso"/>
    <m/>
    <s v=""/>
    <x v="6"/>
    <m/>
    <s v="USD"/>
    <n v="389.53168044077131"/>
    <n v="389.53168044077131"/>
    <n v="389.53168044077131"/>
    <n v="389.53168044077131"/>
    <n v="389.53168044077131"/>
    <n v="389.53168044077131"/>
    <n v="389.53168044077131"/>
    <n v="389.53168044077131"/>
    <n v="389.53168044077131"/>
    <n v="389.53168044077131"/>
    <n v="389.53168044077131"/>
    <n v="389.53168044077131"/>
    <n v="4674.3801652892553"/>
    <m/>
    <n v="2.2904462809917354"/>
    <n v="2.2904462809917354"/>
    <n v="2.2904462809917354"/>
    <n v="2.2904462809917354"/>
    <n v="2.2904462809917354"/>
    <n v="2.2904462809917354"/>
    <n v="2.2904462809917354"/>
    <n v="2.2904462809917354"/>
    <n v="2.2904462809917354"/>
    <n v="2.2904462809917354"/>
    <n v="2.2904462809917354"/>
    <n v="2.2904462809917354"/>
    <n v="27.48535537190082"/>
    <m/>
    <n v="2.2904462809917354"/>
    <n v="2.2904462809917354"/>
    <n v="2.2904462809917354"/>
    <n v="2.2904462809917354"/>
    <n v="2.2904462809917354"/>
    <n v="2.2904462809917354"/>
    <n v="2.2904462809917354"/>
    <n v="2.2904462809917354"/>
    <n v="2.2904462809917354"/>
    <n v="2.2904462809917354"/>
    <n v="2.2904462809917354"/>
    <n v="2.2904462809917354"/>
    <n v="27.48535537190082"/>
    <m/>
    <n v="0.38953168044077136"/>
    <n v="0.38953168044077136"/>
    <n v="0.38953168044077136"/>
    <n v="0.38953168044077136"/>
    <n v="0.38953168044077136"/>
    <n v="0.38953168044077136"/>
    <n v="0.38953168044077136"/>
    <n v="0.38953168044077136"/>
    <n v="0.38953168044077136"/>
    <n v="0.38953168044077136"/>
    <n v="0.38953168044077136"/>
    <n v="0.38953168044077136"/>
    <n v="4.6743801652892554"/>
    <x v="1"/>
  </r>
  <r>
    <x v="0"/>
    <x v="0"/>
    <x v="8"/>
    <x v="18"/>
    <x v="2"/>
    <x v="84"/>
    <x v="4"/>
    <x v="94"/>
    <s v="Novo"/>
    <s v="Mensal"/>
    <s v="Média - Impacta a operação"/>
    <m/>
    <s v=""/>
    <x v="2"/>
    <m/>
    <s v="USD"/>
    <n v="350"/>
    <n v="350"/>
    <n v="350"/>
    <n v="350"/>
    <n v="350"/>
    <n v="350"/>
    <n v="350"/>
    <n v="350"/>
    <n v="350"/>
    <n v="350"/>
    <n v="350"/>
    <n v="350"/>
    <n v="4200"/>
    <m/>
    <n v="2.0579999999999998"/>
    <n v="2.0579999999999998"/>
    <n v="2.0579999999999998"/>
    <n v="2.0579999999999998"/>
    <n v="2.0579999999999998"/>
    <n v="2.0579999999999998"/>
    <n v="2.0579999999999998"/>
    <n v="2.0579999999999998"/>
    <n v="2.0579999999999998"/>
    <n v="2.0579999999999998"/>
    <n v="2.0579999999999998"/>
    <n v="2.0579999999999998"/>
    <n v="24.695999999999998"/>
    <m/>
    <n v="2.0579999999999998"/>
    <n v="2.0579999999999998"/>
    <n v="2.0579999999999998"/>
    <n v="2.0579999999999998"/>
    <n v="2.0579999999999998"/>
    <n v="2.0579999999999998"/>
    <n v="2.0579999999999998"/>
    <n v="2.0579999999999998"/>
    <n v="2.0579999999999998"/>
    <n v="2.0579999999999998"/>
    <n v="2.0579999999999998"/>
    <n v="2.0579999999999998"/>
    <n v="24.695999999999998"/>
    <m/>
    <n v="0.35"/>
    <n v="0.35"/>
    <n v="0.35"/>
    <n v="0.35"/>
    <n v="0.35"/>
    <n v="0.35"/>
    <n v="0.35"/>
    <n v="0.35"/>
    <n v="0.35"/>
    <n v="0.35"/>
    <n v="0.35"/>
    <n v="0.35"/>
    <n v="4.2"/>
    <x v="1"/>
  </r>
  <r>
    <x v="0"/>
    <x v="0"/>
    <x v="8"/>
    <x v="18"/>
    <x v="2"/>
    <x v="85"/>
    <x v="2"/>
    <x v="95"/>
    <s v="Existente"/>
    <s v="Mensal"/>
    <s v="Contrato em Curso"/>
    <m/>
    <s v=""/>
    <x v="2"/>
    <m/>
    <s v="USD"/>
    <n v="496"/>
    <n v="496"/>
    <n v="496"/>
    <n v="496"/>
    <n v="496"/>
    <n v="496"/>
    <n v="496"/>
    <n v="496"/>
    <n v="496"/>
    <n v="496"/>
    <n v="496"/>
    <n v="496"/>
    <n v="5952"/>
    <m/>
    <n v="2.91648"/>
    <n v="2.91648"/>
    <n v="2.91648"/>
    <n v="2.91648"/>
    <n v="2.91648"/>
    <n v="2.91648"/>
    <n v="2.91648"/>
    <n v="2.91648"/>
    <n v="2.91648"/>
    <n v="2.91648"/>
    <n v="2.91648"/>
    <n v="2.91648"/>
    <n v="34.99776"/>
    <m/>
    <n v="2.91648"/>
    <n v="2.91648"/>
    <n v="2.91648"/>
    <n v="2.91648"/>
    <n v="2.91648"/>
    <n v="2.91648"/>
    <n v="2.91648"/>
    <n v="2.91648"/>
    <n v="2.91648"/>
    <n v="2.91648"/>
    <n v="2.91648"/>
    <n v="2.91648"/>
    <n v="34.99776"/>
    <m/>
    <n v="0.496"/>
    <n v="0.496"/>
    <n v="0.496"/>
    <n v="0.496"/>
    <n v="0.496"/>
    <n v="0.496"/>
    <n v="0.496"/>
    <n v="0.496"/>
    <n v="0.496"/>
    <n v="0.496"/>
    <n v="0.496"/>
    <n v="0.496"/>
    <n v="5.9520000000000017"/>
    <x v="1"/>
  </r>
  <r>
    <x v="0"/>
    <x v="0"/>
    <x v="8"/>
    <x v="18"/>
    <x v="2"/>
    <x v="86"/>
    <x v="2"/>
    <x v="96"/>
    <s v="Existente"/>
    <s v="Pontual"/>
    <s v="Contrato em Curso"/>
    <m/>
    <s v=""/>
    <x v="2"/>
    <m/>
    <s v="USD"/>
    <n v="50"/>
    <n v="50"/>
    <n v="50"/>
    <n v="50"/>
    <n v="50"/>
    <n v="50"/>
    <n v="50"/>
    <n v="50"/>
    <n v="50"/>
    <n v="50"/>
    <n v="50"/>
    <n v="50"/>
    <n v="600"/>
    <m/>
    <n v="0.29399999999999998"/>
    <n v="0.29399999999999998"/>
    <n v="0.29399999999999998"/>
    <n v="0.29399999999999998"/>
    <n v="0.29399999999999998"/>
    <n v="0.29399999999999998"/>
    <n v="0.29399999999999998"/>
    <n v="0.29399999999999998"/>
    <n v="0.29399999999999998"/>
    <n v="0.29399999999999998"/>
    <n v="0.29399999999999998"/>
    <n v="0.29399999999999998"/>
    <n v="3.528"/>
    <m/>
    <n v="0.29399999999999998"/>
    <n v="0.29399999999999998"/>
    <n v="0.29399999999999998"/>
    <n v="0.29399999999999998"/>
    <n v="0.29399999999999998"/>
    <n v="0.29399999999999998"/>
    <n v="0.29399999999999998"/>
    <n v="0.29399999999999998"/>
    <n v="0.29399999999999998"/>
    <n v="0.29399999999999998"/>
    <n v="0.29399999999999998"/>
    <n v="0.29399999999999998"/>
    <n v="3.528"/>
    <m/>
    <n v="4.9999999999999996E-2"/>
    <n v="4.9999999999999996E-2"/>
    <n v="4.9999999999999996E-2"/>
    <n v="4.9999999999999996E-2"/>
    <n v="4.9999999999999996E-2"/>
    <n v="4.9999999999999996E-2"/>
    <n v="4.9999999999999996E-2"/>
    <n v="4.9999999999999996E-2"/>
    <n v="4.9999999999999996E-2"/>
    <n v="4.9999999999999996E-2"/>
    <n v="4.9999999999999996E-2"/>
    <n v="4.9999999999999996E-2"/>
    <n v="0.6"/>
    <x v="1"/>
  </r>
  <r>
    <x v="0"/>
    <x v="0"/>
    <x v="8"/>
    <x v="18"/>
    <x v="2"/>
    <x v="87"/>
    <x v="4"/>
    <x v="97"/>
    <s v="Existente"/>
    <s v="Mensal"/>
    <s v="Contrato em Curso"/>
    <m/>
    <s v=""/>
    <x v="7"/>
    <m/>
    <s v="USD"/>
    <n v="620"/>
    <n v="620"/>
    <n v="620"/>
    <n v="620"/>
    <n v="620"/>
    <n v="620"/>
    <n v="620"/>
    <n v="620"/>
    <n v="620"/>
    <n v="620"/>
    <n v="620"/>
    <n v="620"/>
    <n v="7440"/>
    <m/>
    <n v="3.6456"/>
    <n v="3.6456"/>
    <n v="3.6456"/>
    <n v="3.6456"/>
    <n v="3.6456"/>
    <n v="3.6456"/>
    <n v="3.6456"/>
    <n v="3.6456"/>
    <n v="3.6456"/>
    <n v="3.6456"/>
    <n v="3.6456"/>
    <n v="3.6456"/>
    <n v="43.747200000000014"/>
    <m/>
    <n v="3.6456"/>
    <n v="3.6456"/>
    <n v="3.6456"/>
    <n v="3.6456"/>
    <n v="3.6456"/>
    <n v="3.6456"/>
    <n v="3.6456"/>
    <n v="3.6456"/>
    <n v="3.6456"/>
    <n v="3.6456"/>
    <n v="3.6456"/>
    <n v="3.6456"/>
    <n v="43.747200000000014"/>
    <m/>
    <n v="0.62"/>
    <n v="0.62"/>
    <n v="0.62"/>
    <n v="0.62"/>
    <n v="0.62"/>
    <n v="0.62"/>
    <n v="0.62"/>
    <n v="0.62"/>
    <n v="0.62"/>
    <n v="0.62"/>
    <n v="0.62"/>
    <n v="0.62"/>
    <n v="7.44"/>
    <x v="1"/>
  </r>
  <r>
    <x v="0"/>
    <x v="0"/>
    <x v="9"/>
    <x v="19"/>
    <x v="2"/>
    <x v="88"/>
    <x v="0"/>
    <x v="98"/>
    <s v="Existente"/>
    <s v="Mensal"/>
    <s v="Contrato em Curso"/>
    <m/>
    <s v=""/>
    <x v="5"/>
    <m/>
    <s v="USD"/>
    <n v="74.77272727272728"/>
    <n v="74.77272727272728"/>
    <n v="74.77272727272728"/>
    <n v="74.77272727272728"/>
    <n v="74.77272727272728"/>
    <n v="74.77272727272728"/>
    <n v="74.77272727272728"/>
    <n v="74.77272727272728"/>
    <n v="74.77272727272728"/>
    <n v="74.77272727272728"/>
    <n v="74.77272727272728"/>
    <n v="74.77272727272728"/>
    <n v="897.27272727272714"/>
    <m/>
    <n v="0.43966363636363637"/>
    <n v="0.43966363636363637"/>
    <n v="0.43966363636363637"/>
    <n v="0.43966363636363637"/>
    <n v="0.43966363636363637"/>
    <n v="0.43966363636363637"/>
    <n v="0.43966363636363637"/>
    <n v="0.43966363636363637"/>
    <n v="0.43966363636363637"/>
    <n v="0.43966363636363637"/>
    <n v="0.43966363636363637"/>
    <n v="0.43966363636363637"/>
    <n v="5.2759636363636364"/>
    <m/>
    <n v="0.43966363636363637"/>
    <n v="0.43966363636363637"/>
    <n v="0.43966363636363637"/>
    <n v="0.43966363636363637"/>
    <n v="0.43966363636363637"/>
    <n v="0.43966363636363637"/>
    <n v="0.43966363636363637"/>
    <n v="0.43966363636363637"/>
    <n v="0.43966363636363637"/>
    <n v="0.43966363636363637"/>
    <n v="0.43966363636363637"/>
    <n v="0.43966363636363637"/>
    <n v="5.2759636363636364"/>
    <m/>
    <n v="7.4772727272727268E-2"/>
    <n v="7.4772727272727268E-2"/>
    <n v="7.4772727272727268E-2"/>
    <n v="7.4772727272727268E-2"/>
    <n v="7.4772727272727268E-2"/>
    <n v="7.4772727272727268E-2"/>
    <n v="7.4772727272727268E-2"/>
    <n v="7.4772727272727268E-2"/>
    <n v="7.4772727272727268E-2"/>
    <n v="7.4772727272727268E-2"/>
    <n v="7.4772727272727268E-2"/>
    <n v="7.4772727272727268E-2"/>
    <n v="0.897272727272727"/>
    <x v="1"/>
  </r>
  <r>
    <x v="0"/>
    <x v="0"/>
    <x v="8"/>
    <x v="18"/>
    <x v="2"/>
    <x v="89"/>
    <x v="0"/>
    <x v="99"/>
    <s v="Existente"/>
    <s v="Mensal"/>
    <s v="Contrato em Curso"/>
    <m/>
    <s v=""/>
    <x v="5"/>
    <m/>
    <s v="USD"/>
    <n v="372.63429752066116"/>
    <n v="372.63429752066116"/>
    <n v="372.63429752066116"/>
    <n v="372.63429752066116"/>
    <n v="372.63429752066116"/>
    <n v="372.63429752066116"/>
    <n v="372.63429752066116"/>
    <n v="372.63429752066116"/>
    <n v="372.63429752066116"/>
    <n v="372.63429752066116"/>
    <n v="372.63429752066116"/>
    <n v="372.63429752066116"/>
    <n v="4471.6115702479337"/>
    <m/>
    <n v="2.1910896694214874"/>
    <n v="2.1910896694214874"/>
    <n v="2.1910896694214874"/>
    <n v="2.1910896694214874"/>
    <n v="2.1910896694214874"/>
    <n v="2.1910896694214874"/>
    <n v="2.1910896694214874"/>
    <n v="2.1910896694214874"/>
    <n v="2.1910896694214874"/>
    <n v="2.1910896694214874"/>
    <n v="2.1910896694214874"/>
    <n v="2.1910896694214874"/>
    <n v="26.293076033057847"/>
    <m/>
    <n v="2.1910896694214874"/>
    <n v="2.1910896694214874"/>
    <n v="2.1910896694214874"/>
    <n v="2.1910896694214874"/>
    <n v="2.1910896694214874"/>
    <n v="2.1910896694214874"/>
    <n v="2.1910896694214874"/>
    <n v="2.1910896694214874"/>
    <n v="2.1910896694214874"/>
    <n v="2.1910896694214874"/>
    <n v="2.1910896694214874"/>
    <n v="2.1910896694214874"/>
    <n v="26.293076033057847"/>
    <m/>
    <n v="0.37263429752066113"/>
    <n v="0.37263429752066113"/>
    <n v="0.37263429752066113"/>
    <n v="0.37263429752066113"/>
    <n v="0.37263429752066113"/>
    <n v="0.37263429752066113"/>
    <n v="0.37263429752066113"/>
    <n v="0.37263429752066113"/>
    <n v="0.37263429752066113"/>
    <n v="0.37263429752066113"/>
    <n v="0.37263429752066113"/>
    <n v="0.37263429752066113"/>
    <n v="4.4716115702479335"/>
    <x v="1"/>
  </r>
  <r>
    <x v="0"/>
    <x v="0"/>
    <x v="8"/>
    <x v="18"/>
    <x v="2"/>
    <x v="89"/>
    <x v="0"/>
    <x v="100"/>
    <s v="Existente"/>
    <s v="Mensal"/>
    <s v="Contrato em Curso"/>
    <m/>
    <s v=""/>
    <x v="5"/>
    <m/>
    <s v="USD"/>
    <n v="25"/>
    <n v="25"/>
    <n v="25"/>
    <n v="25"/>
    <n v="25"/>
    <n v="25"/>
    <n v="25"/>
    <n v="25"/>
    <n v="25"/>
    <n v="25"/>
    <n v="25"/>
    <n v="25"/>
    <n v="300"/>
    <m/>
    <n v="0.14699999999999999"/>
    <n v="0.14699999999999999"/>
    <n v="0.14699999999999999"/>
    <n v="0.14699999999999999"/>
    <n v="0.14699999999999999"/>
    <n v="0.14699999999999999"/>
    <n v="0.14699999999999999"/>
    <n v="0.14699999999999999"/>
    <n v="0.14699999999999999"/>
    <n v="0.14699999999999999"/>
    <n v="0.14699999999999999"/>
    <n v="0.14699999999999999"/>
    <n v="1.764"/>
    <m/>
    <n v="0.14699999999999999"/>
    <n v="0.14699999999999999"/>
    <n v="0.14699999999999999"/>
    <n v="0.14699999999999999"/>
    <n v="0.14699999999999999"/>
    <n v="0.14699999999999999"/>
    <n v="0.14699999999999999"/>
    <n v="0.14699999999999999"/>
    <n v="0.14699999999999999"/>
    <n v="0.14699999999999999"/>
    <n v="0.14699999999999999"/>
    <n v="0.14699999999999999"/>
    <n v="1.764"/>
    <m/>
    <n v="2.4999999999999998E-2"/>
    <n v="2.4999999999999998E-2"/>
    <n v="2.4999999999999998E-2"/>
    <n v="2.4999999999999998E-2"/>
    <n v="2.4999999999999998E-2"/>
    <n v="2.4999999999999998E-2"/>
    <n v="2.4999999999999998E-2"/>
    <n v="2.4999999999999998E-2"/>
    <n v="2.4999999999999998E-2"/>
    <n v="2.4999999999999998E-2"/>
    <n v="2.4999999999999998E-2"/>
    <n v="2.4999999999999998E-2"/>
    <n v="0.3"/>
    <x v="1"/>
  </r>
  <r>
    <x v="0"/>
    <x v="0"/>
    <x v="8"/>
    <x v="18"/>
    <x v="2"/>
    <x v="89"/>
    <x v="0"/>
    <x v="101"/>
    <s v="Existente"/>
    <s v="Mensal"/>
    <s v="Contrato em Curso"/>
    <m/>
    <s v=""/>
    <x v="5"/>
    <m/>
    <s v="USD"/>
    <n v="75"/>
    <n v="75"/>
    <n v="75"/>
    <n v="75"/>
    <n v="75"/>
    <n v="75"/>
    <n v="75"/>
    <n v="75"/>
    <n v="75"/>
    <n v="75"/>
    <n v="75"/>
    <n v="75"/>
    <n v="900"/>
    <m/>
    <n v="0.441"/>
    <n v="0.441"/>
    <n v="0.441"/>
    <n v="0.441"/>
    <n v="0.441"/>
    <n v="0.441"/>
    <n v="0.441"/>
    <n v="0.441"/>
    <n v="0.441"/>
    <n v="0.441"/>
    <n v="0.441"/>
    <n v="0.441"/>
    <n v="5.2919999999999989"/>
    <m/>
    <n v="0.441"/>
    <n v="0.441"/>
    <n v="0.441"/>
    <n v="0.441"/>
    <n v="0.441"/>
    <n v="0.441"/>
    <n v="0.441"/>
    <n v="0.441"/>
    <n v="0.441"/>
    <n v="0.441"/>
    <n v="0.441"/>
    <n v="0.441"/>
    <n v="5.2919999999999989"/>
    <m/>
    <n v="7.4999999999999997E-2"/>
    <n v="7.4999999999999997E-2"/>
    <n v="7.4999999999999997E-2"/>
    <n v="7.4999999999999997E-2"/>
    <n v="7.4999999999999997E-2"/>
    <n v="7.4999999999999997E-2"/>
    <n v="7.4999999999999997E-2"/>
    <n v="7.4999999999999997E-2"/>
    <n v="7.4999999999999997E-2"/>
    <n v="7.4999999999999997E-2"/>
    <n v="7.4999999999999997E-2"/>
    <n v="7.4999999999999997E-2"/>
    <n v="0.8999999999999998"/>
    <x v="1"/>
  </r>
  <r>
    <x v="0"/>
    <x v="0"/>
    <x v="8"/>
    <x v="18"/>
    <x v="2"/>
    <x v="90"/>
    <x v="2"/>
    <x v="102"/>
    <s v="Existente"/>
    <s v="Mensal"/>
    <s v="Contrato em Curso"/>
    <m/>
    <s v=""/>
    <x v="5"/>
    <m/>
    <s v="USD"/>
    <n v="180"/>
    <n v="180"/>
    <n v="180"/>
    <n v="180"/>
    <n v="180"/>
    <n v="180"/>
    <n v="180"/>
    <n v="180"/>
    <n v="180"/>
    <n v="180"/>
    <n v="180"/>
    <n v="180"/>
    <n v="2160"/>
    <m/>
    <n v="1.0584"/>
    <n v="1.0584"/>
    <n v="1.0584"/>
    <n v="1.0584"/>
    <n v="1.0584"/>
    <n v="1.0584"/>
    <n v="1.0584"/>
    <n v="1.0584"/>
    <n v="1.0584"/>
    <n v="1.0584"/>
    <n v="1.0584"/>
    <n v="1.0584"/>
    <n v="12.700800000000003"/>
    <m/>
    <n v="1.0584"/>
    <n v="1.0584"/>
    <n v="1.0584"/>
    <n v="1.0584"/>
    <n v="1.0584"/>
    <n v="1.0584"/>
    <n v="1.0584"/>
    <n v="1.0584"/>
    <n v="1.0584"/>
    <n v="1.0584"/>
    <n v="1.0584"/>
    <n v="1.0584"/>
    <n v="12.700800000000003"/>
    <m/>
    <n v="0.18"/>
    <n v="0.18"/>
    <n v="0.18"/>
    <n v="0.18"/>
    <n v="0.18"/>
    <n v="0.18"/>
    <n v="0.18"/>
    <n v="0.18"/>
    <n v="0.18"/>
    <n v="0.18"/>
    <n v="0.18"/>
    <n v="0.18"/>
    <n v="2.1599999999999997"/>
    <x v="1"/>
  </r>
  <r>
    <x v="0"/>
    <x v="0"/>
    <x v="8"/>
    <x v="18"/>
    <x v="2"/>
    <x v="91"/>
    <x v="2"/>
    <x v="103"/>
    <s v="Existente"/>
    <s v="Anual"/>
    <s v="Contrato em Curso"/>
    <m/>
    <s v=""/>
    <x v="4"/>
    <m/>
    <s v="USD"/>
    <n v="1208.3333333333333"/>
    <n v="1208.3333333333333"/>
    <n v="1208.3333333333333"/>
    <n v="1208.3333333333333"/>
    <n v="1208.3333333333333"/>
    <n v="1208.3333333333333"/>
    <n v="1208.3333333333333"/>
    <n v="1208.3333333333333"/>
    <n v="1208.3333333333333"/>
    <n v="1208.3333333333333"/>
    <n v="1208.3333333333333"/>
    <n v="1208.3333333333333"/>
    <n v="14500.000000000002"/>
    <m/>
    <n v="7.1049999999999986"/>
    <n v="7.1049999999999986"/>
    <n v="7.1049999999999986"/>
    <n v="7.1049999999999986"/>
    <n v="7.1049999999999986"/>
    <n v="7.1049999999999986"/>
    <n v="7.1049999999999986"/>
    <n v="7.1049999999999986"/>
    <n v="7.1049999999999986"/>
    <n v="7.1049999999999986"/>
    <n v="7.1049999999999986"/>
    <n v="7.1049999999999986"/>
    <n v="85.259999999999991"/>
    <m/>
    <n v="7.1049999999999986"/>
    <n v="7.1049999999999986"/>
    <n v="7.1049999999999986"/>
    <n v="7.1049999999999986"/>
    <n v="7.1049999999999986"/>
    <n v="7.1049999999999986"/>
    <n v="7.1049999999999986"/>
    <n v="7.1049999999999986"/>
    <n v="7.1049999999999986"/>
    <n v="7.1049999999999986"/>
    <n v="7.1049999999999986"/>
    <n v="7.1049999999999986"/>
    <n v="85.259999999999991"/>
    <m/>
    <n v="1.208333333333333"/>
    <n v="1.208333333333333"/>
    <n v="1.208333333333333"/>
    <n v="1.208333333333333"/>
    <n v="1.208333333333333"/>
    <n v="1.208333333333333"/>
    <n v="1.208333333333333"/>
    <n v="1.208333333333333"/>
    <n v="1.208333333333333"/>
    <n v="1.208333333333333"/>
    <n v="1.208333333333333"/>
    <n v="1.208333333333333"/>
    <n v="14.499999999999993"/>
    <x v="1"/>
  </r>
  <r>
    <x v="0"/>
    <x v="0"/>
    <x v="9"/>
    <x v="19"/>
    <x v="2"/>
    <x v="92"/>
    <x v="0"/>
    <x v="104"/>
    <s v="Existente"/>
    <s v="Anual"/>
    <s v="Contrato em Curso"/>
    <m/>
    <s v=""/>
    <x v="4"/>
    <m/>
    <s v="USD"/>
    <n v="432"/>
    <m/>
    <m/>
    <m/>
    <m/>
    <m/>
    <m/>
    <m/>
    <m/>
    <m/>
    <m/>
    <m/>
    <n v="432"/>
    <m/>
    <n v="2.5401599999999998"/>
    <s v=""/>
    <s v=""/>
    <s v=""/>
    <s v=""/>
    <s v=""/>
    <s v=""/>
    <s v=""/>
    <s v=""/>
    <s v=""/>
    <s v=""/>
    <s v=""/>
    <n v="2.5401599999999998"/>
    <m/>
    <n v="2.5401599999999998"/>
    <s v=""/>
    <s v=""/>
    <s v=""/>
    <s v=""/>
    <s v=""/>
    <s v=""/>
    <s v=""/>
    <s v=""/>
    <s v=""/>
    <s v=""/>
    <s v=""/>
    <n v="2.5401599999999998"/>
    <m/>
    <n v="0.43199999999999994"/>
    <s v=""/>
    <s v=""/>
    <s v=""/>
    <s v=""/>
    <s v=""/>
    <s v=""/>
    <s v=""/>
    <s v=""/>
    <s v=""/>
    <s v=""/>
    <s v=""/>
    <n v="0.43199999999999994"/>
    <x v="1"/>
  </r>
  <r>
    <x v="0"/>
    <x v="0"/>
    <x v="8"/>
    <x v="18"/>
    <x v="2"/>
    <x v="29"/>
    <x v="0"/>
    <x v="105"/>
    <s v="Existente"/>
    <s v="Anual"/>
    <s v="Contrato em Curso"/>
    <m/>
    <s v=""/>
    <x v="5"/>
    <m/>
    <s v="USD"/>
    <m/>
    <m/>
    <m/>
    <m/>
    <m/>
    <m/>
    <n v="4370"/>
    <m/>
    <m/>
    <m/>
    <m/>
    <m/>
    <n v="4370"/>
    <m/>
    <s v=""/>
    <s v=""/>
    <s v=""/>
    <s v=""/>
    <s v=""/>
    <s v=""/>
    <n v="25.695599999999999"/>
    <s v=""/>
    <s v=""/>
    <s v=""/>
    <s v=""/>
    <s v=""/>
    <n v="25.695599999999999"/>
    <m/>
    <s v=""/>
    <s v=""/>
    <s v=""/>
    <s v=""/>
    <s v=""/>
    <s v=""/>
    <n v="25.695599999999999"/>
    <s v=""/>
    <s v=""/>
    <s v=""/>
    <s v=""/>
    <s v=""/>
    <n v="25.695599999999999"/>
    <m/>
    <s v=""/>
    <s v=""/>
    <s v=""/>
    <s v=""/>
    <s v=""/>
    <s v=""/>
    <n v="4.37"/>
    <s v=""/>
    <s v=""/>
    <s v=""/>
    <s v=""/>
    <s v=""/>
    <n v="4.37"/>
    <x v="1"/>
  </r>
  <r>
    <x v="0"/>
    <x v="0"/>
    <x v="9"/>
    <x v="19"/>
    <x v="2"/>
    <x v="29"/>
    <x v="0"/>
    <x v="105"/>
    <s v="Existente"/>
    <s v="Anual"/>
    <s v="Contrato em Curso"/>
    <m/>
    <s v=""/>
    <x v="5"/>
    <m/>
    <s v="USD"/>
    <m/>
    <m/>
    <m/>
    <m/>
    <m/>
    <m/>
    <m/>
    <m/>
    <m/>
    <m/>
    <m/>
    <m/>
    <s v=""/>
    <m/>
    <s v=""/>
    <s v=""/>
    <s v=""/>
    <s v=""/>
    <s v=""/>
    <s v=""/>
    <s v=""/>
    <s v=""/>
    <s v=""/>
    <s v=""/>
    <s v=""/>
    <s v=""/>
    <s v=""/>
    <m/>
    <s v=""/>
    <s v=""/>
    <s v=""/>
    <s v=""/>
    <s v=""/>
    <s v=""/>
    <s v=""/>
    <s v=""/>
    <s v=""/>
    <s v=""/>
    <s v=""/>
    <s v=""/>
    <s v=""/>
    <m/>
    <s v=""/>
    <s v=""/>
    <s v=""/>
    <s v=""/>
    <s v=""/>
    <s v=""/>
    <s v=""/>
    <s v=""/>
    <s v=""/>
    <s v=""/>
    <s v=""/>
    <s v=""/>
    <s v=""/>
    <x v="1"/>
  </r>
  <r>
    <x v="0"/>
    <x v="0"/>
    <x v="9"/>
    <x v="19"/>
    <x v="2"/>
    <x v="30"/>
    <x v="0"/>
    <x v="79"/>
    <s v="Existente"/>
    <s v="Mensal"/>
    <s v="Contrato em Curso"/>
    <m/>
    <s v=""/>
    <x v="2"/>
    <m/>
    <s v="USD"/>
    <m/>
    <m/>
    <m/>
    <m/>
    <m/>
    <m/>
    <m/>
    <m/>
    <m/>
    <m/>
    <m/>
    <m/>
    <s v=""/>
    <m/>
    <s v=""/>
    <s v=""/>
    <s v=""/>
    <s v=""/>
    <s v=""/>
    <s v=""/>
    <s v=""/>
    <s v=""/>
    <s v=""/>
    <s v=""/>
    <s v=""/>
    <s v=""/>
    <s v=""/>
    <m/>
    <s v=""/>
    <s v=""/>
    <s v=""/>
    <s v=""/>
    <s v=""/>
    <s v=""/>
    <s v=""/>
    <s v=""/>
    <s v=""/>
    <s v=""/>
    <s v=""/>
    <s v=""/>
    <s v=""/>
    <m/>
    <s v=""/>
    <s v=""/>
    <s v=""/>
    <s v=""/>
    <s v=""/>
    <s v=""/>
    <s v=""/>
    <s v=""/>
    <s v=""/>
    <s v=""/>
    <s v=""/>
    <s v=""/>
    <s v=""/>
    <x v="1"/>
  </r>
  <r>
    <x v="0"/>
    <x v="0"/>
    <x v="8"/>
    <x v="20"/>
    <x v="2"/>
    <x v="29"/>
    <x v="0"/>
    <x v="105"/>
    <s v="Existente"/>
    <s v="Anual"/>
    <s v="Contrato em Curso"/>
    <m/>
    <s v=""/>
    <x v="5"/>
    <m/>
    <s v="USD"/>
    <m/>
    <m/>
    <m/>
    <m/>
    <m/>
    <m/>
    <m/>
    <m/>
    <m/>
    <m/>
    <m/>
    <m/>
    <s v=""/>
    <m/>
    <s v=""/>
    <s v=""/>
    <s v=""/>
    <s v=""/>
    <s v=""/>
    <s v=""/>
    <s v=""/>
    <s v=""/>
    <s v=""/>
    <s v=""/>
    <s v=""/>
    <s v=""/>
    <s v=""/>
    <m/>
    <s v=""/>
    <s v=""/>
    <s v=""/>
    <s v=""/>
    <s v=""/>
    <s v=""/>
    <s v=""/>
    <s v=""/>
    <s v=""/>
    <s v=""/>
    <s v=""/>
    <s v=""/>
    <s v=""/>
    <m/>
    <s v=""/>
    <s v=""/>
    <s v=""/>
    <s v=""/>
    <s v=""/>
    <s v=""/>
    <s v=""/>
    <s v=""/>
    <s v=""/>
    <s v=""/>
    <s v=""/>
    <s v=""/>
    <s v=""/>
    <x v="1"/>
  </r>
  <r>
    <x v="0"/>
    <x v="0"/>
    <x v="8"/>
    <x v="18"/>
    <x v="2"/>
    <x v="93"/>
    <x v="0"/>
    <x v="106"/>
    <s v="Existente"/>
    <s v="Anual"/>
    <s v="Contrato em Curso"/>
    <m/>
    <s v=""/>
    <x v="5"/>
    <m/>
    <s v="USD"/>
    <n v="1070"/>
    <n v="1070"/>
    <n v="1070"/>
    <n v="1070"/>
    <n v="1070"/>
    <n v="1070"/>
    <m/>
    <m/>
    <m/>
    <m/>
    <m/>
    <m/>
    <n v="6420"/>
    <m/>
    <n v="6.2915999999999999"/>
    <n v="6.2915999999999999"/>
    <n v="6.2915999999999999"/>
    <n v="6.2915999999999999"/>
    <n v="6.2915999999999999"/>
    <n v="6.2915999999999999"/>
    <s v=""/>
    <s v=""/>
    <s v=""/>
    <s v=""/>
    <s v=""/>
    <s v=""/>
    <n v="37.749600000000001"/>
    <m/>
    <n v="6.2915999999999999"/>
    <n v="6.2915999999999999"/>
    <n v="6.2915999999999999"/>
    <n v="6.2915999999999999"/>
    <n v="6.2915999999999999"/>
    <n v="6.2915999999999999"/>
    <s v=""/>
    <s v=""/>
    <s v=""/>
    <s v=""/>
    <s v=""/>
    <s v=""/>
    <n v="37.749600000000001"/>
    <m/>
    <n v="1.07"/>
    <n v="1.07"/>
    <n v="1.07"/>
    <n v="1.07"/>
    <n v="1.07"/>
    <n v="1.07"/>
    <s v=""/>
    <s v=""/>
    <s v=""/>
    <s v=""/>
    <s v=""/>
    <s v=""/>
    <n v="6.4200000000000008"/>
    <x v="1"/>
  </r>
  <r>
    <x v="0"/>
    <x v="0"/>
    <x v="8"/>
    <x v="18"/>
    <x v="2"/>
    <x v="94"/>
    <x v="2"/>
    <x v="107"/>
    <s v="Existente"/>
    <s v="Anual"/>
    <s v="Contrato em Curso"/>
    <m/>
    <s v=""/>
    <x v="4"/>
    <m/>
    <s v="USD"/>
    <n v="1120.4166666666667"/>
    <n v="1120.4166666666667"/>
    <n v="1120.4166666666667"/>
    <n v="1120.4166666666667"/>
    <n v="1120.4166666666667"/>
    <n v="1120.4166666666667"/>
    <n v="1120.4166666666667"/>
    <n v="1120.4166666666667"/>
    <n v="1120.4166666666667"/>
    <n v="1120.4166666666667"/>
    <n v="1120.4166666666667"/>
    <n v="1120.4166666666667"/>
    <n v="13444.999999999998"/>
    <m/>
    <n v="6.58805"/>
    <n v="6.58805"/>
    <n v="6.58805"/>
    <n v="6.58805"/>
    <n v="6.58805"/>
    <n v="6.58805"/>
    <n v="6.58805"/>
    <n v="6.58805"/>
    <n v="6.58805"/>
    <n v="6.58805"/>
    <n v="6.58805"/>
    <n v="6.58805"/>
    <n v="79.056600000000003"/>
    <m/>
    <n v="6.58805"/>
    <n v="6.58805"/>
    <n v="6.58805"/>
    <n v="6.58805"/>
    <n v="6.58805"/>
    <n v="6.58805"/>
    <n v="6.58805"/>
    <n v="6.58805"/>
    <n v="6.58805"/>
    <n v="6.58805"/>
    <n v="6.58805"/>
    <n v="6.58805"/>
    <n v="79.056600000000003"/>
    <m/>
    <n v="1.1204166666666666"/>
    <n v="1.1204166666666666"/>
    <n v="1.1204166666666666"/>
    <n v="1.1204166666666666"/>
    <n v="1.1204166666666666"/>
    <n v="1.1204166666666666"/>
    <n v="1.1204166666666666"/>
    <n v="1.1204166666666666"/>
    <n v="1.1204166666666666"/>
    <n v="1.1204166666666666"/>
    <n v="1.1204166666666666"/>
    <n v="1.1204166666666666"/>
    <n v="13.445000000000002"/>
    <x v="1"/>
  </r>
  <r>
    <x v="0"/>
    <x v="0"/>
    <x v="8"/>
    <x v="18"/>
    <x v="2"/>
    <x v="10"/>
    <x v="2"/>
    <x v="108"/>
    <s v="Existente"/>
    <s v="Anual"/>
    <s v="Contrato em Curso"/>
    <m/>
    <s v=""/>
    <x v="5"/>
    <m/>
    <s v="USD"/>
    <m/>
    <m/>
    <m/>
    <m/>
    <m/>
    <m/>
    <m/>
    <m/>
    <m/>
    <m/>
    <m/>
    <m/>
    <s v=""/>
    <m/>
    <s v=""/>
    <s v=""/>
    <s v=""/>
    <s v=""/>
    <s v=""/>
    <s v=""/>
    <s v=""/>
    <s v=""/>
    <s v=""/>
    <s v=""/>
    <s v=""/>
    <s v=""/>
    <s v=""/>
    <m/>
    <s v=""/>
    <s v=""/>
    <s v=""/>
    <s v=""/>
    <s v=""/>
    <s v=""/>
    <s v=""/>
    <s v=""/>
    <s v=""/>
    <s v=""/>
    <s v=""/>
    <s v=""/>
    <s v=""/>
    <m/>
    <s v=""/>
    <s v=""/>
    <s v=""/>
    <s v=""/>
    <s v=""/>
    <s v=""/>
    <s v=""/>
    <s v=""/>
    <s v=""/>
    <s v=""/>
    <s v=""/>
    <s v=""/>
    <s v=""/>
    <x v="1"/>
  </r>
  <r>
    <x v="0"/>
    <x v="0"/>
    <x v="9"/>
    <x v="19"/>
    <x v="2"/>
    <x v="12"/>
    <x v="3"/>
    <x v="15"/>
    <s v="Existente"/>
    <s v="Anual"/>
    <s v="Contrato em Curso"/>
    <m/>
    <s v=""/>
    <x v="4"/>
    <m/>
    <s v="USD"/>
    <m/>
    <m/>
    <m/>
    <m/>
    <m/>
    <m/>
    <m/>
    <n v="430"/>
    <m/>
    <m/>
    <m/>
    <m/>
    <n v="430"/>
    <m/>
    <s v=""/>
    <s v=""/>
    <s v=""/>
    <s v=""/>
    <s v=""/>
    <s v=""/>
    <s v=""/>
    <n v="2.5284"/>
    <s v=""/>
    <s v=""/>
    <s v=""/>
    <s v=""/>
    <n v="2.5284"/>
    <m/>
    <s v=""/>
    <s v=""/>
    <s v=""/>
    <s v=""/>
    <s v=""/>
    <s v=""/>
    <s v=""/>
    <n v="2.5284"/>
    <s v=""/>
    <s v=""/>
    <s v=""/>
    <s v=""/>
    <n v="2.5284"/>
    <m/>
    <s v=""/>
    <s v=""/>
    <s v=""/>
    <s v=""/>
    <s v=""/>
    <s v=""/>
    <s v=""/>
    <n v="0.43"/>
    <s v=""/>
    <s v=""/>
    <s v=""/>
    <s v=""/>
    <n v="0.43"/>
    <x v="1"/>
  </r>
  <r>
    <x v="0"/>
    <x v="0"/>
    <x v="8"/>
    <x v="18"/>
    <x v="2"/>
    <x v="12"/>
    <x v="3"/>
    <x v="109"/>
    <s v="Existente"/>
    <s v="Anual"/>
    <s v="Contrato em Curso"/>
    <m/>
    <s v=""/>
    <x v="4"/>
    <m/>
    <s v="USD"/>
    <m/>
    <m/>
    <m/>
    <m/>
    <m/>
    <m/>
    <m/>
    <m/>
    <m/>
    <m/>
    <m/>
    <m/>
    <s v=""/>
    <m/>
    <s v=""/>
    <s v=""/>
    <s v=""/>
    <s v=""/>
    <s v=""/>
    <s v=""/>
    <s v=""/>
    <s v=""/>
    <s v=""/>
    <s v=""/>
    <s v=""/>
    <s v=""/>
    <s v=""/>
    <m/>
    <s v=""/>
    <s v=""/>
    <s v=""/>
    <s v=""/>
    <s v=""/>
    <s v=""/>
    <s v=""/>
    <s v=""/>
    <s v=""/>
    <s v=""/>
    <s v=""/>
    <s v=""/>
    <s v=""/>
    <m/>
    <s v=""/>
    <s v=""/>
    <s v=""/>
    <s v=""/>
    <s v=""/>
    <s v=""/>
    <s v=""/>
    <s v=""/>
    <s v=""/>
    <s v=""/>
    <s v=""/>
    <s v=""/>
    <s v=""/>
    <x v="1"/>
  </r>
  <r>
    <x v="0"/>
    <x v="0"/>
    <x v="8"/>
    <x v="18"/>
    <x v="2"/>
    <x v="84"/>
    <x v="2"/>
    <x v="110"/>
    <s v="Novo"/>
    <s v="Mensal"/>
    <s v="Contrato em Curso"/>
    <m/>
    <s v=""/>
    <x v="2"/>
    <m/>
    <s v="USD"/>
    <m/>
    <m/>
    <m/>
    <m/>
    <m/>
    <m/>
    <m/>
    <m/>
    <m/>
    <m/>
    <m/>
    <m/>
    <s v=""/>
    <m/>
    <s v=""/>
    <s v=""/>
    <s v=""/>
    <s v=""/>
    <s v=""/>
    <s v=""/>
    <s v=""/>
    <s v=""/>
    <s v=""/>
    <s v=""/>
    <s v=""/>
    <s v=""/>
    <s v=""/>
    <m/>
    <s v=""/>
    <s v=""/>
    <s v=""/>
    <s v=""/>
    <s v=""/>
    <s v=""/>
    <s v=""/>
    <s v=""/>
    <s v=""/>
    <s v=""/>
    <s v=""/>
    <s v=""/>
    <s v=""/>
    <m/>
    <s v=""/>
    <s v=""/>
    <s v=""/>
    <s v=""/>
    <s v=""/>
    <s v=""/>
    <s v=""/>
    <s v=""/>
    <s v=""/>
    <s v=""/>
    <s v=""/>
    <s v=""/>
    <s v=""/>
    <x v="1"/>
  </r>
  <r>
    <x v="0"/>
    <x v="0"/>
    <x v="8"/>
    <x v="18"/>
    <x v="2"/>
    <x v="95"/>
    <x v="2"/>
    <x v="111"/>
    <s v="Novo"/>
    <s v="Mensal"/>
    <s v="Contrato em Curso"/>
    <m/>
    <s v=""/>
    <x v="2"/>
    <m/>
    <s v="USD"/>
    <n v="290"/>
    <n v="290"/>
    <n v="290"/>
    <n v="290"/>
    <n v="290"/>
    <n v="290"/>
    <n v="290"/>
    <n v="290"/>
    <n v="290"/>
    <n v="290"/>
    <n v="290"/>
    <n v="290"/>
    <n v="3480"/>
    <m/>
    <n v="1.7052"/>
    <n v="1.7052"/>
    <n v="1.7052"/>
    <n v="1.7052"/>
    <n v="1.7052"/>
    <n v="1.7052"/>
    <n v="1.7052"/>
    <n v="1.7052"/>
    <n v="1.7052"/>
    <n v="1.7052"/>
    <n v="1.7052"/>
    <n v="1.7052"/>
    <n v="20.462400000000002"/>
    <m/>
    <n v="1.7052"/>
    <n v="1.7052"/>
    <n v="1.7052"/>
    <n v="1.7052"/>
    <n v="1.7052"/>
    <n v="1.7052"/>
    <n v="1.7052"/>
    <n v="1.7052"/>
    <n v="1.7052"/>
    <n v="1.7052"/>
    <n v="1.7052"/>
    <n v="1.7052"/>
    <n v="20.462400000000002"/>
    <m/>
    <n v="0.29000000000000004"/>
    <n v="0.29000000000000004"/>
    <n v="0.29000000000000004"/>
    <n v="0.29000000000000004"/>
    <n v="0.29000000000000004"/>
    <n v="0.29000000000000004"/>
    <n v="0.29000000000000004"/>
    <n v="0.29000000000000004"/>
    <n v="0.29000000000000004"/>
    <n v="0.29000000000000004"/>
    <n v="0.29000000000000004"/>
    <n v="0.29000000000000004"/>
    <n v="3.4800000000000004"/>
    <x v="1"/>
  </r>
  <r>
    <x v="0"/>
    <x v="0"/>
    <x v="9"/>
    <x v="19"/>
    <x v="2"/>
    <x v="81"/>
    <x v="4"/>
    <x v="112"/>
    <s v="Existente"/>
    <s v="Mensal"/>
    <s v="Contrato em Curso"/>
    <m/>
    <s v=""/>
    <x v="6"/>
    <m/>
    <s v="USD"/>
    <n v="448.87741046831957"/>
    <n v="448.87741046831957"/>
    <n v="448.87741046831957"/>
    <n v="448.87741046831957"/>
    <n v="448.87741046831957"/>
    <n v="448.87741046831957"/>
    <n v="448.87741046831957"/>
    <n v="448.87741046831957"/>
    <n v="448.87741046831957"/>
    <n v="448.87741046831957"/>
    <n v="448.87741046831957"/>
    <n v="448.87741046831957"/>
    <n v="5386.5289256198366"/>
    <m/>
    <n v="2.639399173553719"/>
    <n v="2.639399173553719"/>
    <n v="2.639399173553719"/>
    <n v="2.639399173553719"/>
    <n v="2.639399173553719"/>
    <n v="2.639399173553719"/>
    <n v="2.639399173553719"/>
    <n v="2.639399173553719"/>
    <n v="2.639399173553719"/>
    <n v="2.639399173553719"/>
    <n v="2.639399173553719"/>
    <n v="2.639399173553719"/>
    <n v="31.672790082644635"/>
    <m/>
    <n v="2.639399173553719"/>
    <n v="2.639399173553719"/>
    <n v="2.639399173553719"/>
    <n v="2.639399173553719"/>
    <n v="2.639399173553719"/>
    <n v="2.639399173553719"/>
    <n v="2.639399173553719"/>
    <n v="2.639399173553719"/>
    <n v="2.639399173553719"/>
    <n v="2.639399173553719"/>
    <n v="2.639399173553719"/>
    <n v="2.639399173553719"/>
    <n v="31.672790082644635"/>
    <m/>
    <n v="0.44887741046831958"/>
    <n v="0.44887741046831958"/>
    <n v="0.44887741046831958"/>
    <n v="0.44887741046831958"/>
    <n v="0.44887741046831958"/>
    <n v="0.44887741046831958"/>
    <n v="0.44887741046831958"/>
    <n v="0.44887741046831958"/>
    <n v="0.44887741046831958"/>
    <n v="0.44887741046831958"/>
    <n v="0.44887741046831958"/>
    <n v="0.44887741046831958"/>
    <n v="5.3865289256198343"/>
    <x v="1"/>
  </r>
  <r>
    <x v="0"/>
    <x v="0"/>
    <x v="9"/>
    <x v="19"/>
    <x v="2"/>
    <x v="81"/>
    <x v="4"/>
    <x v="113"/>
    <s v="Existente"/>
    <s v="Mensal"/>
    <s v="Contrato em Curso"/>
    <m/>
    <s v=""/>
    <x v="6"/>
    <m/>
    <s v="USD"/>
    <n v="11.449724517906336"/>
    <n v="11.449724517906336"/>
    <n v="11.449724517906336"/>
    <n v="11.449724517906336"/>
    <n v="11.449724517906336"/>
    <n v="11.449724517906336"/>
    <n v="11.449724517906336"/>
    <n v="11.449724517906336"/>
    <n v="11.449724517906336"/>
    <n v="11.449724517906336"/>
    <n v="11.449724517906336"/>
    <n v="11.449724517906336"/>
    <n v="137.39669421487602"/>
    <m/>
    <n v="6.7324380165289258E-2"/>
    <n v="6.7324380165289258E-2"/>
    <n v="6.7324380165289258E-2"/>
    <n v="6.7324380165289258E-2"/>
    <n v="6.7324380165289258E-2"/>
    <n v="6.7324380165289258E-2"/>
    <n v="6.7324380165289258E-2"/>
    <n v="6.7324380165289258E-2"/>
    <n v="6.7324380165289258E-2"/>
    <n v="6.7324380165289258E-2"/>
    <n v="6.7324380165289258E-2"/>
    <n v="6.7324380165289258E-2"/>
    <n v="0.80789256198347126"/>
    <m/>
    <n v="6.7324380165289258E-2"/>
    <n v="6.7324380165289258E-2"/>
    <n v="6.7324380165289258E-2"/>
    <n v="6.7324380165289258E-2"/>
    <n v="6.7324380165289258E-2"/>
    <n v="6.7324380165289258E-2"/>
    <n v="6.7324380165289258E-2"/>
    <n v="6.7324380165289258E-2"/>
    <n v="6.7324380165289258E-2"/>
    <n v="6.7324380165289258E-2"/>
    <n v="6.7324380165289258E-2"/>
    <n v="6.7324380165289258E-2"/>
    <n v="0.80789256198347126"/>
    <m/>
    <n v="1.1449724517906337E-2"/>
    <n v="1.1449724517906337E-2"/>
    <n v="1.1449724517906337E-2"/>
    <n v="1.1449724517906337E-2"/>
    <n v="1.1449724517906337E-2"/>
    <n v="1.1449724517906337E-2"/>
    <n v="1.1449724517906337E-2"/>
    <n v="1.1449724517906337E-2"/>
    <n v="1.1449724517906337E-2"/>
    <n v="1.1449724517906337E-2"/>
    <n v="1.1449724517906337E-2"/>
    <n v="1.1449724517906337E-2"/>
    <n v="0.13739669421487605"/>
    <x v="1"/>
  </r>
  <r>
    <x v="0"/>
    <x v="0"/>
    <x v="9"/>
    <x v="19"/>
    <x v="2"/>
    <x v="86"/>
    <x v="2"/>
    <x v="96"/>
    <s v="Existente"/>
    <s v="Pontual"/>
    <s v="Contrato em Curso"/>
    <m/>
    <s v=""/>
    <x v="2"/>
    <m/>
    <s v="USD"/>
    <n v="50"/>
    <n v="50"/>
    <n v="50"/>
    <n v="50"/>
    <n v="50"/>
    <n v="50"/>
    <n v="50"/>
    <n v="50"/>
    <n v="50"/>
    <n v="50"/>
    <n v="50"/>
    <n v="50"/>
    <n v="600"/>
    <m/>
    <n v="0.29399999999999998"/>
    <n v="0.29399999999999998"/>
    <n v="0.29399999999999998"/>
    <n v="0.29399999999999998"/>
    <n v="0.29399999999999998"/>
    <n v="0.29399999999999998"/>
    <n v="0.29399999999999998"/>
    <n v="0.29399999999999998"/>
    <n v="0.29399999999999998"/>
    <n v="0.29399999999999998"/>
    <n v="0.29399999999999998"/>
    <n v="0.29399999999999998"/>
    <n v="3.528"/>
    <m/>
    <n v="0.29399999999999998"/>
    <n v="0.29399999999999998"/>
    <n v="0.29399999999999998"/>
    <n v="0.29399999999999998"/>
    <n v="0.29399999999999998"/>
    <n v="0.29399999999999998"/>
    <n v="0.29399999999999998"/>
    <n v="0.29399999999999998"/>
    <n v="0.29399999999999998"/>
    <n v="0.29399999999999998"/>
    <n v="0.29399999999999998"/>
    <n v="0.29399999999999998"/>
    <n v="3.528"/>
    <m/>
    <n v="4.9999999999999996E-2"/>
    <n v="4.9999999999999996E-2"/>
    <n v="4.9999999999999996E-2"/>
    <n v="4.9999999999999996E-2"/>
    <n v="4.9999999999999996E-2"/>
    <n v="4.9999999999999996E-2"/>
    <n v="4.9999999999999996E-2"/>
    <n v="4.9999999999999996E-2"/>
    <n v="4.9999999999999996E-2"/>
    <n v="4.9999999999999996E-2"/>
    <n v="4.9999999999999996E-2"/>
    <n v="4.9999999999999996E-2"/>
    <n v="0.6"/>
    <x v="1"/>
  </r>
  <r>
    <x v="0"/>
    <x v="0"/>
    <x v="8"/>
    <x v="18"/>
    <x v="2"/>
    <x v="88"/>
    <x v="0"/>
    <x v="98"/>
    <s v="Existente"/>
    <s v="Mensal"/>
    <s v="Contrato em Curso"/>
    <m/>
    <s v=""/>
    <x v="5"/>
    <m/>
    <s v="USD"/>
    <n v="74.77272727272728"/>
    <n v="74.77272727272728"/>
    <n v="74.77272727272728"/>
    <n v="74.77272727272728"/>
    <n v="74.77272727272728"/>
    <n v="74.77272727272728"/>
    <n v="74.77272727272728"/>
    <n v="74.77272727272728"/>
    <n v="74.77272727272728"/>
    <n v="74.77272727272728"/>
    <n v="74.77272727272728"/>
    <n v="74.77272727272728"/>
    <n v="897.27272727272714"/>
    <m/>
    <n v="0.43966363636363637"/>
    <n v="0.43966363636363637"/>
    <n v="0.43966363636363637"/>
    <n v="0.43966363636363637"/>
    <n v="0.43966363636363637"/>
    <n v="0.43966363636363637"/>
    <n v="0.43966363636363637"/>
    <n v="0.43966363636363637"/>
    <n v="0.43966363636363637"/>
    <n v="0.43966363636363637"/>
    <n v="0.43966363636363637"/>
    <n v="0.43966363636363637"/>
    <n v="5.2759636363636364"/>
    <m/>
    <n v="0.43966363636363637"/>
    <n v="0.43966363636363637"/>
    <n v="0.43966363636363637"/>
    <n v="0.43966363636363637"/>
    <n v="0.43966363636363637"/>
    <n v="0.43966363636363637"/>
    <n v="0.43966363636363637"/>
    <n v="0.43966363636363637"/>
    <n v="0.43966363636363637"/>
    <n v="0.43966363636363637"/>
    <n v="0.43966363636363637"/>
    <n v="0.43966363636363637"/>
    <n v="5.2759636363636364"/>
    <m/>
    <n v="7.4772727272727268E-2"/>
    <n v="7.4772727272727268E-2"/>
    <n v="7.4772727272727268E-2"/>
    <n v="7.4772727272727268E-2"/>
    <n v="7.4772727272727268E-2"/>
    <n v="7.4772727272727268E-2"/>
    <n v="7.4772727272727268E-2"/>
    <n v="7.4772727272727268E-2"/>
    <n v="7.4772727272727268E-2"/>
    <n v="7.4772727272727268E-2"/>
    <n v="7.4772727272727268E-2"/>
    <n v="7.4772727272727268E-2"/>
    <n v="0.897272727272727"/>
    <x v="1"/>
  </r>
  <r>
    <x v="0"/>
    <x v="0"/>
    <x v="9"/>
    <x v="19"/>
    <x v="2"/>
    <x v="91"/>
    <x v="2"/>
    <x v="114"/>
    <s v="Existente"/>
    <s v="Anual"/>
    <s v="Contrato em Curso"/>
    <m/>
    <s v=""/>
    <x v="4"/>
    <m/>
    <s v="USD"/>
    <n v="208.33333333333334"/>
    <n v="208.33333333333334"/>
    <n v="208.33333333333334"/>
    <n v="208.33333333333334"/>
    <n v="208.33333333333334"/>
    <n v="208.33333333333334"/>
    <n v="208.33333333333334"/>
    <n v="208.33333333333334"/>
    <n v="208.33333333333334"/>
    <n v="208.33333333333334"/>
    <n v="208.33333333333334"/>
    <n v="208.33333333333334"/>
    <n v="2500"/>
    <m/>
    <n v="1.2250000000000001"/>
    <n v="1.2250000000000001"/>
    <n v="1.2250000000000001"/>
    <n v="1.2250000000000001"/>
    <n v="1.2250000000000001"/>
    <n v="1.2250000000000001"/>
    <n v="1.2250000000000001"/>
    <n v="1.2250000000000001"/>
    <n v="1.2250000000000001"/>
    <n v="1.2250000000000001"/>
    <n v="1.2250000000000001"/>
    <n v="1.2250000000000001"/>
    <n v="14.699999999999998"/>
    <m/>
    <n v="1.2250000000000001"/>
    <n v="1.2250000000000001"/>
    <n v="1.2250000000000001"/>
    <n v="1.2250000000000001"/>
    <n v="1.2250000000000001"/>
    <n v="1.2250000000000001"/>
    <n v="1.2250000000000001"/>
    <n v="1.2250000000000001"/>
    <n v="1.2250000000000001"/>
    <n v="1.2250000000000001"/>
    <n v="1.2250000000000001"/>
    <n v="1.2250000000000001"/>
    <n v="14.699999999999998"/>
    <m/>
    <n v="0.20833333333333334"/>
    <n v="0.20833333333333334"/>
    <n v="0.20833333333333334"/>
    <n v="0.20833333333333334"/>
    <n v="0.20833333333333334"/>
    <n v="0.20833333333333334"/>
    <n v="0.20833333333333334"/>
    <n v="0.20833333333333334"/>
    <n v="0.20833333333333334"/>
    <n v="0.20833333333333334"/>
    <n v="0.20833333333333334"/>
    <n v="0.20833333333333334"/>
    <n v="2.5"/>
    <x v="1"/>
  </r>
  <r>
    <x v="0"/>
    <x v="0"/>
    <x v="9"/>
    <x v="19"/>
    <x v="2"/>
    <x v="84"/>
    <x v="2"/>
    <x v="94"/>
    <s v="Novo"/>
    <s v="Mensal"/>
    <s v="Média - Impacta a operação"/>
    <m/>
    <s v=""/>
    <x v="2"/>
    <m/>
    <s v="USD"/>
    <n v="150"/>
    <n v="150"/>
    <n v="150"/>
    <n v="150"/>
    <n v="150"/>
    <n v="150"/>
    <n v="150"/>
    <n v="150"/>
    <n v="150"/>
    <n v="150"/>
    <n v="150"/>
    <n v="150"/>
    <n v="1800"/>
    <m/>
    <n v="0.88200000000000001"/>
    <n v="0.88200000000000001"/>
    <n v="0.88200000000000001"/>
    <n v="0.88200000000000001"/>
    <n v="0.88200000000000001"/>
    <n v="0.88200000000000001"/>
    <n v="0.88200000000000001"/>
    <n v="0.88200000000000001"/>
    <n v="0.88200000000000001"/>
    <n v="0.88200000000000001"/>
    <n v="0.88200000000000001"/>
    <n v="0.88200000000000001"/>
    <n v="10.583999999999998"/>
    <m/>
    <n v="0.88200000000000001"/>
    <n v="0.88200000000000001"/>
    <n v="0.88200000000000001"/>
    <n v="0.88200000000000001"/>
    <n v="0.88200000000000001"/>
    <n v="0.88200000000000001"/>
    <n v="0.88200000000000001"/>
    <n v="0.88200000000000001"/>
    <n v="0.88200000000000001"/>
    <n v="0.88200000000000001"/>
    <n v="0.88200000000000001"/>
    <n v="0.88200000000000001"/>
    <n v="10.583999999999998"/>
    <m/>
    <n v="0.15"/>
    <n v="0.15"/>
    <n v="0.15"/>
    <n v="0.15"/>
    <n v="0.15"/>
    <n v="0.15"/>
    <n v="0.15"/>
    <n v="0.15"/>
    <n v="0.15"/>
    <n v="0.15"/>
    <n v="0.15"/>
    <n v="0.15"/>
    <n v="1.7999999999999996"/>
    <x v="1"/>
  </r>
  <r>
    <x v="0"/>
    <x v="0"/>
    <x v="8"/>
    <x v="20"/>
    <x v="2"/>
    <x v="88"/>
    <x v="2"/>
    <x v="98"/>
    <s v="Existente"/>
    <s v="Mensal"/>
    <s v="Contrato em Curso"/>
    <m/>
    <s v=""/>
    <x v="5"/>
    <m/>
    <s v="USD"/>
    <n v="83.088842975206617"/>
    <n v="83.088842975206617"/>
    <n v="83.088842975206617"/>
    <n v="83.088842975206617"/>
    <n v="83.088842975206617"/>
    <n v="83.088842975206617"/>
    <n v="83.088842975206617"/>
    <n v="83.088842975206617"/>
    <n v="83.088842975206617"/>
    <n v="83.088842975206617"/>
    <n v="83.088842975206617"/>
    <n v="83.088842975206617"/>
    <n v="997.06611570247935"/>
    <m/>
    <n v="0.48856239669421492"/>
    <n v="0.48856239669421492"/>
    <n v="0.48856239669421492"/>
    <n v="0.48856239669421492"/>
    <n v="0.48856239669421492"/>
    <n v="0.48856239669421492"/>
    <n v="0.48856239669421492"/>
    <n v="0.48856239669421492"/>
    <n v="0.48856239669421492"/>
    <n v="0.48856239669421492"/>
    <n v="0.48856239669421492"/>
    <n v="0.48856239669421492"/>
    <n v="5.8627487603305797"/>
    <m/>
    <n v="0.48856239669421492"/>
    <n v="0.48856239669421492"/>
    <n v="0.48856239669421492"/>
    <n v="0.48856239669421492"/>
    <n v="0.48856239669421492"/>
    <n v="0.48856239669421492"/>
    <n v="0.48856239669421492"/>
    <n v="0.48856239669421492"/>
    <n v="0.48856239669421492"/>
    <n v="0.48856239669421492"/>
    <n v="0.48856239669421492"/>
    <n v="0.48856239669421492"/>
    <n v="5.8627487603305797"/>
    <m/>
    <n v="8.308884297520662E-2"/>
    <n v="8.308884297520662E-2"/>
    <n v="8.308884297520662E-2"/>
    <n v="8.308884297520662E-2"/>
    <n v="8.308884297520662E-2"/>
    <n v="8.308884297520662E-2"/>
    <n v="8.308884297520662E-2"/>
    <n v="8.308884297520662E-2"/>
    <n v="8.308884297520662E-2"/>
    <n v="8.308884297520662E-2"/>
    <n v="8.308884297520662E-2"/>
    <n v="8.308884297520662E-2"/>
    <n v="0.99706611570247927"/>
    <x v="1"/>
  </r>
  <r>
    <x v="0"/>
    <x v="0"/>
    <x v="8"/>
    <x v="20"/>
    <x v="2"/>
    <x v="96"/>
    <x v="2"/>
    <x v="115"/>
    <s v="Existente"/>
    <s v="Mensal"/>
    <s v="Contrato em Curso"/>
    <m/>
    <s v=""/>
    <x v="5"/>
    <m/>
    <s v="USD"/>
    <n v="207.66184573002755"/>
    <n v="207.66184573002755"/>
    <n v="207.66184573002755"/>
    <n v="207.66184573002755"/>
    <n v="207.66184573002755"/>
    <n v="207.66184573002755"/>
    <n v="207.66184573002755"/>
    <n v="207.66184573002755"/>
    <n v="207.66184573002755"/>
    <n v="207.66184573002755"/>
    <n v="207.66184573002755"/>
    <n v="207.66184573002755"/>
    <n v="2491.9421487603304"/>
    <m/>
    <n v="1.2210516528925621"/>
    <n v="1.2210516528925621"/>
    <n v="1.2210516528925621"/>
    <n v="1.2210516528925621"/>
    <n v="1.2210516528925621"/>
    <n v="1.2210516528925621"/>
    <n v="1.2210516528925621"/>
    <n v="1.2210516528925621"/>
    <n v="1.2210516528925621"/>
    <n v="1.2210516528925621"/>
    <n v="1.2210516528925621"/>
    <n v="1.2210516528925621"/>
    <n v="14.652619834710746"/>
    <m/>
    <n v="1.2210516528925621"/>
    <n v="1.2210516528925621"/>
    <n v="1.2210516528925621"/>
    <n v="1.2210516528925621"/>
    <n v="1.2210516528925621"/>
    <n v="1.2210516528925621"/>
    <n v="1.2210516528925621"/>
    <n v="1.2210516528925621"/>
    <n v="1.2210516528925621"/>
    <n v="1.2210516528925621"/>
    <n v="1.2210516528925621"/>
    <n v="1.2210516528925621"/>
    <n v="14.652619834710746"/>
    <m/>
    <n v="0.20766184573002758"/>
    <n v="0.20766184573002758"/>
    <n v="0.20766184573002758"/>
    <n v="0.20766184573002758"/>
    <n v="0.20766184573002758"/>
    <n v="0.20766184573002758"/>
    <n v="0.20766184573002758"/>
    <n v="0.20766184573002758"/>
    <n v="0.20766184573002758"/>
    <n v="0.20766184573002758"/>
    <n v="0.20766184573002758"/>
    <n v="0.20766184573002758"/>
    <n v="2.4919421487603315"/>
    <x v="1"/>
  </r>
  <r>
    <x v="0"/>
    <x v="0"/>
    <x v="8"/>
    <x v="20"/>
    <x v="2"/>
    <x v="91"/>
    <x v="2"/>
    <x v="116"/>
    <s v="Existente"/>
    <s v="Anual"/>
    <s v="Contrato em Curso"/>
    <m/>
    <s v=""/>
    <x v="4"/>
    <m/>
    <s v="USD"/>
    <n v="625"/>
    <n v="625"/>
    <n v="625"/>
    <n v="625"/>
    <n v="625"/>
    <n v="625"/>
    <n v="625"/>
    <n v="625"/>
    <n v="625"/>
    <n v="625"/>
    <n v="625"/>
    <n v="625"/>
    <n v="7500"/>
    <m/>
    <n v="3.6749999999999998"/>
    <n v="3.6749999999999998"/>
    <n v="3.6749999999999998"/>
    <n v="3.6749999999999998"/>
    <n v="3.6749999999999998"/>
    <n v="3.6749999999999998"/>
    <n v="3.6749999999999998"/>
    <n v="3.6749999999999998"/>
    <n v="3.6749999999999998"/>
    <n v="3.6749999999999998"/>
    <n v="3.6749999999999998"/>
    <n v="3.6749999999999998"/>
    <n v="44.099999999999994"/>
    <m/>
    <n v="3.6749999999999998"/>
    <n v="3.6749999999999998"/>
    <n v="3.6749999999999998"/>
    <n v="3.6749999999999998"/>
    <n v="3.6749999999999998"/>
    <n v="3.6749999999999998"/>
    <n v="3.6749999999999998"/>
    <n v="3.6749999999999998"/>
    <n v="3.6749999999999998"/>
    <n v="3.6749999999999998"/>
    <n v="3.6749999999999998"/>
    <n v="3.6749999999999998"/>
    <n v="44.099999999999994"/>
    <m/>
    <n v="0.625"/>
    <n v="0.625"/>
    <n v="0.625"/>
    <n v="0.625"/>
    <n v="0.625"/>
    <n v="0.625"/>
    <n v="0.625"/>
    <n v="0.625"/>
    <n v="0.625"/>
    <n v="0.625"/>
    <n v="0.625"/>
    <n v="0.625"/>
    <n v="7.5"/>
    <x v="1"/>
  </r>
  <r>
    <x v="0"/>
    <x v="0"/>
    <x v="8"/>
    <x v="18"/>
    <x v="2"/>
    <x v="97"/>
    <x v="2"/>
    <x v="117"/>
    <s v="Existente"/>
    <s v="Anual"/>
    <s v="Contrato em Curso"/>
    <m/>
    <s v=""/>
    <x v="4"/>
    <m/>
    <s v="USD"/>
    <m/>
    <n v="600"/>
    <m/>
    <m/>
    <m/>
    <m/>
    <m/>
    <m/>
    <m/>
    <m/>
    <m/>
    <m/>
    <n v="600"/>
    <m/>
    <s v=""/>
    <n v="3.528"/>
    <s v=""/>
    <s v=""/>
    <s v=""/>
    <s v=""/>
    <s v=""/>
    <s v=""/>
    <s v=""/>
    <s v=""/>
    <s v=""/>
    <s v=""/>
    <n v="3.528"/>
    <m/>
    <s v=""/>
    <n v="3.528"/>
    <s v=""/>
    <s v=""/>
    <s v=""/>
    <s v=""/>
    <s v=""/>
    <s v=""/>
    <s v=""/>
    <s v=""/>
    <s v=""/>
    <s v=""/>
    <n v="3.528"/>
    <m/>
    <s v=""/>
    <n v="0.6"/>
    <s v=""/>
    <s v=""/>
    <s v=""/>
    <s v=""/>
    <s v=""/>
    <s v=""/>
    <s v=""/>
    <s v=""/>
    <s v=""/>
    <s v=""/>
    <n v="0.6"/>
    <x v="1"/>
  </r>
  <r>
    <x v="2"/>
    <x v="2"/>
    <x v="8"/>
    <x v="18"/>
    <x v="2"/>
    <x v="98"/>
    <x v="5"/>
    <x v="118"/>
    <s v="Existente"/>
    <s v="Mensal"/>
    <s v="Contrato em Curso"/>
    <m/>
    <m/>
    <x v="2"/>
    <m/>
    <s v="USD"/>
    <n v="200"/>
    <n v="200"/>
    <n v="200"/>
    <n v="200"/>
    <n v="200"/>
    <n v="200"/>
    <n v="200"/>
    <n v="200"/>
    <n v="200"/>
    <n v="200"/>
    <n v="200"/>
    <n v="200"/>
    <n v="2400"/>
    <m/>
    <n v="1.1759999999999999"/>
    <n v="1.1759999999999999"/>
    <n v="1.1759999999999999"/>
    <n v="1.1759999999999999"/>
    <n v="1.1759999999999999"/>
    <n v="1.1759999999999999"/>
    <n v="1.1759999999999999"/>
    <n v="1.1759999999999999"/>
    <n v="1.1759999999999999"/>
    <n v="1.1759999999999999"/>
    <n v="1.1759999999999999"/>
    <n v="1.1759999999999999"/>
    <n v="14.112"/>
    <m/>
    <n v="1.1759999999999999"/>
    <n v="1.1759999999999999"/>
    <n v="1.1759999999999999"/>
    <n v="1.1759999999999999"/>
    <n v="1.1759999999999999"/>
    <n v="1.1759999999999999"/>
    <n v="1.1759999999999999"/>
    <n v="1.1759999999999999"/>
    <n v="1.1759999999999999"/>
    <n v="1.1759999999999999"/>
    <n v="1.1759999999999999"/>
    <n v="1.1759999999999999"/>
    <n v="14.112"/>
    <m/>
    <n v="0.19999999999999998"/>
    <n v="0.19999999999999998"/>
    <n v="0.19999999999999998"/>
    <n v="0.19999999999999998"/>
    <n v="0.19999999999999998"/>
    <n v="0.19999999999999998"/>
    <n v="0.19999999999999998"/>
    <n v="0.19999999999999998"/>
    <n v="0.19999999999999998"/>
    <n v="0.19999999999999998"/>
    <n v="0.19999999999999998"/>
    <n v="0.19999999999999998"/>
    <n v="2.4"/>
    <x v="5"/>
  </r>
  <r>
    <x v="2"/>
    <x v="2"/>
    <x v="8"/>
    <x v="18"/>
    <x v="2"/>
    <x v="99"/>
    <x v="5"/>
    <x v="119"/>
    <s v="Existente"/>
    <s v="Mensal"/>
    <s v="Contrato em Curso"/>
    <m/>
    <m/>
    <x v="12"/>
    <m/>
    <s v="USD"/>
    <n v="200"/>
    <n v="200"/>
    <n v="200"/>
    <n v="200"/>
    <n v="200"/>
    <n v="200"/>
    <n v="200"/>
    <n v="200"/>
    <n v="200"/>
    <n v="200"/>
    <n v="200"/>
    <n v="200"/>
    <n v="2400"/>
    <m/>
    <n v="1.1759999999999999"/>
    <n v="1.1759999999999999"/>
    <n v="1.1759999999999999"/>
    <n v="1.1759999999999999"/>
    <n v="1.1759999999999999"/>
    <n v="1.1759999999999999"/>
    <n v="1.1759999999999999"/>
    <n v="1.1759999999999999"/>
    <n v="1.1759999999999999"/>
    <n v="1.1759999999999999"/>
    <n v="1.1759999999999999"/>
    <n v="1.1759999999999999"/>
    <n v="14.112"/>
    <m/>
    <n v="1.1759999999999999"/>
    <n v="1.1759999999999999"/>
    <n v="1.1759999999999999"/>
    <n v="1.1759999999999999"/>
    <n v="1.1759999999999999"/>
    <n v="1.1759999999999999"/>
    <n v="1.1759999999999999"/>
    <n v="1.1759999999999999"/>
    <n v="1.1759999999999999"/>
    <n v="1.1759999999999999"/>
    <n v="1.1759999999999999"/>
    <n v="1.1759999999999999"/>
    <n v="14.112"/>
    <m/>
    <n v="0.19999999999999998"/>
    <n v="0.19999999999999998"/>
    <n v="0.19999999999999998"/>
    <n v="0.19999999999999998"/>
    <n v="0.19999999999999998"/>
    <n v="0.19999999999999998"/>
    <n v="0.19999999999999998"/>
    <n v="0.19999999999999998"/>
    <n v="0.19999999999999998"/>
    <n v="0.19999999999999998"/>
    <n v="0.19999999999999998"/>
    <n v="0.19999999999999998"/>
    <n v="2.4"/>
    <x v="5"/>
  </r>
  <r>
    <x v="2"/>
    <x v="2"/>
    <x v="10"/>
    <x v="18"/>
    <x v="2"/>
    <x v="60"/>
    <x v="0"/>
    <x v="120"/>
    <m/>
    <m/>
    <m/>
    <m/>
    <m/>
    <x v="4"/>
    <m/>
    <s v="USD"/>
    <n v="111"/>
    <m/>
    <m/>
    <n v="111"/>
    <m/>
    <m/>
    <n v="111"/>
    <m/>
    <m/>
    <n v="111"/>
    <m/>
    <m/>
    <n v="444"/>
    <m/>
    <m/>
    <m/>
    <m/>
    <m/>
    <m/>
    <m/>
    <m/>
    <m/>
    <m/>
    <m/>
    <m/>
    <m/>
    <m/>
    <m/>
    <m/>
    <m/>
    <m/>
    <m/>
    <m/>
    <m/>
    <m/>
    <m/>
    <m/>
    <m/>
    <m/>
    <m/>
    <m/>
    <m/>
    <m/>
    <m/>
    <m/>
    <m/>
    <m/>
    <m/>
    <m/>
    <m/>
    <m/>
    <m/>
    <m/>
    <m/>
    <m/>
    <x v="5"/>
  </r>
  <r>
    <x v="2"/>
    <x v="2"/>
    <x v="8"/>
    <x v="18"/>
    <x v="2"/>
    <x v="100"/>
    <x v="5"/>
    <x v="121"/>
    <s v="Novo"/>
    <s v="Anual"/>
    <s v="Baixa - Eficiência"/>
    <m/>
    <m/>
    <x v="13"/>
    <m/>
    <s v="USD"/>
    <n v="1500"/>
    <m/>
    <m/>
    <m/>
    <m/>
    <n v="1500"/>
    <m/>
    <m/>
    <m/>
    <n v="1500"/>
    <m/>
    <m/>
    <n v="4500"/>
    <m/>
    <n v="8.82"/>
    <s v=""/>
    <s v=""/>
    <s v=""/>
    <s v=""/>
    <n v="8.82"/>
    <s v=""/>
    <s v=""/>
    <s v=""/>
    <n v="8.82"/>
    <s v=""/>
    <s v=""/>
    <n v="26.46"/>
    <m/>
    <n v="8.82"/>
    <s v=""/>
    <s v=""/>
    <s v=""/>
    <s v=""/>
    <n v="8.82"/>
    <s v=""/>
    <s v=""/>
    <s v=""/>
    <n v="8.82"/>
    <s v=""/>
    <s v=""/>
    <n v="26.46"/>
    <m/>
    <n v="1.5"/>
    <s v=""/>
    <s v=""/>
    <s v=""/>
    <s v=""/>
    <n v="1.5"/>
    <s v=""/>
    <s v=""/>
    <s v=""/>
    <n v="1.5"/>
    <s v=""/>
    <s v=""/>
    <n v="4.5"/>
    <x v="5"/>
  </r>
  <r>
    <x v="2"/>
    <x v="2"/>
    <x v="11"/>
    <x v="21"/>
    <x v="2"/>
    <x v="101"/>
    <x v="6"/>
    <x v="122"/>
    <s v="Existente"/>
    <s v="Mensal"/>
    <s v="Contrato em Curso"/>
    <m/>
    <m/>
    <x v="9"/>
    <m/>
    <s v="USD"/>
    <n v="441.44541842719303"/>
    <n v="441.44541842719303"/>
    <n v="441.44541842719303"/>
    <n v="441.44541842719303"/>
    <n v="441.44541842719303"/>
    <n v="441.44541842719303"/>
    <n v="441.44541842719303"/>
    <n v="441.44541842719303"/>
    <n v="441.44541842719303"/>
    <n v="441.44541842719303"/>
    <n v="441.44541842719303"/>
    <n v="441.44541842719303"/>
    <n v="5297.3450211263153"/>
    <m/>
    <n v="2.5956990603518948"/>
    <n v="2.5956990603518948"/>
    <n v="2.5956990603518948"/>
    <n v="2.5956990603518948"/>
    <n v="2.5956990603518948"/>
    <n v="2.5956990603518948"/>
    <n v="2.5956990603518948"/>
    <n v="2.5956990603518948"/>
    <n v="2.5956990603518948"/>
    <n v="2.5956990603518948"/>
    <n v="2.5956990603518948"/>
    <n v="2.5956990603518948"/>
    <n v="31.14838872422273"/>
    <m/>
    <n v="2.5956990603518948"/>
    <n v="2.5956990603518948"/>
    <n v="2.5956990603518948"/>
    <n v="2.5956990603518948"/>
    <n v="2.5956990603518948"/>
    <n v="2.5956990603518948"/>
    <n v="2.5956990603518948"/>
    <n v="2.5956990603518948"/>
    <n v="2.5956990603518948"/>
    <n v="2.5956990603518948"/>
    <n v="2.5956990603518948"/>
    <n v="2.5956990603518948"/>
    <n v="31.14838872422273"/>
    <m/>
    <n v="0.44144541842719298"/>
    <n v="0.44144541842719298"/>
    <n v="0.44144541842719298"/>
    <n v="0.44144541842719298"/>
    <n v="0.44144541842719298"/>
    <n v="0.44144541842719298"/>
    <n v="0.44144541842719298"/>
    <n v="0.44144541842719298"/>
    <n v="0.44144541842719298"/>
    <n v="0.44144541842719298"/>
    <n v="0.44144541842719298"/>
    <n v="0.44144541842719298"/>
    <n v="5.2973450211263176"/>
    <x v="5"/>
  </r>
  <r>
    <x v="2"/>
    <x v="2"/>
    <x v="11"/>
    <x v="21"/>
    <x v="2"/>
    <x v="101"/>
    <x v="6"/>
    <x v="123"/>
    <s v="Existente"/>
    <s v="Mensal"/>
    <s v="Contrato em Curso"/>
    <m/>
    <m/>
    <x v="9"/>
    <m/>
    <s v="USD"/>
    <n v="917.292930566942"/>
    <n v="917.292930566942"/>
    <n v="917.292930566942"/>
    <n v="917.292930566942"/>
    <n v="917.292930566942"/>
    <n v="917.292930566942"/>
    <n v="917.292930566942"/>
    <n v="917.292930566942"/>
    <n v="917.292930566942"/>
    <n v="917.292930566942"/>
    <n v="917.292930566942"/>
    <n v="917.292930566942"/>
    <n v="11007.515166803305"/>
    <m/>
    <n v="5.3936824317336187"/>
    <n v="5.3936824317336187"/>
    <n v="5.3936824317336187"/>
    <n v="5.3936824317336187"/>
    <n v="5.3936824317336187"/>
    <n v="5.3936824317336187"/>
    <n v="5.3936824317336187"/>
    <n v="5.3936824317336187"/>
    <n v="5.3936824317336187"/>
    <n v="5.3936824317336187"/>
    <n v="5.3936824317336187"/>
    <n v="5.3936824317336187"/>
    <n v="64.724189180803407"/>
    <m/>
    <n v="5.3936824317336187"/>
    <n v="5.3936824317336187"/>
    <n v="5.3936824317336187"/>
    <n v="5.3936824317336187"/>
    <n v="5.3936824317336187"/>
    <n v="5.3936824317336187"/>
    <n v="5.3936824317336187"/>
    <n v="5.3936824317336187"/>
    <n v="5.3936824317336187"/>
    <n v="5.3936824317336187"/>
    <n v="5.3936824317336187"/>
    <n v="5.3936824317336187"/>
    <n v="64.724189180803407"/>
    <m/>
    <n v="0.91729293056694194"/>
    <n v="0.91729293056694194"/>
    <n v="0.91729293056694194"/>
    <n v="0.91729293056694194"/>
    <n v="0.91729293056694194"/>
    <n v="0.91729293056694194"/>
    <n v="0.91729293056694194"/>
    <n v="0.91729293056694194"/>
    <n v="0.91729293056694194"/>
    <n v="0.91729293056694194"/>
    <n v="0.91729293056694194"/>
    <n v="0.91729293056694194"/>
    <n v="11.007515166803307"/>
    <x v="5"/>
  </r>
  <r>
    <x v="2"/>
    <x v="2"/>
    <x v="11"/>
    <x v="21"/>
    <x v="2"/>
    <x v="102"/>
    <x v="6"/>
    <x v="124"/>
    <s v="Existente"/>
    <s v="Mensal"/>
    <s v="Contrato em Curso"/>
    <m/>
    <m/>
    <x v="5"/>
    <m/>
    <s v="USD"/>
    <n v="155.13653276155642"/>
    <n v="155.13653276155642"/>
    <n v="155.13653276155642"/>
    <n v="155.13653276155642"/>
    <n v="155.13653276155642"/>
    <n v="155.13653276155642"/>
    <n v="155.13653276155642"/>
    <n v="155.13653276155642"/>
    <n v="155.13653276155642"/>
    <n v="155.13653276155642"/>
    <n v="155.13653276155642"/>
    <n v="155.13653276155642"/>
    <n v="1861.6383931386774"/>
    <m/>
    <n v="0.91220281263795178"/>
    <n v="0.91220281263795178"/>
    <n v="0.91220281263795178"/>
    <n v="0.91220281263795178"/>
    <n v="0.91220281263795178"/>
    <n v="0.91220281263795178"/>
    <n v="0.91220281263795178"/>
    <n v="0.91220281263795178"/>
    <n v="0.91220281263795178"/>
    <n v="0.91220281263795178"/>
    <n v="0.91220281263795178"/>
    <n v="0.91220281263795178"/>
    <n v="10.946433751655425"/>
    <m/>
    <n v="0.91220281263795178"/>
    <n v="0.91220281263795178"/>
    <n v="0.91220281263795178"/>
    <n v="0.91220281263795178"/>
    <n v="0.91220281263795178"/>
    <n v="0.91220281263795178"/>
    <n v="0.91220281263795178"/>
    <n v="0.91220281263795178"/>
    <n v="0.91220281263795178"/>
    <n v="0.91220281263795178"/>
    <n v="0.91220281263795178"/>
    <n v="0.91220281263795178"/>
    <n v="10.946433751655425"/>
    <m/>
    <n v="0.15513653276155642"/>
    <n v="0.15513653276155642"/>
    <n v="0.15513653276155642"/>
    <n v="0.15513653276155642"/>
    <n v="0.15513653276155642"/>
    <n v="0.15513653276155642"/>
    <n v="0.15513653276155642"/>
    <n v="0.15513653276155642"/>
    <n v="0.15513653276155642"/>
    <n v="0.15513653276155642"/>
    <n v="0.15513653276155642"/>
    <n v="0.15513653276155642"/>
    <n v="1.8616383931386766"/>
    <x v="5"/>
  </r>
  <r>
    <x v="2"/>
    <x v="2"/>
    <x v="11"/>
    <x v="21"/>
    <x v="2"/>
    <x v="103"/>
    <x v="4"/>
    <x v="125"/>
    <s v="Existente"/>
    <s v="Mensal"/>
    <s v="Contrato em Curso"/>
    <m/>
    <m/>
    <x v="6"/>
    <m/>
    <s v="USD"/>
    <n v="365.76906098253141"/>
    <n v="365.76906098253141"/>
    <n v="365.76906098253141"/>
    <n v="365.76906098253141"/>
    <n v="365.76906098253141"/>
    <n v="365.76906098253141"/>
    <n v="365.76906098253141"/>
    <n v="365.76906098253141"/>
    <n v="365.76906098253141"/>
    <n v="365.76906098253141"/>
    <n v="365.76906098253141"/>
    <n v="365.76906098253141"/>
    <n v="4389.2287317903765"/>
    <m/>
    <n v="2.1507220785772847"/>
    <n v="2.1507220785772847"/>
    <n v="2.1507220785772847"/>
    <n v="2.1507220785772847"/>
    <n v="2.1507220785772847"/>
    <n v="2.1507220785772847"/>
    <n v="2.1507220785772847"/>
    <n v="2.1507220785772847"/>
    <n v="2.1507220785772847"/>
    <n v="2.1507220785772847"/>
    <n v="2.1507220785772847"/>
    <n v="2.1507220785772847"/>
    <n v="25.808664942927418"/>
    <m/>
    <n v="2.1507220785772847"/>
    <n v="2.1507220785772847"/>
    <n v="2.1507220785772847"/>
    <n v="2.1507220785772847"/>
    <n v="2.1507220785772847"/>
    <n v="2.1507220785772847"/>
    <n v="2.1507220785772847"/>
    <n v="2.1507220785772847"/>
    <n v="2.1507220785772847"/>
    <n v="2.1507220785772847"/>
    <n v="2.1507220785772847"/>
    <n v="2.1507220785772847"/>
    <n v="25.808664942927418"/>
    <m/>
    <n v="0.36576906098253142"/>
    <n v="0.36576906098253142"/>
    <n v="0.36576906098253142"/>
    <n v="0.36576906098253142"/>
    <n v="0.36576906098253142"/>
    <n v="0.36576906098253142"/>
    <n v="0.36576906098253142"/>
    <n v="0.36576906098253142"/>
    <n v="0.36576906098253142"/>
    <n v="0.36576906098253142"/>
    <n v="0.36576906098253142"/>
    <n v="0.36576906098253142"/>
    <n v="4.389228731790376"/>
    <x v="5"/>
  </r>
  <r>
    <x v="2"/>
    <x v="2"/>
    <x v="11"/>
    <x v="21"/>
    <x v="2"/>
    <x v="104"/>
    <x v="4"/>
    <x v="125"/>
    <s v="Existente"/>
    <s v="Mensal"/>
    <s v="Contrato em Curso"/>
    <m/>
    <m/>
    <x v="6"/>
    <m/>
    <s v="USD"/>
    <n v="56.183893548590532"/>
    <n v="56.183893548590532"/>
    <n v="56.183893548590532"/>
    <n v="56.183893548590532"/>
    <n v="56.183893548590532"/>
    <n v="56.183893548590532"/>
    <n v="56.183893548590532"/>
    <n v="56.183893548590532"/>
    <n v="56.183893548590532"/>
    <n v="56.183893548590532"/>
    <n v="56.183893548590532"/>
    <n v="56.183893548590532"/>
    <n v="674.20672258308616"/>
    <m/>
    <n v="0.33036129406571235"/>
    <n v="0.33036129406571235"/>
    <n v="0.33036129406571235"/>
    <n v="0.33036129406571235"/>
    <n v="0.33036129406571235"/>
    <n v="0.33036129406571235"/>
    <n v="0.33036129406571235"/>
    <n v="0.33036129406571235"/>
    <n v="0.33036129406571235"/>
    <n v="0.33036129406571235"/>
    <n v="0.33036129406571235"/>
    <n v="0.33036129406571235"/>
    <n v="3.9643355287885473"/>
    <m/>
    <n v="0.33036129406571235"/>
    <n v="0.33036129406571235"/>
    <n v="0.33036129406571235"/>
    <n v="0.33036129406571235"/>
    <n v="0.33036129406571235"/>
    <n v="0.33036129406571235"/>
    <n v="0.33036129406571235"/>
    <n v="0.33036129406571235"/>
    <n v="0.33036129406571235"/>
    <n v="0.33036129406571235"/>
    <n v="0.33036129406571235"/>
    <n v="0.33036129406571235"/>
    <n v="3.9643355287885473"/>
    <m/>
    <n v="5.618389354859054E-2"/>
    <n v="5.618389354859054E-2"/>
    <n v="5.618389354859054E-2"/>
    <n v="5.618389354859054E-2"/>
    <n v="5.618389354859054E-2"/>
    <n v="5.618389354859054E-2"/>
    <n v="5.618389354859054E-2"/>
    <n v="5.618389354859054E-2"/>
    <n v="5.618389354859054E-2"/>
    <n v="5.618389354859054E-2"/>
    <n v="5.618389354859054E-2"/>
    <n v="5.618389354859054E-2"/>
    <n v="0.67420672258308645"/>
    <x v="5"/>
  </r>
  <r>
    <x v="2"/>
    <x v="2"/>
    <x v="11"/>
    <x v="21"/>
    <x v="2"/>
    <x v="105"/>
    <x v="4"/>
    <x v="126"/>
    <s v="Existente"/>
    <s v="Mensal"/>
    <s v="Contrato em Curso"/>
    <m/>
    <m/>
    <x v="6"/>
    <m/>
    <s v="USD"/>
    <n v="76.364255533833642"/>
    <n v="76.364255533833642"/>
    <n v="76.364255533833642"/>
    <n v="76.364255533833642"/>
    <n v="76.364255533833642"/>
    <n v="76.364255533833642"/>
    <n v="76.364255533833642"/>
    <n v="76.364255533833642"/>
    <n v="76.364255533833642"/>
    <n v="76.364255533833642"/>
    <n v="76.364255533833642"/>
    <n v="76.364255533833642"/>
    <n v="916.37106640600393"/>
    <m/>
    <n v="0.44902182253894179"/>
    <n v="0.44902182253894179"/>
    <n v="0.44902182253894179"/>
    <n v="0.44902182253894179"/>
    <n v="0.44902182253894179"/>
    <n v="0.44902182253894179"/>
    <n v="0.44902182253894179"/>
    <n v="0.44902182253894179"/>
    <n v="0.44902182253894179"/>
    <n v="0.44902182253894179"/>
    <n v="0.44902182253894179"/>
    <n v="0.44902182253894179"/>
    <n v="5.3882618704673026"/>
    <m/>
    <n v="0.44902182253894179"/>
    <n v="0.44902182253894179"/>
    <n v="0.44902182253894179"/>
    <n v="0.44902182253894179"/>
    <n v="0.44902182253894179"/>
    <n v="0.44902182253894179"/>
    <n v="0.44902182253894179"/>
    <n v="0.44902182253894179"/>
    <n v="0.44902182253894179"/>
    <n v="0.44902182253894179"/>
    <n v="0.44902182253894179"/>
    <n v="0.44902182253894179"/>
    <n v="5.3882618704673026"/>
    <m/>
    <n v="7.6364255533833636E-2"/>
    <n v="7.6364255533833636E-2"/>
    <n v="7.6364255533833636E-2"/>
    <n v="7.6364255533833636E-2"/>
    <n v="7.6364255533833636E-2"/>
    <n v="7.6364255533833636E-2"/>
    <n v="7.6364255533833636E-2"/>
    <n v="7.6364255533833636E-2"/>
    <n v="7.6364255533833636E-2"/>
    <n v="7.6364255533833636E-2"/>
    <n v="7.6364255533833636E-2"/>
    <n v="7.6364255533833636E-2"/>
    <n v="0.91637106640600363"/>
    <x v="5"/>
  </r>
  <r>
    <x v="2"/>
    <x v="2"/>
    <x v="11"/>
    <x v="21"/>
    <x v="2"/>
    <x v="106"/>
    <x v="0"/>
    <x v="127"/>
    <s v="Existente"/>
    <s v="Trimestral"/>
    <s v="Contrato em Curso"/>
    <m/>
    <m/>
    <x v="0"/>
    <m/>
    <s v="USD"/>
    <n v="1889"/>
    <m/>
    <m/>
    <n v="1889"/>
    <m/>
    <m/>
    <n v="2379"/>
    <m/>
    <m/>
    <n v="2379"/>
    <m/>
    <m/>
    <n v="8536"/>
    <m/>
    <n v="11.10732"/>
    <s v=""/>
    <s v=""/>
    <n v="11.10732"/>
    <s v=""/>
    <s v=""/>
    <n v="13.988520000000001"/>
    <s v=""/>
    <s v=""/>
    <n v="13.988520000000001"/>
    <s v=""/>
    <s v=""/>
    <n v="50.191679999999998"/>
    <m/>
    <n v="11.10732"/>
    <s v=""/>
    <s v=""/>
    <n v="11.10732"/>
    <s v=""/>
    <s v=""/>
    <n v="13.988520000000001"/>
    <s v=""/>
    <s v=""/>
    <n v="13.988520000000001"/>
    <s v=""/>
    <s v=""/>
    <n v="50.191679999999998"/>
    <m/>
    <n v="1.889"/>
    <s v=""/>
    <s v=""/>
    <n v="1.889"/>
    <s v=""/>
    <s v=""/>
    <n v="2.3790000000000004"/>
    <s v=""/>
    <s v=""/>
    <n v="2.3790000000000004"/>
    <s v=""/>
    <s v=""/>
    <n v="8.5360000000000014"/>
    <x v="5"/>
  </r>
  <r>
    <x v="2"/>
    <x v="2"/>
    <x v="11"/>
    <x v="21"/>
    <x v="2"/>
    <x v="107"/>
    <x v="0"/>
    <x v="87"/>
    <s v="Existente"/>
    <s v="Mensal"/>
    <s v="Contrato em Curso"/>
    <m/>
    <m/>
    <x v="2"/>
    <m/>
    <s v="USD"/>
    <n v="1824"/>
    <m/>
    <m/>
    <n v="1824"/>
    <m/>
    <m/>
    <n v="1824"/>
    <m/>
    <m/>
    <n v="1824"/>
    <m/>
    <m/>
    <n v="7296"/>
    <m/>
    <n v="10.725119999999999"/>
    <s v=""/>
    <s v=""/>
    <n v="10.725119999999999"/>
    <s v=""/>
    <s v=""/>
    <n v="10.725119999999999"/>
    <s v=""/>
    <s v=""/>
    <n v="10.725119999999999"/>
    <s v=""/>
    <s v=""/>
    <n v="42.900479999999995"/>
    <m/>
    <n v="10.725119999999999"/>
    <s v=""/>
    <s v=""/>
    <n v="10.725119999999999"/>
    <s v=""/>
    <s v=""/>
    <n v="10.725119999999999"/>
    <s v=""/>
    <s v=""/>
    <n v="10.725119999999999"/>
    <s v=""/>
    <s v=""/>
    <n v="42.900479999999995"/>
    <m/>
    <n v="1.8239999999999998"/>
    <s v=""/>
    <s v=""/>
    <n v="1.8239999999999998"/>
    <s v=""/>
    <s v=""/>
    <n v="1.8239999999999998"/>
    <s v=""/>
    <s v=""/>
    <n v="1.8239999999999998"/>
    <s v=""/>
    <s v=""/>
    <n v="7.2959999999999994"/>
    <x v="5"/>
  </r>
  <r>
    <x v="2"/>
    <x v="2"/>
    <x v="11"/>
    <x v="21"/>
    <x v="2"/>
    <x v="108"/>
    <x v="0"/>
    <x v="128"/>
    <s v="Existente"/>
    <s v="Trimestral"/>
    <s v="Contrato em Curso"/>
    <m/>
    <m/>
    <x v="3"/>
    <m/>
    <s v="USD"/>
    <n v="900"/>
    <m/>
    <m/>
    <n v="900"/>
    <m/>
    <m/>
    <n v="900"/>
    <m/>
    <m/>
    <n v="900"/>
    <m/>
    <m/>
    <n v="3600"/>
    <m/>
    <n v="5.2919999999999998"/>
    <s v=""/>
    <s v=""/>
    <n v="5.2919999999999998"/>
    <s v=""/>
    <s v=""/>
    <n v="5.2919999999999998"/>
    <s v=""/>
    <s v=""/>
    <n v="5.2919999999999998"/>
    <s v=""/>
    <s v=""/>
    <n v="21.167999999999999"/>
    <m/>
    <n v="5.2919999999999998"/>
    <s v=""/>
    <s v=""/>
    <n v="5.2919999999999998"/>
    <s v=""/>
    <s v=""/>
    <n v="5.2919999999999998"/>
    <s v=""/>
    <s v=""/>
    <n v="5.2919999999999998"/>
    <s v=""/>
    <s v=""/>
    <n v="21.167999999999999"/>
    <m/>
    <n v="0.9"/>
    <s v=""/>
    <s v=""/>
    <n v="0.9"/>
    <s v=""/>
    <s v=""/>
    <n v="0.9"/>
    <s v=""/>
    <s v=""/>
    <n v="0.9"/>
    <s v=""/>
    <s v=""/>
    <n v="3.6"/>
    <x v="5"/>
  </r>
  <r>
    <x v="2"/>
    <x v="2"/>
    <x v="8"/>
    <x v="20"/>
    <x v="2"/>
    <x v="30"/>
    <x v="0"/>
    <x v="79"/>
    <s v="Existente"/>
    <s v="Mensal"/>
    <s v="Contrato em Curso"/>
    <m/>
    <m/>
    <x v="2"/>
    <m/>
    <s v="USD"/>
    <m/>
    <m/>
    <m/>
    <m/>
    <m/>
    <m/>
    <m/>
    <m/>
    <m/>
    <m/>
    <m/>
    <m/>
    <s v=""/>
    <m/>
    <s v=""/>
    <s v=""/>
    <s v=""/>
    <s v=""/>
    <s v=""/>
    <s v=""/>
    <s v=""/>
    <s v=""/>
    <s v=""/>
    <s v=""/>
    <s v=""/>
    <s v=""/>
    <s v=""/>
    <m/>
    <s v=""/>
    <s v=""/>
    <s v=""/>
    <s v=""/>
    <s v=""/>
    <s v=""/>
    <s v=""/>
    <s v=""/>
    <s v=""/>
    <s v=""/>
    <s v=""/>
    <s v=""/>
    <s v=""/>
    <m/>
    <s v=""/>
    <s v=""/>
    <s v=""/>
    <s v=""/>
    <s v=""/>
    <s v=""/>
    <s v=""/>
    <s v=""/>
    <s v=""/>
    <s v=""/>
    <s v=""/>
    <s v=""/>
    <s v=""/>
    <x v="5"/>
  </r>
  <r>
    <x v="2"/>
    <x v="2"/>
    <x v="11"/>
    <x v="21"/>
    <x v="2"/>
    <x v="29"/>
    <x v="0"/>
    <x v="105"/>
    <s v="Existente"/>
    <s v="Anual"/>
    <s v="Contrato em Curso"/>
    <m/>
    <m/>
    <x v="5"/>
    <m/>
    <s v="USD"/>
    <m/>
    <m/>
    <m/>
    <m/>
    <m/>
    <m/>
    <n v="1522"/>
    <m/>
    <m/>
    <m/>
    <m/>
    <m/>
    <n v="1522"/>
    <m/>
    <s v=""/>
    <s v=""/>
    <s v=""/>
    <s v=""/>
    <s v=""/>
    <s v=""/>
    <n v="8.9493600000000004"/>
    <s v=""/>
    <s v=""/>
    <s v=""/>
    <s v=""/>
    <s v=""/>
    <n v="8.9493600000000004"/>
    <m/>
    <s v=""/>
    <s v=""/>
    <s v=""/>
    <s v=""/>
    <s v=""/>
    <s v=""/>
    <n v="8.9493600000000004"/>
    <s v=""/>
    <s v=""/>
    <s v=""/>
    <s v=""/>
    <s v=""/>
    <n v="8.9493600000000004"/>
    <m/>
    <s v=""/>
    <s v=""/>
    <s v=""/>
    <s v=""/>
    <s v=""/>
    <s v=""/>
    <n v="1.522"/>
    <s v=""/>
    <s v=""/>
    <s v=""/>
    <s v=""/>
    <s v=""/>
    <n v="1.522"/>
    <x v="5"/>
  </r>
  <r>
    <x v="2"/>
    <x v="2"/>
    <x v="11"/>
    <x v="21"/>
    <x v="2"/>
    <x v="30"/>
    <x v="0"/>
    <x v="79"/>
    <s v="Existente"/>
    <s v="Anual"/>
    <s v="Contrato em Curso"/>
    <m/>
    <m/>
    <x v="2"/>
    <m/>
    <s v="USD"/>
    <n v="312"/>
    <m/>
    <m/>
    <n v="312"/>
    <m/>
    <m/>
    <n v="312"/>
    <m/>
    <m/>
    <n v="312"/>
    <m/>
    <m/>
    <n v="1248"/>
    <m/>
    <n v="1.83456"/>
    <s v=""/>
    <s v=""/>
    <n v="1.83456"/>
    <s v=""/>
    <s v=""/>
    <n v="1.83456"/>
    <s v=""/>
    <s v=""/>
    <n v="1.83456"/>
    <s v=""/>
    <s v=""/>
    <n v="7.3382399999999999"/>
    <m/>
    <n v="1.83456"/>
    <s v=""/>
    <s v=""/>
    <n v="1.83456"/>
    <s v=""/>
    <s v=""/>
    <n v="1.83456"/>
    <s v=""/>
    <s v=""/>
    <n v="1.83456"/>
    <s v=""/>
    <s v=""/>
    <n v="7.3382399999999999"/>
    <m/>
    <n v="0.312"/>
    <s v=""/>
    <s v=""/>
    <n v="0.312"/>
    <s v=""/>
    <s v=""/>
    <n v="0.312"/>
    <s v=""/>
    <s v=""/>
    <n v="0.312"/>
    <s v=""/>
    <s v=""/>
    <n v="1.248"/>
    <x v="5"/>
  </r>
  <r>
    <x v="2"/>
    <x v="2"/>
    <x v="11"/>
    <x v="21"/>
    <x v="2"/>
    <x v="60"/>
    <x v="0"/>
    <x v="120"/>
    <s v="Existente"/>
    <s v="Trimestral"/>
    <s v="Contrato em Curso"/>
    <m/>
    <m/>
    <x v="4"/>
    <m/>
    <s v="USD"/>
    <n v="44.5"/>
    <m/>
    <m/>
    <n v="44.5"/>
    <m/>
    <m/>
    <n v="44.5"/>
    <m/>
    <m/>
    <n v="44.5"/>
    <m/>
    <m/>
    <n v="178"/>
    <m/>
    <n v="0.26165999999999995"/>
    <s v=""/>
    <s v=""/>
    <n v="0.26165999999999995"/>
    <s v=""/>
    <s v=""/>
    <n v="0.26165999999999995"/>
    <s v=""/>
    <s v=""/>
    <n v="0.26165999999999995"/>
    <s v=""/>
    <s v=""/>
    <n v="1.0466399999999998"/>
    <m/>
    <n v="0.26165999999999995"/>
    <s v=""/>
    <s v=""/>
    <n v="0.26165999999999995"/>
    <s v=""/>
    <s v=""/>
    <n v="0.26165999999999995"/>
    <s v=""/>
    <s v=""/>
    <n v="0.26165999999999995"/>
    <s v=""/>
    <s v=""/>
    <n v="1.0466399999999998"/>
    <m/>
    <n v="4.4499999999999991E-2"/>
    <s v=""/>
    <s v=""/>
    <n v="4.4499999999999991E-2"/>
    <s v=""/>
    <s v=""/>
    <n v="4.4499999999999991E-2"/>
    <s v=""/>
    <s v=""/>
    <n v="4.4499999999999991E-2"/>
    <s v=""/>
    <s v=""/>
    <n v="0.17799999999999996"/>
    <x v="5"/>
  </r>
  <r>
    <x v="2"/>
    <x v="2"/>
    <x v="11"/>
    <x v="21"/>
    <x v="2"/>
    <x v="109"/>
    <x v="2"/>
    <x v="129"/>
    <s v="Existente"/>
    <s v="Anual"/>
    <s v="Contrato em Curso"/>
    <m/>
    <m/>
    <x v="5"/>
    <m/>
    <s v="USD"/>
    <n v="203.62"/>
    <n v="203.62"/>
    <n v="203.62"/>
    <n v="203.62"/>
    <n v="203.62"/>
    <n v="203.62"/>
    <n v="203.62"/>
    <n v="203.62"/>
    <n v="203.62"/>
    <n v="203.62"/>
    <n v="203.62"/>
    <n v="203.62"/>
    <n v="2443.4399999999996"/>
    <m/>
    <n v="1.1972855999999998"/>
    <n v="1.1972855999999998"/>
    <n v="1.1972855999999998"/>
    <n v="1.1972855999999998"/>
    <n v="1.1972855999999998"/>
    <n v="1.1972855999999998"/>
    <n v="1.1972855999999998"/>
    <n v="1.1972855999999998"/>
    <n v="1.1972855999999998"/>
    <n v="1.1972855999999998"/>
    <n v="1.1972855999999998"/>
    <n v="1.1972855999999998"/>
    <n v="14.367427200000002"/>
    <m/>
    <n v="1.1972855999999998"/>
    <n v="1.1972855999999998"/>
    <n v="1.1972855999999998"/>
    <n v="1.1972855999999998"/>
    <n v="1.1972855999999998"/>
    <n v="1.1972855999999998"/>
    <n v="1.1972855999999998"/>
    <n v="1.1972855999999998"/>
    <n v="1.1972855999999998"/>
    <n v="1.1972855999999998"/>
    <n v="1.1972855999999998"/>
    <n v="1.1972855999999998"/>
    <n v="14.367427200000002"/>
    <m/>
    <n v="0.20361999999999997"/>
    <n v="0.20361999999999997"/>
    <n v="0.20361999999999997"/>
    <n v="0.20361999999999997"/>
    <n v="0.20361999999999997"/>
    <n v="0.20361999999999997"/>
    <n v="0.20361999999999997"/>
    <n v="0.20361999999999997"/>
    <n v="0.20361999999999997"/>
    <n v="0.20361999999999997"/>
    <n v="0.20361999999999997"/>
    <n v="0.20361999999999997"/>
    <n v="2.4434399999999994"/>
    <x v="5"/>
  </r>
  <r>
    <x v="2"/>
    <x v="2"/>
    <x v="11"/>
    <x v="21"/>
    <x v="2"/>
    <x v="109"/>
    <x v="2"/>
    <x v="129"/>
    <s v="Existente"/>
    <s v="Anual"/>
    <s v="Contrato em Curso"/>
    <m/>
    <m/>
    <x v="5"/>
    <m/>
    <s v="USD"/>
    <n v="116"/>
    <n v="116"/>
    <n v="116"/>
    <n v="116"/>
    <n v="116"/>
    <n v="116"/>
    <n v="116"/>
    <n v="116"/>
    <n v="116"/>
    <n v="116"/>
    <n v="116"/>
    <n v="116"/>
    <n v="1392"/>
    <m/>
    <n v="0.68208000000000002"/>
    <n v="0.68208000000000002"/>
    <n v="0.68208000000000002"/>
    <n v="0.68208000000000002"/>
    <n v="0.68208000000000002"/>
    <n v="0.68208000000000002"/>
    <n v="0.68208000000000002"/>
    <n v="0.68208000000000002"/>
    <n v="0.68208000000000002"/>
    <n v="0.68208000000000002"/>
    <n v="0.68208000000000002"/>
    <n v="0.68208000000000002"/>
    <n v="8.1849600000000002"/>
    <m/>
    <n v="0.68208000000000002"/>
    <n v="0.68208000000000002"/>
    <n v="0.68208000000000002"/>
    <n v="0.68208000000000002"/>
    <n v="0.68208000000000002"/>
    <n v="0.68208000000000002"/>
    <n v="0.68208000000000002"/>
    <n v="0.68208000000000002"/>
    <n v="0.68208000000000002"/>
    <n v="0.68208000000000002"/>
    <n v="0.68208000000000002"/>
    <n v="0.68208000000000002"/>
    <n v="8.1849600000000002"/>
    <m/>
    <n v="0.11600000000000001"/>
    <n v="0.11600000000000001"/>
    <n v="0.11600000000000001"/>
    <n v="0.11600000000000001"/>
    <n v="0.11600000000000001"/>
    <n v="0.11600000000000001"/>
    <n v="0.11600000000000001"/>
    <n v="0.11600000000000001"/>
    <n v="0.11600000000000001"/>
    <n v="0.11600000000000001"/>
    <n v="0.11600000000000001"/>
    <n v="0.11600000000000001"/>
    <n v="1.3920000000000003"/>
    <x v="5"/>
  </r>
  <r>
    <x v="2"/>
    <x v="2"/>
    <x v="11"/>
    <x v="21"/>
    <x v="2"/>
    <x v="109"/>
    <x v="2"/>
    <x v="129"/>
    <s v="Existente"/>
    <s v="Anual"/>
    <s v="Contrato em Curso"/>
    <m/>
    <m/>
    <x v="5"/>
    <m/>
    <s v="USD"/>
    <n v="314"/>
    <n v="314"/>
    <n v="314"/>
    <n v="314"/>
    <n v="314"/>
    <n v="314"/>
    <n v="314"/>
    <n v="314"/>
    <n v="314"/>
    <n v="314"/>
    <n v="314"/>
    <n v="314"/>
    <n v="3768"/>
    <m/>
    <n v="1.84632"/>
    <n v="1.84632"/>
    <n v="1.84632"/>
    <n v="1.84632"/>
    <n v="1.84632"/>
    <n v="1.84632"/>
    <n v="1.84632"/>
    <n v="1.84632"/>
    <n v="1.84632"/>
    <n v="1.84632"/>
    <n v="1.84632"/>
    <n v="1.84632"/>
    <n v="22.155839999999998"/>
    <m/>
    <n v="1.84632"/>
    <n v="1.84632"/>
    <n v="1.84632"/>
    <n v="1.84632"/>
    <n v="1.84632"/>
    <n v="1.84632"/>
    <n v="1.84632"/>
    <n v="1.84632"/>
    <n v="1.84632"/>
    <n v="1.84632"/>
    <n v="1.84632"/>
    <n v="1.84632"/>
    <n v="22.155839999999998"/>
    <m/>
    <n v="0.314"/>
    <n v="0.314"/>
    <n v="0.314"/>
    <n v="0.314"/>
    <n v="0.314"/>
    <n v="0.314"/>
    <n v="0.314"/>
    <n v="0.314"/>
    <n v="0.314"/>
    <n v="0.314"/>
    <n v="0.314"/>
    <n v="0.314"/>
    <n v="3.7680000000000002"/>
    <x v="5"/>
  </r>
  <r>
    <x v="2"/>
    <x v="2"/>
    <x v="11"/>
    <x v="21"/>
    <x v="2"/>
    <x v="12"/>
    <x v="3"/>
    <x v="15"/>
    <s v="Existente"/>
    <s v="Anual"/>
    <s v="Contrato em Curso"/>
    <m/>
    <m/>
    <x v="4"/>
    <m/>
    <s v="USD"/>
    <n v="42"/>
    <n v="42"/>
    <n v="42"/>
    <n v="42"/>
    <n v="42"/>
    <n v="42"/>
    <n v="42"/>
    <n v="42"/>
    <n v="42"/>
    <n v="42"/>
    <n v="42"/>
    <n v="42"/>
    <n v="5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0.24696000000000001"/>
    <n v="0.24696000000000001"/>
    <n v="0.24696000000000001"/>
    <n v="0.24696000000000001"/>
    <n v="0.24696000000000001"/>
    <n v="0.24696000000000001"/>
    <n v="0.24696000000000001"/>
    <n v="0.24696000000000001"/>
    <n v="0.24696000000000001"/>
    <n v="0.24696000000000001"/>
    <n v="0.24696000000000001"/>
    <n v="0.24696000000000001"/>
    <n v="2.9635200000000004"/>
    <m/>
    <n v="4.2000000000000003E-2"/>
    <n v="4.2000000000000003E-2"/>
    <n v="4.2000000000000003E-2"/>
    <n v="4.2000000000000003E-2"/>
    <n v="4.2000000000000003E-2"/>
    <n v="4.2000000000000003E-2"/>
    <n v="4.2000000000000003E-2"/>
    <n v="4.2000000000000003E-2"/>
    <n v="4.2000000000000003E-2"/>
    <n v="4.2000000000000003E-2"/>
    <n v="4.2000000000000003E-2"/>
    <n v="4.2000000000000003E-2"/>
    <n v="0.50399999999999989"/>
    <x v="5"/>
  </r>
  <r>
    <x v="2"/>
    <x v="2"/>
    <x v="11"/>
    <x v="21"/>
    <x v="2"/>
    <x v="110"/>
    <x v="2"/>
    <x v="130"/>
    <s v="Existente"/>
    <s v="Anual"/>
    <s v="Contrato em Curso"/>
    <m/>
    <m/>
    <x v="4"/>
    <m/>
    <s v="USD"/>
    <n v="20"/>
    <n v="20"/>
    <n v="20"/>
    <n v="20"/>
    <n v="20"/>
    <n v="20"/>
    <n v="20"/>
    <n v="20"/>
    <n v="20"/>
    <n v="20"/>
    <n v="20"/>
    <n v="20"/>
    <n v="240"/>
    <m/>
    <n v="0.1176"/>
    <n v="0.1176"/>
    <n v="0.1176"/>
    <n v="0.1176"/>
    <n v="0.1176"/>
    <n v="0.1176"/>
    <n v="0.1176"/>
    <n v="0.1176"/>
    <n v="0.1176"/>
    <n v="0.1176"/>
    <n v="0.1176"/>
    <n v="0.1176"/>
    <n v="1.4111999999999998"/>
    <m/>
    <n v="0.1176"/>
    <n v="0.1176"/>
    <n v="0.1176"/>
    <n v="0.1176"/>
    <n v="0.1176"/>
    <n v="0.1176"/>
    <n v="0.1176"/>
    <n v="0.1176"/>
    <n v="0.1176"/>
    <n v="0.1176"/>
    <n v="0.1176"/>
    <n v="0.1176"/>
    <n v="1.4111999999999998"/>
    <m/>
    <n v="0.02"/>
    <n v="0.02"/>
    <n v="0.02"/>
    <n v="0.02"/>
    <n v="0.02"/>
    <n v="0.02"/>
    <n v="0.02"/>
    <n v="0.02"/>
    <n v="0.02"/>
    <n v="0.02"/>
    <n v="0.02"/>
    <n v="0.02"/>
    <n v="0.23999999999999996"/>
    <x v="5"/>
  </r>
  <r>
    <x v="2"/>
    <x v="2"/>
    <x v="11"/>
    <x v="21"/>
    <x v="2"/>
    <x v="111"/>
    <x v="3"/>
    <x v="131"/>
    <s v="Existente"/>
    <s v="Anual"/>
    <s v="Contrato em Curso"/>
    <m/>
    <m/>
    <x v="9"/>
    <m/>
    <s v="USD"/>
    <n v="0"/>
    <n v="0"/>
    <n v="0"/>
    <n v="0"/>
    <n v="0"/>
    <n v="0"/>
    <n v="0"/>
    <n v="1841.4580311534339"/>
    <n v="0"/>
    <n v="0"/>
    <n v="0"/>
    <n v="0"/>
    <n v="1841.4580311534339"/>
    <m/>
    <n v="0"/>
    <n v="0"/>
    <n v="0"/>
    <n v="0"/>
    <n v="0"/>
    <n v="0"/>
    <n v="0"/>
    <n v="10.827773223182191"/>
    <n v="0"/>
    <n v="0"/>
    <n v="0"/>
    <n v="0"/>
    <n v="10.827773223182191"/>
    <m/>
    <n v="0"/>
    <n v="0"/>
    <n v="0"/>
    <n v="0"/>
    <n v="0"/>
    <n v="0"/>
    <n v="0"/>
    <n v="10.827773223182191"/>
    <n v="0"/>
    <n v="0"/>
    <n v="0"/>
    <n v="0"/>
    <n v="10.827773223182191"/>
    <m/>
    <n v="0"/>
    <n v="0"/>
    <n v="0"/>
    <n v="0"/>
    <n v="0"/>
    <n v="0"/>
    <n v="0"/>
    <n v="1.8414580311534339"/>
    <n v="0"/>
    <n v="0"/>
    <n v="0"/>
    <n v="0"/>
    <n v="1.8414580311534339"/>
    <x v="5"/>
  </r>
  <r>
    <x v="2"/>
    <x v="2"/>
    <x v="11"/>
    <x v="21"/>
    <x v="2"/>
    <x v="99"/>
    <x v="5"/>
    <x v="132"/>
    <s v="Existente"/>
    <s v="Mensal"/>
    <s v="Contrato em Curso"/>
    <m/>
    <m/>
    <x v="12"/>
    <m/>
    <s v="USD"/>
    <n v="63.063631203884725"/>
    <n v="63.063631203884725"/>
    <n v="63.063631203884725"/>
    <n v="63.063631203884725"/>
    <n v="63.063631203884725"/>
    <n v="63.063631203884725"/>
    <n v="63.063631203884725"/>
    <n v="63.063631203884725"/>
    <n v="63.063631203884725"/>
    <n v="63.063631203884725"/>
    <n v="63.063631203884725"/>
    <n v="63.063631203884725"/>
    <n v="756.76357444661664"/>
    <m/>
    <n v="0.37081415147884217"/>
    <n v="0.37081415147884217"/>
    <n v="0.37081415147884217"/>
    <n v="0.37081415147884217"/>
    <n v="0.37081415147884217"/>
    <n v="0.37081415147884217"/>
    <n v="0.37081415147884217"/>
    <n v="0.37081415147884217"/>
    <n v="0.37081415147884217"/>
    <n v="0.37081415147884217"/>
    <n v="0.37081415147884217"/>
    <n v="0.37081415147884217"/>
    <n v="4.4497698177461062"/>
    <m/>
    <n v="0.37081415147884217"/>
    <n v="0.37081415147884217"/>
    <n v="0.37081415147884217"/>
    <n v="0.37081415147884217"/>
    <n v="0.37081415147884217"/>
    <n v="0.37081415147884217"/>
    <n v="0.37081415147884217"/>
    <n v="0.37081415147884217"/>
    <n v="0.37081415147884217"/>
    <n v="0.37081415147884217"/>
    <n v="0.37081415147884217"/>
    <n v="0.37081415147884217"/>
    <n v="4.4497698177461062"/>
    <m/>
    <n v="6.3063631203884724E-2"/>
    <n v="6.3063631203884724E-2"/>
    <n v="6.3063631203884724E-2"/>
    <n v="6.3063631203884724E-2"/>
    <n v="6.3063631203884724E-2"/>
    <n v="6.3063631203884724E-2"/>
    <n v="6.3063631203884724E-2"/>
    <n v="6.3063631203884724E-2"/>
    <n v="6.3063631203884724E-2"/>
    <n v="6.3063631203884724E-2"/>
    <n v="6.3063631203884724E-2"/>
    <n v="6.3063631203884724E-2"/>
    <n v="0.7567635744466164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0E563D-91E5-42EB-8925-5F66F80FCDD6}" name="PivotTable1" cacheId="24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11:G31" firstHeaderRow="1" firstDataRow="1" firstDataCol="7"/>
  <pivotFields count="8">
    <pivotField axis="axisRow" compact="0" outline="0" showAll="0" defaultSubtotal="0">
      <items count="273">
        <item x="247"/>
        <item x="239"/>
        <item x="244"/>
        <item x="240"/>
        <item x="232"/>
        <item x="241"/>
        <item x="235"/>
        <item x="233"/>
        <item x="234"/>
        <item x="237"/>
        <item x="245"/>
        <item x="236"/>
        <item x="238"/>
        <item x="242"/>
        <item x="243"/>
        <item x="246"/>
        <item x="199"/>
        <item x="191"/>
        <item x="196"/>
        <item x="192"/>
        <item x="184"/>
        <item x="193"/>
        <item x="187"/>
        <item x="185"/>
        <item x="186"/>
        <item x="189"/>
        <item x="197"/>
        <item x="188"/>
        <item x="190"/>
        <item x="194"/>
        <item x="195"/>
        <item x="198"/>
        <item x="215"/>
        <item x="207"/>
        <item x="212"/>
        <item x="208"/>
        <item x="202"/>
        <item x="200"/>
        <item x="209"/>
        <item x="203"/>
        <item x="201"/>
        <item x="205"/>
        <item x="213"/>
        <item x="204"/>
        <item x="206"/>
        <item x="210"/>
        <item x="211"/>
        <item x="214"/>
        <item x="231"/>
        <item x="223"/>
        <item x="228"/>
        <item x="224"/>
        <item x="216"/>
        <item x="225"/>
        <item x="219"/>
        <item x="217"/>
        <item x="218"/>
        <item x="221"/>
        <item x="229"/>
        <item x="220"/>
        <item x="222"/>
        <item x="226"/>
        <item x="227"/>
        <item x="230"/>
        <item x="40"/>
        <item x="39"/>
        <item x="42"/>
        <item x="37"/>
        <item x="35"/>
        <item x="36"/>
        <item x="38"/>
        <item x="44"/>
        <item x="41"/>
        <item x="43"/>
        <item x="30"/>
        <item x="29"/>
        <item x="32"/>
        <item x="27"/>
        <item x="25"/>
        <item x="26"/>
        <item x="28"/>
        <item x="34"/>
        <item x="31"/>
        <item x="33"/>
        <item x="272"/>
        <item x="264"/>
        <item x="268"/>
        <item x="269"/>
        <item x="261"/>
        <item x="265"/>
        <item x="262"/>
        <item x="270"/>
        <item x="263"/>
        <item x="266"/>
        <item x="267"/>
        <item x="271"/>
        <item x="174"/>
        <item x="173"/>
        <item x="175"/>
        <item x="171"/>
        <item x="169"/>
        <item x="170"/>
        <item x="172"/>
        <item x="178"/>
        <item x="176"/>
        <item x="177"/>
        <item x="78"/>
        <item x="77"/>
        <item x="80"/>
        <item x="75"/>
        <item x="73"/>
        <item x="74"/>
        <item x="76"/>
        <item x="82"/>
        <item x="79"/>
        <item x="81"/>
        <item x="20"/>
        <item x="19"/>
        <item x="22"/>
        <item x="17"/>
        <item x="15"/>
        <item x="16"/>
        <item x="18"/>
        <item x="24"/>
        <item x="21"/>
        <item x="23"/>
        <item x="50"/>
        <item x="49"/>
        <item x="52"/>
        <item x="47"/>
        <item x="45"/>
        <item x="46"/>
        <item x="48"/>
        <item x="54"/>
        <item x="51"/>
        <item x="53"/>
        <item x="144"/>
        <item x="143"/>
        <item x="146"/>
        <item x="141"/>
        <item x="139"/>
        <item x="140"/>
        <item x="142"/>
        <item x="148"/>
        <item x="145"/>
        <item x="147"/>
        <item x="106"/>
        <item x="105"/>
        <item x="103"/>
        <item x="101"/>
        <item x="102"/>
        <item x="104"/>
        <item x="110"/>
        <item x="107"/>
        <item x="109"/>
        <item x="154"/>
        <item x="153"/>
        <item x="156"/>
        <item x="151"/>
        <item x="149"/>
        <item x="150"/>
        <item x="152"/>
        <item x="158"/>
        <item x="155"/>
        <item x="157"/>
        <item x="108"/>
        <item x="96"/>
        <item x="95"/>
        <item x="98"/>
        <item x="93"/>
        <item x="94"/>
        <item x="100"/>
        <item x="97"/>
        <item x="99"/>
        <item x="161"/>
        <item x="162"/>
        <item x="160"/>
        <item x="159"/>
        <item x="163"/>
        <item x="166"/>
        <item x="167"/>
        <item x="165"/>
        <item x="164"/>
        <item x="168"/>
        <item x="12"/>
        <item x="13"/>
        <item x="11"/>
        <item x="10"/>
        <item x="14"/>
        <item x="2"/>
        <item x="3"/>
        <item x="1"/>
        <item x="0"/>
        <item x="4"/>
        <item x="7"/>
        <item x="8"/>
        <item x="6"/>
        <item x="5"/>
        <item x="9"/>
        <item x="136"/>
        <item x="137"/>
        <item x="135"/>
        <item x="134"/>
        <item x="138"/>
        <item x="181"/>
        <item x="182"/>
        <item x="180"/>
        <item x="179"/>
        <item x="183"/>
        <item x="131"/>
        <item x="132"/>
        <item x="130"/>
        <item x="129"/>
        <item x="133"/>
        <item x="260"/>
        <item x="251"/>
        <item x="252"/>
        <item x="256"/>
        <item x="257"/>
        <item x="248"/>
        <item x="253"/>
        <item x="249"/>
        <item x="258"/>
        <item x="250"/>
        <item x="255"/>
        <item x="259"/>
        <item x="254"/>
        <item x="68"/>
        <item x="67"/>
        <item x="70"/>
        <item x="65"/>
        <item x="66"/>
        <item x="72"/>
        <item x="69"/>
        <item x="71"/>
        <item x="88"/>
        <item x="87"/>
        <item x="90"/>
        <item x="85"/>
        <item x="86"/>
        <item x="92"/>
        <item x="89"/>
        <item x="83"/>
        <item x="84"/>
        <item x="91"/>
        <item x="60"/>
        <item x="59"/>
        <item x="62"/>
        <item x="57"/>
        <item x="58"/>
        <item x="64"/>
        <item x="61"/>
        <item x="55"/>
        <item x="56"/>
        <item x="63"/>
        <item x="116"/>
        <item x="115"/>
        <item x="118"/>
        <item x="113"/>
        <item x="114"/>
        <item x="120"/>
        <item x="117"/>
        <item x="111"/>
        <item x="112"/>
        <item x="119"/>
        <item x="124"/>
        <item x="123"/>
        <item x="126"/>
        <item x="121"/>
        <item x="122"/>
        <item x="128"/>
        <item x="125"/>
        <item x="127"/>
      </items>
      <extLst>
        <ext xmlns:x14="http://schemas.microsoft.com/office/spreadsheetml/2009/9/main" uri="{2946ED86-A175-432a-8AC1-64E0C546D7DE}">
          <x14:pivotField fillDownLabels="1"/>
        </ext>
      </extLst>
    </pivotField>
    <pivotField axis="axisRow" compact="0" outline="0" showAll="0" defaultSubtotal="0">
      <items count="5">
        <item x="2"/>
        <item x="0"/>
        <item x="1"/>
        <item x="3"/>
        <item x="4"/>
      </items>
      <extLst>
        <ext xmlns:x14="http://schemas.microsoft.com/office/spreadsheetml/2009/9/main" uri="{2946ED86-A175-432a-8AC1-64E0C546D7DE}">
          <x14:pivotField fillDownLabels="1"/>
        </ext>
      </extLst>
    </pivotField>
    <pivotField axis="axisRow" compact="0" outline="0" showAll="0" defaultSubtotal="0">
      <items count="22">
        <item x="11"/>
        <item x="13"/>
        <item x="18"/>
        <item x="17"/>
        <item x="14"/>
        <item x="16"/>
        <item m="1" x="21"/>
        <item x="5"/>
        <item x="10"/>
        <item x="9"/>
        <item x="1"/>
        <item x="12"/>
        <item x="6"/>
        <item m="1" x="20"/>
        <item x="0"/>
        <item x="2"/>
        <item x="4"/>
        <item x="3"/>
        <item x="15"/>
        <item x="7"/>
        <item x="19"/>
        <item x="8"/>
      </items>
      <extLst>
        <ext xmlns:x14="http://schemas.microsoft.com/office/spreadsheetml/2009/9/main" uri="{2946ED86-A175-432a-8AC1-64E0C546D7DE}">
          <x14:pivotField fillDownLabels="1"/>
        </ext>
      </extLst>
    </pivotField>
    <pivotField axis="axisRow" compact="0" outline="0" showAll="0" defaultSubtotal="0">
      <items count="34">
        <item h="1" x="19"/>
        <item h="1" x="11"/>
        <item x="6"/>
        <item h="1" x="21"/>
        <item h="1" x="2"/>
        <item h="1" x="8"/>
        <item h="1" x="1"/>
        <item h="1" x="16"/>
        <item h="1" x="13"/>
        <item h="1" x="12"/>
        <item h="1" x="9"/>
        <item h="1" x="28"/>
        <item h="1" x="3"/>
        <item h="1" x="14"/>
        <item h="1" x="15"/>
        <item h="1" x="25"/>
        <item h="1" x="0"/>
        <item h="1" x="7"/>
        <item h="1" x="20"/>
        <item h="1" x="23"/>
        <item h="1" x="5"/>
        <item h="1" x="30"/>
        <item h="1" x="10"/>
        <item h="1" x="22"/>
        <item h="1" x="17"/>
        <item h="1" x="18"/>
        <item h="1" x="4"/>
        <item h="1" x="26"/>
        <item h="1" x="27"/>
        <item h="1" x="29"/>
        <item h="1" x="31"/>
        <item h="1" x="32"/>
        <item h="1" x="33"/>
        <item h="1"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multipleItemSelectionAllowed="1" showAll="0" defaultSubtotal="0">
      <items count="7">
        <item x="0"/>
        <item x="4"/>
        <item x="1"/>
        <item x="2"/>
        <item x="3"/>
        <item x="5"/>
        <item x="6"/>
      </items>
      <extLst>
        <ext xmlns:x14="http://schemas.microsoft.com/office/spreadsheetml/2009/9/main" uri="{2946ED86-A175-432a-8AC1-64E0C546D7DE}">
          <x14:pivotField fillDownLabels="1"/>
        </ext>
      </extLst>
    </pivotField>
    <pivotField axis="axisRow" compact="0" outline="0" showAll="0" defaultSubtotal="0">
      <items count="18">
        <item x="9"/>
        <item x="10"/>
        <item x="4"/>
        <item x="6"/>
        <item x="3"/>
        <item x="5"/>
        <item x="2"/>
        <item x="8"/>
        <item x="0"/>
        <item x="1"/>
        <item x="11"/>
        <item x="7"/>
        <item x="12"/>
        <item x="14"/>
        <item x="15"/>
        <item x="16"/>
        <item x="13"/>
        <item x="17"/>
      </items>
      <extLst>
        <ext xmlns:x14="http://schemas.microsoft.com/office/spreadsheetml/2009/9/main" uri="{2946ED86-A175-432a-8AC1-64E0C546D7DE}">
          <x14:pivotField fillDownLabels="1"/>
        </ext>
      </extLst>
    </pivotField>
    <pivotField axis="axisRow" compact="0" outline="0" showAll="0" defaultSubtotal="0">
      <items count="6">
        <item x="2"/>
        <item x="1"/>
        <item x="0"/>
        <item x="3"/>
        <item x="4"/>
        <item x="5"/>
      </items>
      <extLst>
        <ext xmlns:x14="http://schemas.microsoft.com/office/spreadsheetml/2009/9/main" uri="{2946ED86-A175-432a-8AC1-64E0C546D7DE}">
          <x14:pivotField fillDownLabels="1"/>
        </ext>
      </extLst>
    </pivotField>
  </pivotFields>
  <rowFields count="7">
    <field x="5"/>
    <field x="6"/>
    <field x="7"/>
    <field x="1"/>
    <field x="2"/>
    <field x="0"/>
    <field x="3"/>
  </rowFields>
  <rowItems count="20">
    <i>
      <x/>
      <x v="2"/>
      <x/>
      <x v="2"/>
      <x v="19"/>
      <x v="73"/>
      <x v="2"/>
    </i>
    <i r="2">
      <x v="1"/>
      <x v="2"/>
      <x v="19"/>
      <x v="135"/>
      <x v="2"/>
    </i>
    <i r="2">
      <x v="3"/>
      <x v="2"/>
      <x v="19"/>
      <x v="254"/>
      <x v="2"/>
    </i>
    <i r="2">
      <x v="4"/>
      <x v="2"/>
      <x v="19"/>
      <x v="234"/>
      <x v="2"/>
    </i>
    <i r="1">
      <x v="3"/>
      <x v="1"/>
      <x v="2"/>
      <x v="19"/>
      <x v="154"/>
      <x v="2"/>
    </i>
    <i r="2">
      <x v="3"/>
      <x v="2"/>
      <x v="19"/>
      <x v="264"/>
      <x v="2"/>
    </i>
    <i r="2">
      <x v="4"/>
      <x v="2"/>
      <x v="19"/>
      <x v="272"/>
      <x v="2"/>
    </i>
    <i r="1">
      <x v="4"/>
      <x/>
      <x v="2"/>
      <x v="19"/>
      <x v="83"/>
      <x v="2"/>
    </i>
    <i r="1">
      <x v="5"/>
      <x v="1"/>
      <x v="2"/>
      <x v="19"/>
      <x v="115"/>
      <x v="2"/>
    </i>
    <i r="2">
      <x v="3"/>
      <x v="2"/>
      <x v="19"/>
      <x v="244"/>
      <x v="2"/>
    </i>
    <i r="2">
      <x v="4"/>
      <x v="2"/>
      <x v="19"/>
      <x v="173"/>
      <x v="2"/>
    </i>
    <i r="1">
      <x v="9"/>
      <x v="1"/>
      <x v="2"/>
      <x v="19"/>
      <x v="125"/>
      <x v="2"/>
    </i>
    <i r="1">
      <x v="12"/>
      <x v="5"/>
      <x/>
      <x v="19"/>
      <x v="31"/>
      <x v="2"/>
    </i>
    <i>
      <x v="1"/>
      <x v="16"/>
      <x v="5"/>
      <x/>
      <x v="19"/>
      <x v="47"/>
      <x v="2"/>
    </i>
    <i>
      <x v="2"/>
      <x v="7"/>
      <x v="1"/>
      <x v="2"/>
      <x v="19"/>
      <x v="145"/>
      <x v="2"/>
    </i>
    <i r="1">
      <x v="11"/>
      <x v="1"/>
      <x v="2"/>
      <x v="19"/>
      <x v="164"/>
      <x v="2"/>
    </i>
    <i r="1">
      <x v="13"/>
      <x v="5"/>
      <x/>
      <x v="19"/>
      <x v="63"/>
      <x v="2"/>
    </i>
    <i>
      <x v="3"/>
      <x v="1"/>
      <x v="1"/>
      <x v="2"/>
      <x v="19"/>
      <x v="105"/>
      <x v="2"/>
    </i>
    <i r="1">
      <x v="14"/>
      <x v="5"/>
      <x/>
      <x v="19"/>
      <x v="15"/>
      <x v="2"/>
    </i>
    <i>
      <x v="5"/>
      <x v="15"/>
      <x v="5"/>
      <x v="3"/>
      <x v="19"/>
      <x v="225"/>
      <x v="2"/>
    </i>
  </rowItems>
  <colItems count="1">
    <i/>
  </colItem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F3A23-45C6-4C35-B07C-8BD8DCD4C5C0}" name="PivotTable2" cacheId="2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R534" firstHeaderRow="0" firstDataRow="1" firstDataCol="5" rowPageCount="3" colPageCount="1"/>
  <pivotFields count="72">
    <pivotField axis="axisPage" compact="0" outline="0" showAll="0">
      <items count="4">
        <item x="1"/>
        <item x="0"/>
        <item x="2"/>
        <item t="default"/>
      </items>
    </pivotField>
    <pivotField axis="axisPage" compact="0" outline="0" showAll="0">
      <items count="4">
        <item x="0"/>
        <item x="1"/>
        <item x="2"/>
        <item t="default"/>
      </items>
    </pivotField>
    <pivotField compact="0" outline="0" showAll="0"/>
    <pivotField axis="axisRow" compact="0" outline="0" showAll="0">
      <items count="24">
        <item x="2"/>
        <item x="9"/>
        <item x="10"/>
        <item x="11"/>
        <item x="6"/>
        <item x="7"/>
        <item x="1"/>
        <item x="0"/>
        <item x="3"/>
        <item x="4"/>
        <item x="8"/>
        <item x="12"/>
        <item x="13"/>
        <item x="14"/>
        <item x="15"/>
        <item x="17"/>
        <item x="5"/>
        <item x="16"/>
        <item m="1" x="22"/>
        <item x="18"/>
        <item x="19"/>
        <item x="20"/>
        <item x="21"/>
        <item t="default"/>
      </items>
    </pivotField>
    <pivotField axis="axisPage" compact="0" outline="0" showAll="0">
      <items count="10">
        <item x="1"/>
        <item x="2"/>
        <item x="4"/>
        <item x="3"/>
        <item x="0"/>
        <item x="6"/>
        <item x="7"/>
        <item x="5"/>
        <item m="1" x="8"/>
        <item t="default"/>
      </items>
    </pivotField>
    <pivotField axis="axisRow" compact="0" outline="0" showAll="0">
      <items count="120">
        <item sd="0" x="1"/>
        <item x="72"/>
        <item x="0"/>
        <item x="2"/>
        <item x="3"/>
        <item m="1" x="115"/>
        <item x="28"/>
        <item m="1" x="117"/>
        <item x="9"/>
        <item x="4"/>
        <item x="10"/>
        <item x="11"/>
        <item m="1" x="116"/>
        <item x="13"/>
        <item x="6"/>
        <item x="8"/>
        <item x="14"/>
        <item x="15"/>
        <item x="17"/>
        <item x="18"/>
        <item x="19"/>
        <item x="20"/>
        <item x="21"/>
        <item x="22"/>
        <item x="23"/>
        <item x="24"/>
        <item x="25"/>
        <item x="26"/>
        <item x="27"/>
        <item x="16"/>
        <item x="31"/>
        <item x="33"/>
        <item x="35"/>
        <item m="1" x="113"/>
        <item x="38"/>
        <item x="39"/>
        <item x="40"/>
        <item x="41"/>
        <item x="42"/>
        <item x="43"/>
        <item x="44"/>
        <item x="45"/>
        <item x="46"/>
        <item x="47"/>
        <item x="48"/>
        <item x="49"/>
        <item x="50"/>
        <item x="51"/>
        <item x="52"/>
        <item x="53"/>
        <item x="54"/>
        <item x="55"/>
        <item m="1" x="112"/>
        <item x="56"/>
        <item x="57"/>
        <item x="58"/>
        <item x="59"/>
        <item x="60"/>
        <item x="61"/>
        <item x="62"/>
        <item x="63"/>
        <item x="64"/>
        <item x="65"/>
        <item x="66"/>
        <item x="67"/>
        <item x="68"/>
        <item x="69"/>
        <item x="73"/>
        <item x="71"/>
        <item x="74"/>
        <item x="32"/>
        <item x="34"/>
        <item x="37"/>
        <item x="70"/>
        <item x="7"/>
        <item x="5"/>
        <item x="75"/>
        <item x="30"/>
        <item x="76"/>
        <item m="1" x="118"/>
        <item x="77"/>
        <item x="78"/>
        <item x="79"/>
        <item x="80"/>
        <item x="81"/>
        <item x="82"/>
        <item x="83"/>
        <item x="84"/>
        <item x="85"/>
        <item x="86"/>
        <item x="87"/>
        <item x="88"/>
        <item x="89"/>
        <item x="90"/>
        <item x="91"/>
        <item x="92"/>
        <item x="29"/>
        <item x="93"/>
        <item x="94"/>
        <item x="12"/>
        <item x="95"/>
        <item x="96"/>
        <item x="97"/>
        <item x="98"/>
        <item x="99"/>
        <item x="100"/>
        <item x="101"/>
        <item x="102"/>
        <item x="103"/>
        <item x="104"/>
        <item x="105"/>
        <item x="106"/>
        <item x="107"/>
        <item x="108"/>
        <item m="1" x="114"/>
        <item x="109"/>
        <item x="110"/>
        <item x="111"/>
        <item x="36"/>
        <item t="default"/>
      </items>
    </pivotField>
    <pivotField compact="0" outline="0" showAll="0"/>
    <pivotField axis="axisRow" compact="0" outline="0" showAll="0" defaultSubtotal="0">
      <items count="138">
        <item x="1"/>
        <item x="30"/>
        <item x="6"/>
        <item x="7"/>
        <item x="8"/>
        <item x="13"/>
        <item x="15"/>
        <item x="16"/>
        <item m="1" x="134"/>
        <item x="17"/>
        <item x="18"/>
        <item x="19"/>
        <item x="20"/>
        <item x="21"/>
        <item x="22"/>
        <item x="23"/>
        <item x="24"/>
        <item x="25"/>
        <item x="26"/>
        <item x="27"/>
        <item x="28"/>
        <item x="29"/>
        <item x="0"/>
        <item x="2"/>
        <item x="3"/>
        <item x="4"/>
        <item x="31"/>
        <item x="10"/>
        <item m="1" x="135"/>
        <item x="14"/>
        <item x="9"/>
        <item x="33"/>
        <item x="34"/>
        <item x="35"/>
        <item x="36"/>
        <item x="37"/>
        <item x="38"/>
        <item x="39"/>
        <item x="41"/>
        <item x="42"/>
        <item x="43"/>
        <item x="44"/>
        <item x="45"/>
        <item x="46"/>
        <item x="47"/>
        <item x="48"/>
        <item x="49"/>
        <item x="50"/>
        <item x="51"/>
        <item x="52"/>
        <item x="53"/>
        <item x="55"/>
        <item x="56"/>
        <item m="1" x="133"/>
        <item x="58"/>
        <item x="59"/>
        <item x="60"/>
        <item x="61"/>
        <item x="62"/>
        <item x="63"/>
        <item x="65"/>
        <item x="66"/>
        <item x="67"/>
        <item x="68"/>
        <item x="73"/>
        <item x="75"/>
        <item x="64"/>
        <item x="5"/>
        <item x="40"/>
        <item x="69"/>
        <item x="70"/>
        <item x="71"/>
        <item x="72"/>
        <item x="74"/>
        <item x="78"/>
        <item x="77"/>
        <item x="76"/>
        <item x="57"/>
        <item x="54"/>
        <item x="32"/>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m="1" x="136"/>
        <item x="109"/>
        <item x="110"/>
        <item x="111"/>
        <item x="112"/>
        <item x="113"/>
        <item x="114"/>
        <item x="115"/>
        <item x="116"/>
        <item x="117"/>
        <item x="118"/>
        <item x="119"/>
        <item x="121"/>
        <item x="122"/>
        <item x="123"/>
        <item x="124"/>
        <item x="125"/>
        <item x="126"/>
        <item x="127"/>
        <item x="128"/>
        <item x="120"/>
        <item x="129"/>
        <item m="1" x="137"/>
        <item x="130"/>
        <item x="131"/>
        <item x="132"/>
        <item x="11"/>
        <item x="12"/>
      </items>
    </pivotField>
    <pivotField compact="0" outline="0" showAll="0"/>
    <pivotField compact="0" outline="0" showAll="0"/>
    <pivotField compact="0" outline="0" showAll="0"/>
    <pivotField compact="0" outline="0" showAll="0"/>
    <pivotField compact="0" outline="0" showAll="0"/>
    <pivotField axis="axisRow" compact="0" outline="0" showAll="0">
      <items count="15">
        <item sd="0" x="1"/>
        <item x="5"/>
        <item x="9"/>
        <item x="10"/>
        <item x="7"/>
        <item x="8"/>
        <item x="13"/>
        <item x="11"/>
        <item x="0"/>
        <item x="2"/>
        <item x="4"/>
        <item x="3"/>
        <item x="6"/>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3" outline="0" showAll="0"/>
    <pivotField axis="axisRow" compact="0" outline="0" showAll="0">
      <items count="7">
        <item x="1"/>
        <item x="4"/>
        <item x="0"/>
        <item x="2"/>
        <item x="3"/>
        <item x="5"/>
        <item t="default"/>
      </items>
    </pivotField>
  </pivotFields>
  <rowFields count="5">
    <field x="71"/>
    <field x="13"/>
    <field x="5"/>
    <field x="7"/>
    <field x="3"/>
  </rowFields>
  <rowItems count="529">
    <i>
      <x/>
      <x/>
    </i>
    <i r="1">
      <x v="1"/>
      <x v="10"/>
      <x v="109"/>
      <x v="19"/>
    </i>
    <i t="default" r="2">
      <x v="10"/>
    </i>
    <i r="2">
      <x v="91"/>
      <x v="99"/>
      <x v="19"/>
    </i>
    <i r="4">
      <x v="20"/>
    </i>
    <i r="4">
      <x v="21"/>
    </i>
    <i t="default" r="2">
      <x v="91"/>
    </i>
    <i r="2">
      <x v="92"/>
      <x v="100"/>
      <x v="19"/>
    </i>
    <i r="3">
      <x v="101"/>
      <x v="19"/>
    </i>
    <i r="3">
      <x v="102"/>
      <x v="19"/>
    </i>
    <i t="default" r="2">
      <x v="92"/>
    </i>
    <i r="2">
      <x v="93"/>
      <x v="103"/>
      <x v="19"/>
    </i>
    <i t="default" r="2">
      <x v="93"/>
    </i>
    <i r="2">
      <x v="96"/>
      <x v="106"/>
      <x v="19"/>
    </i>
    <i r="4">
      <x v="20"/>
    </i>
    <i r="4">
      <x v="21"/>
    </i>
    <i t="default" r="2">
      <x v="96"/>
    </i>
    <i r="2">
      <x v="97"/>
      <x v="107"/>
      <x v="19"/>
    </i>
    <i t="default" r="2">
      <x v="97"/>
    </i>
    <i r="2">
      <x v="101"/>
      <x v="117"/>
      <x v="21"/>
    </i>
    <i t="default" r="2">
      <x v="101"/>
    </i>
    <i t="default" r="1">
      <x v="1"/>
    </i>
    <i r="1">
      <x v="4"/>
      <x v="90"/>
      <x v="98"/>
      <x v="19"/>
    </i>
    <i t="default" r="2">
      <x v="90"/>
    </i>
    <i t="default" r="1">
      <x v="4"/>
    </i>
    <i r="1">
      <x v="8"/>
      <x v="82"/>
      <x v="89"/>
      <x v="19"/>
    </i>
    <i r="4">
      <x v="20"/>
    </i>
    <i r="4">
      <x v="21"/>
    </i>
    <i t="default" r="2">
      <x v="82"/>
    </i>
    <i t="default" r="1">
      <x v="8"/>
    </i>
    <i r="1">
      <x v="9"/>
      <x v="77"/>
      <x v="80"/>
      <x v="19"/>
    </i>
    <i r="4">
      <x v="20"/>
    </i>
    <i t="default" r="2">
      <x v="77"/>
    </i>
    <i r="2">
      <x v="78"/>
      <x v="81"/>
      <x v="19"/>
    </i>
    <i t="default" r="2">
      <x v="78"/>
    </i>
    <i r="2">
      <x v="80"/>
      <x v="83"/>
      <x v="19"/>
    </i>
    <i t="default" r="2">
      <x v="80"/>
    </i>
    <i r="2">
      <x v="82"/>
      <x v="88"/>
      <x v="19"/>
    </i>
    <i r="4">
      <x v="20"/>
    </i>
    <i r="4">
      <x v="21"/>
    </i>
    <i t="default" r="2">
      <x v="82"/>
    </i>
    <i r="2">
      <x v="87"/>
      <x v="95"/>
      <x v="19"/>
    </i>
    <i r="4">
      <x v="20"/>
    </i>
    <i r="3">
      <x v="112"/>
      <x v="19"/>
    </i>
    <i t="default" r="2">
      <x v="87"/>
    </i>
    <i r="2">
      <x v="88"/>
      <x v="96"/>
      <x v="19"/>
    </i>
    <i t="default" r="2">
      <x v="88"/>
    </i>
    <i r="2">
      <x v="89"/>
      <x v="97"/>
      <x v="19"/>
    </i>
    <i r="4">
      <x v="20"/>
    </i>
    <i t="default" r="2">
      <x v="89"/>
    </i>
    <i r="2">
      <x v="100"/>
      <x v="113"/>
      <x v="19"/>
    </i>
    <i t="default" r="2">
      <x v="100"/>
    </i>
    <i t="default" r="1">
      <x v="9"/>
    </i>
    <i r="1">
      <x v="10"/>
      <x v="83"/>
      <x v="90"/>
      <x v="19"/>
    </i>
    <i t="default" r="2">
      <x v="83"/>
    </i>
    <i r="2">
      <x v="94"/>
      <x v="104"/>
      <x v="19"/>
    </i>
    <i r="3">
      <x v="116"/>
      <x v="20"/>
    </i>
    <i r="3">
      <x v="118"/>
      <x v="21"/>
    </i>
    <i t="default" r="2">
      <x v="94"/>
    </i>
    <i r="2">
      <x v="95"/>
      <x v="105"/>
      <x v="20"/>
    </i>
    <i t="default" r="2">
      <x v="95"/>
    </i>
    <i r="2">
      <x v="98"/>
      <x v="108"/>
      <x v="19"/>
    </i>
    <i t="default" r="2">
      <x v="98"/>
    </i>
    <i r="2">
      <x v="99"/>
      <x v="6"/>
      <x v="20"/>
    </i>
    <i r="3">
      <x v="82"/>
      <x v="19"/>
    </i>
    <i r="3">
      <x v="111"/>
      <x v="19"/>
    </i>
    <i t="default" r="2">
      <x v="99"/>
    </i>
    <i r="2">
      <x v="102"/>
      <x v="119"/>
      <x v="19"/>
    </i>
    <i t="default" r="2">
      <x v="102"/>
    </i>
    <i t="default" r="1">
      <x v="10"/>
    </i>
    <i r="1">
      <x v="11"/>
      <x v="80"/>
      <x v="85"/>
      <x v="19"/>
    </i>
    <i r="3">
      <x v="86"/>
      <x v="19"/>
    </i>
    <i r="3">
      <x v="87"/>
      <x v="20"/>
    </i>
    <i t="default" r="2">
      <x v="80"/>
    </i>
    <i t="default" r="1">
      <x v="11"/>
    </i>
    <i r="1">
      <x v="12"/>
      <x v="84"/>
      <x v="91"/>
      <x v="19"/>
    </i>
    <i r="3">
      <x v="93"/>
      <x v="19"/>
    </i>
    <i r="3">
      <x v="114"/>
      <x v="20"/>
    </i>
    <i r="3">
      <x v="115"/>
      <x v="20"/>
    </i>
    <i t="default" r="2">
      <x v="84"/>
    </i>
    <i r="2">
      <x v="85"/>
      <x v="92"/>
      <x v="19"/>
    </i>
    <i t="default" r="2">
      <x v="85"/>
    </i>
    <i r="2">
      <x v="86"/>
      <x v="94"/>
      <x v="19"/>
    </i>
    <i t="default" r="2">
      <x v="86"/>
    </i>
    <i t="default" r="1">
      <x v="12"/>
    </i>
    <i t="default">
      <x/>
    </i>
    <i>
      <x v="1"/>
      <x v="1"/>
      <x v="14"/>
      <x v="30"/>
      <x v="17"/>
    </i>
    <i t="default" r="2">
      <x v="14"/>
    </i>
    <i r="2">
      <x v="15"/>
      <x v="136"/>
      <x v="1"/>
    </i>
    <i r="4">
      <x v="2"/>
    </i>
    <i r="4">
      <x v="3"/>
    </i>
    <i r="4">
      <x v="10"/>
    </i>
    <i r="4">
      <x v="11"/>
    </i>
    <i r="4">
      <x v="12"/>
    </i>
    <i r="4">
      <x v="13"/>
    </i>
    <i r="4">
      <x v="14"/>
    </i>
    <i t="default" r="2">
      <x v="15"/>
    </i>
    <i r="2">
      <x v="31"/>
      <x v="33"/>
      <x v="17"/>
    </i>
    <i t="default" r="2">
      <x v="31"/>
    </i>
    <i r="2">
      <x v="42"/>
      <x v="46"/>
      <x v="17"/>
    </i>
    <i t="default" r="2">
      <x v="42"/>
    </i>
    <i r="2">
      <x v="43"/>
      <x v="47"/>
      <x v="17"/>
    </i>
    <i t="default" r="2">
      <x v="43"/>
    </i>
    <i r="2">
      <x v="71"/>
      <x v="34"/>
      <x v="1"/>
    </i>
    <i r="4">
      <x v="2"/>
    </i>
    <i r="4">
      <x v="10"/>
    </i>
    <i r="4">
      <x v="11"/>
    </i>
    <i r="4">
      <x v="12"/>
    </i>
    <i r="4">
      <x v="13"/>
    </i>
    <i r="4">
      <x v="14"/>
    </i>
    <i t="default" r="2">
      <x v="71"/>
    </i>
    <i r="2">
      <x v="74"/>
      <x v="27"/>
      <x v="10"/>
    </i>
    <i t="default" r="2">
      <x v="74"/>
    </i>
    <i t="default" r="1">
      <x v="1"/>
    </i>
    <i r="1">
      <x v="4"/>
      <x v="28"/>
      <x v="21"/>
      <x v="1"/>
    </i>
    <i r="4">
      <x v="2"/>
    </i>
    <i r="4">
      <x v="3"/>
    </i>
    <i r="4">
      <x v="10"/>
    </i>
    <i r="4">
      <x v="11"/>
    </i>
    <i r="4">
      <x v="12"/>
    </i>
    <i r="4">
      <x v="14"/>
    </i>
    <i r="4">
      <x v="17"/>
    </i>
    <i t="default" r="2">
      <x v="28"/>
    </i>
    <i t="default" r="1">
      <x v="4"/>
    </i>
    <i r="1">
      <x v="5"/>
      <x v="32"/>
      <x v="35"/>
      <x v="1"/>
    </i>
    <i r="4">
      <x v="2"/>
    </i>
    <i r="4">
      <x v="10"/>
    </i>
    <i r="4">
      <x v="11"/>
    </i>
    <i r="4">
      <x v="12"/>
    </i>
    <i r="4">
      <x v="13"/>
    </i>
    <i r="4">
      <x v="14"/>
    </i>
    <i t="default" r="2">
      <x v="32"/>
    </i>
    <i t="default" r="1">
      <x v="5"/>
    </i>
    <i r="1">
      <x v="9"/>
      <x v="35"/>
      <x v="39"/>
      <x v="1"/>
    </i>
    <i r="4">
      <x v="2"/>
    </i>
    <i r="4">
      <x v="10"/>
    </i>
    <i r="4">
      <x v="11"/>
    </i>
    <i r="4">
      <x v="12"/>
    </i>
    <i r="4">
      <x v="13"/>
    </i>
    <i r="4">
      <x v="14"/>
    </i>
    <i r="4">
      <x v="15"/>
    </i>
    <i t="default" r="2">
      <x v="35"/>
    </i>
    <i r="2">
      <x v="41"/>
      <x v="45"/>
      <x v="17"/>
    </i>
    <i t="default" r="2">
      <x v="41"/>
    </i>
    <i r="2">
      <x v="44"/>
      <x v="48"/>
      <x v="17"/>
    </i>
    <i t="default" r="2">
      <x v="44"/>
    </i>
    <i r="2">
      <x v="45"/>
      <x v="49"/>
      <x v="17"/>
    </i>
    <i t="default" r="2">
      <x v="45"/>
    </i>
    <i r="2">
      <x v="46"/>
      <x v="49"/>
      <x v="17"/>
    </i>
    <i t="default" r="2">
      <x v="46"/>
    </i>
    <i r="2">
      <x v="49"/>
      <x v="51"/>
      <x v="10"/>
    </i>
    <i t="default" r="2">
      <x v="49"/>
    </i>
    <i r="2">
      <x v="55"/>
      <x v="56"/>
      <x v="1"/>
    </i>
    <i r="4">
      <x v="2"/>
    </i>
    <i r="4">
      <x v="10"/>
    </i>
    <i r="4">
      <x v="11"/>
    </i>
    <i r="4">
      <x v="12"/>
    </i>
    <i r="4">
      <x v="13"/>
    </i>
    <i r="4">
      <x v="14"/>
    </i>
    <i t="default" r="2">
      <x v="55"/>
    </i>
    <i r="2">
      <x v="61"/>
      <x v="61"/>
      <x v="10"/>
    </i>
    <i t="default" r="2">
      <x v="61"/>
    </i>
    <i r="2">
      <x v="72"/>
      <x v="37"/>
      <x v="1"/>
    </i>
    <i r="4">
      <x v="2"/>
    </i>
    <i r="4">
      <x v="3"/>
    </i>
    <i r="4">
      <x v="10"/>
    </i>
    <i r="4">
      <x v="11"/>
    </i>
    <i r="4">
      <x v="12"/>
    </i>
    <i r="4">
      <x v="13"/>
    </i>
    <i r="4">
      <x v="14"/>
    </i>
    <i r="4">
      <x v="15"/>
    </i>
    <i r="4">
      <x v="17"/>
    </i>
    <i t="default" r="2">
      <x v="72"/>
    </i>
    <i t="default" r="1">
      <x v="9"/>
    </i>
    <i r="1">
      <x v="10"/>
      <x v="8"/>
      <x v="137"/>
      <x v="1"/>
    </i>
    <i r="4">
      <x v="2"/>
    </i>
    <i r="4">
      <x v="3"/>
    </i>
    <i r="4">
      <x v="10"/>
    </i>
    <i r="4">
      <x v="11"/>
    </i>
    <i r="4">
      <x v="12"/>
    </i>
    <i r="4">
      <x v="13"/>
    </i>
    <i r="4">
      <x v="14"/>
    </i>
    <i r="4">
      <x v="17"/>
    </i>
    <i t="default" r="2">
      <x v="8"/>
    </i>
    <i r="2">
      <x v="9"/>
      <x v="3"/>
      <x v="1"/>
    </i>
    <i r="4">
      <x v="2"/>
    </i>
    <i r="4">
      <x v="3"/>
    </i>
    <i r="4">
      <x v="10"/>
    </i>
    <i r="4">
      <x v="11"/>
    </i>
    <i r="4">
      <x v="12"/>
    </i>
    <i r="4">
      <x v="13"/>
    </i>
    <i r="4">
      <x v="14"/>
    </i>
    <i t="default" r="2">
      <x v="9"/>
    </i>
    <i r="2">
      <x v="37"/>
      <x v="41"/>
      <x v="17"/>
    </i>
    <i t="default" r="2">
      <x v="37"/>
    </i>
    <i r="2">
      <x v="38"/>
      <x v="42"/>
      <x v="17"/>
    </i>
    <i t="default" r="2">
      <x v="38"/>
    </i>
    <i r="2">
      <x v="39"/>
      <x v="43"/>
      <x v="17"/>
    </i>
    <i t="default" r="2">
      <x v="39"/>
    </i>
    <i r="2">
      <x v="40"/>
      <x v="44"/>
      <x v="17"/>
    </i>
    <i t="default" r="2">
      <x v="40"/>
    </i>
    <i r="2">
      <x v="99"/>
      <x v="6"/>
      <x v="1"/>
    </i>
    <i r="4">
      <x v="2"/>
    </i>
    <i r="4">
      <x v="3"/>
    </i>
    <i r="4">
      <x v="10"/>
    </i>
    <i r="4">
      <x v="11"/>
    </i>
    <i r="4">
      <x v="12"/>
    </i>
    <i r="4">
      <x v="13"/>
    </i>
    <i r="4">
      <x v="14"/>
    </i>
    <i r="4">
      <x v="17"/>
    </i>
    <i t="default" r="2">
      <x v="99"/>
    </i>
    <i t="default" r="1">
      <x v="10"/>
    </i>
    <i r="1">
      <x v="11"/>
      <x v="9"/>
      <x v="2"/>
      <x v="1"/>
    </i>
    <i r="4">
      <x v="2"/>
    </i>
    <i r="4">
      <x v="3"/>
    </i>
    <i r="4">
      <x v="10"/>
    </i>
    <i r="4">
      <x v="11"/>
    </i>
    <i r="4">
      <x v="12"/>
    </i>
    <i r="4">
      <x v="13"/>
    </i>
    <i r="4">
      <x v="14"/>
    </i>
    <i t="default" r="2">
      <x v="9"/>
    </i>
    <i r="2">
      <x v="75"/>
      <x v="4"/>
      <x v="1"/>
    </i>
    <i r="4">
      <x v="2"/>
    </i>
    <i r="4">
      <x v="10"/>
    </i>
    <i t="default" r="2">
      <x v="75"/>
    </i>
    <i t="default" r="1">
      <x v="11"/>
    </i>
    <i r="1">
      <x v="12"/>
      <x v="16"/>
      <x v="9"/>
      <x v="2"/>
    </i>
    <i t="default" r="2">
      <x v="16"/>
    </i>
    <i r="2">
      <x v="17"/>
      <x v="9"/>
      <x v="1"/>
    </i>
    <i r="4">
      <x v="10"/>
    </i>
    <i r="4">
      <x v="11"/>
    </i>
    <i r="4">
      <x v="12"/>
    </i>
    <i t="default" r="2">
      <x v="17"/>
    </i>
    <i r="2">
      <x v="29"/>
      <x v="10"/>
      <x v="1"/>
    </i>
    <i r="4">
      <x v="2"/>
    </i>
    <i r="4">
      <x v="3"/>
    </i>
    <i r="4">
      <x v="10"/>
    </i>
    <i r="4">
      <x v="11"/>
    </i>
    <i r="4">
      <x v="12"/>
    </i>
    <i r="4">
      <x v="13"/>
    </i>
    <i r="4">
      <x v="14"/>
    </i>
    <i t="default" r="2">
      <x v="29"/>
    </i>
    <i r="2">
      <x v="64"/>
      <x v="66"/>
      <x v="1"/>
    </i>
    <i r="4">
      <x v="17"/>
    </i>
    <i t="default" r="2">
      <x v="64"/>
    </i>
    <i r="2">
      <x v="76"/>
      <x v="10"/>
      <x v="1"/>
    </i>
    <i r="4">
      <x v="2"/>
    </i>
    <i r="4">
      <x v="3"/>
    </i>
    <i r="4">
      <x v="10"/>
    </i>
    <i r="4">
      <x v="12"/>
    </i>
    <i t="default" r="2">
      <x v="76"/>
    </i>
    <i t="default" r="1">
      <x v="12"/>
    </i>
    <i t="default">
      <x v="1"/>
    </i>
    <i>
      <x v="2"/>
      <x v="1"/>
      <x v="53"/>
      <x v="54"/>
      <x v="6"/>
    </i>
    <i r="4">
      <x v="8"/>
    </i>
    <i r="4">
      <x v="9"/>
    </i>
    <i t="default" r="2">
      <x v="53"/>
    </i>
    <i t="default" r="1">
      <x v="1"/>
    </i>
    <i r="1">
      <x v="8"/>
      <x v="2"/>
      <x v="22"/>
      <x v="6"/>
    </i>
    <i r="4">
      <x v="7"/>
    </i>
    <i t="default" r="2">
      <x v="2"/>
    </i>
    <i r="2">
      <x v="4"/>
      <x v="24"/>
      <x v="6"/>
    </i>
    <i r="4">
      <x v="7"/>
    </i>
    <i r="4">
      <x v="8"/>
    </i>
    <i r="4">
      <x v="9"/>
    </i>
    <i r="4">
      <x v="16"/>
    </i>
    <i t="default" r="2">
      <x v="4"/>
    </i>
    <i t="default" r="1">
      <x v="8"/>
    </i>
    <i r="1">
      <x v="9"/>
      <x v="3"/>
      <x v="23"/>
      <x v="6"/>
    </i>
    <i r="4">
      <x v="7"/>
    </i>
    <i t="default" r="2">
      <x v="3"/>
    </i>
    <i r="2">
      <x v="4"/>
      <x v="25"/>
      <x v="6"/>
    </i>
    <i r="4">
      <x v="7"/>
    </i>
    <i r="4">
      <x v="8"/>
    </i>
    <i r="4">
      <x v="9"/>
    </i>
    <i r="4">
      <x v="16"/>
    </i>
    <i r="3">
      <x v="67"/>
      <x v="6"/>
    </i>
    <i r="4">
      <x v="8"/>
    </i>
    <i r="4">
      <x v="9"/>
    </i>
    <i t="default" r="2">
      <x v="4"/>
    </i>
    <i r="2">
      <x v="30"/>
      <x v="31"/>
      <x v="6"/>
    </i>
    <i r="4">
      <x v="7"/>
    </i>
    <i r="4">
      <x v="8"/>
    </i>
    <i r="4">
      <x v="9"/>
    </i>
    <i t="default" r="2">
      <x v="30"/>
    </i>
    <i r="2">
      <x v="56"/>
      <x v="57"/>
      <x v="6"/>
    </i>
    <i r="4">
      <x v="7"/>
    </i>
    <i r="4">
      <x v="8"/>
    </i>
    <i r="4">
      <x v="9"/>
    </i>
    <i t="default" r="2">
      <x v="56"/>
    </i>
    <i r="2">
      <x v="62"/>
      <x v="62"/>
      <x v="7"/>
    </i>
    <i t="default" r="2">
      <x v="62"/>
    </i>
    <i r="2">
      <x v="72"/>
      <x v="38"/>
      <x v="6"/>
    </i>
    <i r="4">
      <x v="7"/>
    </i>
    <i r="4">
      <x v="8"/>
    </i>
    <i r="4">
      <x v="9"/>
    </i>
    <i t="default" r="2">
      <x v="72"/>
    </i>
    <i t="default" r="1">
      <x v="9"/>
    </i>
    <i r="1">
      <x v="10"/>
      <x v="6"/>
      <x v="1"/>
      <x v="6"/>
    </i>
    <i r="4">
      <x v="7"/>
    </i>
    <i r="4">
      <x v="8"/>
    </i>
    <i r="4">
      <x v="9"/>
    </i>
    <i t="default" r="2">
      <x v="6"/>
    </i>
    <i r="2">
      <x v="10"/>
      <x v="5"/>
      <x v="9"/>
    </i>
    <i t="default" r="2">
      <x v="10"/>
    </i>
    <i r="2">
      <x v="11"/>
      <x v="29"/>
      <x v="9"/>
    </i>
    <i t="default" r="2">
      <x v="11"/>
    </i>
    <i r="2">
      <x v="13"/>
      <x v="7"/>
      <x v="6"/>
    </i>
    <i r="4">
      <x v="7"/>
    </i>
    <i r="4">
      <x v="8"/>
    </i>
    <i r="4">
      <x v="9"/>
    </i>
    <i t="default" r="2">
      <x v="13"/>
    </i>
    <i r="2">
      <x v="34"/>
      <x v="68"/>
      <x v="6"/>
    </i>
    <i r="4">
      <x v="7"/>
    </i>
    <i t="default" r="2">
      <x v="34"/>
    </i>
    <i r="2">
      <x v="36"/>
      <x v="40"/>
      <x v="7"/>
    </i>
    <i t="default" r="2">
      <x v="36"/>
    </i>
    <i r="2">
      <x v="47"/>
      <x v="50"/>
      <x v="6"/>
    </i>
    <i r="4">
      <x v="7"/>
    </i>
    <i r="4">
      <x v="8"/>
    </i>
    <i r="4">
      <x v="9"/>
    </i>
    <i t="default" r="2">
      <x v="47"/>
    </i>
    <i r="2">
      <x v="48"/>
      <x v="78"/>
      <x v="6"/>
    </i>
    <i r="4">
      <x v="8"/>
    </i>
    <i r="4">
      <x v="9"/>
    </i>
    <i t="default" r="2">
      <x v="48"/>
    </i>
    <i r="2">
      <x v="51"/>
      <x v="77"/>
      <x v="6"/>
    </i>
    <i r="4">
      <x v="8"/>
    </i>
    <i r="4">
      <x v="9"/>
    </i>
    <i t="default" r="2">
      <x v="51"/>
    </i>
    <i r="2">
      <x v="57"/>
      <x v="58"/>
      <x v="6"/>
    </i>
    <i r="4">
      <x v="8"/>
    </i>
    <i r="4">
      <x v="9"/>
    </i>
    <i t="default" r="2">
      <x v="57"/>
    </i>
    <i t="default" r="1">
      <x v="10"/>
    </i>
    <i r="1">
      <x v="12"/>
      <x v="18"/>
      <x v="11"/>
      <x v="7"/>
    </i>
    <i t="default" r="2">
      <x v="18"/>
    </i>
    <i r="2">
      <x v="19"/>
      <x v="12"/>
      <x v="7"/>
    </i>
    <i t="default" r="2">
      <x v="19"/>
    </i>
    <i r="2">
      <x v="20"/>
      <x v="13"/>
      <x v="7"/>
    </i>
    <i t="default" r="2">
      <x v="20"/>
    </i>
    <i r="2">
      <x v="21"/>
      <x v="14"/>
      <x v="7"/>
    </i>
    <i t="default" r="2">
      <x v="21"/>
    </i>
    <i r="2">
      <x v="22"/>
      <x v="15"/>
      <x v="7"/>
    </i>
    <i t="default" r="2">
      <x v="22"/>
    </i>
    <i r="2">
      <x v="23"/>
      <x v="16"/>
      <x v="7"/>
    </i>
    <i t="default" r="2">
      <x v="23"/>
    </i>
    <i r="2">
      <x v="24"/>
      <x v="17"/>
      <x v="7"/>
    </i>
    <i t="default" r="2">
      <x v="24"/>
    </i>
    <i r="2">
      <x v="25"/>
      <x v="18"/>
      <x v="7"/>
    </i>
    <i t="default" r="2">
      <x v="25"/>
    </i>
    <i r="2">
      <x v="26"/>
      <x v="19"/>
      <x v="7"/>
    </i>
    <i t="default" r="2">
      <x v="26"/>
    </i>
    <i r="2">
      <x v="27"/>
      <x v="20"/>
      <x v="7"/>
    </i>
    <i t="default" r="2">
      <x v="27"/>
    </i>
    <i r="2">
      <x v="54"/>
      <x v="55"/>
      <x v="6"/>
    </i>
    <i r="4">
      <x v="8"/>
    </i>
    <i r="4">
      <x v="9"/>
    </i>
    <i t="default" r="2">
      <x v="54"/>
    </i>
    <i r="2">
      <x v="59"/>
      <x v="66"/>
      <x v="6"/>
    </i>
    <i r="4">
      <x v="7"/>
    </i>
    <i r="4">
      <x v="8"/>
    </i>
    <i r="4">
      <x v="9"/>
    </i>
    <i t="default" r="2">
      <x v="59"/>
    </i>
    <i t="default" r="1">
      <x v="12"/>
    </i>
    <i t="default">
      <x v="2"/>
    </i>
    <i>
      <x v="3"/>
      <x v="2"/>
      <x v="118"/>
      <x v="36"/>
      <x v="4"/>
    </i>
    <i t="default" r="2">
      <x v="118"/>
    </i>
    <i t="default" r="1">
      <x v="2"/>
    </i>
    <i r="1">
      <x v="3"/>
      <x v="60"/>
      <x v="60"/>
      <x v="4"/>
    </i>
    <i t="default" r="2">
      <x v="60"/>
    </i>
    <i t="default" r="1">
      <x v="3"/>
    </i>
    <i r="1">
      <x v="4"/>
      <x v="28"/>
      <x v="21"/>
      <x v="4"/>
    </i>
    <i t="default" r="2">
      <x v="28"/>
    </i>
    <i t="default" r="1">
      <x v="4"/>
    </i>
    <i r="1">
      <x v="7"/>
      <x v="1"/>
      <x v="64"/>
      <x v="4"/>
    </i>
    <i r="3">
      <x v="65"/>
      <x v="4"/>
    </i>
    <i t="default" r="2">
      <x v="1"/>
    </i>
    <i r="2">
      <x v="65"/>
      <x v="69"/>
      <x v="4"/>
    </i>
    <i r="3">
      <x v="70"/>
      <x v="4"/>
    </i>
    <i r="3">
      <x v="71"/>
      <x v="4"/>
    </i>
    <i r="3">
      <x v="72"/>
      <x v="4"/>
    </i>
    <i r="3">
      <x v="75"/>
      <x v="4"/>
    </i>
    <i t="default" r="2">
      <x v="65"/>
    </i>
    <i r="2">
      <x v="66"/>
      <x v="69"/>
      <x v="4"/>
    </i>
    <i r="3">
      <x v="70"/>
      <x v="4"/>
    </i>
    <i r="3">
      <x v="71"/>
      <x v="4"/>
    </i>
    <i r="3">
      <x v="72"/>
      <x v="4"/>
    </i>
    <i r="3">
      <x v="75"/>
      <x v="4"/>
    </i>
    <i t="default" r="2">
      <x v="66"/>
    </i>
    <i r="2">
      <x v="67"/>
      <x v="75"/>
      <x v="4"/>
    </i>
    <i t="default" r="2">
      <x v="67"/>
    </i>
    <i r="2">
      <x v="68"/>
      <x v="69"/>
      <x v="4"/>
    </i>
    <i r="3">
      <x v="70"/>
      <x v="4"/>
    </i>
    <i r="3">
      <x v="71"/>
      <x v="4"/>
    </i>
    <i r="3">
      <x v="72"/>
      <x v="4"/>
    </i>
    <i r="3">
      <x v="73"/>
      <x v="4"/>
    </i>
    <i r="3">
      <x v="75"/>
      <x v="4"/>
    </i>
    <i r="3">
      <x v="76"/>
      <x v="4"/>
    </i>
    <i t="default" r="2">
      <x v="68"/>
    </i>
    <i r="2">
      <x v="69"/>
      <x v="74"/>
      <x v="4"/>
    </i>
    <i t="default" r="2">
      <x v="69"/>
    </i>
    <i r="2">
      <x v="73"/>
      <x v="69"/>
      <x v="4"/>
    </i>
    <i r="3">
      <x v="70"/>
      <x v="4"/>
    </i>
    <i r="3">
      <x v="71"/>
      <x v="4"/>
    </i>
    <i r="3">
      <x v="72"/>
      <x v="4"/>
    </i>
    <i t="default" r="2">
      <x v="73"/>
    </i>
    <i t="default" r="1">
      <x v="7"/>
    </i>
    <i r="1">
      <x v="8"/>
      <x v="4"/>
      <x v="24"/>
      <x v="4"/>
    </i>
    <i t="default" r="2">
      <x v="4"/>
    </i>
    <i t="default" r="1">
      <x v="8"/>
    </i>
    <i r="1">
      <x v="9"/>
      <x v="4"/>
      <x v="25"/>
      <x v="4"/>
    </i>
    <i t="default" r="2">
      <x v="4"/>
    </i>
    <i r="2">
      <x v="30"/>
      <x v="31"/>
      <x v="4"/>
    </i>
    <i t="default" r="2">
      <x v="30"/>
    </i>
    <i r="2">
      <x v="50"/>
      <x v="52"/>
      <x v="4"/>
    </i>
    <i t="default" r="2">
      <x v="50"/>
    </i>
    <i r="2">
      <x v="72"/>
      <x v="37"/>
      <x v="4"/>
    </i>
    <i r="3">
      <x v="38"/>
      <x v="4"/>
    </i>
    <i t="default" r="2">
      <x v="72"/>
    </i>
    <i t="default" r="1">
      <x v="9"/>
    </i>
    <i r="1">
      <x v="10"/>
      <x v="6"/>
      <x v="1"/>
      <x v="4"/>
    </i>
    <i t="default" r="2">
      <x v="6"/>
    </i>
    <i r="2">
      <x v="13"/>
      <x v="7"/>
      <x v="4"/>
    </i>
    <i t="default" r="2">
      <x v="13"/>
    </i>
    <i r="2">
      <x v="58"/>
      <x v="59"/>
      <x v="4"/>
    </i>
    <i t="default" r="2">
      <x v="58"/>
    </i>
    <i r="2">
      <x v="63"/>
      <x v="63"/>
      <x v="4"/>
    </i>
    <i t="default" r="2">
      <x v="63"/>
    </i>
    <i r="2">
      <x v="70"/>
      <x v="32"/>
      <x v="4"/>
    </i>
    <i t="default" r="2">
      <x v="70"/>
    </i>
    <i r="2">
      <x v="77"/>
      <x v="79"/>
      <x v="4"/>
    </i>
    <i t="default" r="2">
      <x v="77"/>
    </i>
    <i r="2">
      <x v="96"/>
      <x v="26"/>
      <x v="4"/>
    </i>
    <i t="default" r="2">
      <x v="96"/>
    </i>
    <i r="2">
      <x v="99"/>
      <x v="6"/>
      <x v="4"/>
    </i>
    <i t="default" r="2">
      <x v="99"/>
    </i>
    <i t="default" r="1">
      <x v="10"/>
    </i>
    <i r="1">
      <x v="12"/>
      <x v="29"/>
      <x v="10"/>
      <x v="4"/>
    </i>
    <i t="default" r="2">
      <x v="29"/>
    </i>
    <i r="2">
      <x v="59"/>
      <x v="66"/>
      <x v="4"/>
    </i>
    <i t="default" r="2">
      <x v="59"/>
    </i>
    <i t="default" r="1">
      <x v="12"/>
    </i>
    <i t="default">
      <x v="3"/>
    </i>
    <i>
      <x v="4"/>
      <x v="1"/>
      <x v="13"/>
      <x v="7"/>
      <x v="5"/>
    </i>
    <i t="default" r="2">
      <x v="13"/>
    </i>
    <i t="default" r="1">
      <x v="1"/>
    </i>
    <i r="1">
      <x v="4"/>
      <x v="28"/>
      <x v="21"/>
      <x v="5"/>
    </i>
    <i t="default" r="2">
      <x v="28"/>
    </i>
    <i t="default" r="1">
      <x v="4"/>
    </i>
    <i r="1">
      <x v="8"/>
      <x v="4"/>
      <x v="24"/>
      <x v="5"/>
    </i>
    <i t="default" r="2">
      <x v="4"/>
    </i>
    <i t="default" r="1">
      <x v="8"/>
    </i>
    <i r="1">
      <x v="9"/>
      <x v="4"/>
      <x v="25"/>
      <x v="5"/>
    </i>
    <i t="default" r="2">
      <x v="4"/>
    </i>
    <i r="2">
      <x v="30"/>
      <x v="31"/>
      <x v="5"/>
    </i>
    <i t="default" r="2">
      <x v="30"/>
    </i>
    <i r="2">
      <x v="72"/>
      <x v="37"/>
      <x v="5"/>
    </i>
    <i r="3">
      <x v="38"/>
      <x v="5"/>
    </i>
    <i t="default" r="2">
      <x v="72"/>
    </i>
    <i t="default" r="1">
      <x v="9"/>
    </i>
    <i r="1">
      <x v="10"/>
      <x v="6"/>
      <x v="1"/>
      <x v="5"/>
    </i>
    <i t="default" r="2">
      <x v="6"/>
    </i>
    <i r="2">
      <x v="70"/>
      <x v="32"/>
      <x v="5"/>
    </i>
    <i t="default" r="2">
      <x v="70"/>
    </i>
    <i r="2">
      <x v="77"/>
      <x v="79"/>
      <x v="5"/>
    </i>
    <i t="default" r="2">
      <x v="77"/>
    </i>
    <i r="2">
      <x v="96"/>
      <x v="26"/>
      <x v="5"/>
    </i>
    <i t="default" r="2">
      <x v="96"/>
    </i>
    <i r="2">
      <x v="99"/>
      <x v="6"/>
      <x v="5"/>
    </i>
    <i t="default" r="2">
      <x v="99"/>
    </i>
    <i t="default" r="1">
      <x v="10"/>
    </i>
    <i r="1">
      <x v="12"/>
      <x v="29"/>
      <x v="10"/>
      <x v="5"/>
    </i>
    <i t="default" r="2">
      <x v="29"/>
    </i>
    <i r="2">
      <x v="59"/>
      <x v="66"/>
      <x v="5"/>
    </i>
    <i t="default" r="2">
      <x v="59"/>
    </i>
    <i t="default" r="1">
      <x v="12"/>
    </i>
    <i t="default">
      <x v="4"/>
    </i>
    <i>
      <x v="5"/>
      <x v="1"/>
      <x v="96"/>
      <x v="106"/>
      <x v="22"/>
    </i>
    <i t="default" r="2">
      <x v="96"/>
    </i>
    <i r="2">
      <x v="107"/>
      <x v="125"/>
      <x v="22"/>
    </i>
    <i t="default" r="2">
      <x v="107"/>
    </i>
    <i r="2">
      <x v="115"/>
      <x v="131"/>
      <x v="22"/>
    </i>
    <i t="default" r="2">
      <x v="115"/>
    </i>
    <i t="default" r="1">
      <x v="1"/>
    </i>
    <i r="1">
      <x v="2"/>
      <x v="106"/>
      <x v="123"/>
      <x v="22"/>
    </i>
    <i r="3">
      <x v="124"/>
      <x v="22"/>
    </i>
    <i t="default" r="2">
      <x v="106"/>
    </i>
    <i r="2">
      <x v="117"/>
      <x v="134"/>
      <x v="22"/>
    </i>
    <i t="default" r="2">
      <x v="117"/>
    </i>
    <i t="default" r="1">
      <x v="2"/>
    </i>
    <i r="1">
      <x v="6"/>
      <x v="105"/>
      <x v="122"/>
      <x v="19"/>
    </i>
    <i t="default" r="2">
      <x v="105"/>
    </i>
    <i t="default" r="1">
      <x v="6"/>
    </i>
    <i r="1">
      <x v="8"/>
      <x v="111"/>
      <x v="128"/>
      <x v="22"/>
    </i>
    <i t="default" r="2">
      <x v="111"/>
    </i>
    <i t="default" r="1">
      <x v="8"/>
    </i>
    <i r="1">
      <x v="9"/>
      <x v="77"/>
      <x v="80"/>
      <x v="21"/>
    </i>
    <i r="4">
      <x v="22"/>
    </i>
    <i t="default" r="2">
      <x v="77"/>
    </i>
    <i r="2">
      <x v="103"/>
      <x v="120"/>
      <x v="19"/>
    </i>
    <i t="default" r="2">
      <x v="103"/>
    </i>
    <i r="2">
      <x v="112"/>
      <x v="88"/>
      <x v="22"/>
    </i>
    <i t="default" r="2">
      <x v="112"/>
    </i>
    <i t="default" r="1">
      <x v="9"/>
    </i>
    <i r="1">
      <x v="10"/>
      <x v="57"/>
      <x v="130"/>
      <x v="19"/>
    </i>
    <i r="4">
      <x v="22"/>
    </i>
    <i t="default" r="2">
      <x v="57"/>
    </i>
    <i r="2">
      <x v="99"/>
      <x v="6"/>
      <x v="22"/>
    </i>
    <i t="default" r="2">
      <x v="99"/>
    </i>
    <i r="2">
      <x v="116"/>
      <x v="133"/>
      <x v="22"/>
    </i>
    <i t="default" r="2">
      <x v="116"/>
    </i>
    <i t="default" r="1">
      <x v="10"/>
    </i>
    <i r="1">
      <x v="11"/>
      <x v="113"/>
      <x v="129"/>
      <x v="22"/>
    </i>
    <i t="default" r="2">
      <x v="113"/>
    </i>
    <i t="default" r="1">
      <x v="11"/>
    </i>
    <i r="1">
      <x v="12"/>
      <x v="108"/>
      <x v="126"/>
      <x v="22"/>
    </i>
    <i t="default" r="2">
      <x v="108"/>
    </i>
    <i r="2">
      <x v="109"/>
      <x v="126"/>
      <x v="22"/>
    </i>
    <i t="default" r="2">
      <x v="109"/>
    </i>
    <i r="2">
      <x v="110"/>
      <x v="127"/>
      <x v="22"/>
    </i>
    <i t="default" r="2">
      <x v="110"/>
    </i>
    <i t="default" r="1">
      <x v="12"/>
    </i>
    <i r="1">
      <x v="13"/>
      <x v="104"/>
      <x v="121"/>
      <x v="19"/>
    </i>
    <i r="3">
      <x v="135"/>
      <x v="22"/>
    </i>
    <i t="default" r="2">
      <x v="104"/>
    </i>
    <i t="default" r="1">
      <x v="13"/>
    </i>
    <i t="default">
      <x v="5"/>
    </i>
    <i t="grand">
      <x/>
    </i>
  </rowItems>
  <colFields count="1">
    <field x="-2"/>
  </colFields>
  <colItems count="13">
    <i>
      <x/>
    </i>
    <i i="1">
      <x v="1"/>
    </i>
    <i i="2">
      <x v="2"/>
    </i>
    <i i="3">
      <x v="3"/>
    </i>
    <i i="4">
      <x v="4"/>
    </i>
    <i i="5">
      <x v="5"/>
    </i>
    <i i="6">
      <x v="6"/>
    </i>
    <i i="7">
      <x v="7"/>
    </i>
    <i i="8">
      <x v="8"/>
    </i>
    <i i="9">
      <x v="9"/>
    </i>
    <i i="10">
      <x v="10"/>
    </i>
    <i i="11">
      <x v="11"/>
    </i>
    <i i="12">
      <x v="12"/>
    </i>
  </colItems>
  <pageFields count="3">
    <pageField fld="0" hier="-1"/>
    <pageField fld="1" hier="-1"/>
    <pageField fld="4" hier="-1"/>
  </pageFields>
  <dataFields count="13">
    <dataField name="2026.01" fld="58" baseField="8" baseItem="1" numFmtId="38"/>
    <dataField name="2026.02" fld="59" baseField="8" baseItem="1" numFmtId="38"/>
    <dataField name="2026.03" fld="60" baseField="8" baseItem="1" numFmtId="38"/>
    <dataField name="2026.04" fld="61" baseField="8" baseItem="0" numFmtId="38"/>
    <dataField name="2026.05" fld="62" baseField="8" baseItem="0" numFmtId="38"/>
    <dataField name="2026.06" fld="63" baseField="8" baseItem="0" numFmtId="38"/>
    <dataField name="2026.07" fld="64" baseField="8" baseItem="0" numFmtId="38"/>
    <dataField name="2026.08" fld="65" baseField="8" baseItem="0" numFmtId="38"/>
    <dataField name="2026.09" fld="66" baseField="8" baseItem="0" numFmtId="38"/>
    <dataField name="2026.10" fld="67" baseField="8" baseItem="0" numFmtId="38"/>
    <dataField name="2026.11" fld="68" baseField="8" baseItem="0" numFmtId="38"/>
    <dataField name="2026.12" fld="69" baseField="8" baseItem="0" numFmtId="38"/>
    <dataField name="FY.2026" fld="70" baseField="8" baseItem="1" numFmtId="38"/>
  </dataFields>
  <formats count="18">
    <format dxfId="31">
      <pivotArea dataOnly="0" outline="0" fieldPosition="0">
        <references count="2">
          <reference field="1" count="1" selected="0">
            <x v="0"/>
          </reference>
          <reference field="71" count="0" defaultSubtotal="1"/>
        </references>
      </pivotArea>
    </format>
    <format dxfId="32">
      <pivotArea outline="0" fieldPosition="0">
        <references count="1">
          <reference field="4294967294" count="1">
            <x v="12"/>
          </reference>
        </references>
      </pivotArea>
    </format>
    <format dxfId="33">
      <pivotArea outline="0" fieldPosition="0">
        <references count="1">
          <reference field="4294967294" count="1">
            <x v="0"/>
          </reference>
        </references>
      </pivotArea>
    </format>
    <format dxfId="34">
      <pivotArea outline="0" fieldPosition="0">
        <references count="1">
          <reference field="4294967294" count="1">
            <x v="1"/>
          </reference>
        </references>
      </pivotArea>
    </format>
    <format dxfId="35">
      <pivotArea outline="0" fieldPosition="0">
        <references count="1">
          <reference field="4294967294" count="1">
            <x v="2"/>
          </reference>
        </references>
      </pivotArea>
    </format>
    <format dxfId="36">
      <pivotArea outline="0" fieldPosition="0">
        <references count="1">
          <reference field="4294967294" count="1">
            <x v="3"/>
          </reference>
        </references>
      </pivotArea>
    </format>
    <format dxfId="37">
      <pivotArea outline="0" fieldPosition="0">
        <references count="1">
          <reference field="4294967294" count="1">
            <x v="4"/>
          </reference>
        </references>
      </pivotArea>
    </format>
    <format dxfId="38">
      <pivotArea outline="0" fieldPosition="0">
        <references count="1">
          <reference field="4294967294" count="1">
            <x v="5"/>
          </reference>
        </references>
      </pivotArea>
    </format>
    <format dxfId="39">
      <pivotArea outline="0" fieldPosition="0">
        <references count="1">
          <reference field="4294967294" count="1">
            <x v="6"/>
          </reference>
        </references>
      </pivotArea>
    </format>
    <format dxfId="40">
      <pivotArea outline="0" fieldPosition="0">
        <references count="1">
          <reference field="4294967294" count="1">
            <x v="7"/>
          </reference>
        </references>
      </pivotArea>
    </format>
    <format dxfId="41">
      <pivotArea outline="0" fieldPosition="0">
        <references count="1">
          <reference field="4294967294" count="1">
            <x v="8"/>
          </reference>
        </references>
      </pivotArea>
    </format>
    <format dxfId="42">
      <pivotArea outline="0" fieldPosition="0">
        <references count="1">
          <reference field="4294967294" count="1">
            <x v="9"/>
          </reference>
        </references>
      </pivotArea>
    </format>
    <format dxfId="43">
      <pivotArea outline="0" fieldPosition="0">
        <references count="1">
          <reference field="4294967294" count="1">
            <x v="10"/>
          </reference>
        </references>
      </pivotArea>
    </format>
    <format dxfId="44">
      <pivotArea outline="0" fieldPosition="0">
        <references count="1">
          <reference field="4294967294" count="1">
            <x v="11"/>
          </reference>
        </references>
      </pivotArea>
    </format>
    <format dxfId="45">
      <pivotArea dataOnly="0" outline="0" fieldPosition="0">
        <references count="2">
          <reference field="1" count="1" selected="0">
            <x v="0"/>
          </reference>
          <reference field="3" count="0" defaultSubtotal="1"/>
        </references>
      </pivotArea>
    </format>
    <format dxfId="46">
      <pivotArea dataOnly="0" outline="0" fieldPosition="0">
        <references count="1">
          <reference field="5" count="0" defaultSubtotal="1"/>
        </references>
      </pivotArea>
    </format>
    <format dxfId="47">
      <pivotArea dataOnly="0" outline="0" fieldPosition="0">
        <references count="1">
          <reference field="13" count="0" defaultSubtotal="1"/>
        </references>
      </pivotArea>
    </format>
    <format dxfId="48">
      <pivotArea dataOnly="0" outline="0" fieldPosition="0">
        <references count="1">
          <reference field="13"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5FE484-D5A3-441C-AF21-764E64FA2E74}" name="PivotTable2" cacheId="2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S41" firstHeaderRow="0" firstDataRow="1" firstDataCol="6" rowPageCount="2" colPageCount="1"/>
  <pivotFields count="72">
    <pivotField axis="axisPage" compact="0" outline="0" showAll="0">
      <items count="4">
        <item x="1"/>
        <item x="0"/>
        <item x="2"/>
        <item t="default"/>
      </items>
    </pivotField>
    <pivotField axis="axisPage" compact="0" outline="0" showAll="0">
      <items count="4">
        <item x="0"/>
        <item x="1"/>
        <item x="2"/>
        <item t="default"/>
      </items>
    </pivotField>
    <pivotField axis="axisRow" compact="0" outline="0" showAll="0">
      <items count="17">
        <item sd="0" x="0"/>
        <item sd="0" x="1"/>
        <item sd="0" x="3"/>
        <item x="4"/>
        <item sd="0" x="5"/>
        <item m="1" x="13"/>
        <item m="1" x="12"/>
        <item m="1" x="14"/>
        <item m="1" x="15"/>
        <item sd="0" x="11"/>
        <item sd="0" x="8"/>
        <item sd="0" x="9"/>
        <item sd="0" x="6"/>
        <item sd="0" x="7"/>
        <item sd="0" x="2"/>
        <item sd="0" x="10"/>
        <item t="default"/>
      </items>
    </pivotField>
    <pivotField axis="axisRow" compact="0" outline="0" showAll="0">
      <items count="24">
        <item x="2"/>
        <item x="11"/>
        <item x="8"/>
        <item x="10"/>
        <item x="9"/>
        <item x="6"/>
        <item x="7"/>
        <item x="0"/>
        <item x="17"/>
        <item x="12"/>
        <item x="13"/>
        <item x="14"/>
        <item x="15"/>
        <item x="5"/>
        <item x="16"/>
        <item m="1" x="22"/>
        <item x="1"/>
        <item x="3"/>
        <item x="4"/>
        <item x="20"/>
        <item x="18"/>
        <item x="19"/>
        <item x="21"/>
        <item t="default"/>
      </items>
    </pivotField>
    <pivotField compact="0" outline="0" showAll="0"/>
    <pivotField axis="axisRow" compact="0" outline="0" showAll="0" defaultSubtotal="0">
      <items count="119">
        <item sd="0" x="1"/>
        <item x="72"/>
        <item sd="0" x="0"/>
        <item x="2"/>
        <item x="3"/>
        <item m="1" x="115"/>
        <item x="28"/>
        <item m="1" x="117"/>
        <item x="9"/>
        <item x="4"/>
        <item x="10"/>
        <item x="11"/>
        <item m="1" x="116"/>
        <item sd="0" x="13"/>
        <item x="6"/>
        <item x="8"/>
        <item x="14"/>
        <item sd="0" x="15"/>
        <item x="17"/>
        <item x="18"/>
        <item x="19"/>
        <item x="20"/>
        <item x="21"/>
        <item x="22"/>
        <item x="23"/>
        <item x="24"/>
        <item x="25"/>
        <item x="26"/>
        <item x="27"/>
        <item x="16"/>
        <item x="31"/>
        <item x="33"/>
        <item x="35"/>
        <item m="1" x="113"/>
        <item x="38"/>
        <item x="39"/>
        <item sd="0" x="40"/>
        <item x="41"/>
        <item x="42"/>
        <item x="43"/>
        <item x="44"/>
        <item x="45"/>
        <item x="46"/>
        <item x="47"/>
        <item x="48"/>
        <item x="49"/>
        <item x="50"/>
        <item x="51"/>
        <item x="52"/>
        <item x="53"/>
        <item x="54"/>
        <item x="55"/>
        <item m="1" x="112"/>
        <item x="56"/>
        <item x="57"/>
        <item x="58"/>
        <item x="59"/>
        <item sd="0" x="60"/>
        <item x="61"/>
        <item x="62"/>
        <item x="63"/>
        <item x="64"/>
        <item x="65"/>
        <item x="66"/>
        <item x="67"/>
        <item x="68"/>
        <item x="69"/>
        <item x="73"/>
        <item x="71"/>
        <item x="74"/>
        <item x="32"/>
        <item x="34"/>
        <item x="37"/>
        <item x="70"/>
        <item x="7"/>
        <item x="5"/>
        <item x="75"/>
        <item x="30"/>
        <item x="76"/>
        <item m="1" x="118"/>
        <item x="77"/>
        <item x="78"/>
        <item x="79"/>
        <item x="80"/>
        <item x="81"/>
        <item x="82"/>
        <item x="83"/>
        <item x="84"/>
        <item x="85"/>
        <item x="86"/>
        <item x="87"/>
        <item x="88"/>
        <item x="89"/>
        <item x="90"/>
        <item x="91"/>
        <item x="92"/>
        <item x="29"/>
        <item x="93"/>
        <item x="94"/>
        <item x="12"/>
        <item x="95"/>
        <item x="96"/>
        <item x="97"/>
        <item x="98"/>
        <item x="99"/>
        <item x="100"/>
        <item x="101"/>
        <item x="102"/>
        <item x="103"/>
        <item x="104"/>
        <item x="105"/>
        <item x="106"/>
        <item x="107"/>
        <item x="108"/>
        <item m="1" x="114"/>
        <item x="109"/>
        <item x="110"/>
        <item x="111"/>
        <item x="36"/>
      </items>
    </pivotField>
    <pivotField axis="axisRow" compact="0" outline="0" showAll="0">
      <items count="8">
        <item x="0"/>
        <item sd="0" x="3"/>
        <item sd="0" x="4"/>
        <item sd="0" x="2"/>
        <item sd="0" x="6"/>
        <item sd="0" x="5"/>
        <item x="1"/>
        <item t="default" sd="0"/>
      </items>
    </pivotField>
    <pivotField axis="axisRow" compact="0" outline="0" showAll="0" defaultSubtotal="0">
      <items count="138">
        <item x="1"/>
        <item x="30"/>
        <item x="6"/>
        <item x="7"/>
        <item x="8"/>
        <item x="13"/>
        <item x="15"/>
        <item x="16"/>
        <item m="1" x="134"/>
        <item x="17"/>
        <item x="18"/>
        <item x="19"/>
        <item x="20"/>
        <item x="21"/>
        <item x="22"/>
        <item x="23"/>
        <item x="24"/>
        <item x="25"/>
        <item x="26"/>
        <item x="27"/>
        <item x="28"/>
        <item x="29"/>
        <item x="0"/>
        <item x="2"/>
        <item x="3"/>
        <item x="4"/>
        <item x="31"/>
        <item x="10"/>
        <item m="1" x="135"/>
        <item x="14"/>
        <item x="9"/>
        <item x="33"/>
        <item x="34"/>
        <item x="35"/>
        <item x="36"/>
        <item x="37"/>
        <item x="38"/>
        <item x="39"/>
        <item x="41"/>
        <item x="42"/>
        <item x="43"/>
        <item x="44"/>
        <item x="45"/>
        <item x="46"/>
        <item x="47"/>
        <item x="48"/>
        <item x="49"/>
        <item x="50"/>
        <item x="51"/>
        <item x="52"/>
        <item x="53"/>
        <item x="55"/>
        <item x="56"/>
        <item m="1" x="133"/>
        <item x="58"/>
        <item x="59"/>
        <item x="60"/>
        <item x="61"/>
        <item x="62"/>
        <item x="63"/>
        <item x="65"/>
        <item x="66"/>
        <item x="67"/>
        <item x="68"/>
        <item x="73"/>
        <item x="75"/>
        <item x="64"/>
        <item x="5"/>
        <item x="40"/>
        <item x="69"/>
        <item x="70"/>
        <item x="71"/>
        <item x="72"/>
        <item x="74"/>
        <item x="78"/>
        <item x="77"/>
        <item x="76"/>
        <item x="57"/>
        <item x="54"/>
        <item x="32"/>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m="1" x="136"/>
        <item x="109"/>
        <item x="110"/>
        <item x="111"/>
        <item x="112"/>
        <item x="113"/>
        <item x="114"/>
        <item x="115"/>
        <item x="116"/>
        <item x="117"/>
        <item x="118"/>
        <item x="119"/>
        <item x="121"/>
        <item x="122"/>
        <item x="123"/>
        <item x="124"/>
        <item x="125"/>
        <item x="126"/>
        <item x="127"/>
        <item x="128"/>
        <item x="120"/>
        <item x="129"/>
        <item m="1" x="137"/>
        <item x="130"/>
        <item x="131"/>
        <item x="132"/>
        <item x="11"/>
        <item x="12"/>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4">
        <item sd="0" x="1"/>
        <item x="5"/>
        <item x="9"/>
        <item x="10"/>
        <item x="7"/>
        <item x="8"/>
        <item x="13"/>
        <item x="11"/>
        <item x="0"/>
        <item x="2"/>
        <item x="4"/>
        <item x="3"/>
        <item x="6"/>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3" outline="0" showAll="0"/>
    <pivotField compact="0" outline="0" showAll="0"/>
  </pivotFields>
  <rowFields count="6">
    <field x="2"/>
    <field x="3"/>
    <field x="6"/>
    <field x="13"/>
    <field x="5"/>
    <field x="7"/>
  </rowFields>
  <rowItems count="36">
    <i>
      <x/>
    </i>
    <i>
      <x v="1"/>
    </i>
    <i>
      <x v="2"/>
    </i>
    <i>
      <x v="3"/>
      <x v="12"/>
      <x/>
      <x v="1"/>
      <x v="15"/>
      <x v="136"/>
    </i>
    <i r="4">
      <x v="71"/>
      <x v="34"/>
    </i>
    <i r="3">
      <x v="10"/>
      <x v="8"/>
      <x v="137"/>
    </i>
    <i r="4">
      <x v="9"/>
      <x v="3"/>
    </i>
    <i r="3">
      <x v="11"/>
      <x v="9"/>
      <x v="2"/>
    </i>
    <i t="default" r="2">
      <x/>
    </i>
    <i r="2">
      <x v="1"/>
    </i>
    <i r="2">
      <x v="3"/>
    </i>
    <i t="default" r="1">
      <x v="12"/>
    </i>
    <i r="1">
      <x v="18"/>
      <x/>
      <x v="1"/>
      <x v="53"/>
      <x v="54"/>
    </i>
    <i r="3">
      <x v="8"/>
      <x v="4"/>
      <x v="24"/>
    </i>
    <i r="3">
      <x v="9"/>
      <x v="4"/>
      <x v="25"/>
    </i>
    <i r="5">
      <x v="67"/>
    </i>
    <i r="4">
      <x v="72"/>
      <x v="38"/>
    </i>
    <i r="3">
      <x v="10"/>
      <x v="10"/>
      <x v="5"/>
    </i>
    <i r="4">
      <x v="13"/>
    </i>
    <i r="4">
      <x v="51"/>
      <x v="77"/>
    </i>
    <i r="4">
      <x v="57"/>
    </i>
    <i t="default" r="2">
      <x/>
    </i>
    <i r="2">
      <x v="1"/>
    </i>
    <i r="2">
      <x v="2"/>
    </i>
    <i r="2">
      <x v="3"/>
    </i>
    <i t="default" r="1">
      <x v="18"/>
    </i>
    <i t="default">
      <x v="3"/>
    </i>
    <i>
      <x v="4"/>
    </i>
    <i>
      <x v="9"/>
    </i>
    <i>
      <x v="10"/>
    </i>
    <i>
      <x v="11"/>
    </i>
    <i>
      <x v="12"/>
    </i>
    <i>
      <x v="13"/>
    </i>
    <i>
      <x v="14"/>
    </i>
    <i>
      <x v="15"/>
    </i>
    <i t="grand">
      <x/>
    </i>
  </rowItems>
  <colFields count="1">
    <field x="-2"/>
  </colFields>
  <colItems count="13">
    <i>
      <x/>
    </i>
    <i i="1">
      <x v="1"/>
    </i>
    <i i="2">
      <x v="2"/>
    </i>
    <i i="3">
      <x v="3"/>
    </i>
    <i i="4">
      <x v="4"/>
    </i>
    <i i="5">
      <x v="5"/>
    </i>
    <i i="6">
      <x v="6"/>
    </i>
    <i i="7">
      <x v="7"/>
    </i>
    <i i="8">
      <x v="8"/>
    </i>
    <i i="9">
      <x v="9"/>
    </i>
    <i i="10">
      <x v="10"/>
    </i>
    <i i="11">
      <x v="11"/>
    </i>
    <i i="12">
      <x v="12"/>
    </i>
  </colItems>
  <pageFields count="2">
    <pageField fld="0" hier="-1"/>
    <pageField fld="1" hier="-1"/>
  </pageFields>
  <dataFields count="13">
    <dataField name="2026.01" fld="58" baseField="8" baseItem="1" numFmtId="38"/>
    <dataField name="2026.02" fld="59" baseField="8" baseItem="1" numFmtId="38"/>
    <dataField name="2026.03" fld="60" baseField="8" baseItem="1" numFmtId="38"/>
    <dataField name="2026.04" fld="61" baseField="8" baseItem="0" numFmtId="38"/>
    <dataField name="2026.05" fld="62" baseField="8" baseItem="0" numFmtId="38"/>
    <dataField name="2026.06" fld="63" baseField="8" baseItem="0" numFmtId="38"/>
    <dataField name="2026.07" fld="64" baseField="8" baseItem="0" numFmtId="38"/>
    <dataField name="2026.08" fld="65" baseField="8" baseItem="0" numFmtId="38"/>
    <dataField name="2026.09" fld="66" baseField="8" baseItem="0" numFmtId="38"/>
    <dataField name="2026.10" fld="67" baseField="8" baseItem="0" numFmtId="38"/>
    <dataField name="2026.11" fld="68" baseField="8" baseItem="0" numFmtId="38"/>
    <dataField name="2026.12" fld="69" baseField="8" baseItem="0" numFmtId="38"/>
    <dataField name="FY.2026" fld="70" baseField="8" baseItem="1" numFmtId="38"/>
  </dataFields>
  <formats count="20">
    <format dxfId="11">
      <pivotArea outline="0" fieldPosition="0">
        <references count="1">
          <reference field="4294967294" count="1">
            <x v="12"/>
          </reference>
        </references>
      </pivotArea>
    </format>
    <format dxfId="12">
      <pivotArea outline="0" fieldPosition="0">
        <references count="1">
          <reference field="4294967294" count="1">
            <x v="0"/>
          </reference>
        </references>
      </pivotArea>
    </format>
    <format dxfId="13">
      <pivotArea outline="0" fieldPosition="0">
        <references count="1">
          <reference field="4294967294" count="1">
            <x v="1"/>
          </reference>
        </references>
      </pivotArea>
    </format>
    <format dxfId="14">
      <pivotArea outline="0" fieldPosition="0">
        <references count="1">
          <reference field="4294967294" count="1">
            <x v="2"/>
          </reference>
        </references>
      </pivotArea>
    </format>
    <format dxfId="15">
      <pivotArea outline="0" fieldPosition="0">
        <references count="1">
          <reference field="4294967294" count="1">
            <x v="3"/>
          </reference>
        </references>
      </pivotArea>
    </format>
    <format dxfId="16">
      <pivotArea outline="0" fieldPosition="0">
        <references count="1">
          <reference field="4294967294" count="1">
            <x v="4"/>
          </reference>
        </references>
      </pivotArea>
    </format>
    <format dxfId="17">
      <pivotArea outline="0" fieldPosition="0">
        <references count="1">
          <reference field="4294967294" count="1">
            <x v="5"/>
          </reference>
        </references>
      </pivotArea>
    </format>
    <format dxfId="18">
      <pivotArea outline="0" fieldPosition="0">
        <references count="1">
          <reference field="4294967294" count="1">
            <x v="6"/>
          </reference>
        </references>
      </pivotArea>
    </format>
    <format dxfId="19">
      <pivotArea outline="0" fieldPosition="0">
        <references count="1">
          <reference field="4294967294" count="1">
            <x v="7"/>
          </reference>
        </references>
      </pivotArea>
    </format>
    <format dxfId="20">
      <pivotArea outline="0" fieldPosition="0">
        <references count="1">
          <reference field="4294967294" count="1">
            <x v="8"/>
          </reference>
        </references>
      </pivotArea>
    </format>
    <format dxfId="21">
      <pivotArea outline="0" fieldPosition="0">
        <references count="1">
          <reference field="4294967294" count="1">
            <x v="9"/>
          </reference>
        </references>
      </pivotArea>
    </format>
    <format dxfId="22">
      <pivotArea outline="0" fieldPosition="0">
        <references count="1">
          <reference field="4294967294" count="1">
            <x v="10"/>
          </reference>
        </references>
      </pivotArea>
    </format>
    <format dxfId="23">
      <pivotArea outline="0" fieldPosition="0">
        <references count="1">
          <reference field="4294967294" count="1">
            <x v="11"/>
          </reference>
        </references>
      </pivotArea>
    </format>
    <format dxfId="24">
      <pivotArea dataOnly="0" outline="0" fieldPosition="0">
        <references count="1">
          <reference field="5" count="0" defaultSubtotal="1"/>
        </references>
      </pivotArea>
    </format>
    <format dxfId="25">
      <pivotArea dataOnly="0" outline="0" fieldPosition="0">
        <references count="1">
          <reference field="13" count="0" defaultSubtotal="1"/>
        </references>
      </pivotArea>
    </format>
    <format dxfId="26">
      <pivotArea dataOnly="0" outline="0" fieldPosition="0">
        <references count="1">
          <reference field="13" count="0" defaultSubtotal="1"/>
        </references>
      </pivotArea>
    </format>
    <format dxfId="27">
      <pivotArea dataOnly="0" outline="0" fieldPosition="0">
        <references count="1">
          <reference field="2" count="0" defaultSubtotal="1"/>
        </references>
      </pivotArea>
    </format>
    <format dxfId="28">
      <pivotArea dataOnly="0" outline="0" fieldPosition="0">
        <references count="1">
          <reference field="3" count="0" defaultSubtotal="1"/>
        </references>
      </pivotArea>
    </format>
    <format dxfId="29">
      <pivotArea dataOnly="0" outline="0" fieldPosition="0">
        <references count="1">
          <reference field="3" count="0" defaultSubtotal="1"/>
        </references>
      </pivotArea>
    </format>
    <format dxfId="30">
      <pivotArea dataOnly="0" outline="0" fieldPosition="0">
        <references count="1">
          <reference field="2"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resa" xr10:uid="{677078EA-9111-46CD-9D00-867E7B564EA9}" sourceName="Empresa">
  <pivotTables>
    <pivotTable tabId="16" name="PivotTable1"/>
  </pivotTables>
  <data>
    <tabular pivotCacheId="253554085">
      <items count="7">
        <i x="5" s="1"/>
        <i x="0" s="1"/>
        <i x="1" s="1"/>
        <i x="2" s="1"/>
        <i x="4" s="1"/>
        <i x="6"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dade" xr10:uid="{98522C92-18B0-4467-9A94-7C74174628EE}" sourceName="Unidade">
  <pivotTables>
    <pivotTable tabId="16" name="PivotTable1"/>
  </pivotTables>
  <data>
    <tabular pivotCacheId="253554085">
      <items count="18">
        <i x="12" s="1"/>
        <i x="14" s="1"/>
        <i x="15" s="1"/>
        <i x="13" s="1"/>
        <i x="10" s="1"/>
        <i x="5" s="1"/>
        <i x="4" s="1"/>
        <i x="8" s="1"/>
        <i x="16" s="1"/>
        <i x="3" s="1"/>
        <i x="1" s="1"/>
        <i x="6" s="1"/>
        <i x="7" s="1"/>
        <i x="17" s="1" nd="1"/>
        <i x="9" s="1" nd="1"/>
        <i x="2" s="1" nd="1"/>
        <i x="0" s="1" nd="1"/>
        <i x="1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 xr10:uid="{4AAC2719-B217-4741-8465-F11FE2C71859}" sourceName="Tipo">
  <pivotTables>
    <pivotTable tabId="16" name="PivotTable1"/>
  </pivotTables>
  <data>
    <tabular pivotCacheId="253554085">
      <items count="6">
        <i x="2" s="1"/>
        <i x="1" s="1"/>
        <i x="5" s="1"/>
        <i x="3" s="1"/>
        <i x="4" s="1"/>
        <i x="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ável" xr10:uid="{34CF9C90-7AC0-4748-8FD2-E95F0427358E}" sourceName="Responsável">
  <pivotTables>
    <pivotTable tabId="16" name="PivotTable1"/>
  </pivotTables>
  <data>
    <tabular pivotCacheId="253554085">
      <items count="34">
        <i x="19"/>
        <i x="17"/>
        <i x="11"/>
        <i x="6" s="1"/>
        <i x="32"/>
        <i x="18"/>
        <i x="29"/>
        <i x="21"/>
        <i x="2"/>
        <i x="8"/>
        <i x="1"/>
        <i x="16"/>
        <i x="13"/>
        <i x="33"/>
        <i x="31"/>
        <i x="12"/>
        <i x="9"/>
        <i x="28"/>
        <i x="3"/>
        <i x="14"/>
        <i x="15"/>
        <i x="25"/>
        <i x="0"/>
        <i x="22"/>
        <i x="7"/>
        <i x="26"/>
        <i x="20"/>
        <i x="27"/>
        <i x="23"/>
        <i x="24"/>
        <i x="5"/>
        <i x="30"/>
        <i x="4"/>
        <i x="10"/>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amento" xr10:uid="{61E2FE6E-850A-42D6-BD2D-0B7AD519D850}" sourceName="Departamento">
  <pivotTables>
    <pivotTable tabId="16" name="PivotTable1"/>
  </pivotTables>
  <data>
    <tabular pivotCacheId="253554085">
      <items count="22">
        <i x="7" s="1"/>
        <i x="2" s="1" nd="1"/>
        <i x="13" s="1" nd="1"/>
        <i x="18" s="1" nd="1"/>
        <i x="12" s="1" nd="1"/>
        <i x="17" s="1" nd="1"/>
        <i x="14" s="1" nd="1"/>
        <i x="16" s="1" nd="1"/>
        <i x="3" s="1" nd="1"/>
        <i x="1" s="1" nd="1"/>
        <i x="11" s="1" nd="1"/>
        <i x="21" s="1" nd="1"/>
        <i x="5" s="1" nd="1"/>
        <i x="10" s="1" nd="1"/>
        <i x="9" s="1" nd="1"/>
        <i x="6" s="1" nd="1"/>
        <i x="0" s="1" nd="1"/>
        <i x="20" s="1" nd="1"/>
        <i x="8" s="1" nd="1"/>
        <i x="4" s="1" nd="1"/>
        <i x="15" s="1" nd="1"/>
        <i x="1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resa" xr10:uid="{23D20F7A-BC5E-48EE-8D0E-277DA8CC4F08}" cache="Slicer_Empresa" caption="Empresa" columnCount="6" style="SlicerStyleDark1" rowHeight="288925"/>
  <slicer name="Unidade" xr10:uid="{31D62F87-3EEC-45F3-B6BE-BB657C8C907D}" cache="Slicer_Unidade" caption="Unidade" columnCount="5" style="SlicerStyleDark3" rowHeight="288925"/>
  <slicer name="Tipo" xr10:uid="{A7F55ABB-10E5-42B6-B91C-C7901303DA49}" cache="Slicer_Tipo" caption="Tipo" columnCount="3" style="SlicerStyleDark3" rowHeight="288925"/>
  <slicer name="Responsável" xr10:uid="{91CB8966-5DEE-4250-9F1B-77DE7A541B70}" cache="Slicer_Responsável" caption="Responsável" rowHeight="288925"/>
  <slicer name="Departamento" xr10:uid="{27664EC3-D107-4EFD-AC96-0C33CFC0E470}" cache="Slicer_Departamento" caption="Departamento" rowHeight="288925"/>
</slicers>
</file>

<file path=xl/theme/theme1.xml><?xml version="1.0" encoding="utf-8"?>
<a:theme xmlns:a="http://schemas.openxmlformats.org/drawingml/2006/main" name="Office Theme">
  <a:themeElements>
    <a:clrScheme name="ECLA">
      <a:dk1>
        <a:srgbClr val="1C2543"/>
      </a:dk1>
      <a:lt1>
        <a:sysClr val="window" lastClr="FFFFFF"/>
      </a:lt1>
      <a:dk2>
        <a:srgbClr val="223262"/>
      </a:dk2>
      <a:lt2>
        <a:srgbClr val="F5F5F6"/>
      </a:lt2>
      <a:accent1>
        <a:srgbClr val="1C2543"/>
      </a:accent1>
      <a:accent2>
        <a:srgbClr val="92223E"/>
      </a:accent2>
      <a:accent3>
        <a:srgbClr val="223262"/>
      </a:accent3>
      <a:accent4>
        <a:srgbClr val="DC8000"/>
      </a:accent4>
      <a:accent5>
        <a:srgbClr val="3A9335"/>
      </a:accent5>
      <a:accent6>
        <a:srgbClr val="DDEBF7"/>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4D42-A54F-45E0-B73A-F45A7196A6CD}">
  <sheetPr>
    <tabColor rgb="FF6C80C1"/>
  </sheetPr>
  <dimension ref="A11:G31"/>
  <sheetViews>
    <sheetView zoomScale="90" zoomScaleNormal="90" workbookViewId="0">
      <pane xSplit="3" ySplit="11" topLeftCell="N12" activePane="bottomRight" state="frozen"/>
      <selection pane="bottomRight" activeCell="B12" sqref="B12:B19"/>
      <selection pane="bottomLeft" activeCell="A12" sqref="A12"/>
      <selection pane="topRight" activeCell="D1" sqref="D1"/>
    </sheetView>
  </sheetViews>
  <sheetFormatPr defaultColWidth="8.88671875" defaultRowHeight="17.45"/>
  <cols>
    <col min="1" max="1" width="19.88671875" bestFit="1" customWidth="1"/>
    <col min="2" max="2" width="13.77734375" bestFit="1" customWidth="1"/>
    <col min="3" max="3" width="17.88671875" bestFit="1" customWidth="1"/>
    <col min="4" max="4" width="10.33203125" bestFit="1" customWidth="1"/>
    <col min="5" max="5" width="20.109375" bestFit="1" customWidth="1"/>
    <col min="6" max="6" width="14" bestFit="1" customWidth="1"/>
    <col min="7" max="7" width="14.44140625" bestFit="1" customWidth="1"/>
  </cols>
  <sheetData>
    <row r="11" spans="1:7">
      <c r="A11" s="33" t="s">
        <v>0</v>
      </c>
      <c r="B11" s="33" t="s">
        <v>1</v>
      </c>
      <c r="C11" s="33" t="s">
        <v>2</v>
      </c>
      <c r="D11" s="33" t="s">
        <v>3</v>
      </c>
      <c r="E11" s="33" t="s">
        <v>4</v>
      </c>
      <c r="F11" s="33" t="s">
        <v>5</v>
      </c>
      <c r="G11" s="33" t="s">
        <v>6</v>
      </c>
    </row>
    <row r="12" spans="1:7">
      <c r="A12" t="s">
        <v>7</v>
      </c>
      <c r="B12" t="s">
        <v>8</v>
      </c>
      <c r="C12" t="s">
        <v>9</v>
      </c>
      <c r="D12" t="s">
        <v>10</v>
      </c>
      <c r="E12" t="s">
        <v>11</v>
      </c>
      <c r="F12" t="s">
        <v>12</v>
      </c>
      <c r="G12" t="s">
        <v>13</v>
      </c>
    </row>
    <row r="13" spans="1:7">
      <c r="A13" t="s">
        <v>7</v>
      </c>
      <c r="B13" t="s">
        <v>8</v>
      </c>
      <c r="C13" t="s">
        <v>14</v>
      </c>
      <c r="D13" t="s">
        <v>10</v>
      </c>
      <c r="E13" t="s">
        <v>11</v>
      </c>
      <c r="F13" t="s">
        <v>15</v>
      </c>
      <c r="G13" t="s">
        <v>13</v>
      </c>
    </row>
    <row r="14" spans="1:7">
      <c r="A14" t="s">
        <v>7</v>
      </c>
      <c r="B14" t="s">
        <v>8</v>
      </c>
      <c r="C14" t="s">
        <v>16</v>
      </c>
      <c r="D14" t="s">
        <v>10</v>
      </c>
      <c r="E14" t="s">
        <v>11</v>
      </c>
      <c r="F14" t="s">
        <v>17</v>
      </c>
      <c r="G14" t="s">
        <v>13</v>
      </c>
    </row>
    <row r="15" spans="1:7">
      <c r="A15" t="s">
        <v>7</v>
      </c>
      <c r="B15" t="s">
        <v>8</v>
      </c>
      <c r="C15" t="s">
        <v>18</v>
      </c>
      <c r="D15" t="s">
        <v>10</v>
      </c>
      <c r="E15" t="s">
        <v>11</v>
      </c>
      <c r="F15" t="s">
        <v>19</v>
      </c>
      <c r="G15" t="s">
        <v>13</v>
      </c>
    </row>
    <row r="16" spans="1:7">
      <c r="A16" t="s">
        <v>7</v>
      </c>
      <c r="B16" t="s">
        <v>20</v>
      </c>
      <c r="C16" t="s">
        <v>14</v>
      </c>
      <c r="D16" t="s">
        <v>10</v>
      </c>
      <c r="E16" t="s">
        <v>11</v>
      </c>
      <c r="F16" t="s">
        <v>21</v>
      </c>
      <c r="G16" t="s">
        <v>13</v>
      </c>
    </row>
    <row r="17" spans="1:7">
      <c r="A17" t="s">
        <v>7</v>
      </c>
      <c r="B17" t="s">
        <v>20</v>
      </c>
      <c r="C17" t="s">
        <v>16</v>
      </c>
      <c r="D17" t="s">
        <v>10</v>
      </c>
      <c r="E17" t="s">
        <v>11</v>
      </c>
      <c r="F17" t="s">
        <v>22</v>
      </c>
      <c r="G17" t="s">
        <v>13</v>
      </c>
    </row>
    <row r="18" spans="1:7">
      <c r="A18" t="s">
        <v>7</v>
      </c>
      <c r="B18" t="s">
        <v>20</v>
      </c>
      <c r="C18" t="s">
        <v>18</v>
      </c>
      <c r="D18" t="s">
        <v>10</v>
      </c>
      <c r="E18" t="s">
        <v>11</v>
      </c>
      <c r="F18" t="s">
        <v>23</v>
      </c>
      <c r="G18" t="s">
        <v>13</v>
      </c>
    </row>
    <row r="19" spans="1:7">
      <c r="A19" t="s">
        <v>7</v>
      </c>
      <c r="B19" t="s">
        <v>24</v>
      </c>
      <c r="C19" t="s">
        <v>9</v>
      </c>
      <c r="D19" t="s">
        <v>10</v>
      </c>
      <c r="E19" t="s">
        <v>11</v>
      </c>
      <c r="F19" t="s">
        <v>25</v>
      </c>
      <c r="G19" t="s">
        <v>13</v>
      </c>
    </row>
    <row r="20" spans="1:7">
      <c r="A20" t="s">
        <v>7</v>
      </c>
      <c r="B20" t="s">
        <v>26</v>
      </c>
      <c r="C20" t="s">
        <v>14</v>
      </c>
      <c r="D20" t="s">
        <v>10</v>
      </c>
      <c r="E20" t="s">
        <v>11</v>
      </c>
      <c r="F20" t="s">
        <v>27</v>
      </c>
      <c r="G20" t="s">
        <v>13</v>
      </c>
    </row>
    <row r="21" spans="1:7">
      <c r="A21" t="s">
        <v>7</v>
      </c>
      <c r="B21" t="s">
        <v>26</v>
      </c>
      <c r="C21" t="s">
        <v>16</v>
      </c>
      <c r="D21" t="s">
        <v>10</v>
      </c>
      <c r="E21" t="s">
        <v>11</v>
      </c>
      <c r="F21" t="s">
        <v>28</v>
      </c>
      <c r="G21" t="s">
        <v>13</v>
      </c>
    </row>
    <row r="22" spans="1:7">
      <c r="A22" t="s">
        <v>7</v>
      </c>
      <c r="B22" t="s">
        <v>26</v>
      </c>
      <c r="C22" t="s">
        <v>18</v>
      </c>
      <c r="D22" t="s">
        <v>10</v>
      </c>
      <c r="E22" t="s">
        <v>11</v>
      </c>
      <c r="F22" t="s">
        <v>29</v>
      </c>
      <c r="G22" t="s">
        <v>13</v>
      </c>
    </row>
    <row r="23" spans="1:7">
      <c r="A23" t="s">
        <v>7</v>
      </c>
      <c r="B23" t="s">
        <v>30</v>
      </c>
      <c r="C23" t="s">
        <v>14</v>
      </c>
      <c r="D23" t="s">
        <v>10</v>
      </c>
      <c r="E23" t="s">
        <v>11</v>
      </c>
      <c r="F23" t="s">
        <v>31</v>
      </c>
      <c r="G23" t="s">
        <v>13</v>
      </c>
    </row>
    <row r="24" spans="1:7">
      <c r="A24" t="s">
        <v>7</v>
      </c>
      <c r="B24" t="s">
        <v>32</v>
      </c>
      <c r="C24" t="s">
        <v>33</v>
      </c>
      <c r="D24" t="s">
        <v>34</v>
      </c>
      <c r="E24" t="s">
        <v>11</v>
      </c>
      <c r="F24" t="s">
        <v>35</v>
      </c>
      <c r="G24" t="s">
        <v>13</v>
      </c>
    </row>
    <row r="25" spans="1:7">
      <c r="A25" t="s">
        <v>36</v>
      </c>
      <c r="B25" t="s">
        <v>37</v>
      </c>
      <c r="C25" t="s">
        <v>33</v>
      </c>
      <c r="D25" t="s">
        <v>34</v>
      </c>
      <c r="E25" t="s">
        <v>11</v>
      </c>
      <c r="F25" t="s">
        <v>38</v>
      </c>
      <c r="G25" t="s">
        <v>13</v>
      </c>
    </row>
    <row r="26" spans="1:7">
      <c r="A26" t="s">
        <v>39</v>
      </c>
      <c r="B26" t="s">
        <v>40</v>
      </c>
      <c r="C26" t="s">
        <v>14</v>
      </c>
      <c r="D26" t="s">
        <v>10</v>
      </c>
      <c r="E26" t="s">
        <v>11</v>
      </c>
      <c r="F26" t="s">
        <v>41</v>
      </c>
      <c r="G26" t="s">
        <v>13</v>
      </c>
    </row>
    <row r="27" spans="1:7">
      <c r="A27" t="s">
        <v>39</v>
      </c>
      <c r="B27" t="s">
        <v>42</v>
      </c>
      <c r="C27" t="s">
        <v>14</v>
      </c>
      <c r="D27" t="s">
        <v>10</v>
      </c>
      <c r="E27" t="s">
        <v>11</v>
      </c>
      <c r="F27" t="s">
        <v>43</v>
      </c>
      <c r="G27" t="s">
        <v>13</v>
      </c>
    </row>
    <row r="28" spans="1:7">
      <c r="A28" t="s">
        <v>39</v>
      </c>
      <c r="B28" t="s">
        <v>44</v>
      </c>
      <c r="C28" t="s">
        <v>33</v>
      </c>
      <c r="D28" t="s">
        <v>34</v>
      </c>
      <c r="E28" t="s">
        <v>11</v>
      </c>
      <c r="F28" t="s">
        <v>45</v>
      </c>
      <c r="G28" t="s">
        <v>13</v>
      </c>
    </row>
    <row r="29" spans="1:7">
      <c r="A29" t="s">
        <v>46</v>
      </c>
      <c r="B29" t="s">
        <v>47</v>
      </c>
      <c r="C29" t="s">
        <v>14</v>
      </c>
      <c r="D29" t="s">
        <v>10</v>
      </c>
      <c r="E29" t="s">
        <v>11</v>
      </c>
      <c r="F29" t="s">
        <v>48</v>
      </c>
      <c r="G29" t="s">
        <v>13</v>
      </c>
    </row>
    <row r="30" spans="1:7">
      <c r="A30" t="s">
        <v>46</v>
      </c>
      <c r="B30" t="s">
        <v>49</v>
      </c>
      <c r="C30" t="s">
        <v>33</v>
      </c>
      <c r="D30" t="s">
        <v>34</v>
      </c>
      <c r="E30" t="s">
        <v>11</v>
      </c>
      <c r="F30" t="s">
        <v>50</v>
      </c>
      <c r="G30" t="s">
        <v>13</v>
      </c>
    </row>
    <row r="31" spans="1:7">
      <c r="A31" t="s">
        <v>51</v>
      </c>
      <c r="B31" t="s">
        <v>52</v>
      </c>
      <c r="C31" t="s">
        <v>33</v>
      </c>
      <c r="D31" t="s">
        <v>53</v>
      </c>
      <c r="E31" t="s">
        <v>11</v>
      </c>
      <c r="F31" t="s">
        <v>54</v>
      </c>
      <c r="G31" t="s">
        <v>13</v>
      </c>
    </row>
  </sheetData>
  <sheetProtection sort="0"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80E7-A5DC-46D9-9E18-E1CF181FC245}">
  <sheetPr>
    <tabColor rgb="FF223262"/>
  </sheetPr>
  <dimension ref="A1:BV362"/>
  <sheetViews>
    <sheetView showGridLines="0" tabSelected="1" topLeftCell="C1" zoomScale="90" zoomScaleNormal="100" zoomScaleSheetLayoutView="50" workbookViewId="0">
      <selection activeCell="C3" sqref="C3"/>
    </sheetView>
  </sheetViews>
  <sheetFormatPr defaultColWidth="8.88671875" defaultRowHeight="15" outlineLevelCol="1"/>
  <cols>
    <col min="1" max="2" width="8.88671875" style="8" hidden="1" customWidth="1"/>
    <col min="3" max="3" width="12.5546875" style="8" customWidth="1" outlineLevel="1"/>
    <col min="4" max="4" width="10.88671875" style="8" customWidth="1"/>
    <col min="5" max="5" width="10.77734375" style="8" customWidth="1"/>
    <col min="6" max="6" width="19" style="8" customWidth="1"/>
    <col min="7" max="7" width="33.5546875" style="8" customWidth="1"/>
    <col min="8" max="8" width="43.44140625" style="8" customWidth="1"/>
    <col min="9" max="10" width="12.44140625" style="8" hidden="1" customWidth="1" outlineLevel="1"/>
    <col min="11" max="12" width="15.77734375" style="8" hidden="1" customWidth="1" outlineLevel="1"/>
    <col min="13" max="13" width="13.44140625" style="8" hidden="1" customWidth="1" outlineLevel="1"/>
    <col min="14" max="14" width="20.77734375" style="8" customWidth="1" collapsed="1"/>
    <col min="15" max="15" width="19.5546875" style="8" customWidth="1"/>
    <col min="16" max="16" width="8.88671875" style="8" customWidth="1"/>
    <col min="17" max="28" width="10.77734375" style="8" hidden="1" customWidth="1"/>
    <col min="29" max="29" width="12.77734375" style="8" customWidth="1"/>
    <col min="30" max="30" width="13.77734375" style="8" customWidth="1"/>
    <col min="31" max="41" width="8.88671875" style="8" customWidth="1" outlineLevel="1"/>
    <col min="42" max="42" width="11.77734375" style="8" customWidth="1" outlineLevel="1"/>
    <col min="43" max="43" width="12.77734375" style="8" customWidth="1"/>
    <col min="44" max="44" width="1.77734375" style="8" customWidth="1"/>
    <col min="45" max="56" width="8.88671875" style="8"/>
    <col min="57" max="57" width="12.77734375" style="8" customWidth="1"/>
    <col min="58" max="58" width="1.77734375" style="8" customWidth="1"/>
    <col min="59" max="70" width="8.88671875" style="8"/>
    <col min="71" max="71" width="12.77734375" style="8" customWidth="1"/>
    <col min="72" max="72" width="11.21875" style="8" hidden="1" customWidth="1"/>
    <col min="73" max="16384" width="8.88671875" style="38"/>
  </cols>
  <sheetData>
    <row r="1" spans="1:74">
      <c r="E1" s="17" t="s">
        <v>55</v>
      </c>
      <c r="F1" s="45">
        <v>2026</v>
      </c>
      <c r="AQ1" s="43">
        <f>SUM(AQ$5:AQ$328)</f>
        <v>16192.875709702488</v>
      </c>
      <c r="BE1" s="43">
        <f>SUM(BE$5:BE$352)</f>
        <v>16739.988059006697</v>
      </c>
      <c r="BS1" s="43">
        <f>SUM(BS$5:BT$352)</f>
        <v>2846.9367447290269</v>
      </c>
    </row>
    <row r="2" spans="1:74" ht="27" customHeight="1">
      <c r="E2" s="17" t="s">
        <v>6</v>
      </c>
      <c r="F2" s="37" t="s">
        <v>13</v>
      </c>
    </row>
    <row r="3" spans="1:74" ht="16.5" customHeight="1">
      <c r="AE3" s="16" t="s">
        <v>56</v>
      </c>
      <c r="AF3" s="16"/>
      <c r="AG3" s="16"/>
      <c r="AH3" s="16"/>
      <c r="AI3" s="16"/>
      <c r="AJ3" s="16"/>
      <c r="AK3" s="16"/>
      <c r="AL3" s="16"/>
      <c r="AM3" s="16"/>
      <c r="AN3" s="16"/>
      <c r="AO3" s="16"/>
      <c r="AP3" s="16"/>
      <c r="AQ3" s="16"/>
      <c r="AS3" s="16" t="s">
        <v>57</v>
      </c>
      <c r="AT3" s="16"/>
      <c r="AU3" s="16"/>
      <c r="AV3" s="16"/>
      <c r="AW3" s="16"/>
      <c r="AX3" s="16"/>
      <c r="AY3" s="16"/>
      <c r="AZ3" s="16"/>
      <c r="BA3" s="16"/>
      <c r="BB3" s="16"/>
      <c r="BC3" s="16"/>
      <c r="BD3" s="16"/>
      <c r="BE3" s="16"/>
      <c r="BG3" s="16" t="s">
        <v>58</v>
      </c>
      <c r="BH3" s="16"/>
      <c r="BI3" s="16"/>
      <c r="BJ3" s="16"/>
      <c r="BK3" s="16"/>
      <c r="BL3" s="16"/>
      <c r="BM3" s="16"/>
      <c r="BN3" s="16"/>
      <c r="BO3" s="16"/>
      <c r="BP3" s="16"/>
      <c r="BQ3" s="16"/>
      <c r="BR3" s="16"/>
      <c r="BS3" s="16"/>
    </row>
    <row r="4" spans="1:74">
      <c r="A4" s="6" t="s">
        <v>59</v>
      </c>
      <c r="B4" s="6" t="s">
        <v>60</v>
      </c>
      <c r="C4" s="105" t="s">
        <v>0</v>
      </c>
      <c r="D4" s="105" t="s">
        <v>1</v>
      </c>
      <c r="E4" s="105" t="s">
        <v>2</v>
      </c>
      <c r="F4" s="106" t="s">
        <v>61</v>
      </c>
      <c r="G4" s="106" t="s">
        <v>62</v>
      </c>
      <c r="H4" s="106" t="s">
        <v>63</v>
      </c>
      <c r="I4" s="106" t="s">
        <v>64</v>
      </c>
      <c r="J4" s="106" t="s">
        <v>65</v>
      </c>
      <c r="K4" s="106" t="s">
        <v>66</v>
      </c>
      <c r="L4" s="106" t="s">
        <v>67</v>
      </c>
      <c r="M4" s="106" t="s">
        <v>6</v>
      </c>
      <c r="N4" s="106" t="s">
        <v>68</v>
      </c>
      <c r="O4" s="106" t="s">
        <v>69</v>
      </c>
      <c r="P4" s="106" t="s">
        <v>70</v>
      </c>
      <c r="Q4" s="107">
        <v>46023</v>
      </c>
      <c r="R4" s="107">
        <f>EDATE(Q4,1)</f>
        <v>46054</v>
      </c>
      <c r="S4" s="107">
        <f t="shared" ref="S4:AB4" si="0">EDATE(R4,1)</f>
        <v>46082</v>
      </c>
      <c r="T4" s="107">
        <f t="shared" si="0"/>
        <v>46113</v>
      </c>
      <c r="U4" s="107">
        <f t="shared" si="0"/>
        <v>46143</v>
      </c>
      <c r="V4" s="107">
        <f t="shared" si="0"/>
        <v>46174</v>
      </c>
      <c r="W4" s="107">
        <f t="shared" si="0"/>
        <v>46204</v>
      </c>
      <c r="X4" s="107">
        <f t="shared" si="0"/>
        <v>46235</v>
      </c>
      <c r="Y4" s="107">
        <f t="shared" si="0"/>
        <v>46266</v>
      </c>
      <c r="Z4" s="107">
        <f t="shared" si="0"/>
        <v>46296</v>
      </c>
      <c r="AA4" s="107">
        <f t="shared" si="0"/>
        <v>46327</v>
      </c>
      <c r="AB4" s="107">
        <f t="shared" si="0"/>
        <v>46357</v>
      </c>
      <c r="AC4" s="106" t="s">
        <v>71</v>
      </c>
      <c r="AD4" s="108" t="s">
        <v>72</v>
      </c>
      <c r="AE4" s="109">
        <v>46023</v>
      </c>
      <c r="AF4" s="109">
        <f>EDATE(AE4,1)</f>
        <v>46054</v>
      </c>
      <c r="AG4" s="109">
        <f t="shared" ref="AG4" si="1">EDATE(AF4,1)</f>
        <v>46082</v>
      </c>
      <c r="AH4" s="109">
        <f t="shared" ref="AH4" si="2">EDATE(AG4,1)</f>
        <v>46113</v>
      </c>
      <c r="AI4" s="109">
        <f t="shared" ref="AI4" si="3">EDATE(AH4,1)</f>
        <v>46143</v>
      </c>
      <c r="AJ4" s="109">
        <f t="shared" ref="AJ4" si="4">EDATE(AI4,1)</f>
        <v>46174</v>
      </c>
      <c r="AK4" s="109">
        <f t="shared" ref="AK4" si="5">EDATE(AJ4,1)</f>
        <v>46204</v>
      </c>
      <c r="AL4" s="109">
        <f t="shared" ref="AL4" si="6">EDATE(AK4,1)</f>
        <v>46235</v>
      </c>
      <c r="AM4" s="109">
        <f t="shared" ref="AM4" si="7">EDATE(AL4,1)</f>
        <v>46266</v>
      </c>
      <c r="AN4" s="109">
        <f t="shared" ref="AN4" si="8">EDATE(AM4,1)</f>
        <v>46296</v>
      </c>
      <c r="AO4" s="109">
        <f t="shared" ref="AO4" si="9">EDATE(AN4,1)</f>
        <v>46327</v>
      </c>
      <c r="AP4" s="109">
        <f t="shared" ref="AP4" si="10">EDATE(AO4,1)</f>
        <v>46357</v>
      </c>
      <c r="AQ4" s="110" t="s">
        <v>71</v>
      </c>
      <c r="AR4" s="108" t="s">
        <v>72</v>
      </c>
      <c r="AS4" s="109">
        <v>46023</v>
      </c>
      <c r="AT4" s="109">
        <f>EDATE(AS4,1)</f>
        <v>46054</v>
      </c>
      <c r="AU4" s="109">
        <f t="shared" ref="AU4" si="11">EDATE(AT4,1)</f>
        <v>46082</v>
      </c>
      <c r="AV4" s="109">
        <f t="shared" ref="AV4" si="12">EDATE(AU4,1)</f>
        <v>46113</v>
      </c>
      <c r="AW4" s="109">
        <f t="shared" ref="AW4" si="13">EDATE(AV4,1)</f>
        <v>46143</v>
      </c>
      <c r="AX4" s="109">
        <f t="shared" ref="AX4" si="14">EDATE(AW4,1)</f>
        <v>46174</v>
      </c>
      <c r="AY4" s="109">
        <f t="shared" ref="AY4" si="15">EDATE(AX4,1)</f>
        <v>46204</v>
      </c>
      <c r="AZ4" s="109">
        <f t="shared" ref="AZ4" si="16">EDATE(AY4,1)</f>
        <v>46235</v>
      </c>
      <c r="BA4" s="109">
        <f t="shared" ref="BA4" si="17">EDATE(AZ4,1)</f>
        <v>46266</v>
      </c>
      <c r="BB4" s="109">
        <f t="shared" ref="BB4" si="18">EDATE(BA4,1)</f>
        <v>46296</v>
      </c>
      <c r="BC4" s="109">
        <f t="shared" ref="BC4" si="19">EDATE(BB4,1)</f>
        <v>46327</v>
      </c>
      <c r="BD4" s="109">
        <f t="shared" ref="BD4" si="20">EDATE(BC4,1)</f>
        <v>46357</v>
      </c>
      <c r="BE4" s="110" t="s">
        <v>71</v>
      </c>
      <c r="BF4" s="108" t="s">
        <v>72</v>
      </c>
      <c r="BG4" s="109">
        <v>46023</v>
      </c>
      <c r="BH4" s="109">
        <f>EDATE(BG4,1)</f>
        <v>46054</v>
      </c>
      <c r="BI4" s="109">
        <f t="shared" ref="BI4" si="21">EDATE(BH4,1)</f>
        <v>46082</v>
      </c>
      <c r="BJ4" s="109">
        <f t="shared" ref="BJ4" si="22">EDATE(BI4,1)</f>
        <v>46113</v>
      </c>
      <c r="BK4" s="109">
        <f t="shared" ref="BK4" si="23">EDATE(BJ4,1)</f>
        <v>46143</v>
      </c>
      <c r="BL4" s="109">
        <f t="shared" ref="BL4" si="24">EDATE(BK4,1)</f>
        <v>46174</v>
      </c>
      <c r="BM4" s="109">
        <f t="shared" ref="BM4" si="25">EDATE(BL4,1)</f>
        <v>46204</v>
      </c>
      <c r="BN4" s="109">
        <f t="shared" ref="BN4" si="26">EDATE(BM4,1)</f>
        <v>46235</v>
      </c>
      <c r="BO4" s="109">
        <f t="shared" ref="BO4" si="27">EDATE(BN4,1)</f>
        <v>46266</v>
      </c>
      <c r="BP4" s="109">
        <f t="shared" ref="BP4" si="28">EDATE(BO4,1)</f>
        <v>46296</v>
      </c>
      <c r="BQ4" s="109">
        <f t="shared" ref="BQ4" si="29">EDATE(BP4,1)</f>
        <v>46327</v>
      </c>
      <c r="BR4" s="109">
        <f t="shared" ref="BR4" si="30">EDATE(BQ4,1)</f>
        <v>46357</v>
      </c>
      <c r="BS4" s="110" t="s">
        <v>71</v>
      </c>
      <c r="BT4" s="7" t="s">
        <v>73</v>
      </c>
    </row>
    <row r="5" spans="1:74">
      <c r="A5" s="9" t="str">
        <f>IF(ISBLANK($F5),"","Budget")</f>
        <v>Budget</v>
      </c>
      <c r="B5" s="9">
        <f t="shared" ref="B5:B32" si="31">IF(ISBLANK($F5),"",$F$1)</f>
        <v>2026</v>
      </c>
      <c r="C5" s="111" t="str">
        <f>IF(ISBLANK($L5),"",_xlfn.XLOOKUP($L5,'CENTRO CUSTO'!$A:$A,'CENTRO CUSTO'!F:F,FALSE,0))</f>
        <v>Transporte</v>
      </c>
      <c r="D5" s="111" t="str">
        <f>IF(ISBLANK($L5),"",_xlfn.XLOOKUP($L5,'CENTRO CUSTO'!$A:$A,'CENTRO CUSTO'!G:G,FALSE,0))</f>
        <v>BU-TR</v>
      </c>
      <c r="E5" s="111" t="str">
        <f>IF(ISBLANK($L5),"",_xlfn.XLOOKUP($L5,'CENTRO CUSTO'!$A:$A,'CENTRO CUSTO'!H:H,FALSE,0))</f>
        <v>G&amp;A</v>
      </c>
      <c r="F5" s="112" t="s">
        <v>74</v>
      </c>
      <c r="G5" s="112" t="s">
        <v>75</v>
      </c>
      <c r="H5" s="112" t="s">
        <v>76</v>
      </c>
      <c r="I5" s="113" t="s">
        <v>77</v>
      </c>
      <c r="J5" s="113" t="s">
        <v>78</v>
      </c>
      <c r="K5" s="113" t="s">
        <v>79</v>
      </c>
      <c r="L5" s="113" t="s">
        <v>38</v>
      </c>
      <c r="M5" s="111" t="str">
        <f>IF(ISBLANK($L5),"",_xlfn.XLOOKUP($L5,'CENTRO CUSTO'!$A:$A,'CENTRO CUSTO'!D:D,FALSE,0))</f>
        <v>Alexandre Ayabe</v>
      </c>
      <c r="N5" s="113" t="s">
        <v>80</v>
      </c>
      <c r="O5" s="114">
        <v>46023</v>
      </c>
      <c r="P5" s="113" t="s">
        <v>81</v>
      </c>
      <c r="Q5" s="115">
        <f>650000*Rateio!$E$3/12</f>
        <v>0</v>
      </c>
      <c r="R5" s="115">
        <f>650000*Rateio!$E$3/12</f>
        <v>0</v>
      </c>
      <c r="S5" s="115">
        <f>650000*Rateio!$E$3/12</f>
        <v>0</v>
      </c>
      <c r="T5" s="115">
        <f>650000*Rateio!$E$3/12</f>
        <v>0</v>
      </c>
      <c r="U5" s="115">
        <f>650000*Rateio!$E$3/12</f>
        <v>0</v>
      </c>
      <c r="V5" s="115">
        <f>650000*Rateio!$E$3/12</f>
        <v>0</v>
      </c>
      <c r="W5" s="115">
        <f>650000*Rateio!$E$3/12</f>
        <v>0</v>
      </c>
      <c r="X5" s="115">
        <f>650000*Rateio!$E$3/12</f>
        <v>0</v>
      </c>
      <c r="Y5" s="115">
        <f>650000*Rateio!$E$3/12</f>
        <v>0</v>
      </c>
      <c r="Z5" s="115">
        <f>650000*Rateio!$E$3/12</f>
        <v>0</v>
      </c>
      <c r="AA5" s="115">
        <f>650000*Rateio!$E$3/12</f>
        <v>0</v>
      </c>
      <c r="AB5" s="115">
        <f>650000*Rateio!$E$3/12</f>
        <v>0</v>
      </c>
      <c r="AC5" s="116">
        <f t="shared" ref="AC5:AC9" si="32">IF(AND(ISBLANK($Q5),ISBLANK($R5),ISBLANK($S5),ISBLANK($T5),ISBLANK($U5),ISBLANK($V5),ISBLANK($W5),ISBLANK($X5),ISBLANK($Y5),ISBLANK($Z5),ISBLANK($AA5),ISBLANK($AB5)),"",SUM(Q5:AB5))</f>
        <v>0</v>
      </c>
      <c r="AD5" s="108"/>
      <c r="AE5" s="117">
        <f>IF(ISBLANK(Q5),"",IF($P5="BRL",Q5,Q5*Macroindicadores!B$2)/1000)</f>
        <v>0</v>
      </c>
      <c r="AF5" s="117">
        <f>IF(ISBLANK(R5),"",IF($P5="BRL",R5,R5*Macroindicadores!C$2)/1000)</f>
        <v>0</v>
      </c>
      <c r="AG5" s="117">
        <f>IF(ISBLANK(S5),"",IF($P5="BRL",S5,S5*Macroindicadores!D$2)/1000)</f>
        <v>0</v>
      </c>
      <c r="AH5" s="117">
        <f>IF(ISBLANK(T5),"",IF($P5="BRL",T5,T5*Macroindicadores!E$2)/1000)</f>
        <v>0</v>
      </c>
      <c r="AI5" s="117">
        <f>IF(ISBLANK(U5),"",IF($P5="BRL",U5,U5*Macroindicadores!F$2)/1000)</f>
        <v>0</v>
      </c>
      <c r="AJ5" s="117">
        <f>IF(ISBLANK(V5),"",IF($P5="BRL",V5,V5*Macroindicadores!G$2)/1000)</f>
        <v>0</v>
      </c>
      <c r="AK5" s="117">
        <f>IF(ISBLANK(W5),"",IF($P5="BRL",W5,W5*Macroindicadores!H$2)/1000)</f>
        <v>0</v>
      </c>
      <c r="AL5" s="117">
        <f>IF(ISBLANK(X5),"",IF($P5="BRL",X5,X5*Macroindicadores!I$2)/1000)</f>
        <v>0</v>
      </c>
      <c r="AM5" s="117">
        <f>IF(ISBLANK(Y5),"",IF($P5="BRL",Y5,Y5*Macroindicadores!J$2)/1000)</f>
        <v>0</v>
      </c>
      <c r="AN5" s="117">
        <f>IF(ISBLANK(Z5),"",IF($P5="BRL",Z5,Z5*Macroindicadores!K$2)/1000)</f>
        <v>0</v>
      </c>
      <c r="AO5" s="117">
        <f>IF(ISBLANK(AA5),"",IF($P5="BRL",AA5,AA5*Macroindicadores!L$2)/1000)</f>
        <v>0</v>
      </c>
      <c r="AP5" s="117">
        <f>IF(ISBLANK(AB5),"",IF($P5="BRL",AB5,AB5*Macroindicadores!M$2)/1000)</f>
        <v>0</v>
      </c>
      <c r="AQ5" s="118">
        <f t="shared" ref="AQ5" si="33">IF(AND(ISBLANK(AE5),ISBLANK(AF5),ISBLANK(AG5),ISBLANK(AH5),ISBLANK(AI5),ISBLANK(AJ5),ISBLANK(AK5),ISBLANK(AL5),ISBLANK(AM5),ISBLANK(AN5),ISBLANK(AO5),ISBLANK(AP5)),"",SUM(AE5:AP5))</f>
        <v>0</v>
      </c>
      <c r="AR5" s="108"/>
      <c r="AS5" s="117">
        <f>IF(ISBLANK(Q5),"",IF(ISBLANK($O5),AE5,IF($J5="ANUAL",AE5*(1+Macroindicadores!B$7),IF(AND($I5="NOVO",MONTH($O5)=MONTH(AS$4)),AE5*(1+Macroindicadores!B$7),IF(AND($J5="PONTUAL",MONTH($O5)=MONTH(AS$4)),AE5*(1+Macroindicadores!B$7),IF(AND($J5="PONTUAL",MONTH($O5)&lt;MONTH(AS$4)),MIN(AR5:$AS5),IF(AND($I5="NOVO",MONTH($O5)&gt;MONTH(AS$4)),AE5,IF(MONTH($O5)&gt;MONTH(AS$4),AE5,IF(MONTH($O5)=MONTH(AS$4),AE5*(1+Macroindicadores!B$7),AR5)))))))))</f>
        <v>0</v>
      </c>
      <c r="AT5" s="117">
        <f>IF(ISBLANK(R5),"",IF(ISBLANK($O5),AF5,IF($J5="ANUAL",AF5*(1+Macroindicadores!C$7),IF(AND($I5="NOVO",MONTH($O5)=MONTH(AT$4)),AF5*(1+Macroindicadores!C$7),IF(AND($J5="PONTUAL",MONTH($O5)=MONTH(AT$4)),AF5*(1+Macroindicadores!C$7),IF(AND($J5="PONTUAL",MONTH($O5)&lt;MONTH(AT$4)),MIN($AS5:AS5),IF(AND($I5="NOVO",MONTH($O5)&gt;MONTH(AT$4)),AF5,IF(MONTH($O5)&gt;MONTH(AT$4),AF5,IF(MONTH($O5)=MONTH(AT$4),AF5*(1+Macroindicadores!C$7),AS5)))))))))</f>
        <v>0</v>
      </c>
      <c r="AU5" s="117">
        <f>IF(ISBLANK(S5),"",IF(ISBLANK($O5),AG5,IF($J5="ANUAL",AG5*(1+Macroindicadores!D$7),IF(AND($I5="NOVO",MONTH($O5)=MONTH(AU$4)),AG5*(1+Macroindicadores!D$7),IF(AND($J5="PONTUAL",MONTH($O5)=MONTH(AU$4)),AG5*(1+Macroindicadores!D$7),IF(AND($J5="PONTUAL",MONTH($O5)&lt;MONTH(AU$4)),MIN($AS5:AT5),IF(AND($I5="NOVO",MONTH($O5)&gt;MONTH(AU$4)),AG5,IF(MONTH($O5)&gt;MONTH(AU$4),AG5,IF(MONTH($O5)=MONTH(AU$4),AG5*(1+Macroindicadores!D$7),AT5)))))))))</f>
        <v>0</v>
      </c>
      <c r="AV5" s="117">
        <f>IF(ISBLANK(T5),"",IF(ISBLANK($O5),AH5,IF($J5="ANUAL",AH5*(1+Macroindicadores!E$7),IF(AND($I5="NOVO",MONTH($O5)=MONTH(AV$4)),AH5*(1+Macroindicadores!E$7),IF(AND($J5="PONTUAL",MONTH($O5)=MONTH(AV$4)),AH5*(1+Macroindicadores!E$7),IF(AND($J5="PONTUAL",MONTH($O5)&lt;MONTH(AV$4)),MIN($AS5:AU5),IF(AND($I5="NOVO",MONTH($O5)&gt;MONTH(AV$4)),AH5,IF(MONTH($O5)&gt;MONTH(AV$4),AH5,IF(MONTH($O5)=MONTH(AV$4),AH5*(1+Macroindicadores!E$7),AU5)))))))))</f>
        <v>0</v>
      </c>
      <c r="AW5" s="117">
        <f>IF(ISBLANK(U5),"",IF(ISBLANK($O5),AI5,IF($J5="ANUAL",AI5*(1+Macroindicadores!F$7),IF(AND($I5="NOVO",MONTH($O5)=MONTH(AW$4)),AI5*(1+Macroindicadores!F$7),IF(AND($J5="PONTUAL",MONTH($O5)=MONTH(AW$4)),AI5*(1+Macroindicadores!F$7),IF(AND($J5="PONTUAL",MONTH($O5)&lt;MONTH(AW$4)),MIN($AS5:AV5),IF(AND($I5="NOVO",MONTH($O5)&gt;MONTH(AW$4)),AI5,IF(MONTH($O5)&gt;MONTH(AW$4),AI5,IF(MONTH($O5)=MONTH(AW$4),AI5*(1+Macroindicadores!F$7),AV5)))))))))</f>
        <v>0</v>
      </c>
      <c r="AX5" s="117">
        <f>IF(ISBLANK(V5),"",IF(ISBLANK($O5),AJ5,IF($J5="ANUAL",AJ5*(1+Macroindicadores!G$7),IF(AND($I5="NOVO",MONTH($O5)=MONTH(AX$4)),AJ5*(1+Macroindicadores!G$7),IF(AND($J5="PONTUAL",MONTH($O5)=MONTH(AX$4)),AJ5*(1+Macroindicadores!G$7),IF(AND($J5="PONTUAL",MONTH($O5)&lt;MONTH(AX$4)),MIN($AS5:AW5),IF(AND($I5="NOVO",MONTH($O5)&gt;MONTH(AX$4)),AJ5,IF(MONTH($O5)&gt;MONTH(AX$4),AJ5,IF(MONTH($O5)=MONTH(AX$4),AJ5*(1+Macroindicadores!G$7),AW5)))))))))</f>
        <v>0</v>
      </c>
      <c r="AY5" s="117">
        <f>IF(ISBLANK(W5),"",IF(ISBLANK($O5),AK5,IF($J5="ANUAL",AK5*(1+Macroindicadores!H$7),IF(AND($I5="NOVO",MONTH($O5)=MONTH(AY$4)),AK5*(1+Macroindicadores!H$7),IF(AND($J5="PONTUAL",MONTH($O5)=MONTH(AY$4)),AK5*(1+Macroindicadores!H$7),IF(AND($J5="PONTUAL",MONTH($O5)&lt;MONTH(AY$4)),MIN($AS5:AX5),IF(AND($I5="NOVO",MONTH($O5)&gt;MONTH(AY$4)),AK5,IF(MONTH($O5)&gt;MONTH(AY$4),AK5,IF(MONTH($O5)=MONTH(AY$4),AK5*(1+Macroindicadores!H$7),AX5)))))))))</f>
        <v>0</v>
      </c>
      <c r="AZ5" s="117">
        <f>IF(ISBLANK(X5),"",IF(ISBLANK($O5),AL5,IF($J5="ANUAL",AL5*(1+Macroindicadores!I$7),IF(AND($I5="NOVO",MONTH($O5)=MONTH(AZ$4)),AL5*(1+Macroindicadores!I$7),IF(AND($J5="PONTUAL",MONTH($O5)=MONTH(AZ$4)),AL5*(1+Macroindicadores!I$7),IF(AND($J5="PONTUAL",MONTH($O5)&lt;MONTH(AZ$4)),MIN($AS5:AY5),IF(AND($I5="NOVO",MONTH($O5)&gt;MONTH(AZ$4)),AL5,IF(MONTH($O5)&gt;MONTH(AZ$4),AL5,IF(MONTH($O5)=MONTH(AZ$4),AL5*(1+Macroindicadores!I$7),AY5)))))))))</f>
        <v>0</v>
      </c>
      <c r="BA5" s="117">
        <f>IF(ISBLANK(Y5),"",IF(ISBLANK($O5),AM5,IF($J5="ANUAL",AM5*(1+Macroindicadores!J$7),IF(AND($I5="NOVO",MONTH($O5)=MONTH(BA$4)),AM5*(1+Macroindicadores!J$7),IF(AND($J5="PONTUAL",MONTH($O5)=MONTH(BA$4)),AM5*(1+Macroindicadores!J$7),IF(AND($J5="PONTUAL",MONTH($O5)&lt;MONTH(BA$4)),MIN($AS5:AZ5),IF(AND($I5="NOVO",MONTH($O5)&gt;MONTH(BA$4)),AM5,IF(MONTH($O5)&gt;MONTH(BA$4),AM5,IF(MONTH($O5)=MONTH(BA$4),AM5*(1+Macroindicadores!J$7),AZ5)))))))))</f>
        <v>0</v>
      </c>
      <c r="BB5" s="117">
        <f>IF(ISBLANK(Z5),"",IF(ISBLANK($O5),AN5,IF($J5="ANUAL",AN5*(1+Macroindicadores!K$7),IF(AND($I5="NOVO",MONTH($O5)=MONTH(BB$4)),AN5*(1+Macroindicadores!K$7),IF(AND($J5="PONTUAL",MONTH($O5)=MONTH(BB$4)),AN5*(1+Macroindicadores!K$7),IF(AND($J5="PONTUAL",MONTH($O5)&lt;MONTH(BB$4)),MIN($AS5:BA5),IF(AND($I5="NOVO",MONTH($O5)&gt;MONTH(BB$4)),AN5,IF(MONTH($O5)&gt;MONTH(BB$4),AN5,IF(MONTH($O5)=MONTH(BB$4),AN5*(1+Macroindicadores!K$7),BA5)))))))))</f>
        <v>0</v>
      </c>
      <c r="BC5" s="117">
        <f>IF(ISBLANK(AA5),"",IF(ISBLANK($O5),AO5,IF($J5="ANUAL",AO5*(1+Macroindicadores!L$7),IF(AND($I5="NOVO",MONTH($O5)=MONTH(BC$4)),AO5*(1+Macroindicadores!L$7),IF(AND($J5="PONTUAL",MONTH($O5)=MONTH(BC$4)),AO5*(1+Macroindicadores!L$7),IF(AND($J5="PONTUAL",MONTH($O5)&lt;MONTH(BC$4)),MIN($AS5:BB5),IF(AND($I5="NOVO",MONTH($O5)&gt;MONTH(BC$4)),AO5,IF(MONTH($O5)&gt;MONTH(BC$4),AO5,IF(MONTH($O5)=MONTH(BC$4),AO5*(1+Macroindicadores!L$7),BB5)))))))))</f>
        <v>0</v>
      </c>
      <c r="BD5" s="117">
        <f>IF(ISBLANK(AB5),"",IF(ISBLANK($O5),AP5,IF($J5="ANUAL",AP5*(1+Macroindicadores!M$7),IF(AND($I5="NOVO",MONTH($O5)=MONTH(BD$4)),AP5*(1+Macroindicadores!M$7),IF(AND($J5="PONTUAL",MONTH($O5)=MONTH(BD$4)),AP5*(1+Macroindicadores!M$7),IF(AND($J5="PONTUAL",MONTH($O5)&lt;MONTH(BD$4)),MIN($AS5:BC5),IF(AND($I5="NOVO",MONTH($O5)&gt;MONTH(BD$4)),AP5,IF(MONTH($O5)&gt;MONTH(BD$4),AP5,IF(MONTH($O5)=MONTH(BD$4),AP5*(1+Macroindicadores!M$7),BC5)))))))))</f>
        <v>0</v>
      </c>
      <c r="BE5" s="118">
        <f t="shared" ref="BE5" si="34">IF(AND(ISBLANK($Q5),ISBLANK($R5),ISBLANK($S5),ISBLANK($T5),ISBLANK($U5),ISBLANK($V5),ISBLANK($W5),ISBLANK($X5),ISBLANK($Y5),ISBLANK($Z5),ISBLANK($AA5),ISBLANK($AB5)),"",SUM(AS5:BD5))</f>
        <v>0</v>
      </c>
      <c r="BF5" s="108"/>
      <c r="BG5" s="117">
        <f>IF(ISBLANK(Q5),"",AS5/Macroindicadores!B$2)</f>
        <v>0</v>
      </c>
      <c r="BH5" s="117">
        <f>IF(ISBLANK(R5),"",AT5/Macroindicadores!C$2)</f>
        <v>0</v>
      </c>
      <c r="BI5" s="117">
        <f>IF(ISBLANK(S5),"",AU5/Macroindicadores!D$2)</f>
        <v>0</v>
      </c>
      <c r="BJ5" s="117">
        <f>IF(ISBLANK(T5),"",AV5/Macroindicadores!E$2)</f>
        <v>0</v>
      </c>
      <c r="BK5" s="117">
        <f>IF(ISBLANK(U5),"",AW5/Macroindicadores!F$2)</f>
        <v>0</v>
      </c>
      <c r="BL5" s="117">
        <f>IF(ISBLANK(V5),"",AX5/Macroindicadores!G$2)</f>
        <v>0</v>
      </c>
      <c r="BM5" s="117">
        <f>IF(ISBLANK(W5),"",AY5/Macroindicadores!H$2)</f>
        <v>0</v>
      </c>
      <c r="BN5" s="117">
        <f>IF(ISBLANK(X5),"",AZ5/Macroindicadores!I$2)</f>
        <v>0</v>
      </c>
      <c r="BO5" s="117">
        <f>IF(ISBLANK(Y5),"",BA5/Macroindicadores!J$2)</f>
        <v>0</v>
      </c>
      <c r="BP5" s="117">
        <f>IF(ISBLANK(Z5),"",BB5/Macroindicadores!K$2)</f>
        <v>0</v>
      </c>
      <c r="BQ5" s="117">
        <f>IF(ISBLANK(AA5),"",BC5/Macroindicadores!L$2)</f>
        <v>0</v>
      </c>
      <c r="BR5" s="117">
        <f>IF(ISBLANK(AB5),"",BD5/Macroindicadores!M$2)</f>
        <v>0</v>
      </c>
      <c r="BS5" s="118">
        <f>IF(AND(ISBLANK($Q5),ISBLANK($R5),ISBLANK($S5),ISBLANK($T5),ISBLANK($U5),ISBLANK($V5),ISBLANK($W5),ISBLANK($X5),ISBLANK($Y5),ISBLANK($Z5),ISBLANK($AA5),ISBLANK($AB5)),"",SUM(BG5:BR5))</f>
        <v>0</v>
      </c>
      <c r="BT5" s="25" t="str">
        <f>IF(ISBLANK($L5),"",_xlfn.XLOOKUP($L5,'CENTRO CUSTO'!$A:$A,'CENTRO CUSTO'!$E:$E,FALSE,0))</f>
        <v>G&amp;A BU</v>
      </c>
    </row>
    <row r="6" spans="1:74">
      <c r="A6" s="9" t="str">
        <f>IF(ISBLANK($F6),"","Budget")</f>
        <v>Budget</v>
      </c>
      <c r="B6" s="9">
        <f t="shared" si="31"/>
        <v>2026</v>
      </c>
      <c r="C6" s="111" t="str">
        <f>IF(ISBLANK($L6),"",_xlfn.XLOOKUP($L6,'CENTRO CUSTO'!$A:$A,'CENTRO CUSTO'!F:F,FALSE,0))</f>
        <v>Martini Meat</v>
      </c>
      <c r="D6" s="111" t="str">
        <f>IF(ISBLANK($L6),"",_xlfn.XLOOKUP($L6,'CENTRO CUSTO'!$A:$A,'CENTRO CUSTO'!G:G,FALSE,0))</f>
        <v>BU-MMAZ</v>
      </c>
      <c r="E6" s="111" t="str">
        <f>IF(ISBLANK($L6),"",_xlfn.XLOOKUP($L6,'CENTRO CUSTO'!$A:$A,'CENTRO CUSTO'!H:H,FALSE,0))</f>
        <v>G&amp;A</v>
      </c>
      <c r="F6" s="112" t="s">
        <v>74</v>
      </c>
      <c r="G6" s="112" t="s">
        <v>75</v>
      </c>
      <c r="H6" s="112" t="s">
        <v>76</v>
      </c>
      <c r="I6" s="113" t="s">
        <v>77</v>
      </c>
      <c r="J6" s="113" t="s">
        <v>78</v>
      </c>
      <c r="K6" s="113" t="s">
        <v>79</v>
      </c>
      <c r="L6" s="113" t="s">
        <v>35</v>
      </c>
      <c r="M6" s="111" t="str">
        <f>IF(ISBLANK($L6),"",_xlfn.XLOOKUP($L6,'CENTRO CUSTO'!$A:$A,'CENTRO CUSTO'!D:D,FALSE,0))</f>
        <v>Alexandre Ayabe</v>
      </c>
      <c r="N6" s="113" t="s">
        <v>80</v>
      </c>
      <c r="O6" s="114">
        <v>46023</v>
      </c>
      <c r="P6" s="113" t="s">
        <v>81</v>
      </c>
      <c r="Q6" s="115">
        <f>650000*Rateio!$E$4/12</f>
        <v>54166.666666666664</v>
      </c>
      <c r="R6" s="115">
        <f>650000*Rateio!$E$4/12</f>
        <v>54166.666666666664</v>
      </c>
      <c r="S6" s="115">
        <f>650000*Rateio!$E$4/12</f>
        <v>54166.666666666664</v>
      </c>
      <c r="T6" s="115">
        <f>650000*Rateio!$E$4/12</f>
        <v>54166.666666666664</v>
      </c>
      <c r="U6" s="115">
        <f>650000*Rateio!$E$4/12</f>
        <v>54166.666666666664</v>
      </c>
      <c r="V6" s="115">
        <f>650000*Rateio!$E$4/12</f>
        <v>54166.666666666664</v>
      </c>
      <c r="W6" s="115">
        <f>650000*Rateio!$E$4/12</f>
        <v>54166.666666666664</v>
      </c>
      <c r="X6" s="115">
        <f>650000*Rateio!$E$4/12</f>
        <v>54166.666666666664</v>
      </c>
      <c r="Y6" s="115">
        <f>650000*Rateio!$E$4/12</f>
        <v>54166.666666666664</v>
      </c>
      <c r="Z6" s="115">
        <f>650000*Rateio!$E$4/12</f>
        <v>54166.666666666664</v>
      </c>
      <c r="AA6" s="115">
        <f>650000*Rateio!$E$4/12</f>
        <v>54166.666666666664</v>
      </c>
      <c r="AB6" s="115">
        <f>650000*Rateio!$E$4/12</f>
        <v>54166.666666666664</v>
      </c>
      <c r="AC6" s="116">
        <f t="shared" si="32"/>
        <v>650000</v>
      </c>
      <c r="AD6" s="108"/>
      <c r="AE6" s="117">
        <f>IF(ISBLANK(Q6),"",IF($P6="BRL",Q6,Q6*Macroindicadores!B$2)/1000)</f>
        <v>54.166666666666664</v>
      </c>
      <c r="AF6" s="117">
        <f>IF(ISBLANK(R6),"",IF($P6="BRL",R6,R6*Macroindicadores!C$2)/1000)</f>
        <v>54.166666666666664</v>
      </c>
      <c r="AG6" s="117">
        <f>IF(ISBLANK(S6),"",IF($P6="BRL",S6,S6*Macroindicadores!D$2)/1000)</f>
        <v>54.166666666666664</v>
      </c>
      <c r="AH6" s="117">
        <f>IF(ISBLANK(T6),"",IF($P6="BRL",T6,T6*Macroindicadores!E$2)/1000)</f>
        <v>54.166666666666664</v>
      </c>
      <c r="AI6" s="117">
        <f>IF(ISBLANK(U6),"",IF($P6="BRL",U6,U6*Macroindicadores!F$2)/1000)</f>
        <v>54.166666666666664</v>
      </c>
      <c r="AJ6" s="117">
        <f>IF(ISBLANK(V6),"",IF($P6="BRL",V6,V6*Macroindicadores!G$2)/1000)</f>
        <v>54.166666666666664</v>
      </c>
      <c r="AK6" s="117">
        <f>IF(ISBLANK(W6),"",IF($P6="BRL",W6,W6*Macroindicadores!H$2)/1000)</f>
        <v>54.166666666666664</v>
      </c>
      <c r="AL6" s="117">
        <f>IF(ISBLANK(X6),"",IF($P6="BRL",X6,X6*Macroindicadores!I$2)/1000)</f>
        <v>54.166666666666664</v>
      </c>
      <c r="AM6" s="117">
        <f>IF(ISBLANK(Y6),"",IF($P6="BRL",Y6,Y6*Macroindicadores!J$2)/1000)</f>
        <v>54.166666666666664</v>
      </c>
      <c r="AN6" s="117">
        <f>IF(ISBLANK(Z6),"",IF($P6="BRL",Z6,Z6*Macroindicadores!K$2)/1000)</f>
        <v>54.166666666666664</v>
      </c>
      <c r="AO6" s="117">
        <f>IF(ISBLANK(AA6),"",IF($P6="BRL",AA6,AA6*Macroindicadores!L$2)/1000)</f>
        <v>54.166666666666664</v>
      </c>
      <c r="AP6" s="117">
        <f>IF(ISBLANK(AB6),"",IF($P6="BRL",AB6,AB6*Macroindicadores!M$2)/1000)</f>
        <v>54.166666666666664</v>
      </c>
      <c r="AQ6" s="118">
        <f t="shared" ref="AQ6:AQ59" si="35">IF(AND(ISBLANK($Q6),ISBLANK($R6),ISBLANK($S6),ISBLANK($T6),ISBLANK($U6),ISBLANK($V6),ISBLANK($W6),ISBLANK($X6),ISBLANK($Y6),ISBLANK($Z6),ISBLANK($AA6),ISBLANK($AB6)),"",SUM(AE6:AP6))</f>
        <v>650</v>
      </c>
      <c r="AR6" s="108"/>
      <c r="AS6" s="117">
        <f>IF(ISBLANK(Q6),"",IF(ISBLANK($O6),AE6,IF($J6="ANUAL",AE6*(1+Macroindicadores!B$7),IF(AND($I6="NOVO",MONTH($O6)=MONTH(AS$4)),AE6*(1+Macroindicadores!B$7),IF(AND($J6="PONTUAL",MONTH($O6)=MONTH(AS$4)),AE6*(1+Macroindicadores!B$7),IF(AND($J6="PONTUAL",MONTH($O6)&lt;MONTH(AS$4)),MIN(AR6:$AS6),IF(AND($I6="NOVO",MONTH($O6)&gt;MONTH(AS$4)),AE6,IF(MONTH($O6)&gt;MONTH(AS$4),AE6,IF(MONTH($O6)=MONTH(AS$4),AE6*(1+Macroindicadores!B$7),AR6)))))))))</f>
        <v>57.12823346277662</v>
      </c>
      <c r="AT6" s="117">
        <f>IF(ISBLANK(R6),"",IF(ISBLANK($O6),AF6,IF($J6="ANUAL",AF6*(1+Macroindicadores!C$7),IF(AND($I6="NOVO",MONTH($O6)=MONTH(AT$4)),AF6*(1+Macroindicadores!C$7),IF(AND($J6="PONTUAL",MONTH($O6)=MONTH(AT$4)),AF6*(1+Macroindicadores!C$7),IF(AND($J6="PONTUAL",MONTH($O6)&lt;MONTH(AT$4)),MIN($AS6:AS6),IF(AND($I6="NOVO",MONTH($O6)&gt;MONTH(AT$4)),AF6,IF(MONTH($O6)&gt;MONTH(AT$4),AF6,IF(MONTH($O6)=MONTH(AT$4),AF6*(1+Macroindicadores!C$7),AS6)))))))))</f>
        <v>57.12823346277662</v>
      </c>
      <c r="AU6" s="117">
        <f>IF(ISBLANK(S6),"",IF(ISBLANK($O6),AG6,IF($J6="ANUAL",AG6*(1+Macroindicadores!D$7),IF(AND($I6="NOVO",MONTH($O6)=MONTH(AU$4)),AG6*(1+Macroindicadores!D$7),IF(AND($J6="PONTUAL",MONTH($O6)=MONTH(AU$4)),AG6*(1+Macroindicadores!D$7),IF(AND($J6="PONTUAL",MONTH($O6)&lt;MONTH(AU$4)),MIN($AS6:AT6),IF(AND($I6="NOVO",MONTH($O6)&gt;MONTH(AU$4)),AG6,IF(MONTH($O6)&gt;MONTH(AU$4),AG6,IF(MONTH($O6)=MONTH(AU$4),AG6*(1+Macroindicadores!D$7),AT6)))))))))</f>
        <v>57.12823346277662</v>
      </c>
      <c r="AV6" s="117">
        <f>IF(ISBLANK(T6),"",IF(ISBLANK($O6),AH6,IF($J6="ANUAL",AH6*(1+Macroindicadores!E$7),IF(AND($I6="NOVO",MONTH($O6)=MONTH(AV$4)),AH6*(1+Macroindicadores!E$7),IF(AND($J6="PONTUAL",MONTH($O6)=MONTH(AV$4)),AH6*(1+Macroindicadores!E$7),IF(AND($J6="PONTUAL",MONTH($O6)&lt;MONTH(AV$4)),MIN($AS6:AU6),IF(AND($I6="NOVO",MONTH($O6)&gt;MONTH(AV$4)),AH6,IF(MONTH($O6)&gt;MONTH(AV$4),AH6,IF(MONTH($O6)=MONTH(AV$4),AH6*(1+Macroindicadores!E$7),AU6)))))))))</f>
        <v>57.12823346277662</v>
      </c>
      <c r="AW6" s="117">
        <f>IF(ISBLANK(U6),"",IF(ISBLANK($O6),AI6,IF($J6="ANUAL",AI6*(1+Macroindicadores!F$7),IF(AND($I6="NOVO",MONTH($O6)=MONTH(AW$4)),AI6*(1+Macroindicadores!F$7),IF(AND($J6="PONTUAL",MONTH($O6)=MONTH(AW$4)),AI6*(1+Macroindicadores!F$7),IF(AND($J6="PONTUAL",MONTH($O6)&lt;MONTH(AW$4)),MIN($AS6:AV6),IF(AND($I6="NOVO",MONTH($O6)&gt;MONTH(AW$4)),AI6,IF(MONTH($O6)&gt;MONTH(AW$4),AI6,IF(MONTH($O6)=MONTH(AW$4),AI6*(1+Macroindicadores!F$7),AV6)))))))))</f>
        <v>57.12823346277662</v>
      </c>
      <c r="AX6" s="117">
        <f>IF(ISBLANK(V6),"",IF(ISBLANK($O6),AJ6,IF($J6="ANUAL",AJ6*(1+Macroindicadores!G$7),IF(AND($I6="NOVO",MONTH($O6)=MONTH(AX$4)),AJ6*(1+Macroindicadores!G$7),IF(AND($J6="PONTUAL",MONTH($O6)=MONTH(AX$4)),AJ6*(1+Macroindicadores!G$7),IF(AND($J6="PONTUAL",MONTH($O6)&lt;MONTH(AX$4)),MIN($AS6:AW6),IF(AND($I6="NOVO",MONTH($O6)&gt;MONTH(AX$4)),AJ6,IF(MONTH($O6)&gt;MONTH(AX$4),AJ6,IF(MONTH($O6)=MONTH(AX$4),AJ6*(1+Macroindicadores!G$7),AW6)))))))))</f>
        <v>57.12823346277662</v>
      </c>
      <c r="AY6" s="117">
        <f>IF(ISBLANK(W6),"",IF(ISBLANK($O6),AK6,IF($J6="ANUAL",AK6*(1+Macroindicadores!H$7),IF(AND($I6="NOVO",MONTH($O6)=MONTH(AY$4)),AK6*(1+Macroindicadores!H$7),IF(AND($J6="PONTUAL",MONTH($O6)=MONTH(AY$4)),AK6*(1+Macroindicadores!H$7),IF(AND($J6="PONTUAL",MONTH($O6)&lt;MONTH(AY$4)),MIN($AS6:AX6),IF(AND($I6="NOVO",MONTH($O6)&gt;MONTH(AY$4)),AK6,IF(MONTH($O6)&gt;MONTH(AY$4),AK6,IF(MONTH($O6)=MONTH(AY$4),AK6*(1+Macroindicadores!H$7),AX6)))))))))</f>
        <v>57.12823346277662</v>
      </c>
      <c r="AZ6" s="117">
        <f>IF(ISBLANK(X6),"",IF(ISBLANK($O6),AL6,IF($J6="ANUAL",AL6*(1+Macroindicadores!I$7),IF(AND($I6="NOVO",MONTH($O6)=MONTH(AZ$4)),AL6*(1+Macroindicadores!I$7),IF(AND($J6="PONTUAL",MONTH($O6)=MONTH(AZ$4)),AL6*(1+Macroindicadores!I$7),IF(AND($J6="PONTUAL",MONTH($O6)&lt;MONTH(AZ$4)),MIN($AS6:AY6),IF(AND($I6="NOVO",MONTH($O6)&gt;MONTH(AZ$4)),AL6,IF(MONTH($O6)&gt;MONTH(AZ$4),AL6,IF(MONTH($O6)=MONTH(AZ$4),AL6*(1+Macroindicadores!I$7),AY6)))))))))</f>
        <v>57.12823346277662</v>
      </c>
      <c r="BA6" s="117">
        <f>IF(ISBLANK(Y6),"",IF(ISBLANK($O6),AM6,IF($J6="ANUAL",AM6*(1+Macroindicadores!J$7),IF(AND($I6="NOVO",MONTH($O6)=MONTH(BA$4)),AM6*(1+Macroindicadores!J$7),IF(AND($J6="PONTUAL",MONTH($O6)=MONTH(BA$4)),AM6*(1+Macroindicadores!J$7),IF(AND($J6="PONTUAL",MONTH($O6)&lt;MONTH(BA$4)),MIN($AS6:AZ6),IF(AND($I6="NOVO",MONTH($O6)&gt;MONTH(BA$4)),AM6,IF(MONTH($O6)&gt;MONTH(BA$4),AM6,IF(MONTH($O6)=MONTH(BA$4),AM6*(1+Macroindicadores!J$7),AZ6)))))))))</f>
        <v>57.12823346277662</v>
      </c>
      <c r="BB6" s="117">
        <f>IF(ISBLANK(Z6),"",IF(ISBLANK($O6),AN6,IF($J6="ANUAL",AN6*(1+Macroindicadores!K$7),IF(AND($I6="NOVO",MONTH($O6)=MONTH(BB$4)),AN6*(1+Macroindicadores!K$7),IF(AND($J6="PONTUAL",MONTH($O6)=MONTH(BB$4)),AN6*(1+Macroindicadores!K$7),IF(AND($J6="PONTUAL",MONTH($O6)&lt;MONTH(BB$4)),MIN($AS6:BA6),IF(AND($I6="NOVO",MONTH($O6)&gt;MONTH(BB$4)),AN6,IF(MONTH($O6)&gt;MONTH(BB$4),AN6,IF(MONTH($O6)=MONTH(BB$4),AN6*(1+Macroindicadores!K$7),BA6)))))))))</f>
        <v>57.12823346277662</v>
      </c>
      <c r="BC6" s="117">
        <f>IF(ISBLANK(AA6),"",IF(ISBLANK($O6),AO6,IF($J6="ANUAL",AO6*(1+Macroindicadores!L$7),IF(AND($I6="NOVO",MONTH($O6)=MONTH(BC$4)),AO6*(1+Macroindicadores!L$7),IF(AND($J6="PONTUAL",MONTH($O6)=MONTH(BC$4)),AO6*(1+Macroindicadores!L$7),IF(AND($J6="PONTUAL",MONTH($O6)&lt;MONTH(BC$4)),MIN($AS6:BB6),IF(AND($I6="NOVO",MONTH($O6)&gt;MONTH(BC$4)),AO6,IF(MONTH($O6)&gt;MONTH(BC$4),AO6,IF(MONTH($O6)=MONTH(BC$4),AO6*(1+Macroindicadores!L$7),BB6)))))))))</f>
        <v>57.12823346277662</v>
      </c>
      <c r="BD6" s="117">
        <f>IF(ISBLANK(AB6),"",IF(ISBLANK($O6),AP6,IF($J6="ANUAL",AP6*(1+Macroindicadores!M$7),IF(AND($I6="NOVO",MONTH($O6)=MONTH(BD$4)),AP6*(1+Macroindicadores!M$7),IF(AND($J6="PONTUAL",MONTH($O6)=MONTH(BD$4)),AP6*(1+Macroindicadores!M$7),IF(AND($J6="PONTUAL",MONTH($O6)&lt;MONTH(BD$4)),MIN($AS6:BC6),IF(AND($I6="NOVO",MONTH($O6)&gt;MONTH(BD$4)),AP6,IF(MONTH($O6)&gt;MONTH(BD$4),AP6,IF(MONTH($O6)=MONTH(BD$4),AP6*(1+Macroindicadores!M$7),BC6)))))))))</f>
        <v>57.12823346277662</v>
      </c>
      <c r="BE6" s="118">
        <f t="shared" ref="BE6:BE58" si="36">IF(AND(ISBLANK($Q6),ISBLANK($R6),ISBLANK($S6),ISBLANK($T6),ISBLANK($U6),ISBLANK($V6),ISBLANK($W6),ISBLANK($X6),ISBLANK($Y6),ISBLANK($Z6),ISBLANK($AA6),ISBLANK($AB6)),"",SUM(AS6:BD6))</f>
        <v>685.53880155331944</v>
      </c>
      <c r="BF6" s="108"/>
      <c r="BG6" s="117">
        <f>IF(ISBLANK(Q6),"",AS6/Macroindicadores!B$2)</f>
        <v>9.7156859630572487</v>
      </c>
      <c r="BH6" s="117">
        <f>IF(ISBLANK(R6),"",AT6/Macroindicadores!C$2)</f>
        <v>9.7156859630572487</v>
      </c>
      <c r="BI6" s="117">
        <f>IF(ISBLANK(S6),"",AU6/Macroindicadores!D$2)</f>
        <v>9.7156859630572487</v>
      </c>
      <c r="BJ6" s="117">
        <f>IF(ISBLANK(T6),"",AV6/Macroindicadores!E$2)</f>
        <v>9.7156859630572487</v>
      </c>
      <c r="BK6" s="117">
        <f>IF(ISBLANK(U6),"",AW6/Macroindicadores!F$2)</f>
        <v>9.7156859630572487</v>
      </c>
      <c r="BL6" s="117">
        <f>IF(ISBLANK(V6),"",AX6/Macroindicadores!G$2)</f>
        <v>9.7156859630572487</v>
      </c>
      <c r="BM6" s="117">
        <f>IF(ISBLANK(W6),"",AY6/Macroindicadores!H$2)</f>
        <v>9.7156859630572487</v>
      </c>
      <c r="BN6" s="117">
        <f>IF(ISBLANK(X6),"",AZ6/Macroindicadores!I$2)</f>
        <v>9.7156859630572487</v>
      </c>
      <c r="BO6" s="117">
        <f>IF(ISBLANK(Y6),"",BA6/Macroindicadores!J$2)</f>
        <v>9.7156859630572487</v>
      </c>
      <c r="BP6" s="117">
        <f>IF(ISBLANK(Z6),"",BB6/Macroindicadores!K$2)</f>
        <v>9.7156859630572487</v>
      </c>
      <c r="BQ6" s="117">
        <f>IF(ISBLANK(AA6),"",BC6/Macroindicadores!L$2)</f>
        <v>9.7156859630572487</v>
      </c>
      <c r="BR6" s="117">
        <f>IF(ISBLANK(AB6),"",BD6/Macroindicadores!M$2)</f>
        <v>9.7156859630572487</v>
      </c>
      <c r="BS6" s="118">
        <f>IF(AND(ISBLANK($Q6),ISBLANK($R6),ISBLANK($S6),ISBLANK($T6),ISBLANK($U6),ISBLANK($V6),ISBLANK($W6),ISBLANK($X6),ISBLANK($Y6),ISBLANK($Z6),ISBLANK($AA6),ISBLANK($AB6)),"",SUM(BG6:BR6))</f>
        <v>116.58823155668701</v>
      </c>
      <c r="BT6" s="25" t="str">
        <f>IF(ISBLANK($L6),"",_xlfn.XLOOKUP($L6,'CENTRO CUSTO'!$A:$A,'CENTRO CUSTO'!$E:$E,FALSE,0))</f>
        <v>G&amp;A BU</v>
      </c>
      <c r="BV6" s="38">
        <f>AC6/BS6</f>
        <v>5575.1767680253379</v>
      </c>
    </row>
    <row r="7" spans="1:74">
      <c r="A7" s="9" t="str">
        <f>IF(ISBLANK($F7),"","Budget")</f>
        <v>Budget</v>
      </c>
      <c r="B7" s="9">
        <f t="shared" si="31"/>
        <v>2026</v>
      </c>
      <c r="C7" s="111" t="str">
        <f>IF(ISBLANK($L7),"",_xlfn.XLOOKUP($L7,'CENTRO CUSTO'!$A:$A,'CENTRO CUSTO'!F:F,FALSE,0))</f>
        <v>Martini Meat</v>
      </c>
      <c r="D7" s="111" t="str">
        <f>IF(ISBLANK($L7),"",_xlfn.XLOOKUP($L7,'CENTRO CUSTO'!$A:$A,'CENTRO CUSTO'!G:G,FALSE,0))</f>
        <v>BU-MMAZ</v>
      </c>
      <c r="E7" s="111" t="str">
        <f>IF(ISBLANK($L7),"",_xlfn.XLOOKUP($L7,'CENTRO CUSTO'!$A:$A,'CENTRO CUSTO'!H:H,FALSE,0))</f>
        <v>G&amp;A</v>
      </c>
      <c r="F7" s="112" t="s">
        <v>82</v>
      </c>
      <c r="G7" s="112" t="s">
        <v>75</v>
      </c>
      <c r="H7" s="112" t="s">
        <v>83</v>
      </c>
      <c r="I7" s="113" t="s">
        <v>84</v>
      </c>
      <c r="J7" s="113" t="s">
        <v>85</v>
      </c>
      <c r="K7" s="113" t="s">
        <v>86</v>
      </c>
      <c r="L7" s="113" t="s">
        <v>35</v>
      </c>
      <c r="M7" s="111" t="str">
        <f>IF(ISBLANK($L7),"",_xlfn.XLOOKUP($L7,'CENTRO CUSTO'!$A:$A,'CENTRO CUSTO'!D:D,FALSE,0))</f>
        <v>Alexandre Ayabe</v>
      </c>
      <c r="N7" s="113" t="s">
        <v>87</v>
      </c>
      <c r="O7" s="114"/>
      <c r="P7" s="113" t="s">
        <v>88</v>
      </c>
      <c r="Q7" s="115">
        <f>78368*Rateio!$E$4/12</f>
        <v>6530.666666666667</v>
      </c>
      <c r="R7" s="115">
        <f>78368*Rateio!$E$4/12</f>
        <v>6530.666666666667</v>
      </c>
      <c r="S7" s="115">
        <f>78368*Rateio!$E$4/12</f>
        <v>6530.666666666667</v>
      </c>
      <c r="T7" s="115">
        <f>78368*Rateio!$E$4/12</f>
        <v>6530.666666666667</v>
      </c>
      <c r="U7" s="115">
        <f>78368*Rateio!$E$4/12</f>
        <v>6530.666666666667</v>
      </c>
      <c r="V7" s="115">
        <f>78368*Rateio!$E$4/12</f>
        <v>6530.666666666667</v>
      </c>
      <c r="W7" s="115">
        <f>78368*Rateio!$E$4/12</f>
        <v>6530.666666666667</v>
      </c>
      <c r="X7" s="115">
        <f>78368*Rateio!$E$4/12</f>
        <v>6530.666666666667</v>
      </c>
      <c r="Y7" s="115">
        <f>78368*Rateio!$E$4/12</f>
        <v>6530.666666666667</v>
      </c>
      <c r="Z7" s="115">
        <f>78368*Rateio!$E$4/12</f>
        <v>6530.666666666667</v>
      </c>
      <c r="AA7" s="115">
        <f>78368*Rateio!$E$4/12</f>
        <v>6530.666666666667</v>
      </c>
      <c r="AB7" s="115">
        <f>78368*Rateio!$E$4/12</f>
        <v>6530.666666666667</v>
      </c>
      <c r="AC7" s="116">
        <f t="shared" ref="AC7" si="37">IF(AND(ISBLANK($Q7),ISBLANK($R7),ISBLANK($S7),ISBLANK($T7),ISBLANK($U7),ISBLANK($V7),ISBLANK($W7),ISBLANK($X7),ISBLANK($Y7),ISBLANK($Z7),ISBLANK($AA7),ISBLANK($AB7)),"",SUM(Q7:AB7))</f>
        <v>78368</v>
      </c>
      <c r="AD7" s="108"/>
      <c r="AE7" s="117">
        <f>IF(ISBLANK(Q7),"",IF($P7="BRL",Q7,Q7*Macroindicadores!B$2)/1000)</f>
        <v>38.400320000000001</v>
      </c>
      <c r="AF7" s="117">
        <f>IF(ISBLANK(R7),"",IF($P7="BRL",R7,R7*Macroindicadores!C$2)/1000)</f>
        <v>38.400320000000001</v>
      </c>
      <c r="AG7" s="117">
        <f>IF(ISBLANK(S7),"",IF($P7="BRL",S7,S7*Macroindicadores!D$2)/1000)</f>
        <v>38.400320000000001</v>
      </c>
      <c r="AH7" s="117">
        <f>IF(ISBLANK(T7),"",IF($P7="BRL",T7,T7*Macroindicadores!E$2)/1000)</f>
        <v>38.400320000000001</v>
      </c>
      <c r="AI7" s="117">
        <f>IF(ISBLANK(U7),"",IF($P7="BRL",U7,U7*Macroindicadores!F$2)/1000)</f>
        <v>38.400320000000001</v>
      </c>
      <c r="AJ7" s="117">
        <f>IF(ISBLANK(V7),"",IF($P7="BRL",V7,V7*Macroindicadores!G$2)/1000)</f>
        <v>38.400320000000001</v>
      </c>
      <c r="AK7" s="117">
        <f>IF(ISBLANK(W7),"",IF($P7="BRL",W7,W7*Macroindicadores!H$2)/1000)</f>
        <v>38.400320000000001</v>
      </c>
      <c r="AL7" s="117">
        <f>IF(ISBLANK(X7),"",IF($P7="BRL",X7,X7*Macroindicadores!I$2)/1000)</f>
        <v>38.400320000000001</v>
      </c>
      <c r="AM7" s="117">
        <f>IF(ISBLANK(Y7),"",IF($P7="BRL",Y7,Y7*Macroindicadores!J$2)/1000)</f>
        <v>38.400320000000001</v>
      </c>
      <c r="AN7" s="117">
        <f>IF(ISBLANK(Z7),"",IF($P7="BRL",Z7,Z7*Macroindicadores!K$2)/1000)</f>
        <v>38.400320000000001</v>
      </c>
      <c r="AO7" s="117">
        <f>IF(ISBLANK(AA7),"",IF($P7="BRL",AA7,AA7*Macroindicadores!L$2)/1000)</f>
        <v>38.400320000000001</v>
      </c>
      <c r="AP7" s="117">
        <f>IF(ISBLANK(AB7),"",IF($P7="BRL",AB7,AB7*Macroindicadores!M$2)/1000)</f>
        <v>38.400320000000001</v>
      </c>
      <c r="AQ7" s="118">
        <f t="shared" ref="AQ7" si="38">IF(AND(ISBLANK($Q7),ISBLANK($R7),ISBLANK($S7),ISBLANK($T7),ISBLANK($U7),ISBLANK($V7),ISBLANK($W7),ISBLANK($X7),ISBLANK($Y7),ISBLANK($Z7),ISBLANK($AA7),ISBLANK($AB7)),"",SUM(AE7:AP7))</f>
        <v>460.80384000000009</v>
      </c>
      <c r="AR7" s="108"/>
      <c r="AS7" s="117">
        <f>IF(ISBLANK(Q7),"",IF(ISBLANK($O7),AE7,IF($J7="ANUAL",AE7*(1+Macroindicadores!B$7),IF(AND($I7="NOVO",MONTH($O7)=MONTH(AS$4)),AE7*(1+Macroindicadores!B$7),IF(AND($J7="PONTUAL",MONTH($O7)=MONTH(AS$4)),AE7*(1+Macroindicadores!B$7),IF(AND($J7="PONTUAL",MONTH($O7)&lt;MONTH(AS$4)),MIN(AR7:$AS7),IF(AND($I7="NOVO",MONTH($O7)&gt;MONTH(AS$4)),AE7,IF(MONTH($O7)&gt;MONTH(AS$4),AE7,IF(MONTH($O7)=MONTH(AS$4),AE7*(1+Macroindicadores!B$7),AR7)))))))))</f>
        <v>38.400320000000001</v>
      </c>
      <c r="AT7" s="117">
        <f>IF(ISBLANK(R7),"",IF(ISBLANK($O7),AF7,IF($J7="ANUAL",AF7*(1+Macroindicadores!C$7),IF(AND($I7="NOVO",MONTH($O7)=MONTH(AT$4)),AF7*(1+Macroindicadores!C$7),IF(AND($J7="PONTUAL",MONTH($O7)=MONTH(AT$4)),AF7*(1+Macroindicadores!C$7),IF(AND($J7="PONTUAL",MONTH($O7)&lt;MONTH(AT$4)),MIN($AS7:AS7),IF(AND($I7="NOVO",MONTH($O7)&gt;MONTH(AT$4)),AF7,IF(MONTH($O7)&gt;MONTH(AT$4),AF7,IF(MONTH($O7)=MONTH(AT$4),AF7*(1+Macroindicadores!C$7),AS7)))))))))</f>
        <v>38.400320000000001</v>
      </c>
      <c r="AU7" s="117">
        <f>IF(ISBLANK(S7),"",IF(ISBLANK($O7),AG7,IF($J7="ANUAL",AG7*(1+Macroindicadores!D$7),IF(AND($I7="NOVO",MONTH($O7)=MONTH(AU$4)),AG7*(1+Macroindicadores!D$7),IF(AND($J7="PONTUAL",MONTH($O7)=MONTH(AU$4)),AG7*(1+Macroindicadores!D$7),IF(AND($J7="PONTUAL",MONTH($O7)&lt;MONTH(AU$4)),MIN($AS7:AT7),IF(AND($I7="NOVO",MONTH($O7)&gt;MONTH(AU$4)),AG7,IF(MONTH($O7)&gt;MONTH(AU$4),AG7,IF(MONTH($O7)=MONTH(AU$4),AG7*(1+Macroindicadores!D$7),AT7)))))))))</f>
        <v>38.400320000000001</v>
      </c>
      <c r="AV7" s="117">
        <f>IF(ISBLANK(T7),"",IF(ISBLANK($O7),AH7,IF($J7="ANUAL",AH7*(1+Macroindicadores!E$7),IF(AND($I7="NOVO",MONTH($O7)=MONTH(AV$4)),AH7*(1+Macroindicadores!E$7),IF(AND($J7="PONTUAL",MONTH($O7)=MONTH(AV$4)),AH7*(1+Macroindicadores!E$7),IF(AND($J7="PONTUAL",MONTH($O7)&lt;MONTH(AV$4)),MIN($AS7:AU7),IF(AND($I7="NOVO",MONTH($O7)&gt;MONTH(AV$4)),AH7,IF(MONTH($O7)&gt;MONTH(AV$4),AH7,IF(MONTH($O7)=MONTH(AV$4),AH7*(1+Macroindicadores!E$7),AU7)))))))))</f>
        <v>38.400320000000001</v>
      </c>
      <c r="AW7" s="117">
        <f>IF(ISBLANK(U7),"",IF(ISBLANK($O7),AI7,IF($J7="ANUAL",AI7*(1+Macroindicadores!F$7),IF(AND($I7="NOVO",MONTH($O7)=MONTH(AW$4)),AI7*(1+Macroindicadores!F$7),IF(AND($J7="PONTUAL",MONTH($O7)=MONTH(AW$4)),AI7*(1+Macroindicadores!F$7),IF(AND($J7="PONTUAL",MONTH($O7)&lt;MONTH(AW$4)),MIN($AS7:AV7),IF(AND($I7="NOVO",MONTH($O7)&gt;MONTH(AW$4)),AI7,IF(MONTH($O7)&gt;MONTH(AW$4),AI7,IF(MONTH($O7)=MONTH(AW$4),AI7*(1+Macroindicadores!F$7),AV7)))))))))</f>
        <v>38.400320000000001</v>
      </c>
      <c r="AX7" s="117">
        <f>IF(ISBLANK(V7),"",IF(ISBLANK($O7),AJ7,IF($J7="ANUAL",AJ7*(1+Macroindicadores!G$7),IF(AND($I7="NOVO",MONTH($O7)=MONTH(AX$4)),AJ7*(1+Macroindicadores!G$7),IF(AND($J7="PONTUAL",MONTH($O7)=MONTH(AX$4)),AJ7*(1+Macroindicadores!G$7),IF(AND($J7="PONTUAL",MONTH($O7)&lt;MONTH(AX$4)),MIN($AS7:AW7),IF(AND($I7="NOVO",MONTH($O7)&gt;MONTH(AX$4)),AJ7,IF(MONTH($O7)&gt;MONTH(AX$4),AJ7,IF(MONTH($O7)=MONTH(AX$4),AJ7*(1+Macroindicadores!G$7),AW7)))))))))</f>
        <v>38.400320000000001</v>
      </c>
      <c r="AY7" s="117">
        <f>IF(ISBLANK(W7),"",IF(ISBLANK($O7),AK7,IF($J7="ANUAL",AK7*(1+Macroindicadores!H$7),IF(AND($I7="NOVO",MONTH($O7)=MONTH(AY$4)),AK7*(1+Macroindicadores!H$7),IF(AND($J7="PONTUAL",MONTH($O7)=MONTH(AY$4)),AK7*(1+Macroindicadores!H$7),IF(AND($J7="PONTUAL",MONTH($O7)&lt;MONTH(AY$4)),MIN($AS7:AX7),IF(AND($I7="NOVO",MONTH($O7)&gt;MONTH(AY$4)),AK7,IF(MONTH($O7)&gt;MONTH(AY$4),AK7,IF(MONTH($O7)=MONTH(AY$4),AK7*(1+Macroindicadores!H$7),AX7)))))))))</f>
        <v>38.400320000000001</v>
      </c>
      <c r="AZ7" s="117">
        <f>IF(ISBLANK(X7),"",IF(ISBLANK($O7),AL7,IF($J7="ANUAL",AL7*(1+Macroindicadores!I$7),IF(AND($I7="NOVO",MONTH($O7)=MONTH(AZ$4)),AL7*(1+Macroindicadores!I$7),IF(AND($J7="PONTUAL",MONTH($O7)=MONTH(AZ$4)),AL7*(1+Macroindicadores!I$7),IF(AND($J7="PONTUAL",MONTH($O7)&lt;MONTH(AZ$4)),MIN($AS7:AY7),IF(AND($I7="NOVO",MONTH($O7)&gt;MONTH(AZ$4)),AL7,IF(MONTH($O7)&gt;MONTH(AZ$4),AL7,IF(MONTH($O7)=MONTH(AZ$4),AL7*(1+Macroindicadores!I$7),AY7)))))))))</f>
        <v>38.400320000000001</v>
      </c>
      <c r="BA7" s="117">
        <f>IF(ISBLANK(Y7),"",IF(ISBLANK($O7),AM7,IF($J7="ANUAL",AM7*(1+Macroindicadores!J$7),IF(AND($I7="NOVO",MONTH($O7)=MONTH(BA$4)),AM7*(1+Macroindicadores!J$7),IF(AND($J7="PONTUAL",MONTH($O7)=MONTH(BA$4)),AM7*(1+Macroindicadores!J$7),IF(AND($J7="PONTUAL",MONTH($O7)&lt;MONTH(BA$4)),MIN($AS7:AZ7),IF(AND($I7="NOVO",MONTH($O7)&gt;MONTH(BA$4)),AM7,IF(MONTH($O7)&gt;MONTH(BA$4),AM7,IF(MONTH($O7)=MONTH(BA$4),AM7*(1+Macroindicadores!J$7),AZ7)))))))))</f>
        <v>38.400320000000001</v>
      </c>
      <c r="BB7" s="117">
        <f>IF(ISBLANK(Z7),"",IF(ISBLANK($O7),AN7,IF($J7="ANUAL",AN7*(1+Macroindicadores!K$7),IF(AND($I7="NOVO",MONTH($O7)=MONTH(BB$4)),AN7*(1+Macroindicadores!K$7),IF(AND($J7="PONTUAL",MONTH($O7)=MONTH(BB$4)),AN7*(1+Macroindicadores!K$7),IF(AND($J7="PONTUAL",MONTH($O7)&lt;MONTH(BB$4)),MIN($AS7:BA7),IF(AND($I7="NOVO",MONTH($O7)&gt;MONTH(BB$4)),AN7,IF(MONTH($O7)&gt;MONTH(BB$4),AN7,IF(MONTH($O7)=MONTH(BB$4),AN7*(1+Macroindicadores!K$7),BA7)))))))))</f>
        <v>38.400320000000001</v>
      </c>
      <c r="BC7" s="117">
        <f>IF(ISBLANK(AA7),"",IF(ISBLANK($O7),AO7,IF($J7="ANUAL",AO7*(1+Macroindicadores!L$7),IF(AND($I7="NOVO",MONTH($O7)=MONTH(BC$4)),AO7*(1+Macroindicadores!L$7),IF(AND($J7="PONTUAL",MONTH($O7)=MONTH(BC$4)),AO7*(1+Macroindicadores!L$7),IF(AND($J7="PONTUAL",MONTH($O7)&lt;MONTH(BC$4)),MIN($AS7:BB7),IF(AND($I7="NOVO",MONTH($O7)&gt;MONTH(BC$4)),AO7,IF(MONTH($O7)&gt;MONTH(BC$4),AO7,IF(MONTH($O7)=MONTH(BC$4),AO7*(1+Macroindicadores!L$7),BB7)))))))))</f>
        <v>38.400320000000001</v>
      </c>
      <c r="BD7" s="117">
        <f>IF(ISBLANK(AB7),"",IF(ISBLANK($O7),AP7,IF($J7="ANUAL",AP7*(1+Macroindicadores!M$7),IF(AND($I7="NOVO",MONTH($O7)=MONTH(BD$4)),AP7*(1+Macroindicadores!M$7),IF(AND($J7="PONTUAL",MONTH($O7)=MONTH(BD$4)),AP7*(1+Macroindicadores!M$7),IF(AND($J7="PONTUAL",MONTH($O7)&lt;MONTH(BD$4)),MIN($AS7:BC7),IF(AND($I7="NOVO",MONTH($O7)&gt;MONTH(BD$4)),AP7,IF(MONTH($O7)&gt;MONTH(BD$4),AP7,IF(MONTH($O7)=MONTH(BD$4),AP7*(1+Macroindicadores!M$7),BC7)))))))))</f>
        <v>38.400320000000001</v>
      </c>
      <c r="BE7" s="118">
        <f t="shared" ref="BE7" si="39">IF(AND(ISBLANK($Q7),ISBLANK($R7),ISBLANK($S7),ISBLANK($T7),ISBLANK($U7),ISBLANK($V7),ISBLANK($W7),ISBLANK($X7),ISBLANK($Y7),ISBLANK($Z7),ISBLANK($AA7),ISBLANK($AB7)),"",SUM(AS7:BD7))</f>
        <v>460.80384000000009</v>
      </c>
      <c r="BF7" s="108"/>
      <c r="BG7" s="117">
        <f>IF(ISBLANK(Q7),"",AS7/Macroindicadores!B$2)</f>
        <v>6.5306666666666668</v>
      </c>
      <c r="BH7" s="117">
        <f>IF(ISBLANK(R7),"",AT7/Macroindicadores!C$2)</f>
        <v>6.5306666666666668</v>
      </c>
      <c r="BI7" s="117">
        <f>IF(ISBLANK(S7),"",AU7/Macroindicadores!D$2)</f>
        <v>6.5306666666666668</v>
      </c>
      <c r="BJ7" s="117">
        <f>IF(ISBLANK(T7),"",AV7/Macroindicadores!E$2)</f>
        <v>6.5306666666666668</v>
      </c>
      <c r="BK7" s="117">
        <f>IF(ISBLANK(U7),"",AW7/Macroindicadores!F$2)</f>
        <v>6.5306666666666668</v>
      </c>
      <c r="BL7" s="117">
        <f>IF(ISBLANK(V7),"",AX7/Macroindicadores!G$2)</f>
        <v>6.5306666666666668</v>
      </c>
      <c r="BM7" s="117">
        <f>IF(ISBLANK(W7),"",AY7/Macroindicadores!H$2)</f>
        <v>6.5306666666666668</v>
      </c>
      <c r="BN7" s="117">
        <f>IF(ISBLANK(X7),"",AZ7/Macroindicadores!I$2)</f>
        <v>6.5306666666666668</v>
      </c>
      <c r="BO7" s="117">
        <f>IF(ISBLANK(Y7),"",BA7/Macroindicadores!J$2)</f>
        <v>6.5306666666666668</v>
      </c>
      <c r="BP7" s="117">
        <f>IF(ISBLANK(Z7),"",BB7/Macroindicadores!K$2)</f>
        <v>6.5306666666666668</v>
      </c>
      <c r="BQ7" s="117">
        <f>IF(ISBLANK(AA7),"",BC7/Macroindicadores!L$2)</f>
        <v>6.5306666666666668</v>
      </c>
      <c r="BR7" s="117">
        <f>IF(ISBLANK(AB7),"",BD7/Macroindicadores!M$2)</f>
        <v>6.5306666666666668</v>
      </c>
      <c r="BS7" s="118">
        <f>IF(AND(ISBLANK($Q7),ISBLANK($R7),ISBLANK($S7),ISBLANK($T7),ISBLANK($U7),ISBLANK($V7),ISBLANK($W7),ISBLANK($X7),ISBLANK($Y7),ISBLANK($Z7),ISBLANK($AA7),ISBLANK($AB7)),"",SUM(BG7:BR7))</f>
        <v>78.367999999999995</v>
      </c>
      <c r="BT7" s="25" t="str">
        <f>IF(ISBLANK($L7),"",_xlfn.XLOOKUP($L7,'CENTRO CUSTO'!$A:$A,'CENTRO CUSTO'!$E:$E,FALSE,0))</f>
        <v>G&amp;A BU</v>
      </c>
    </row>
    <row r="8" spans="1:74">
      <c r="A8" s="9" t="str">
        <f t="shared" ref="A8:A60" si="40">IF(ISBLANK($F8),"","Budget")</f>
        <v>Budget</v>
      </c>
      <c r="B8" s="9">
        <f t="shared" si="31"/>
        <v>2026</v>
      </c>
      <c r="C8" s="111" t="str">
        <f>IF(ISBLANK($L8),"",_xlfn.XLOOKUP($L8,'CENTRO CUSTO'!$A:$A,'CENTRO CUSTO'!F:F,FALSE,0))</f>
        <v>Transporte</v>
      </c>
      <c r="D8" s="111" t="str">
        <f>IF(ISBLANK($L8),"",_xlfn.XLOOKUP($L8,'CENTRO CUSTO'!$A:$A,'CENTRO CUSTO'!G:G,FALSE,0))</f>
        <v>BU-TR</v>
      </c>
      <c r="E8" s="111" t="str">
        <f>IF(ISBLANK($L8),"",_xlfn.XLOOKUP($L8,'CENTRO CUSTO'!$A:$A,'CENTRO CUSTO'!H:H,FALSE,0))</f>
        <v>G&amp;A</v>
      </c>
      <c r="F8" s="112" t="s">
        <v>89</v>
      </c>
      <c r="G8" s="112" t="s">
        <v>75</v>
      </c>
      <c r="H8" s="112" t="s">
        <v>90</v>
      </c>
      <c r="I8" s="113" t="s">
        <v>77</v>
      </c>
      <c r="J8" s="113" t="s">
        <v>78</v>
      </c>
      <c r="K8" s="113" t="s">
        <v>79</v>
      </c>
      <c r="L8" s="113" t="s">
        <v>38</v>
      </c>
      <c r="M8" s="111" t="str">
        <f>IF(ISBLANK($L8),"",_xlfn.XLOOKUP($L8,'CENTRO CUSTO'!$A:$A,'CENTRO CUSTO'!D:D,FALSE,0))</f>
        <v>Alexandre Ayabe</v>
      </c>
      <c r="N8" s="113" t="s">
        <v>91</v>
      </c>
      <c r="O8" s="114"/>
      <c r="P8" s="113" t="s">
        <v>81</v>
      </c>
      <c r="Q8" s="115">
        <f>35000*Rateio!$E$3</f>
        <v>0</v>
      </c>
      <c r="R8" s="115">
        <f>35000*Rateio!$E$3</f>
        <v>0</v>
      </c>
      <c r="S8" s="115">
        <f>35000*Rateio!$E$3</f>
        <v>0</v>
      </c>
      <c r="T8" s="115"/>
      <c r="U8" s="115"/>
      <c r="V8" s="115"/>
      <c r="W8" s="115"/>
      <c r="X8" s="115"/>
      <c r="Y8" s="115"/>
      <c r="Z8" s="115"/>
      <c r="AA8" s="115"/>
      <c r="AB8" s="115"/>
      <c r="AC8" s="116">
        <f t="shared" si="32"/>
        <v>0</v>
      </c>
      <c r="AD8" s="108"/>
      <c r="AE8" s="117">
        <f>IF(ISBLANK(Q8),"",IF($P8="BRL",Q8,Q8*Macroindicadores!B$2)/1000)</f>
        <v>0</v>
      </c>
      <c r="AF8" s="117">
        <f>IF(ISBLANK(R8),"",IF($P8="BRL",R8,R8*Macroindicadores!C$2)/1000)</f>
        <v>0</v>
      </c>
      <c r="AG8" s="117">
        <f>IF(ISBLANK(S8),"",IF($P8="BRL",S8,S8*Macroindicadores!D$2)/1000)</f>
        <v>0</v>
      </c>
      <c r="AH8" s="117" t="str">
        <f>IF(ISBLANK(T8),"",IF($P8="BRL",T8,T8*Macroindicadores!E$2)/1000)</f>
        <v/>
      </c>
      <c r="AI8" s="117" t="str">
        <f>IF(ISBLANK(U8),"",IF($P8="BRL",U8,U8*Macroindicadores!F$2)/1000)</f>
        <v/>
      </c>
      <c r="AJ8" s="117" t="str">
        <f>IF(ISBLANK(V8),"",IF($P8="BRL",V8,V8*Macroindicadores!G$2)/1000)</f>
        <v/>
      </c>
      <c r="AK8" s="117" t="str">
        <f>IF(ISBLANK(W8),"",IF($P8="BRL",W8,W8*Macroindicadores!H$2)/1000)</f>
        <v/>
      </c>
      <c r="AL8" s="117" t="str">
        <f>IF(ISBLANK(X8),"",IF($P8="BRL",X8,X8*Macroindicadores!I$2)/1000)</f>
        <v/>
      </c>
      <c r="AM8" s="117" t="str">
        <f>IF(ISBLANK(Y8),"",IF($P8="BRL",Y8,Y8*Macroindicadores!J$2)/1000)</f>
        <v/>
      </c>
      <c r="AN8" s="117" t="str">
        <f>IF(ISBLANK(Z8),"",IF($P8="BRL",Z8,Z8*Macroindicadores!K$2)/1000)</f>
        <v/>
      </c>
      <c r="AO8" s="117" t="str">
        <f>IF(ISBLANK(AA8),"",IF($P8="BRL",AA8,AA8*Macroindicadores!L$2)/1000)</f>
        <v/>
      </c>
      <c r="AP8" s="117" t="str">
        <f>IF(ISBLANK(AB8),"",IF($P8="BRL",AB8,AB8*Macroindicadores!M$2)/1000)</f>
        <v/>
      </c>
      <c r="AQ8" s="118">
        <f t="shared" si="35"/>
        <v>0</v>
      </c>
      <c r="AR8" s="108"/>
      <c r="AS8" s="117">
        <f>IF(ISBLANK(Q8),"",IF(ISBLANK($O8),AE8,IF($J8="ANUAL",AE8*(1+Macroindicadores!B$7),IF(AND($I8="NOVO",MONTH($O8)=MONTH(AS$4)),AE8*(1+Macroindicadores!B$7),IF(AND($J8="PONTUAL",MONTH($O8)=MONTH(AS$4)),AE8*(1+Macroindicadores!B$7),IF(AND($J8="PONTUAL",MONTH($O8)&lt;MONTH(AS$4)),MIN(AR8:$AS8),IF(AND($I8="NOVO",MONTH($O8)&gt;MONTH(AS$4)),AE8,IF(MONTH($O8)&gt;MONTH(AS$4),AE8,IF(MONTH($O8)=MONTH(AS$4),AE8*(1+Macroindicadores!B$7),AR8)))))))))</f>
        <v>0</v>
      </c>
      <c r="AT8" s="117">
        <f>IF(ISBLANK(R8),"",IF(ISBLANK($O8),AF8,IF($J8="ANUAL",AF8*(1+Macroindicadores!C$7),IF(AND($I8="NOVO",MONTH($O8)=MONTH(AT$4)),AF8*(1+Macroindicadores!C$7),IF(AND($J8="PONTUAL",MONTH($O8)=MONTH(AT$4)),AF8*(1+Macroindicadores!C$7),IF(AND($J8="PONTUAL",MONTH($O8)&lt;MONTH(AT$4)),MIN($AS8:AS8),IF(AND($I8="NOVO",MONTH($O8)&gt;MONTH(AT$4)),AF8,IF(MONTH($O8)&gt;MONTH(AT$4),AF8,IF(MONTH($O8)=MONTH(AT$4),AF8*(1+Macroindicadores!C$7),AS8)))))))))</f>
        <v>0</v>
      </c>
      <c r="AU8" s="117">
        <f>IF(ISBLANK(S8),"",IF(ISBLANK($O8),AG8,IF($J8="ANUAL",AG8*(1+Macroindicadores!D$7),IF(AND($I8="NOVO",MONTH($O8)=MONTH(AU$4)),AG8*(1+Macroindicadores!D$7),IF(AND($J8="PONTUAL",MONTH($O8)=MONTH(AU$4)),AG8*(1+Macroindicadores!D$7),IF(AND($J8="PONTUAL",MONTH($O8)&lt;MONTH(AU$4)),MIN($AS8:AT8),IF(AND($I8="NOVO",MONTH($O8)&gt;MONTH(AU$4)),AG8,IF(MONTH($O8)&gt;MONTH(AU$4),AG8,IF(MONTH($O8)=MONTH(AU$4),AG8*(1+Macroindicadores!D$7),AT8)))))))))</f>
        <v>0</v>
      </c>
      <c r="AV8" s="117" t="str">
        <f>IF(ISBLANK(T8),"",IF(ISBLANK($O8),AH8,IF($J8="ANUAL",AH8*(1+Macroindicadores!E$7),IF(AND($I8="NOVO",MONTH($O8)=MONTH(AV$4)),AH8*(1+Macroindicadores!E$7),IF(AND($J8="PONTUAL",MONTH($O8)=MONTH(AV$4)),AH8*(1+Macroindicadores!E$7),IF(AND($J8="PONTUAL",MONTH($O8)&lt;MONTH(AV$4)),MIN($AS8:AU8),IF(AND($I8="NOVO",MONTH($O8)&gt;MONTH(AV$4)),AH8,IF(MONTH($O8)&gt;MONTH(AV$4),AH8,IF(MONTH($O8)=MONTH(AV$4),AH8*(1+Macroindicadores!E$7),AU8)))))))))</f>
        <v/>
      </c>
      <c r="AW8" s="117" t="str">
        <f>IF(ISBLANK(U8),"",IF(ISBLANK($O8),AI8,IF($J8="ANUAL",AI8*(1+Macroindicadores!F$7),IF(AND($I8="NOVO",MONTH($O8)=MONTH(AW$4)),AI8*(1+Macroindicadores!F$7),IF(AND($J8="PONTUAL",MONTH($O8)=MONTH(AW$4)),AI8*(1+Macroindicadores!F$7),IF(AND($J8="PONTUAL",MONTH($O8)&lt;MONTH(AW$4)),MIN($AS8:AV8),IF(AND($I8="NOVO",MONTH($O8)&gt;MONTH(AW$4)),AI8,IF(MONTH($O8)&gt;MONTH(AW$4),AI8,IF(MONTH($O8)=MONTH(AW$4),AI8*(1+Macroindicadores!F$7),AV8)))))))))</f>
        <v/>
      </c>
      <c r="AX8" s="117" t="str">
        <f>IF(ISBLANK(V8),"",IF(ISBLANK($O8),AJ8,IF($J8="ANUAL",AJ8*(1+Macroindicadores!G$7),IF(AND($I8="NOVO",MONTH($O8)=MONTH(AX$4)),AJ8*(1+Macroindicadores!G$7),IF(AND($J8="PONTUAL",MONTH($O8)=MONTH(AX$4)),AJ8*(1+Macroindicadores!G$7),IF(AND($J8="PONTUAL",MONTH($O8)&lt;MONTH(AX$4)),MIN($AS8:AW8),IF(AND($I8="NOVO",MONTH($O8)&gt;MONTH(AX$4)),AJ8,IF(MONTH($O8)&gt;MONTH(AX$4),AJ8,IF(MONTH($O8)=MONTH(AX$4),AJ8*(1+Macroindicadores!G$7),AW8)))))))))</f>
        <v/>
      </c>
      <c r="AY8" s="117" t="str">
        <f>IF(ISBLANK(W8),"",IF(ISBLANK($O8),AK8,IF($J8="ANUAL",AK8*(1+Macroindicadores!H$7),IF(AND($I8="NOVO",MONTH($O8)=MONTH(AY$4)),AK8*(1+Macroindicadores!H$7),IF(AND($J8="PONTUAL",MONTH($O8)=MONTH(AY$4)),AK8*(1+Macroindicadores!H$7),IF(AND($J8="PONTUAL",MONTH($O8)&lt;MONTH(AY$4)),MIN($AS8:AX8),IF(AND($I8="NOVO",MONTH($O8)&gt;MONTH(AY$4)),AK8,IF(MONTH($O8)&gt;MONTH(AY$4),AK8,IF(MONTH($O8)=MONTH(AY$4),AK8*(1+Macroindicadores!H$7),AX8)))))))))</f>
        <v/>
      </c>
      <c r="AZ8" s="117" t="str">
        <f>IF(ISBLANK(X8),"",IF(ISBLANK($O8),AL8,IF($J8="ANUAL",AL8*(1+Macroindicadores!I$7),IF(AND($I8="NOVO",MONTH($O8)=MONTH(AZ$4)),AL8*(1+Macroindicadores!I$7),IF(AND($J8="PONTUAL",MONTH($O8)=MONTH(AZ$4)),AL8*(1+Macroindicadores!I$7),IF(AND($J8="PONTUAL",MONTH($O8)&lt;MONTH(AZ$4)),MIN($AS8:AY8),IF(AND($I8="NOVO",MONTH($O8)&gt;MONTH(AZ$4)),AL8,IF(MONTH($O8)&gt;MONTH(AZ$4),AL8,IF(MONTH($O8)=MONTH(AZ$4),AL8*(1+Macroindicadores!I$7),AY8)))))))))</f>
        <v/>
      </c>
      <c r="BA8" s="117" t="str">
        <f>IF(ISBLANK(Y8),"",IF(ISBLANK($O8),AM8,IF($J8="ANUAL",AM8*(1+Macroindicadores!J$7),IF(AND($I8="NOVO",MONTH($O8)=MONTH(BA$4)),AM8*(1+Macroindicadores!J$7),IF(AND($J8="PONTUAL",MONTH($O8)=MONTH(BA$4)),AM8*(1+Macroindicadores!J$7),IF(AND($J8="PONTUAL",MONTH($O8)&lt;MONTH(BA$4)),MIN($AS8:AZ8),IF(AND($I8="NOVO",MONTH($O8)&gt;MONTH(BA$4)),AM8,IF(MONTH($O8)&gt;MONTH(BA$4),AM8,IF(MONTH($O8)=MONTH(BA$4),AM8*(1+Macroindicadores!J$7),AZ8)))))))))</f>
        <v/>
      </c>
      <c r="BB8" s="117" t="str">
        <f>IF(ISBLANK(Z8),"",IF(ISBLANK($O8),AN8,IF($J8="ANUAL",AN8*(1+Macroindicadores!K$7),IF(AND($I8="NOVO",MONTH($O8)=MONTH(BB$4)),AN8*(1+Macroindicadores!K$7),IF(AND($J8="PONTUAL",MONTH($O8)=MONTH(BB$4)),AN8*(1+Macroindicadores!K$7),IF(AND($J8="PONTUAL",MONTH($O8)&lt;MONTH(BB$4)),MIN($AS8:BA8),IF(AND($I8="NOVO",MONTH($O8)&gt;MONTH(BB$4)),AN8,IF(MONTH($O8)&gt;MONTH(BB$4),AN8,IF(MONTH($O8)=MONTH(BB$4),AN8*(1+Macroindicadores!K$7),BA8)))))))))</f>
        <v/>
      </c>
      <c r="BC8" s="117" t="str">
        <f>IF(ISBLANK(AA8),"",IF(ISBLANK($O8),AO8,IF($J8="ANUAL",AO8*(1+Macroindicadores!L$7),IF(AND($I8="NOVO",MONTH($O8)=MONTH(BC$4)),AO8*(1+Macroindicadores!L$7),IF(AND($J8="PONTUAL",MONTH($O8)=MONTH(BC$4)),AO8*(1+Macroindicadores!L$7),IF(AND($J8="PONTUAL",MONTH($O8)&lt;MONTH(BC$4)),MIN($AS8:BB8),IF(AND($I8="NOVO",MONTH($O8)&gt;MONTH(BC$4)),AO8,IF(MONTH($O8)&gt;MONTH(BC$4),AO8,IF(MONTH($O8)=MONTH(BC$4),AO8*(1+Macroindicadores!L$7),BB8)))))))))</f>
        <v/>
      </c>
      <c r="BD8" s="117" t="str">
        <f>IF(ISBLANK(AB8),"",IF(ISBLANK($O8),AP8,IF($J8="ANUAL",AP8*(1+Macroindicadores!M$7),IF(AND($I8="NOVO",MONTH($O8)=MONTH(BD$4)),AP8*(1+Macroindicadores!M$7),IF(AND($J8="PONTUAL",MONTH($O8)=MONTH(BD$4)),AP8*(1+Macroindicadores!M$7),IF(AND($J8="PONTUAL",MONTH($O8)&lt;MONTH(BD$4)),MIN($AS8:BC8),IF(AND($I8="NOVO",MONTH($O8)&gt;MONTH(BD$4)),AP8,IF(MONTH($O8)&gt;MONTH(BD$4),AP8,IF(MONTH($O8)=MONTH(BD$4),AP8*(1+Macroindicadores!M$7),BC8)))))))))</f>
        <v/>
      </c>
      <c r="BE8" s="118">
        <f t="shared" si="36"/>
        <v>0</v>
      </c>
      <c r="BF8" s="108"/>
      <c r="BG8" s="117">
        <f>IF(ISBLANK(Q8),"",AS8/Macroindicadores!B$2)</f>
        <v>0</v>
      </c>
      <c r="BH8" s="117">
        <f>IF(ISBLANK(R8),"",AT8/Macroindicadores!C$2)</f>
        <v>0</v>
      </c>
      <c r="BI8" s="117">
        <f>IF(ISBLANK(S8),"",AU8/Macroindicadores!D$2)</f>
        <v>0</v>
      </c>
      <c r="BJ8" s="117" t="str">
        <f>IF(ISBLANK(T8),"",AV8/Macroindicadores!E$2)</f>
        <v/>
      </c>
      <c r="BK8" s="117" t="str">
        <f>IF(ISBLANK(U8),"",AW8/Macroindicadores!F$2)</f>
        <v/>
      </c>
      <c r="BL8" s="117" t="str">
        <f>IF(ISBLANK(V8),"",AX8/Macroindicadores!G$2)</f>
        <v/>
      </c>
      <c r="BM8" s="117" t="str">
        <f>IF(ISBLANK(W8),"",AY8/Macroindicadores!H$2)</f>
        <v/>
      </c>
      <c r="BN8" s="117" t="str">
        <f>IF(ISBLANK(X8),"",AZ8/Macroindicadores!I$2)</f>
        <v/>
      </c>
      <c r="BO8" s="117" t="str">
        <f>IF(ISBLANK(Y8),"",BA8/Macroindicadores!J$2)</f>
        <v/>
      </c>
      <c r="BP8" s="117" t="str">
        <f>IF(ISBLANK(Z8),"",BB8/Macroindicadores!K$2)</f>
        <v/>
      </c>
      <c r="BQ8" s="117" t="str">
        <f>IF(ISBLANK(AA8),"",BC8/Macroindicadores!L$2)</f>
        <v/>
      </c>
      <c r="BR8" s="117" t="str">
        <f>IF(ISBLANK(AB8),"",BD8/Macroindicadores!M$2)</f>
        <v/>
      </c>
      <c r="BS8" s="118">
        <f>IF(AND(ISBLANK($Q8),ISBLANK($R8),ISBLANK($S8),ISBLANK($T8),ISBLANK($U8),ISBLANK($V8),ISBLANK($W8),ISBLANK($X8),ISBLANK($Y8),ISBLANK($Z8),ISBLANK($AA8),ISBLANK($AB8)),"",SUM(BG8:BR8))</f>
        <v>0</v>
      </c>
      <c r="BT8" s="25" t="str">
        <f>IF(ISBLANK($L8),"",_xlfn.XLOOKUP($L8,'CENTRO CUSTO'!$A:$A,'CENTRO CUSTO'!$E:$E,FALSE,0))</f>
        <v>G&amp;A BU</v>
      </c>
    </row>
    <row r="9" spans="1:74">
      <c r="A9" s="9" t="str">
        <f t="shared" si="40"/>
        <v>Budget</v>
      </c>
      <c r="B9" s="9">
        <f t="shared" si="31"/>
        <v>2026</v>
      </c>
      <c r="C9" s="111" t="str">
        <f>IF(ISBLANK($L9),"",_xlfn.XLOOKUP($L9,'CENTRO CUSTO'!$A:$A,'CENTRO CUSTO'!F:F,FALSE,0))</f>
        <v>Martini Meat</v>
      </c>
      <c r="D9" s="111" t="str">
        <f>IF(ISBLANK($L9),"",_xlfn.XLOOKUP($L9,'CENTRO CUSTO'!$A:$A,'CENTRO CUSTO'!G:G,FALSE,0))</f>
        <v>BU-MMAZ</v>
      </c>
      <c r="E9" s="111" t="str">
        <f>IF(ISBLANK($L9),"",_xlfn.XLOOKUP($L9,'CENTRO CUSTO'!$A:$A,'CENTRO CUSTO'!H:H,FALSE,0))</f>
        <v>G&amp;A</v>
      </c>
      <c r="F9" s="112" t="s">
        <v>89</v>
      </c>
      <c r="G9" s="112" t="s">
        <v>75</v>
      </c>
      <c r="H9" s="112" t="s">
        <v>90</v>
      </c>
      <c r="I9" s="113" t="s">
        <v>77</v>
      </c>
      <c r="J9" s="113" t="s">
        <v>78</v>
      </c>
      <c r="K9" s="113" t="s">
        <v>79</v>
      </c>
      <c r="L9" s="113" t="s">
        <v>35</v>
      </c>
      <c r="M9" s="111" t="str">
        <f>IF(ISBLANK($L9),"",_xlfn.XLOOKUP($L9,'CENTRO CUSTO'!$A:$A,'CENTRO CUSTO'!D:D,FALSE,0))</f>
        <v>Alexandre Ayabe</v>
      </c>
      <c r="N9" s="113" t="s">
        <v>91</v>
      </c>
      <c r="O9" s="114"/>
      <c r="P9" s="113" t="s">
        <v>81</v>
      </c>
      <c r="Q9" s="115">
        <f>35000*Rateio!$E$4</f>
        <v>35000</v>
      </c>
      <c r="R9" s="115">
        <f>35000*Rateio!$E$4</f>
        <v>35000</v>
      </c>
      <c r="S9" s="115">
        <f>35000*Rateio!$E$4</f>
        <v>35000</v>
      </c>
      <c r="T9" s="115"/>
      <c r="U9" s="115"/>
      <c r="V9" s="115"/>
      <c r="W9" s="115"/>
      <c r="X9" s="115"/>
      <c r="Y9" s="115"/>
      <c r="Z9" s="115"/>
      <c r="AA9" s="115"/>
      <c r="AB9" s="115"/>
      <c r="AC9" s="116">
        <f t="shared" si="32"/>
        <v>105000</v>
      </c>
      <c r="AD9" s="108"/>
      <c r="AE9" s="117">
        <f>IF(ISBLANK(Q9),"",IF($P9="BRL",Q9,Q9*Macroindicadores!B$2)/1000)</f>
        <v>35</v>
      </c>
      <c r="AF9" s="117">
        <f>IF(ISBLANK(R9),"",IF($P9="BRL",R9,R9*Macroindicadores!C$2)/1000)</f>
        <v>35</v>
      </c>
      <c r="AG9" s="117">
        <f>IF(ISBLANK(S9),"",IF($P9="BRL",S9,S9*Macroindicadores!D$2)/1000)</f>
        <v>35</v>
      </c>
      <c r="AH9" s="117" t="str">
        <f>IF(ISBLANK(T9),"",IF($P9="BRL",T9,T9*Macroindicadores!E$2)/1000)</f>
        <v/>
      </c>
      <c r="AI9" s="117" t="str">
        <f>IF(ISBLANK(U9),"",IF($P9="BRL",U9,U9*Macroindicadores!F$2)/1000)</f>
        <v/>
      </c>
      <c r="AJ9" s="117" t="str">
        <f>IF(ISBLANK(V9),"",IF($P9="BRL",V9,V9*Macroindicadores!G$2)/1000)</f>
        <v/>
      </c>
      <c r="AK9" s="117" t="str">
        <f>IF(ISBLANK(W9),"",IF($P9="BRL",W9,W9*Macroindicadores!H$2)/1000)</f>
        <v/>
      </c>
      <c r="AL9" s="117" t="str">
        <f>IF(ISBLANK(X9),"",IF($P9="BRL",X9,X9*Macroindicadores!I$2)/1000)</f>
        <v/>
      </c>
      <c r="AM9" s="117" t="str">
        <f>IF(ISBLANK(Y9),"",IF($P9="BRL",Y9,Y9*Macroindicadores!J$2)/1000)</f>
        <v/>
      </c>
      <c r="AN9" s="117" t="str">
        <f>IF(ISBLANK(Z9),"",IF($P9="BRL",Z9,Z9*Macroindicadores!K$2)/1000)</f>
        <v/>
      </c>
      <c r="AO9" s="117" t="str">
        <f>IF(ISBLANK(AA9),"",IF($P9="BRL",AA9,AA9*Macroindicadores!L$2)/1000)</f>
        <v/>
      </c>
      <c r="AP9" s="117" t="str">
        <f>IF(ISBLANK(AB9),"",IF($P9="BRL",AB9,AB9*Macroindicadores!M$2)/1000)</f>
        <v/>
      </c>
      <c r="AQ9" s="118">
        <f t="shared" si="35"/>
        <v>105</v>
      </c>
      <c r="AR9" s="108"/>
      <c r="AS9" s="117">
        <f>IF(ISBLANK(Q9),"",IF(ISBLANK($O9),AE9,IF($J9="ANUAL",AE9*(1+Macroindicadores!B$7),IF(AND($I9="NOVO",MONTH($O9)=MONTH(AS$4)),AE9*(1+Macroindicadores!B$7),IF(AND($J9="PONTUAL",MONTH($O9)=MONTH(AS$4)),AE9*(1+Macroindicadores!B$7),IF(AND($J9="PONTUAL",MONTH($O9)&lt;MONTH(AS$4)),MIN(AR9:$AS9),IF(AND($I9="NOVO",MONTH($O9)&gt;MONTH(AS$4)),AE9,IF(MONTH($O9)&gt;MONTH(AS$4),AE9,IF(MONTH($O9)=MONTH(AS$4),AE9*(1+Macroindicadores!B$7),AR9)))))))))</f>
        <v>35</v>
      </c>
      <c r="AT9" s="117">
        <f>IF(ISBLANK(R9),"",IF(ISBLANK($O9),AF9,IF($J9="ANUAL",AF9*(1+Macroindicadores!C$7),IF(AND($I9="NOVO",MONTH($O9)=MONTH(AT$4)),AF9*(1+Macroindicadores!C$7),IF(AND($J9="PONTUAL",MONTH($O9)=MONTH(AT$4)),AF9*(1+Macroindicadores!C$7),IF(AND($J9="PONTUAL",MONTH($O9)&lt;MONTH(AT$4)),MIN($AS9:AS9),IF(AND($I9="NOVO",MONTH($O9)&gt;MONTH(AT$4)),AF9,IF(MONTH($O9)&gt;MONTH(AT$4),AF9,IF(MONTH($O9)=MONTH(AT$4),AF9*(1+Macroindicadores!C$7),AS9)))))))))</f>
        <v>35</v>
      </c>
      <c r="AU9" s="117">
        <f>IF(ISBLANK(S9),"",IF(ISBLANK($O9),AG9,IF($J9="ANUAL",AG9*(1+Macroindicadores!D$7),IF(AND($I9="NOVO",MONTH($O9)=MONTH(AU$4)),AG9*(1+Macroindicadores!D$7),IF(AND($J9="PONTUAL",MONTH($O9)=MONTH(AU$4)),AG9*(1+Macroindicadores!D$7),IF(AND($J9="PONTUAL",MONTH($O9)&lt;MONTH(AU$4)),MIN($AS9:AT9),IF(AND($I9="NOVO",MONTH($O9)&gt;MONTH(AU$4)),AG9,IF(MONTH($O9)&gt;MONTH(AU$4),AG9,IF(MONTH($O9)=MONTH(AU$4),AG9*(1+Macroindicadores!D$7),AT9)))))))))</f>
        <v>35</v>
      </c>
      <c r="AV9" s="117" t="str">
        <f>IF(ISBLANK(T9),"",IF(ISBLANK($O9),AH9,IF($J9="ANUAL",AH9*(1+Macroindicadores!E$7),IF(AND($I9="NOVO",MONTH($O9)=MONTH(AV$4)),AH9*(1+Macroindicadores!E$7),IF(AND($J9="PONTUAL",MONTH($O9)=MONTH(AV$4)),AH9*(1+Macroindicadores!E$7),IF(AND($J9="PONTUAL",MONTH($O9)&lt;MONTH(AV$4)),MIN($AS9:AU9),IF(AND($I9="NOVO",MONTH($O9)&gt;MONTH(AV$4)),AH9,IF(MONTH($O9)&gt;MONTH(AV$4),AH9,IF(MONTH($O9)=MONTH(AV$4),AH9*(1+Macroindicadores!E$7),AU9)))))))))</f>
        <v/>
      </c>
      <c r="AW9" s="117" t="str">
        <f>IF(ISBLANK(U9),"",IF(ISBLANK($O9),AI9,IF($J9="ANUAL",AI9*(1+Macroindicadores!F$7),IF(AND($I9="NOVO",MONTH($O9)=MONTH(AW$4)),AI9*(1+Macroindicadores!F$7),IF(AND($J9="PONTUAL",MONTH($O9)=MONTH(AW$4)),AI9*(1+Macroindicadores!F$7),IF(AND($J9="PONTUAL",MONTH($O9)&lt;MONTH(AW$4)),MIN($AS9:AV9),IF(AND($I9="NOVO",MONTH($O9)&gt;MONTH(AW$4)),AI9,IF(MONTH($O9)&gt;MONTH(AW$4),AI9,IF(MONTH($O9)=MONTH(AW$4),AI9*(1+Macroindicadores!F$7),AV9)))))))))</f>
        <v/>
      </c>
      <c r="AX9" s="117" t="str">
        <f>IF(ISBLANK(V9),"",IF(ISBLANK($O9),AJ9,IF($J9="ANUAL",AJ9*(1+Macroindicadores!G$7),IF(AND($I9="NOVO",MONTH($O9)=MONTH(AX$4)),AJ9*(1+Macroindicadores!G$7),IF(AND($J9="PONTUAL",MONTH($O9)=MONTH(AX$4)),AJ9*(1+Macroindicadores!G$7),IF(AND($J9="PONTUAL",MONTH($O9)&lt;MONTH(AX$4)),MIN($AS9:AW9),IF(AND($I9="NOVO",MONTH($O9)&gt;MONTH(AX$4)),AJ9,IF(MONTH($O9)&gt;MONTH(AX$4),AJ9,IF(MONTH($O9)=MONTH(AX$4),AJ9*(1+Macroindicadores!G$7),AW9)))))))))</f>
        <v/>
      </c>
      <c r="AY9" s="117" t="str">
        <f>IF(ISBLANK(W9),"",IF(ISBLANK($O9),AK9,IF($J9="ANUAL",AK9*(1+Macroindicadores!H$7),IF(AND($I9="NOVO",MONTH($O9)=MONTH(AY$4)),AK9*(1+Macroindicadores!H$7),IF(AND($J9="PONTUAL",MONTH($O9)=MONTH(AY$4)),AK9*(1+Macroindicadores!H$7),IF(AND($J9="PONTUAL",MONTH($O9)&lt;MONTH(AY$4)),MIN($AS9:AX9),IF(AND($I9="NOVO",MONTH($O9)&gt;MONTH(AY$4)),AK9,IF(MONTH($O9)&gt;MONTH(AY$4),AK9,IF(MONTH($O9)=MONTH(AY$4),AK9*(1+Macroindicadores!H$7),AX9)))))))))</f>
        <v/>
      </c>
      <c r="AZ9" s="117" t="str">
        <f>IF(ISBLANK(X9),"",IF(ISBLANK($O9),AL9,IF($J9="ANUAL",AL9*(1+Macroindicadores!I$7),IF(AND($I9="NOVO",MONTH($O9)=MONTH(AZ$4)),AL9*(1+Macroindicadores!I$7),IF(AND($J9="PONTUAL",MONTH($O9)=MONTH(AZ$4)),AL9*(1+Macroindicadores!I$7),IF(AND($J9="PONTUAL",MONTH($O9)&lt;MONTH(AZ$4)),MIN($AS9:AY9),IF(AND($I9="NOVO",MONTH($O9)&gt;MONTH(AZ$4)),AL9,IF(MONTH($O9)&gt;MONTH(AZ$4),AL9,IF(MONTH($O9)=MONTH(AZ$4),AL9*(1+Macroindicadores!I$7),AY9)))))))))</f>
        <v/>
      </c>
      <c r="BA9" s="117" t="str">
        <f>IF(ISBLANK(Y9),"",IF(ISBLANK($O9),AM9,IF($J9="ANUAL",AM9*(1+Macroindicadores!J$7),IF(AND($I9="NOVO",MONTH($O9)=MONTH(BA$4)),AM9*(1+Macroindicadores!J$7),IF(AND($J9="PONTUAL",MONTH($O9)=MONTH(BA$4)),AM9*(1+Macroindicadores!J$7),IF(AND($J9="PONTUAL",MONTH($O9)&lt;MONTH(BA$4)),MIN($AS9:AZ9),IF(AND($I9="NOVO",MONTH($O9)&gt;MONTH(BA$4)),AM9,IF(MONTH($O9)&gt;MONTH(BA$4),AM9,IF(MONTH($O9)=MONTH(BA$4),AM9*(1+Macroindicadores!J$7),AZ9)))))))))</f>
        <v/>
      </c>
      <c r="BB9" s="117" t="str">
        <f>IF(ISBLANK(Z9),"",IF(ISBLANK($O9),AN9,IF($J9="ANUAL",AN9*(1+Macroindicadores!K$7),IF(AND($I9="NOVO",MONTH($O9)=MONTH(BB$4)),AN9*(1+Macroindicadores!K$7),IF(AND($J9="PONTUAL",MONTH($O9)=MONTH(BB$4)),AN9*(1+Macroindicadores!K$7),IF(AND($J9="PONTUAL",MONTH($O9)&lt;MONTH(BB$4)),MIN($AS9:BA9),IF(AND($I9="NOVO",MONTH($O9)&gt;MONTH(BB$4)),AN9,IF(MONTH($O9)&gt;MONTH(BB$4),AN9,IF(MONTH($O9)=MONTH(BB$4),AN9*(1+Macroindicadores!K$7),BA9)))))))))</f>
        <v/>
      </c>
      <c r="BC9" s="117" t="str">
        <f>IF(ISBLANK(AA9),"",IF(ISBLANK($O9),AO9,IF($J9="ANUAL",AO9*(1+Macroindicadores!L$7),IF(AND($I9="NOVO",MONTH($O9)=MONTH(BC$4)),AO9*(1+Macroindicadores!L$7),IF(AND($J9="PONTUAL",MONTH($O9)=MONTH(BC$4)),AO9*(1+Macroindicadores!L$7),IF(AND($J9="PONTUAL",MONTH($O9)&lt;MONTH(BC$4)),MIN($AS9:BB9),IF(AND($I9="NOVO",MONTH($O9)&gt;MONTH(BC$4)),AO9,IF(MONTH($O9)&gt;MONTH(BC$4),AO9,IF(MONTH($O9)=MONTH(BC$4),AO9*(1+Macroindicadores!L$7),BB9)))))))))</f>
        <v/>
      </c>
      <c r="BD9" s="117" t="str">
        <f>IF(ISBLANK(AB9),"",IF(ISBLANK($O9),AP9,IF($J9="ANUAL",AP9*(1+Macroindicadores!M$7),IF(AND($I9="NOVO",MONTH($O9)=MONTH(BD$4)),AP9*(1+Macroindicadores!M$7),IF(AND($J9="PONTUAL",MONTH($O9)=MONTH(BD$4)),AP9*(1+Macroindicadores!M$7),IF(AND($J9="PONTUAL",MONTH($O9)&lt;MONTH(BD$4)),MIN($AS9:BC9),IF(AND($I9="NOVO",MONTH($O9)&gt;MONTH(BD$4)),AP9,IF(MONTH($O9)&gt;MONTH(BD$4),AP9,IF(MONTH($O9)=MONTH(BD$4),AP9*(1+Macroindicadores!M$7),BC9)))))))))</f>
        <v/>
      </c>
      <c r="BE9" s="118">
        <f t="shared" si="36"/>
        <v>105</v>
      </c>
      <c r="BF9" s="108"/>
      <c r="BG9" s="117">
        <f>IF(ISBLANK(Q9),"",AS9/Macroindicadores!B$2)</f>
        <v>5.9523809523809526</v>
      </c>
      <c r="BH9" s="117">
        <f>IF(ISBLANK(R9),"",AT9/Macroindicadores!C$2)</f>
        <v>5.9523809523809526</v>
      </c>
      <c r="BI9" s="117">
        <f>IF(ISBLANK(S9),"",AU9/Macroindicadores!D$2)</f>
        <v>5.9523809523809526</v>
      </c>
      <c r="BJ9" s="117" t="str">
        <f>IF(ISBLANK(T9),"",AV9/Macroindicadores!E$2)</f>
        <v/>
      </c>
      <c r="BK9" s="117" t="str">
        <f>IF(ISBLANK(U9),"",AW9/Macroindicadores!F$2)</f>
        <v/>
      </c>
      <c r="BL9" s="117" t="str">
        <f>IF(ISBLANK(V9),"",AX9/Macroindicadores!G$2)</f>
        <v/>
      </c>
      <c r="BM9" s="117" t="str">
        <f>IF(ISBLANK(W9),"",AY9/Macroindicadores!H$2)</f>
        <v/>
      </c>
      <c r="BN9" s="117" t="str">
        <f>IF(ISBLANK(X9),"",AZ9/Macroindicadores!I$2)</f>
        <v/>
      </c>
      <c r="BO9" s="117" t="str">
        <f>IF(ISBLANK(Y9),"",BA9/Macroindicadores!J$2)</f>
        <v/>
      </c>
      <c r="BP9" s="117" t="str">
        <f>IF(ISBLANK(Z9),"",BB9/Macroindicadores!K$2)</f>
        <v/>
      </c>
      <c r="BQ9" s="117" t="str">
        <f>IF(ISBLANK(AA9),"",BC9/Macroindicadores!L$2)</f>
        <v/>
      </c>
      <c r="BR9" s="117" t="str">
        <f>IF(ISBLANK(AB9),"",BD9/Macroindicadores!M$2)</f>
        <v/>
      </c>
      <c r="BS9" s="118">
        <f>IF(AND(ISBLANK($Q9),ISBLANK($R9),ISBLANK($S9),ISBLANK($T9),ISBLANK($U9),ISBLANK($V9),ISBLANK($W9),ISBLANK($X9),ISBLANK($Y9),ISBLANK($Z9),ISBLANK($AA9),ISBLANK($AB9)),"",SUM(BG9:BR9))</f>
        <v>17.857142857142858</v>
      </c>
      <c r="BT9" s="25" t="str">
        <f>IF(ISBLANK($L9),"",_xlfn.XLOOKUP($L9,'CENTRO CUSTO'!$A:$A,'CENTRO CUSTO'!$E:$E,FALSE,0))</f>
        <v>G&amp;A BU</v>
      </c>
    </row>
    <row r="10" spans="1:74">
      <c r="A10" s="9" t="str">
        <f t="shared" si="40"/>
        <v>Budget</v>
      </c>
      <c r="B10" s="9">
        <f t="shared" si="31"/>
        <v>2026</v>
      </c>
      <c r="C10" s="111" t="str">
        <f>IF(ISBLANK($L10),"",_xlfn.XLOOKUP($L10,'CENTRO CUSTO'!$A:$A,'CENTRO CUSTO'!F:F,FALSE,0))</f>
        <v>Transporte</v>
      </c>
      <c r="D10" s="111" t="str">
        <f>IF(ISBLANK($L10),"",_xlfn.XLOOKUP($L10,'CENTRO CUSTO'!$A:$A,'CENTRO CUSTO'!G:G,FALSE,0))</f>
        <v>BU-TR</v>
      </c>
      <c r="E10" s="111" t="str">
        <f>IF(ISBLANK($L10),"",_xlfn.XLOOKUP($L10,'CENTRO CUSTO'!$A:$A,'CENTRO CUSTO'!H:H,FALSE,0))</f>
        <v>G&amp;A</v>
      </c>
      <c r="F10" s="112" t="s">
        <v>92</v>
      </c>
      <c r="G10" s="112" t="s">
        <v>75</v>
      </c>
      <c r="H10" s="112" t="s">
        <v>93</v>
      </c>
      <c r="I10" s="113" t="s">
        <v>84</v>
      </c>
      <c r="J10" s="113" t="s">
        <v>78</v>
      </c>
      <c r="K10" s="113" t="s">
        <v>94</v>
      </c>
      <c r="L10" s="113" t="s">
        <v>38</v>
      </c>
      <c r="M10" s="111" t="str">
        <f>IF(ISBLANK($L10),"",_xlfn.XLOOKUP($L10,'CENTRO CUSTO'!$A:$A,'CENTRO CUSTO'!D:D,FALSE,0))</f>
        <v>Alexandre Ayabe</v>
      </c>
      <c r="N10" s="113" t="s">
        <v>80</v>
      </c>
      <c r="O10" s="114"/>
      <c r="P10" s="113" t="s">
        <v>88</v>
      </c>
      <c r="Q10" s="115">
        <f>140276*Rateio!$E$33/12</f>
        <v>2104.14</v>
      </c>
      <c r="R10" s="115">
        <f>140276*Rateio!$E$33/12</f>
        <v>2104.14</v>
      </c>
      <c r="S10" s="115">
        <f>140276*Rateio!$E$33/12</f>
        <v>2104.14</v>
      </c>
      <c r="T10" s="115">
        <f>140276*Rateio!$E$33/12</f>
        <v>2104.14</v>
      </c>
      <c r="U10" s="115">
        <f>140276*Rateio!$E$33/12</f>
        <v>2104.14</v>
      </c>
      <c r="V10" s="115">
        <f>140276*Rateio!$E$33/12</f>
        <v>2104.14</v>
      </c>
      <c r="W10" s="115">
        <f>140276*Rateio!$E$33/12</f>
        <v>2104.14</v>
      </c>
      <c r="X10" s="115">
        <f>140276*Rateio!$E$33/12</f>
        <v>2104.14</v>
      </c>
      <c r="Y10" s="115">
        <f>140276*Rateio!$E$33/12</f>
        <v>2104.14</v>
      </c>
      <c r="Z10" s="115">
        <f>140276*Rateio!$E$33/12</f>
        <v>2104.14</v>
      </c>
      <c r="AA10" s="115">
        <f>140276*Rateio!$E$33/12</f>
        <v>2104.14</v>
      </c>
      <c r="AB10" s="115">
        <f>140276*Rateio!$E$33/12</f>
        <v>2104.14</v>
      </c>
      <c r="AC10" s="116">
        <f>IF(AND(ISBLANK($Q10),ISBLANK($R10),ISBLANK($S10),ISBLANK($T10),ISBLANK($U10),ISBLANK($V10),ISBLANK($W10),ISBLANK($X10),ISBLANK($Y10),ISBLANK($Z10),ISBLANK($AA10),ISBLANK($AB10)),"",SUM(Q10:AB10))</f>
        <v>25249.679999999997</v>
      </c>
      <c r="AD10" s="108"/>
      <c r="AE10" s="117">
        <f>IF(ISBLANK(Q10),"",IF($P10="BRL",Q10,Q10*Macroindicadores!B$2)/1000)</f>
        <v>12.3723432</v>
      </c>
      <c r="AF10" s="117">
        <f>IF(ISBLANK(R10),"",IF($P10="BRL",R10,R10*Macroindicadores!C$2)/1000)</f>
        <v>12.3723432</v>
      </c>
      <c r="AG10" s="117">
        <f>IF(ISBLANK(S10),"",IF($P10="BRL",S10,S10*Macroindicadores!D$2)/1000)</f>
        <v>12.3723432</v>
      </c>
      <c r="AH10" s="117">
        <f>IF(ISBLANK(T10),"",IF($P10="BRL",T10,T10*Macroindicadores!E$2)/1000)</f>
        <v>12.3723432</v>
      </c>
      <c r="AI10" s="117">
        <f>IF(ISBLANK(U10),"",IF($P10="BRL",U10,U10*Macroindicadores!F$2)/1000)</f>
        <v>12.3723432</v>
      </c>
      <c r="AJ10" s="117">
        <f>IF(ISBLANK(V10),"",IF($P10="BRL",V10,V10*Macroindicadores!G$2)/1000)</f>
        <v>12.3723432</v>
      </c>
      <c r="AK10" s="117">
        <f>IF(ISBLANK(W10),"",IF($P10="BRL",W10,W10*Macroindicadores!H$2)/1000)</f>
        <v>12.3723432</v>
      </c>
      <c r="AL10" s="117">
        <f>IF(ISBLANK(X10),"",IF($P10="BRL",X10,X10*Macroindicadores!I$2)/1000)</f>
        <v>12.3723432</v>
      </c>
      <c r="AM10" s="117">
        <f>IF(ISBLANK(Y10),"",IF($P10="BRL",Y10,Y10*Macroindicadores!J$2)/1000)</f>
        <v>12.3723432</v>
      </c>
      <c r="AN10" s="117">
        <f>IF(ISBLANK(Z10),"",IF($P10="BRL",Z10,Z10*Macroindicadores!K$2)/1000)</f>
        <v>12.3723432</v>
      </c>
      <c r="AO10" s="117">
        <f>IF(ISBLANK(AA10),"",IF($P10="BRL",AA10,AA10*Macroindicadores!L$2)/1000)</f>
        <v>12.3723432</v>
      </c>
      <c r="AP10" s="117">
        <f>IF(ISBLANK(AB10),"",IF($P10="BRL",AB10,AB10*Macroindicadores!M$2)/1000)</f>
        <v>12.3723432</v>
      </c>
      <c r="AQ10" s="118">
        <f t="shared" si="35"/>
        <v>148.46811840000001</v>
      </c>
      <c r="AR10" s="108"/>
      <c r="AS10" s="117">
        <f>IF(ISBLANK(Q10),"",IF(ISBLANK($O10),AE10,IF($J10="ANUAL",AE10*(1+Macroindicadores!B$7),IF(AND($I10="NOVO",MONTH($O10)=MONTH(AS$4)),AE10*(1+Macroindicadores!B$7),IF(AND($J10="PONTUAL",MONTH($O10)=MONTH(AS$4)),AE10*(1+Macroindicadores!B$7),IF(AND($J10="PONTUAL",MONTH($O10)&lt;MONTH(AS$4)),MIN(AR10:$AS10),IF(AND($I10="NOVO",MONTH($O10)&gt;MONTH(AS$4)),AE10,IF(MONTH($O10)&gt;MONTH(AS$4),AE10,IF(MONTH($O10)=MONTH(AS$4),AE10*(1+Macroindicadores!B$7),AR10)))))))))</f>
        <v>12.3723432</v>
      </c>
      <c r="AT10" s="117">
        <f>IF(ISBLANK(R10),"",IF(ISBLANK($O10),AF10,IF($J10="ANUAL",AF10*(1+Macroindicadores!C$7),IF(AND($I10="NOVO",MONTH($O10)=MONTH(AT$4)),AF10*(1+Macroindicadores!C$7),IF(AND($J10="PONTUAL",MONTH($O10)=MONTH(AT$4)),AF10*(1+Macroindicadores!C$7),IF(AND($J10="PONTUAL",MONTH($O10)&lt;MONTH(AT$4)),MIN($AS10:AS10),IF(AND($I10="NOVO",MONTH($O10)&gt;MONTH(AT$4)),AF10,IF(MONTH($O10)&gt;MONTH(AT$4),AF10,IF(MONTH($O10)=MONTH(AT$4),AF10*(1+Macroindicadores!C$7),AS10)))))))))</f>
        <v>12.3723432</v>
      </c>
      <c r="AU10" s="117">
        <f>IF(ISBLANK(S10),"",IF(ISBLANK($O10),AG10,IF($J10="ANUAL",AG10*(1+Macroindicadores!D$7),IF(AND($I10="NOVO",MONTH($O10)=MONTH(AU$4)),AG10*(1+Macroindicadores!D$7),IF(AND($J10="PONTUAL",MONTH($O10)=MONTH(AU$4)),AG10*(1+Macroindicadores!D$7),IF(AND($J10="PONTUAL",MONTH($O10)&lt;MONTH(AU$4)),MIN($AS10:AT10),IF(AND($I10="NOVO",MONTH($O10)&gt;MONTH(AU$4)),AG10,IF(MONTH($O10)&gt;MONTH(AU$4),AG10,IF(MONTH($O10)=MONTH(AU$4),AG10*(1+Macroindicadores!D$7),AT10)))))))))</f>
        <v>12.3723432</v>
      </c>
      <c r="AV10" s="117">
        <f>IF(ISBLANK(T10),"",IF(ISBLANK($O10),AH10,IF($J10="ANUAL",AH10*(1+Macroindicadores!E$7),IF(AND($I10="NOVO",MONTH($O10)=MONTH(AV$4)),AH10*(1+Macroindicadores!E$7),IF(AND($J10="PONTUAL",MONTH($O10)=MONTH(AV$4)),AH10*(1+Macroindicadores!E$7),IF(AND($J10="PONTUAL",MONTH($O10)&lt;MONTH(AV$4)),MIN($AS10:AU10),IF(AND($I10="NOVO",MONTH($O10)&gt;MONTH(AV$4)),AH10,IF(MONTH($O10)&gt;MONTH(AV$4),AH10,IF(MONTH($O10)=MONTH(AV$4),AH10*(1+Macroindicadores!E$7),AU10)))))))))</f>
        <v>12.3723432</v>
      </c>
      <c r="AW10" s="117">
        <f>IF(ISBLANK(U10),"",IF(ISBLANK($O10),AI10,IF($J10="ANUAL",AI10*(1+Macroindicadores!F$7),IF(AND($I10="NOVO",MONTH($O10)=MONTH(AW$4)),AI10*(1+Macroindicadores!F$7),IF(AND($J10="PONTUAL",MONTH($O10)=MONTH(AW$4)),AI10*(1+Macroindicadores!F$7),IF(AND($J10="PONTUAL",MONTH($O10)&lt;MONTH(AW$4)),MIN($AS10:AV10),IF(AND($I10="NOVO",MONTH($O10)&gt;MONTH(AW$4)),AI10,IF(MONTH($O10)&gt;MONTH(AW$4),AI10,IF(MONTH($O10)=MONTH(AW$4),AI10*(1+Macroindicadores!F$7),AV10)))))))))</f>
        <v>12.3723432</v>
      </c>
      <c r="AX10" s="117">
        <f>IF(ISBLANK(V10),"",IF(ISBLANK($O10),AJ10,IF($J10="ANUAL",AJ10*(1+Macroindicadores!G$7),IF(AND($I10="NOVO",MONTH($O10)=MONTH(AX$4)),AJ10*(1+Macroindicadores!G$7),IF(AND($J10="PONTUAL",MONTH($O10)=MONTH(AX$4)),AJ10*(1+Macroindicadores!G$7),IF(AND($J10="PONTUAL",MONTH($O10)&lt;MONTH(AX$4)),MIN($AS10:AW10),IF(AND($I10="NOVO",MONTH($O10)&gt;MONTH(AX$4)),AJ10,IF(MONTH($O10)&gt;MONTH(AX$4),AJ10,IF(MONTH($O10)=MONTH(AX$4),AJ10*(1+Macroindicadores!G$7),AW10)))))))))</f>
        <v>12.3723432</v>
      </c>
      <c r="AY10" s="117">
        <f>IF(ISBLANK(W10),"",IF(ISBLANK($O10),AK10,IF($J10="ANUAL",AK10*(1+Macroindicadores!H$7),IF(AND($I10="NOVO",MONTH($O10)=MONTH(AY$4)),AK10*(1+Macroindicadores!H$7),IF(AND($J10="PONTUAL",MONTH($O10)=MONTH(AY$4)),AK10*(1+Macroindicadores!H$7),IF(AND($J10="PONTUAL",MONTH($O10)&lt;MONTH(AY$4)),MIN($AS10:AX10),IF(AND($I10="NOVO",MONTH($O10)&gt;MONTH(AY$4)),AK10,IF(MONTH($O10)&gt;MONTH(AY$4),AK10,IF(MONTH($O10)=MONTH(AY$4),AK10*(1+Macroindicadores!H$7),AX10)))))))))</f>
        <v>12.3723432</v>
      </c>
      <c r="AZ10" s="117">
        <f>IF(ISBLANK(X10),"",IF(ISBLANK($O10),AL10,IF($J10="ANUAL",AL10*(1+Macroindicadores!I$7),IF(AND($I10="NOVO",MONTH($O10)=MONTH(AZ$4)),AL10*(1+Macroindicadores!I$7),IF(AND($J10="PONTUAL",MONTH($O10)=MONTH(AZ$4)),AL10*(1+Macroindicadores!I$7),IF(AND($J10="PONTUAL",MONTH($O10)&lt;MONTH(AZ$4)),MIN($AS10:AY10),IF(AND($I10="NOVO",MONTH($O10)&gt;MONTH(AZ$4)),AL10,IF(MONTH($O10)&gt;MONTH(AZ$4),AL10,IF(MONTH($O10)=MONTH(AZ$4),AL10*(1+Macroindicadores!I$7),AY10)))))))))</f>
        <v>12.3723432</v>
      </c>
      <c r="BA10" s="117">
        <f>IF(ISBLANK(Y10),"",IF(ISBLANK($O10),AM10,IF($J10="ANUAL",AM10*(1+Macroindicadores!J$7),IF(AND($I10="NOVO",MONTH($O10)=MONTH(BA$4)),AM10*(1+Macroindicadores!J$7),IF(AND($J10="PONTUAL",MONTH($O10)=MONTH(BA$4)),AM10*(1+Macroindicadores!J$7),IF(AND($J10="PONTUAL",MONTH($O10)&lt;MONTH(BA$4)),MIN($AS10:AZ10),IF(AND($I10="NOVO",MONTH($O10)&gt;MONTH(BA$4)),AM10,IF(MONTH($O10)&gt;MONTH(BA$4),AM10,IF(MONTH($O10)=MONTH(BA$4),AM10*(1+Macroindicadores!J$7),AZ10)))))))))</f>
        <v>12.3723432</v>
      </c>
      <c r="BB10" s="117">
        <f>IF(ISBLANK(Z10),"",IF(ISBLANK($O10),AN10,IF($J10="ANUAL",AN10*(1+Macroindicadores!K$7),IF(AND($I10="NOVO",MONTH($O10)=MONTH(BB$4)),AN10*(1+Macroindicadores!K$7),IF(AND($J10="PONTUAL",MONTH($O10)=MONTH(BB$4)),AN10*(1+Macroindicadores!K$7),IF(AND($J10="PONTUAL",MONTH($O10)&lt;MONTH(BB$4)),MIN($AS10:BA10),IF(AND($I10="NOVO",MONTH($O10)&gt;MONTH(BB$4)),AN10,IF(MONTH($O10)&gt;MONTH(BB$4),AN10,IF(MONTH($O10)=MONTH(BB$4),AN10*(1+Macroindicadores!K$7),BA10)))))))))</f>
        <v>12.3723432</v>
      </c>
      <c r="BC10" s="117">
        <f>IF(ISBLANK(AA10),"",IF(ISBLANK($O10),AO10,IF($J10="ANUAL",AO10*(1+Macroindicadores!L$7),IF(AND($I10="NOVO",MONTH($O10)=MONTH(BC$4)),AO10*(1+Macroindicadores!L$7),IF(AND($J10="PONTUAL",MONTH($O10)=MONTH(BC$4)),AO10*(1+Macroindicadores!L$7),IF(AND($J10="PONTUAL",MONTH($O10)&lt;MONTH(BC$4)),MIN($AS10:BB10),IF(AND($I10="NOVO",MONTH($O10)&gt;MONTH(BC$4)),AO10,IF(MONTH($O10)&gt;MONTH(BC$4),AO10,IF(MONTH($O10)=MONTH(BC$4),AO10*(1+Macroindicadores!L$7),BB10)))))))))</f>
        <v>12.3723432</v>
      </c>
      <c r="BD10" s="117">
        <f>IF(ISBLANK(AB10),"",IF(ISBLANK($O10),AP10,IF($J10="ANUAL",AP10*(1+Macroindicadores!M$7),IF(AND($I10="NOVO",MONTH($O10)=MONTH(BD$4)),AP10*(1+Macroindicadores!M$7),IF(AND($J10="PONTUAL",MONTH($O10)=MONTH(BD$4)),AP10*(1+Macroindicadores!M$7),IF(AND($J10="PONTUAL",MONTH($O10)&lt;MONTH(BD$4)),MIN($AS10:BC10),IF(AND($I10="NOVO",MONTH($O10)&gt;MONTH(BD$4)),AP10,IF(MONTH($O10)&gt;MONTH(BD$4),AP10,IF(MONTH($O10)=MONTH(BD$4),AP10*(1+Macroindicadores!M$7),BC10)))))))))</f>
        <v>12.3723432</v>
      </c>
      <c r="BE10" s="118">
        <f t="shared" si="36"/>
        <v>148.46811840000001</v>
      </c>
      <c r="BF10" s="108"/>
      <c r="BG10" s="117">
        <f>IF(ISBLANK(Q10),"",AS10/Macroindicadores!B$2)</f>
        <v>2.1041400000000001</v>
      </c>
      <c r="BH10" s="117">
        <f>IF(ISBLANK(R10),"",AT10/Macroindicadores!C$2)</f>
        <v>2.1041400000000001</v>
      </c>
      <c r="BI10" s="117">
        <f>IF(ISBLANK(S10),"",AU10/Macroindicadores!D$2)</f>
        <v>2.1041400000000001</v>
      </c>
      <c r="BJ10" s="117">
        <f>IF(ISBLANK(T10),"",AV10/Macroindicadores!E$2)</f>
        <v>2.1041400000000001</v>
      </c>
      <c r="BK10" s="117">
        <f>IF(ISBLANK(U10),"",AW10/Macroindicadores!F$2)</f>
        <v>2.1041400000000001</v>
      </c>
      <c r="BL10" s="117">
        <f>IF(ISBLANK(V10),"",AX10/Macroindicadores!G$2)</f>
        <v>2.1041400000000001</v>
      </c>
      <c r="BM10" s="117">
        <f>IF(ISBLANK(W10),"",AY10/Macroindicadores!H$2)</f>
        <v>2.1041400000000001</v>
      </c>
      <c r="BN10" s="117">
        <f>IF(ISBLANK(X10),"",AZ10/Macroindicadores!I$2)</f>
        <v>2.1041400000000001</v>
      </c>
      <c r="BO10" s="117">
        <f>IF(ISBLANK(Y10),"",BA10/Macroindicadores!J$2)</f>
        <v>2.1041400000000001</v>
      </c>
      <c r="BP10" s="117">
        <f>IF(ISBLANK(Z10),"",BB10/Macroindicadores!K$2)</f>
        <v>2.1041400000000001</v>
      </c>
      <c r="BQ10" s="117">
        <f>IF(ISBLANK(AA10),"",BC10/Macroindicadores!L$2)</f>
        <v>2.1041400000000001</v>
      </c>
      <c r="BR10" s="117">
        <f>IF(ISBLANK(AB10),"",BD10/Macroindicadores!M$2)</f>
        <v>2.1041400000000001</v>
      </c>
      <c r="BS10" s="118">
        <f>IF(AND(ISBLANK($Q10),ISBLANK($R10),ISBLANK($S10),ISBLANK($T10),ISBLANK($U10),ISBLANK($V10),ISBLANK($W10),ISBLANK($X10),ISBLANK($Y10),ISBLANK($Z10),ISBLANK($AA10),ISBLANK($AB10)),"",SUM(BG10:BR10))</f>
        <v>25.249680000000009</v>
      </c>
      <c r="BT10" s="25" t="str">
        <f>IF(ISBLANK($L10),"",_xlfn.XLOOKUP($L10,'CENTRO CUSTO'!$A:$A,'CENTRO CUSTO'!$E:$E,FALSE,0))</f>
        <v>G&amp;A BU</v>
      </c>
    </row>
    <row r="11" spans="1:74">
      <c r="A11" s="9" t="str">
        <f t="shared" si="40"/>
        <v>Budget</v>
      </c>
      <c r="B11" s="9">
        <f t="shared" si="31"/>
        <v>2026</v>
      </c>
      <c r="C11" s="111" t="str">
        <f>IF(ISBLANK($L11),"",_xlfn.XLOOKUP($L11,'CENTRO CUSTO'!$A:$A,'CENTRO CUSTO'!F:F,FALSE,0))</f>
        <v>Martini Meat</v>
      </c>
      <c r="D11" s="111" t="str">
        <f>IF(ISBLANK($L11),"",_xlfn.XLOOKUP($L11,'CENTRO CUSTO'!$A:$A,'CENTRO CUSTO'!G:G,FALSE,0))</f>
        <v>BU-MMAZ</v>
      </c>
      <c r="E11" s="111" t="str">
        <f>IF(ISBLANK($L11),"",_xlfn.XLOOKUP($L11,'CENTRO CUSTO'!$A:$A,'CENTRO CUSTO'!H:H,FALSE,0))</f>
        <v>G&amp;A</v>
      </c>
      <c r="F11" s="112" t="s">
        <v>92</v>
      </c>
      <c r="G11" s="112" t="s">
        <v>75</v>
      </c>
      <c r="H11" s="112" t="s">
        <v>93</v>
      </c>
      <c r="I11" s="113" t="s">
        <v>84</v>
      </c>
      <c r="J11" s="113" t="s">
        <v>78</v>
      </c>
      <c r="K11" s="113" t="s">
        <v>79</v>
      </c>
      <c r="L11" s="113" t="s">
        <v>35</v>
      </c>
      <c r="M11" s="111" t="str">
        <f>IF(ISBLANK($L11),"",_xlfn.XLOOKUP($L11,'CENTRO CUSTO'!$A:$A,'CENTRO CUSTO'!D:D,FALSE,0))</f>
        <v>Alexandre Ayabe</v>
      </c>
      <c r="N11" s="113" t="s">
        <v>80</v>
      </c>
      <c r="O11" s="114"/>
      <c r="P11" s="113" t="s">
        <v>88</v>
      </c>
      <c r="Q11" s="115">
        <f>140276*Rateio!$E$34/12</f>
        <v>5611.04</v>
      </c>
      <c r="R11" s="115">
        <f>140276*Rateio!$E$34/12</f>
        <v>5611.04</v>
      </c>
      <c r="S11" s="115">
        <f>140276*Rateio!$E$34/12</f>
        <v>5611.04</v>
      </c>
      <c r="T11" s="115">
        <f>140276*Rateio!$E$34/12</f>
        <v>5611.04</v>
      </c>
      <c r="U11" s="115">
        <f>140276*Rateio!$E$34/12</f>
        <v>5611.04</v>
      </c>
      <c r="V11" s="115">
        <f>140276*Rateio!$E$34/12</f>
        <v>5611.04</v>
      </c>
      <c r="W11" s="115">
        <f>140276*Rateio!$E$34/12</f>
        <v>5611.04</v>
      </c>
      <c r="X11" s="115">
        <f>140276*Rateio!$E$34/12</f>
        <v>5611.04</v>
      </c>
      <c r="Y11" s="115">
        <f>140276*Rateio!$E$34/12</f>
        <v>5611.04</v>
      </c>
      <c r="Z11" s="115">
        <f>140276*Rateio!$E$34/12</f>
        <v>5611.04</v>
      </c>
      <c r="AA11" s="115">
        <f>140276*Rateio!$E$34/12</f>
        <v>5611.04</v>
      </c>
      <c r="AB11" s="115">
        <f>140276*Rateio!$E$34/12</f>
        <v>5611.04</v>
      </c>
      <c r="AC11" s="116">
        <f>IF(AND(ISBLANK($Q11),ISBLANK($R11),ISBLANK($S11),ISBLANK($T11),ISBLANK($U11),ISBLANK($V11),ISBLANK($W11),ISBLANK($X11),ISBLANK($Y11),ISBLANK($Z11),ISBLANK($AA11),ISBLANK($AB11)),"",SUM(Q11:AB11))</f>
        <v>67332.479999999996</v>
      </c>
      <c r="AD11" s="108"/>
      <c r="AE11" s="117">
        <f>IF(ISBLANK(Q11),"",IF($P11="BRL",Q11,Q11*Macroindicadores!B$2)/1000)</f>
        <v>32.992915199999999</v>
      </c>
      <c r="AF11" s="117">
        <f>IF(ISBLANK(R11),"",IF($P11="BRL",R11,R11*Macroindicadores!C$2)/1000)</f>
        <v>32.992915199999999</v>
      </c>
      <c r="AG11" s="117">
        <f>IF(ISBLANK(S11),"",IF($P11="BRL",S11,S11*Macroindicadores!D$2)/1000)</f>
        <v>32.992915199999999</v>
      </c>
      <c r="AH11" s="117">
        <f>IF(ISBLANK(T11),"",IF($P11="BRL",T11,T11*Macroindicadores!E$2)/1000)</f>
        <v>32.992915199999999</v>
      </c>
      <c r="AI11" s="117">
        <f>IF(ISBLANK(U11),"",IF($P11="BRL",U11,U11*Macroindicadores!F$2)/1000)</f>
        <v>32.992915199999999</v>
      </c>
      <c r="AJ11" s="117">
        <f>IF(ISBLANK(V11),"",IF($P11="BRL",V11,V11*Macroindicadores!G$2)/1000)</f>
        <v>32.992915199999999</v>
      </c>
      <c r="AK11" s="117">
        <f>IF(ISBLANK(W11),"",IF($P11="BRL",W11,W11*Macroindicadores!H$2)/1000)</f>
        <v>32.992915199999999</v>
      </c>
      <c r="AL11" s="117">
        <f>IF(ISBLANK(X11),"",IF($P11="BRL",X11,X11*Macroindicadores!I$2)/1000)</f>
        <v>32.992915199999999</v>
      </c>
      <c r="AM11" s="117">
        <f>IF(ISBLANK(Y11),"",IF($P11="BRL",Y11,Y11*Macroindicadores!J$2)/1000)</f>
        <v>32.992915199999999</v>
      </c>
      <c r="AN11" s="117">
        <f>IF(ISBLANK(Z11),"",IF($P11="BRL",Z11,Z11*Macroindicadores!K$2)/1000)</f>
        <v>32.992915199999999</v>
      </c>
      <c r="AO11" s="117">
        <f>IF(ISBLANK(AA11),"",IF($P11="BRL",AA11,AA11*Macroindicadores!L$2)/1000)</f>
        <v>32.992915199999999</v>
      </c>
      <c r="AP11" s="117">
        <f>IF(ISBLANK(AB11),"",IF($P11="BRL",AB11,AB11*Macroindicadores!M$2)/1000)</f>
        <v>32.992915199999999</v>
      </c>
      <c r="AQ11" s="118">
        <f t="shared" si="35"/>
        <v>395.91498239999987</v>
      </c>
      <c r="AR11" s="108"/>
      <c r="AS11" s="117">
        <f>IF(ISBLANK(Q11),"",IF(ISBLANK($O11),AE11,IF($J11="ANUAL",AE11*(1+Macroindicadores!B$7),IF(AND($I11="NOVO",MONTH($O11)=MONTH(AS$4)),AE11*(1+Macroindicadores!B$7),IF(AND($J11="PONTUAL",MONTH($O11)=MONTH(AS$4)),AE11*(1+Macroindicadores!B$7),IF(AND($J11="PONTUAL",MONTH($O11)&lt;MONTH(AS$4)),MIN(AR11:$AS11),IF(AND($I11="NOVO",MONTH($O11)&gt;MONTH(AS$4)),AE11,IF(MONTH($O11)&gt;MONTH(AS$4),AE11,IF(MONTH($O11)=MONTH(AS$4),AE11*(1+Macroindicadores!B$7),AR11)))))))))</f>
        <v>32.992915199999999</v>
      </c>
      <c r="AT11" s="117">
        <f>IF(ISBLANK(R11),"",IF(ISBLANK($O11),AF11,IF($J11="ANUAL",AF11*(1+Macroindicadores!C$7),IF(AND($I11="NOVO",MONTH($O11)=MONTH(AT$4)),AF11*(1+Macroindicadores!C$7),IF(AND($J11="PONTUAL",MONTH($O11)=MONTH(AT$4)),AF11*(1+Macroindicadores!C$7),IF(AND($J11="PONTUAL",MONTH($O11)&lt;MONTH(AT$4)),MIN($AS11:AS11),IF(AND($I11="NOVO",MONTH($O11)&gt;MONTH(AT$4)),AF11,IF(MONTH($O11)&gt;MONTH(AT$4),AF11,IF(MONTH($O11)=MONTH(AT$4),AF11*(1+Macroindicadores!C$7),AS11)))))))))</f>
        <v>32.992915199999999</v>
      </c>
      <c r="AU11" s="117">
        <f>IF(ISBLANK(S11),"",IF(ISBLANK($O11),AG11,IF($J11="ANUAL",AG11*(1+Macroindicadores!D$7),IF(AND($I11="NOVO",MONTH($O11)=MONTH(AU$4)),AG11*(1+Macroindicadores!D$7),IF(AND($J11="PONTUAL",MONTH($O11)=MONTH(AU$4)),AG11*(1+Macroindicadores!D$7),IF(AND($J11="PONTUAL",MONTH($O11)&lt;MONTH(AU$4)),MIN($AS11:AT11),IF(AND($I11="NOVO",MONTH($O11)&gt;MONTH(AU$4)),AG11,IF(MONTH($O11)&gt;MONTH(AU$4),AG11,IF(MONTH($O11)=MONTH(AU$4),AG11*(1+Macroindicadores!D$7),AT11)))))))))</f>
        <v>32.992915199999999</v>
      </c>
      <c r="AV11" s="117">
        <f>IF(ISBLANK(T11),"",IF(ISBLANK($O11),AH11,IF($J11="ANUAL",AH11*(1+Macroindicadores!E$7),IF(AND($I11="NOVO",MONTH($O11)=MONTH(AV$4)),AH11*(1+Macroindicadores!E$7),IF(AND($J11="PONTUAL",MONTH($O11)=MONTH(AV$4)),AH11*(1+Macroindicadores!E$7),IF(AND($J11="PONTUAL",MONTH($O11)&lt;MONTH(AV$4)),MIN($AS11:AU11),IF(AND($I11="NOVO",MONTH($O11)&gt;MONTH(AV$4)),AH11,IF(MONTH($O11)&gt;MONTH(AV$4),AH11,IF(MONTH($O11)=MONTH(AV$4),AH11*(1+Macroindicadores!E$7),AU11)))))))))</f>
        <v>32.992915199999999</v>
      </c>
      <c r="AW11" s="117">
        <f>IF(ISBLANK(U11),"",IF(ISBLANK($O11),AI11,IF($J11="ANUAL",AI11*(1+Macroindicadores!F$7),IF(AND($I11="NOVO",MONTH($O11)=MONTH(AW$4)),AI11*(1+Macroindicadores!F$7),IF(AND($J11="PONTUAL",MONTH($O11)=MONTH(AW$4)),AI11*(1+Macroindicadores!F$7),IF(AND($J11="PONTUAL",MONTH($O11)&lt;MONTH(AW$4)),MIN($AS11:AV11),IF(AND($I11="NOVO",MONTH($O11)&gt;MONTH(AW$4)),AI11,IF(MONTH($O11)&gt;MONTH(AW$4),AI11,IF(MONTH($O11)=MONTH(AW$4),AI11*(1+Macroindicadores!F$7),AV11)))))))))</f>
        <v>32.992915199999999</v>
      </c>
      <c r="AX11" s="117">
        <f>IF(ISBLANK(V11),"",IF(ISBLANK($O11),AJ11,IF($J11="ANUAL",AJ11*(1+Macroindicadores!G$7),IF(AND($I11="NOVO",MONTH($O11)=MONTH(AX$4)),AJ11*(1+Macroindicadores!G$7),IF(AND($J11="PONTUAL",MONTH($O11)=MONTH(AX$4)),AJ11*(1+Macroindicadores!G$7),IF(AND($J11="PONTUAL",MONTH($O11)&lt;MONTH(AX$4)),MIN($AS11:AW11),IF(AND($I11="NOVO",MONTH($O11)&gt;MONTH(AX$4)),AJ11,IF(MONTH($O11)&gt;MONTH(AX$4),AJ11,IF(MONTH($O11)=MONTH(AX$4),AJ11*(1+Macroindicadores!G$7),AW11)))))))))</f>
        <v>32.992915199999999</v>
      </c>
      <c r="AY11" s="117">
        <f>IF(ISBLANK(W11),"",IF(ISBLANK($O11),AK11,IF($J11="ANUAL",AK11*(1+Macroindicadores!H$7),IF(AND($I11="NOVO",MONTH($O11)=MONTH(AY$4)),AK11*(1+Macroindicadores!H$7),IF(AND($J11="PONTUAL",MONTH($O11)=MONTH(AY$4)),AK11*(1+Macroindicadores!H$7),IF(AND($J11="PONTUAL",MONTH($O11)&lt;MONTH(AY$4)),MIN($AS11:AX11),IF(AND($I11="NOVO",MONTH($O11)&gt;MONTH(AY$4)),AK11,IF(MONTH($O11)&gt;MONTH(AY$4),AK11,IF(MONTH($O11)=MONTH(AY$4),AK11*(1+Macroindicadores!H$7),AX11)))))))))</f>
        <v>32.992915199999999</v>
      </c>
      <c r="AZ11" s="117">
        <f>IF(ISBLANK(X11),"",IF(ISBLANK($O11),AL11,IF($J11="ANUAL",AL11*(1+Macroindicadores!I$7),IF(AND($I11="NOVO",MONTH($O11)=MONTH(AZ$4)),AL11*(1+Macroindicadores!I$7),IF(AND($J11="PONTUAL",MONTH($O11)=MONTH(AZ$4)),AL11*(1+Macroindicadores!I$7),IF(AND($J11="PONTUAL",MONTH($O11)&lt;MONTH(AZ$4)),MIN($AS11:AY11),IF(AND($I11="NOVO",MONTH($O11)&gt;MONTH(AZ$4)),AL11,IF(MONTH($O11)&gt;MONTH(AZ$4),AL11,IF(MONTH($O11)=MONTH(AZ$4),AL11*(1+Macroindicadores!I$7),AY11)))))))))</f>
        <v>32.992915199999999</v>
      </c>
      <c r="BA11" s="117">
        <f>IF(ISBLANK(Y11),"",IF(ISBLANK($O11),AM11,IF($J11="ANUAL",AM11*(1+Macroindicadores!J$7),IF(AND($I11="NOVO",MONTH($O11)=MONTH(BA$4)),AM11*(1+Macroindicadores!J$7),IF(AND($J11="PONTUAL",MONTH($O11)=MONTH(BA$4)),AM11*(1+Macroindicadores!J$7),IF(AND($J11="PONTUAL",MONTH($O11)&lt;MONTH(BA$4)),MIN($AS11:AZ11),IF(AND($I11="NOVO",MONTH($O11)&gt;MONTH(BA$4)),AM11,IF(MONTH($O11)&gt;MONTH(BA$4),AM11,IF(MONTH($O11)=MONTH(BA$4),AM11*(1+Macroindicadores!J$7),AZ11)))))))))</f>
        <v>32.992915199999999</v>
      </c>
      <c r="BB11" s="117">
        <f>IF(ISBLANK(Z11),"",IF(ISBLANK($O11),AN11,IF($J11="ANUAL",AN11*(1+Macroindicadores!K$7),IF(AND($I11="NOVO",MONTH($O11)=MONTH(BB$4)),AN11*(1+Macroindicadores!K$7),IF(AND($J11="PONTUAL",MONTH($O11)=MONTH(BB$4)),AN11*(1+Macroindicadores!K$7),IF(AND($J11="PONTUAL",MONTH($O11)&lt;MONTH(BB$4)),MIN($AS11:BA11),IF(AND($I11="NOVO",MONTH($O11)&gt;MONTH(BB$4)),AN11,IF(MONTH($O11)&gt;MONTH(BB$4),AN11,IF(MONTH($O11)=MONTH(BB$4),AN11*(1+Macroindicadores!K$7),BA11)))))))))</f>
        <v>32.992915199999999</v>
      </c>
      <c r="BC11" s="117">
        <f>IF(ISBLANK(AA11),"",IF(ISBLANK($O11),AO11,IF($J11="ANUAL",AO11*(1+Macroindicadores!L$7),IF(AND($I11="NOVO",MONTH($O11)=MONTH(BC$4)),AO11*(1+Macroindicadores!L$7),IF(AND($J11="PONTUAL",MONTH($O11)=MONTH(BC$4)),AO11*(1+Macroindicadores!L$7),IF(AND($J11="PONTUAL",MONTH($O11)&lt;MONTH(BC$4)),MIN($AS11:BB11),IF(AND($I11="NOVO",MONTH($O11)&gt;MONTH(BC$4)),AO11,IF(MONTH($O11)&gt;MONTH(BC$4),AO11,IF(MONTH($O11)=MONTH(BC$4),AO11*(1+Macroindicadores!L$7),BB11)))))))))</f>
        <v>32.992915199999999</v>
      </c>
      <c r="BD11" s="117">
        <f>IF(ISBLANK(AB11),"",IF(ISBLANK($O11),AP11,IF($J11="ANUAL",AP11*(1+Macroindicadores!M$7),IF(AND($I11="NOVO",MONTH($O11)=MONTH(BD$4)),AP11*(1+Macroindicadores!M$7),IF(AND($J11="PONTUAL",MONTH($O11)=MONTH(BD$4)),AP11*(1+Macroindicadores!M$7),IF(AND($J11="PONTUAL",MONTH($O11)&lt;MONTH(BD$4)),MIN($AS11:BC11),IF(AND($I11="NOVO",MONTH($O11)&gt;MONTH(BD$4)),AP11,IF(MONTH($O11)&gt;MONTH(BD$4),AP11,IF(MONTH($O11)=MONTH(BD$4),AP11*(1+Macroindicadores!M$7),BC11)))))))))</f>
        <v>32.992915199999999</v>
      </c>
      <c r="BE11" s="118">
        <f t="shared" si="36"/>
        <v>395.91498239999987</v>
      </c>
      <c r="BF11" s="108"/>
      <c r="BG11" s="117">
        <f>IF(ISBLANK(Q11),"",AS11/Macroindicadores!B$2)</f>
        <v>5.61104</v>
      </c>
      <c r="BH11" s="117">
        <f>IF(ISBLANK(R11),"",AT11/Macroindicadores!C$2)</f>
        <v>5.61104</v>
      </c>
      <c r="BI11" s="117">
        <f>IF(ISBLANK(S11),"",AU11/Macroindicadores!D$2)</f>
        <v>5.61104</v>
      </c>
      <c r="BJ11" s="117">
        <f>IF(ISBLANK(T11),"",AV11/Macroindicadores!E$2)</f>
        <v>5.61104</v>
      </c>
      <c r="BK11" s="117">
        <f>IF(ISBLANK(U11),"",AW11/Macroindicadores!F$2)</f>
        <v>5.61104</v>
      </c>
      <c r="BL11" s="117">
        <f>IF(ISBLANK(V11),"",AX11/Macroindicadores!G$2)</f>
        <v>5.61104</v>
      </c>
      <c r="BM11" s="117">
        <f>IF(ISBLANK(W11),"",AY11/Macroindicadores!H$2)</f>
        <v>5.61104</v>
      </c>
      <c r="BN11" s="117">
        <f>IF(ISBLANK(X11),"",AZ11/Macroindicadores!I$2)</f>
        <v>5.61104</v>
      </c>
      <c r="BO11" s="117">
        <f>IF(ISBLANK(Y11),"",BA11/Macroindicadores!J$2)</f>
        <v>5.61104</v>
      </c>
      <c r="BP11" s="117">
        <f>IF(ISBLANK(Z11),"",BB11/Macroindicadores!K$2)</f>
        <v>5.61104</v>
      </c>
      <c r="BQ11" s="117">
        <f>IF(ISBLANK(AA11),"",BC11/Macroindicadores!L$2)</f>
        <v>5.61104</v>
      </c>
      <c r="BR11" s="117">
        <f>IF(ISBLANK(AB11),"",BD11/Macroindicadores!M$2)</f>
        <v>5.61104</v>
      </c>
      <c r="BS11" s="118">
        <f>IF(AND(ISBLANK($Q11),ISBLANK($R11),ISBLANK($S11),ISBLANK($T11),ISBLANK($U11),ISBLANK($V11),ISBLANK($W11),ISBLANK($X11),ISBLANK($Y11),ISBLANK($Z11),ISBLANK($AA11),ISBLANK($AB11)),"",SUM(BG11:BR11))</f>
        <v>67.332480000000018</v>
      </c>
      <c r="BT11" s="25" t="str">
        <f>IF(ISBLANK($L11),"",_xlfn.XLOOKUP($L11,'CENTRO CUSTO'!$A:$A,'CENTRO CUSTO'!$E:$E,FALSE,0))</f>
        <v>G&amp;A BU</v>
      </c>
    </row>
    <row r="12" spans="1:74">
      <c r="A12" s="9" t="str">
        <f t="shared" si="40"/>
        <v>Budget</v>
      </c>
      <c r="B12" s="9">
        <f t="shared" si="31"/>
        <v>2026</v>
      </c>
      <c r="C12" s="111" t="str">
        <f>IF(ISBLANK($L12),"",_xlfn.XLOOKUP($L12,'CENTRO CUSTO'!$A:$A,'CENTRO CUSTO'!F:F,FALSE,0))</f>
        <v>MRV</v>
      </c>
      <c r="D12" s="111" t="str">
        <f>IF(ISBLANK($L12),"",_xlfn.XLOOKUP($L12,'CENTRO CUSTO'!$A:$A,'CENTRO CUSTO'!G:G,FALSE,0))</f>
        <v>BU-MRV</v>
      </c>
      <c r="E12" s="111" t="str">
        <f>IF(ISBLANK($L12),"",_xlfn.XLOOKUP($L12,'CENTRO CUSTO'!$A:$A,'CENTRO CUSTO'!H:H,FALSE,0))</f>
        <v>G&amp;A</v>
      </c>
      <c r="F12" s="112" t="s">
        <v>92</v>
      </c>
      <c r="G12" s="112" t="s">
        <v>75</v>
      </c>
      <c r="H12" s="112" t="s">
        <v>93</v>
      </c>
      <c r="I12" s="113" t="s">
        <v>84</v>
      </c>
      <c r="J12" s="113" t="s">
        <v>78</v>
      </c>
      <c r="K12" s="113" t="s">
        <v>79</v>
      </c>
      <c r="L12" s="113" t="s">
        <v>45</v>
      </c>
      <c r="M12" s="111" t="str">
        <f>IF(ISBLANK($L12),"",_xlfn.XLOOKUP($L12,'CENTRO CUSTO'!$A:$A,'CENTRO CUSTO'!D:D,FALSE,0))</f>
        <v>Alexandre Ayabe</v>
      </c>
      <c r="N12" s="113" t="s">
        <v>80</v>
      </c>
      <c r="O12" s="114"/>
      <c r="P12" s="113" t="s">
        <v>88</v>
      </c>
      <c r="Q12" s="115">
        <f>140276*Rateio!$E$50/12</f>
        <v>584.48333333333335</v>
      </c>
      <c r="R12" s="115">
        <f>140276*Rateio!$E$50/12</f>
        <v>584.48333333333335</v>
      </c>
      <c r="S12" s="115">
        <f>140276*Rateio!$E$50/12</f>
        <v>584.48333333333335</v>
      </c>
      <c r="T12" s="115">
        <f>140276*Rateio!$E$50/12</f>
        <v>584.48333333333335</v>
      </c>
      <c r="U12" s="115">
        <f>140276*Rateio!$E$50/12</f>
        <v>584.48333333333335</v>
      </c>
      <c r="V12" s="115">
        <f>140276*Rateio!$E$50/12</f>
        <v>584.48333333333335</v>
      </c>
      <c r="W12" s="115">
        <f>140276*Rateio!$E$50/12</f>
        <v>584.48333333333335</v>
      </c>
      <c r="X12" s="115">
        <f>140276*Rateio!$E$50/12</f>
        <v>584.48333333333335</v>
      </c>
      <c r="Y12" s="115">
        <f>140276*Rateio!$E$50/12</f>
        <v>584.48333333333335</v>
      </c>
      <c r="Z12" s="115">
        <f>140276*Rateio!$E$50/12</f>
        <v>584.48333333333335</v>
      </c>
      <c r="AA12" s="115">
        <f>140276*Rateio!$E$50/12</f>
        <v>584.48333333333335</v>
      </c>
      <c r="AB12" s="115">
        <f>140276*Rateio!$E$50/12</f>
        <v>584.48333333333335</v>
      </c>
      <c r="AC12" s="116">
        <f t="shared" ref="AC12:AC66" si="41">IF(AND(ISBLANK($Q12),ISBLANK($R12),ISBLANK($S12),ISBLANK($T12),ISBLANK($U12),ISBLANK($V12),ISBLANK($W12),ISBLANK($X12),ISBLANK($Y12),ISBLANK($Z12),ISBLANK($AA12),ISBLANK($AB12)),"",SUM(Q12:AB12))</f>
        <v>7013.800000000002</v>
      </c>
      <c r="AD12" s="108"/>
      <c r="AE12" s="117">
        <f>IF(ISBLANK(Q12),"",IF($P12="BRL",Q12,Q12*Macroindicadores!B$2)/1000)</f>
        <v>3.4367620000000003</v>
      </c>
      <c r="AF12" s="117">
        <f>IF(ISBLANK(R12),"",IF($P12="BRL",R12,R12*Macroindicadores!C$2)/1000)</f>
        <v>3.4367620000000003</v>
      </c>
      <c r="AG12" s="117">
        <f>IF(ISBLANK(S12),"",IF($P12="BRL",S12,S12*Macroindicadores!D$2)/1000)</f>
        <v>3.4367620000000003</v>
      </c>
      <c r="AH12" s="117">
        <f>IF(ISBLANK(T12),"",IF($P12="BRL",T12,T12*Macroindicadores!E$2)/1000)</f>
        <v>3.4367620000000003</v>
      </c>
      <c r="AI12" s="117">
        <f>IF(ISBLANK(U12),"",IF($P12="BRL",U12,U12*Macroindicadores!F$2)/1000)</f>
        <v>3.4367620000000003</v>
      </c>
      <c r="AJ12" s="117">
        <f>IF(ISBLANK(V12),"",IF($P12="BRL",V12,V12*Macroindicadores!G$2)/1000)</f>
        <v>3.4367620000000003</v>
      </c>
      <c r="AK12" s="117">
        <f>IF(ISBLANK(W12),"",IF($P12="BRL",W12,W12*Macroindicadores!H$2)/1000)</f>
        <v>3.4367620000000003</v>
      </c>
      <c r="AL12" s="117">
        <f>IF(ISBLANK(X12),"",IF($P12="BRL",X12,X12*Macroindicadores!I$2)/1000)</f>
        <v>3.4367620000000003</v>
      </c>
      <c r="AM12" s="117">
        <f>IF(ISBLANK(Y12),"",IF($P12="BRL",Y12,Y12*Macroindicadores!J$2)/1000)</f>
        <v>3.4367620000000003</v>
      </c>
      <c r="AN12" s="117">
        <f>IF(ISBLANK(Z12),"",IF($P12="BRL",Z12,Z12*Macroindicadores!K$2)/1000)</f>
        <v>3.4367620000000003</v>
      </c>
      <c r="AO12" s="117">
        <f>IF(ISBLANK(AA12),"",IF($P12="BRL",AA12,AA12*Macroindicadores!L$2)/1000)</f>
        <v>3.4367620000000003</v>
      </c>
      <c r="AP12" s="117">
        <f>IF(ISBLANK(AB12),"",IF($P12="BRL",AB12,AB12*Macroindicadores!M$2)/1000)</f>
        <v>3.4367620000000003</v>
      </c>
      <c r="AQ12" s="118">
        <f t="shared" si="35"/>
        <v>41.241144000000013</v>
      </c>
      <c r="AR12" s="108"/>
      <c r="AS12" s="117">
        <f>IF(ISBLANK(Q12),"",IF(ISBLANK($O12),AE12,IF($J12="ANUAL",AE12*(1+Macroindicadores!B$7),IF(AND($I12="NOVO",MONTH($O12)=MONTH(AS$4)),AE12*(1+Macroindicadores!B$7),IF(AND($J12="PONTUAL",MONTH($O12)=MONTH(AS$4)),AE12*(1+Macroindicadores!B$7),IF(AND($J12="PONTUAL",MONTH($O12)&lt;MONTH(AS$4)),MIN(AR12:$AS12),IF(AND($I12="NOVO",MONTH($O12)&gt;MONTH(AS$4)),AE12,IF(MONTH($O12)&gt;MONTH(AS$4),AE12,IF(MONTH($O12)=MONTH(AS$4),AE12*(1+Macroindicadores!B$7),AR12)))))))))</f>
        <v>3.4367620000000003</v>
      </c>
      <c r="AT12" s="117">
        <f>IF(ISBLANK(R12),"",IF(ISBLANK($O12),AF12,IF($J12="ANUAL",AF12*(1+Macroindicadores!C$7),IF(AND($I12="NOVO",MONTH($O12)=MONTH(AT$4)),AF12*(1+Macroindicadores!C$7),IF(AND($J12="PONTUAL",MONTH($O12)=MONTH(AT$4)),AF12*(1+Macroindicadores!C$7),IF(AND($J12="PONTUAL",MONTH($O12)&lt;MONTH(AT$4)),MIN($AS12:AS12),IF(AND($I12="NOVO",MONTH($O12)&gt;MONTH(AT$4)),AF12,IF(MONTH($O12)&gt;MONTH(AT$4),AF12,IF(MONTH($O12)=MONTH(AT$4),AF12*(1+Macroindicadores!C$7),AS12)))))))))</f>
        <v>3.4367620000000003</v>
      </c>
      <c r="AU12" s="117">
        <f>IF(ISBLANK(S12),"",IF(ISBLANK($O12),AG12,IF($J12="ANUAL",AG12*(1+Macroindicadores!D$7),IF(AND($I12="NOVO",MONTH($O12)=MONTH(AU$4)),AG12*(1+Macroindicadores!D$7),IF(AND($J12="PONTUAL",MONTH($O12)=MONTH(AU$4)),AG12*(1+Macroindicadores!D$7),IF(AND($J12="PONTUAL",MONTH($O12)&lt;MONTH(AU$4)),MIN($AS12:AT12),IF(AND($I12="NOVO",MONTH($O12)&gt;MONTH(AU$4)),AG12,IF(MONTH($O12)&gt;MONTH(AU$4),AG12,IF(MONTH($O12)=MONTH(AU$4),AG12*(1+Macroindicadores!D$7),AT12)))))))))</f>
        <v>3.4367620000000003</v>
      </c>
      <c r="AV12" s="117">
        <f>IF(ISBLANK(T12),"",IF(ISBLANK($O12),AH12,IF($J12="ANUAL",AH12*(1+Macroindicadores!E$7),IF(AND($I12="NOVO",MONTH($O12)=MONTH(AV$4)),AH12*(1+Macroindicadores!E$7),IF(AND($J12="PONTUAL",MONTH($O12)=MONTH(AV$4)),AH12*(1+Macroindicadores!E$7),IF(AND($J12="PONTUAL",MONTH($O12)&lt;MONTH(AV$4)),MIN($AS12:AU12),IF(AND($I12="NOVO",MONTH($O12)&gt;MONTH(AV$4)),AH12,IF(MONTH($O12)&gt;MONTH(AV$4),AH12,IF(MONTH($O12)=MONTH(AV$4),AH12*(1+Macroindicadores!E$7),AU12)))))))))</f>
        <v>3.4367620000000003</v>
      </c>
      <c r="AW12" s="117">
        <f>IF(ISBLANK(U12),"",IF(ISBLANK($O12),AI12,IF($J12="ANUAL",AI12*(1+Macroindicadores!F$7),IF(AND($I12="NOVO",MONTH($O12)=MONTH(AW$4)),AI12*(1+Macroindicadores!F$7),IF(AND($J12="PONTUAL",MONTH($O12)=MONTH(AW$4)),AI12*(1+Macroindicadores!F$7),IF(AND($J12="PONTUAL",MONTH($O12)&lt;MONTH(AW$4)),MIN($AS12:AV12),IF(AND($I12="NOVO",MONTH($O12)&gt;MONTH(AW$4)),AI12,IF(MONTH($O12)&gt;MONTH(AW$4),AI12,IF(MONTH($O12)=MONTH(AW$4),AI12*(1+Macroindicadores!F$7),AV12)))))))))</f>
        <v>3.4367620000000003</v>
      </c>
      <c r="AX12" s="117">
        <f>IF(ISBLANK(V12),"",IF(ISBLANK($O12),AJ12,IF($J12="ANUAL",AJ12*(1+Macroindicadores!G$7),IF(AND($I12="NOVO",MONTH($O12)=MONTH(AX$4)),AJ12*(1+Macroindicadores!G$7),IF(AND($J12="PONTUAL",MONTH($O12)=MONTH(AX$4)),AJ12*(1+Macroindicadores!G$7),IF(AND($J12="PONTUAL",MONTH($O12)&lt;MONTH(AX$4)),MIN($AS12:AW12),IF(AND($I12="NOVO",MONTH($O12)&gt;MONTH(AX$4)),AJ12,IF(MONTH($O12)&gt;MONTH(AX$4),AJ12,IF(MONTH($O12)=MONTH(AX$4),AJ12*(1+Macroindicadores!G$7),AW12)))))))))</f>
        <v>3.4367620000000003</v>
      </c>
      <c r="AY12" s="117">
        <f>IF(ISBLANK(W12),"",IF(ISBLANK($O12),AK12,IF($J12="ANUAL",AK12*(1+Macroindicadores!H$7),IF(AND($I12="NOVO",MONTH($O12)=MONTH(AY$4)),AK12*(1+Macroindicadores!H$7),IF(AND($J12="PONTUAL",MONTH($O12)=MONTH(AY$4)),AK12*(1+Macroindicadores!H$7),IF(AND($J12="PONTUAL",MONTH($O12)&lt;MONTH(AY$4)),MIN($AS12:AX12),IF(AND($I12="NOVO",MONTH($O12)&gt;MONTH(AY$4)),AK12,IF(MONTH($O12)&gt;MONTH(AY$4),AK12,IF(MONTH($O12)=MONTH(AY$4),AK12*(1+Macroindicadores!H$7),AX12)))))))))</f>
        <v>3.4367620000000003</v>
      </c>
      <c r="AZ12" s="117">
        <f>IF(ISBLANK(X12),"",IF(ISBLANK($O12),AL12,IF($J12="ANUAL",AL12*(1+Macroindicadores!I$7),IF(AND($I12="NOVO",MONTH($O12)=MONTH(AZ$4)),AL12*(1+Macroindicadores!I$7),IF(AND($J12="PONTUAL",MONTH($O12)=MONTH(AZ$4)),AL12*(1+Macroindicadores!I$7),IF(AND($J12="PONTUAL",MONTH($O12)&lt;MONTH(AZ$4)),MIN($AS12:AY12),IF(AND($I12="NOVO",MONTH($O12)&gt;MONTH(AZ$4)),AL12,IF(MONTH($O12)&gt;MONTH(AZ$4),AL12,IF(MONTH($O12)=MONTH(AZ$4),AL12*(1+Macroindicadores!I$7),AY12)))))))))</f>
        <v>3.4367620000000003</v>
      </c>
      <c r="BA12" s="117">
        <f>IF(ISBLANK(Y12),"",IF(ISBLANK($O12),AM12,IF($J12="ANUAL",AM12*(1+Macroindicadores!J$7),IF(AND($I12="NOVO",MONTH($O12)=MONTH(BA$4)),AM12*(1+Macroindicadores!J$7),IF(AND($J12="PONTUAL",MONTH($O12)=MONTH(BA$4)),AM12*(1+Macroindicadores!J$7),IF(AND($J12="PONTUAL",MONTH($O12)&lt;MONTH(BA$4)),MIN($AS12:AZ12),IF(AND($I12="NOVO",MONTH($O12)&gt;MONTH(BA$4)),AM12,IF(MONTH($O12)&gt;MONTH(BA$4),AM12,IF(MONTH($O12)=MONTH(BA$4),AM12*(1+Macroindicadores!J$7),AZ12)))))))))</f>
        <v>3.4367620000000003</v>
      </c>
      <c r="BB12" s="117">
        <f>IF(ISBLANK(Z12),"",IF(ISBLANK($O12),AN12,IF($J12="ANUAL",AN12*(1+Macroindicadores!K$7),IF(AND($I12="NOVO",MONTH($O12)=MONTH(BB$4)),AN12*(1+Macroindicadores!K$7),IF(AND($J12="PONTUAL",MONTH($O12)=MONTH(BB$4)),AN12*(1+Macroindicadores!K$7),IF(AND($J12="PONTUAL",MONTH($O12)&lt;MONTH(BB$4)),MIN($AS12:BA12),IF(AND($I12="NOVO",MONTH($O12)&gt;MONTH(BB$4)),AN12,IF(MONTH($O12)&gt;MONTH(BB$4),AN12,IF(MONTH($O12)=MONTH(BB$4),AN12*(1+Macroindicadores!K$7),BA12)))))))))</f>
        <v>3.4367620000000003</v>
      </c>
      <c r="BC12" s="117">
        <f>IF(ISBLANK(AA12),"",IF(ISBLANK($O12),AO12,IF($J12="ANUAL",AO12*(1+Macroindicadores!L$7),IF(AND($I12="NOVO",MONTH($O12)=MONTH(BC$4)),AO12*(1+Macroindicadores!L$7),IF(AND($J12="PONTUAL",MONTH($O12)=MONTH(BC$4)),AO12*(1+Macroindicadores!L$7),IF(AND($J12="PONTUAL",MONTH($O12)&lt;MONTH(BC$4)),MIN($AS12:BB12),IF(AND($I12="NOVO",MONTH($O12)&gt;MONTH(BC$4)),AO12,IF(MONTH($O12)&gt;MONTH(BC$4),AO12,IF(MONTH($O12)=MONTH(BC$4),AO12*(1+Macroindicadores!L$7),BB12)))))))))</f>
        <v>3.4367620000000003</v>
      </c>
      <c r="BD12" s="117">
        <f>IF(ISBLANK(AB12),"",IF(ISBLANK($O12),AP12,IF($J12="ANUAL",AP12*(1+Macroindicadores!M$7),IF(AND($I12="NOVO",MONTH($O12)=MONTH(BD$4)),AP12*(1+Macroindicadores!M$7),IF(AND($J12="PONTUAL",MONTH($O12)=MONTH(BD$4)),AP12*(1+Macroindicadores!M$7),IF(AND($J12="PONTUAL",MONTH($O12)&lt;MONTH(BD$4)),MIN($AS12:BC12),IF(AND($I12="NOVO",MONTH($O12)&gt;MONTH(BD$4)),AP12,IF(MONTH($O12)&gt;MONTH(BD$4),AP12,IF(MONTH($O12)=MONTH(BD$4),AP12*(1+Macroindicadores!M$7),BC12)))))))))</f>
        <v>3.4367620000000003</v>
      </c>
      <c r="BE12" s="118">
        <f t="shared" si="36"/>
        <v>41.241144000000013</v>
      </c>
      <c r="BF12" s="108"/>
      <c r="BG12" s="117">
        <f>IF(ISBLANK(Q12),"",AS12/Macroindicadores!B$2)</f>
        <v>0.58448333333333335</v>
      </c>
      <c r="BH12" s="117">
        <f>IF(ISBLANK(R12),"",AT12/Macroindicadores!C$2)</f>
        <v>0.58448333333333335</v>
      </c>
      <c r="BI12" s="117">
        <f>IF(ISBLANK(S12),"",AU12/Macroindicadores!D$2)</f>
        <v>0.58448333333333335</v>
      </c>
      <c r="BJ12" s="117">
        <f>IF(ISBLANK(T12),"",AV12/Macroindicadores!E$2)</f>
        <v>0.58448333333333335</v>
      </c>
      <c r="BK12" s="117">
        <f>IF(ISBLANK(U12),"",AW12/Macroindicadores!F$2)</f>
        <v>0.58448333333333335</v>
      </c>
      <c r="BL12" s="117">
        <f>IF(ISBLANK(V12),"",AX12/Macroindicadores!G$2)</f>
        <v>0.58448333333333335</v>
      </c>
      <c r="BM12" s="117">
        <f>IF(ISBLANK(W12),"",AY12/Macroindicadores!H$2)</f>
        <v>0.58448333333333335</v>
      </c>
      <c r="BN12" s="117">
        <f>IF(ISBLANK(X12),"",AZ12/Macroindicadores!I$2)</f>
        <v>0.58448333333333335</v>
      </c>
      <c r="BO12" s="117">
        <f>IF(ISBLANK(Y12),"",BA12/Macroindicadores!J$2)</f>
        <v>0.58448333333333335</v>
      </c>
      <c r="BP12" s="117">
        <f>IF(ISBLANK(Z12),"",BB12/Macroindicadores!K$2)</f>
        <v>0.58448333333333335</v>
      </c>
      <c r="BQ12" s="117">
        <f>IF(ISBLANK(AA12),"",BC12/Macroindicadores!L$2)</f>
        <v>0.58448333333333335</v>
      </c>
      <c r="BR12" s="117">
        <f>IF(ISBLANK(AB12),"",BD12/Macroindicadores!M$2)</f>
        <v>0.58448333333333335</v>
      </c>
      <c r="BS12" s="118">
        <f>IF(AND(ISBLANK($Q12),ISBLANK($R12),ISBLANK($S12),ISBLANK($T12),ISBLANK($U12),ISBLANK($V12),ISBLANK($W12),ISBLANK($X12),ISBLANK($Y12),ISBLANK($Z12),ISBLANK($AA12),ISBLANK($AB12)),"",SUM(BG12:BR12))</f>
        <v>7.0137999999999989</v>
      </c>
      <c r="BT12" s="25" t="str">
        <f>IF(ISBLANK($L12),"",_xlfn.XLOOKUP($L12,'CENTRO CUSTO'!$A:$A,'CENTRO CUSTO'!$E:$E,FALSE,0))</f>
        <v>G&amp;A BU</v>
      </c>
    </row>
    <row r="13" spans="1:74">
      <c r="A13" s="9" t="str">
        <f t="shared" si="40"/>
        <v>Budget</v>
      </c>
      <c r="B13" s="9">
        <f t="shared" si="31"/>
        <v>2026</v>
      </c>
      <c r="C13" s="111" t="str">
        <f>IF(ISBLANK($L13),"",_xlfn.XLOOKUP($L13,'CENTRO CUSTO'!$A:$A,'CENTRO CUSTO'!F:F,FALSE,0))</f>
        <v>SKM</v>
      </c>
      <c r="D13" s="111" t="str">
        <f>IF(ISBLANK($L13),"",_xlfn.XLOOKUP($L13,'CENTRO CUSTO'!$A:$A,'CENTRO CUSTO'!G:G,FALSE,0))</f>
        <v>BU-SKM</v>
      </c>
      <c r="E13" s="111" t="str">
        <f>IF(ISBLANK($L13),"",_xlfn.XLOOKUP($L13,'CENTRO CUSTO'!$A:$A,'CENTRO CUSTO'!H:H,FALSE,0))</f>
        <v>G&amp;A</v>
      </c>
      <c r="F13" s="112" t="s">
        <v>92</v>
      </c>
      <c r="G13" s="112" t="s">
        <v>75</v>
      </c>
      <c r="H13" s="112" t="s">
        <v>93</v>
      </c>
      <c r="I13" s="113" t="s">
        <v>77</v>
      </c>
      <c r="J13" s="113" t="s">
        <v>78</v>
      </c>
      <c r="K13" s="113" t="s">
        <v>79</v>
      </c>
      <c r="L13" s="113" t="s">
        <v>50</v>
      </c>
      <c r="M13" s="111" t="str">
        <f>IF(ISBLANK($L13),"",_xlfn.XLOOKUP($L13,'CENTRO CUSTO'!$A:$A,'CENTRO CUSTO'!D:D,FALSE,0))</f>
        <v>Alexandre Ayabe</v>
      </c>
      <c r="N13" s="113" t="s">
        <v>80</v>
      </c>
      <c r="O13" s="114"/>
      <c r="P13" s="113" t="s">
        <v>88</v>
      </c>
      <c r="Q13" s="115">
        <f>140276*Rateio!$E$53/12</f>
        <v>701.38</v>
      </c>
      <c r="R13" s="115">
        <f>140276*Rateio!$E$53/12</f>
        <v>701.38</v>
      </c>
      <c r="S13" s="115">
        <f>140276*Rateio!$E$53/12</f>
        <v>701.38</v>
      </c>
      <c r="T13" s="115">
        <f>140276*Rateio!$E$53/12</f>
        <v>701.38</v>
      </c>
      <c r="U13" s="115">
        <f>140276*Rateio!$E$53/12</f>
        <v>701.38</v>
      </c>
      <c r="V13" s="115">
        <f>140276*Rateio!$E$53/12</f>
        <v>701.38</v>
      </c>
      <c r="W13" s="115">
        <f>140276*Rateio!$E$53/12</f>
        <v>701.38</v>
      </c>
      <c r="X13" s="115">
        <f>140276*Rateio!$E$53/12</f>
        <v>701.38</v>
      </c>
      <c r="Y13" s="115">
        <f>140276*Rateio!$E$53/12</f>
        <v>701.38</v>
      </c>
      <c r="Z13" s="115">
        <f>140276*Rateio!$E$53/12</f>
        <v>701.38</v>
      </c>
      <c r="AA13" s="115">
        <f>140276*Rateio!$E$53/12</f>
        <v>701.38</v>
      </c>
      <c r="AB13" s="115">
        <f>140276*Rateio!$E$53/12</f>
        <v>701.38</v>
      </c>
      <c r="AC13" s="116">
        <f t="shared" si="41"/>
        <v>8416.56</v>
      </c>
      <c r="AD13" s="108"/>
      <c r="AE13" s="117">
        <f>IF(ISBLANK(Q13),"",IF($P13="BRL",Q13,Q13*Macroindicadores!B$2)/1000)</f>
        <v>4.1241143999999998</v>
      </c>
      <c r="AF13" s="117">
        <f>IF(ISBLANK(R13),"",IF($P13="BRL",R13,R13*Macroindicadores!C$2)/1000)</f>
        <v>4.1241143999999998</v>
      </c>
      <c r="AG13" s="117">
        <f>IF(ISBLANK(S13),"",IF($P13="BRL",S13,S13*Macroindicadores!D$2)/1000)</f>
        <v>4.1241143999999998</v>
      </c>
      <c r="AH13" s="117">
        <f>IF(ISBLANK(T13),"",IF($P13="BRL",T13,T13*Macroindicadores!E$2)/1000)</f>
        <v>4.1241143999999998</v>
      </c>
      <c r="AI13" s="117">
        <f>IF(ISBLANK(U13),"",IF($P13="BRL",U13,U13*Macroindicadores!F$2)/1000)</f>
        <v>4.1241143999999998</v>
      </c>
      <c r="AJ13" s="117">
        <f>IF(ISBLANK(V13),"",IF($P13="BRL",V13,V13*Macroindicadores!G$2)/1000)</f>
        <v>4.1241143999999998</v>
      </c>
      <c r="AK13" s="117">
        <f>IF(ISBLANK(W13),"",IF($P13="BRL",W13,W13*Macroindicadores!H$2)/1000)</f>
        <v>4.1241143999999998</v>
      </c>
      <c r="AL13" s="117">
        <f>IF(ISBLANK(X13),"",IF($P13="BRL",X13,X13*Macroindicadores!I$2)/1000)</f>
        <v>4.1241143999999998</v>
      </c>
      <c r="AM13" s="117">
        <f>IF(ISBLANK(Y13),"",IF($P13="BRL",Y13,Y13*Macroindicadores!J$2)/1000)</f>
        <v>4.1241143999999998</v>
      </c>
      <c r="AN13" s="117">
        <f>IF(ISBLANK(Z13),"",IF($P13="BRL",Z13,Z13*Macroindicadores!K$2)/1000)</f>
        <v>4.1241143999999998</v>
      </c>
      <c r="AO13" s="117">
        <f>IF(ISBLANK(AA13),"",IF($P13="BRL",AA13,AA13*Macroindicadores!L$2)/1000)</f>
        <v>4.1241143999999998</v>
      </c>
      <c r="AP13" s="117">
        <f>IF(ISBLANK(AB13),"",IF($P13="BRL",AB13,AB13*Macroindicadores!M$2)/1000)</f>
        <v>4.1241143999999998</v>
      </c>
      <c r="AQ13" s="118">
        <f t="shared" si="35"/>
        <v>49.489372799999984</v>
      </c>
      <c r="AR13" s="108"/>
      <c r="AS13" s="117">
        <f>IF(ISBLANK(Q13),"",IF(ISBLANK($O13),AE13,IF($J13="ANUAL",AE13*(1+Macroindicadores!B$7),IF(AND($I13="NOVO",MONTH($O13)=MONTH(AS$4)),AE13*(1+Macroindicadores!B$7),IF(AND($J13="PONTUAL",MONTH($O13)=MONTH(AS$4)),AE13*(1+Macroindicadores!B$7),IF(AND($J13="PONTUAL",MONTH($O13)&lt;MONTH(AS$4)),MIN(AR13:$AS13),IF(AND($I13="NOVO",MONTH($O13)&gt;MONTH(AS$4)),AE13,IF(MONTH($O13)&gt;MONTH(AS$4),AE13,IF(MONTH($O13)=MONTH(AS$4),AE13*(1+Macroindicadores!B$7),AR13)))))))))</f>
        <v>4.1241143999999998</v>
      </c>
      <c r="AT13" s="117">
        <f>IF(ISBLANK(R13),"",IF(ISBLANK($O13),AF13,IF($J13="ANUAL",AF13*(1+Macroindicadores!C$7),IF(AND($I13="NOVO",MONTH($O13)=MONTH(AT$4)),AF13*(1+Macroindicadores!C$7),IF(AND($J13="PONTUAL",MONTH($O13)=MONTH(AT$4)),AF13*(1+Macroindicadores!C$7),IF(AND($J13="PONTUAL",MONTH($O13)&lt;MONTH(AT$4)),MIN($AS13:AS13),IF(AND($I13="NOVO",MONTH($O13)&gt;MONTH(AT$4)),AF13,IF(MONTH($O13)&gt;MONTH(AT$4),AF13,IF(MONTH($O13)=MONTH(AT$4),AF13*(1+Macroindicadores!C$7),AS13)))))))))</f>
        <v>4.1241143999999998</v>
      </c>
      <c r="AU13" s="117">
        <f>IF(ISBLANK(S13),"",IF(ISBLANK($O13),AG13,IF($J13="ANUAL",AG13*(1+Macroindicadores!D$7),IF(AND($I13="NOVO",MONTH($O13)=MONTH(AU$4)),AG13*(1+Macroindicadores!D$7),IF(AND($J13="PONTUAL",MONTH($O13)=MONTH(AU$4)),AG13*(1+Macroindicadores!D$7),IF(AND($J13="PONTUAL",MONTH($O13)&lt;MONTH(AU$4)),MIN($AS13:AT13),IF(AND($I13="NOVO",MONTH($O13)&gt;MONTH(AU$4)),AG13,IF(MONTH($O13)&gt;MONTH(AU$4),AG13,IF(MONTH($O13)=MONTH(AU$4),AG13*(1+Macroindicadores!D$7),AT13)))))))))</f>
        <v>4.1241143999999998</v>
      </c>
      <c r="AV13" s="117">
        <f>IF(ISBLANK(T13),"",IF(ISBLANK($O13),AH13,IF($J13="ANUAL",AH13*(1+Macroindicadores!E$7),IF(AND($I13="NOVO",MONTH($O13)=MONTH(AV$4)),AH13*(1+Macroindicadores!E$7),IF(AND($J13="PONTUAL",MONTH($O13)=MONTH(AV$4)),AH13*(1+Macroindicadores!E$7),IF(AND($J13="PONTUAL",MONTH($O13)&lt;MONTH(AV$4)),MIN($AS13:AU13),IF(AND($I13="NOVO",MONTH($O13)&gt;MONTH(AV$4)),AH13,IF(MONTH($O13)&gt;MONTH(AV$4),AH13,IF(MONTH($O13)=MONTH(AV$4),AH13*(1+Macroindicadores!E$7),AU13)))))))))</f>
        <v>4.1241143999999998</v>
      </c>
      <c r="AW13" s="117">
        <f>IF(ISBLANK(U13),"",IF(ISBLANK($O13),AI13,IF($J13="ANUAL",AI13*(1+Macroindicadores!F$7),IF(AND($I13="NOVO",MONTH($O13)=MONTH(AW$4)),AI13*(1+Macroindicadores!F$7),IF(AND($J13="PONTUAL",MONTH($O13)=MONTH(AW$4)),AI13*(1+Macroindicadores!F$7),IF(AND($J13="PONTUAL",MONTH($O13)&lt;MONTH(AW$4)),MIN($AS13:AV13),IF(AND($I13="NOVO",MONTH($O13)&gt;MONTH(AW$4)),AI13,IF(MONTH($O13)&gt;MONTH(AW$4),AI13,IF(MONTH($O13)=MONTH(AW$4),AI13*(1+Macroindicadores!F$7),AV13)))))))))</f>
        <v>4.1241143999999998</v>
      </c>
      <c r="AX13" s="117">
        <f>IF(ISBLANK(V13),"",IF(ISBLANK($O13),AJ13,IF($J13="ANUAL",AJ13*(1+Macroindicadores!G$7),IF(AND($I13="NOVO",MONTH($O13)=MONTH(AX$4)),AJ13*(1+Macroindicadores!G$7),IF(AND($J13="PONTUAL",MONTH($O13)=MONTH(AX$4)),AJ13*(1+Macroindicadores!G$7),IF(AND($J13="PONTUAL",MONTH($O13)&lt;MONTH(AX$4)),MIN($AS13:AW13),IF(AND($I13="NOVO",MONTH($O13)&gt;MONTH(AX$4)),AJ13,IF(MONTH($O13)&gt;MONTH(AX$4),AJ13,IF(MONTH($O13)=MONTH(AX$4),AJ13*(1+Macroindicadores!G$7),AW13)))))))))</f>
        <v>4.1241143999999998</v>
      </c>
      <c r="AY13" s="117">
        <f>IF(ISBLANK(W13),"",IF(ISBLANK($O13),AK13,IF($J13="ANUAL",AK13*(1+Macroindicadores!H$7),IF(AND($I13="NOVO",MONTH($O13)=MONTH(AY$4)),AK13*(1+Macroindicadores!H$7),IF(AND($J13="PONTUAL",MONTH($O13)=MONTH(AY$4)),AK13*(1+Macroindicadores!H$7),IF(AND($J13="PONTUAL",MONTH($O13)&lt;MONTH(AY$4)),MIN($AS13:AX13),IF(AND($I13="NOVO",MONTH($O13)&gt;MONTH(AY$4)),AK13,IF(MONTH($O13)&gt;MONTH(AY$4),AK13,IF(MONTH($O13)=MONTH(AY$4),AK13*(1+Macroindicadores!H$7),AX13)))))))))</f>
        <v>4.1241143999999998</v>
      </c>
      <c r="AZ13" s="117">
        <f>IF(ISBLANK(X13),"",IF(ISBLANK($O13),AL13,IF($J13="ANUAL",AL13*(1+Macroindicadores!I$7),IF(AND($I13="NOVO",MONTH($O13)=MONTH(AZ$4)),AL13*(1+Macroindicadores!I$7),IF(AND($J13="PONTUAL",MONTH($O13)=MONTH(AZ$4)),AL13*(1+Macroindicadores!I$7),IF(AND($J13="PONTUAL",MONTH($O13)&lt;MONTH(AZ$4)),MIN($AS13:AY13),IF(AND($I13="NOVO",MONTH($O13)&gt;MONTH(AZ$4)),AL13,IF(MONTH($O13)&gt;MONTH(AZ$4),AL13,IF(MONTH($O13)=MONTH(AZ$4),AL13*(1+Macroindicadores!I$7),AY13)))))))))</f>
        <v>4.1241143999999998</v>
      </c>
      <c r="BA13" s="117">
        <f>IF(ISBLANK(Y13),"",IF(ISBLANK($O13),AM13,IF($J13="ANUAL",AM13*(1+Macroindicadores!J$7),IF(AND($I13="NOVO",MONTH($O13)=MONTH(BA$4)),AM13*(1+Macroindicadores!J$7),IF(AND($J13="PONTUAL",MONTH($O13)=MONTH(BA$4)),AM13*(1+Macroindicadores!J$7),IF(AND($J13="PONTUAL",MONTH($O13)&lt;MONTH(BA$4)),MIN($AS13:AZ13),IF(AND($I13="NOVO",MONTH($O13)&gt;MONTH(BA$4)),AM13,IF(MONTH($O13)&gt;MONTH(BA$4),AM13,IF(MONTH($O13)=MONTH(BA$4),AM13*(1+Macroindicadores!J$7),AZ13)))))))))</f>
        <v>4.1241143999999998</v>
      </c>
      <c r="BB13" s="117">
        <f>IF(ISBLANK(Z13),"",IF(ISBLANK($O13),AN13,IF($J13="ANUAL",AN13*(1+Macroindicadores!K$7),IF(AND($I13="NOVO",MONTH($O13)=MONTH(BB$4)),AN13*(1+Macroindicadores!K$7),IF(AND($J13="PONTUAL",MONTH($O13)=MONTH(BB$4)),AN13*(1+Macroindicadores!K$7),IF(AND($J13="PONTUAL",MONTH($O13)&lt;MONTH(BB$4)),MIN($AS13:BA13),IF(AND($I13="NOVO",MONTH($O13)&gt;MONTH(BB$4)),AN13,IF(MONTH($O13)&gt;MONTH(BB$4),AN13,IF(MONTH($O13)=MONTH(BB$4),AN13*(1+Macroindicadores!K$7),BA13)))))))))</f>
        <v>4.1241143999999998</v>
      </c>
      <c r="BC13" s="117">
        <f>IF(ISBLANK(AA13),"",IF(ISBLANK($O13),AO13,IF($J13="ANUAL",AO13*(1+Macroindicadores!L$7),IF(AND($I13="NOVO",MONTH($O13)=MONTH(BC$4)),AO13*(1+Macroindicadores!L$7),IF(AND($J13="PONTUAL",MONTH($O13)=MONTH(BC$4)),AO13*(1+Macroindicadores!L$7),IF(AND($J13="PONTUAL",MONTH($O13)&lt;MONTH(BC$4)),MIN($AS13:BB13),IF(AND($I13="NOVO",MONTH($O13)&gt;MONTH(BC$4)),AO13,IF(MONTH($O13)&gt;MONTH(BC$4),AO13,IF(MONTH($O13)=MONTH(BC$4),AO13*(1+Macroindicadores!L$7),BB13)))))))))</f>
        <v>4.1241143999999998</v>
      </c>
      <c r="BD13" s="117">
        <f>IF(ISBLANK(AB13),"",IF(ISBLANK($O13),AP13,IF($J13="ANUAL",AP13*(1+Macroindicadores!M$7),IF(AND($I13="NOVO",MONTH($O13)=MONTH(BD$4)),AP13*(1+Macroindicadores!M$7),IF(AND($J13="PONTUAL",MONTH($O13)=MONTH(BD$4)),AP13*(1+Macroindicadores!M$7),IF(AND($J13="PONTUAL",MONTH($O13)&lt;MONTH(BD$4)),MIN($AS13:BC13),IF(AND($I13="NOVO",MONTH($O13)&gt;MONTH(BD$4)),AP13,IF(MONTH($O13)&gt;MONTH(BD$4),AP13,IF(MONTH($O13)=MONTH(BD$4),AP13*(1+Macroindicadores!M$7),BC13)))))))))</f>
        <v>4.1241143999999998</v>
      </c>
      <c r="BE13" s="118">
        <f t="shared" si="36"/>
        <v>49.489372799999984</v>
      </c>
      <c r="BF13" s="108"/>
      <c r="BG13" s="117">
        <f>IF(ISBLANK(Q13),"",AS13/Macroindicadores!B$2)</f>
        <v>0.70138</v>
      </c>
      <c r="BH13" s="117">
        <f>IF(ISBLANK(R13),"",AT13/Macroindicadores!C$2)</f>
        <v>0.70138</v>
      </c>
      <c r="BI13" s="117">
        <f>IF(ISBLANK(S13),"",AU13/Macroindicadores!D$2)</f>
        <v>0.70138</v>
      </c>
      <c r="BJ13" s="117">
        <f>IF(ISBLANK(T13),"",AV13/Macroindicadores!E$2)</f>
        <v>0.70138</v>
      </c>
      <c r="BK13" s="117">
        <f>IF(ISBLANK(U13),"",AW13/Macroindicadores!F$2)</f>
        <v>0.70138</v>
      </c>
      <c r="BL13" s="117">
        <f>IF(ISBLANK(V13),"",AX13/Macroindicadores!G$2)</f>
        <v>0.70138</v>
      </c>
      <c r="BM13" s="117">
        <f>IF(ISBLANK(W13),"",AY13/Macroindicadores!H$2)</f>
        <v>0.70138</v>
      </c>
      <c r="BN13" s="117">
        <f>IF(ISBLANK(X13),"",AZ13/Macroindicadores!I$2)</f>
        <v>0.70138</v>
      </c>
      <c r="BO13" s="117">
        <f>IF(ISBLANK(Y13),"",BA13/Macroindicadores!J$2)</f>
        <v>0.70138</v>
      </c>
      <c r="BP13" s="117">
        <f>IF(ISBLANK(Z13),"",BB13/Macroindicadores!K$2)</f>
        <v>0.70138</v>
      </c>
      <c r="BQ13" s="117">
        <f>IF(ISBLANK(AA13),"",BC13/Macroindicadores!L$2)</f>
        <v>0.70138</v>
      </c>
      <c r="BR13" s="117">
        <f>IF(ISBLANK(AB13),"",BD13/Macroindicadores!M$2)</f>
        <v>0.70138</v>
      </c>
      <c r="BS13" s="118">
        <f>IF(AND(ISBLANK($Q13),ISBLANK($R13),ISBLANK($S13),ISBLANK($T13),ISBLANK($U13),ISBLANK($V13),ISBLANK($W13),ISBLANK($X13),ISBLANK($Y13),ISBLANK($Z13),ISBLANK($AA13),ISBLANK($AB13)),"",SUM(BG13:BR13))</f>
        <v>8.4165600000000023</v>
      </c>
      <c r="BT13" s="25" t="str">
        <f>IF(ISBLANK($L13),"",_xlfn.XLOOKUP($L13,'CENTRO CUSTO'!$A:$A,'CENTRO CUSTO'!$E:$E,FALSE,0))</f>
        <v>G&amp;A BU</v>
      </c>
    </row>
    <row r="14" spans="1:74">
      <c r="A14" s="9" t="str">
        <f t="shared" si="40"/>
        <v>Budget</v>
      </c>
      <c r="B14" s="9">
        <f t="shared" si="31"/>
        <v>2026</v>
      </c>
      <c r="C14" s="111" t="str">
        <f>IF(ISBLANK($L14),"",_xlfn.XLOOKUP($L14,'CENTRO CUSTO'!$A:$A,'CENTRO CUSTO'!F:F,FALSE,0))</f>
        <v>Rio de Janeiro</v>
      </c>
      <c r="D14" s="111" t="str">
        <f>IF(ISBLANK($L14),"",_xlfn.XLOOKUP($L14,'CENTRO CUSTO'!$A:$A,'CENTRO CUSTO'!G:G,FALSE,0))</f>
        <v>BU-RJ</v>
      </c>
      <c r="E14" s="111" t="str">
        <f>IF(ISBLANK($L14),"",_xlfn.XLOOKUP($L14,'CENTRO CUSTO'!$A:$A,'CENTRO CUSTO'!H:H,FALSE,0))</f>
        <v>G&amp;A</v>
      </c>
      <c r="F14" s="112" t="s">
        <v>92</v>
      </c>
      <c r="G14" s="112" t="s">
        <v>75</v>
      </c>
      <c r="H14" s="112" t="s">
        <v>93</v>
      </c>
      <c r="I14" s="113" t="s">
        <v>84</v>
      </c>
      <c r="J14" s="113" t="s">
        <v>78</v>
      </c>
      <c r="K14" s="113" t="s">
        <v>79</v>
      </c>
      <c r="L14" s="113" t="s">
        <v>95</v>
      </c>
      <c r="M14" s="111" t="str">
        <f>IF(ISBLANK($L14),"",_xlfn.XLOOKUP($L14,'CENTRO CUSTO'!$A:$A,'CENTRO CUSTO'!D:D,FALSE,0))</f>
        <v>Alexandre Ayabe</v>
      </c>
      <c r="N14" s="113" t="s">
        <v>80</v>
      </c>
      <c r="O14" s="114"/>
      <c r="P14" s="113" t="s">
        <v>88</v>
      </c>
      <c r="Q14" s="115">
        <f>140276*Rateio!$E$56/12</f>
        <v>233.79333333333332</v>
      </c>
      <c r="R14" s="115">
        <f>140276*Rateio!$E$56/12</f>
        <v>233.79333333333332</v>
      </c>
      <c r="S14" s="115">
        <f>140276*Rateio!$E$56/12</f>
        <v>233.79333333333332</v>
      </c>
      <c r="T14" s="115">
        <f>140276*Rateio!$E$56/12</f>
        <v>233.79333333333332</v>
      </c>
      <c r="U14" s="115">
        <f>140276*Rateio!$E$56/12</f>
        <v>233.79333333333332</v>
      </c>
      <c r="V14" s="115">
        <f>140276*Rateio!$E$56/12</f>
        <v>233.79333333333332</v>
      </c>
      <c r="W14" s="115">
        <f>140276*Rateio!$E$56/12</f>
        <v>233.79333333333332</v>
      </c>
      <c r="X14" s="115">
        <f>140276*Rateio!$E$56/12</f>
        <v>233.79333333333332</v>
      </c>
      <c r="Y14" s="115">
        <f>140276*Rateio!$E$56/12</f>
        <v>233.79333333333332</v>
      </c>
      <c r="Z14" s="115">
        <f>140276*Rateio!$E$56/12</f>
        <v>233.79333333333332</v>
      </c>
      <c r="AA14" s="115">
        <f>140276*Rateio!$E$56/12</f>
        <v>233.79333333333332</v>
      </c>
      <c r="AB14" s="115">
        <f>140276*Rateio!$E$56/12</f>
        <v>233.79333333333332</v>
      </c>
      <c r="AC14" s="116">
        <f t="shared" si="41"/>
        <v>2805.5200000000004</v>
      </c>
      <c r="AD14" s="108"/>
      <c r="AE14" s="117">
        <f>IF(ISBLANK(Q14),"",IF($P14="BRL",Q14,Q14*Macroindicadores!B$2)/1000)</f>
        <v>1.3747047999999999</v>
      </c>
      <c r="AF14" s="117">
        <f>IF(ISBLANK(R14),"",IF($P14="BRL",R14,R14*Macroindicadores!C$2)/1000)</f>
        <v>1.3747047999999999</v>
      </c>
      <c r="AG14" s="117">
        <f>IF(ISBLANK(S14),"",IF($P14="BRL",S14,S14*Macroindicadores!D$2)/1000)</f>
        <v>1.3747047999999999</v>
      </c>
      <c r="AH14" s="117">
        <f>IF(ISBLANK(T14),"",IF($P14="BRL",T14,T14*Macroindicadores!E$2)/1000)</f>
        <v>1.3747047999999999</v>
      </c>
      <c r="AI14" s="117">
        <f>IF(ISBLANK(U14),"",IF($P14="BRL",U14,U14*Macroindicadores!F$2)/1000)</f>
        <v>1.3747047999999999</v>
      </c>
      <c r="AJ14" s="117">
        <f>IF(ISBLANK(V14),"",IF($P14="BRL",V14,V14*Macroindicadores!G$2)/1000)</f>
        <v>1.3747047999999999</v>
      </c>
      <c r="AK14" s="117">
        <f>IF(ISBLANK(W14),"",IF($P14="BRL",W14,W14*Macroindicadores!H$2)/1000)</f>
        <v>1.3747047999999999</v>
      </c>
      <c r="AL14" s="117">
        <f>IF(ISBLANK(X14),"",IF($P14="BRL",X14,X14*Macroindicadores!I$2)/1000)</f>
        <v>1.3747047999999999</v>
      </c>
      <c r="AM14" s="117">
        <f>IF(ISBLANK(Y14),"",IF($P14="BRL",Y14,Y14*Macroindicadores!J$2)/1000)</f>
        <v>1.3747047999999999</v>
      </c>
      <c r="AN14" s="117">
        <f>IF(ISBLANK(Z14),"",IF($P14="BRL",Z14,Z14*Macroindicadores!K$2)/1000)</f>
        <v>1.3747047999999999</v>
      </c>
      <c r="AO14" s="117">
        <f>IF(ISBLANK(AA14),"",IF($P14="BRL",AA14,AA14*Macroindicadores!L$2)/1000)</f>
        <v>1.3747047999999999</v>
      </c>
      <c r="AP14" s="117">
        <f>IF(ISBLANK(AB14),"",IF($P14="BRL",AB14,AB14*Macroindicadores!M$2)/1000)</f>
        <v>1.3747047999999999</v>
      </c>
      <c r="AQ14" s="118">
        <f t="shared" si="35"/>
        <v>16.496457599999999</v>
      </c>
      <c r="AR14" s="108"/>
      <c r="AS14" s="117">
        <f>IF(ISBLANK(Q14),"",IF(ISBLANK($O14),AE14,IF($J14="ANUAL",AE14*(1+Macroindicadores!B$7),IF(AND($I14="NOVO",MONTH($O14)=MONTH(AS$4)),AE14*(1+Macroindicadores!B$7),IF(AND($J14="PONTUAL",MONTH($O14)=MONTH(AS$4)),AE14*(1+Macroindicadores!B$7),IF(AND($J14="PONTUAL",MONTH($O14)&lt;MONTH(AS$4)),MIN(AR14:$AS14),IF(AND($I14="NOVO",MONTH($O14)&gt;MONTH(AS$4)),AE14,IF(MONTH($O14)&gt;MONTH(AS$4),AE14,IF(MONTH($O14)=MONTH(AS$4),AE14*(1+Macroindicadores!B$7),AR14)))))))))</f>
        <v>1.3747047999999999</v>
      </c>
      <c r="AT14" s="117">
        <f>IF(ISBLANK(R14),"",IF(ISBLANK($O14),AF14,IF($J14="ANUAL",AF14*(1+Macroindicadores!C$7),IF(AND($I14="NOVO",MONTH($O14)=MONTH(AT$4)),AF14*(1+Macroindicadores!C$7),IF(AND($J14="PONTUAL",MONTH($O14)=MONTH(AT$4)),AF14*(1+Macroindicadores!C$7),IF(AND($J14="PONTUAL",MONTH($O14)&lt;MONTH(AT$4)),MIN($AS14:AS14),IF(AND($I14="NOVO",MONTH($O14)&gt;MONTH(AT$4)),AF14,IF(MONTH($O14)&gt;MONTH(AT$4),AF14,IF(MONTH($O14)=MONTH(AT$4),AF14*(1+Macroindicadores!C$7),AS14)))))))))</f>
        <v>1.3747047999999999</v>
      </c>
      <c r="AU14" s="117">
        <f>IF(ISBLANK(S14),"",IF(ISBLANK($O14),AG14,IF($J14="ANUAL",AG14*(1+Macroindicadores!D$7),IF(AND($I14="NOVO",MONTH($O14)=MONTH(AU$4)),AG14*(1+Macroindicadores!D$7),IF(AND($J14="PONTUAL",MONTH($O14)=MONTH(AU$4)),AG14*(1+Macroindicadores!D$7),IF(AND($J14="PONTUAL",MONTH($O14)&lt;MONTH(AU$4)),MIN($AS14:AT14),IF(AND($I14="NOVO",MONTH($O14)&gt;MONTH(AU$4)),AG14,IF(MONTH($O14)&gt;MONTH(AU$4),AG14,IF(MONTH($O14)=MONTH(AU$4),AG14*(1+Macroindicadores!D$7),AT14)))))))))</f>
        <v>1.3747047999999999</v>
      </c>
      <c r="AV14" s="117">
        <f>IF(ISBLANK(T14),"",IF(ISBLANK($O14),AH14,IF($J14="ANUAL",AH14*(1+Macroindicadores!E$7),IF(AND($I14="NOVO",MONTH($O14)=MONTH(AV$4)),AH14*(1+Macroindicadores!E$7),IF(AND($J14="PONTUAL",MONTH($O14)=MONTH(AV$4)),AH14*(1+Macroindicadores!E$7),IF(AND($J14="PONTUAL",MONTH($O14)&lt;MONTH(AV$4)),MIN($AS14:AU14),IF(AND($I14="NOVO",MONTH($O14)&gt;MONTH(AV$4)),AH14,IF(MONTH($O14)&gt;MONTH(AV$4),AH14,IF(MONTH($O14)=MONTH(AV$4),AH14*(1+Macroindicadores!E$7),AU14)))))))))</f>
        <v>1.3747047999999999</v>
      </c>
      <c r="AW14" s="117">
        <f>IF(ISBLANK(U14),"",IF(ISBLANK($O14),AI14,IF($J14="ANUAL",AI14*(1+Macroindicadores!F$7),IF(AND($I14="NOVO",MONTH($O14)=MONTH(AW$4)),AI14*(1+Macroindicadores!F$7),IF(AND($J14="PONTUAL",MONTH($O14)=MONTH(AW$4)),AI14*(1+Macroindicadores!F$7),IF(AND($J14="PONTUAL",MONTH($O14)&lt;MONTH(AW$4)),MIN($AS14:AV14),IF(AND($I14="NOVO",MONTH($O14)&gt;MONTH(AW$4)),AI14,IF(MONTH($O14)&gt;MONTH(AW$4),AI14,IF(MONTH($O14)=MONTH(AW$4),AI14*(1+Macroindicadores!F$7),AV14)))))))))</f>
        <v>1.3747047999999999</v>
      </c>
      <c r="AX14" s="117">
        <f>IF(ISBLANK(V14),"",IF(ISBLANK($O14),AJ14,IF($J14="ANUAL",AJ14*(1+Macroindicadores!G$7),IF(AND($I14="NOVO",MONTH($O14)=MONTH(AX$4)),AJ14*(1+Macroindicadores!G$7),IF(AND($J14="PONTUAL",MONTH($O14)=MONTH(AX$4)),AJ14*(1+Macroindicadores!G$7),IF(AND($J14="PONTUAL",MONTH($O14)&lt;MONTH(AX$4)),MIN($AS14:AW14),IF(AND($I14="NOVO",MONTH($O14)&gt;MONTH(AX$4)),AJ14,IF(MONTH($O14)&gt;MONTH(AX$4),AJ14,IF(MONTH($O14)=MONTH(AX$4),AJ14*(1+Macroindicadores!G$7),AW14)))))))))</f>
        <v>1.3747047999999999</v>
      </c>
      <c r="AY14" s="117">
        <f>IF(ISBLANK(W14),"",IF(ISBLANK($O14),AK14,IF($J14="ANUAL",AK14*(1+Macroindicadores!H$7),IF(AND($I14="NOVO",MONTH($O14)=MONTH(AY$4)),AK14*(1+Macroindicadores!H$7),IF(AND($J14="PONTUAL",MONTH($O14)=MONTH(AY$4)),AK14*(1+Macroindicadores!H$7),IF(AND($J14="PONTUAL",MONTH($O14)&lt;MONTH(AY$4)),MIN($AS14:AX14),IF(AND($I14="NOVO",MONTH($O14)&gt;MONTH(AY$4)),AK14,IF(MONTH($O14)&gt;MONTH(AY$4),AK14,IF(MONTH($O14)=MONTH(AY$4),AK14*(1+Macroindicadores!H$7),AX14)))))))))</f>
        <v>1.3747047999999999</v>
      </c>
      <c r="AZ14" s="117">
        <f>IF(ISBLANK(X14),"",IF(ISBLANK($O14),AL14,IF($J14="ANUAL",AL14*(1+Macroindicadores!I$7),IF(AND($I14="NOVO",MONTH($O14)=MONTH(AZ$4)),AL14*(1+Macroindicadores!I$7),IF(AND($J14="PONTUAL",MONTH($O14)=MONTH(AZ$4)),AL14*(1+Macroindicadores!I$7),IF(AND($J14="PONTUAL",MONTH($O14)&lt;MONTH(AZ$4)),MIN($AS14:AY14),IF(AND($I14="NOVO",MONTH($O14)&gt;MONTH(AZ$4)),AL14,IF(MONTH($O14)&gt;MONTH(AZ$4),AL14,IF(MONTH($O14)=MONTH(AZ$4),AL14*(1+Macroindicadores!I$7),AY14)))))))))</f>
        <v>1.3747047999999999</v>
      </c>
      <c r="BA14" s="117">
        <f>IF(ISBLANK(Y14),"",IF(ISBLANK($O14),AM14,IF($J14="ANUAL",AM14*(1+Macroindicadores!J$7),IF(AND($I14="NOVO",MONTH($O14)=MONTH(BA$4)),AM14*(1+Macroindicadores!J$7),IF(AND($J14="PONTUAL",MONTH($O14)=MONTH(BA$4)),AM14*(1+Macroindicadores!J$7),IF(AND($J14="PONTUAL",MONTH($O14)&lt;MONTH(BA$4)),MIN($AS14:AZ14),IF(AND($I14="NOVO",MONTH($O14)&gt;MONTH(BA$4)),AM14,IF(MONTH($O14)&gt;MONTH(BA$4),AM14,IF(MONTH($O14)=MONTH(BA$4),AM14*(1+Macroindicadores!J$7),AZ14)))))))))</f>
        <v>1.3747047999999999</v>
      </c>
      <c r="BB14" s="117">
        <f>IF(ISBLANK(Z14),"",IF(ISBLANK($O14),AN14,IF($J14="ANUAL",AN14*(1+Macroindicadores!K$7),IF(AND($I14="NOVO",MONTH($O14)=MONTH(BB$4)),AN14*(1+Macroindicadores!K$7),IF(AND($J14="PONTUAL",MONTH($O14)=MONTH(BB$4)),AN14*(1+Macroindicadores!K$7),IF(AND($J14="PONTUAL",MONTH($O14)&lt;MONTH(BB$4)),MIN($AS14:BA14),IF(AND($I14="NOVO",MONTH($O14)&gt;MONTH(BB$4)),AN14,IF(MONTH($O14)&gt;MONTH(BB$4),AN14,IF(MONTH($O14)=MONTH(BB$4),AN14*(1+Macroindicadores!K$7),BA14)))))))))</f>
        <v>1.3747047999999999</v>
      </c>
      <c r="BC14" s="117">
        <f>IF(ISBLANK(AA14),"",IF(ISBLANK($O14),AO14,IF($J14="ANUAL",AO14*(1+Macroindicadores!L$7),IF(AND($I14="NOVO",MONTH($O14)=MONTH(BC$4)),AO14*(1+Macroindicadores!L$7),IF(AND($J14="PONTUAL",MONTH($O14)=MONTH(BC$4)),AO14*(1+Macroindicadores!L$7),IF(AND($J14="PONTUAL",MONTH($O14)&lt;MONTH(BC$4)),MIN($AS14:BB14),IF(AND($I14="NOVO",MONTH($O14)&gt;MONTH(BC$4)),AO14,IF(MONTH($O14)&gt;MONTH(BC$4),AO14,IF(MONTH($O14)=MONTH(BC$4),AO14*(1+Macroindicadores!L$7),BB14)))))))))</f>
        <v>1.3747047999999999</v>
      </c>
      <c r="BD14" s="117">
        <f>IF(ISBLANK(AB14),"",IF(ISBLANK($O14),AP14,IF($J14="ANUAL",AP14*(1+Macroindicadores!M$7),IF(AND($I14="NOVO",MONTH($O14)=MONTH(BD$4)),AP14*(1+Macroindicadores!M$7),IF(AND($J14="PONTUAL",MONTH($O14)=MONTH(BD$4)),AP14*(1+Macroindicadores!M$7),IF(AND($J14="PONTUAL",MONTH($O14)&lt;MONTH(BD$4)),MIN($AS14:BC14),IF(AND($I14="NOVO",MONTH($O14)&gt;MONTH(BD$4)),AP14,IF(MONTH($O14)&gt;MONTH(BD$4),AP14,IF(MONTH($O14)=MONTH(BD$4),AP14*(1+Macroindicadores!M$7),BC14)))))))))</f>
        <v>1.3747047999999999</v>
      </c>
      <c r="BE14" s="118">
        <f t="shared" si="36"/>
        <v>16.496457599999999</v>
      </c>
      <c r="BF14" s="108"/>
      <c r="BG14" s="117">
        <f>IF(ISBLANK(Q14),"",AS14/Macroindicadores!B$2)</f>
        <v>0.23379333333333333</v>
      </c>
      <c r="BH14" s="117">
        <f>IF(ISBLANK(R14),"",AT14/Macroindicadores!C$2)</f>
        <v>0.23379333333333333</v>
      </c>
      <c r="BI14" s="117">
        <f>IF(ISBLANK(S14),"",AU14/Macroindicadores!D$2)</f>
        <v>0.23379333333333333</v>
      </c>
      <c r="BJ14" s="117">
        <f>IF(ISBLANK(T14),"",AV14/Macroindicadores!E$2)</f>
        <v>0.23379333333333333</v>
      </c>
      <c r="BK14" s="117">
        <f>IF(ISBLANK(U14),"",AW14/Macroindicadores!F$2)</f>
        <v>0.23379333333333333</v>
      </c>
      <c r="BL14" s="117">
        <f>IF(ISBLANK(V14),"",AX14/Macroindicadores!G$2)</f>
        <v>0.23379333333333333</v>
      </c>
      <c r="BM14" s="117">
        <f>IF(ISBLANK(W14),"",AY14/Macroindicadores!H$2)</f>
        <v>0.23379333333333333</v>
      </c>
      <c r="BN14" s="117">
        <f>IF(ISBLANK(X14),"",AZ14/Macroindicadores!I$2)</f>
        <v>0.23379333333333333</v>
      </c>
      <c r="BO14" s="117">
        <f>IF(ISBLANK(Y14),"",BA14/Macroindicadores!J$2)</f>
        <v>0.23379333333333333</v>
      </c>
      <c r="BP14" s="117">
        <f>IF(ISBLANK(Z14),"",BB14/Macroindicadores!K$2)</f>
        <v>0.23379333333333333</v>
      </c>
      <c r="BQ14" s="117">
        <f>IF(ISBLANK(AA14),"",BC14/Macroindicadores!L$2)</f>
        <v>0.23379333333333333</v>
      </c>
      <c r="BR14" s="117">
        <f>IF(ISBLANK(AB14),"",BD14/Macroindicadores!M$2)</f>
        <v>0.23379333333333333</v>
      </c>
      <c r="BS14" s="118">
        <f>IF(AND(ISBLANK($Q14),ISBLANK($R14),ISBLANK($S14),ISBLANK($T14),ISBLANK($U14),ISBLANK($V14),ISBLANK($W14),ISBLANK($X14),ISBLANK($Y14),ISBLANK($Z14),ISBLANK($AA14),ISBLANK($AB14)),"",SUM(BG14:BR14))</f>
        <v>2.80552</v>
      </c>
      <c r="BT14" s="25" t="str">
        <f>IF(ISBLANK($L14),"",_xlfn.XLOOKUP($L14,'CENTRO CUSTO'!$A:$A,'CENTRO CUSTO'!$E:$E,FALSE,0))</f>
        <v>G&amp;A BU</v>
      </c>
    </row>
    <row r="15" spans="1:74">
      <c r="A15" s="9" t="str">
        <f t="shared" si="40"/>
        <v>Budget</v>
      </c>
      <c r="B15" s="9">
        <f t="shared" si="31"/>
        <v>2026</v>
      </c>
      <c r="C15" s="111" t="str">
        <f>IF(ISBLANK($L15),"",_xlfn.XLOOKUP($L15,'CENTRO CUSTO'!$A:$A,'CENTRO CUSTO'!F:F,FALSE,0))</f>
        <v>Cone Sul</v>
      </c>
      <c r="D15" s="111" t="str">
        <f>IF(ISBLANK($L15),"",_xlfn.XLOOKUP($L15,'CENTRO CUSTO'!$A:$A,'CENTRO CUSTO'!G:G,FALSE,0))</f>
        <v>Plataforma</v>
      </c>
      <c r="E15" s="111" t="str">
        <f>IF(ISBLANK($L15),"",_xlfn.XLOOKUP($L15,'CENTRO CUSTO'!$A:$A,'CENTRO CUSTO'!H:H,FALSE,0))</f>
        <v>G&amp;A</v>
      </c>
      <c r="F15" s="112" t="s">
        <v>92</v>
      </c>
      <c r="G15" s="112" t="s">
        <v>75</v>
      </c>
      <c r="H15" s="112" t="s">
        <v>93</v>
      </c>
      <c r="I15" s="113" t="s">
        <v>84</v>
      </c>
      <c r="J15" s="113" t="s">
        <v>78</v>
      </c>
      <c r="K15" s="113" t="s">
        <v>79</v>
      </c>
      <c r="L15" s="113" t="s">
        <v>54</v>
      </c>
      <c r="M15" s="111" t="str">
        <f>IF(ISBLANK($L15),"",_xlfn.XLOOKUP($L15,'CENTRO CUSTO'!$A:$A,'CENTRO CUSTO'!D:D,FALSE,0))</f>
        <v>Alexandre Ayabe</v>
      </c>
      <c r="N15" s="113" t="s">
        <v>80</v>
      </c>
      <c r="O15" s="114"/>
      <c r="P15" s="113" t="s">
        <v>88</v>
      </c>
      <c r="Q15" s="115">
        <f>140276*Rateio!$E$58/12</f>
        <v>1870.3466666666666</v>
      </c>
      <c r="R15" s="115">
        <f>140276*Rateio!$E$58/12</f>
        <v>1870.3466666666666</v>
      </c>
      <c r="S15" s="115">
        <f>140276*Rateio!$E$58/12</f>
        <v>1870.3466666666666</v>
      </c>
      <c r="T15" s="115">
        <f>140276*Rateio!$E$58/12</f>
        <v>1870.3466666666666</v>
      </c>
      <c r="U15" s="115">
        <f>140276*Rateio!$E$58/12</f>
        <v>1870.3466666666666</v>
      </c>
      <c r="V15" s="115">
        <f>140276*Rateio!$E$58/12</f>
        <v>1870.3466666666666</v>
      </c>
      <c r="W15" s="115">
        <f>140276*Rateio!$E$58/12</f>
        <v>1870.3466666666666</v>
      </c>
      <c r="X15" s="115">
        <f>140276*Rateio!$E$58/12</f>
        <v>1870.3466666666666</v>
      </c>
      <c r="Y15" s="115">
        <f>140276*Rateio!$E$58/12</f>
        <v>1870.3466666666666</v>
      </c>
      <c r="Z15" s="115">
        <f>140276*Rateio!$E$58/12</f>
        <v>1870.3466666666666</v>
      </c>
      <c r="AA15" s="115">
        <f>140276*Rateio!$E$58/12</f>
        <v>1870.3466666666666</v>
      </c>
      <c r="AB15" s="115">
        <f>140276*Rateio!$E$58/12</f>
        <v>1870.3466666666666</v>
      </c>
      <c r="AC15" s="116">
        <f t="shared" si="41"/>
        <v>22444.160000000003</v>
      </c>
      <c r="AD15" s="108"/>
      <c r="AE15" s="117">
        <f>IF(ISBLANK(Q15),"",IF($P15="BRL",Q15,Q15*Macroindicadores!B$2)/1000)</f>
        <v>10.9976384</v>
      </c>
      <c r="AF15" s="117">
        <f>IF(ISBLANK(R15),"",IF($P15="BRL",R15,R15*Macroindicadores!C$2)/1000)</f>
        <v>10.9976384</v>
      </c>
      <c r="AG15" s="117">
        <f>IF(ISBLANK(S15),"",IF($P15="BRL",S15,S15*Macroindicadores!D$2)/1000)</f>
        <v>10.9976384</v>
      </c>
      <c r="AH15" s="117">
        <f>IF(ISBLANK(T15),"",IF($P15="BRL",T15,T15*Macroindicadores!E$2)/1000)</f>
        <v>10.9976384</v>
      </c>
      <c r="AI15" s="117">
        <f>IF(ISBLANK(U15),"",IF($P15="BRL",U15,U15*Macroindicadores!F$2)/1000)</f>
        <v>10.9976384</v>
      </c>
      <c r="AJ15" s="117">
        <f>IF(ISBLANK(V15),"",IF($P15="BRL",V15,V15*Macroindicadores!G$2)/1000)</f>
        <v>10.9976384</v>
      </c>
      <c r="AK15" s="117">
        <f>IF(ISBLANK(W15),"",IF($P15="BRL",W15,W15*Macroindicadores!H$2)/1000)</f>
        <v>10.9976384</v>
      </c>
      <c r="AL15" s="117">
        <f>IF(ISBLANK(X15),"",IF($P15="BRL",X15,X15*Macroindicadores!I$2)/1000)</f>
        <v>10.9976384</v>
      </c>
      <c r="AM15" s="117">
        <f>IF(ISBLANK(Y15),"",IF($P15="BRL",Y15,Y15*Macroindicadores!J$2)/1000)</f>
        <v>10.9976384</v>
      </c>
      <c r="AN15" s="117">
        <f>IF(ISBLANK(Z15),"",IF($P15="BRL",Z15,Z15*Macroindicadores!K$2)/1000)</f>
        <v>10.9976384</v>
      </c>
      <c r="AO15" s="117">
        <f>IF(ISBLANK(AA15),"",IF($P15="BRL",AA15,AA15*Macroindicadores!L$2)/1000)</f>
        <v>10.9976384</v>
      </c>
      <c r="AP15" s="117">
        <f>IF(ISBLANK(AB15),"",IF($P15="BRL",AB15,AB15*Macroindicadores!M$2)/1000)</f>
        <v>10.9976384</v>
      </c>
      <c r="AQ15" s="118">
        <f t="shared" si="35"/>
        <v>131.9716608</v>
      </c>
      <c r="AR15" s="108"/>
      <c r="AS15" s="117">
        <f>IF(ISBLANK(Q15),"",IF(ISBLANK($O15),AE15,IF($J15="ANUAL",AE15*(1+Macroindicadores!B$7),IF(AND($I15="NOVO",MONTH($O15)=MONTH(AS$4)),AE15*(1+Macroindicadores!B$7),IF(AND($J15="PONTUAL",MONTH($O15)=MONTH(AS$4)),AE15*(1+Macroindicadores!B$7),IF(AND($J15="PONTUAL",MONTH($O15)&lt;MONTH(AS$4)),MIN(AR15:$AS15),IF(AND($I15="NOVO",MONTH($O15)&gt;MONTH(AS$4)),AE15,IF(MONTH($O15)&gt;MONTH(AS$4),AE15,IF(MONTH($O15)=MONTH(AS$4),AE15*(1+Macroindicadores!B$7),AR15)))))))))</f>
        <v>10.9976384</v>
      </c>
      <c r="AT15" s="117">
        <f>IF(ISBLANK(R15),"",IF(ISBLANK($O15),AF15,IF($J15="ANUAL",AF15*(1+Macroindicadores!C$7),IF(AND($I15="NOVO",MONTH($O15)=MONTH(AT$4)),AF15*(1+Macroindicadores!C$7),IF(AND($J15="PONTUAL",MONTH($O15)=MONTH(AT$4)),AF15*(1+Macroindicadores!C$7),IF(AND($J15="PONTUAL",MONTH($O15)&lt;MONTH(AT$4)),MIN($AS15:AS15),IF(AND($I15="NOVO",MONTH($O15)&gt;MONTH(AT$4)),AF15,IF(MONTH($O15)&gt;MONTH(AT$4),AF15,IF(MONTH($O15)=MONTH(AT$4),AF15*(1+Macroindicadores!C$7),AS15)))))))))</f>
        <v>10.9976384</v>
      </c>
      <c r="AU15" s="117">
        <f>IF(ISBLANK(S15),"",IF(ISBLANK($O15),AG15,IF($J15="ANUAL",AG15*(1+Macroindicadores!D$7),IF(AND($I15="NOVO",MONTH($O15)=MONTH(AU$4)),AG15*(1+Macroindicadores!D$7),IF(AND($J15="PONTUAL",MONTH($O15)=MONTH(AU$4)),AG15*(1+Macroindicadores!D$7),IF(AND($J15="PONTUAL",MONTH($O15)&lt;MONTH(AU$4)),MIN($AS15:AT15),IF(AND($I15="NOVO",MONTH($O15)&gt;MONTH(AU$4)),AG15,IF(MONTH($O15)&gt;MONTH(AU$4),AG15,IF(MONTH($O15)=MONTH(AU$4),AG15*(1+Macroindicadores!D$7),AT15)))))))))</f>
        <v>10.9976384</v>
      </c>
      <c r="AV15" s="117">
        <f>IF(ISBLANK(T15),"",IF(ISBLANK($O15),AH15,IF($J15="ANUAL",AH15*(1+Macroindicadores!E$7),IF(AND($I15="NOVO",MONTH($O15)=MONTH(AV$4)),AH15*(1+Macroindicadores!E$7),IF(AND($J15="PONTUAL",MONTH($O15)=MONTH(AV$4)),AH15*(1+Macroindicadores!E$7),IF(AND($J15="PONTUAL",MONTH($O15)&lt;MONTH(AV$4)),MIN($AS15:AU15),IF(AND($I15="NOVO",MONTH($O15)&gt;MONTH(AV$4)),AH15,IF(MONTH($O15)&gt;MONTH(AV$4),AH15,IF(MONTH($O15)=MONTH(AV$4),AH15*(1+Macroindicadores!E$7),AU15)))))))))</f>
        <v>10.9976384</v>
      </c>
      <c r="AW15" s="117">
        <f>IF(ISBLANK(U15),"",IF(ISBLANK($O15),AI15,IF($J15="ANUAL",AI15*(1+Macroindicadores!F$7),IF(AND($I15="NOVO",MONTH($O15)=MONTH(AW$4)),AI15*(1+Macroindicadores!F$7),IF(AND($J15="PONTUAL",MONTH($O15)=MONTH(AW$4)),AI15*(1+Macroindicadores!F$7),IF(AND($J15="PONTUAL",MONTH($O15)&lt;MONTH(AW$4)),MIN($AS15:AV15),IF(AND($I15="NOVO",MONTH($O15)&gt;MONTH(AW$4)),AI15,IF(MONTH($O15)&gt;MONTH(AW$4),AI15,IF(MONTH($O15)=MONTH(AW$4),AI15*(1+Macroindicadores!F$7),AV15)))))))))</f>
        <v>10.9976384</v>
      </c>
      <c r="AX15" s="117">
        <f>IF(ISBLANK(V15),"",IF(ISBLANK($O15),AJ15,IF($J15="ANUAL",AJ15*(1+Macroindicadores!G$7),IF(AND($I15="NOVO",MONTH($O15)=MONTH(AX$4)),AJ15*(1+Macroindicadores!G$7),IF(AND($J15="PONTUAL",MONTH($O15)=MONTH(AX$4)),AJ15*(1+Macroindicadores!G$7),IF(AND($J15="PONTUAL",MONTH($O15)&lt;MONTH(AX$4)),MIN($AS15:AW15),IF(AND($I15="NOVO",MONTH($O15)&gt;MONTH(AX$4)),AJ15,IF(MONTH($O15)&gt;MONTH(AX$4),AJ15,IF(MONTH($O15)=MONTH(AX$4),AJ15*(1+Macroindicadores!G$7),AW15)))))))))</f>
        <v>10.9976384</v>
      </c>
      <c r="AY15" s="117">
        <f>IF(ISBLANK(W15),"",IF(ISBLANK($O15),AK15,IF($J15="ANUAL",AK15*(1+Macroindicadores!H$7),IF(AND($I15="NOVO",MONTH($O15)=MONTH(AY$4)),AK15*(1+Macroindicadores!H$7),IF(AND($J15="PONTUAL",MONTH($O15)=MONTH(AY$4)),AK15*(1+Macroindicadores!H$7),IF(AND($J15="PONTUAL",MONTH($O15)&lt;MONTH(AY$4)),MIN($AS15:AX15),IF(AND($I15="NOVO",MONTH($O15)&gt;MONTH(AY$4)),AK15,IF(MONTH($O15)&gt;MONTH(AY$4),AK15,IF(MONTH($O15)=MONTH(AY$4),AK15*(1+Macroindicadores!H$7),AX15)))))))))</f>
        <v>10.9976384</v>
      </c>
      <c r="AZ15" s="117">
        <f>IF(ISBLANK(X15),"",IF(ISBLANK($O15),AL15,IF($J15="ANUAL",AL15*(1+Macroindicadores!I$7),IF(AND($I15="NOVO",MONTH($O15)=MONTH(AZ$4)),AL15*(1+Macroindicadores!I$7),IF(AND($J15="PONTUAL",MONTH($O15)=MONTH(AZ$4)),AL15*(1+Macroindicadores!I$7),IF(AND($J15="PONTUAL",MONTH($O15)&lt;MONTH(AZ$4)),MIN($AS15:AY15),IF(AND($I15="NOVO",MONTH($O15)&gt;MONTH(AZ$4)),AL15,IF(MONTH($O15)&gt;MONTH(AZ$4),AL15,IF(MONTH($O15)=MONTH(AZ$4),AL15*(1+Macroindicadores!I$7),AY15)))))))))</f>
        <v>10.9976384</v>
      </c>
      <c r="BA15" s="117">
        <f>IF(ISBLANK(Y15),"",IF(ISBLANK($O15),AM15,IF($J15="ANUAL",AM15*(1+Macroindicadores!J$7),IF(AND($I15="NOVO",MONTH($O15)=MONTH(BA$4)),AM15*(1+Macroindicadores!J$7),IF(AND($J15="PONTUAL",MONTH($O15)=MONTH(BA$4)),AM15*(1+Macroindicadores!J$7),IF(AND($J15="PONTUAL",MONTH($O15)&lt;MONTH(BA$4)),MIN($AS15:AZ15),IF(AND($I15="NOVO",MONTH($O15)&gt;MONTH(BA$4)),AM15,IF(MONTH($O15)&gt;MONTH(BA$4),AM15,IF(MONTH($O15)=MONTH(BA$4),AM15*(1+Macroindicadores!J$7),AZ15)))))))))</f>
        <v>10.9976384</v>
      </c>
      <c r="BB15" s="117">
        <f>IF(ISBLANK(Z15),"",IF(ISBLANK($O15),AN15,IF($J15="ANUAL",AN15*(1+Macroindicadores!K$7),IF(AND($I15="NOVO",MONTH($O15)=MONTH(BB$4)),AN15*(1+Macroindicadores!K$7),IF(AND($J15="PONTUAL",MONTH($O15)=MONTH(BB$4)),AN15*(1+Macroindicadores!K$7),IF(AND($J15="PONTUAL",MONTH($O15)&lt;MONTH(BB$4)),MIN($AS15:BA15),IF(AND($I15="NOVO",MONTH($O15)&gt;MONTH(BB$4)),AN15,IF(MONTH($O15)&gt;MONTH(BB$4),AN15,IF(MONTH($O15)=MONTH(BB$4),AN15*(1+Macroindicadores!K$7),BA15)))))))))</f>
        <v>10.9976384</v>
      </c>
      <c r="BC15" s="117">
        <f>IF(ISBLANK(AA15),"",IF(ISBLANK($O15),AO15,IF($J15="ANUAL",AO15*(1+Macroindicadores!L$7),IF(AND($I15="NOVO",MONTH($O15)=MONTH(BC$4)),AO15*(1+Macroindicadores!L$7),IF(AND($J15="PONTUAL",MONTH($O15)=MONTH(BC$4)),AO15*(1+Macroindicadores!L$7),IF(AND($J15="PONTUAL",MONTH($O15)&lt;MONTH(BC$4)),MIN($AS15:BB15),IF(AND($I15="NOVO",MONTH($O15)&gt;MONTH(BC$4)),AO15,IF(MONTH($O15)&gt;MONTH(BC$4),AO15,IF(MONTH($O15)=MONTH(BC$4),AO15*(1+Macroindicadores!L$7),BB15)))))))))</f>
        <v>10.9976384</v>
      </c>
      <c r="BD15" s="117">
        <f>IF(ISBLANK(AB15),"",IF(ISBLANK($O15),AP15,IF($J15="ANUAL",AP15*(1+Macroindicadores!M$7),IF(AND($I15="NOVO",MONTH($O15)=MONTH(BD$4)),AP15*(1+Macroindicadores!M$7),IF(AND($J15="PONTUAL",MONTH($O15)=MONTH(BD$4)),AP15*(1+Macroindicadores!M$7),IF(AND($J15="PONTUAL",MONTH($O15)&lt;MONTH(BD$4)),MIN($AS15:BC15),IF(AND($I15="NOVO",MONTH($O15)&gt;MONTH(BD$4)),AP15,IF(MONTH($O15)&gt;MONTH(BD$4),AP15,IF(MONTH($O15)=MONTH(BD$4),AP15*(1+Macroindicadores!M$7),BC15)))))))))</f>
        <v>10.9976384</v>
      </c>
      <c r="BE15" s="118">
        <f t="shared" si="36"/>
        <v>131.9716608</v>
      </c>
      <c r="BF15" s="108"/>
      <c r="BG15" s="117">
        <f>IF(ISBLANK(Q15),"",AS15/Macroindicadores!B$2)</f>
        <v>1.8703466666666666</v>
      </c>
      <c r="BH15" s="117">
        <f>IF(ISBLANK(R15),"",AT15/Macroindicadores!C$2)</f>
        <v>1.8703466666666666</v>
      </c>
      <c r="BI15" s="117">
        <f>IF(ISBLANK(S15),"",AU15/Macroindicadores!D$2)</f>
        <v>1.8703466666666666</v>
      </c>
      <c r="BJ15" s="117">
        <f>IF(ISBLANK(T15),"",AV15/Macroindicadores!E$2)</f>
        <v>1.8703466666666666</v>
      </c>
      <c r="BK15" s="117">
        <f>IF(ISBLANK(U15),"",AW15/Macroindicadores!F$2)</f>
        <v>1.8703466666666666</v>
      </c>
      <c r="BL15" s="117">
        <f>IF(ISBLANK(V15),"",AX15/Macroindicadores!G$2)</f>
        <v>1.8703466666666666</v>
      </c>
      <c r="BM15" s="117">
        <f>IF(ISBLANK(W15),"",AY15/Macroindicadores!H$2)</f>
        <v>1.8703466666666666</v>
      </c>
      <c r="BN15" s="117">
        <f>IF(ISBLANK(X15),"",AZ15/Macroindicadores!I$2)</f>
        <v>1.8703466666666666</v>
      </c>
      <c r="BO15" s="117">
        <f>IF(ISBLANK(Y15),"",BA15/Macroindicadores!J$2)</f>
        <v>1.8703466666666666</v>
      </c>
      <c r="BP15" s="117">
        <f>IF(ISBLANK(Z15),"",BB15/Macroindicadores!K$2)</f>
        <v>1.8703466666666666</v>
      </c>
      <c r="BQ15" s="117">
        <f>IF(ISBLANK(AA15),"",BC15/Macroindicadores!L$2)</f>
        <v>1.8703466666666666</v>
      </c>
      <c r="BR15" s="117">
        <f>IF(ISBLANK(AB15),"",BD15/Macroindicadores!M$2)</f>
        <v>1.8703466666666666</v>
      </c>
      <c r="BS15" s="118">
        <f>IF(AND(ISBLANK($Q15),ISBLANK($R15),ISBLANK($S15),ISBLANK($T15),ISBLANK($U15),ISBLANK($V15),ISBLANK($W15),ISBLANK($X15),ISBLANK($Y15),ISBLANK($Z15),ISBLANK($AA15),ISBLANK($AB15)),"",SUM(BG15:BR15))</f>
        <v>22.44416</v>
      </c>
      <c r="BT15" s="25" t="str">
        <f>IF(ISBLANK($L15),"",_xlfn.XLOOKUP($L15,'CENTRO CUSTO'!$A:$A,'CENTRO CUSTO'!$E:$E,FALSE,0))</f>
        <v>G&amp;A PL</v>
      </c>
    </row>
    <row r="16" spans="1:74">
      <c r="A16" s="9" t="str">
        <f t="shared" si="40"/>
        <v>Budget</v>
      </c>
      <c r="B16" s="9">
        <f t="shared" si="31"/>
        <v>2026</v>
      </c>
      <c r="C16" s="111" t="str">
        <f>IF(ISBLANK($L16),"",_xlfn.XLOOKUP($L16,'CENTRO CUSTO'!$A:$A,'CENTRO CUSTO'!F:F,FALSE,0))</f>
        <v>LATAM</v>
      </c>
      <c r="D16" s="111" t="str">
        <f>IF(ISBLANK($L16),"",_xlfn.XLOOKUP($L16,'CENTRO CUSTO'!$A:$A,'CENTRO CUSTO'!G:G,FALSE,0))</f>
        <v>Corporativo</v>
      </c>
      <c r="E16" s="111" t="str">
        <f>IF(ISBLANK($L16),"",_xlfn.XLOOKUP($L16,'CENTRO CUSTO'!$A:$A,'CENTRO CUSTO'!H:H,FALSE,0))</f>
        <v>G&amp;A</v>
      </c>
      <c r="F16" s="112" t="s">
        <v>92</v>
      </c>
      <c r="G16" s="112" t="s">
        <v>75</v>
      </c>
      <c r="H16" s="112" t="s">
        <v>93</v>
      </c>
      <c r="I16" s="113" t="s">
        <v>84</v>
      </c>
      <c r="J16" s="113" t="s">
        <v>78</v>
      </c>
      <c r="K16" s="113" t="s">
        <v>79</v>
      </c>
      <c r="L16" s="113" t="s">
        <v>96</v>
      </c>
      <c r="M16" s="111" t="str">
        <f>IF(ISBLANK($L16),"",_xlfn.XLOOKUP($L16,'CENTRO CUSTO'!$A:$A,'CENTRO CUSTO'!D:D,FALSE,0))</f>
        <v>Jimmy Espinosa</v>
      </c>
      <c r="N16" s="113" t="s">
        <v>80</v>
      </c>
      <c r="O16" s="114"/>
      <c r="P16" s="113" t="s">
        <v>88</v>
      </c>
      <c r="Q16" s="115">
        <f>140276*Rateio!$E$59/12</f>
        <v>584.48333333333335</v>
      </c>
      <c r="R16" s="115">
        <f>140276*Rateio!$E$59/12</f>
        <v>584.48333333333335</v>
      </c>
      <c r="S16" s="115">
        <f>140276*Rateio!$E$59/12</f>
        <v>584.48333333333335</v>
      </c>
      <c r="T16" s="115">
        <f>140276*Rateio!$E$59/12</f>
        <v>584.48333333333335</v>
      </c>
      <c r="U16" s="115">
        <f>140276*Rateio!$E$59/12</f>
        <v>584.48333333333335</v>
      </c>
      <c r="V16" s="115">
        <f>140276*Rateio!$E$59/12</f>
        <v>584.48333333333335</v>
      </c>
      <c r="W16" s="115">
        <f>140276*Rateio!$E$59/12</f>
        <v>584.48333333333335</v>
      </c>
      <c r="X16" s="115">
        <f>140276*Rateio!$E$59/12</f>
        <v>584.48333333333335</v>
      </c>
      <c r="Y16" s="115">
        <f>140276*Rateio!$E$59/12</f>
        <v>584.48333333333335</v>
      </c>
      <c r="Z16" s="115">
        <f>140276*Rateio!$E$59/12</f>
        <v>584.48333333333335</v>
      </c>
      <c r="AA16" s="115">
        <f>140276*Rateio!$E$59/12</f>
        <v>584.48333333333335</v>
      </c>
      <c r="AB16" s="115">
        <f>140276*Rateio!$E$59/12</f>
        <v>584.48333333333335</v>
      </c>
      <c r="AC16" s="116">
        <f t="shared" si="41"/>
        <v>7013.800000000002</v>
      </c>
      <c r="AD16" s="108"/>
      <c r="AE16" s="117">
        <f>IF(ISBLANK(Q16),"",IF($P16="BRL",Q16,Q16*Macroindicadores!B$2)/1000)</f>
        <v>3.4367620000000003</v>
      </c>
      <c r="AF16" s="117">
        <f>IF(ISBLANK(R16),"",IF($P16="BRL",R16,R16*Macroindicadores!C$2)/1000)</f>
        <v>3.4367620000000003</v>
      </c>
      <c r="AG16" s="117">
        <f>IF(ISBLANK(S16),"",IF($P16="BRL",S16,S16*Macroindicadores!D$2)/1000)</f>
        <v>3.4367620000000003</v>
      </c>
      <c r="AH16" s="117">
        <f>IF(ISBLANK(T16),"",IF($P16="BRL",T16,T16*Macroindicadores!E$2)/1000)</f>
        <v>3.4367620000000003</v>
      </c>
      <c r="AI16" s="117">
        <f>IF(ISBLANK(U16),"",IF($P16="BRL",U16,U16*Macroindicadores!F$2)/1000)</f>
        <v>3.4367620000000003</v>
      </c>
      <c r="AJ16" s="117">
        <f>IF(ISBLANK(V16),"",IF($P16="BRL",V16,V16*Macroindicadores!G$2)/1000)</f>
        <v>3.4367620000000003</v>
      </c>
      <c r="AK16" s="117">
        <f>IF(ISBLANK(W16),"",IF($P16="BRL",W16,W16*Macroindicadores!H$2)/1000)</f>
        <v>3.4367620000000003</v>
      </c>
      <c r="AL16" s="117">
        <f>IF(ISBLANK(X16),"",IF($P16="BRL",X16,X16*Macroindicadores!I$2)/1000)</f>
        <v>3.4367620000000003</v>
      </c>
      <c r="AM16" s="117">
        <f>IF(ISBLANK(Y16),"",IF($P16="BRL",Y16,Y16*Macroindicadores!J$2)/1000)</f>
        <v>3.4367620000000003</v>
      </c>
      <c r="AN16" s="117">
        <f>IF(ISBLANK(Z16),"",IF($P16="BRL",Z16,Z16*Macroindicadores!K$2)/1000)</f>
        <v>3.4367620000000003</v>
      </c>
      <c r="AO16" s="117">
        <f>IF(ISBLANK(AA16),"",IF($P16="BRL",AA16,AA16*Macroindicadores!L$2)/1000)</f>
        <v>3.4367620000000003</v>
      </c>
      <c r="AP16" s="117">
        <f>IF(ISBLANK(AB16),"",IF($P16="BRL",AB16,AB16*Macroindicadores!M$2)/1000)</f>
        <v>3.4367620000000003</v>
      </c>
      <c r="AQ16" s="118">
        <f t="shared" si="35"/>
        <v>41.241144000000013</v>
      </c>
      <c r="AR16" s="108"/>
      <c r="AS16" s="117">
        <f>IF(ISBLANK(Q16),"",IF(ISBLANK($O16),AE16,IF($J16="ANUAL",AE16*(1+Macroindicadores!B$7),IF(AND($I16="NOVO",MONTH($O16)=MONTH(AS$4)),AE16*(1+Macroindicadores!B$7),IF(AND($J16="PONTUAL",MONTH($O16)=MONTH(AS$4)),AE16*(1+Macroindicadores!B$7),IF(AND($J16="PONTUAL",MONTH($O16)&lt;MONTH(AS$4)),MIN(AR16:$AS16),IF(AND($I16="NOVO",MONTH($O16)&gt;MONTH(AS$4)),AE16,IF(MONTH($O16)&gt;MONTH(AS$4),AE16,IF(MONTH($O16)=MONTH(AS$4),AE16*(1+Macroindicadores!B$7),AR16)))))))))</f>
        <v>3.4367620000000003</v>
      </c>
      <c r="AT16" s="117">
        <f>IF(ISBLANK(R16),"",IF(ISBLANK($O16),AF16,IF($J16="ANUAL",AF16*(1+Macroindicadores!C$7),IF(AND($I16="NOVO",MONTH($O16)=MONTH(AT$4)),AF16*(1+Macroindicadores!C$7),IF(AND($J16="PONTUAL",MONTH($O16)=MONTH(AT$4)),AF16*(1+Macroindicadores!C$7),IF(AND($J16="PONTUAL",MONTH($O16)&lt;MONTH(AT$4)),MIN($AS16:AS16),IF(AND($I16="NOVO",MONTH($O16)&gt;MONTH(AT$4)),AF16,IF(MONTH($O16)&gt;MONTH(AT$4),AF16,IF(MONTH($O16)=MONTH(AT$4),AF16*(1+Macroindicadores!C$7),AS16)))))))))</f>
        <v>3.4367620000000003</v>
      </c>
      <c r="AU16" s="117">
        <f>IF(ISBLANK(S16),"",IF(ISBLANK($O16),AG16,IF($J16="ANUAL",AG16*(1+Macroindicadores!D$7),IF(AND($I16="NOVO",MONTH($O16)=MONTH(AU$4)),AG16*(1+Macroindicadores!D$7),IF(AND($J16="PONTUAL",MONTH($O16)=MONTH(AU$4)),AG16*(1+Macroindicadores!D$7),IF(AND($J16="PONTUAL",MONTH($O16)&lt;MONTH(AU$4)),MIN($AS16:AT16),IF(AND($I16="NOVO",MONTH($O16)&gt;MONTH(AU$4)),AG16,IF(MONTH($O16)&gt;MONTH(AU$4),AG16,IF(MONTH($O16)=MONTH(AU$4),AG16*(1+Macroindicadores!D$7),AT16)))))))))</f>
        <v>3.4367620000000003</v>
      </c>
      <c r="AV16" s="117">
        <f>IF(ISBLANK(T16),"",IF(ISBLANK($O16),AH16,IF($J16="ANUAL",AH16*(1+Macroindicadores!E$7),IF(AND($I16="NOVO",MONTH($O16)=MONTH(AV$4)),AH16*(1+Macroindicadores!E$7),IF(AND($J16="PONTUAL",MONTH($O16)=MONTH(AV$4)),AH16*(1+Macroindicadores!E$7),IF(AND($J16="PONTUAL",MONTH($O16)&lt;MONTH(AV$4)),MIN($AS16:AU16),IF(AND($I16="NOVO",MONTH($O16)&gt;MONTH(AV$4)),AH16,IF(MONTH($O16)&gt;MONTH(AV$4),AH16,IF(MONTH($O16)=MONTH(AV$4),AH16*(1+Macroindicadores!E$7),AU16)))))))))</f>
        <v>3.4367620000000003</v>
      </c>
      <c r="AW16" s="117">
        <f>IF(ISBLANK(U16),"",IF(ISBLANK($O16),AI16,IF($J16="ANUAL",AI16*(1+Macroindicadores!F$7),IF(AND($I16="NOVO",MONTH($O16)=MONTH(AW$4)),AI16*(1+Macroindicadores!F$7),IF(AND($J16="PONTUAL",MONTH($O16)=MONTH(AW$4)),AI16*(1+Macroindicadores!F$7),IF(AND($J16="PONTUAL",MONTH($O16)&lt;MONTH(AW$4)),MIN($AS16:AV16),IF(AND($I16="NOVO",MONTH($O16)&gt;MONTH(AW$4)),AI16,IF(MONTH($O16)&gt;MONTH(AW$4),AI16,IF(MONTH($O16)=MONTH(AW$4),AI16*(1+Macroindicadores!F$7),AV16)))))))))</f>
        <v>3.4367620000000003</v>
      </c>
      <c r="AX16" s="117">
        <f>IF(ISBLANK(V16),"",IF(ISBLANK($O16),AJ16,IF($J16="ANUAL",AJ16*(1+Macroindicadores!G$7),IF(AND($I16="NOVO",MONTH($O16)=MONTH(AX$4)),AJ16*(1+Macroindicadores!G$7),IF(AND($J16="PONTUAL",MONTH($O16)=MONTH(AX$4)),AJ16*(1+Macroindicadores!G$7),IF(AND($J16="PONTUAL",MONTH($O16)&lt;MONTH(AX$4)),MIN($AS16:AW16),IF(AND($I16="NOVO",MONTH($O16)&gt;MONTH(AX$4)),AJ16,IF(MONTH($O16)&gt;MONTH(AX$4),AJ16,IF(MONTH($O16)=MONTH(AX$4),AJ16*(1+Macroindicadores!G$7),AW16)))))))))</f>
        <v>3.4367620000000003</v>
      </c>
      <c r="AY16" s="117">
        <f>IF(ISBLANK(W16),"",IF(ISBLANK($O16),AK16,IF($J16="ANUAL",AK16*(1+Macroindicadores!H$7),IF(AND($I16="NOVO",MONTH($O16)=MONTH(AY$4)),AK16*(1+Macroindicadores!H$7),IF(AND($J16="PONTUAL",MONTH($O16)=MONTH(AY$4)),AK16*(1+Macroindicadores!H$7),IF(AND($J16="PONTUAL",MONTH($O16)&lt;MONTH(AY$4)),MIN($AS16:AX16),IF(AND($I16="NOVO",MONTH($O16)&gt;MONTH(AY$4)),AK16,IF(MONTH($O16)&gt;MONTH(AY$4),AK16,IF(MONTH($O16)=MONTH(AY$4),AK16*(1+Macroindicadores!H$7),AX16)))))))))</f>
        <v>3.4367620000000003</v>
      </c>
      <c r="AZ16" s="117">
        <f>IF(ISBLANK(X16),"",IF(ISBLANK($O16),AL16,IF($J16="ANUAL",AL16*(1+Macroindicadores!I$7),IF(AND($I16="NOVO",MONTH($O16)=MONTH(AZ$4)),AL16*(1+Macroindicadores!I$7),IF(AND($J16="PONTUAL",MONTH($O16)=MONTH(AZ$4)),AL16*(1+Macroindicadores!I$7),IF(AND($J16="PONTUAL",MONTH($O16)&lt;MONTH(AZ$4)),MIN($AS16:AY16),IF(AND($I16="NOVO",MONTH($O16)&gt;MONTH(AZ$4)),AL16,IF(MONTH($O16)&gt;MONTH(AZ$4),AL16,IF(MONTH($O16)=MONTH(AZ$4),AL16*(1+Macroindicadores!I$7),AY16)))))))))</f>
        <v>3.4367620000000003</v>
      </c>
      <c r="BA16" s="117">
        <f>IF(ISBLANK(Y16),"",IF(ISBLANK($O16),AM16,IF($J16="ANUAL",AM16*(1+Macroindicadores!J$7),IF(AND($I16="NOVO",MONTH($O16)=MONTH(BA$4)),AM16*(1+Macroindicadores!J$7),IF(AND($J16="PONTUAL",MONTH($O16)=MONTH(BA$4)),AM16*(1+Macroindicadores!J$7),IF(AND($J16="PONTUAL",MONTH($O16)&lt;MONTH(BA$4)),MIN($AS16:AZ16),IF(AND($I16="NOVO",MONTH($O16)&gt;MONTH(BA$4)),AM16,IF(MONTH($O16)&gt;MONTH(BA$4),AM16,IF(MONTH($O16)=MONTH(BA$4),AM16*(1+Macroindicadores!J$7),AZ16)))))))))</f>
        <v>3.4367620000000003</v>
      </c>
      <c r="BB16" s="117">
        <f>IF(ISBLANK(Z16),"",IF(ISBLANK($O16),AN16,IF($J16="ANUAL",AN16*(1+Macroindicadores!K$7),IF(AND($I16="NOVO",MONTH($O16)=MONTH(BB$4)),AN16*(1+Macroindicadores!K$7),IF(AND($J16="PONTUAL",MONTH($O16)=MONTH(BB$4)),AN16*(1+Macroindicadores!K$7),IF(AND($J16="PONTUAL",MONTH($O16)&lt;MONTH(BB$4)),MIN($AS16:BA16),IF(AND($I16="NOVO",MONTH($O16)&gt;MONTH(BB$4)),AN16,IF(MONTH($O16)&gt;MONTH(BB$4),AN16,IF(MONTH($O16)=MONTH(BB$4),AN16*(1+Macroindicadores!K$7),BA16)))))))))</f>
        <v>3.4367620000000003</v>
      </c>
      <c r="BC16" s="117">
        <f>IF(ISBLANK(AA16),"",IF(ISBLANK($O16),AO16,IF($J16="ANUAL",AO16*(1+Macroindicadores!L$7),IF(AND($I16="NOVO",MONTH($O16)=MONTH(BC$4)),AO16*(1+Macroindicadores!L$7),IF(AND($J16="PONTUAL",MONTH($O16)=MONTH(BC$4)),AO16*(1+Macroindicadores!L$7),IF(AND($J16="PONTUAL",MONTH($O16)&lt;MONTH(BC$4)),MIN($AS16:BB16),IF(AND($I16="NOVO",MONTH($O16)&gt;MONTH(BC$4)),AO16,IF(MONTH($O16)&gt;MONTH(BC$4),AO16,IF(MONTH($O16)=MONTH(BC$4),AO16*(1+Macroindicadores!L$7),BB16)))))))))</f>
        <v>3.4367620000000003</v>
      </c>
      <c r="BD16" s="117">
        <f>IF(ISBLANK(AB16),"",IF(ISBLANK($O16),AP16,IF($J16="ANUAL",AP16*(1+Macroindicadores!M$7),IF(AND($I16="NOVO",MONTH($O16)=MONTH(BD$4)),AP16*(1+Macroindicadores!M$7),IF(AND($J16="PONTUAL",MONTH($O16)=MONTH(BD$4)),AP16*(1+Macroindicadores!M$7),IF(AND($J16="PONTUAL",MONTH($O16)&lt;MONTH(BD$4)),MIN($AS16:BC16),IF(AND($I16="NOVO",MONTH($O16)&gt;MONTH(BD$4)),AP16,IF(MONTH($O16)&gt;MONTH(BD$4),AP16,IF(MONTH($O16)=MONTH(BD$4),AP16*(1+Macroindicadores!M$7),BC16)))))))))</f>
        <v>3.4367620000000003</v>
      </c>
      <c r="BE16" s="118">
        <f t="shared" si="36"/>
        <v>41.241144000000013</v>
      </c>
      <c r="BF16" s="108"/>
      <c r="BG16" s="117">
        <f>IF(ISBLANK(Q16),"",AS16/Macroindicadores!B$2)</f>
        <v>0.58448333333333335</v>
      </c>
      <c r="BH16" s="117">
        <f>IF(ISBLANK(R16),"",AT16/Macroindicadores!C$2)</f>
        <v>0.58448333333333335</v>
      </c>
      <c r="BI16" s="117">
        <f>IF(ISBLANK(S16),"",AU16/Macroindicadores!D$2)</f>
        <v>0.58448333333333335</v>
      </c>
      <c r="BJ16" s="117">
        <f>IF(ISBLANK(T16),"",AV16/Macroindicadores!E$2)</f>
        <v>0.58448333333333335</v>
      </c>
      <c r="BK16" s="117">
        <f>IF(ISBLANK(U16),"",AW16/Macroindicadores!F$2)</f>
        <v>0.58448333333333335</v>
      </c>
      <c r="BL16" s="117">
        <f>IF(ISBLANK(V16),"",AX16/Macroindicadores!G$2)</f>
        <v>0.58448333333333335</v>
      </c>
      <c r="BM16" s="117">
        <f>IF(ISBLANK(W16),"",AY16/Macroindicadores!H$2)</f>
        <v>0.58448333333333335</v>
      </c>
      <c r="BN16" s="117">
        <f>IF(ISBLANK(X16),"",AZ16/Macroindicadores!I$2)</f>
        <v>0.58448333333333335</v>
      </c>
      <c r="BO16" s="117">
        <f>IF(ISBLANK(Y16),"",BA16/Macroindicadores!J$2)</f>
        <v>0.58448333333333335</v>
      </c>
      <c r="BP16" s="117">
        <f>IF(ISBLANK(Z16),"",BB16/Macroindicadores!K$2)</f>
        <v>0.58448333333333335</v>
      </c>
      <c r="BQ16" s="117">
        <f>IF(ISBLANK(AA16),"",BC16/Macroindicadores!L$2)</f>
        <v>0.58448333333333335</v>
      </c>
      <c r="BR16" s="117">
        <f>IF(ISBLANK(AB16),"",BD16/Macroindicadores!M$2)</f>
        <v>0.58448333333333335</v>
      </c>
      <c r="BS16" s="118">
        <f>IF(AND(ISBLANK($Q16),ISBLANK($R16),ISBLANK($S16),ISBLANK($T16),ISBLANK($U16),ISBLANK($V16),ISBLANK($W16),ISBLANK($X16),ISBLANK($Y16),ISBLANK($Z16),ISBLANK($AA16),ISBLANK($AB16)),"",SUM(BG16:BR16))</f>
        <v>7.0137999999999989</v>
      </c>
      <c r="BT16" s="25" t="str">
        <f>IF(ISBLANK($L16),"",_xlfn.XLOOKUP($L16,'CENTRO CUSTO'!$A:$A,'CENTRO CUSTO'!$E:$E,FALSE,0))</f>
        <v>G&amp;A CP</v>
      </c>
    </row>
    <row r="17" spans="1:72">
      <c r="A17" s="9" t="str">
        <f t="shared" si="40"/>
        <v>Budget</v>
      </c>
      <c r="B17" s="9">
        <f t="shared" si="31"/>
        <v>2026</v>
      </c>
      <c r="C17" s="111" t="str">
        <f>IF(ISBLANK($L17),"",_xlfn.XLOOKUP($L17,'CENTRO CUSTO'!$A:$A,'CENTRO CUSTO'!F:F,FALSE,0))</f>
        <v>Transporte</v>
      </c>
      <c r="D17" s="111" t="str">
        <f>IF(ISBLANK($L17),"",_xlfn.XLOOKUP($L17,'CENTRO CUSTO'!$A:$A,'CENTRO CUSTO'!G:G,FALSE,0))</f>
        <v>BU-TR</v>
      </c>
      <c r="E17" s="111" t="str">
        <f>IF(ISBLANK($L17),"",_xlfn.XLOOKUP($L17,'CENTRO CUSTO'!$A:$A,'CENTRO CUSTO'!H:H,FALSE,0))</f>
        <v>G&amp;A</v>
      </c>
      <c r="F17" s="112" t="s">
        <v>92</v>
      </c>
      <c r="G17" s="112" t="s">
        <v>75</v>
      </c>
      <c r="H17" s="112" t="s">
        <v>97</v>
      </c>
      <c r="I17" s="113" t="s">
        <v>84</v>
      </c>
      <c r="J17" s="113" t="s">
        <v>78</v>
      </c>
      <c r="K17" s="113" t="s">
        <v>79</v>
      </c>
      <c r="L17" s="113" t="s">
        <v>38</v>
      </c>
      <c r="M17" s="111" t="str">
        <f>IF(ISBLANK($L17),"",_xlfn.XLOOKUP($L17,'CENTRO CUSTO'!$A:$A,'CENTRO CUSTO'!D:D,FALSE,0))</f>
        <v>Alexandre Ayabe</v>
      </c>
      <c r="N17" s="113" t="s">
        <v>91</v>
      </c>
      <c r="O17" s="114"/>
      <c r="P17" s="113" t="s">
        <v>88</v>
      </c>
      <c r="Q17" s="115">
        <f>187158*Rateio!$E$33/12</f>
        <v>2807.3700000000003</v>
      </c>
      <c r="R17" s="115">
        <f>187158*Rateio!$E$33/12</f>
        <v>2807.3700000000003</v>
      </c>
      <c r="S17" s="115">
        <f>187158*Rateio!$E$33/12</f>
        <v>2807.3700000000003</v>
      </c>
      <c r="T17" s="115">
        <f>187158*Rateio!$E$33/12</f>
        <v>2807.3700000000003</v>
      </c>
      <c r="U17" s="115">
        <f>187158*Rateio!$E$33/12</f>
        <v>2807.3700000000003</v>
      </c>
      <c r="V17" s="115">
        <f>187158*Rateio!$E$33/12</f>
        <v>2807.3700000000003</v>
      </c>
      <c r="W17" s="115">
        <f>187158*Rateio!$E$33/12</f>
        <v>2807.3700000000003</v>
      </c>
      <c r="X17" s="115">
        <f>187158*Rateio!$E$33/12</f>
        <v>2807.3700000000003</v>
      </c>
      <c r="Y17" s="115">
        <f>187158*Rateio!$E$33/12</f>
        <v>2807.3700000000003</v>
      </c>
      <c r="Z17" s="115">
        <f>187158*Rateio!$E$33/12</f>
        <v>2807.3700000000003</v>
      </c>
      <c r="AA17" s="115">
        <f>187158*Rateio!$E$33/12</f>
        <v>2807.3700000000003</v>
      </c>
      <c r="AB17" s="115">
        <f>187158*Rateio!$E$33/12</f>
        <v>2807.3700000000003</v>
      </c>
      <c r="AC17" s="116">
        <f t="shared" si="41"/>
        <v>33688.439999999995</v>
      </c>
      <c r="AD17" s="108"/>
      <c r="AE17" s="117">
        <f>IF(ISBLANK(Q17),"",IF($P17="BRL",Q17,Q17*Macroindicadores!B$2)/1000)</f>
        <v>16.507335600000001</v>
      </c>
      <c r="AF17" s="117">
        <f>IF(ISBLANK(R17),"",IF($P17="BRL",R17,R17*Macroindicadores!C$2)/1000)</f>
        <v>16.507335600000001</v>
      </c>
      <c r="AG17" s="117">
        <f>IF(ISBLANK(S17),"",IF($P17="BRL",S17,S17*Macroindicadores!D$2)/1000)</f>
        <v>16.507335600000001</v>
      </c>
      <c r="AH17" s="117">
        <f>IF(ISBLANK(T17),"",IF($P17="BRL",T17,T17*Macroindicadores!E$2)/1000)</f>
        <v>16.507335600000001</v>
      </c>
      <c r="AI17" s="117">
        <f>IF(ISBLANK(U17),"",IF($P17="BRL",U17,U17*Macroindicadores!F$2)/1000)</f>
        <v>16.507335600000001</v>
      </c>
      <c r="AJ17" s="117">
        <f>IF(ISBLANK(V17),"",IF($P17="BRL",V17,V17*Macroindicadores!G$2)/1000)</f>
        <v>16.507335600000001</v>
      </c>
      <c r="AK17" s="117">
        <f>IF(ISBLANK(W17),"",IF($P17="BRL",W17,W17*Macroindicadores!H$2)/1000)</f>
        <v>16.507335600000001</v>
      </c>
      <c r="AL17" s="117">
        <f>IF(ISBLANK(X17),"",IF($P17="BRL",X17,X17*Macroindicadores!I$2)/1000)</f>
        <v>16.507335600000001</v>
      </c>
      <c r="AM17" s="117">
        <f>IF(ISBLANK(Y17),"",IF($P17="BRL",Y17,Y17*Macroindicadores!J$2)/1000)</f>
        <v>16.507335600000001</v>
      </c>
      <c r="AN17" s="117">
        <f>IF(ISBLANK(Z17),"",IF($P17="BRL",Z17,Z17*Macroindicadores!K$2)/1000)</f>
        <v>16.507335600000001</v>
      </c>
      <c r="AO17" s="117">
        <f>IF(ISBLANK(AA17),"",IF($P17="BRL",AA17,AA17*Macroindicadores!L$2)/1000)</f>
        <v>16.507335600000001</v>
      </c>
      <c r="AP17" s="117">
        <f>IF(ISBLANK(AB17),"",IF($P17="BRL",AB17,AB17*Macroindicadores!M$2)/1000)</f>
        <v>16.507335600000001</v>
      </c>
      <c r="AQ17" s="118">
        <f t="shared" si="35"/>
        <v>198.08802720000003</v>
      </c>
      <c r="AR17" s="108"/>
      <c r="AS17" s="117">
        <f>IF(ISBLANK(Q17),"",IF(ISBLANK($O17),AE17,IF($J17="ANUAL",AE17*(1+Macroindicadores!B$7),IF(AND($I17="NOVO",MONTH($O17)=MONTH(AS$4)),AE17*(1+Macroindicadores!B$7),IF(AND($J17="PONTUAL",MONTH($O17)=MONTH(AS$4)),AE17*(1+Macroindicadores!B$7),IF(AND($J17="PONTUAL",MONTH($O17)&lt;MONTH(AS$4)),MIN(AR17:$AS17),IF(AND($I17="NOVO",MONTH($O17)&gt;MONTH(AS$4)),AE17,IF(MONTH($O17)&gt;MONTH(AS$4),AE17,IF(MONTH($O17)=MONTH(AS$4),AE17*(1+Macroindicadores!B$7),AR17)))))))))</f>
        <v>16.507335600000001</v>
      </c>
      <c r="AT17" s="117">
        <f>IF(ISBLANK(R17),"",IF(ISBLANK($O17),AF17,IF($J17="ANUAL",AF17*(1+Macroindicadores!C$7),IF(AND($I17="NOVO",MONTH($O17)=MONTH(AT$4)),AF17*(1+Macroindicadores!C$7),IF(AND($J17="PONTUAL",MONTH($O17)=MONTH(AT$4)),AF17*(1+Macroindicadores!C$7),IF(AND($J17="PONTUAL",MONTH($O17)&lt;MONTH(AT$4)),MIN($AS17:AS17),IF(AND($I17="NOVO",MONTH($O17)&gt;MONTH(AT$4)),AF17,IF(MONTH($O17)&gt;MONTH(AT$4),AF17,IF(MONTH($O17)=MONTH(AT$4),AF17*(1+Macroindicadores!C$7),AS17)))))))))</f>
        <v>16.507335600000001</v>
      </c>
      <c r="AU17" s="117">
        <f>IF(ISBLANK(S17),"",IF(ISBLANK($O17),AG17,IF($J17="ANUAL",AG17*(1+Macroindicadores!D$7),IF(AND($I17="NOVO",MONTH($O17)=MONTH(AU$4)),AG17*(1+Macroindicadores!D$7),IF(AND($J17="PONTUAL",MONTH($O17)=MONTH(AU$4)),AG17*(1+Macroindicadores!D$7),IF(AND($J17="PONTUAL",MONTH($O17)&lt;MONTH(AU$4)),MIN($AS17:AT17),IF(AND($I17="NOVO",MONTH($O17)&gt;MONTH(AU$4)),AG17,IF(MONTH($O17)&gt;MONTH(AU$4),AG17,IF(MONTH($O17)=MONTH(AU$4),AG17*(1+Macroindicadores!D$7),AT17)))))))))</f>
        <v>16.507335600000001</v>
      </c>
      <c r="AV17" s="117">
        <f>IF(ISBLANK(T17),"",IF(ISBLANK($O17),AH17,IF($J17="ANUAL",AH17*(1+Macroindicadores!E$7),IF(AND($I17="NOVO",MONTH($O17)=MONTH(AV$4)),AH17*(1+Macroindicadores!E$7),IF(AND($J17="PONTUAL",MONTH($O17)=MONTH(AV$4)),AH17*(1+Macroindicadores!E$7),IF(AND($J17="PONTUAL",MONTH($O17)&lt;MONTH(AV$4)),MIN($AS17:AU17),IF(AND($I17="NOVO",MONTH($O17)&gt;MONTH(AV$4)),AH17,IF(MONTH($O17)&gt;MONTH(AV$4),AH17,IF(MONTH($O17)=MONTH(AV$4),AH17*(1+Macroindicadores!E$7),AU17)))))))))</f>
        <v>16.507335600000001</v>
      </c>
      <c r="AW17" s="117">
        <f>IF(ISBLANK(U17),"",IF(ISBLANK($O17),AI17,IF($J17="ANUAL",AI17*(1+Macroindicadores!F$7),IF(AND($I17="NOVO",MONTH($O17)=MONTH(AW$4)),AI17*(1+Macroindicadores!F$7),IF(AND($J17="PONTUAL",MONTH($O17)=MONTH(AW$4)),AI17*(1+Macroindicadores!F$7),IF(AND($J17="PONTUAL",MONTH($O17)&lt;MONTH(AW$4)),MIN($AS17:AV17),IF(AND($I17="NOVO",MONTH($O17)&gt;MONTH(AW$4)),AI17,IF(MONTH($O17)&gt;MONTH(AW$4),AI17,IF(MONTH($O17)=MONTH(AW$4),AI17*(1+Macroindicadores!F$7),AV17)))))))))</f>
        <v>16.507335600000001</v>
      </c>
      <c r="AX17" s="117">
        <f>IF(ISBLANK(V17),"",IF(ISBLANK($O17),AJ17,IF($J17="ANUAL",AJ17*(1+Macroindicadores!G$7),IF(AND($I17="NOVO",MONTH($O17)=MONTH(AX$4)),AJ17*(1+Macroindicadores!G$7),IF(AND($J17="PONTUAL",MONTH($O17)=MONTH(AX$4)),AJ17*(1+Macroindicadores!G$7),IF(AND($J17="PONTUAL",MONTH($O17)&lt;MONTH(AX$4)),MIN($AS17:AW17),IF(AND($I17="NOVO",MONTH($O17)&gt;MONTH(AX$4)),AJ17,IF(MONTH($O17)&gt;MONTH(AX$4),AJ17,IF(MONTH($O17)=MONTH(AX$4),AJ17*(1+Macroindicadores!G$7),AW17)))))))))</f>
        <v>16.507335600000001</v>
      </c>
      <c r="AY17" s="117">
        <f>IF(ISBLANK(W17),"",IF(ISBLANK($O17),AK17,IF($J17="ANUAL",AK17*(1+Macroindicadores!H$7),IF(AND($I17="NOVO",MONTH($O17)=MONTH(AY$4)),AK17*(1+Macroindicadores!H$7),IF(AND($J17="PONTUAL",MONTH($O17)=MONTH(AY$4)),AK17*(1+Macroindicadores!H$7),IF(AND($J17="PONTUAL",MONTH($O17)&lt;MONTH(AY$4)),MIN($AS17:AX17),IF(AND($I17="NOVO",MONTH($O17)&gt;MONTH(AY$4)),AK17,IF(MONTH($O17)&gt;MONTH(AY$4),AK17,IF(MONTH($O17)=MONTH(AY$4),AK17*(1+Macroindicadores!H$7),AX17)))))))))</f>
        <v>16.507335600000001</v>
      </c>
      <c r="AZ17" s="117">
        <f>IF(ISBLANK(X17),"",IF(ISBLANK($O17),AL17,IF($J17="ANUAL",AL17*(1+Macroindicadores!I$7),IF(AND($I17="NOVO",MONTH($O17)=MONTH(AZ$4)),AL17*(1+Macroindicadores!I$7),IF(AND($J17="PONTUAL",MONTH($O17)=MONTH(AZ$4)),AL17*(1+Macroindicadores!I$7),IF(AND($J17="PONTUAL",MONTH($O17)&lt;MONTH(AZ$4)),MIN($AS17:AY17),IF(AND($I17="NOVO",MONTH($O17)&gt;MONTH(AZ$4)),AL17,IF(MONTH($O17)&gt;MONTH(AZ$4),AL17,IF(MONTH($O17)=MONTH(AZ$4),AL17*(1+Macroindicadores!I$7),AY17)))))))))</f>
        <v>16.507335600000001</v>
      </c>
      <c r="BA17" s="117">
        <f>IF(ISBLANK(Y17),"",IF(ISBLANK($O17),AM17,IF($J17="ANUAL",AM17*(1+Macroindicadores!J$7),IF(AND($I17="NOVO",MONTH($O17)=MONTH(BA$4)),AM17*(1+Macroindicadores!J$7),IF(AND($J17="PONTUAL",MONTH($O17)=MONTH(BA$4)),AM17*(1+Macroindicadores!J$7),IF(AND($J17="PONTUAL",MONTH($O17)&lt;MONTH(BA$4)),MIN($AS17:AZ17),IF(AND($I17="NOVO",MONTH($O17)&gt;MONTH(BA$4)),AM17,IF(MONTH($O17)&gt;MONTH(BA$4),AM17,IF(MONTH($O17)=MONTH(BA$4),AM17*(1+Macroindicadores!J$7),AZ17)))))))))</f>
        <v>16.507335600000001</v>
      </c>
      <c r="BB17" s="117">
        <f>IF(ISBLANK(Z17),"",IF(ISBLANK($O17),AN17,IF($J17="ANUAL",AN17*(1+Macroindicadores!K$7),IF(AND($I17="NOVO",MONTH($O17)=MONTH(BB$4)),AN17*(1+Macroindicadores!K$7),IF(AND($J17="PONTUAL",MONTH($O17)=MONTH(BB$4)),AN17*(1+Macroindicadores!K$7),IF(AND($J17="PONTUAL",MONTH($O17)&lt;MONTH(BB$4)),MIN($AS17:BA17),IF(AND($I17="NOVO",MONTH($O17)&gt;MONTH(BB$4)),AN17,IF(MONTH($O17)&gt;MONTH(BB$4),AN17,IF(MONTH($O17)=MONTH(BB$4),AN17*(1+Macroindicadores!K$7),BA17)))))))))</f>
        <v>16.507335600000001</v>
      </c>
      <c r="BC17" s="117">
        <f>IF(ISBLANK(AA17),"",IF(ISBLANK($O17),AO17,IF($J17="ANUAL",AO17*(1+Macroindicadores!L$7),IF(AND($I17="NOVO",MONTH($O17)=MONTH(BC$4)),AO17*(1+Macroindicadores!L$7),IF(AND($J17="PONTUAL",MONTH($O17)=MONTH(BC$4)),AO17*(1+Macroindicadores!L$7),IF(AND($J17="PONTUAL",MONTH($O17)&lt;MONTH(BC$4)),MIN($AS17:BB17),IF(AND($I17="NOVO",MONTH($O17)&gt;MONTH(BC$4)),AO17,IF(MONTH($O17)&gt;MONTH(BC$4),AO17,IF(MONTH($O17)=MONTH(BC$4),AO17*(1+Macroindicadores!L$7),BB17)))))))))</f>
        <v>16.507335600000001</v>
      </c>
      <c r="BD17" s="117">
        <f>IF(ISBLANK(AB17),"",IF(ISBLANK($O17),AP17,IF($J17="ANUAL",AP17*(1+Macroindicadores!M$7),IF(AND($I17="NOVO",MONTH($O17)=MONTH(BD$4)),AP17*(1+Macroindicadores!M$7),IF(AND($J17="PONTUAL",MONTH($O17)=MONTH(BD$4)),AP17*(1+Macroindicadores!M$7),IF(AND($J17="PONTUAL",MONTH($O17)&lt;MONTH(BD$4)),MIN($AS17:BC17),IF(AND($I17="NOVO",MONTH($O17)&gt;MONTH(BD$4)),AP17,IF(MONTH($O17)&gt;MONTH(BD$4),AP17,IF(MONTH($O17)=MONTH(BD$4),AP17*(1+Macroindicadores!M$7),BC17)))))))))</f>
        <v>16.507335600000001</v>
      </c>
      <c r="BE17" s="118">
        <f t="shared" si="36"/>
        <v>198.08802720000003</v>
      </c>
      <c r="BF17" s="108"/>
      <c r="BG17" s="117">
        <f>IF(ISBLANK(Q17),"",AS17/Macroindicadores!B$2)</f>
        <v>2.8073700000000001</v>
      </c>
      <c r="BH17" s="117">
        <f>IF(ISBLANK(R17),"",AT17/Macroindicadores!C$2)</f>
        <v>2.8073700000000001</v>
      </c>
      <c r="BI17" s="117">
        <f>IF(ISBLANK(S17),"",AU17/Macroindicadores!D$2)</f>
        <v>2.8073700000000001</v>
      </c>
      <c r="BJ17" s="117">
        <f>IF(ISBLANK(T17),"",AV17/Macroindicadores!E$2)</f>
        <v>2.8073700000000001</v>
      </c>
      <c r="BK17" s="117">
        <f>IF(ISBLANK(U17),"",AW17/Macroindicadores!F$2)</f>
        <v>2.8073700000000001</v>
      </c>
      <c r="BL17" s="117">
        <f>IF(ISBLANK(V17),"",AX17/Macroindicadores!G$2)</f>
        <v>2.8073700000000001</v>
      </c>
      <c r="BM17" s="117">
        <f>IF(ISBLANK(W17),"",AY17/Macroindicadores!H$2)</f>
        <v>2.8073700000000001</v>
      </c>
      <c r="BN17" s="117">
        <f>IF(ISBLANK(X17),"",AZ17/Macroindicadores!I$2)</f>
        <v>2.8073700000000001</v>
      </c>
      <c r="BO17" s="117">
        <f>IF(ISBLANK(Y17),"",BA17/Macroindicadores!J$2)</f>
        <v>2.8073700000000001</v>
      </c>
      <c r="BP17" s="117">
        <f>IF(ISBLANK(Z17),"",BB17/Macroindicadores!K$2)</f>
        <v>2.8073700000000001</v>
      </c>
      <c r="BQ17" s="117">
        <f>IF(ISBLANK(AA17),"",BC17/Macroindicadores!L$2)</f>
        <v>2.8073700000000001</v>
      </c>
      <c r="BR17" s="117">
        <f>IF(ISBLANK(AB17),"",BD17/Macroindicadores!M$2)</f>
        <v>2.8073700000000001</v>
      </c>
      <c r="BS17" s="118">
        <f>IF(AND(ISBLANK($Q17),ISBLANK($R17),ISBLANK($S17),ISBLANK($T17),ISBLANK($U17),ISBLANK($V17),ISBLANK($W17),ISBLANK($X17),ISBLANK($Y17),ISBLANK($Z17),ISBLANK($AA17),ISBLANK($AB17)),"",SUM(BG17:BR17))</f>
        <v>33.688439999999993</v>
      </c>
      <c r="BT17" s="25" t="str">
        <f>IF(ISBLANK($L17),"",_xlfn.XLOOKUP($L17,'CENTRO CUSTO'!$A:$A,'CENTRO CUSTO'!$E:$E,FALSE,0))</f>
        <v>G&amp;A BU</v>
      </c>
    </row>
    <row r="18" spans="1:72">
      <c r="A18" s="9" t="str">
        <f t="shared" si="40"/>
        <v>Budget</v>
      </c>
      <c r="B18" s="9">
        <f t="shared" si="31"/>
        <v>2026</v>
      </c>
      <c r="C18" s="111" t="str">
        <f>IF(ISBLANK($L18),"",_xlfn.XLOOKUP($L18,'CENTRO CUSTO'!$A:$A,'CENTRO CUSTO'!F:F,FALSE,0))</f>
        <v>Martini Meat</v>
      </c>
      <c r="D18" s="111" t="str">
        <f>IF(ISBLANK($L18),"",_xlfn.XLOOKUP($L18,'CENTRO CUSTO'!$A:$A,'CENTRO CUSTO'!G:G,FALSE,0))</f>
        <v>BU-MMAZ</v>
      </c>
      <c r="E18" s="111" t="str">
        <f>IF(ISBLANK($L18),"",_xlfn.XLOOKUP($L18,'CENTRO CUSTO'!$A:$A,'CENTRO CUSTO'!H:H,FALSE,0))</f>
        <v>G&amp;A</v>
      </c>
      <c r="F18" s="112" t="s">
        <v>92</v>
      </c>
      <c r="G18" s="112" t="s">
        <v>75</v>
      </c>
      <c r="H18" s="112" t="s">
        <v>97</v>
      </c>
      <c r="I18" s="113" t="s">
        <v>84</v>
      </c>
      <c r="J18" s="113" t="s">
        <v>78</v>
      </c>
      <c r="K18" s="113" t="s">
        <v>79</v>
      </c>
      <c r="L18" s="113" t="s">
        <v>35</v>
      </c>
      <c r="M18" s="111" t="str">
        <f>IF(ISBLANK($L18),"",_xlfn.XLOOKUP($L18,'CENTRO CUSTO'!$A:$A,'CENTRO CUSTO'!D:D,FALSE,0))</f>
        <v>Alexandre Ayabe</v>
      </c>
      <c r="N18" s="113" t="s">
        <v>91</v>
      </c>
      <c r="O18" s="114"/>
      <c r="P18" s="113" t="s">
        <v>88</v>
      </c>
      <c r="Q18" s="115">
        <f>187158*Rateio!$E$34/12</f>
        <v>7486.32</v>
      </c>
      <c r="R18" s="115">
        <f>187158*Rateio!$E$34/12</f>
        <v>7486.32</v>
      </c>
      <c r="S18" s="115">
        <f>187158*Rateio!$E$34/12</f>
        <v>7486.32</v>
      </c>
      <c r="T18" s="115">
        <f>187158*Rateio!$E$34/12</f>
        <v>7486.32</v>
      </c>
      <c r="U18" s="115">
        <f>187158*Rateio!$E$34/12</f>
        <v>7486.32</v>
      </c>
      <c r="V18" s="115">
        <f>187158*Rateio!$E$34/12</f>
        <v>7486.32</v>
      </c>
      <c r="W18" s="115">
        <f>187158*Rateio!$E$34/12</f>
        <v>7486.32</v>
      </c>
      <c r="X18" s="115">
        <f>187158*Rateio!$E$34/12</f>
        <v>7486.32</v>
      </c>
      <c r="Y18" s="115">
        <f>187158*Rateio!$E$34/12</f>
        <v>7486.32</v>
      </c>
      <c r="Z18" s="115">
        <f>187158*Rateio!$E$34/12</f>
        <v>7486.32</v>
      </c>
      <c r="AA18" s="115">
        <f>187158*Rateio!$E$34/12</f>
        <v>7486.32</v>
      </c>
      <c r="AB18" s="115">
        <f>187158*Rateio!$E$34/12</f>
        <v>7486.32</v>
      </c>
      <c r="AC18" s="116">
        <f t="shared" si="41"/>
        <v>89835.840000000026</v>
      </c>
      <c r="AD18" s="108"/>
      <c r="AE18" s="117">
        <f>IF(ISBLANK(Q18),"",IF($P18="BRL",Q18,Q18*Macroindicadores!B$2)/1000)</f>
        <v>44.019561600000003</v>
      </c>
      <c r="AF18" s="117">
        <f>IF(ISBLANK(R18),"",IF($P18="BRL",R18,R18*Macroindicadores!C$2)/1000)</f>
        <v>44.019561600000003</v>
      </c>
      <c r="AG18" s="117">
        <f>IF(ISBLANK(S18),"",IF($P18="BRL",S18,S18*Macroindicadores!D$2)/1000)</f>
        <v>44.019561600000003</v>
      </c>
      <c r="AH18" s="117">
        <f>IF(ISBLANK(T18),"",IF($P18="BRL",T18,T18*Macroindicadores!E$2)/1000)</f>
        <v>44.019561600000003</v>
      </c>
      <c r="AI18" s="117">
        <f>IF(ISBLANK(U18),"",IF($P18="BRL",U18,U18*Macroindicadores!F$2)/1000)</f>
        <v>44.019561600000003</v>
      </c>
      <c r="AJ18" s="117">
        <f>IF(ISBLANK(V18),"",IF($P18="BRL",V18,V18*Macroindicadores!G$2)/1000)</f>
        <v>44.019561600000003</v>
      </c>
      <c r="AK18" s="117">
        <f>IF(ISBLANK(W18),"",IF($P18="BRL",W18,W18*Macroindicadores!H$2)/1000)</f>
        <v>44.019561600000003</v>
      </c>
      <c r="AL18" s="117">
        <f>IF(ISBLANK(X18),"",IF($P18="BRL",X18,X18*Macroindicadores!I$2)/1000)</f>
        <v>44.019561600000003</v>
      </c>
      <c r="AM18" s="117">
        <f>IF(ISBLANK(Y18),"",IF($P18="BRL",Y18,Y18*Macroindicadores!J$2)/1000)</f>
        <v>44.019561600000003</v>
      </c>
      <c r="AN18" s="117">
        <f>IF(ISBLANK(Z18),"",IF($P18="BRL",Z18,Z18*Macroindicadores!K$2)/1000)</f>
        <v>44.019561600000003</v>
      </c>
      <c r="AO18" s="117">
        <f>IF(ISBLANK(AA18),"",IF($P18="BRL",AA18,AA18*Macroindicadores!L$2)/1000)</f>
        <v>44.019561600000003</v>
      </c>
      <c r="AP18" s="117">
        <f>IF(ISBLANK(AB18),"",IF($P18="BRL",AB18,AB18*Macroindicadores!M$2)/1000)</f>
        <v>44.019561600000003</v>
      </c>
      <c r="AQ18" s="118">
        <f t="shared" si="35"/>
        <v>528.23473919999992</v>
      </c>
      <c r="AR18" s="108"/>
      <c r="AS18" s="117">
        <f>IF(ISBLANK(Q18),"",IF(ISBLANK($O18),AE18,IF($J18="ANUAL",AE18*(1+Macroindicadores!B$7),IF(AND($I18="NOVO",MONTH($O18)=MONTH(AS$4)),AE18*(1+Macroindicadores!B$7),IF(AND($J18="PONTUAL",MONTH($O18)=MONTH(AS$4)),AE18*(1+Macroindicadores!B$7),IF(AND($J18="PONTUAL",MONTH($O18)&lt;MONTH(AS$4)),MIN(AR18:$AS18),IF(AND($I18="NOVO",MONTH($O18)&gt;MONTH(AS$4)),AE18,IF(MONTH($O18)&gt;MONTH(AS$4),AE18,IF(MONTH($O18)=MONTH(AS$4),AE18*(1+Macroindicadores!B$7),AR18)))))))))</f>
        <v>44.019561600000003</v>
      </c>
      <c r="AT18" s="117">
        <f>IF(ISBLANK(R18),"",IF(ISBLANK($O18),AF18,IF($J18="ANUAL",AF18*(1+Macroindicadores!C$7),IF(AND($I18="NOVO",MONTH($O18)=MONTH(AT$4)),AF18*(1+Macroindicadores!C$7),IF(AND($J18="PONTUAL",MONTH($O18)=MONTH(AT$4)),AF18*(1+Macroindicadores!C$7),IF(AND($J18="PONTUAL",MONTH($O18)&lt;MONTH(AT$4)),MIN($AS18:AS18),IF(AND($I18="NOVO",MONTH($O18)&gt;MONTH(AT$4)),AF18,IF(MONTH($O18)&gt;MONTH(AT$4),AF18,IF(MONTH($O18)=MONTH(AT$4),AF18*(1+Macroindicadores!C$7),AS18)))))))))</f>
        <v>44.019561600000003</v>
      </c>
      <c r="AU18" s="117">
        <f>IF(ISBLANK(S18),"",IF(ISBLANK($O18),AG18,IF($J18="ANUAL",AG18*(1+Macroindicadores!D$7),IF(AND($I18="NOVO",MONTH($O18)=MONTH(AU$4)),AG18*(1+Macroindicadores!D$7),IF(AND($J18="PONTUAL",MONTH($O18)=MONTH(AU$4)),AG18*(1+Macroindicadores!D$7),IF(AND($J18="PONTUAL",MONTH($O18)&lt;MONTH(AU$4)),MIN($AS18:AT18),IF(AND($I18="NOVO",MONTH($O18)&gt;MONTH(AU$4)),AG18,IF(MONTH($O18)&gt;MONTH(AU$4),AG18,IF(MONTH($O18)=MONTH(AU$4),AG18*(1+Macroindicadores!D$7),AT18)))))))))</f>
        <v>44.019561600000003</v>
      </c>
      <c r="AV18" s="117">
        <f>IF(ISBLANK(T18),"",IF(ISBLANK($O18),AH18,IF($J18="ANUAL",AH18*(1+Macroindicadores!E$7),IF(AND($I18="NOVO",MONTH($O18)=MONTH(AV$4)),AH18*(1+Macroindicadores!E$7),IF(AND($J18="PONTUAL",MONTH($O18)=MONTH(AV$4)),AH18*(1+Macroindicadores!E$7),IF(AND($J18="PONTUAL",MONTH($O18)&lt;MONTH(AV$4)),MIN($AS18:AU18),IF(AND($I18="NOVO",MONTH($O18)&gt;MONTH(AV$4)),AH18,IF(MONTH($O18)&gt;MONTH(AV$4),AH18,IF(MONTH($O18)=MONTH(AV$4),AH18*(1+Macroindicadores!E$7),AU18)))))))))</f>
        <v>44.019561600000003</v>
      </c>
      <c r="AW18" s="117">
        <f>IF(ISBLANK(U18),"",IF(ISBLANK($O18),AI18,IF($J18="ANUAL",AI18*(1+Macroindicadores!F$7),IF(AND($I18="NOVO",MONTH($O18)=MONTH(AW$4)),AI18*(1+Macroindicadores!F$7),IF(AND($J18="PONTUAL",MONTH($O18)=MONTH(AW$4)),AI18*(1+Macroindicadores!F$7),IF(AND($J18="PONTUAL",MONTH($O18)&lt;MONTH(AW$4)),MIN($AS18:AV18),IF(AND($I18="NOVO",MONTH($O18)&gt;MONTH(AW$4)),AI18,IF(MONTH($O18)&gt;MONTH(AW$4),AI18,IF(MONTH($O18)=MONTH(AW$4),AI18*(1+Macroindicadores!F$7),AV18)))))))))</f>
        <v>44.019561600000003</v>
      </c>
      <c r="AX18" s="117">
        <f>IF(ISBLANK(V18),"",IF(ISBLANK($O18),AJ18,IF($J18="ANUAL",AJ18*(1+Macroindicadores!G$7),IF(AND($I18="NOVO",MONTH($O18)=MONTH(AX$4)),AJ18*(1+Macroindicadores!G$7),IF(AND($J18="PONTUAL",MONTH($O18)=MONTH(AX$4)),AJ18*(1+Macroindicadores!G$7),IF(AND($J18="PONTUAL",MONTH($O18)&lt;MONTH(AX$4)),MIN($AS18:AW18),IF(AND($I18="NOVO",MONTH($O18)&gt;MONTH(AX$4)),AJ18,IF(MONTH($O18)&gt;MONTH(AX$4),AJ18,IF(MONTH($O18)=MONTH(AX$4),AJ18*(1+Macroindicadores!G$7),AW18)))))))))</f>
        <v>44.019561600000003</v>
      </c>
      <c r="AY18" s="117">
        <f>IF(ISBLANK(W18),"",IF(ISBLANK($O18),AK18,IF($J18="ANUAL",AK18*(1+Macroindicadores!H$7),IF(AND($I18="NOVO",MONTH($O18)=MONTH(AY$4)),AK18*(1+Macroindicadores!H$7),IF(AND($J18="PONTUAL",MONTH($O18)=MONTH(AY$4)),AK18*(1+Macroindicadores!H$7),IF(AND($J18="PONTUAL",MONTH($O18)&lt;MONTH(AY$4)),MIN($AS18:AX18),IF(AND($I18="NOVO",MONTH($O18)&gt;MONTH(AY$4)),AK18,IF(MONTH($O18)&gt;MONTH(AY$4),AK18,IF(MONTH($O18)=MONTH(AY$4),AK18*(1+Macroindicadores!H$7),AX18)))))))))</f>
        <v>44.019561600000003</v>
      </c>
      <c r="AZ18" s="117">
        <f>IF(ISBLANK(X18),"",IF(ISBLANK($O18),AL18,IF($J18="ANUAL",AL18*(1+Macroindicadores!I$7),IF(AND($I18="NOVO",MONTH($O18)=MONTH(AZ$4)),AL18*(1+Macroindicadores!I$7),IF(AND($J18="PONTUAL",MONTH($O18)=MONTH(AZ$4)),AL18*(1+Macroindicadores!I$7),IF(AND($J18="PONTUAL",MONTH($O18)&lt;MONTH(AZ$4)),MIN($AS18:AY18),IF(AND($I18="NOVO",MONTH($O18)&gt;MONTH(AZ$4)),AL18,IF(MONTH($O18)&gt;MONTH(AZ$4),AL18,IF(MONTH($O18)=MONTH(AZ$4),AL18*(1+Macroindicadores!I$7),AY18)))))))))</f>
        <v>44.019561600000003</v>
      </c>
      <c r="BA18" s="117">
        <f>IF(ISBLANK(Y18),"",IF(ISBLANK($O18),AM18,IF($J18="ANUAL",AM18*(1+Macroindicadores!J$7),IF(AND($I18="NOVO",MONTH($O18)=MONTH(BA$4)),AM18*(1+Macroindicadores!J$7),IF(AND($J18="PONTUAL",MONTH($O18)=MONTH(BA$4)),AM18*(1+Macroindicadores!J$7),IF(AND($J18="PONTUAL",MONTH($O18)&lt;MONTH(BA$4)),MIN($AS18:AZ18),IF(AND($I18="NOVO",MONTH($O18)&gt;MONTH(BA$4)),AM18,IF(MONTH($O18)&gt;MONTH(BA$4),AM18,IF(MONTH($O18)=MONTH(BA$4),AM18*(1+Macroindicadores!J$7),AZ18)))))))))</f>
        <v>44.019561600000003</v>
      </c>
      <c r="BB18" s="117">
        <f>IF(ISBLANK(Z18),"",IF(ISBLANK($O18),AN18,IF($J18="ANUAL",AN18*(1+Macroindicadores!K$7),IF(AND($I18="NOVO",MONTH($O18)=MONTH(BB$4)),AN18*(1+Macroindicadores!K$7),IF(AND($J18="PONTUAL",MONTH($O18)=MONTH(BB$4)),AN18*(1+Macroindicadores!K$7),IF(AND($J18="PONTUAL",MONTH($O18)&lt;MONTH(BB$4)),MIN($AS18:BA18),IF(AND($I18="NOVO",MONTH($O18)&gt;MONTH(BB$4)),AN18,IF(MONTH($O18)&gt;MONTH(BB$4),AN18,IF(MONTH($O18)=MONTH(BB$4),AN18*(1+Macroindicadores!K$7),BA18)))))))))</f>
        <v>44.019561600000003</v>
      </c>
      <c r="BC18" s="117">
        <f>IF(ISBLANK(AA18),"",IF(ISBLANK($O18),AO18,IF($J18="ANUAL",AO18*(1+Macroindicadores!L$7),IF(AND($I18="NOVO",MONTH($O18)=MONTH(BC$4)),AO18*(1+Macroindicadores!L$7),IF(AND($J18="PONTUAL",MONTH($O18)=MONTH(BC$4)),AO18*(1+Macroindicadores!L$7),IF(AND($J18="PONTUAL",MONTH($O18)&lt;MONTH(BC$4)),MIN($AS18:BB18),IF(AND($I18="NOVO",MONTH($O18)&gt;MONTH(BC$4)),AO18,IF(MONTH($O18)&gt;MONTH(BC$4),AO18,IF(MONTH($O18)=MONTH(BC$4),AO18*(1+Macroindicadores!L$7),BB18)))))))))</f>
        <v>44.019561600000003</v>
      </c>
      <c r="BD18" s="117">
        <f>IF(ISBLANK(AB18),"",IF(ISBLANK($O18),AP18,IF($J18="ANUAL",AP18*(1+Macroindicadores!M$7),IF(AND($I18="NOVO",MONTH($O18)=MONTH(BD$4)),AP18*(1+Macroindicadores!M$7),IF(AND($J18="PONTUAL",MONTH($O18)=MONTH(BD$4)),AP18*(1+Macroindicadores!M$7),IF(AND($J18="PONTUAL",MONTH($O18)&lt;MONTH(BD$4)),MIN($AS18:BC18),IF(AND($I18="NOVO",MONTH($O18)&gt;MONTH(BD$4)),AP18,IF(MONTH($O18)&gt;MONTH(BD$4),AP18,IF(MONTH($O18)=MONTH(BD$4),AP18*(1+Macroindicadores!M$7),BC18)))))))))</f>
        <v>44.019561600000003</v>
      </c>
      <c r="BE18" s="118">
        <f t="shared" si="36"/>
        <v>528.23473919999992</v>
      </c>
      <c r="BF18" s="108"/>
      <c r="BG18" s="117">
        <f>IF(ISBLANK(Q18),"",AS18/Macroindicadores!B$2)</f>
        <v>7.486320000000001</v>
      </c>
      <c r="BH18" s="117">
        <f>IF(ISBLANK(R18),"",AT18/Macroindicadores!C$2)</f>
        <v>7.486320000000001</v>
      </c>
      <c r="BI18" s="117">
        <f>IF(ISBLANK(S18),"",AU18/Macroindicadores!D$2)</f>
        <v>7.486320000000001</v>
      </c>
      <c r="BJ18" s="117">
        <f>IF(ISBLANK(T18),"",AV18/Macroindicadores!E$2)</f>
        <v>7.486320000000001</v>
      </c>
      <c r="BK18" s="117">
        <f>IF(ISBLANK(U18),"",AW18/Macroindicadores!F$2)</f>
        <v>7.486320000000001</v>
      </c>
      <c r="BL18" s="117">
        <f>IF(ISBLANK(V18),"",AX18/Macroindicadores!G$2)</f>
        <v>7.486320000000001</v>
      </c>
      <c r="BM18" s="117">
        <f>IF(ISBLANK(W18),"",AY18/Macroindicadores!H$2)</f>
        <v>7.486320000000001</v>
      </c>
      <c r="BN18" s="117">
        <f>IF(ISBLANK(X18),"",AZ18/Macroindicadores!I$2)</f>
        <v>7.486320000000001</v>
      </c>
      <c r="BO18" s="117">
        <f>IF(ISBLANK(Y18),"",BA18/Macroindicadores!J$2)</f>
        <v>7.486320000000001</v>
      </c>
      <c r="BP18" s="117">
        <f>IF(ISBLANK(Z18),"",BB18/Macroindicadores!K$2)</f>
        <v>7.486320000000001</v>
      </c>
      <c r="BQ18" s="117">
        <f>IF(ISBLANK(AA18),"",BC18/Macroindicadores!L$2)</f>
        <v>7.486320000000001</v>
      </c>
      <c r="BR18" s="117">
        <f>IF(ISBLANK(AB18),"",BD18/Macroindicadores!M$2)</f>
        <v>7.486320000000001</v>
      </c>
      <c r="BS18" s="118">
        <f>IF(AND(ISBLANK($Q18),ISBLANK($R18),ISBLANK($S18),ISBLANK($T18),ISBLANK($U18),ISBLANK($V18),ISBLANK($W18),ISBLANK($X18),ISBLANK($Y18),ISBLANK($Z18),ISBLANK($AA18),ISBLANK($AB18)),"",SUM(BG18:BR18))</f>
        <v>89.835840000000019</v>
      </c>
      <c r="BT18" s="25" t="str">
        <f>IF(ISBLANK($L18),"",_xlfn.XLOOKUP($L18,'CENTRO CUSTO'!$A:$A,'CENTRO CUSTO'!$E:$E,FALSE,0))</f>
        <v>G&amp;A BU</v>
      </c>
    </row>
    <row r="19" spans="1:72">
      <c r="A19" s="9" t="str">
        <f t="shared" si="40"/>
        <v>Budget</v>
      </c>
      <c r="B19" s="9">
        <f t="shared" si="31"/>
        <v>2026</v>
      </c>
      <c r="C19" s="111" t="str">
        <f>IF(ISBLANK($L19),"",_xlfn.XLOOKUP($L19,'CENTRO CUSTO'!$A:$A,'CENTRO CUSTO'!F:F,FALSE,0))</f>
        <v>MRV</v>
      </c>
      <c r="D19" s="111" t="str">
        <f>IF(ISBLANK($L19),"",_xlfn.XLOOKUP($L19,'CENTRO CUSTO'!$A:$A,'CENTRO CUSTO'!G:G,FALSE,0))</f>
        <v>BU-MRV</v>
      </c>
      <c r="E19" s="111" t="str">
        <f>IF(ISBLANK($L19),"",_xlfn.XLOOKUP($L19,'CENTRO CUSTO'!$A:$A,'CENTRO CUSTO'!H:H,FALSE,0))</f>
        <v>G&amp;A</v>
      </c>
      <c r="F19" s="112" t="s">
        <v>92</v>
      </c>
      <c r="G19" s="112" t="s">
        <v>75</v>
      </c>
      <c r="H19" s="112" t="s">
        <v>97</v>
      </c>
      <c r="I19" s="113" t="s">
        <v>84</v>
      </c>
      <c r="J19" s="113" t="s">
        <v>78</v>
      </c>
      <c r="K19" s="113" t="s">
        <v>79</v>
      </c>
      <c r="L19" s="113" t="s">
        <v>45</v>
      </c>
      <c r="M19" s="111" t="str">
        <f>IF(ISBLANK($L19),"",_xlfn.XLOOKUP($L19,'CENTRO CUSTO'!$A:$A,'CENTRO CUSTO'!D:D,FALSE,0))</f>
        <v>Alexandre Ayabe</v>
      </c>
      <c r="N19" s="113" t="s">
        <v>91</v>
      </c>
      <c r="O19" s="114"/>
      <c r="P19" s="113" t="s">
        <v>88</v>
      </c>
      <c r="Q19" s="115">
        <f>187158*Rateio!$E$50/12</f>
        <v>779.82499999999993</v>
      </c>
      <c r="R19" s="115">
        <f>187158*Rateio!$E$50/12</f>
        <v>779.82499999999993</v>
      </c>
      <c r="S19" s="115">
        <f>187158*Rateio!$E$50/12</f>
        <v>779.82499999999993</v>
      </c>
      <c r="T19" s="115">
        <f>187158*Rateio!$E$50/12</f>
        <v>779.82499999999993</v>
      </c>
      <c r="U19" s="115">
        <f>187158*Rateio!$E$50/12</f>
        <v>779.82499999999993</v>
      </c>
      <c r="V19" s="115">
        <f>187158*Rateio!$E$50/12</f>
        <v>779.82499999999993</v>
      </c>
      <c r="W19" s="115">
        <f>187158*Rateio!$E$50/12</f>
        <v>779.82499999999993</v>
      </c>
      <c r="X19" s="115">
        <f>187158*Rateio!$E$50/12</f>
        <v>779.82499999999993</v>
      </c>
      <c r="Y19" s="115">
        <f>187158*Rateio!$E$50/12</f>
        <v>779.82499999999993</v>
      </c>
      <c r="Z19" s="115">
        <f>187158*Rateio!$E$50/12</f>
        <v>779.82499999999993</v>
      </c>
      <c r="AA19" s="115">
        <f>187158*Rateio!$E$50/12</f>
        <v>779.82499999999993</v>
      </c>
      <c r="AB19" s="115">
        <f>187158*Rateio!$E$50/12</f>
        <v>779.82499999999993</v>
      </c>
      <c r="AC19" s="116">
        <f t="shared" si="41"/>
        <v>9357.9</v>
      </c>
      <c r="AD19" s="108"/>
      <c r="AE19" s="117">
        <f>IF(ISBLANK(Q19),"",IF($P19="BRL",Q19,Q19*Macroindicadores!B$2)/1000)</f>
        <v>4.5853709999999994</v>
      </c>
      <c r="AF19" s="117">
        <f>IF(ISBLANK(R19),"",IF($P19="BRL",R19,R19*Macroindicadores!C$2)/1000)</f>
        <v>4.5853709999999994</v>
      </c>
      <c r="AG19" s="117">
        <f>IF(ISBLANK(S19),"",IF($P19="BRL",S19,S19*Macroindicadores!D$2)/1000)</f>
        <v>4.5853709999999994</v>
      </c>
      <c r="AH19" s="117">
        <f>IF(ISBLANK(T19),"",IF($P19="BRL",T19,T19*Macroindicadores!E$2)/1000)</f>
        <v>4.5853709999999994</v>
      </c>
      <c r="AI19" s="117">
        <f>IF(ISBLANK(U19),"",IF($P19="BRL",U19,U19*Macroindicadores!F$2)/1000)</f>
        <v>4.5853709999999994</v>
      </c>
      <c r="AJ19" s="117">
        <f>IF(ISBLANK(V19),"",IF($P19="BRL",V19,V19*Macroindicadores!G$2)/1000)</f>
        <v>4.5853709999999994</v>
      </c>
      <c r="AK19" s="117">
        <f>IF(ISBLANK(W19),"",IF($P19="BRL",W19,W19*Macroindicadores!H$2)/1000)</f>
        <v>4.5853709999999994</v>
      </c>
      <c r="AL19" s="117">
        <f>IF(ISBLANK(X19),"",IF($P19="BRL",X19,X19*Macroindicadores!I$2)/1000)</f>
        <v>4.5853709999999994</v>
      </c>
      <c r="AM19" s="117">
        <f>IF(ISBLANK(Y19),"",IF($P19="BRL",Y19,Y19*Macroindicadores!J$2)/1000)</f>
        <v>4.5853709999999994</v>
      </c>
      <c r="AN19" s="117">
        <f>IF(ISBLANK(Z19),"",IF($P19="BRL",Z19,Z19*Macroindicadores!K$2)/1000)</f>
        <v>4.5853709999999994</v>
      </c>
      <c r="AO19" s="117">
        <f>IF(ISBLANK(AA19),"",IF($P19="BRL",AA19,AA19*Macroindicadores!L$2)/1000)</f>
        <v>4.5853709999999994</v>
      </c>
      <c r="AP19" s="117">
        <f>IF(ISBLANK(AB19),"",IF($P19="BRL",AB19,AB19*Macroindicadores!M$2)/1000)</f>
        <v>4.5853709999999994</v>
      </c>
      <c r="AQ19" s="118">
        <f t="shared" si="35"/>
        <v>55.024452000000004</v>
      </c>
      <c r="AR19" s="108"/>
      <c r="AS19" s="117">
        <f>IF(ISBLANK(Q19),"",IF(ISBLANK($O19),AE19,IF($J19="ANUAL",AE19*(1+Macroindicadores!B$7),IF(AND($I19="NOVO",MONTH($O19)=MONTH(AS$4)),AE19*(1+Macroindicadores!B$7),IF(AND($J19="PONTUAL",MONTH($O19)=MONTH(AS$4)),AE19*(1+Macroindicadores!B$7),IF(AND($J19="PONTUAL",MONTH($O19)&lt;MONTH(AS$4)),MIN(AR19:$AS19),IF(AND($I19="NOVO",MONTH($O19)&gt;MONTH(AS$4)),AE19,IF(MONTH($O19)&gt;MONTH(AS$4),AE19,IF(MONTH($O19)=MONTH(AS$4),AE19*(1+Macroindicadores!B$7),AR19)))))))))</f>
        <v>4.5853709999999994</v>
      </c>
      <c r="AT19" s="117">
        <f>IF(ISBLANK(R19),"",IF(ISBLANK($O19),AF19,IF($J19="ANUAL",AF19*(1+Macroindicadores!C$7),IF(AND($I19="NOVO",MONTH($O19)=MONTH(AT$4)),AF19*(1+Macroindicadores!C$7),IF(AND($J19="PONTUAL",MONTH($O19)=MONTH(AT$4)),AF19*(1+Macroindicadores!C$7),IF(AND($J19="PONTUAL",MONTH($O19)&lt;MONTH(AT$4)),MIN($AS19:AS19),IF(AND($I19="NOVO",MONTH($O19)&gt;MONTH(AT$4)),AF19,IF(MONTH($O19)&gt;MONTH(AT$4),AF19,IF(MONTH($O19)=MONTH(AT$4),AF19*(1+Macroindicadores!C$7),AS19)))))))))</f>
        <v>4.5853709999999994</v>
      </c>
      <c r="AU19" s="117">
        <f>IF(ISBLANK(S19),"",IF(ISBLANK($O19),AG19,IF($J19="ANUAL",AG19*(1+Macroindicadores!D$7),IF(AND($I19="NOVO",MONTH($O19)=MONTH(AU$4)),AG19*(1+Macroindicadores!D$7),IF(AND($J19="PONTUAL",MONTH($O19)=MONTH(AU$4)),AG19*(1+Macroindicadores!D$7),IF(AND($J19="PONTUAL",MONTH($O19)&lt;MONTH(AU$4)),MIN($AS19:AT19),IF(AND($I19="NOVO",MONTH($O19)&gt;MONTH(AU$4)),AG19,IF(MONTH($O19)&gt;MONTH(AU$4),AG19,IF(MONTH($O19)=MONTH(AU$4),AG19*(1+Macroindicadores!D$7),AT19)))))))))</f>
        <v>4.5853709999999994</v>
      </c>
      <c r="AV19" s="117">
        <f>IF(ISBLANK(T19),"",IF(ISBLANK($O19),AH19,IF($J19="ANUAL",AH19*(1+Macroindicadores!E$7),IF(AND($I19="NOVO",MONTH($O19)=MONTH(AV$4)),AH19*(1+Macroindicadores!E$7),IF(AND($J19="PONTUAL",MONTH($O19)=MONTH(AV$4)),AH19*(1+Macroindicadores!E$7),IF(AND($J19="PONTUAL",MONTH($O19)&lt;MONTH(AV$4)),MIN($AS19:AU19),IF(AND($I19="NOVO",MONTH($O19)&gt;MONTH(AV$4)),AH19,IF(MONTH($O19)&gt;MONTH(AV$4),AH19,IF(MONTH($O19)=MONTH(AV$4),AH19*(1+Macroindicadores!E$7),AU19)))))))))</f>
        <v>4.5853709999999994</v>
      </c>
      <c r="AW19" s="117">
        <f>IF(ISBLANK(U19),"",IF(ISBLANK($O19),AI19,IF($J19="ANUAL",AI19*(1+Macroindicadores!F$7),IF(AND($I19="NOVO",MONTH($O19)=MONTH(AW$4)),AI19*(1+Macroindicadores!F$7),IF(AND($J19="PONTUAL",MONTH($O19)=MONTH(AW$4)),AI19*(1+Macroindicadores!F$7),IF(AND($J19="PONTUAL",MONTH($O19)&lt;MONTH(AW$4)),MIN($AS19:AV19),IF(AND($I19="NOVO",MONTH($O19)&gt;MONTH(AW$4)),AI19,IF(MONTH($O19)&gt;MONTH(AW$4),AI19,IF(MONTH($O19)=MONTH(AW$4),AI19*(1+Macroindicadores!F$7),AV19)))))))))</f>
        <v>4.5853709999999994</v>
      </c>
      <c r="AX19" s="117">
        <f>IF(ISBLANK(V19),"",IF(ISBLANK($O19),AJ19,IF($J19="ANUAL",AJ19*(1+Macroindicadores!G$7),IF(AND($I19="NOVO",MONTH($O19)=MONTH(AX$4)),AJ19*(1+Macroindicadores!G$7),IF(AND($J19="PONTUAL",MONTH($O19)=MONTH(AX$4)),AJ19*(1+Macroindicadores!G$7),IF(AND($J19="PONTUAL",MONTH($O19)&lt;MONTH(AX$4)),MIN($AS19:AW19),IF(AND($I19="NOVO",MONTH($O19)&gt;MONTH(AX$4)),AJ19,IF(MONTH($O19)&gt;MONTH(AX$4),AJ19,IF(MONTH($O19)=MONTH(AX$4),AJ19*(1+Macroindicadores!G$7),AW19)))))))))</f>
        <v>4.5853709999999994</v>
      </c>
      <c r="AY19" s="117">
        <f>IF(ISBLANK(W19),"",IF(ISBLANK($O19),AK19,IF($J19="ANUAL",AK19*(1+Macroindicadores!H$7),IF(AND($I19="NOVO",MONTH($O19)=MONTH(AY$4)),AK19*(1+Macroindicadores!H$7),IF(AND($J19="PONTUAL",MONTH($O19)=MONTH(AY$4)),AK19*(1+Macroindicadores!H$7),IF(AND($J19="PONTUAL",MONTH($O19)&lt;MONTH(AY$4)),MIN($AS19:AX19),IF(AND($I19="NOVO",MONTH($O19)&gt;MONTH(AY$4)),AK19,IF(MONTH($O19)&gt;MONTH(AY$4),AK19,IF(MONTH($O19)=MONTH(AY$4),AK19*(1+Macroindicadores!H$7),AX19)))))))))</f>
        <v>4.5853709999999994</v>
      </c>
      <c r="AZ19" s="117">
        <f>IF(ISBLANK(X19),"",IF(ISBLANK($O19),AL19,IF($J19="ANUAL",AL19*(1+Macroindicadores!I$7),IF(AND($I19="NOVO",MONTH($O19)=MONTH(AZ$4)),AL19*(1+Macroindicadores!I$7),IF(AND($J19="PONTUAL",MONTH($O19)=MONTH(AZ$4)),AL19*(1+Macroindicadores!I$7),IF(AND($J19="PONTUAL",MONTH($O19)&lt;MONTH(AZ$4)),MIN($AS19:AY19),IF(AND($I19="NOVO",MONTH($O19)&gt;MONTH(AZ$4)),AL19,IF(MONTH($O19)&gt;MONTH(AZ$4),AL19,IF(MONTH($O19)=MONTH(AZ$4),AL19*(1+Macroindicadores!I$7),AY19)))))))))</f>
        <v>4.5853709999999994</v>
      </c>
      <c r="BA19" s="117">
        <f>IF(ISBLANK(Y19),"",IF(ISBLANK($O19),AM19,IF($J19="ANUAL",AM19*(1+Macroindicadores!J$7),IF(AND($I19="NOVO",MONTH($O19)=MONTH(BA$4)),AM19*(1+Macroindicadores!J$7),IF(AND($J19="PONTUAL",MONTH($O19)=MONTH(BA$4)),AM19*(1+Macroindicadores!J$7),IF(AND($J19="PONTUAL",MONTH($O19)&lt;MONTH(BA$4)),MIN($AS19:AZ19),IF(AND($I19="NOVO",MONTH($O19)&gt;MONTH(BA$4)),AM19,IF(MONTH($O19)&gt;MONTH(BA$4),AM19,IF(MONTH($O19)=MONTH(BA$4),AM19*(1+Macroindicadores!J$7),AZ19)))))))))</f>
        <v>4.5853709999999994</v>
      </c>
      <c r="BB19" s="117">
        <f>IF(ISBLANK(Z19),"",IF(ISBLANK($O19),AN19,IF($J19="ANUAL",AN19*(1+Macroindicadores!K$7),IF(AND($I19="NOVO",MONTH($O19)=MONTH(BB$4)),AN19*(1+Macroindicadores!K$7),IF(AND($J19="PONTUAL",MONTH($O19)=MONTH(BB$4)),AN19*(1+Macroindicadores!K$7),IF(AND($J19="PONTUAL",MONTH($O19)&lt;MONTH(BB$4)),MIN($AS19:BA19),IF(AND($I19="NOVO",MONTH($O19)&gt;MONTH(BB$4)),AN19,IF(MONTH($O19)&gt;MONTH(BB$4),AN19,IF(MONTH($O19)=MONTH(BB$4),AN19*(1+Macroindicadores!K$7),BA19)))))))))</f>
        <v>4.5853709999999994</v>
      </c>
      <c r="BC19" s="117">
        <f>IF(ISBLANK(AA19),"",IF(ISBLANK($O19),AO19,IF($J19="ANUAL",AO19*(1+Macroindicadores!L$7),IF(AND($I19="NOVO",MONTH($O19)=MONTH(BC$4)),AO19*(1+Macroindicadores!L$7),IF(AND($J19="PONTUAL",MONTH($O19)=MONTH(BC$4)),AO19*(1+Macroindicadores!L$7),IF(AND($J19="PONTUAL",MONTH($O19)&lt;MONTH(BC$4)),MIN($AS19:BB19),IF(AND($I19="NOVO",MONTH($O19)&gt;MONTH(BC$4)),AO19,IF(MONTH($O19)&gt;MONTH(BC$4),AO19,IF(MONTH($O19)=MONTH(BC$4),AO19*(1+Macroindicadores!L$7),BB19)))))))))</f>
        <v>4.5853709999999994</v>
      </c>
      <c r="BD19" s="117">
        <f>IF(ISBLANK(AB19),"",IF(ISBLANK($O19),AP19,IF($J19="ANUAL",AP19*(1+Macroindicadores!M$7),IF(AND($I19="NOVO",MONTH($O19)=MONTH(BD$4)),AP19*(1+Macroindicadores!M$7),IF(AND($J19="PONTUAL",MONTH($O19)=MONTH(BD$4)),AP19*(1+Macroindicadores!M$7),IF(AND($J19="PONTUAL",MONTH($O19)&lt;MONTH(BD$4)),MIN($AS19:BC19),IF(AND($I19="NOVO",MONTH($O19)&gt;MONTH(BD$4)),AP19,IF(MONTH($O19)&gt;MONTH(BD$4),AP19,IF(MONTH($O19)=MONTH(BD$4),AP19*(1+Macroindicadores!M$7),BC19)))))))))</f>
        <v>4.5853709999999994</v>
      </c>
      <c r="BE19" s="118">
        <f t="shared" si="36"/>
        <v>55.024452000000004</v>
      </c>
      <c r="BF19" s="108"/>
      <c r="BG19" s="117">
        <f>IF(ISBLANK(Q19),"",AS19/Macroindicadores!B$2)</f>
        <v>0.77982499999999988</v>
      </c>
      <c r="BH19" s="117">
        <f>IF(ISBLANK(R19),"",AT19/Macroindicadores!C$2)</f>
        <v>0.77982499999999988</v>
      </c>
      <c r="BI19" s="117">
        <f>IF(ISBLANK(S19),"",AU19/Macroindicadores!D$2)</f>
        <v>0.77982499999999988</v>
      </c>
      <c r="BJ19" s="117">
        <f>IF(ISBLANK(T19),"",AV19/Macroindicadores!E$2)</f>
        <v>0.77982499999999988</v>
      </c>
      <c r="BK19" s="117">
        <f>IF(ISBLANK(U19),"",AW19/Macroindicadores!F$2)</f>
        <v>0.77982499999999988</v>
      </c>
      <c r="BL19" s="117">
        <f>IF(ISBLANK(V19),"",AX19/Macroindicadores!G$2)</f>
        <v>0.77982499999999988</v>
      </c>
      <c r="BM19" s="117">
        <f>IF(ISBLANK(W19),"",AY19/Macroindicadores!H$2)</f>
        <v>0.77982499999999988</v>
      </c>
      <c r="BN19" s="117">
        <f>IF(ISBLANK(X19),"",AZ19/Macroindicadores!I$2)</f>
        <v>0.77982499999999988</v>
      </c>
      <c r="BO19" s="117">
        <f>IF(ISBLANK(Y19),"",BA19/Macroindicadores!J$2)</f>
        <v>0.77982499999999988</v>
      </c>
      <c r="BP19" s="117">
        <f>IF(ISBLANK(Z19),"",BB19/Macroindicadores!K$2)</f>
        <v>0.77982499999999988</v>
      </c>
      <c r="BQ19" s="117">
        <f>IF(ISBLANK(AA19),"",BC19/Macroindicadores!L$2)</f>
        <v>0.77982499999999988</v>
      </c>
      <c r="BR19" s="117">
        <f>IF(ISBLANK(AB19),"",BD19/Macroindicadores!M$2)</f>
        <v>0.77982499999999988</v>
      </c>
      <c r="BS19" s="118">
        <f>IF(AND(ISBLANK($Q19),ISBLANK($R19),ISBLANK($S19),ISBLANK($T19),ISBLANK($U19),ISBLANK($V19),ISBLANK($W19),ISBLANK($X19),ISBLANK($Y19),ISBLANK($Z19),ISBLANK($AA19),ISBLANK($AB19)),"",SUM(BG19:BR19))</f>
        <v>9.357899999999999</v>
      </c>
      <c r="BT19" s="25" t="str">
        <f>IF(ISBLANK($L19),"",_xlfn.XLOOKUP($L19,'CENTRO CUSTO'!$A:$A,'CENTRO CUSTO'!$E:$E,FALSE,0))</f>
        <v>G&amp;A BU</v>
      </c>
    </row>
    <row r="20" spans="1:72">
      <c r="A20" s="9" t="str">
        <f t="shared" si="40"/>
        <v>Budget</v>
      </c>
      <c r="B20" s="9">
        <f t="shared" si="31"/>
        <v>2026</v>
      </c>
      <c r="C20" s="111" t="str">
        <f>IF(ISBLANK($L20),"",_xlfn.XLOOKUP($L20,'CENTRO CUSTO'!$A:$A,'CENTRO CUSTO'!F:F,FALSE,0))</f>
        <v>SKM</v>
      </c>
      <c r="D20" s="111" t="str">
        <f>IF(ISBLANK($L20),"",_xlfn.XLOOKUP($L20,'CENTRO CUSTO'!$A:$A,'CENTRO CUSTO'!G:G,FALSE,0))</f>
        <v>BU-SKM</v>
      </c>
      <c r="E20" s="111" t="str">
        <f>IF(ISBLANK($L20),"",_xlfn.XLOOKUP($L20,'CENTRO CUSTO'!$A:$A,'CENTRO CUSTO'!H:H,FALSE,0))</f>
        <v>G&amp;A</v>
      </c>
      <c r="F20" s="112" t="s">
        <v>92</v>
      </c>
      <c r="G20" s="112" t="s">
        <v>75</v>
      </c>
      <c r="H20" s="112" t="s">
        <v>97</v>
      </c>
      <c r="I20" s="113" t="s">
        <v>77</v>
      </c>
      <c r="J20" s="113" t="s">
        <v>78</v>
      </c>
      <c r="K20" s="113" t="s">
        <v>79</v>
      </c>
      <c r="L20" s="113" t="s">
        <v>50</v>
      </c>
      <c r="M20" s="111" t="str">
        <f>IF(ISBLANK($L20),"",_xlfn.XLOOKUP($L20,'CENTRO CUSTO'!$A:$A,'CENTRO CUSTO'!D:D,FALSE,0))</f>
        <v>Alexandre Ayabe</v>
      </c>
      <c r="N20" s="113" t="s">
        <v>91</v>
      </c>
      <c r="O20" s="114"/>
      <c r="P20" s="113" t="s">
        <v>88</v>
      </c>
      <c r="Q20" s="115">
        <f>187158*Rateio!$E$53/12</f>
        <v>935.79</v>
      </c>
      <c r="R20" s="115">
        <f>187158*Rateio!$E$53/12</f>
        <v>935.79</v>
      </c>
      <c r="S20" s="115">
        <f>187158*Rateio!$E$53/12</f>
        <v>935.79</v>
      </c>
      <c r="T20" s="115">
        <f>187158*Rateio!$E$53/12</f>
        <v>935.79</v>
      </c>
      <c r="U20" s="115">
        <f>187158*Rateio!$E$53/12</f>
        <v>935.79</v>
      </c>
      <c r="V20" s="115">
        <f>187158*Rateio!$E$53/12</f>
        <v>935.79</v>
      </c>
      <c r="W20" s="115">
        <f>187158*Rateio!$E$53/12</f>
        <v>935.79</v>
      </c>
      <c r="X20" s="115">
        <f>187158*Rateio!$E$53/12</f>
        <v>935.79</v>
      </c>
      <c r="Y20" s="115">
        <f>187158*Rateio!$E$53/12</f>
        <v>935.79</v>
      </c>
      <c r="Z20" s="115">
        <f>187158*Rateio!$E$53/12</f>
        <v>935.79</v>
      </c>
      <c r="AA20" s="115">
        <f>187158*Rateio!$E$53/12</f>
        <v>935.79</v>
      </c>
      <c r="AB20" s="115">
        <f>187158*Rateio!$E$53/12</f>
        <v>935.79</v>
      </c>
      <c r="AC20" s="116">
        <f t="shared" si="41"/>
        <v>11229.480000000003</v>
      </c>
      <c r="AD20" s="108"/>
      <c r="AE20" s="117">
        <f>IF(ISBLANK(Q20),"",IF($P20="BRL",Q20,Q20*Macroindicadores!B$2)/1000)</f>
        <v>5.5024452000000004</v>
      </c>
      <c r="AF20" s="117">
        <f>IF(ISBLANK(R20),"",IF($P20="BRL",R20,R20*Macroindicadores!C$2)/1000)</f>
        <v>5.5024452000000004</v>
      </c>
      <c r="AG20" s="117">
        <f>IF(ISBLANK(S20),"",IF($P20="BRL",S20,S20*Macroindicadores!D$2)/1000)</f>
        <v>5.5024452000000004</v>
      </c>
      <c r="AH20" s="117">
        <f>IF(ISBLANK(T20),"",IF($P20="BRL",T20,T20*Macroindicadores!E$2)/1000)</f>
        <v>5.5024452000000004</v>
      </c>
      <c r="AI20" s="117">
        <f>IF(ISBLANK(U20),"",IF($P20="BRL",U20,U20*Macroindicadores!F$2)/1000)</f>
        <v>5.5024452000000004</v>
      </c>
      <c r="AJ20" s="117">
        <f>IF(ISBLANK(V20),"",IF($P20="BRL",V20,V20*Macroindicadores!G$2)/1000)</f>
        <v>5.5024452000000004</v>
      </c>
      <c r="AK20" s="117">
        <f>IF(ISBLANK(W20),"",IF($P20="BRL",W20,W20*Macroindicadores!H$2)/1000)</f>
        <v>5.5024452000000004</v>
      </c>
      <c r="AL20" s="117">
        <f>IF(ISBLANK(X20),"",IF($P20="BRL",X20,X20*Macroindicadores!I$2)/1000)</f>
        <v>5.5024452000000004</v>
      </c>
      <c r="AM20" s="117">
        <f>IF(ISBLANK(Y20),"",IF($P20="BRL",Y20,Y20*Macroindicadores!J$2)/1000)</f>
        <v>5.5024452000000004</v>
      </c>
      <c r="AN20" s="117">
        <f>IF(ISBLANK(Z20),"",IF($P20="BRL",Z20,Z20*Macroindicadores!K$2)/1000)</f>
        <v>5.5024452000000004</v>
      </c>
      <c r="AO20" s="117">
        <f>IF(ISBLANK(AA20),"",IF($P20="BRL",AA20,AA20*Macroindicadores!L$2)/1000)</f>
        <v>5.5024452000000004</v>
      </c>
      <c r="AP20" s="117">
        <f>IF(ISBLANK(AB20),"",IF($P20="BRL",AB20,AB20*Macroindicadores!M$2)/1000)</f>
        <v>5.5024452000000004</v>
      </c>
      <c r="AQ20" s="118">
        <f t="shared" si="35"/>
        <v>66.02934239999999</v>
      </c>
      <c r="AR20" s="108"/>
      <c r="AS20" s="117">
        <f>IF(ISBLANK(Q20),"",IF(ISBLANK($O20),AE20,IF($J20="ANUAL",AE20*(1+Macroindicadores!B$7),IF(AND($I20="NOVO",MONTH($O20)=MONTH(AS$4)),AE20*(1+Macroindicadores!B$7),IF(AND($J20="PONTUAL",MONTH($O20)=MONTH(AS$4)),AE20*(1+Macroindicadores!B$7),IF(AND($J20="PONTUAL",MONTH($O20)&lt;MONTH(AS$4)),MIN(AR20:$AS20),IF(AND($I20="NOVO",MONTH($O20)&gt;MONTH(AS$4)),AE20,IF(MONTH($O20)&gt;MONTH(AS$4),AE20,IF(MONTH($O20)=MONTH(AS$4),AE20*(1+Macroindicadores!B$7),AR20)))))))))</f>
        <v>5.5024452000000004</v>
      </c>
      <c r="AT20" s="117">
        <f>IF(ISBLANK(R20),"",IF(ISBLANK($O20),AF20,IF($J20="ANUAL",AF20*(1+Macroindicadores!C$7),IF(AND($I20="NOVO",MONTH($O20)=MONTH(AT$4)),AF20*(1+Macroindicadores!C$7),IF(AND($J20="PONTUAL",MONTH($O20)=MONTH(AT$4)),AF20*(1+Macroindicadores!C$7),IF(AND($J20="PONTUAL",MONTH($O20)&lt;MONTH(AT$4)),MIN($AS20:AS20),IF(AND($I20="NOVO",MONTH($O20)&gt;MONTH(AT$4)),AF20,IF(MONTH($O20)&gt;MONTH(AT$4),AF20,IF(MONTH($O20)=MONTH(AT$4),AF20*(1+Macroindicadores!C$7),AS20)))))))))</f>
        <v>5.5024452000000004</v>
      </c>
      <c r="AU20" s="117">
        <f>IF(ISBLANK(S20),"",IF(ISBLANK($O20),AG20,IF($J20="ANUAL",AG20*(1+Macroindicadores!D$7),IF(AND($I20="NOVO",MONTH($O20)=MONTH(AU$4)),AG20*(1+Macroindicadores!D$7),IF(AND($J20="PONTUAL",MONTH($O20)=MONTH(AU$4)),AG20*(1+Macroindicadores!D$7),IF(AND($J20="PONTUAL",MONTH($O20)&lt;MONTH(AU$4)),MIN($AS20:AT20),IF(AND($I20="NOVO",MONTH($O20)&gt;MONTH(AU$4)),AG20,IF(MONTH($O20)&gt;MONTH(AU$4),AG20,IF(MONTH($O20)=MONTH(AU$4),AG20*(1+Macroindicadores!D$7),AT20)))))))))</f>
        <v>5.5024452000000004</v>
      </c>
      <c r="AV20" s="117">
        <f>IF(ISBLANK(T20),"",IF(ISBLANK($O20),AH20,IF($J20="ANUAL",AH20*(1+Macroindicadores!E$7),IF(AND($I20="NOVO",MONTH($O20)=MONTH(AV$4)),AH20*(1+Macroindicadores!E$7),IF(AND($J20="PONTUAL",MONTH($O20)=MONTH(AV$4)),AH20*(1+Macroindicadores!E$7),IF(AND($J20="PONTUAL",MONTH($O20)&lt;MONTH(AV$4)),MIN($AS20:AU20),IF(AND($I20="NOVO",MONTH($O20)&gt;MONTH(AV$4)),AH20,IF(MONTH($O20)&gt;MONTH(AV$4),AH20,IF(MONTH($O20)=MONTH(AV$4),AH20*(1+Macroindicadores!E$7),AU20)))))))))</f>
        <v>5.5024452000000004</v>
      </c>
      <c r="AW20" s="117">
        <f>IF(ISBLANK(U20),"",IF(ISBLANK($O20),AI20,IF($J20="ANUAL",AI20*(1+Macroindicadores!F$7),IF(AND($I20="NOVO",MONTH($O20)=MONTH(AW$4)),AI20*(1+Macroindicadores!F$7),IF(AND($J20="PONTUAL",MONTH($O20)=MONTH(AW$4)),AI20*(1+Macroindicadores!F$7),IF(AND($J20="PONTUAL",MONTH($O20)&lt;MONTH(AW$4)),MIN($AS20:AV20),IF(AND($I20="NOVO",MONTH($O20)&gt;MONTH(AW$4)),AI20,IF(MONTH($O20)&gt;MONTH(AW$4),AI20,IF(MONTH($O20)=MONTH(AW$4),AI20*(1+Macroindicadores!F$7),AV20)))))))))</f>
        <v>5.5024452000000004</v>
      </c>
      <c r="AX20" s="117">
        <f>IF(ISBLANK(V20),"",IF(ISBLANK($O20),AJ20,IF($J20="ANUAL",AJ20*(1+Macroindicadores!G$7),IF(AND($I20="NOVO",MONTH($O20)=MONTH(AX$4)),AJ20*(1+Macroindicadores!G$7),IF(AND($J20="PONTUAL",MONTH($O20)=MONTH(AX$4)),AJ20*(1+Macroindicadores!G$7),IF(AND($J20="PONTUAL",MONTH($O20)&lt;MONTH(AX$4)),MIN($AS20:AW20),IF(AND($I20="NOVO",MONTH($O20)&gt;MONTH(AX$4)),AJ20,IF(MONTH($O20)&gt;MONTH(AX$4),AJ20,IF(MONTH($O20)=MONTH(AX$4),AJ20*(1+Macroindicadores!G$7),AW20)))))))))</f>
        <v>5.5024452000000004</v>
      </c>
      <c r="AY20" s="117">
        <f>IF(ISBLANK(W20),"",IF(ISBLANK($O20),AK20,IF($J20="ANUAL",AK20*(1+Macroindicadores!H$7),IF(AND($I20="NOVO",MONTH($O20)=MONTH(AY$4)),AK20*(1+Macroindicadores!H$7),IF(AND($J20="PONTUAL",MONTH($O20)=MONTH(AY$4)),AK20*(1+Macroindicadores!H$7),IF(AND($J20="PONTUAL",MONTH($O20)&lt;MONTH(AY$4)),MIN($AS20:AX20),IF(AND($I20="NOVO",MONTH($O20)&gt;MONTH(AY$4)),AK20,IF(MONTH($O20)&gt;MONTH(AY$4),AK20,IF(MONTH($O20)=MONTH(AY$4),AK20*(1+Macroindicadores!H$7),AX20)))))))))</f>
        <v>5.5024452000000004</v>
      </c>
      <c r="AZ20" s="117">
        <f>IF(ISBLANK(X20),"",IF(ISBLANK($O20),AL20,IF($J20="ANUAL",AL20*(1+Macroindicadores!I$7),IF(AND($I20="NOVO",MONTH($O20)=MONTH(AZ$4)),AL20*(1+Macroindicadores!I$7),IF(AND($J20="PONTUAL",MONTH($O20)=MONTH(AZ$4)),AL20*(1+Macroindicadores!I$7),IF(AND($J20="PONTUAL",MONTH($O20)&lt;MONTH(AZ$4)),MIN($AS20:AY20),IF(AND($I20="NOVO",MONTH($O20)&gt;MONTH(AZ$4)),AL20,IF(MONTH($O20)&gt;MONTH(AZ$4),AL20,IF(MONTH($O20)=MONTH(AZ$4),AL20*(1+Macroindicadores!I$7),AY20)))))))))</f>
        <v>5.5024452000000004</v>
      </c>
      <c r="BA20" s="117">
        <f>IF(ISBLANK(Y20),"",IF(ISBLANK($O20),AM20,IF($J20="ANUAL",AM20*(1+Macroindicadores!J$7),IF(AND($I20="NOVO",MONTH($O20)=MONTH(BA$4)),AM20*(1+Macroindicadores!J$7),IF(AND($J20="PONTUAL",MONTH($O20)=MONTH(BA$4)),AM20*(1+Macroindicadores!J$7),IF(AND($J20="PONTUAL",MONTH($O20)&lt;MONTH(BA$4)),MIN($AS20:AZ20),IF(AND($I20="NOVO",MONTH($O20)&gt;MONTH(BA$4)),AM20,IF(MONTH($O20)&gt;MONTH(BA$4),AM20,IF(MONTH($O20)=MONTH(BA$4),AM20*(1+Macroindicadores!J$7),AZ20)))))))))</f>
        <v>5.5024452000000004</v>
      </c>
      <c r="BB20" s="117">
        <f>IF(ISBLANK(Z20),"",IF(ISBLANK($O20),AN20,IF($J20="ANUAL",AN20*(1+Macroindicadores!K$7),IF(AND($I20="NOVO",MONTH($O20)=MONTH(BB$4)),AN20*(1+Macroindicadores!K$7),IF(AND($J20="PONTUAL",MONTH($O20)=MONTH(BB$4)),AN20*(1+Macroindicadores!K$7),IF(AND($J20="PONTUAL",MONTH($O20)&lt;MONTH(BB$4)),MIN($AS20:BA20),IF(AND($I20="NOVO",MONTH($O20)&gt;MONTH(BB$4)),AN20,IF(MONTH($O20)&gt;MONTH(BB$4),AN20,IF(MONTH($O20)=MONTH(BB$4),AN20*(1+Macroindicadores!K$7),BA20)))))))))</f>
        <v>5.5024452000000004</v>
      </c>
      <c r="BC20" s="117">
        <f>IF(ISBLANK(AA20),"",IF(ISBLANK($O20),AO20,IF($J20="ANUAL",AO20*(1+Macroindicadores!L$7),IF(AND($I20="NOVO",MONTH($O20)=MONTH(BC$4)),AO20*(1+Macroindicadores!L$7),IF(AND($J20="PONTUAL",MONTH($O20)=MONTH(BC$4)),AO20*(1+Macroindicadores!L$7),IF(AND($J20="PONTUAL",MONTH($O20)&lt;MONTH(BC$4)),MIN($AS20:BB20),IF(AND($I20="NOVO",MONTH($O20)&gt;MONTH(BC$4)),AO20,IF(MONTH($O20)&gt;MONTH(BC$4),AO20,IF(MONTH($O20)=MONTH(BC$4),AO20*(1+Macroindicadores!L$7),BB20)))))))))</f>
        <v>5.5024452000000004</v>
      </c>
      <c r="BD20" s="117">
        <f>IF(ISBLANK(AB20),"",IF(ISBLANK($O20),AP20,IF($J20="ANUAL",AP20*(1+Macroindicadores!M$7),IF(AND($I20="NOVO",MONTH($O20)=MONTH(BD$4)),AP20*(1+Macroindicadores!M$7),IF(AND($J20="PONTUAL",MONTH($O20)=MONTH(BD$4)),AP20*(1+Macroindicadores!M$7),IF(AND($J20="PONTUAL",MONTH($O20)&lt;MONTH(BD$4)),MIN($AS20:BC20),IF(AND($I20="NOVO",MONTH($O20)&gt;MONTH(BD$4)),AP20,IF(MONTH($O20)&gt;MONTH(BD$4),AP20,IF(MONTH($O20)=MONTH(BD$4),AP20*(1+Macroindicadores!M$7),BC20)))))))))</f>
        <v>5.5024452000000004</v>
      </c>
      <c r="BE20" s="118">
        <f t="shared" si="36"/>
        <v>66.02934239999999</v>
      </c>
      <c r="BF20" s="108"/>
      <c r="BG20" s="117">
        <f>IF(ISBLANK(Q20),"",AS20/Macroindicadores!B$2)</f>
        <v>0.93579000000000012</v>
      </c>
      <c r="BH20" s="117">
        <f>IF(ISBLANK(R20),"",AT20/Macroindicadores!C$2)</f>
        <v>0.93579000000000012</v>
      </c>
      <c r="BI20" s="117">
        <f>IF(ISBLANK(S20),"",AU20/Macroindicadores!D$2)</f>
        <v>0.93579000000000012</v>
      </c>
      <c r="BJ20" s="117">
        <f>IF(ISBLANK(T20),"",AV20/Macroindicadores!E$2)</f>
        <v>0.93579000000000012</v>
      </c>
      <c r="BK20" s="117">
        <f>IF(ISBLANK(U20),"",AW20/Macroindicadores!F$2)</f>
        <v>0.93579000000000012</v>
      </c>
      <c r="BL20" s="117">
        <f>IF(ISBLANK(V20),"",AX20/Macroindicadores!G$2)</f>
        <v>0.93579000000000012</v>
      </c>
      <c r="BM20" s="117">
        <f>IF(ISBLANK(W20),"",AY20/Macroindicadores!H$2)</f>
        <v>0.93579000000000012</v>
      </c>
      <c r="BN20" s="117">
        <f>IF(ISBLANK(X20),"",AZ20/Macroindicadores!I$2)</f>
        <v>0.93579000000000012</v>
      </c>
      <c r="BO20" s="117">
        <f>IF(ISBLANK(Y20),"",BA20/Macroindicadores!J$2)</f>
        <v>0.93579000000000012</v>
      </c>
      <c r="BP20" s="117">
        <f>IF(ISBLANK(Z20),"",BB20/Macroindicadores!K$2)</f>
        <v>0.93579000000000012</v>
      </c>
      <c r="BQ20" s="117">
        <f>IF(ISBLANK(AA20),"",BC20/Macroindicadores!L$2)</f>
        <v>0.93579000000000012</v>
      </c>
      <c r="BR20" s="117">
        <f>IF(ISBLANK(AB20),"",BD20/Macroindicadores!M$2)</f>
        <v>0.93579000000000012</v>
      </c>
      <c r="BS20" s="118">
        <f>IF(AND(ISBLANK($Q20),ISBLANK($R20),ISBLANK($S20),ISBLANK($T20),ISBLANK($U20),ISBLANK($V20),ISBLANK($W20),ISBLANK($X20),ISBLANK($Y20),ISBLANK($Z20),ISBLANK($AA20),ISBLANK($AB20)),"",SUM(BG20:BR20))</f>
        <v>11.229480000000002</v>
      </c>
      <c r="BT20" s="25" t="str">
        <f>IF(ISBLANK($L20),"",_xlfn.XLOOKUP($L20,'CENTRO CUSTO'!$A:$A,'CENTRO CUSTO'!$E:$E,FALSE,0))</f>
        <v>G&amp;A BU</v>
      </c>
    </row>
    <row r="21" spans="1:72">
      <c r="A21" s="9" t="str">
        <f t="shared" si="40"/>
        <v>Budget</v>
      </c>
      <c r="B21" s="9">
        <f t="shared" si="31"/>
        <v>2026</v>
      </c>
      <c r="C21" s="111" t="str">
        <f>IF(ISBLANK($L21),"",_xlfn.XLOOKUP($L21,'CENTRO CUSTO'!$A:$A,'CENTRO CUSTO'!F:F,FALSE,0))</f>
        <v>Rio de Janeiro</v>
      </c>
      <c r="D21" s="111" t="str">
        <f>IF(ISBLANK($L21),"",_xlfn.XLOOKUP($L21,'CENTRO CUSTO'!$A:$A,'CENTRO CUSTO'!G:G,FALSE,0))</f>
        <v>BU-RJ</v>
      </c>
      <c r="E21" s="111" t="str">
        <f>IF(ISBLANK($L21),"",_xlfn.XLOOKUP($L21,'CENTRO CUSTO'!$A:$A,'CENTRO CUSTO'!H:H,FALSE,0))</f>
        <v>G&amp;A</v>
      </c>
      <c r="F21" s="112" t="s">
        <v>92</v>
      </c>
      <c r="G21" s="112" t="s">
        <v>75</v>
      </c>
      <c r="H21" s="112" t="s">
        <v>97</v>
      </c>
      <c r="I21" s="113" t="s">
        <v>77</v>
      </c>
      <c r="J21" s="113" t="s">
        <v>78</v>
      </c>
      <c r="K21" s="113" t="s">
        <v>79</v>
      </c>
      <c r="L21" s="113" t="s">
        <v>95</v>
      </c>
      <c r="M21" s="111" t="str">
        <f>IF(ISBLANK($L21),"",_xlfn.XLOOKUP($L21,'CENTRO CUSTO'!$A:$A,'CENTRO CUSTO'!D:D,FALSE,0))</f>
        <v>Alexandre Ayabe</v>
      </c>
      <c r="N21" s="113" t="s">
        <v>91</v>
      </c>
      <c r="O21" s="114"/>
      <c r="P21" s="113" t="s">
        <v>88</v>
      </c>
      <c r="Q21" s="115">
        <f>187158*Rateio!$E$56/12</f>
        <v>311.93</v>
      </c>
      <c r="R21" s="115">
        <f>187158*Rateio!$E$56/12</f>
        <v>311.93</v>
      </c>
      <c r="S21" s="115">
        <f>187158*Rateio!$E$56/12</f>
        <v>311.93</v>
      </c>
      <c r="T21" s="115">
        <f>187158*Rateio!$E$56/12</f>
        <v>311.93</v>
      </c>
      <c r="U21" s="115">
        <f>187158*Rateio!$E$56/12</f>
        <v>311.93</v>
      </c>
      <c r="V21" s="115">
        <f>187158*Rateio!$E$56/12</f>
        <v>311.93</v>
      </c>
      <c r="W21" s="115">
        <f>187158*Rateio!$E$56/12</f>
        <v>311.93</v>
      </c>
      <c r="X21" s="115">
        <f>187158*Rateio!$E$56/12</f>
        <v>311.93</v>
      </c>
      <c r="Y21" s="115">
        <f>187158*Rateio!$E$56/12</f>
        <v>311.93</v>
      </c>
      <c r="Z21" s="115">
        <f>187158*Rateio!$E$56/12</f>
        <v>311.93</v>
      </c>
      <c r="AA21" s="115">
        <f>187158*Rateio!$E$56/12</f>
        <v>311.93</v>
      </c>
      <c r="AB21" s="115">
        <f>187158*Rateio!$E$56/12</f>
        <v>311.93</v>
      </c>
      <c r="AC21" s="116">
        <f t="shared" si="41"/>
        <v>3743.1599999999994</v>
      </c>
      <c r="AD21" s="108"/>
      <c r="AE21" s="117">
        <f>IF(ISBLANK(Q21),"",IF($P21="BRL",Q21,Q21*Macroindicadores!B$2)/1000)</f>
        <v>1.8341484000000001</v>
      </c>
      <c r="AF21" s="117">
        <f>IF(ISBLANK(R21),"",IF($P21="BRL",R21,R21*Macroindicadores!C$2)/1000)</f>
        <v>1.8341484000000001</v>
      </c>
      <c r="AG21" s="117">
        <f>IF(ISBLANK(S21),"",IF($P21="BRL",S21,S21*Macroindicadores!D$2)/1000)</f>
        <v>1.8341484000000001</v>
      </c>
      <c r="AH21" s="117">
        <f>IF(ISBLANK(T21),"",IF($P21="BRL",T21,T21*Macroindicadores!E$2)/1000)</f>
        <v>1.8341484000000001</v>
      </c>
      <c r="AI21" s="117">
        <f>IF(ISBLANK(U21),"",IF($P21="BRL",U21,U21*Macroindicadores!F$2)/1000)</f>
        <v>1.8341484000000001</v>
      </c>
      <c r="AJ21" s="117">
        <f>IF(ISBLANK(V21),"",IF($P21="BRL",V21,V21*Macroindicadores!G$2)/1000)</f>
        <v>1.8341484000000001</v>
      </c>
      <c r="AK21" s="117">
        <f>IF(ISBLANK(W21),"",IF($P21="BRL",W21,W21*Macroindicadores!H$2)/1000)</f>
        <v>1.8341484000000001</v>
      </c>
      <c r="AL21" s="117">
        <f>IF(ISBLANK(X21),"",IF($P21="BRL",X21,X21*Macroindicadores!I$2)/1000)</f>
        <v>1.8341484000000001</v>
      </c>
      <c r="AM21" s="117">
        <f>IF(ISBLANK(Y21),"",IF($P21="BRL",Y21,Y21*Macroindicadores!J$2)/1000)</f>
        <v>1.8341484000000001</v>
      </c>
      <c r="AN21" s="117">
        <f>IF(ISBLANK(Z21),"",IF($P21="BRL",Z21,Z21*Macroindicadores!K$2)/1000)</f>
        <v>1.8341484000000001</v>
      </c>
      <c r="AO21" s="117">
        <f>IF(ISBLANK(AA21),"",IF($P21="BRL",AA21,AA21*Macroindicadores!L$2)/1000)</f>
        <v>1.8341484000000001</v>
      </c>
      <c r="AP21" s="117">
        <f>IF(ISBLANK(AB21),"",IF($P21="BRL",AB21,AB21*Macroindicadores!M$2)/1000)</f>
        <v>1.8341484000000001</v>
      </c>
      <c r="AQ21" s="118">
        <f t="shared" si="35"/>
        <v>22.009780800000001</v>
      </c>
      <c r="AR21" s="108"/>
      <c r="AS21" s="117">
        <f>IF(ISBLANK(Q21),"",IF(ISBLANK($O21),AE21,IF($J21="ANUAL",AE21*(1+Macroindicadores!B$7),IF(AND($I21="NOVO",MONTH($O21)=MONTH(AS$4)),AE21*(1+Macroindicadores!B$7),IF(AND($J21="PONTUAL",MONTH($O21)=MONTH(AS$4)),AE21*(1+Macroindicadores!B$7),IF(AND($J21="PONTUAL",MONTH($O21)&lt;MONTH(AS$4)),MIN(AR21:$AS21),IF(AND($I21="NOVO",MONTH($O21)&gt;MONTH(AS$4)),AE21,IF(MONTH($O21)&gt;MONTH(AS$4),AE21,IF(MONTH($O21)=MONTH(AS$4),AE21*(1+Macroindicadores!B$7),AR21)))))))))</f>
        <v>1.8341484000000001</v>
      </c>
      <c r="AT21" s="117">
        <f>IF(ISBLANK(R21),"",IF(ISBLANK($O21),AF21,IF($J21="ANUAL",AF21*(1+Macroindicadores!C$7),IF(AND($I21="NOVO",MONTH($O21)=MONTH(AT$4)),AF21*(1+Macroindicadores!C$7),IF(AND($J21="PONTUAL",MONTH($O21)=MONTH(AT$4)),AF21*(1+Macroindicadores!C$7),IF(AND($J21="PONTUAL",MONTH($O21)&lt;MONTH(AT$4)),MIN($AS21:AS21),IF(AND($I21="NOVO",MONTH($O21)&gt;MONTH(AT$4)),AF21,IF(MONTH($O21)&gt;MONTH(AT$4),AF21,IF(MONTH($O21)=MONTH(AT$4),AF21*(1+Macroindicadores!C$7),AS21)))))))))</f>
        <v>1.8341484000000001</v>
      </c>
      <c r="AU21" s="117">
        <f>IF(ISBLANK(S21),"",IF(ISBLANK($O21),AG21,IF($J21="ANUAL",AG21*(1+Macroindicadores!D$7),IF(AND($I21="NOVO",MONTH($O21)=MONTH(AU$4)),AG21*(1+Macroindicadores!D$7),IF(AND($J21="PONTUAL",MONTH($O21)=MONTH(AU$4)),AG21*(1+Macroindicadores!D$7),IF(AND($J21="PONTUAL",MONTH($O21)&lt;MONTH(AU$4)),MIN($AS21:AT21),IF(AND($I21="NOVO",MONTH($O21)&gt;MONTH(AU$4)),AG21,IF(MONTH($O21)&gt;MONTH(AU$4),AG21,IF(MONTH($O21)=MONTH(AU$4),AG21*(1+Macroindicadores!D$7),AT21)))))))))</f>
        <v>1.8341484000000001</v>
      </c>
      <c r="AV21" s="117">
        <f>IF(ISBLANK(T21),"",IF(ISBLANK($O21),AH21,IF($J21="ANUAL",AH21*(1+Macroindicadores!E$7),IF(AND($I21="NOVO",MONTH($O21)=MONTH(AV$4)),AH21*(1+Macroindicadores!E$7),IF(AND($J21="PONTUAL",MONTH($O21)=MONTH(AV$4)),AH21*(1+Macroindicadores!E$7),IF(AND($J21="PONTUAL",MONTH($O21)&lt;MONTH(AV$4)),MIN($AS21:AU21),IF(AND($I21="NOVO",MONTH($O21)&gt;MONTH(AV$4)),AH21,IF(MONTH($O21)&gt;MONTH(AV$4),AH21,IF(MONTH($O21)=MONTH(AV$4),AH21*(1+Macroindicadores!E$7),AU21)))))))))</f>
        <v>1.8341484000000001</v>
      </c>
      <c r="AW21" s="117">
        <f>IF(ISBLANK(U21),"",IF(ISBLANK($O21),AI21,IF($J21="ANUAL",AI21*(1+Macroindicadores!F$7),IF(AND($I21="NOVO",MONTH($O21)=MONTH(AW$4)),AI21*(1+Macroindicadores!F$7),IF(AND($J21="PONTUAL",MONTH($O21)=MONTH(AW$4)),AI21*(1+Macroindicadores!F$7),IF(AND($J21="PONTUAL",MONTH($O21)&lt;MONTH(AW$4)),MIN($AS21:AV21),IF(AND($I21="NOVO",MONTH($O21)&gt;MONTH(AW$4)),AI21,IF(MONTH($O21)&gt;MONTH(AW$4),AI21,IF(MONTH($O21)=MONTH(AW$4),AI21*(1+Macroindicadores!F$7),AV21)))))))))</f>
        <v>1.8341484000000001</v>
      </c>
      <c r="AX21" s="117">
        <f>IF(ISBLANK(V21),"",IF(ISBLANK($O21),AJ21,IF($J21="ANUAL",AJ21*(1+Macroindicadores!G$7),IF(AND($I21="NOVO",MONTH($O21)=MONTH(AX$4)),AJ21*(1+Macroindicadores!G$7),IF(AND($J21="PONTUAL",MONTH($O21)=MONTH(AX$4)),AJ21*(1+Macroindicadores!G$7),IF(AND($J21="PONTUAL",MONTH($O21)&lt;MONTH(AX$4)),MIN($AS21:AW21),IF(AND($I21="NOVO",MONTH($O21)&gt;MONTH(AX$4)),AJ21,IF(MONTH($O21)&gt;MONTH(AX$4),AJ21,IF(MONTH($O21)=MONTH(AX$4),AJ21*(1+Macroindicadores!G$7),AW21)))))))))</f>
        <v>1.8341484000000001</v>
      </c>
      <c r="AY21" s="117">
        <f>IF(ISBLANK(W21),"",IF(ISBLANK($O21),AK21,IF($J21="ANUAL",AK21*(1+Macroindicadores!H$7),IF(AND($I21="NOVO",MONTH($O21)=MONTH(AY$4)),AK21*(1+Macroindicadores!H$7),IF(AND($J21="PONTUAL",MONTH($O21)=MONTH(AY$4)),AK21*(1+Macroindicadores!H$7),IF(AND($J21="PONTUAL",MONTH($O21)&lt;MONTH(AY$4)),MIN($AS21:AX21),IF(AND($I21="NOVO",MONTH($O21)&gt;MONTH(AY$4)),AK21,IF(MONTH($O21)&gt;MONTH(AY$4),AK21,IF(MONTH($O21)=MONTH(AY$4),AK21*(1+Macroindicadores!H$7),AX21)))))))))</f>
        <v>1.8341484000000001</v>
      </c>
      <c r="AZ21" s="117">
        <f>IF(ISBLANK(X21),"",IF(ISBLANK($O21),AL21,IF($J21="ANUAL",AL21*(1+Macroindicadores!I$7),IF(AND($I21="NOVO",MONTH($O21)=MONTH(AZ$4)),AL21*(1+Macroindicadores!I$7),IF(AND($J21="PONTUAL",MONTH($O21)=MONTH(AZ$4)),AL21*(1+Macroindicadores!I$7),IF(AND($J21="PONTUAL",MONTH($O21)&lt;MONTH(AZ$4)),MIN($AS21:AY21),IF(AND($I21="NOVO",MONTH($O21)&gt;MONTH(AZ$4)),AL21,IF(MONTH($O21)&gt;MONTH(AZ$4),AL21,IF(MONTH($O21)=MONTH(AZ$4),AL21*(1+Macroindicadores!I$7),AY21)))))))))</f>
        <v>1.8341484000000001</v>
      </c>
      <c r="BA21" s="117">
        <f>IF(ISBLANK(Y21),"",IF(ISBLANK($O21),AM21,IF($J21="ANUAL",AM21*(1+Macroindicadores!J$7),IF(AND($I21="NOVO",MONTH($O21)=MONTH(BA$4)),AM21*(1+Macroindicadores!J$7),IF(AND($J21="PONTUAL",MONTH($O21)=MONTH(BA$4)),AM21*(1+Macroindicadores!J$7),IF(AND($J21="PONTUAL",MONTH($O21)&lt;MONTH(BA$4)),MIN($AS21:AZ21),IF(AND($I21="NOVO",MONTH($O21)&gt;MONTH(BA$4)),AM21,IF(MONTH($O21)&gt;MONTH(BA$4),AM21,IF(MONTH($O21)=MONTH(BA$4),AM21*(1+Macroindicadores!J$7),AZ21)))))))))</f>
        <v>1.8341484000000001</v>
      </c>
      <c r="BB21" s="117">
        <f>IF(ISBLANK(Z21),"",IF(ISBLANK($O21),AN21,IF($J21="ANUAL",AN21*(1+Macroindicadores!K$7),IF(AND($I21="NOVO",MONTH($O21)=MONTH(BB$4)),AN21*(1+Macroindicadores!K$7),IF(AND($J21="PONTUAL",MONTH($O21)=MONTH(BB$4)),AN21*(1+Macroindicadores!K$7),IF(AND($J21="PONTUAL",MONTH($O21)&lt;MONTH(BB$4)),MIN($AS21:BA21),IF(AND($I21="NOVO",MONTH($O21)&gt;MONTH(BB$4)),AN21,IF(MONTH($O21)&gt;MONTH(BB$4),AN21,IF(MONTH($O21)=MONTH(BB$4),AN21*(1+Macroindicadores!K$7),BA21)))))))))</f>
        <v>1.8341484000000001</v>
      </c>
      <c r="BC21" s="117">
        <f>IF(ISBLANK(AA21),"",IF(ISBLANK($O21),AO21,IF($J21="ANUAL",AO21*(1+Macroindicadores!L$7),IF(AND($I21="NOVO",MONTH($O21)=MONTH(BC$4)),AO21*(1+Macroindicadores!L$7),IF(AND($J21="PONTUAL",MONTH($O21)=MONTH(BC$4)),AO21*(1+Macroindicadores!L$7),IF(AND($J21="PONTUAL",MONTH($O21)&lt;MONTH(BC$4)),MIN($AS21:BB21),IF(AND($I21="NOVO",MONTH($O21)&gt;MONTH(BC$4)),AO21,IF(MONTH($O21)&gt;MONTH(BC$4),AO21,IF(MONTH($O21)=MONTH(BC$4),AO21*(1+Macroindicadores!L$7),BB21)))))))))</f>
        <v>1.8341484000000001</v>
      </c>
      <c r="BD21" s="117">
        <f>IF(ISBLANK(AB21),"",IF(ISBLANK($O21),AP21,IF($J21="ANUAL",AP21*(1+Macroindicadores!M$7),IF(AND($I21="NOVO",MONTH($O21)=MONTH(BD$4)),AP21*(1+Macroindicadores!M$7),IF(AND($J21="PONTUAL",MONTH($O21)=MONTH(BD$4)),AP21*(1+Macroindicadores!M$7),IF(AND($J21="PONTUAL",MONTH($O21)&lt;MONTH(BD$4)),MIN($AS21:BC21),IF(AND($I21="NOVO",MONTH($O21)&gt;MONTH(BD$4)),AP21,IF(MONTH($O21)&gt;MONTH(BD$4),AP21,IF(MONTH($O21)=MONTH(BD$4),AP21*(1+Macroindicadores!M$7),BC21)))))))))</f>
        <v>1.8341484000000001</v>
      </c>
      <c r="BE21" s="118">
        <f t="shared" si="36"/>
        <v>22.009780800000001</v>
      </c>
      <c r="BF21" s="108"/>
      <c r="BG21" s="117">
        <f>IF(ISBLANK(Q21),"",AS21/Macroindicadores!B$2)</f>
        <v>0.31193000000000004</v>
      </c>
      <c r="BH21" s="117">
        <f>IF(ISBLANK(R21),"",AT21/Macroindicadores!C$2)</f>
        <v>0.31193000000000004</v>
      </c>
      <c r="BI21" s="117">
        <f>IF(ISBLANK(S21),"",AU21/Macroindicadores!D$2)</f>
        <v>0.31193000000000004</v>
      </c>
      <c r="BJ21" s="117">
        <f>IF(ISBLANK(T21),"",AV21/Macroindicadores!E$2)</f>
        <v>0.31193000000000004</v>
      </c>
      <c r="BK21" s="117">
        <f>IF(ISBLANK(U21),"",AW21/Macroindicadores!F$2)</f>
        <v>0.31193000000000004</v>
      </c>
      <c r="BL21" s="117">
        <f>IF(ISBLANK(V21),"",AX21/Macroindicadores!G$2)</f>
        <v>0.31193000000000004</v>
      </c>
      <c r="BM21" s="117">
        <f>IF(ISBLANK(W21),"",AY21/Macroindicadores!H$2)</f>
        <v>0.31193000000000004</v>
      </c>
      <c r="BN21" s="117">
        <f>IF(ISBLANK(X21),"",AZ21/Macroindicadores!I$2)</f>
        <v>0.31193000000000004</v>
      </c>
      <c r="BO21" s="117">
        <f>IF(ISBLANK(Y21),"",BA21/Macroindicadores!J$2)</f>
        <v>0.31193000000000004</v>
      </c>
      <c r="BP21" s="117">
        <f>IF(ISBLANK(Z21),"",BB21/Macroindicadores!K$2)</f>
        <v>0.31193000000000004</v>
      </c>
      <c r="BQ21" s="117">
        <f>IF(ISBLANK(AA21),"",BC21/Macroindicadores!L$2)</f>
        <v>0.31193000000000004</v>
      </c>
      <c r="BR21" s="117">
        <f>IF(ISBLANK(AB21),"",BD21/Macroindicadores!M$2)</f>
        <v>0.31193000000000004</v>
      </c>
      <c r="BS21" s="118">
        <f>IF(AND(ISBLANK($Q21),ISBLANK($R21),ISBLANK($S21),ISBLANK($T21),ISBLANK($U21),ISBLANK($V21),ISBLANK($W21),ISBLANK($X21),ISBLANK($Y21),ISBLANK($Z21),ISBLANK($AA21),ISBLANK($AB21)),"",SUM(BG21:BR21))</f>
        <v>3.7431600000000014</v>
      </c>
      <c r="BT21" s="25" t="str">
        <f>IF(ISBLANK($L21),"",_xlfn.XLOOKUP($L21,'CENTRO CUSTO'!$A:$A,'CENTRO CUSTO'!$E:$E,FALSE,0))</f>
        <v>G&amp;A BU</v>
      </c>
    </row>
    <row r="22" spans="1:72">
      <c r="A22" s="9" t="str">
        <f t="shared" si="40"/>
        <v>Budget</v>
      </c>
      <c r="B22" s="9">
        <f t="shared" si="31"/>
        <v>2026</v>
      </c>
      <c r="C22" s="111" t="str">
        <f>IF(ISBLANK($L22),"",_xlfn.XLOOKUP($L22,'CENTRO CUSTO'!$A:$A,'CENTRO CUSTO'!F:F,FALSE,0))</f>
        <v>Cone Sul</v>
      </c>
      <c r="D22" s="111" t="str">
        <f>IF(ISBLANK($L22),"",_xlfn.XLOOKUP($L22,'CENTRO CUSTO'!$A:$A,'CENTRO CUSTO'!G:G,FALSE,0))</f>
        <v>Plataforma</v>
      </c>
      <c r="E22" s="111" t="str">
        <f>IF(ISBLANK($L22),"",_xlfn.XLOOKUP($L22,'CENTRO CUSTO'!$A:$A,'CENTRO CUSTO'!H:H,FALSE,0))</f>
        <v>G&amp;A</v>
      </c>
      <c r="F22" s="112" t="s">
        <v>92</v>
      </c>
      <c r="G22" s="112" t="s">
        <v>75</v>
      </c>
      <c r="H22" s="112" t="s">
        <v>97</v>
      </c>
      <c r="I22" s="113" t="s">
        <v>84</v>
      </c>
      <c r="J22" s="113" t="s">
        <v>78</v>
      </c>
      <c r="K22" s="113" t="s">
        <v>79</v>
      </c>
      <c r="L22" s="113" t="s">
        <v>54</v>
      </c>
      <c r="M22" s="111" t="str">
        <f>IF(ISBLANK($L22),"",_xlfn.XLOOKUP($L22,'CENTRO CUSTO'!$A:$A,'CENTRO CUSTO'!D:D,FALSE,0))</f>
        <v>Alexandre Ayabe</v>
      </c>
      <c r="N22" s="113" t="s">
        <v>91</v>
      </c>
      <c r="O22" s="114"/>
      <c r="P22" s="113" t="s">
        <v>88</v>
      </c>
      <c r="Q22" s="115">
        <f>187158*Rateio!$E$58/12</f>
        <v>2495.44</v>
      </c>
      <c r="R22" s="115">
        <f>187158*Rateio!$E$58/12</f>
        <v>2495.44</v>
      </c>
      <c r="S22" s="115">
        <f>187158*Rateio!$E$58/12</f>
        <v>2495.44</v>
      </c>
      <c r="T22" s="115">
        <f>187158*Rateio!$E$58/12</f>
        <v>2495.44</v>
      </c>
      <c r="U22" s="115">
        <f>187158*Rateio!$E$58/12</f>
        <v>2495.44</v>
      </c>
      <c r="V22" s="115">
        <f>187158*Rateio!$E$58/12</f>
        <v>2495.44</v>
      </c>
      <c r="W22" s="115">
        <f>187158*Rateio!$E$58/12</f>
        <v>2495.44</v>
      </c>
      <c r="X22" s="115">
        <f>187158*Rateio!$E$58/12</f>
        <v>2495.44</v>
      </c>
      <c r="Y22" s="115">
        <f>187158*Rateio!$E$58/12</f>
        <v>2495.44</v>
      </c>
      <c r="Z22" s="115">
        <f>187158*Rateio!$E$58/12</f>
        <v>2495.44</v>
      </c>
      <c r="AA22" s="115">
        <f>187158*Rateio!$E$58/12</f>
        <v>2495.44</v>
      </c>
      <c r="AB22" s="115">
        <f>187158*Rateio!$E$58/12</f>
        <v>2495.44</v>
      </c>
      <c r="AC22" s="116">
        <f t="shared" si="41"/>
        <v>29945.279999999995</v>
      </c>
      <c r="AD22" s="108"/>
      <c r="AE22" s="117">
        <f>IF(ISBLANK(Q22),"",IF($P22="BRL",Q22,Q22*Macroindicadores!B$2)/1000)</f>
        <v>14.673187200000001</v>
      </c>
      <c r="AF22" s="117">
        <f>IF(ISBLANK(R22),"",IF($P22="BRL",R22,R22*Macroindicadores!C$2)/1000)</f>
        <v>14.673187200000001</v>
      </c>
      <c r="AG22" s="117">
        <f>IF(ISBLANK(S22),"",IF($P22="BRL",S22,S22*Macroindicadores!D$2)/1000)</f>
        <v>14.673187200000001</v>
      </c>
      <c r="AH22" s="117">
        <f>IF(ISBLANK(T22),"",IF($P22="BRL",T22,T22*Macroindicadores!E$2)/1000)</f>
        <v>14.673187200000001</v>
      </c>
      <c r="AI22" s="117">
        <f>IF(ISBLANK(U22),"",IF($P22="BRL",U22,U22*Macroindicadores!F$2)/1000)</f>
        <v>14.673187200000001</v>
      </c>
      <c r="AJ22" s="117">
        <f>IF(ISBLANK(V22),"",IF($P22="BRL",V22,V22*Macroindicadores!G$2)/1000)</f>
        <v>14.673187200000001</v>
      </c>
      <c r="AK22" s="117">
        <f>IF(ISBLANK(W22),"",IF($P22="BRL",W22,W22*Macroindicadores!H$2)/1000)</f>
        <v>14.673187200000001</v>
      </c>
      <c r="AL22" s="117">
        <f>IF(ISBLANK(X22),"",IF($P22="BRL",X22,X22*Macroindicadores!I$2)/1000)</f>
        <v>14.673187200000001</v>
      </c>
      <c r="AM22" s="117">
        <f>IF(ISBLANK(Y22),"",IF($P22="BRL",Y22,Y22*Macroindicadores!J$2)/1000)</f>
        <v>14.673187200000001</v>
      </c>
      <c r="AN22" s="117">
        <f>IF(ISBLANK(Z22),"",IF($P22="BRL",Z22,Z22*Macroindicadores!K$2)/1000)</f>
        <v>14.673187200000001</v>
      </c>
      <c r="AO22" s="117">
        <f>IF(ISBLANK(AA22),"",IF($P22="BRL",AA22,AA22*Macroindicadores!L$2)/1000)</f>
        <v>14.673187200000001</v>
      </c>
      <c r="AP22" s="117">
        <f>IF(ISBLANK(AB22),"",IF($P22="BRL",AB22,AB22*Macroindicadores!M$2)/1000)</f>
        <v>14.673187200000001</v>
      </c>
      <c r="AQ22" s="118">
        <f t="shared" si="35"/>
        <v>176.07824640000001</v>
      </c>
      <c r="AR22" s="108"/>
      <c r="AS22" s="117">
        <f>IF(ISBLANK(Q22),"",IF(ISBLANK($O22),AE22,IF($J22="ANUAL",AE22*(1+Macroindicadores!B$7),IF(AND($I22="NOVO",MONTH($O22)=MONTH(AS$4)),AE22*(1+Macroindicadores!B$7),IF(AND($J22="PONTUAL",MONTH($O22)=MONTH(AS$4)),AE22*(1+Macroindicadores!B$7),IF(AND($J22="PONTUAL",MONTH($O22)&lt;MONTH(AS$4)),MIN(AR22:$AS22),IF(AND($I22="NOVO",MONTH($O22)&gt;MONTH(AS$4)),AE22,IF(MONTH($O22)&gt;MONTH(AS$4),AE22,IF(MONTH($O22)=MONTH(AS$4),AE22*(1+Macroindicadores!B$7),AR22)))))))))</f>
        <v>14.673187200000001</v>
      </c>
      <c r="AT22" s="117">
        <f>IF(ISBLANK(R22),"",IF(ISBLANK($O22),AF22,IF($J22="ANUAL",AF22*(1+Macroindicadores!C$7),IF(AND($I22="NOVO",MONTH($O22)=MONTH(AT$4)),AF22*(1+Macroindicadores!C$7),IF(AND($J22="PONTUAL",MONTH($O22)=MONTH(AT$4)),AF22*(1+Macroindicadores!C$7),IF(AND($J22="PONTUAL",MONTH($O22)&lt;MONTH(AT$4)),MIN($AS22:AS22),IF(AND($I22="NOVO",MONTH($O22)&gt;MONTH(AT$4)),AF22,IF(MONTH($O22)&gt;MONTH(AT$4),AF22,IF(MONTH($O22)=MONTH(AT$4),AF22*(1+Macroindicadores!C$7),AS22)))))))))</f>
        <v>14.673187200000001</v>
      </c>
      <c r="AU22" s="117">
        <f>IF(ISBLANK(S22),"",IF(ISBLANK($O22),AG22,IF($J22="ANUAL",AG22*(1+Macroindicadores!D$7),IF(AND($I22="NOVO",MONTH($O22)=MONTH(AU$4)),AG22*(1+Macroindicadores!D$7),IF(AND($J22="PONTUAL",MONTH($O22)=MONTH(AU$4)),AG22*(1+Macroindicadores!D$7),IF(AND($J22="PONTUAL",MONTH($O22)&lt;MONTH(AU$4)),MIN($AS22:AT22),IF(AND($I22="NOVO",MONTH($O22)&gt;MONTH(AU$4)),AG22,IF(MONTH($O22)&gt;MONTH(AU$4),AG22,IF(MONTH($O22)=MONTH(AU$4),AG22*(1+Macroindicadores!D$7),AT22)))))))))</f>
        <v>14.673187200000001</v>
      </c>
      <c r="AV22" s="117">
        <f>IF(ISBLANK(T22),"",IF(ISBLANK($O22),AH22,IF($J22="ANUAL",AH22*(1+Macroindicadores!E$7),IF(AND($I22="NOVO",MONTH($O22)=MONTH(AV$4)),AH22*(1+Macroindicadores!E$7),IF(AND($J22="PONTUAL",MONTH($O22)=MONTH(AV$4)),AH22*(1+Macroindicadores!E$7),IF(AND($J22="PONTUAL",MONTH($O22)&lt;MONTH(AV$4)),MIN($AS22:AU22),IF(AND($I22="NOVO",MONTH($O22)&gt;MONTH(AV$4)),AH22,IF(MONTH($O22)&gt;MONTH(AV$4),AH22,IF(MONTH($O22)=MONTH(AV$4),AH22*(1+Macroindicadores!E$7),AU22)))))))))</f>
        <v>14.673187200000001</v>
      </c>
      <c r="AW22" s="117">
        <f>IF(ISBLANK(U22),"",IF(ISBLANK($O22),AI22,IF($J22="ANUAL",AI22*(1+Macroindicadores!F$7),IF(AND($I22="NOVO",MONTH($O22)=MONTH(AW$4)),AI22*(1+Macroindicadores!F$7),IF(AND($J22="PONTUAL",MONTH($O22)=MONTH(AW$4)),AI22*(1+Macroindicadores!F$7),IF(AND($J22="PONTUAL",MONTH($O22)&lt;MONTH(AW$4)),MIN($AS22:AV22),IF(AND($I22="NOVO",MONTH($O22)&gt;MONTH(AW$4)),AI22,IF(MONTH($O22)&gt;MONTH(AW$4),AI22,IF(MONTH($O22)=MONTH(AW$4),AI22*(1+Macroindicadores!F$7),AV22)))))))))</f>
        <v>14.673187200000001</v>
      </c>
      <c r="AX22" s="117">
        <f>IF(ISBLANK(V22),"",IF(ISBLANK($O22),AJ22,IF($J22="ANUAL",AJ22*(1+Macroindicadores!G$7),IF(AND($I22="NOVO",MONTH($O22)=MONTH(AX$4)),AJ22*(1+Macroindicadores!G$7),IF(AND($J22="PONTUAL",MONTH($O22)=MONTH(AX$4)),AJ22*(1+Macroindicadores!G$7),IF(AND($J22="PONTUAL",MONTH($O22)&lt;MONTH(AX$4)),MIN($AS22:AW22),IF(AND($I22="NOVO",MONTH($O22)&gt;MONTH(AX$4)),AJ22,IF(MONTH($O22)&gt;MONTH(AX$4),AJ22,IF(MONTH($O22)=MONTH(AX$4),AJ22*(1+Macroindicadores!G$7),AW22)))))))))</f>
        <v>14.673187200000001</v>
      </c>
      <c r="AY22" s="117">
        <f>IF(ISBLANK(W22),"",IF(ISBLANK($O22),AK22,IF($J22="ANUAL",AK22*(1+Macroindicadores!H$7),IF(AND($I22="NOVO",MONTH($O22)=MONTH(AY$4)),AK22*(1+Macroindicadores!H$7),IF(AND($J22="PONTUAL",MONTH($O22)=MONTH(AY$4)),AK22*(1+Macroindicadores!H$7),IF(AND($J22="PONTUAL",MONTH($O22)&lt;MONTH(AY$4)),MIN($AS22:AX22),IF(AND($I22="NOVO",MONTH($O22)&gt;MONTH(AY$4)),AK22,IF(MONTH($O22)&gt;MONTH(AY$4),AK22,IF(MONTH($O22)=MONTH(AY$4),AK22*(1+Macroindicadores!H$7),AX22)))))))))</f>
        <v>14.673187200000001</v>
      </c>
      <c r="AZ22" s="117">
        <f>IF(ISBLANK(X22),"",IF(ISBLANK($O22),AL22,IF($J22="ANUAL",AL22*(1+Macroindicadores!I$7),IF(AND($I22="NOVO",MONTH($O22)=MONTH(AZ$4)),AL22*(1+Macroindicadores!I$7),IF(AND($J22="PONTUAL",MONTH($O22)=MONTH(AZ$4)),AL22*(1+Macroindicadores!I$7),IF(AND($J22="PONTUAL",MONTH($O22)&lt;MONTH(AZ$4)),MIN($AS22:AY22),IF(AND($I22="NOVO",MONTH($O22)&gt;MONTH(AZ$4)),AL22,IF(MONTH($O22)&gt;MONTH(AZ$4),AL22,IF(MONTH($O22)=MONTH(AZ$4),AL22*(1+Macroindicadores!I$7),AY22)))))))))</f>
        <v>14.673187200000001</v>
      </c>
      <c r="BA22" s="117">
        <f>IF(ISBLANK(Y22),"",IF(ISBLANK($O22),AM22,IF($J22="ANUAL",AM22*(1+Macroindicadores!J$7),IF(AND($I22="NOVO",MONTH($O22)=MONTH(BA$4)),AM22*(1+Macroindicadores!J$7),IF(AND($J22="PONTUAL",MONTH($O22)=MONTH(BA$4)),AM22*(1+Macroindicadores!J$7),IF(AND($J22="PONTUAL",MONTH($O22)&lt;MONTH(BA$4)),MIN($AS22:AZ22),IF(AND($I22="NOVO",MONTH($O22)&gt;MONTH(BA$4)),AM22,IF(MONTH($O22)&gt;MONTH(BA$4),AM22,IF(MONTH($O22)=MONTH(BA$4),AM22*(1+Macroindicadores!J$7),AZ22)))))))))</f>
        <v>14.673187200000001</v>
      </c>
      <c r="BB22" s="117">
        <f>IF(ISBLANK(Z22),"",IF(ISBLANK($O22),AN22,IF($J22="ANUAL",AN22*(1+Macroindicadores!K$7),IF(AND($I22="NOVO",MONTH($O22)=MONTH(BB$4)),AN22*(1+Macroindicadores!K$7),IF(AND($J22="PONTUAL",MONTH($O22)=MONTH(BB$4)),AN22*(1+Macroindicadores!K$7),IF(AND($J22="PONTUAL",MONTH($O22)&lt;MONTH(BB$4)),MIN($AS22:BA22),IF(AND($I22="NOVO",MONTH($O22)&gt;MONTH(BB$4)),AN22,IF(MONTH($O22)&gt;MONTH(BB$4),AN22,IF(MONTH($O22)=MONTH(BB$4),AN22*(1+Macroindicadores!K$7),BA22)))))))))</f>
        <v>14.673187200000001</v>
      </c>
      <c r="BC22" s="117">
        <f>IF(ISBLANK(AA22),"",IF(ISBLANK($O22),AO22,IF($J22="ANUAL",AO22*(1+Macroindicadores!L$7),IF(AND($I22="NOVO",MONTH($O22)=MONTH(BC$4)),AO22*(1+Macroindicadores!L$7),IF(AND($J22="PONTUAL",MONTH($O22)=MONTH(BC$4)),AO22*(1+Macroindicadores!L$7),IF(AND($J22="PONTUAL",MONTH($O22)&lt;MONTH(BC$4)),MIN($AS22:BB22),IF(AND($I22="NOVO",MONTH($O22)&gt;MONTH(BC$4)),AO22,IF(MONTH($O22)&gt;MONTH(BC$4),AO22,IF(MONTH($O22)=MONTH(BC$4),AO22*(1+Macroindicadores!L$7),BB22)))))))))</f>
        <v>14.673187200000001</v>
      </c>
      <c r="BD22" s="117">
        <f>IF(ISBLANK(AB22),"",IF(ISBLANK($O22),AP22,IF($J22="ANUAL",AP22*(1+Macroindicadores!M$7),IF(AND($I22="NOVO",MONTH($O22)=MONTH(BD$4)),AP22*(1+Macroindicadores!M$7),IF(AND($J22="PONTUAL",MONTH($O22)=MONTH(BD$4)),AP22*(1+Macroindicadores!M$7),IF(AND($J22="PONTUAL",MONTH($O22)&lt;MONTH(BD$4)),MIN($AS22:BC22),IF(AND($I22="NOVO",MONTH($O22)&gt;MONTH(BD$4)),AP22,IF(MONTH($O22)&gt;MONTH(BD$4),AP22,IF(MONTH($O22)=MONTH(BD$4),AP22*(1+Macroindicadores!M$7),BC22)))))))))</f>
        <v>14.673187200000001</v>
      </c>
      <c r="BE22" s="118">
        <f t="shared" si="36"/>
        <v>176.07824640000001</v>
      </c>
      <c r="BF22" s="108"/>
      <c r="BG22" s="117">
        <f>IF(ISBLANK(Q22),"",AS22/Macroindicadores!B$2)</f>
        <v>2.4954400000000003</v>
      </c>
      <c r="BH22" s="117">
        <f>IF(ISBLANK(R22),"",AT22/Macroindicadores!C$2)</f>
        <v>2.4954400000000003</v>
      </c>
      <c r="BI22" s="117">
        <f>IF(ISBLANK(S22),"",AU22/Macroindicadores!D$2)</f>
        <v>2.4954400000000003</v>
      </c>
      <c r="BJ22" s="117">
        <f>IF(ISBLANK(T22),"",AV22/Macroindicadores!E$2)</f>
        <v>2.4954400000000003</v>
      </c>
      <c r="BK22" s="117">
        <f>IF(ISBLANK(U22),"",AW22/Macroindicadores!F$2)</f>
        <v>2.4954400000000003</v>
      </c>
      <c r="BL22" s="117">
        <f>IF(ISBLANK(V22),"",AX22/Macroindicadores!G$2)</f>
        <v>2.4954400000000003</v>
      </c>
      <c r="BM22" s="117">
        <f>IF(ISBLANK(W22),"",AY22/Macroindicadores!H$2)</f>
        <v>2.4954400000000003</v>
      </c>
      <c r="BN22" s="117">
        <f>IF(ISBLANK(X22),"",AZ22/Macroindicadores!I$2)</f>
        <v>2.4954400000000003</v>
      </c>
      <c r="BO22" s="117">
        <f>IF(ISBLANK(Y22),"",BA22/Macroindicadores!J$2)</f>
        <v>2.4954400000000003</v>
      </c>
      <c r="BP22" s="117">
        <f>IF(ISBLANK(Z22),"",BB22/Macroindicadores!K$2)</f>
        <v>2.4954400000000003</v>
      </c>
      <c r="BQ22" s="117">
        <f>IF(ISBLANK(AA22),"",BC22/Macroindicadores!L$2)</f>
        <v>2.4954400000000003</v>
      </c>
      <c r="BR22" s="117">
        <f>IF(ISBLANK(AB22),"",BD22/Macroindicadores!M$2)</f>
        <v>2.4954400000000003</v>
      </c>
      <c r="BS22" s="118">
        <f>IF(AND(ISBLANK($Q22),ISBLANK($R22),ISBLANK($S22),ISBLANK($T22),ISBLANK($U22),ISBLANK($V22),ISBLANK($W22),ISBLANK($X22),ISBLANK($Y22),ISBLANK($Z22),ISBLANK($AA22),ISBLANK($AB22)),"",SUM(BG22:BR22))</f>
        <v>29.945280000000011</v>
      </c>
      <c r="BT22" s="25" t="str">
        <f>IF(ISBLANK($L22),"",_xlfn.XLOOKUP($L22,'CENTRO CUSTO'!$A:$A,'CENTRO CUSTO'!$E:$E,FALSE,0))</f>
        <v>G&amp;A PL</v>
      </c>
    </row>
    <row r="23" spans="1:72">
      <c r="A23" s="9" t="str">
        <f t="shared" si="40"/>
        <v>Budget</v>
      </c>
      <c r="B23" s="9">
        <f t="shared" si="31"/>
        <v>2026</v>
      </c>
      <c r="C23" s="111" t="str">
        <f>IF(ISBLANK($L23),"",_xlfn.XLOOKUP($L23,'CENTRO CUSTO'!$A:$A,'CENTRO CUSTO'!F:F,FALSE,0))</f>
        <v>LATAM</v>
      </c>
      <c r="D23" s="111" t="str">
        <f>IF(ISBLANK($L23),"",_xlfn.XLOOKUP($L23,'CENTRO CUSTO'!$A:$A,'CENTRO CUSTO'!G:G,FALSE,0))</f>
        <v>Corporativo</v>
      </c>
      <c r="E23" s="111" t="str">
        <f>IF(ISBLANK($L23),"",_xlfn.XLOOKUP($L23,'CENTRO CUSTO'!$A:$A,'CENTRO CUSTO'!H:H,FALSE,0))</f>
        <v>G&amp;A</v>
      </c>
      <c r="F23" s="112" t="s">
        <v>92</v>
      </c>
      <c r="G23" s="112" t="s">
        <v>75</v>
      </c>
      <c r="H23" s="112" t="s">
        <v>97</v>
      </c>
      <c r="I23" s="113" t="s">
        <v>84</v>
      </c>
      <c r="J23" s="113" t="s">
        <v>78</v>
      </c>
      <c r="K23" s="113" t="s">
        <v>79</v>
      </c>
      <c r="L23" s="113" t="s">
        <v>96</v>
      </c>
      <c r="M23" s="111" t="str">
        <f>IF(ISBLANK($L23),"",_xlfn.XLOOKUP($L23,'CENTRO CUSTO'!$A:$A,'CENTRO CUSTO'!D:D,FALSE,0))</f>
        <v>Jimmy Espinosa</v>
      </c>
      <c r="N23" s="113" t="s">
        <v>91</v>
      </c>
      <c r="O23" s="114"/>
      <c r="P23" s="113" t="s">
        <v>88</v>
      </c>
      <c r="Q23" s="115">
        <f>187158*Rateio!$E$59/12</f>
        <v>779.82499999999993</v>
      </c>
      <c r="R23" s="115">
        <f>187158*Rateio!$E$59/12</f>
        <v>779.82499999999993</v>
      </c>
      <c r="S23" s="115">
        <f>187158*Rateio!$E$59/12</f>
        <v>779.82499999999993</v>
      </c>
      <c r="T23" s="115">
        <f>187158*Rateio!$E$59/12</f>
        <v>779.82499999999993</v>
      </c>
      <c r="U23" s="115">
        <f>187158*Rateio!$E$59/12</f>
        <v>779.82499999999993</v>
      </c>
      <c r="V23" s="115">
        <f>187158*Rateio!$E$59/12</f>
        <v>779.82499999999993</v>
      </c>
      <c r="W23" s="115">
        <f>187158*Rateio!$E$59/12</f>
        <v>779.82499999999993</v>
      </c>
      <c r="X23" s="115">
        <f>187158*Rateio!$E$59/12</f>
        <v>779.82499999999993</v>
      </c>
      <c r="Y23" s="115">
        <f>187158*Rateio!$E$59/12</f>
        <v>779.82499999999993</v>
      </c>
      <c r="Z23" s="115">
        <f>187158*Rateio!$E$59/12</f>
        <v>779.82499999999993</v>
      </c>
      <c r="AA23" s="115">
        <f>187158*Rateio!$E$59/12</f>
        <v>779.82499999999993</v>
      </c>
      <c r="AB23" s="115">
        <f>187158*Rateio!$E$59/12</f>
        <v>779.82499999999993</v>
      </c>
      <c r="AC23" s="116">
        <f t="shared" si="41"/>
        <v>9357.9</v>
      </c>
      <c r="AD23" s="108"/>
      <c r="AE23" s="117">
        <f>IF(ISBLANK(Q23),"",IF($P23="BRL",Q23,Q23*Macroindicadores!B$2)/1000)</f>
        <v>4.5853709999999994</v>
      </c>
      <c r="AF23" s="117">
        <f>IF(ISBLANK(R23),"",IF($P23="BRL",R23,R23*Macroindicadores!C$2)/1000)</f>
        <v>4.5853709999999994</v>
      </c>
      <c r="AG23" s="117">
        <f>IF(ISBLANK(S23),"",IF($P23="BRL",S23,S23*Macroindicadores!D$2)/1000)</f>
        <v>4.5853709999999994</v>
      </c>
      <c r="AH23" s="117">
        <f>IF(ISBLANK(T23),"",IF($P23="BRL",T23,T23*Macroindicadores!E$2)/1000)</f>
        <v>4.5853709999999994</v>
      </c>
      <c r="AI23" s="117">
        <f>IF(ISBLANK(U23),"",IF($P23="BRL",U23,U23*Macroindicadores!F$2)/1000)</f>
        <v>4.5853709999999994</v>
      </c>
      <c r="AJ23" s="117">
        <f>IF(ISBLANK(V23),"",IF($P23="BRL",V23,V23*Macroindicadores!G$2)/1000)</f>
        <v>4.5853709999999994</v>
      </c>
      <c r="AK23" s="117">
        <f>IF(ISBLANK(W23),"",IF($P23="BRL",W23,W23*Macroindicadores!H$2)/1000)</f>
        <v>4.5853709999999994</v>
      </c>
      <c r="AL23" s="117">
        <f>IF(ISBLANK(X23),"",IF($P23="BRL",X23,X23*Macroindicadores!I$2)/1000)</f>
        <v>4.5853709999999994</v>
      </c>
      <c r="AM23" s="117">
        <f>IF(ISBLANK(Y23),"",IF($P23="BRL",Y23,Y23*Macroindicadores!J$2)/1000)</f>
        <v>4.5853709999999994</v>
      </c>
      <c r="AN23" s="117">
        <f>IF(ISBLANK(Z23),"",IF($P23="BRL",Z23,Z23*Macroindicadores!K$2)/1000)</f>
        <v>4.5853709999999994</v>
      </c>
      <c r="AO23" s="117">
        <f>IF(ISBLANK(AA23),"",IF($P23="BRL",AA23,AA23*Macroindicadores!L$2)/1000)</f>
        <v>4.5853709999999994</v>
      </c>
      <c r="AP23" s="117">
        <f>IF(ISBLANK(AB23),"",IF($P23="BRL",AB23,AB23*Macroindicadores!M$2)/1000)</f>
        <v>4.5853709999999994</v>
      </c>
      <c r="AQ23" s="118">
        <f t="shared" si="35"/>
        <v>55.024452000000004</v>
      </c>
      <c r="AR23" s="108"/>
      <c r="AS23" s="117">
        <f>IF(ISBLANK(Q23),"",IF(ISBLANK($O23),AE23,IF($J23="ANUAL",AE23*(1+Macroindicadores!B$7),IF(AND($I23="NOVO",MONTH($O23)=MONTH(AS$4)),AE23*(1+Macroindicadores!B$7),IF(AND($J23="PONTUAL",MONTH($O23)=MONTH(AS$4)),AE23*(1+Macroindicadores!B$7),IF(AND($J23="PONTUAL",MONTH($O23)&lt;MONTH(AS$4)),MIN(AR23:$AS23),IF(AND($I23="NOVO",MONTH($O23)&gt;MONTH(AS$4)),AE23,IF(MONTH($O23)&gt;MONTH(AS$4),AE23,IF(MONTH($O23)=MONTH(AS$4),AE23*(1+Macroindicadores!B$7),AR23)))))))))</f>
        <v>4.5853709999999994</v>
      </c>
      <c r="AT23" s="117">
        <f>IF(ISBLANK(R23),"",IF(ISBLANK($O23),AF23,IF($J23="ANUAL",AF23*(1+Macroindicadores!C$7),IF(AND($I23="NOVO",MONTH($O23)=MONTH(AT$4)),AF23*(1+Macroindicadores!C$7),IF(AND($J23="PONTUAL",MONTH($O23)=MONTH(AT$4)),AF23*(1+Macroindicadores!C$7),IF(AND($J23="PONTUAL",MONTH($O23)&lt;MONTH(AT$4)),MIN($AS23:AS23),IF(AND($I23="NOVO",MONTH($O23)&gt;MONTH(AT$4)),AF23,IF(MONTH($O23)&gt;MONTH(AT$4),AF23,IF(MONTH($O23)=MONTH(AT$4),AF23*(1+Macroindicadores!C$7),AS23)))))))))</f>
        <v>4.5853709999999994</v>
      </c>
      <c r="AU23" s="117">
        <f>IF(ISBLANK(S23),"",IF(ISBLANK($O23),AG23,IF($J23="ANUAL",AG23*(1+Macroindicadores!D$7),IF(AND($I23="NOVO",MONTH($O23)=MONTH(AU$4)),AG23*(1+Macroindicadores!D$7),IF(AND($J23="PONTUAL",MONTH($O23)=MONTH(AU$4)),AG23*(1+Macroindicadores!D$7),IF(AND($J23="PONTUAL",MONTH($O23)&lt;MONTH(AU$4)),MIN($AS23:AT23),IF(AND($I23="NOVO",MONTH($O23)&gt;MONTH(AU$4)),AG23,IF(MONTH($O23)&gt;MONTH(AU$4),AG23,IF(MONTH($O23)=MONTH(AU$4),AG23*(1+Macroindicadores!D$7),AT23)))))))))</f>
        <v>4.5853709999999994</v>
      </c>
      <c r="AV23" s="117">
        <f>IF(ISBLANK(T23),"",IF(ISBLANK($O23),AH23,IF($J23="ANUAL",AH23*(1+Macroindicadores!E$7),IF(AND($I23="NOVO",MONTH($O23)=MONTH(AV$4)),AH23*(1+Macroindicadores!E$7),IF(AND($J23="PONTUAL",MONTH($O23)=MONTH(AV$4)),AH23*(1+Macroindicadores!E$7),IF(AND($J23="PONTUAL",MONTH($O23)&lt;MONTH(AV$4)),MIN($AS23:AU23),IF(AND($I23="NOVO",MONTH($O23)&gt;MONTH(AV$4)),AH23,IF(MONTH($O23)&gt;MONTH(AV$4),AH23,IF(MONTH($O23)=MONTH(AV$4),AH23*(1+Macroindicadores!E$7),AU23)))))))))</f>
        <v>4.5853709999999994</v>
      </c>
      <c r="AW23" s="117">
        <f>IF(ISBLANK(U23),"",IF(ISBLANK($O23),AI23,IF($J23="ANUAL",AI23*(1+Macroindicadores!F$7),IF(AND($I23="NOVO",MONTH($O23)=MONTH(AW$4)),AI23*(1+Macroindicadores!F$7),IF(AND($J23="PONTUAL",MONTH($O23)=MONTH(AW$4)),AI23*(1+Macroindicadores!F$7),IF(AND($J23="PONTUAL",MONTH($O23)&lt;MONTH(AW$4)),MIN($AS23:AV23),IF(AND($I23="NOVO",MONTH($O23)&gt;MONTH(AW$4)),AI23,IF(MONTH($O23)&gt;MONTH(AW$4),AI23,IF(MONTH($O23)=MONTH(AW$4),AI23*(1+Macroindicadores!F$7),AV23)))))))))</f>
        <v>4.5853709999999994</v>
      </c>
      <c r="AX23" s="117">
        <f>IF(ISBLANK(V23),"",IF(ISBLANK($O23),AJ23,IF($J23="ANUAL",AJ23*(1+Macroindicadores!G$7),IF(AND($I23="NOVO",MONTH($O23)=MONTH(AX$4)),AJ23*(1+Macroindicadores!G$7),IF(AND($J23="PONTUAL",MONTH($O23)=MONTH(AX$4)),AJ23*(1+Macroindicadores!G$7),IF(AND($J23="PONTUAL",MONTH($O23)&lt;MONTH(AX$4)),MIN($AS23:AW23),IF(AND($I23="NOVO",MONTH($O23)&gt;MONTH(AX$4)),AJ23,IF(MONTH($O23)&gt;MONTH(AX$4),AJ23,IF(MONTH($O23)=MONTH(AX$4),AJ23*(1+Macroindicadores!G$7),AW23)))))))))</f>
        <v>4.5853709999999994</v>
      </c>
      <c r="AY23" s="117">
        <f>IF(ISBLANK(W23),"",IF(ISBLANK($O23),AK23,IF($J23="ANUAL",AK23*(1+Macroindicadores!H$7),IF(AND($I23="NOVO",MONTH($O23)=MONTH(AY$4)),AK23*(1+Macroindicadores!H$7),IF(AND($J23="PONTUAL",MONTH($O23)=MONTH(AY$4)),AK23*(1+Macroindicadores!H$7),IF(AND($J23="PONTUAL",MONTH($O23)&lt;MONTH(AY$4)),MIN($AS23:AX23),IF(AND($I23="NOVO",MONTH($O23)&gt;MONTH(AY$4)),AK23,IF(MONTH($O23)&gt;MONTH(AY$4),AK23,IF(MONTH($O23)=MONTH(AY$4),AK23*(1+Macroindicadores!H$7),AX23)))))))))</f>
        <v>4.5853709999999994</v>
      </c>
      <c r="AZ23" s="117">
        <f>IF(ISBLANK(X23),"",IF(ISBLANK($O23),AL23,IF($J23="ANUAL",AL23*(1+Macroindicadores!I$7),IF(AND($I23="NOVO",MONTH($O23)=MONTH(AZ$4)),AL23*(1+Macroindicadores!I$7),IF(AND($J23="PONTUAL",MONTH($O23)=MONTH(AZ$4)),AL23*(1+Macroindicadores!I$7),IF(AND($J23="PONTUAL",MONTH($O23)&lt;MONTH(AZ$4)),MIN($AS23:AY23),IF(AND($I23="NOVO",MONTH($O23)&gt;MONTH(AZ$4)),AL23,IF(MONTH($O23)&gt;MONTH(AZ$4),AL23,IF(MONTH($O23)=MONTH(AZ$4),AL23*(1+Macroindicadores!I$7),AY23)))))))))</f>
        <v>4.5853709999999994</v>
      </c>
      <c r="BA23" s="117">
        <f>IF(ISBLANK(Y23),"",IF(ISBLANK($O23),AM23,IF($J23="ANUAL",AM23*(1+Macroindicadores!J$7),IF(AND($I23="NOVO",MONTH($O23)=MONTH(BA$4)),AM23*(1+Macroindicadores!J$7),IF(AND($J23="PONTUAL",MONTH($O23)=MONTH(BA$4)),AM23*(1+Macroindicadores!J$7),IF(AND($J23="PONTUAL",MONTH($O23)&lt;MONTH(BA$4)),MIN($AS23:AZ23),IF(AND($I23="NOVO",MONTH($O23)&gt;MONTH(BA$4)),AM23,IF(MONTH($O23)&gt;MONTH(BA$4),AM23,IF(MONTH($O23)=MONTH(BA$4),AM23*(1+Macroindicadores!J$7),AZ23)))))))))</f>
        <v>4.5853709999999994</v>
      </c>
      <c r="BB23" s="117">
        <f>IF(ISBLANK(Z23),"",IF(ISBLANK($O23),AN23,IF($J23="ANUAL",AN23*(1+Macroindicadores!K$7),IF(AND($I23="NOVO",MONTH($O23)=MONTH(BB$4)),AN23*(1+Macroindicadores!K$7),IF(AND($J23="PONTUAL",MONTH($O23)=MONTH(BB$4)),AN23*(1+Macroindicadores!K$7),IF(AND($J23="PONTUAL",MONTH($O23)&lt;MONTH(BB$4)),MIN($AS23:BA23),IF(AND($I23="NOVO",MONTH($O23)&gt;MONTH(BB$4)),AN23,IF(MONTH($O23)&gt;MONTH(BB$4),AN23,IF(MONTH($O23)=MONTH(BB$4),AN23*(1+Macroindicadores!K$7),BA23)))))))))</f>
        <v>4.5853709999999994</v>
      </c>
      <c r="BC23" s="117">
        <f>IF(ISBLANK(AA23),"",IF(ISBLANK($O23),AO23,IF($J23="ANUAL",AO23*(1+Macroindicadores!L$7),IF(AND($I23="NOVO",MONTH($O23)=MONTH(BC$4)),AO23*(1+Macroindicadores!L$7),IF(AND($J23="PONTUAL",MONTH($O23)=MONTH(BC$4)),AO23*(1+Macroindicadores!L$7),IF(AND($J23="PONTUAL",MONTH($O23)&lt;MONTH(BC$4)),MIN($AS23:BB23),IF(AND($I23="NOVO",MONTH($O23)&gt;MONTH(BC$4)),AO23,IF(MONTH($O23)&gt;MONTH(BC$4),AO23,IF(MONTH($O23)=MONTH(BC$4),AO23*(1+Macroindicadores!L$7),BB23)))))))))</f>
        <v>4.5853709999999994</v>
      </c>
      <c r="BD23" s="117">
        <f>IF(ISBLANK(AB23),"",IF(ISBLANK($O23),AP23,IF($J23="ANUAL",AP23*(1+Macroindicadores!M$7),IF(AND($I23="NOVO",MONTH($O23)=MONTH(BD$4)),AP23*(1+Macroindicadores!M$7),IF(AND($J23="PONTUAL",MONTH($O23)=MONTH(BD$4)),AP23*(1+Macroindicadores!M$7),IF(AND($J23="PONTUAL",MONTH($O23)&lt;MONTH(BD$4)),MIN($AS23:BC23),IF(AND($I23="NOVO",MONTH($O23)&gt;MONTH(BD$4)),AP23,IF(MONTH($O23)&gt;MONTH(BD$4),AP23,IF(MONTH($O23)=MONTH(BD$4),AP23*(1+Macroindicadores!M$7),BC23)))))))))</f>
        <v>4.5853709999999994</v>
      </c>
      <c r="BE23" s="118">
        <f t="shared" si="36"/>
        <v>55.024452000000004</v>
      </c>
      <c r="BF23" s="108"/>
      <c r="BG23" s="117">
        <f>IF(ISBLANK(Q23),"",AS23/Macroindicadores!B$2)</f>
        <v>0.77982499999999988</v>
      </c>
      <c r="BH23" s="117">
        <f>IF(ISBLANK(R23),"",AT23/Macroindicadores!C$2)</f>
        <v>0.77982499999999988</v>
      </c>
      <c r="BI23" s="117">
        <f>IF(ISBLANK(S23),"",AU23/Macroindicadores!D$2)</f>
        <v>0.77982499999999988</v>
      </c>
      <c r="BJ23" s="117">
        <f>IF(ISBLANK(T23),"",AV23/Macroindicadores!E$2)</f>
        <v>0.77982499999999988</v>
      </c>
      <c r="BK23" s="117">
        <f>IF(ISBLANK(U23),"",AW23/Macroindicadores!F$2)</f>
        <v>0.77982499999999988</v>
      </c>
      <c r="BL23" s="117">
        <f>IF(ISBLANK(V23),"",AX23/Macroindicadores!G$2)</f>
        <v>0.77982499999999988</v>
      </c>
      <c r="BM23" s="117">
        <f>IF(ISBLANK(W23),"",AY23/Macroindicadores!H$2)</f>
        <v>0.77982499999999988</v>
      </c>
      <c r="BN23" s="117">
        <f>IF(ISBLANK(X23),"",AZ23/Macroindicadores!I$2)</f>
        <v>0.77982499999999988</v>
      </c>
      <c r="BO23" s="117">
        <f>IF(ISBLANK(Y23),"",BA23/Macroindicadores!J$2)</f>
        <v>0.77982499999999988</v>
      </c>
      <c r="BP23" s="117">
        <f>IF(ISBLANK(Z23),"",BB23/Macroindicadores!K$2)</f>
        <v>0.77982499999999988</v>
      </c>
      <c r="BQ23" s="117">
        <f>IF(ISBLANK(AA23),"",BC23/Macroindicadores!L$2)</f>
        <v>0.77982499999999988</v>
      </c>
      <c r="BR23" s="117">
        <f>IF(ISBLANK(AB23),"",BD23/Macroindicadores!M$2)</f>
        <v>0.77982499999999988</v>
      </c>
      <c r="BS23" s="118">
        <f>IF(AND(ISBLANK($Q23),ISBLANK($R23),ISBLANK($S23),ISBLANK($T23),ISBLANK($U23),ISBLANK($V23),ISBLANK($W23),ISBLANK($X23),ISBLANK($Y23),ISBLANK($Z23),ISBLANK($AA23),ISBLANK($AB23)),"",SUM(BG23:BR23))</f>
        <v>9.357899999999999</v>
      </c>
      <c r="BT23" s="25" t="str">
        <f>IF(ISBLANK($L23),"",_xlfn.XLOOKUP($L23,'CENTRO CUSTO'!$A:$A,'CENTRO CUSTO'!$E:$E,FALSE,0))</f>
        <v>G&amp;A CP</v>
      </c>
    </row>
    <row r="24" spans="1:72">
      <c r="A24" s="9" t="str">
        <f t="shared" si="40"/>
        <v>Budget</v>
      </c>
      <c r="B24" s="9">
        <f t="shared" si="31"/>
        <v>2026</v>
      </c>
      <c r="C24" s="111" t="str">
        <f>IF(ISBLANK($L24),"",_xlfn.XLOOKUP($L24,'CENTRO CUSTO'!$A:$A,'CENTRO CUSTO'!F:F,FALSE,0))</f>
        <v>Martini Meat</v>
      </c>
      <c r="D24" s="111" t="str">
        <f>IF(ISBLANK($L24),"",_xlfn.XLOOKUP($L24,'CENTRO CUSTO'!$A:$A,'CENTRO CUSTO'!G:G,FALSE,0))</f>
        <v>BU-MMAZ</v>
      </c>
      <c r="E24" s="111" t="str">
        <f>IF(ISBLANK($L24),"",_xlfn.XLOOKUP($L24,'CENTRO CUSTO'!$A:$A,'CENTRO CUSTO'!H:H,FALSE,0))</f>
        <v>G&amp;A</v>
      </c>
      <c r="F24" s="112" t="s">
        <v>92</v>
      </c>
      <c r="G24" s="112" t="s">
        <v>75</v>
      </c>
      <c r="H24" s="112" t="s">
        <v>98</v>
      </c>
      <c r="I24" s="113" t="s">
        <v>84</v>
      </c>
      <c r="J24" s="113" t="s">
        <v>78</v>
      </c>
      <c r="K24" s="113" t="s">
        <v>79</v>
      </c>
      <c r="L24" s="113" t="s">
        <v>35</v>
      </c>
      <c r="M24" s="111" t="str">
        <f>IF(ISBLANK($L24),"",_xlfn.XLOOKUP($L24,'CENTRO CUSTO'!$A:$A,'CENTRO CUSTO'!D:D,FALSE,0))</f>
        <v>Alexandre Ayabe</v>
      </c>
      <c r="N24" s="113" t="s">
        <v>91</v>
      </c>
      <c r="O24" s="114"/>
      <c r="P24" s="113" t="s">
        <v>88</v>
      </c>
      <c r="Q24" s="115">
        <f>100*4</f>
        <v>400</v>
      </c>
      <c r="R24" s="115">
        <f t="shared" ref="R24:AB24" si="42">100*4</f>
        <v>400</v>
      </c>
      <c r="S24" s="115">
        <f t="shared" si="42"/>
        <v>400</v>
      </c>
      <c r="T24" s="115">
        <f t="shared" si="42"/>
        <v>400</v>
      </c>
      <c r="U24" s="115">
        <f t="shared" si="42"/>
        <v>400</v>
      </c>
      <c r="V24" s="115">
        <f t="shared" si="42"/>
        <v>400</v>
      </c>
      <c r="W24" s="115">
        <f t="shared" si="42"/>
        <v>400</v>
      </c>
      <c r="X24" s="115">
        <f t="shared" si="42"/>
        <v>400</v>
      </c>
      <c r="Y24" s="115">
        <f t="shared" si="42"/>
        <v>400</v>
      </c>
      <c r="Z24" s="115">
        <f t="shared" si="42"/>
        <v>400</v>
      </c>
      <c r="AA24" s="115">
        <f t="shared" si="42"/>
        <v>400</v>
      </c>
      <c r="AB24" s="115">
        <f t="shared" si="42"/>
        <v>400</v>
      </c>
      <c r="AC24" s="116">
        <f t="shared" si="41"/>
        <v>4800</v>
      </c>
      <c r="AD24" s="108"/>
      <c r="AE24" s="117">
        <f>IF(ISBLANK(Q24),"",IF($P24="BRL",Q24,Q24*Macroindicadores!B$2)/1000)</f>
        <v>2.3519999999999999</v>
      </c>
      <c r="AF24" s="117">
        <f>IF(ISBLANK(R24),"",IF($P24="BRL",R24,R24*Macroindicadores!C$2)/1000)</f>
        <v>2.3519999999999999</v>
      </c>
      <c r="AG24" s="117">
        <f>IF(ISBLANK(S24),"",IF($P24="BRL",S24,S24*Macroindicadores!D$2)/1000)</f>
        <v>2.3519999999999999</v>
      </c>
      <c r="AH24" s="117">
        <f>IF(ISBLANK(T24),"",IF($P24="BRL",T24,T24*Macroindicadores!E$2)/1000)</f>
        <v>2.3519999999999999</v>
      </c>
      <c r="AI24" s="117">
        <f>IF(ISBLANK(U24),"",IF($P24="BRL",U24,U24*Macroindicadores!F$2)/1000)</f>
        <v>2.3519999999999999</v>
      </c>
      <c r="AJ24" s="117">
        <f>IF(ISBLANK(V24),"",IF($P24="BRL",V24,V24*Macroindicadores!G$2)/1000)</f>
        <v>2.3519999999999999</v>
      </c>
      <c r="AK24" s="117">
        <f>IF(ISBLANK(W24),"",IF($P24="BRL",W24,W24*Macroindicadores!H$2)/1000)</f>
        <v>2.3519999999999999</v>
      </c>
      <c r="AL24" s="117">
        <f>IF(ISBLANK(X24),"",IF($P24="BRL",X24,X24*Macroindicadores!I$2)/1000)</f>
        <v>2.3519999999999999</v>
      </c>
      <c r="AM24" s="117">
        <f>IF(ISBLANK(Y24),"",IF($P24="BRL",Y24,Y24*Macroindicadores!J$2)/1000)</f>
        <v>2.3519999999999999</v>
      </c>
      <c r="AN24" s="117">
        <f>IF(ISBLANK(Z24),"",IF($P24="BRL",Z24,Z24*Macroindicadores!K$2)/1000)</f>
        <v>2.3519999999999999</v>
      </c>
      <c r="AO24" s="117">
        <f>IF(ISBLANK(AA24),"",IF($P24="BRL",AA24,AA24*Macroindicadores!L$2)/1000)</f>
        <v>2.3519999999999999</v>
      </c>
      <c r="AP24" s="117">
        <f>IF(ISBLANK(AB24),"",IF($P24="BRL",AB24,AB24*Macroindicadores!M$2)/1000)</f>
        <v>2.3519999999999999</v>
      </c>
      <c r="AQ24" s="118">
        <f t="shared" si="35"/>
        <v>28.224</v>
      </c>
      <c r="AR24" s="108"/>
      <c r="AS24" s="117">
        <f>IF(ISBLANK(Q24),"",IF(ISBLANK($O24),AE24,IF($J24="ANUAL",AE24*(1+Macroindicadores!B$7),IF(AND($I24="NOVO",MONTH($O24)=MONTH(AS$4)),AE24*(1+Macroindicadores!B$7),IF(AND($J24="PONTUAL",MONTH($O24)=MONTH(AS$4)),AE24*(1+Macroindicadores!B$7),IF(AND($J24="PONTUAL",MONTH($O24)&lt;MONTH(AS$4)),MIN(AR24:$AS24),IF(AND($I24="NOVO",MONTH($O24)&gt;MONTH(AS$4)),AE24,IF(MONTH($O24)&gt;MONTH(AS$4),AE24,IF(MONTH($O24)=MONTH(AS$4),AE24*(1+Macroindicadores!B$7),AR24)))))))))</f>
        <v>2.3519999999999999</v>
      </c>
      <c r="AT24" s="117">
        <f>IF(ISBLANK(R24),"",IF(ISBLANK($O24),AF24,IF($J24="ANUAL",AF24*(1+Macroindicadores!C$7),IF(AND($I24="NOVO",MONTH($O24)=MONTH(AT$4)),AF24*(1+Macroindicadores!C$7),IF(AND($J24="PONTUAL",MONTH($O24)=MONTH(AT$4)),AF24*(1+Macroindicadores!C$7),IF(AND($J24="PONTUAL",MONTH($O24)&lt;MONTH(AT$4)),MIN($AS24:AS24),IF(AND($I24="NOVO",MONTH($O24)&gt;MONTH(AT$4)),AF24,IF(MONTH($O24)&gt;MONTH(AT$4),AF24,IF(MONTH($O24)=MONTH(AT$4),AF24*(1+Macroindicadores!C$7),AS24)))))))))</f>
        <v>2.3519999999999999</v>
      </c>
      <c r="AU24" s="117">
        <f>IF(ISBLANK(S24),"",IF(ISBLANK($O24),AG24,IF($J24="ANUAL",AG24*(1+Macroindicadores!D$7),IF(AND($I24="NOVO",MONTH($O24)=MONTH(AU$4)),AG24*(1+Macroindicadores!D$7),IF(AND($J24="PONTUAL",MONTH($O24)=MONTH(AU$4)),AG24*(1+Macroindicadores!D$7),IF(AND($J24="PONTUAL",MONTH($O24)&lt;MONTH(AU$4)),MIN($AS24:AT24),IF(AND($I24="NOVO",MONTH($O24)&gt;MONTH(AU$4)),AG24,IF(MONTH($O24)&gt;MONTH(AU$4),AG24,IF(MONTH($O24)=MONTH(AU$4),AG24*(1+Macroindicadores!D$7),AT24)))))))))</f>
        <v>2.3519999999999999</v>
      </c>
      <c r="AV24" s="117">
        <f>IF(ISBLANK(T24),"",IF(ISBLANK($O24),AH24,IF($J24="ANUAL",AH24*(1+Macroindicadores!E$7),IF(AND($I24="NOVO",MONTH($O24)=MONTH(AV$4)),AH24*(1+Macroindicadores!E$7),IF(AND($J24="PONTUAL",MONTH($O24)=MONTH(AV$4)),AH24*(1+Macroindicadores!E$7),IF(AND($J24="PONTUAL",MONTH($O24)&lt;MONTH(AV$4)),MIN($AS24:AU24),IF(AND($I24="NOVO",MONTH($O24)&gt;MONTH(AV$4)),AH24,IF(MONTH($O24)&gt;MONTH(AV$4),AH24,IF(MONTH($O24)=MONTH(AV$4),AH24*(1+Macroindicadores!E$7),AU24)))))))))</f>
        <v>2.3519999999999999</v>
      </c>
      <c r="AW24" s="117">
        <f>IF(ISBLANK(U24),"",IF(ISBLANK($O24),AI24,IF($J24="ANUAL",AI24*(1+Macroindicadores!F$7),IF(AND($I24="NOVO",MONTH($O24)=MONTH(AW$4)),AI24*(1+Macroindicadores!F$7),IF(AND($J24="PONTUAL",MONTH($O24)=MONTH(AW$4)),AI24*(1+Macroindicadores!F$7),IF(AND($J24="PONTUAL",MONTH($O24)&lt;MONTH(AW$4)),MIN($AS24:AV24),IF(AND($I24="NOVO",MONTH($O24)&gt;MONTH(AW$4)),AI24,IF(MONTH($O24)&gt;MONTH(AW$4),AI24,IF(MONTH($O24)=MONTH(AW$4),AI24*(1+Macroindicadores!F$7),AV24)))))))))</f>
        <v>2.3519999999999999</v>
      </c>
      <c r="AX24" s="117">
        <f>IF(ISBLANK(V24),"",IF(ISBLANK($O24),AJ24,IF($J24="ANUAL",AJ24*(1+Macroindicadores!G$7),IF(AND($I24="NOVO",MONTH($O24)=MONTH(AX$4)),AJ24*(1+Macroindicadores!G$7),IF(AND($J24="PONTUAL",MONTH($O24)=MONTH(AX$4)),AJ24*(1+Macroindicadores!G$7),IF(AND($J24="PONTUAL",MONTH($O24)&lt;MONTH(AX$4)),MIN($AS24:AW24),IF(AND($I24="NOVO",MONTH($O24)&gt;MONTH(AX$4)),AJ24,IF(MONTH($O24)&gt;MONTH(AX$4),AJ24,IF(MONTH($O24)=MONTH(AX$4),AJ24*(1+Macroindicadores!G$7),AW24)))))))))</f>
        <v>2.3519999999999999</v>
      </c>
      <c r="AY24" s="117">
        <f>IF(ISBLANK(W24),"",IF(ISBLANK($O24),AK24,IF($J24="ANUAL",AK24*(1+Macroindicadores!H$7),IF(AND($I24="NOVO",MONTH($O24)=MONTH(AY$4)),AK24*(1+Macroindicadores!H$7),IF(AND($J24="PONTUAL",MONTH($O24)=MONTH(AY$4)),AK24*(1+Macroindicadores!H$7),IF(AND($J24="PONTUAL",MONTH($O24)&lt;MONTH(AY$4)),MIN($AS24:AX24),IF(AND($I24="NOVO",MONTH($O24)&gt;MONTH(AY$4)),AK24,IF(MONTH($O24)&gt;MONTH(AY$4),AK24,IF(MONTH($O24)=MONTH(AY$4),AK24*(1+Macroindicadores!H$7),AX24)))))))))</f>
        <v>2.3519999999999999</v>
      </c>
      <c r="AZ24" s="117">
        <f>IF(ISBLANK(X24),"",IF(ISBLANK($O24),AL24,IF($J24="ANUAL",AL24*(1+Macroindicadores!I$7),IF(AND($I24="NOVO",MONTH($O24)=MONTH(AZ$4)),AL24*(1+Macroindicadores!I$7),IF(AND($J24="PONTUAL",MONTH($O24)=MONTH(AZ$4)),AL24*(1+Macroindicadores!I$7),IF(AND($J24="PONTUAL",MONTH($O24)&lt;MONTH(AZ$4)),MIN($AS24:AY24),IF(AND($I24="NOVO",MONTH($O24)&gt;MONTH(AZ$4)),AL24,IF(MONTH($O24)&gt;MONTH(AZ$4),AL24,IF(MONTH($O24)=MONTH(AZ$4),AL24*(1+Macroindicadores!I$7),AY24)))))))))</f>
        <v>2.3519999999999999</v>
      </c>
      <c r="BA24" s="117">
        <f>IF(ISBLANK(Y24),"",IF(ISBLANK($O24),AM24,IF($J24="ANUAL",AM24*(1+Macroindicadores!J$7),IF(AND($I24="NOVO",MONTH($O24)=MONTH(BA$4)),AM24*(1+Macroindicadores!J$7),IF(AND($J24="PONTUAL",MONTH($O24)=MONTH(BA$4)),AM24*(1+Macroindicadores!J$7),IF(AND($J24="PONTUAL",MONTH($O24)&lt;MONTH(BA$4)),MIN($AS24:AZ24),IF(AND($I24="NOVO",MONTH($O24)&gt;MONTH(BA$4)),AM24,IF(MONTH($O24)&gt;MONTH(BA$4),AM24,IF(MONTH($O24)=MONTH(BA$4),AM24*(1+Macroindicadores!J$7),AZ24)))))))))</f>
        <v>2.3519999999999999</v>
      </c>
      <c r="BB24" s="117">
        <f>IF(ISBLANK(Z24),"",IF(ISBLANK($O24),AN24,IF($J24="ANUAL",AN24*(1+Macroindicadores!K$7),IF(AND($I24="NOVO",MONTH($O24)=MONTH(BB$4)),AN24*(1+Macroindicadores!K$7),IF(AND($J24="PONTUAL",MONTH($O24)=MONTH(BB$4)),AN24*(1+Macroindicadores!K$7),IF(AND($J24="PONTUAL",MONTH($O24)&lt;MONTH(BB$4)),MIN($AS24:BA24),IF(AND($I24="NOVO",MONTH($O24)&gt;MONTH(BB$4)),AN24,IF(MONTH($O24)&gt;MONTH(BB$4),AN24,IF(MONTH($O24)=MONTH(BB$4),AN24*(1+Macroindicadores!K$7),BA24)))))))))</f>
        <v>2.3519999999999999</v>
      </c>
      <c r="BC24" s="117">
        <f>IF(ISBLANK(AA24),"",IF(ISBLANK($O24),AO24,IF($J24="ANUAL",AO24*(1+Macroindicadores!L$7),IF(AND($I24="NOVO",MONTH($O24)=MONTH(BC$4)),AO24*(1+Macroindicadores!L$7),IF(AND($J24="PONTUAL",MONTH($O24)=MONTH(BC$4)),AO24*(1+Macroindicadores!L$7),IF(AND($J24="PONTUAL",MONTH($O24)&lt;MONTH(BC$4)),MIN($AS24:BB24),IF(AND($I24="NOVO",MONTH($O24)&gt;MONTH(BC$4)),AO24,IF(MONTH($O24)&gt;MONTH(BC$4),AO24,IF(MONTH($O24)=MONTH(BC$4),AO24*(1+Macroindicadores!L$7),BB24)))))))))</f>
        <v>2.3519999999999999</v>
      </c>
      <c r="BD24" s="117">
        <f>IF(ISBLANK(AB24),"",IF(ISBLANK($O24),AP24,IF($J24="ANUAL",AP24*(1+Macroindicadores!M$7),IF(AND($I24="NOVO",MONTH($O24)=MONTH(BD$4)),AP24*(1+Macroindicadores!M$7),IF(AND($J24="PONTUAL",MONTH($O24)=MONTH(BD$4)),AP24*(1+Macroindicadores!M$7),IF(AND($J24="PONTUAL",MONTH($O24)&lt;MONTH(BD$4)),MIN($AS24:BC24),IF(AND($I24="NOVO",MONTH($O24)&gt;MONTH(BD$4)),AP24,IF(MONTH($O24)&gt;MONTH(BD$4),AP24,IF(MONTH($O24)=MONTH(BD$4),AP24*(1+Macroindicadores!M$7),BC24)))))))))</f>
        <v>2.3519999999999999</v>
      </c>
      <c r="BE24" s="118">
        <f t="shared" si="36"/>
        <v>28.224</v>
      </c>
      <c r="BF24" s="108"/>
      <c r="BG24" s="117">
        <f>IF(ISBLANK(Q24),"",AS24/Macroindicadores!B$2)</f>
        <v>0.39999999999999997</v>
      </c>
      <c r="BH24" s="117">
        <f>IF(ISBLANK(R24),"",AT24/Macroindicadores!C$2)</f>
        <v>0.39999999999999997</v>
      </c>
      <c r="BI24" s="117">
        <f>IF(ISBLANK(S24),"",AU24/Macroindicadores!D$2)</f>
        <v>0.39999999999999997</v>
      </c>
      <c r="BJ24" s="117">
        <f>IF(ISBLANK(T24),"",AV24/Macroindicadores!E$2)</f>
        <v>0.39999999999999997</v>
      </c>
      <c r="BK24" s="117">
        <f>IF(ISBLANK(U24),"",AW24/Macroindicadores!F$2)</f>
        <v>0.39999999999999997</v>
      </c>
      <c r="BL24" s="117">
        <f>IF(ISBLANK(V24),"",AX24/Macroindicadores!G$2)</f>
        <v>0.39999999999999997</v>
      </c>
      <c r="BM24" s="117">
        <f>IF(ISBLANK(W24),"",AY24/Macroindicadores!H$2)</f>
        <v>0.39999999999999997</v>
      </c>
      <c r="BN24" s="117">
        <f>IF(ISBLANK(X24),"",AZ24/Macroindicadores!I$2)</f>
        <v>0.39999999999999997</v>
      </c>
      <c r="BO24" s="117">
        <f>IF(ISBLANK(Y24),"",BA24/Macroindicadores!J$2)</f>
        <v>0.39999999999999997</v>
      </c>
      <c r="BP24" s="117">
        <f>IF(ISBLANK(Z24),"",BB24/Macroindicadores!K$2)</f>
        <v>0.39999999999999997</v>
      </c>
      <c r="BQ24" s="117">
        <f>IF(ISBLANK(AA24),"",BC24/Macroindicadores!L$2)</f>
        <v>0.39999999999999997</v>
      </c>
      <c r="BR24" s="117">
        <f>IF(ISBLANK(AB24),"",BD24/Macroindicadores!M$2)</f>
        <v>0.39999999999999997</v>
      </c>
      <c r="BS24" s="118">
        <f>IF(AND(ISBLANK($Q24),ISBLANK($R24),ISBLANK($S24),ISBLANK($T24),ISBLANK($U24),ISBLANK($V24),ISBLANK($W24),ISBLANK($X24),ISBLANK($Y24),ISBLANK($Z24),ISBLANK($AA24),ISBLANK($AB24)),"",SUM(BG24:BR24))</f>
        <v>4.8</v>
      </c>
      <c r="BT24" s="25" t="str">
        <f>IF(ISBLANK($L24),"",_xlfn.XLOOKUP($L24,'CENTRO CUSTO'!$A:$A,'CENTRO CUSTO'!$E:$E,FALSE,0))</f>
        <v>G&amp;A BU</v>
      </c>
    </row>
    <row r="25" spans="1:72">
      <c r="A25" s="9" t="str">
        <f t="shared" si="40"/>
        <v>Budget</v>
      </c>
      <c r="B25" s="9">
        <f t="shared" si="31"/>
        <v>2026</v>
      </c>
      <c r="C25" s="111" t="str">
        <f>IF(ISBLANK($L25),"",_xlfn.XLOOKUP($L25,'CENTRO CUSTO'!$A:$A,'CENTRO CUSTO'!F:F,FALSE,0))</f>
        <v>MRV</v>
      </c>
      <c r="D25" s="111" t="str">
        <f>IF(ISBLANK($L25),"",_xlfn.XLOOKUP($L25,'CENTRO CUSTO'!$A:$A,'CENTRO CUSTO'!G:G,FALSE,0))</f>
        <v>BU-MRV</v>
      </c>
      <c r="E25" s="111" t="str">
        <f>IF(ISBLANK($L25),"",_xlfn.XLOOKUP($L25,'CENTRO CUSTO'!$A:$A,'CENTRO CUSTO'!H:H,FALSE,0))</f>
        <v>G&amp;A</v>
      </c>
      <c r="F25" s="112" t="s">
        <v>92</v>
      </c>
      <c r="G25" s="112" t="s">
        <v>75</v>
      </c>
      <c r="H25" s="112" t="s">
        <v>98</v>
      </c>
      <c r="I25" s="113" t="s">
        <v>84</v>
      </c>
      <c r="J25" s="113" t="s">
        <v>78</v>
      </c>
      <c r="K25" s="113" t="s">
        <v>79</v>
      </c>
      <c r="L25" s="113" t="s">
        <v>45</v>
      </c>
      <c r="M25" s="111" t="str">
        <f>IF(ISBLANK($L25),"",_xlfn.XLOOKUP($L25,'CENTRO CUSTO'!$A:$A,'CENTRO CUSTO'!D:D,FALSE,0))</f>
        <v>Alexandre Ayabe</v>
      </c>
      <c r="N25" s="113" t="s">
        <v>91</v>
      </c>
      <c r="O25" s="114"/>
      <c r="P25" s="113" t="s">
        <v>88</v>
      </c>
      <c r="Q25" s="115">
        <f>100*1</f>
        <v>100</v>
      </c>
      <c r="R25" s="115">
        <f t="shared" ref="R25:AB26" si="43">100*1</f>
        <v>100</v>
      </c>
      <c r="S25" s="115">
        <f t="shared" si="43"/>
        <v>100</v>
      </c>
      <c r="T25" s="115">
        <f t="shared" si="43"/>
        <v>100</v>
      </c>
      <c r="U25" s="115">
        <f t="shared" si="43"/>
        <v>100</v>
      </c>
      <c r="V25" s="115">
        <f t="shared" si="43"/>
        <v>100</v>
      </c>
      <c r="W25" s="115">
        <f t="shared" si="43"/>
        <v>100</v>
      </c>
      <c r="X25" s="115">
        <f t="shared" si="43"/>
        <v>100</v>
      </c>
      <c r="Y25" s="115">
        <f t="shared" si="43"/>
        <v>100</v>
      </c>
      <c r="Z25" s="115">
        <f t="shared" si="43"/>
        <v>100</v>
      </c>
      <c r="AA25" s="115">
        <f t="shared" si="43"/>
        <v>100</v>
      </c>
      <c r="AB25" s="115">
        <f t="shared" si="43"/>
        <v>100</v>
      </c>
      <c r="AC25" s="116">
        <f t="shared" si="41"/>
        <v>1200</v>
      </c>
      <c r="AD25" s="108"/>
      <c r="AE25" s="117">
        <f>IF(ISBLANK(Q25),"",IF($P25="BRL",Q25,Q25*Macroindicadores!B$2)/1000)</f>
        <v>0.58799999999999997</v>
      </c>
      <c r="AF25" s="117">
        <f>IF(ISBLANK(R25),"",IF($P25="BRL",R25,R25*Macroindicadores!C$2)/1000)</f>
        <v>0.58799999999999997</v>
      </c>
      <c r="AG25" s="117">
        <f>IF(ISBLANK(S25),"",IF($P25="BRL",S25,S25*Macroindicadores!D$2)/1000)</f>
        <v>0.58799999999999997</v>
      </c>
      <c r="AH25" s="117">
        <f>IF(ISBLANK(T25),"",IF($P25="BRL",T25,T25*Macroindicadores!E$2)/1000)</f>
        <v>0.58799999999999997</v>
      </c>
      <c r="AI25" s="117">
        <f>IF(ISBLANK(U25),"",IF($P25="BRL",U25,U25*Macroindicadores!F$2)/1000)</f>
        <v>0.58799999999999997</v>
      </c>
      <c r="AJ25" s="117">
        <f>IF(ISBLANK(V25),"",IF($P25="BRL",V25,V25*Macroindicadores!G$2)/1000)</f>
        <v>0.58799999999999997</v>
      </c>
      <c r="AK25" s="117">
        <f>IF(ISBLANK(W25),"",IF($P25="BRL",W25,W25*Macroindicadores!H$2)/1000)</f>
        <v>0.58799999999999997</v>
      </c>
      <c r="AL25" s="117">
        <f>IF(ISBLANK(X25),"",IF($P25="BRL",X25,X25*Macroindicadores!I$2)/1000)</f>
        <v>0.58799999999999997</v>
      </c>
      <c r="AM25" s="117">
        <f>IF(ISBLANK(Y25),"",IF($P25="BRL",Y25,Y25*Macroindicadores!J$2)/1000)</f>
        <v>0.58799999999999997</v>
      </c>
      <c r="AN25" s="117">
        <f>IF(ISBLANK(Z25),"",IF($P25="BRL",Z25,Z25*Macroindicadores!K$2)/1000)</f>
        <v>0.58799999999999997</v>
      </c>
      <c r="AO25" s="117">
        <f>IF(ISBLANK(AA25),"",IF($P25="BRL",AA25,AA25*Macroindicadores!L$2)/1000)</f>
        <v>0.58799999999999997</v>
      </c>
      <c r="AP25" s="117">
        <f>IF(ISBLANK(AB25),"",IF($P25="BRL",AB25,AB25*Macroindicadores!M$2)/1000)</f>
        <v>0.58799999999999997</v>
      </c>
      <c r="AQ25" s="118">
        <f t="shared" si="35"/>
        <v>7.056</v>
      </c>
      <c r="AR25" s="108"/>
      <c r="AS25" s="117">
        <f>IF(ISBLANK(Q25),"",IF(ISBLANK($O25),AE25,IF($J25="ANUAL",AE25*(1+Macroindicadores!B$7),IF(AND($I25="NOVO",MONTH($O25)=MONTH(AS$4)),AE25*(1+Macroindicadores!B$7),IF(AND($J25="PONTUAL",MONTH($O25)=MONTH(AS$4)),AE25*(1+Macroindicadores!B$7),IF(AND($J25="PONTUAL",MONTH($O25)&lt;MONTH(AS$4)),MIN(AR25:$AS25),IF(AND($I25="NOVO",MONTH($O25)&gt;MONTH(AS$4)),AE25,IF(MONTH($O25)&gt;MONTH(AS$4),AE25,IF(MONTH($O25)=MONTH(AS$4),AE25*(1+Macroindicadores!B$7),AR25)))))))))</f>
        <v>0.58799999999999997</v>
      </c>
      <c r="AT25" s="117">
        <f>IF(ISBLANK(R25),"",IF(ISBLANK($O25),AF25,IF($J25="ANUAL",AF25*(1+Macroindicadores!C$7),IF(AND($I25="NOVO",MONTH($O25)=MONTH(AT$4)),AF25*(1+Macroindicadores!C$7),IF(AND($J25="PONTUAL",MONTH($O25)=MONTH(AT$4)),AF25*(1+Macroindicadores!C$7),IF(AND($J25="PONTUAL",MONTH($O25)&lt;MONTH(AT$4)),MIN($AS25:AS25),IF(AND($I25="NOVO",MONTH($O25)&gt;MONTH(AT$4)),AF25,IF(MONTH($O25)&gt;MONTH(AT$4),AF25,IF(MONTH($O25)=MONTH(AT$4),AF25*(1+Macroindicadores!C$7),AS25)))))))))</f>
        <v>0.58799999999999997</v>
      </c>
      <c r="AU25" s="117">
        <f>IF(ISBLANK(S25),"",IF(ISBLANK($O25),AG25,IF($J25="ANUAL",AG25*(1+Macroindicadores!D$7),IF(AND($I25="NOVO",MONTH($O25)=MONTH(AU$4)),AG25*(1+Macroindicadores!D$7),IF(AND($J25="PONTUAL",MONTH($O25)=MONTH(AU$4)),AG25*(1+Macroindicadores!D$7),IF(AND($J25="PONTUAL",MONTH($O25)&lt;MONTH(AU$4)),MIN($AS25:AT25),IF(AND($I25="NOVO",MONTH($O25)&gt;MONTH(AU$4)),AG25,IF(MONTH($O25)&gt;MONTH(AU$4),AG25,IF(MONTH($O25)=MONTH(AU$4),AG25*(1+Macroindicadores!D$7),AT25)))))))))</f>
        <v>0.58799999999999997</v>
      </c>
      <c r="AV25" s="117">
        <f>IF(ISBLANK(T25),"",IF(ISBLANK($O25),AH25,IF($J25="ANUAL",AH25*(1+Macroindicadores!E$7),IF(AND($I25="NOVO",MONTH($O25)=MONTH(AV$4)),AH25*(1+Macroindicadores!E$7),IF(AND($J25="PONTUAL",MONTH($O25)=MONTH(AV$4)),AH25*(1+Macroindicadores!E$7),IF(AND($J25="PONTUAL",MONTH($O25)&lt;MONTH(AV$4)),MIN($AS25:AU25),IF(AND($I25="NOVO",MONTH($O25)&gt;MONTH(AV$4)),AH25,IF(MONTH($O25)&gt;MONTH(AV$4),AH25,IF(MONTH($O25)=MONTH(AV$4),AH25*(1+Macroindicadores!E$7),AU25)))))))))</f>
        <v>0.58799999999999997</v>
      </c>
      <c r="AW25" s="117">
        <f>IF(ISBLANK(U25),"",IF(ISBLANK($O25),AI25,IF($J25="ANUAL",AI25*(1+Macroindicadores!F$7),IF(AND($I25="NOVO",MONTH($O25)=MONTH(AW$4)),AI25*(1+Macroindicadores!F$7),IF(AND($J25="PONTUAL",MONTH($O25)=MONTH(AW$4)),AI25*(1+Macroindicadores!F$7),IF(AND($J25="PONTUAL",MONTH($O25)&lt;MONTH(AW$4)),MIN($AS25:AV25),IF(AND($I25="NOVO",MONTH($O25)&gt;MONTH(AW$4)),AI25,IF(MONTH($O25)&gt;MONTH(AW$4),AI25,IF(MONTH($O25)=MONTH(AW$4),AI25*(1+Macroindicadores!F$7),AV25)))))))))</f>
        <v>0.58799999999999997</v>
      </c>
      <c r="AX25" s="117">
        <f>IF(ISBLANK(V25),"",IF(ISBLANK($O25),AJ25,IF($J25="ANUAL",AJ25*(1+Macroindicadores!G$7),IF(AND($I25="NOVO",MONTH($O25)=MONTH(AX$4)),AJ25*(1+Macroindicadores!G$7),IF(AND($J25="PONTUAL",MONTH($O25)=MONTH(AX$4)),AJ25*(1+Macroindicadores!G$7),IF(AND($J25="PONTUAL",MONTH($O25)&lt;MONTH(AX$4)),MIN($AS25:AW25),IF(AND($I25="NOVO",MONTH($O25)&gt;MONTH(AX$4)),AJ25,IF(MONTH($O25)&gt;MONTH(AX$4),AJ25,IF(MONTH($O25)=MONTH(AX$4),AJ25*(1+Macroindicadores!G$7),AW25)))))))))</f>
        <v>0.58799999999999997</v>
      </c>
      <c r="AY25" s="117">
        <f>IF(ISBLANK(W25),"",IF(ISBLANK($O25),AK25,IF($J25="ANUAL",AK25*(1+Macroindicadores!H$7),IF(AND($I25="NOVO",MONTH($O25)=MONTH(AY$4)),AK25*(1+Macroindicadores!H$7),IF(AND($J25="PONTUAL",MONTH($O25)=MONTH(AY$4)),AK25*(1+Macroindicadores!H$7),IF(AND($J25="PONTUAL",MONTH($O25)&lt;MONTH(AY$4)),MIN($AS25:AX25),IF(AND($I25="NOVO",MONTH($O25)&gt;MONTH(AY$4)),AK25,IF(MONTH($O25)&gt;MONTH(AY$4),AK25,IF(MONTH($O25)=MONTH(AY$4),AK25*(1+Macroindicadores!H$7),AX25)))))))))</f>
        <v>0.58799999999999997</v>
      </c>
      <c r="AZ25" s="117">
        <f>IF(ISBLANK(X25),"",IF(ISBLANK($O25),AL25,IF($J25="ANUAL",AL25*(1+Macroindicadores!I$7),IF(AND($I25="NOVO",MONTH($O25)=MONTH(AZ$4)),AL25*(1+Macroindicadores!I$7),IF(AND($J25="PONTUAL",MONTH($O25)=MONTH(AZ$4)),AL25*(1+Macroindicadores!I$7),IF(AND($J25="PONTUAL",MONTH($O25)&lt;MONTH(AZ$4)),MIN($AS25:AY25),IF(AND($I25="NOVO",MONTH($O25)&gt;MONTH(AZ$4)),AL25,IF(MONTH($O25)&gt;MONTH(AZ$4),AL25,IF(MONTH($O25)=MONTH(AZ$4),AL25*(1+Macroindicadores!I$7),AY25)))))))))</f>
        <v>0.58799999999999997</v>
      </c>
      <c r="BA25" s="117">
        <f>IF(ISBLANK(Y25),"",IF(ISBLANK($O25),AM25,IF($J25="ANUAL",AM25*(1+Macroindicadores!J$7),IF(AND($I25="NOVO",MONTH($O25)=MONTH(BA$4)),AM25*(1+Macroindicadores!J$7),IF(AND($J25="PONTUAL",MONTH($O25)=MONTH(BA$4)),AM25*(1+Macroindicadores!J$7),IF(AND($J25="PONTUAL",MONTH($O25)&lt;MONTH(BA$4)),MIN($AS25:AZ25),IF(AND($I25="NOVO",MONTH($O25)&gt;MONTH(BA$4)),AM25,IF(MONTH($O25)&gt;MONTH(BA$4),AM25,IF(MONTH($O25)=MONTH(BA$4),AM25*(1+Macroindicadores!J$7),AZ25)))))))))</f>
        <v>0.58799999999999997</v>
      </c>
      <c r="BB25" s="117">
        <f>IF(ISBLANK(Z25),"",IF(ISBLANK($O25),AN25,IF($J25="ANUAL",AN25*(1+Macroindicadores!K$7),IF(AND($I25="NOVO",MONTH($O25)=MONTH(BB$4)),AN25*(1+Macroindicadores!K$7),IF(AND($J25="PONTUAL",MONTH($O25)=MONTH(BB$4)),AN25*(1+Macroindicadores!K$7),IF(AND($J25="PONTUAL",MONTH($O25)&lt;MONTH(BB$4)),MIN($AS25:BA25),IF(AND($I25="NOVO",MONTH($O25)&gt;MONTH(BB$4)),AN25,IF(MONTH($O25)&gt;MONTH(BB$4),AN25,IF(MONTH($O25)=MONTH(BB$4),AN25*(1+Macroindicadores!K$7),BA25)))))))))</f>
        <v>0.58799999999999997</v>
      </c>
      <c r="BC25" s="117">
        <f>IF(ISBLANK(AA25),"",IF(ISBLANK($O25),AO25,IF($J25="ANUAL",AO25*(1+Macroindicadores!L$7),IF(AND($I25="NOVO",MONTH($O25)=MONTH(BC$4)),AO25*(1+Macroindicadores!L$7),IF(AND($J25="PONTUAL",MONTH($O25)=MONTH(BC$4)),AO25*(1+Macroindicadores!L$7),IF(AND($J25="PONTUAL",MONTH($O25)&lt;MONTH(BC$4)),MIN($AS25:BB25),IF(AND($I25="NOVO",MONTH($O25)&gt;MONTH(BC$4)),AO25,IF(MONTH($O25)&gt;MONTH(BC$4),AO25,IF(MONTH($O25)=MONTH(BC$4),AO25*(1+Macroindicadores!L$7),BB25)))))))))</f>
        <v>0.58799999999999997</v>
      </c>
      <c r="BD25" s="117">
        <f>IF(ISBLANK(AB25),"",IF(ISBLANK($O25),AP25,IF($J25="ANUAL",AP25*(1+Macroindicadores!M$7),IF(AND($I25="NOVO",MONTH($O25)=MONTH(BD$4)),AP25*(1+Macroindicadores!M$7),IF(AND($J25="PONTUAL",MONTH($O25)=MONTH(BD$4)),AP25*(1+Macroindicadores!M$7),IF(AND($J25="PONTUAL",MONTH($O25)&lt;MONTH(BD$4)),MIN($AS25:BC25),IF(AND($I25="NOVO",MONTH($O25)&gt;MONTH(BD$4)),AP25,IF(MONTH($O25)&gt;MONTH(BD$4),AP25,IF(MONTH($O25)=MONTH(BD$4),AP25*(1+Macroindicadores!M$7),BC25)))))))))</f>
        <v>0.58799999999999997</v>
      </c>
      <c r="BE25" s="118">
        <f t="shared" si="36"/>
        <v>7.056</v>
      </c>
      <c r="BF25" s="108"/>
      <c r="BG25" s="117">
        <f>IF(ISBLANK(Q25),"",AS25/Macroindicadores!B$2)</f>
        <v>9.9999999999999992E-2</v>
      </c>
      <c r="BH25" s="117">
        <f>IF(ISBLANK(R25),"",AT25/Macroindicadores!C$2)</f>
        <v>9.9999999999999992E-2</v>
      </c>
      <c r="BI25" s="117">
        <f>IF(ISBLANK(S25),"",AU25/Macroindicadores!D$2)</f>
        <v>9.9999999999999992E-2</v>
      </c>
      <c r="BJ25" s="117">
        <f>IF(ISBLANK(T25),"",AV25/Macroindicadores!E$2)</f>
        <v>9.9999999999999992E-2</v>
      </c>
      <c r="BK25" s="117">
        <f>IF(ISBLANK(U25),"",AW25/Macroindicadores!F$2)</f>
        <v>9.9999999999999992E-2</v>
      </c>
      <c r="BL25" s="117">
        <f>IF(ISBLANK(V25),"",AX25/Macroindicadores!G$2)</f>
        <v>9.9999999999999992E-2</v>
      </c>
      <c r="BM25" s="117">
        <f>IF(ISBLANK(W25),"",AY25/Macroindicadores!H$2)</f>
        <v>9.9999999999999992E-2</v>
      </c>
      <c r="BN25" s="117">
        <f>IF(ISBLANK(X25),"",AZ25/Macroindicadores!I$2)</f>
        <v>9.9999999999999992E-2</v>
      </c>
      <c r="BO25" s="117">
        <f>IF(ISBLANK(Y25),"",BA25/Macroindicadores!J$2)</f>
        <v>9.9999999999999992E-2</v>
      </c>
      <c r="BP25" s="117">
        <f>IF(ISBLANK(Z25),"",BB25/Macroindicadores!K$2)</f>
        <v>9.9999999999999992E-2</v>
      </c>
      <c r="BQ25" s="117">
        <f>IF(ISBLANK(AA25),"",BC25/Macroindicadores!L$2)</f>
        <v>9.9999999999999992E-2</v>
      </c>
      <c r="BR25" s="117">
        <f>IF(ISBLANK(AB25),"",BD25/Macroindicadores!M$2)</f>
        <v>9.9999999999999992E-2</v>
      </c>
      <c r="BS25" s="118">
        <f>IF(AND(ISBLANK($Q25),ISBLANK($R25),ISBLANK($S25),ISBLANK($T25),ISBLANK($U25),ISBLANK($V25),ISBLANK($W25),ISBLANK($X25),ISBLANK($Y25),ISBLANK($Z25),ISBLANK($AA25),ISBLANK($AB25)),"",SUM(BG25:BR25))</f>
        <v>1.2</v>
      </c>
      <c r="BT25" s="25" t="str">
        <f>IF(ISBLANK($L25),"",_xlfn.XLOOKUP($L25,'CENTRO CUSTO'!$A:$A,'CENTRO CUSTO'!$E:$E,FALSE,0))</f>
        <v>G&amp;A BU</v>
      </c>
    </row>
    <row r="26" spans="1:72">
      <c r="A26" s="9" t="str">
        <f t="shared" si="40"/>
        <v>Budget</v>
      </c>
      <c r="B26" s="9">
        <f t="shared" si="31"/>
        <v>2026</v>
      </c>
      <c r="C26" s="111" t="str">
        <f>IF(ISBLANK($L26),"",_xlfn.XLOOKUP($L26,'CENTRO CUSTO'!$A:$A,'CENTRO CUSTO'!F:F,FALSE,0))</f>
        <v>SKM</v>
      </c>
      <c r="D26" s="111" t="str">
        <f>IF(ISBLANK($L26),"",_xlfn.XLOOKUP($L26,'CENTRO CUSTO'!$A:$A,'CENTRO CUSTO'!G:G,FALSE,0))</f>
        <v>BU-SKM</v>
      </c>
      <c r="E26" s="111" t="str">
        <f>IF(ISBLANK($L26),"",_xlfn.XLOOKUP($L26,'CENTRO CUSTO'!$A:$A,'CENTRO CUSTO'!H:H,FALSE,0))</f>
        <v>G&amp;A</v>
      </c>
      <c r="F26" s="112" t="s">
        <v>92</v>
      </c>
      <c r="G26" s="112" t="s">
        <v>75</v>
      </c>
      <c r="H26" s="112" t="s">
        <v>98</v>
      </c>
      <c r="I26" s="113" t="s">
        <v>84</v>
      </c>
      <c r="J26" s="113" t="s">
        <v>78</v>
      </c>
      <c r="K26" s="113" t="s">
        <v>79</v>
      </c>
      <c r="L26" s="113" t="s">
        <v>50</v>
      </c>
      <c r="M26" s="111" t="str">
        <f>IF(ISBLANK($L26),"",_xlfn.XLOOKUP($L26,'CENTRO CUSTO'!$A:$A,'CENTRO CUSTO'!D:D,FALSE,0))</f>
        <v>Alexandre Ayabe</v>
      </c>
      <c r="N26" s="113" t="s">
        <v>91</v>
      </c>
      <c r="O26" s="114"/>
      <c r="P26" s="113" t="s">
        <v>88</v>
      </c>
      <c r="Q26" s="115">
        <f>100*1</f>
        <v>100</v>
      </c>
      <c r="R26" s="115">
        <f t="shared" si="43"/>
        <v>100</v>
      </c>
      <c r="S26" s="115">
        <f t="shared" si="43"/>
        <v>100</v>
      </c>
      <c r="T26" s="115">
        <f t="shared" si="43"/>
        <v>100</v>
      </c>
      <c r="U26" s="115">
        <f t="shared" si="43"/>
        <v>100</v>
      </c>
      <c r="V26" s="115">
        <f t="shared" si="43"/>
        <v>100</v>
      </c>
      <c r="W26" s="115">
        <f t="shared" si="43"/>
        <v>100</v>
      </c>
      <c r="X26" s="115">
        <f t="shared" si="43"/>
        <v>100</v>
      </c>
      <c r="Y26" s="115">
        <f t="shared" si="43"/>
        <v>100</v>
      </c>
      <c r="Z26" s="115">
        <f t="shared" si="43"/>
        <v>100</v>
      </c>
      <c r="AA26" s="115">
        <f t="shared" si="43"/>
        <v>100</v>
      </c>
      <c r="AB26" s="115">
        <f t="shared" si="43"/>
        <v>100</v>
      </c>
      <c r="AC26" s="116">
        <f t="shared" si="41"/>
        <v>1200</v>
      </c>
      <c r="AD26" s="108"/>
      <c r="AE26" s="117">
        <f>IF(ISBLANK(Q26),"",IF($P26="BRL",Q26,Q26*Macroindicadores!B$2)/1000)</f>
        <v>0.58799999999999997</v>
      </c>
      <c r="AF26" s="117">
        <f>IF(ISBLANK(R26),"",IF($P26="BRL",R26,R26*Macroindicadores!C$2)/1000)</f>
        <v>0.58799999999999997</v>
      </c>
      <c r="AG26" s="117">
        <f>IF(ISBLANK(S26),"",IF($P26="BRL",S26,S26*Macroindicadores!D$2)/1000)</f>
        <v>0.58799999999999997</v>
      </c>
      <c r="AH26" s="117">
        <f>IF(ISBLANK(T26),"",IF($P26="BRL",T26,T26*Macroindicadores!E$2)/1000)</f>
        <v>0.58799999999999997</v>
      </c>
      <c r="AI26" s="117">
        <f>IF(ISBLANK(U26),"",IF($P26="BRL",U26,U26*Macroindicadores!F$2)/1000)</f>
        <v>0.58799999999999997</v>
      </c>
      <c r="AJ26" s="117">
        <f>IF(ISBLANK(V26),"",IF($P26="BRL",V26,V26*Macroindicadores!G$2)/1000)</f>
        <v>0.58799999999999997</v>
      </c>
      <c r="AK26" s="117">
        <f>IF(ISBLANK(W26),"",IF($P26="BRL",W26,W26*Macroindicadores!H$2)/1000)</f>
        <v>0.58799999999999997</v>
      </c>
      <c r="AL26" s="117">
        <f>IF(ISBLANK(X26),"",IF($P26="BRL",X26,X26*Macroindicadores!I$2)/1000)</f>
        <v>0.58799999999999997</v>
      </c>
      <c r="AM26" s="117">
        <f>IF(ISBLANK(Y26),"",IF($P26="BRL",Y26,Y26*Macroindicadores!J$2)/1000)</f>
        <v>0.58799999999999997</v>
      </c>
      <c r="AN26" s="117">
        <f>IF(ISBLANK(Z26),"",IF($P26="BRL",Z26,Z26*Macroindicadores!K$2)/1000)</f>
        <v>0.58799999999999997</v>
      </c>
      <c r="AO26" s="117">
        <f>IF(ISBLANK(AA26),"",IF($P26="BRL",AA26,AA26*Macroindicadores!L$2)/1000)</f>
        <v>0.58799999999999997</v>
      </c>
      <c r="AP26" s="117">
        <f>IF(ISBLANK(AB26),"",IF($P26="BRL",AB26,AB26*Macroindicadores!M$2)/1000)</f>
        <v>0.58799999999999997</v>
      </c>
      <c r="AQ26" s="118">
        <f t="shared" si="35"/>
        <v>7.056</v>
      </c>
      <c r="AR26" s="108"/>
      <c r="AS26" s="117">
        <f>IF(ISBLANK(Q26),"",IF(ISBLANK($O26),AE26,IF($J26="ANUAL",AE26*(1+Macroindicadores!B$7),IF(AND($I26="NOVO",MONTH($O26)=MONTH(AS$4)),AE26*(1+Macroindicadores!B$7),IF(AND($J26="PONTUAL",MONTH($O26)=MONTH(AS$4)),AE26*(1+Macroindicadores!B$7),IF(AND($J26="PONTUAL",MONTH($O26)&lt;MONTH(AS$4)),MIN(AR26:$AS26),IF(AND($I26="NOVO",MONTH($O26)&gt;MONTH(AS$4)),AE26,IF(MONTH($O26)&gt;MONTH(AS$4),AE26,IF(MONTH($O26)=MONTH(AS$4),AE26*(1+Macroindicadores!B$7),AR26)))))))))</f>
        <v>0.58799999999999997</v>
      </c>
      <c r="AT26" s="117">
        <f>IF(ISBLANK(R26),"",IF(ISBLANK($O26),AF26,IF($J26="ANUAL",AF26*(1+Macroindicadores!C$7),IF(AND($I26="NOVO",MONTH($O26)=MONTH(AT$4)),AF26*(1+Macroindicadores!C$7),IF(AND($J26="PONTUAL",MONTH($O26)=MONTH(AT$4)),AF26*(1+Macroindicadores!C$7),IF(AND($J26="PONTUAL",MONTH($O26)&lt;MONTH(AT$4)),MIN($AS26:AS26),IF(AND($I26="NOVO",MONTH($O26)&gt;MONTH(AT$4)),AF26,IF(MONTH($O26)&gt;MONTH(AT$4),AF26,IF(MONTH($O26)=MONTH(AT$4),AF26*(1+Macroindicadores!C$7),AS26)))))))))</f>
        <v>0.58799999999999997</v>
      </c>
      <c r="AU26" s="117">
        <f>IF(ISBLANK(S26),"",IF(ISBLANK($O26),AG26,IF($J26="ANUAL",AG26*(1+Macroindicadores!D$7),IF(AND($I26="NOVO",MONTH($O26)=MONTH(AU$4)),AG26*(1+Macroindicadores!D$7),IF(AND($J26="PONTUAL",MONTH($O26)=MONTH(AU$4)),AG26*(1+Macroindicadores!D$7),IF(AND($J26="PONTUAL",MONTH($O26)&lt;MONTH(AU$4)),MIN($AS26:AT26),IF(AND($I26="NOVO",MONTH($O26)&gt;MONTH(AU$4)),AG26,IF(MONTH($O26)&gt;MONTH(AU$4),AG26,IF(MONTH($O26)=MONTH(AU$4),AG26*(1+Macroindicadores!D$7),AT26)))))))))</f>
        <v>0.58799999999999997</v>
      </c>
      <c r="AV26" s="117">
        <f>IF(ISBLANK(T26),"",IF(ISBLANK($O26),AH26,IF($J26="ANUAL",AH26*(1+Macroindicadores!E$7),IF(AND($I26="NOVO",MONTH($O26)=MONTH(AV$4)),AH26*(1+Macroindicadores!E$7),IF(AND($J26="PONTUAL",MONTH($O26)=MONTH(AV$4)),AH26*(1+Macroindicadores!E$7),IF(AND($J26="PONTUAL",MONTH($O26)&lt;MONTH(AV$4)),MIN($AS26:AU26),IF(AND($I26="NOVO",MONTH($O26)&gt;MONTH(AV$4)),AH26,IF(MONTH($O26)&gt;MONTH(AV$4),AH26,IF(MONTH($O26)=MONTH(AV$4),AH26*(1+Macroindicadores!E$7),AU26)))))))))</f>
        <v>0.58799999999999997</v>
      </c>
      <c r="AW26" s="117">
        <f>IF(ISBLANK(U26),"",IF(ISBLANK($O26),AI26,IF($J26="ANUAL",AI26*(1+Macroindicadores!F$7),IF(AND($I26="NOVO",MONTH($O26)=MONTH(AW$4)),AI26*(1+Macroindicadores!F$7),IF(AND($J26="PONTUAL",MONTH($O26)=MONTH(AW$4)),AI26*(1+Macroindicadores!F$7),IF(AND($J26="PONTUAL",MONTH($O26)&lt;MONTH(AW$4)),MIN($AS26:AV26),IF(AND($I26="NOVO",MONTH($O26)&gt;MONTH(AW$4)),AI26,IF(MONTH($O26)&gt;MONTH(AW$4),AI26,IF(MONTH($O26)=MONTH(AW$4),AI26*(1+Macroindicadores!F$7),AV26)))))))))</f>
        <v>0.58799999999999997</v>
      </c>
      <c r="AX26" s="117">
        <f>IF(ISBLANK(V26),"",IF(ISBLANK($O26),AJ26,IF($J26="ANUAL",AJ26*(1+Macroindicadores!G$7),IF(AND($I26="NOVO",MONTH($O26)=MONTH(AX$4)),AJ26*(1+Macroindicadores!G$7),IF(AND($J26="PONTUAL",MONTH($O26)=MONTH(AX$4)),AJ26*(1+Macroindicadores!G$7),IF(AND($J26="PONTUAL",MONTH($O26)&lt;MONTH(AX$4)),MIN($AS26:AW26),IF(AND($I26="NOVO",MONTH($O26)&gt;MONTH(AX$4)),AJ26,IF(MONTH($O26)&gt;MONTH(AX$4),AJ26,IF(MONTH($O26)=MONTH(AX$4),AJ26*(1+Macroindicadores!G$7),AW26)))))))))</f>
        <v>0.58799999999999997</v>
      </c>
      <c r="AY26" s="117">
        <f>IF(ISBLANK(W26),"",IF(ISBLANK($O26),AK26,IF($J26="ANUAL",AK26*(1+Macroindicadores!H$7),IF(AND($I26="NOVO",MONTH($O26)=MONTH(AY$4)),AK26*(1+Macroindicadores!H$7),IF(AND($J26="PONTUAL",MONTH($O26)=MONTH(AY$4)),AK26*(1+Macroindicadores!H$7),IF(AND($J26="PONTUAL",MONTH($O26)&lt;MONTH(AY$4)),MIN($AS26:AX26),IF(AND($I26="NOVO",MONTH($O26)&gt;MONTH(AY$4)),AK26,IF(MONTH($O26)&gt;MONTH(AY$4),AK26,IF(MONTH($O26)=MONTH(AY$4),AK26*(1+Macroindicadores!H$7),AX26)))))))))</f>
        <v>0.58799999999999997</v>
      </c>
      <c r="AZ26" s="117">
        <f>IF(ISBLANK(X26),"",IF(ISBLANK($O26),AL26,IF($J26="ANUAL",AL26*(1+Macroindicadores!I$7),IF(AND($I26="NOVO",MONTH($O26)=MONTH(AZ$4)),AL26*(1+Macroindicadores!I$7),IF(AND($J26="PONTUAL",MONTH($O26)=MONTH(AZ$4)),AL26*(1+Macroindicadores!I$7),IF(AND($J26="PONTUAL",MONTH($O26)&lt;MONTH(AZ$4)),MIN($AS26:AY26),IF(AND($I26="NOVO",MONTH($O26)&gt;MONTH(AZ$4)),AL26,IF(MONTH($O26)&gt;MONTH(AZ$4),AL26,IF(MONTH($O26)=MONTH(AZ$4),AL26*(1+Macroindicadores!I$7),AY26)))))))))</f>
        <v>0.58799999999999997</v>
      </c>
      <c r="BA26" s="117">
        <f>IF(ISBLANK(Y26),"",IF(ISBLANK($O26),AM26,IF($J26="ANUAL",AM26*(1+Macroindicadores!J$7),IF(AND($I26="NOVO",MONTH($O26)=MONTH(BA$4)),AM26*(1+Macroindicadores!J$7),IF(AND($J26="PONTUAL",MONTH($O26)=MONTH(BA$4)),AM26*(1+Macroindicadores!J$7),IF(AND($J26="PONTUAL",MONTH($O26)&lt;MONTH(BA$4)),MIN($AS26:AZ26),IF(AND($I26="NOVO",MONTH($O26)&gt;MONTH(BA$4)),AM26,IF(MONTH($O26)&gt;MONTH(BA$4),AM26,IF(MONTH($O26)=MONTH(BA$4),AM26*(1+Macroindicadores!J$7),AZ26)))))))))</f>
        <v>0.58799999999999997</v>
      </c>
      <c r="BB26" s="117">
        <f>IF(ISBLANK(Z26),"",IF(ISBLANK($O26),AN26,IF($J26="ANUAL",AN26*(1+Macroindicadores!K$7),IF(AND($I26="NOVO",MONTH($O26)=MONTH(BB$4)),AN26*(1+Macroindicadores!K$7),IF(AND($J26="PONTUAL",MONTH($O26)=MONTH(BB$4)),AN26*(1+Macroindicadores!K$7),IF(AND($J26="PONTUAL",MONTH($O26)&lt;MONTH(BB$4)),MIN($AS26:BA26),IF(AND($I26="NOVO",MONTH($O26)&gt;MONTH(BB$4)),AN26,IF(MONTH($O26)&gt;MONTH(BB$4),AN26,IF(MONTH($O26)=MONTH(BB$4),AN26*(1+Macroindicadores!K$7),BA26)))))))))</f>
        <v>0.58799999999999997</v>
      </c>
      <c r="BC26" s="117">
        <f>IF(ISBLANK(AA26),"",IF(ISBLANK($O26),AO26,IF($J26="ANUAL",AO26*(1+Macroindicadores!L$7),IF(AND($I26="NOVO",MONTH($O26)=MONTH(BC$4)),AO26*(1+Macroindicadores!L$7),IF(AND($J26="PONTUAL",MONTH($O26)=MONTH(BC$4)),AO26*(1+Macroindicadores!L$7),IF(AND($J26="PONTUAL",MONTH($O26)&lt;MONTH(BC$4)),MIN($AS26:BB26),IF(AND($I26="NOVO",MONTH($O26)&gt;MONTH(BC$4)),AO26,IF(MONTH($O26)&gt;MONTH(BC$4),AO26,IF(MONTH($O26)=MONTH(BC$4),AO26*(1+Macroindicadores!L$7),BB26)))))))))</f>
        <v>0.58799999999999997</v>
      </c>
      <c r="BD26" s="117">
        <f>IF(ISBLANK(AB26),"",IF(ISBLANK($O26),AP26,IF($J26="ANUAL",AP26*(1+Macroindicadores!M$7),IF(AND($I26="NOVO",MONTH($O26)=MONTH(BD$4)),AP26*(1+Macroindicadores!M$7),IF(AND($J26="PONTUAL",MONTH($O26)=MONTH(BD$4)),AP26*(1+Macroindicadores!M$7),IF(AND($J26="PONTUAL",MONTH($O26)&lt;MONTH(BD$4)),MIN($AS26:BC26),IF(AND($I26="NOVO",MONTH($O26)&gt;MONTH(BD$4)),AP26,IF(MONTH($O26)&gt;MONTH(BD$4),AP26,IF(MONTH($O26)=MONTH(BD$4),AP26*(1+Macroindicadores!M$7),BC26)))))))))</f>
        <v>0.58799999999999997</v>
      </c>
      <c r="BE26" s="118">
        <f t="shared" si="36"/>
        <v>7.056</v>
      </c>
      <c r="BF26" s="108"/>
      <c r="BG26" s="117">
        <f>IF(ISBLANK(Q26),"",AS26/Macroindicadores!B$2)</f>
        <v>9.9999999999999992E-2</v>
      </c>
      <c r="BH26" s="117">
        <f>IF(ISBLANK(R26),"",AT26/Macroindicadores!C$2)</f>
        <v>9.9999999999999992E-2</v>
      </c>
      <c r="BI26" s="117">
        <f>IF(ISBLANK(S26),"",AU26/Macroindicadores!D$2)</f>
        <v>9.9999999999999992E-2</v>
      </c>
      <c r="BJ26" s="117">
        <f>IF(ISBLANK(T26),"",AV26/Macroindicadores!E$2)</f>
        <v>9.9999999999999992E-2</v>
      </c>
      <c r="BK26" s="117">
        <f>IF(ISBLANK(U26),"",AW26/Macroindicadores!F$2)</f>
        <v>9.9999999999999992E-2</v>
      </c>
      <c r="BL26" s="117">
        <f>IF(ISBLANK(V26),"",AX26/Macroindicadores!G$2)</f>
        <v>9.9999999999999992E-2</v>
      </c>
      <c r="BM26" s="117">
        <f>IF(ISBLANK(W26),"",AY26/Macroindicadores!H$2)</f>
        <v>9.9999999999999992E-2</v>
      </c>
      <c r="BN26" s="117">
        <f>IF(ISBLANK(X26),"",AZ26/Macroindicadores!I$2)</f>
        <v>9.9999999999999992E-2</v>
      </c>
      <c r="BO26" s="117">
        <f>IF(ISBLANK(Y26),"",BA26/Macroindicadores!J$2)</f>
        <v>9.9999999999999992E-2</v>
      </c>
      <c r="BP26" s="117">
        <f>IF(ISBLANK(Z26),"",BB26/Macroindicadores!K$2)</f>
        <v>9.9999999999999992E-2</v>
      </c>
      <c r="BQ26" s="117">
        <f>IF(ISBLANK(AA26),"",BC26/Macroindicadores!L$2)</f>
        <v>9.9999999999999992E-2</v>
      </c>
      <c r="BR26" s="117">
        <f>IF(ISBLANK(AB26),"",BD26/Macroindicadores!M$2)</f>
        <v>9.9999999999999992E-2</v>
      </c>
      <c r="BS26" s="118">
        <f>IF(AND(ISBLANK($Q26),ISBLANK($R26),ISBLANK($S26),ISBLANK($T26),ISBLANK($U26),ISBLANK($V26),ISBLANK($W26),ISBLANK($X26),ISBLANK($Y26),ISBLANK($Z26),ISBLANK($AA26),ISBLANK($AB26)),"",SUM(BG26:BR26))</f>
        <v>1.2</v>
      </c>
      <c r="BT26" s="25" t="str">
        <f>IF(ISBLANK($L26),"",_xlfn.XLOOKUP($L26,'CENTRO CUSTO'!$A:$A,'CENTRO CUSTO'!$E:$E,FALSE,0))</f>
        <v>G&amp;A BU</v>
      </c>
    </row>
    <row r="27" spans="1:72">
      <c r="A27" s="9" t="str">
        <f t="shared" si="40"/>
        <v>Budget</v>
      </c>
      <c r="B27" s="9">
        <f t="shared" si="31"/>
        <v>2026</v>
      </c>
      <c r="C27" s="111" t="str">
        <f>IF(ISBLANK($L27),"",_xlfn.XLOOKUP($L27,'CENTRO CUSTO'!$A:$A,'CENTRO CUSTO'!F:F,FALSE,0))</f>
        <v>Martini Meat</v>
      </c>
      <c r="D27" s="111" t="str">
        <f>IF(ISBLANK($L27),"",_xlfn.XLOOKUP($L27,'CENTRO CUSTO'!$A:$A,'CENTRO CUSTO'!G:G,FALSE,0))</f>
        <v>Paranaguá</v>
      </c>
      <c r="E27" s="111" t="str">
        <f>IF(ISBLANK($L27),"",_xlfn.XLOOKUP($L27,'CENTRO CUSTO'!$A:$A,'CENTRO CUSTO'!H:H,FALSE,0))</f>
        <v>Frigorífico</v>
      </c>
      <c r="F27" s="112" t="s">
        <v>99</v>
      </c>
      <c r="G27" s="112" t="s">
        <v>75</v>
      </c>
      <c r="H27" s="112" t="s">
        <v>100</v>
      </c>
      <c r="I27" s="113" t="s">
        <v>77</v>
      </c>
      <c r="J27" s="113" t="s">
        <v>78</v>
      </c>
      <c r="K27" s="113" t="s">
        <v>79</v>
      </c>
      <c r="L27" s="113" t="s">
        <v>15</v>
      </c>
      <c r="M27" s="111" t="str">
        <f>IF(ISBLANK($L27),"",_xlfn.XLOOKUP($L27,'CENTRO CUSTO'!$A:$A,'CENTRO CUSTO'!D:D,FALSE,0))</f>
        <v>Alexandre Ayabe</v>
      </c>
      <c r="N27" s="113" t="s">
        <v>101</v>
      </c>
      <c r="O27" s="114"/>
      <c r="P27" s="113" t="s">
        <v>88</v>
      </c>
      <c r="Q27" s="115">
        <f>55214*Rateio!$E$66/12</f>
        <v>1288.3266666666668</v>
      </c>
      <c r="R27" s="115">
        <f>55214*Rateio!$E$66/12</f>
        <v>1288.3266666666668</v>
      </c>
      <c r="S27" s="115">
        <f>55214*Rateio!$E$66/12</f>
        <v>1288.3266666666668</v>
      </c>
      <c r="T27" s="115">
        <f>55214*Rateio!$E$66/12</f>
        <v>1288.3266666666668</v>
      </c>
      <c r="U27" s="115">
        <f>55214*Rateio!$E$66/12</f>
        <v>1288.3266666666668</v>
      </c>
      <c r="V27" s="115">
        <f>55214*Rateio!$E$66/12</f>
        <v>1288.3266666666668</v>
      </c>
      <c r="W27" s="115">
        <f>55214*Rateio!$E$66/12</f>
        <v>1288.3266666666668</v>
      </c>
      <c r="X27" s="115">
        <f>55214*Rateio!$E$66/12</f>
        <v>1288.3266666666668</v>
      </c>
      <c r="Y27" s="115">
        <f>55214*Rateio!$E$66/12</f>
        <v>1288.3266666666668</v>
      </c>
      <c r="Z27" s="115">
        <f>55214*Rateio!$E$66/12</f>
        <v>1288.3266666666668</v>
      </c>
      <c r="AA27" s="115">
        <f>55214*Rateio!$E$66/12</f>
        <v>1288.3266666666668</v>
      </c>
      <c r="AB27" s="115">
        <f>55214*Rateio!$E$66/12</f>
        <v>1288.3266666666668</v>
      </c>
      <c r="AC27" s="116">
        <f t="shared" si="41"/>
        <v>15459.920000000006</v>
      </c>
      <c r="AD27" s="108"/>
      <c r="AE27" s="117">
        <f>IF(ISBLANK(Q27),"",IF($P27="BRL",Q27,Q27*Macroindicadores!B$2)/1000)</f>
        <v>7.5753608000000003</v>
      </c>
      <c r="AF27" s="117">
        <f>IF(ISBLANK(R27),"",IF($P27="BRL",R27,R27*Macroindicadores!C$2)/1000)</f>
        <v>7.5753608000000003</v>
      </c>
      <c r="AG27" s="117">
        <f>IF(ISBLANK(S27),"",IF($P27="BRL",S27,S27*Macroindicadores!D$2)/1000)</f>
        <v>7.5753608000000003</v>
      </c>
      <c r="AH27" s="117">
        <f>IF(ISBLANK(T27),"",IF($P27="BRL",T27,T27*Macroindicadores!E$2)/1000)</f>
        <v>7.5753608000000003</v>
      </c>
      <c r="AI27" s="117">
        <f>IF(ISBLANK(U27),"",IF($P27="BRL",U27,U27*Macroindicadores!F$2)/1000)</f>
        <v>7.5753608000000003</v>
      </c>
      <c r="AJ27" s="117">
        <f>IF(ISBLANK(V27),"",IF($P27="BRL",V27,V27*Macroindicadores!G$2)/1000)</f>
        <v>7.5753608000000003</v>
      </c>
      <c r="AK27" s="117">
        <f>IF(ISBLANK(W27),"",IF($P27="BRL",W27,W27*Macroindicadores!H$2)/1000)</f>
        <v>7.5753608000000003</v>
      </c>
      <c r="AL27" s="117">
        <f>IF(ISBLANK(X27),"",IF($P27="BRL",X27,X27*Macroindicadores!I$2)/1000)</f>
        <v>7.5753608000000003</v>
      </c>
      <c r="AM27" s="117">
        <f>IF(ISBLANK(Y27),"",IF($P27="BRL",Y27,Y27*Macroindicadores!J$2)/1000)</f>
        <v>7.5753608000000003</v>
      </c>
      <c r="AN27" s="117">
        <f>IF(ISBLANK(Z27),"",IF($P27="BRL",Z27,Z27*Macroindicadores!K$2)/1000)</f>
        <v>7.5753608000000003</v>
      </c>
      <c r="AO27" s="117">
        <f>IF(ISBLANK(AA27),"",IF($P27="BRL",AA27,AA27*Macroindicadores!L$2)/1000)</f>
        <v>7.5753608000000003</v>
      </c>
      <c r="AP27" s="117">
        <f>IF(ISBLANK(AB27),"",IF($P27="BRL",AB27,AB27*Macroindicadores!M$2)/1000)</f>
        <v>7.5753608000000003</v>
      </c>
      <c r="AQ27" s="118">
        <f t="shared" si="35"/>
        <v>90.904329599999997</v>
      </c>
      <c r="AR27" s="108"/>
      <c r="AS27" s="117">
        <f>IF(ISBLANK(Q27),"",IF(ISBLANK($O27),AE27,IF($J27="ANUAL",AE27*(1+Macroindicadores!B$7),IF(AND($I27="NOVO",MONTH($O27)=MONTH(AS$4)),AE27*(1+Macroindicadores!B$7),IF(AND($J27="PONTUAL",MONTH($O27)=MONTH(AS$4)),AE27*(1+Macroindicadores!B$7),IF(AND($J27="PONTUAL",MONTH($O27)&lt;MONTH(AS$4)),MIN(AR27:$AS27),IF(AND($I27="NOVO",MONTH($O27)&gt;MONTH(AS$4)),AE27,IF(MONTH($O27)&gt;MONTH(AS$4),AE27,IF(MONTH($O27)=MONTH(AS$4),AE27*(1+Macroindicadores!B$7),AR27)))))))))</f>
        <v>7.5753608000000003</v>
      </c>
      <c r="AT27" s="117">
        <f>IF(ISBLANK(R27),"",IF(ISBLANK($O27),AF27,IF($J27="ANUAL",AF27*(1+Macroindicadores!C$7),IF(AND($I27="NOVO",MONTH($O27)=MONTH(AT$4)),AF27*(1+Macroindicadores!C$7),IF(AND($J27="PONTUAL",MONTH($O27)=MONTH(AT$4)),AF27*(1+Macroindicadores!C$7),IF(AND($J27="PONTUAL",MONTH($O27)&lt;MONTH(AT$4)),MIN($AS27:AS27),IF(AND($I27="NOVO",MONTH($O27)&gt;MONTH(AT$4)),AF27,IF(MONTH($O27)&gt;MONTH(AT$4),AF27,IF(MONTH($O27)=MONTH(AT$4),AF27*(1+Macroindicadores!C$7),AS27)))))))))</f>
        <v>7.5753608000000003</v>
      </c>
      <c r="AU27" s="117">
        <f>IF(ISBLANK(S27),"",IF(ISBLANK($O27),AG27,IF($J27="ANUAL",AG27*(1+Macroindicadores!D$7),IF(AND($I27="NOVO",MONTH($O27)=MONTH(AU$4)),AG27*(1+Macroindicadores!D$7),IF(AND($J27="PONTUAL",MONTH($O27)=MONTH(AU$4)),AG27*(1+Macroindicadores!D$7),IF(AND($J27="PONTUAL",MONTH($O27)&lt;MONTH(AU$4)),MIN($AS27:AT27),IF(AND($I27="NOVO",MONTH($O27)&gt;MONTH(AU$4)),AG27,IF(MONTH($O27)&gt;MONTH(AU$4),AG27,IF(MONTH($O27)=MONTH(AU$4),AG27*(1+Macroindicadores!D$7),AT27)))))))))</f>
        <v>7.5753608000000003</v>
      </c>
      <c r="AV27" s="117">
        <f>IF(ISBLANK(T27),"",IF(ISBLANK($O27),AH27,IF($J27="ANUAL",AH27*(1+Macroindicadores!E$7),IF(AND($I27="NOVO",MONTH($O27)=MONTH(AV$4)),AH27*(1+Macroindicadores!E$7),IF(AND($J27="PONTUAL",MONTH($O27)=MONTH(AV$4)),AH27*(1+Macroindicadores!E$7),IF(AND($J27="PONTUAL",MONTH($O27)&lt;MONTH(AV$4)),MIN($AS27:AU27),IF(AND($I27="NOVO",MONTH($O27)&gt;MONTH(AV$4)),AH27,IF(MONTH($O27)&gt;MONTH(AV$4),AH27,IF(MONTH($O27)=MONTH(AV$4),AH27*(1+Macroindicadores!E$7),AU27)))))))))</f>
        <v>7.5753608000000003</v>
      </c>
      <c r="AW27" s="117">
        <f>IF(ISBLANK(U27),"",IF(ISBLANK($O27),AI27,IF($J27="ANUAL",AI27*(1+Macroindicadores!F$7),IF(AND($I27="NOVO",MONTH($O27)=MONTH(AW$4)),AI27*(1+Macroindicadores!F$7),IF(AND($J27="PONTUAL",MONTH($O27)=MONTH(AW$4)),AI27*(1+Macroindicadores!F$7),IF(AND($J27="PONTUAL",MONTH($O27)&lt;MONTH(AW$4)),MIN($AS27:AV27),IF(AND($I27="NOVO",MONTH($O27)&gt;MONTH(AW$4)),AI27,IF(MONTH($O27)&gt;MONTH(AW$4),AI27,IF(MONTH($O27)=MONTH(AW$4),AI27*(1+Macroindicadores!F$7),AV27)))))))))</f>
        <v>7.5753608000000003</v>
      </c>
      <c r="AX27" s="117">
        <f>IF(ISBLANK(V27),"",IF(ISBLANK($O27),AJ27,IF($J27="ANUAL",AJ27*(1+Macroindicadores!G$7),IF(AND($I27="NOVO",MONTH($O27)=MONTH(AX$4)),AJ27*(1+Macroindicadores!G$7),IF(AND($J27="PONTUAL",MONTH($O27)=MONTH(AX$4)),AJ27*(1+Macroindicadores!G$7),IF(AND($J27="PONTUAL",MONTH($O27)&lt;MONTH(AX$4)),MIN($AS27:AW27),IF(AND($I27="NOVO",MONTH($O27)&gt;MONTH(AX$4)),AJ27,IF(MONTH($O27)&gt;MONTH(AX$4),AJ27,IF(MONTH($O27)=MONTH(AX$4),AJ27*(1+Macroindicadores!G$7),AW27)))))))))</f>
        <v>7.5753608000000003</v>
      </c>
      <c r="AY27" s="117">
        <f>IF(ISBLANK(W27),"",IF(ISBLANK($O27),AK27,IF($J27="ANUAL",AK27*(1+Macroindicadores!H$7),IF(AND($I27="NOVO",MONTH($O27)=MONTH(AY$4)),AK27*(1+Macroindicadores!H$7),IF(AND($J27="PONTUAL",MONTH($O27)=MONTH(AY$4)),AK27*(1+Macroindicadores!H$7),IF(AND($J27="PONTUAL",MONTH($O27)&lt;MONTH(AY$4)),MIN($AS27:AX27),IF(AND($I27="NOVO",MONTH($O27)&gt;MONTH(AY$4)),AK27,IF(MONTH($O27)&gt;MONTH(AY$4),AK27,IF(MONTH($O27)=MONTH(AY$4),AK27*(1+Macroindicadores!H$7),AX27)))))))))</f>
        <v>7.5753608000000003</v>
      </c>
      <c r="AZ27" s="117">
        <f>IF(ISBLANK(X27),"",IF(ISBLANK($O27),AL27,IF($J27="ANUAL",AL27*(1+Macroindicadores!I$7),IF(AND($I27="NOVO",MONTH($O27)=MONTH(AZ$4)),AL27*(1+Macroindicadores!I$7),IF(AND($J27="PONTUAL",MONTH($O27)=MONTH(AZ$4)),AL27*(1+Macroindicadores!I$7),IF(AND($J27="PONTUAL",MONTH($O27)&lt;MONTH(AZ$4)),MIN($AS27:AY27),IF(AND($I27="NOVO",MONTH($O27)&gt;MONTH(AZ$4)),AL27,IF(MONTH($O27)&gt;MONTH(AZ$4),AL27,IF(MONTH($O27)=MONTH(AZ$4),AL27*(1+Macroindicadores!I$7),AY27)))))))))</f>
        <v>7.5753608000000003</v>
      </c>
      <c r="BA27" s="117">
        <f>IF(ISBLANK(Y27),"",IF(ISBLANK($O27),AM27,IF($J27="ANUAL",AM27*(1+Macroindicadores!J$7),IF(AND($I27="NOVO",MONTH($O27)=MONTH(BA$4)),AM27*(1+Macroindicadores!J$7),IF(AND($J27="PONTUAL",MONTH($O27)=MONTH(BA$4)),AM27*(1+Macroindicadores!J$7),IF(AND($J27="PONTUAL",MONTH($O27)&lt;MONTH(BA$4)),MIN($AS27:AZ27),IF(AND($I27="NOVO",MONTH($O27)&gt;MONTH(BA$4)),AM27,IF(MONTH($O27)&gt;MONTH(BA$4),AM27,IF(MONTH($O27)=MONTH(BA$4),AM27*(1+Macroindicadores!J$7),AZ27)))))))))</f>
        <v>7.5753608000000003</v>
      </c>
      <c r="BB27" s="117">
        <f>IF(ISBLANK(Z27),"",IF(ISBLANK($O27),AN27,IF($J27="ANUAL",AN27*(1+Macroindicadores!K$7),IF(AND($I27="NOVO",MONTH($O27)=MONTH(BB$4)),AN27*(1+Macroindicadores!K$7),IF(AND($J27="PONTUAL",MONTH($O27)=MONTH(BB$4)),AN27*(1+Macroindicadores!K$7),IF(AND($J27="PONTUAL",MONTH($O27)&lt;MONTH(BB$4)),MIN($AS27:BA27),IF(AND($I27="NOVO",MONTH($O27)&gt;MONTH(BB$4)),AN27,IF(MONTH($O27)&gt;MONTH(BB$4),AN27,IF(MONTH($O27)=MONTH(BB$4),AN27*(1+Macroindicadores!K$7),BA27)))))))))</f>
        <v>7.5753608000000003</v>
      </c>
      <c r="BC27" s="117">
        <f>IF(ISBLANK(AA27),"",IF(ISBLANK($O27),AO27,IF($J27="ANUAL",AO27*(1+Macroindicadores!L$7),IF(AND($I27="NOVO",MONTH($O27)=MONTH(BC$4)),AO27*(1+Macroindicadores!L$7),IF(AND($J27="PONTUAL",MONTH($O27)=MONTH(BC$4)),AO27*(1+Macroindicadores!L$7),IF(AND($J27="PONTUAL",MONTH($O27)&lt;MONTH(BC$4)),MIN($AS27:BB27),IF(AND($I27="NOVO",MONTH($O27)&gt;MONTH(BC$4)),AO27,IF(MONTH($O27)&gt;MONTH(BC$4),AO27,IF(MONTH($O27)=MONTH(BC$4),AO27*(1+Macroindicadores!L$7),BB27)))))))))</f>
        <v>7.5753608000000003</v>
      </c>
      <c r="BD27" s="117">
        <f>IF(ISBLANK(AB27),"",IF(ISBLANK($O27),AP27,IF($J27="ANUAL",AP27*(1+Macroindicadores!M$7),IF(AND($I27="NOVO",MONTH($O27)=MONTH(BD$4)),AP27*(1+Macroindicadores!M$7),IF(AND($J27="PONTUAL",MONTH($O27)=MONTH(BD$4)),AP27*(1+Macroindicadores!M$7),IF(AND($J27="PONTUAL",MONTH($O27)&lt;MONTH(BD$4)),MIN($AS27:BC27),IF(AND($I27="NOVO",MONTH($O27)&gt;MONTH(BD$4)),AP27,IF(MONTH($O27)&gt;MONTH(BD$4),AP27,IF(MONTH($O27)=MONTH(BD$4),AP27*(1+Macroindicadores!M$7),BC27)))))))))</f>
        <v>7.5753608000000003</v>
      </c>
      <c r="BE27" s="118">
        <f t="shared" si="36"/>
        <v>90.904329599999997</v>
      </c>
      <c r="BF27" s="108"/>
      <c r="BG27" s="117">
        <f>IF(ISBLANK(Q27),"",AS27/Macroindicadores!B$2)</f>
        <v>1.2883266666666668</v>
      </c>
      <c r="BH27" s="117">
        <f>IF(ISBLANK(R27),"",AT27/Macroindicadores!C$2)</f>
        <v>1.2883266666666668</v>
      </c>
      <c r="BI27" s="117">
        <f>IF(ISBLANK(S27),"",AU27/Macroindicadores!D$2)</f>
        <v>1.2883266666666668</v>
      </c>
      <c r="BJ27" s="117">
        <f>IF(ISBLANK(T27),"",AV27/Macroindicadores!E$2)</f>
        <v>1.2883266666666668</v>
      </c>
      <c r="BK27" s="117">
        <f>IF(ISBLANK(U27),"",AW27/Macroindicadores!F$2)</f>
        <v>1.2883266666666668</v>
      </c>
      <c r="BL27" s="117">
        <f>IF(ISBLANK(V27),"",AX27/Macroindicadores!G$2)</f>
        <v>1.2883266666666668</v>
      </c>
      <c r="BM27" s="117">
        <f>IF(ISBLANK(W27),"",AY27/Macroindicadores!H$2)</f>
        <v>1.2883266666666668</v>
      </c>
      <c r="BN27" s="117">
        <f>IF(ISBLANK(X27),"",AZ27/Macroindicadores!I$2)</f>
        <v>1.2883266666666668</v>
      </c>
      <c r="BO27" s="117">
        <f>IF(ISBLANK(Y27),"",BA27/Macroindicadores!J$2)</f>
        <v>1.2883266666666668</v>
      </c>
      <c r="BP27" s="117">
        <f>IF(ISBLANK(Z27),"",BB27/Macroindicadores!K$2)</f>
        <v>1.2883266666666668</v>
      </c>
      <c r="BQ27" s="117">
        <f>IF(ISBLANK(AA27),"",BC27/Macroindicadores!L$2)</f>
        <v>1.2883266666666668</v>
      </c>
      <c r="BR27" s="117">
        <f>IF(ISBLANK(AB27),"",BD27/Macroindicadores!M$2)</f>
        <v>1.2883266666666668</v>
      </c>
      <c r="BS27" s="118">
        <f>IF(AND(ISBLANK($Q27),ISBLANK($R27),ISBLANK($S27),ISBLANK($T27),ISBLANK($U27),ISBLANK($V27),ISBLANK($W27),ISBLANK($X27),ISBLANK($Y27),ISBLANK($Z27),ISBLANK($AA27),ISBLANK($AB27)),"",SUM(BG27:BR27))</f>
        <v>15.459919999999999</v>
      </c>
      <c r="BT27" s="25" t="str">
        <f>IF(ISBLANK($L27),"",_xlfn.XLOOKUP($L27,'CENTRO CUSTO'!$A:$A,'CENTRO CUSTO'!$E:$E,FALSE,0))</f>
        <v>Custo Fixo</v>
      </c>
    </row>
    <row r="28" spans="1:72">
      <c r="A28" s="9" t="str">
        <f t="shared" si="40"/>
        <v>Budget</v>
      </c>
      <c r="B28" s="9">
        <f t="shared" si="31"/>
        <v>2026</v>
      </c>
      <c r="C28" s="111" t="str">
        <f>IF(ISBLANK($L28),"",_xlfn.XLOOKUP($L28,'CENTRO CUSTO'!$A:$A,'CENTRO CUSTO'!F:F,FALSE,0))</f>
        <v>Martini Meat</v>
      </c>
      <c r="D28" s="111" t="str">
        <f>IF(ISBLANK($L28),"",_xlfn.XLOOKUP($L28,'CENTRO CUSTO'!$A:$A,'CENTRO CUSTO'!G:G,FALSE,0))</f>
        <v>Paranaguá</v>
      </c>
      <c r="E28" s="111" t="str">
        <f>IF(ISBLANK($L28),"",_xlfn.XLOOKUP($L28,'CENTRO CUSTO'!$A:$A,'CENTRO CUSTO'!H:H,FALSE,0))</f>
        <v>Carga Geral</v>
      </c>
      <c r="F28" s="112" t="s">
        <v>99</v>
      </c>
      <c r="G28" s="112" t="s">
        <v>75</v>
      </c>
      <c r="H28" s="112" t="s">
        <v>100</v>
      </c>
      <c r="I28" s="113" t="s">
        <v>77</v>
      </c>
      <c r="J28" s="113" t="s">
        <v>78</v>
      </c>
      <c r="K28" s="113" t="s">
        <v>79</v>
      </c>
      <c r="L28" s="113" t="s">
        <v>12</v>
      </c>
      <c r="M28" s="111" t="str">
        <f>IF(ISBLANK($L28),"",_xlfn.XLOOKUP($L28,'CENTRO CUSTO'!$A:$A,'CENTRO CUSTO'!D:D,FALSE,0))</f>
        <v>Alexandre Ayabe</v>
      </c>
      <c r="N28" s="113" t="s">
        <v>101</v>
      </c>
      <c r="O28" s="114"/>
      <c r="P28" s="113" t="s">
        <v>88</v>
      </c>
      <c r="Q28" s="115">
        <f>55214*Rateio!$E$65/12</f>
        <v>322.08166666666671</v>
      </c>
      <c r="R28" s="115">
        <f>55214*Rateio!$E$65/12</f>
        <v>322.08166666666671</v>
      </c>
      <c r="S28" s="115">
        <f>55214*Rateio!$E$65/12</f>
        <v>322.08166666666671</v>
      </c>
      <c r="T28" s="115">
        <f>55214*Rateio!$E$65/12</f>
        <v>322.08166666666671</v>
      </c>
      <c r="U28" s="115">
        <f>55214*Rateio!$E$65/12</f>
        <v>322.08166666666671</v>
      </c>
      <c r="V28" s="115">
        <f>55214*Rateio!$E$65/12</f>
        <v>322.08166666666671</v>
      </c>
      <c r="W28" s="115">
        <f>55214*Rateio!$E$65/12</f>
        <v>322.08166666666671</v>
      </c>
      <c r="X28" s="115">
        <f>55214*Rateio!$E$65/12</f>
        <v>322.08166666666671</v>
      </c>
      <c r="Y28" s="115">
        <f>55214*Rateio!$E$65/12</f>
        <v>322.08166666666671</v>
      </c>
      <c r="Z28" s="115">
        <f>55214*Rateio!$E$65/12</f>
        <v>322.08166666666671</v>
      </c>
      <c r="AA28" s="115">
        <f>55214*Rateio!$E$65/12</f>
        <v>322.08166666666671</v>
      </c>
      <c r="AB28" s="115">
        <f>55214*Rateio!$E$65/12</f>
        <v>322.08166666666671</v>
      </c>
      <c r="AC28" s="116">
        <f t="shared" si="41"/>
        <v>3864.9800000000014</v>
      </c>
      <c r="AD28" s="108"/>
      <c r="AE28" s="117">
        <f>IF(ISBLANK(Q28),"",IF($P28="BRL",Q28,Q28*Macroindicadores!B$2)/1000)</f>
        <v>1.8938402000000001</v>
      </c>
      <c r="AF28" s="117">
        <f>IF(ISBLANK(R28),"",IF($P28="BRL",R28,R28*Macroindicadores!C$2)/1000)</f>
        <v>1.8938402000000001</v>
      </c>
      <c r="AG28" s="117">
        <f>IF(ISBLANK(S28),"",IF($P28="BRL",S28,S28*Macroindicadores!D$2)/1000)</f>
        <v>1.8938402000000001</v>
      </c>
      <c r="AH28" s="117">
        <f>IF(ISBLANK(T28),"",IF($P28="BRL",T28,T28*Macroindicadores!E$2)/1000)</f>
        <v>1.8938402000000001</v>
      </c>
      <c r="AI28" s="117">
        <f>IF(ISBLANK(U28),"",IF($P28="BRL",U28,U28*Macroindicadores!F$2)/1000)</f>
        <v>1.8938402000000001</v>
      </c>
      <c r="AJ28" s="117">
        <f>IF(ISBLANK(V28),"",IF($P28="BRL",V28,V28*Macroindicadores!G$2)/1000)</f>
        <v>1.8938402000000001</v>
      </c>
      <c r="AK28" s="117">
        <f>IF(ISBLANK(W28),"",IF($P28="BRL",W28,W28*Macroindicadores!H$2)/1000)</f>
        <v>1.8938402000000001</v>
      </c>
      <c r="AL28" s="117">
        <f>IF(ISBLANK(X28),"",IF($P28="BRL",X28,X28*Macroindicadores!I$2)/1000)</f>
        <v>1.8938402000000001</v>
      </c>
      <c r="AM28" s="117">
        <f>IF(ISBLANK(Y28),"",IF($P28="BRL",Y28,Y28*Macroindicadores!J$2)/1000)</f>
        <v>1.8938402000000001</v>
      </c>
      <c r="AN28" s="117">
        <f>IF(ISBLANK(Z28),"",IF($P28="BRL",Z28,Z28*Macroindicadores!K$2)/1000)</f>
        <v>1.8938402000000001</v>
      </c>
      <c r="AO28" s="117">
        <f>IF(ISBLANK(AA28),"",IF($P28="BRL",AA28,AA28*Macroindicadores!L$2)/1000)</f>
        <v>1.8938402000000001</v>
      </c>
      <c r="AP28" s="117">
        <f>IF(ISBLANK(AB28),"",IF($P28="BRL",AB28,AB28*Macroindicadores!M$2)/1000)</f>
        <v>1.8938402000000001</v>
      </c>
      <c r="AQ28" s="118">
        <f t="shared" si="35"/>
        <v>22.726082399999999</v>
      </c>
      <c r="AR28" s="108"/>
      <c r="AS28" s="117">
        <f>IF(ISBLANK(Q28),"",IF(ISBLANK($O28),AE28,IF($J28="ANUAL",AE28*(1+Macroindicadores!B$7),IF(AND($I28="NOVO",MONTH($O28)=MONTH(AS$4)),AE28*(1+Macroindicadores!B$7),IF(AND($J28="PONTUAL",MONTH($O28)=MONTH(AS$4)),AE28*(1+Macroindicadores!B$7),IF(AND($J28="PONTUAL",MONTH($O28)&lt;MONTH(AS$4)),MIN(AR28:$AS28),IF(AND($I28="NOVO",MONTH($O28)&gt;MONTH(AS$4)),AE28,IF(MONTH($O28)&gt;MONTH(AS$4),AE28,IF(MONTH($O28)=MONTH(AS$4),AE28*(1+Macroindicadores!B$7),AR28)))))))))</f>
        <v>1.8938402000000001</v>
      </c>
      <c r="AT28" s="117">
        <f>IF(ISBLANK(R28),"",IF(ISBLANK($O28),AF28,IF($J28="ANUAL",AF28*(1+Macroindicadores!C$7),IF(AND($I28="NOVO",MONTH($O28)=MONTH(AT$4)),AF28*(1+Macroindicadores!C$7),IF(AND($J28="PONTUAL",MONTH($O28)=MONTH(AT$4)),AF28*(1+Macroindicadores!C$7),IF(AND($J28="PONTUAL",MONTH($O28)&lt;MONTH(AT$4)),MIN($AS28:AS28),IF(AND($I28="NOVO",MONTH($O28)&gt;MONTH(AT$4)),AF28,IF(MONTH($O28)&gt;MONTH(AT$4),AF28,IF(MONTH($O28)=MONTH(AT$4),AF28*(1+Macroindicadores!C$7),AS28)))))))))</f>
        <v>1.8938402000000001</v>
      </c>
      <c r="AU28" s="117">
        <f>IF(ISBLANK(S28),"",IF(ISBLANK($O28),AG28,IF($J28="ANUAL",AG28*(1+Macroindicadores!D$7),IF(AND($I28="NOVO",MONTH($O28)=MONTH(AU$4)),AG28*(1+Macroindicadores!D$7),IF(AND($J28="PONTUAL",MONTH($O28)=MONTH(AU$4)),AG28*(1+Macroindicadores!D$7),IF(AND($J28="PONTUAL",MONTH($O28)&lt;MONTH(AU$4)),MIN($AS28:AT28),IF(AND($I28="NOVO",MONTH($O28)&gt;MONTH(AU$4)),AG28,IF(MONTH($O28)&gt;MONTH(AU$4),AG28,IF(MONTH($O28)=MONTH(AU$4),AG28*(1+Macroindicadores!D$7),AT28)))))))))</f>
        <v>1.8938402000000001</v>
      </c>
      <c r="AV28" s="117">
        <f>IF(ISBLANK(T28),"",IF(ISBLANK($O28),AH28,IF($J28="ANUAL",AH28*(1+Macroindicadores!E$7),IF(AND($I28="NOVO",MONTH($O28)=MONTH(AV$4)),AH28*(1+Macroindicadores!E$7),IF(AND($J28="PONTUAL",MONTH($O28)=MONTH(AV$4)),AH28*(1+Macroindicadores!E$7),IF(AND($J28="PONTUAL",MONTH($O28)&lt;MONTH(AV$4)),MIN($AS28:AU28),IF(AND($I28="NOVO",MONTH($O28)&gt;MONTH(AV$4)),AH28,IF(MONTH($O28)&gt;MONTH(AV$4),AH28,IF(MONTH($O28)=MONTH(AV$4),AH28*(1+Macroindicadores!E$7),AU28)))))))))</f>
        <v>1.8938402000000001</v>
      </c>
      <c r="AW28" s="117">
        <f>IF(ISBLANK(U28),"",IF(ISBLANK($O28),AI28,IF($J28="ANUAL",AI28*(1+Macroindicadores!F$7),IF(AND($I28="NOVO",MONTH($O28)=MONTH(AW$4)),AI28*(1+Macroindicadores!F$7),IF(AND($J28="PONTUAL",MONTH($O28)=MONTH(AW$4)),AI28*(1+Macroindicadores!F$7),IF(AND($J28="PONTUAL",MONTH($O28)&lt;MONTH(AW$4)),MIN($AS28:AV28),IF(AND($I28="NOVO",MONTH($O28)&gt;MONTH(AW$4)),AI28,IF(MONTH($O28)&gt;MONTH(AW$4),AI28,IF(MONTH($O28)=MONTH(AW$4),AI28*(1+Macroindicadores!F$7),AV28)))))))))</f>
        <v>1.8938402000000001</v>
      </c>
      <c r="AX28" s="117">
        <f>IF(ISBLANK(V28),"",IF(ISBLANK($O28),AJ28,IF($J28="ANUAL",AJ28*(1+Macroindicadores!G$7),IF(AND($I28="NOVO",MONTH($O28)=MONTH(AX$4)),AJ28*(1+Macroindicadores!G$7),IF(AND($J28="PONTUAL",MONTH($O28)=MONTH(AX$4)),AJ28*(1+Macroindicadores!G$7),IF(AND($J28="PONTUAL",MONTH($O28)&lt;MONTH(AX$4)),MIN($AS28:AW28),IF(AND($I28="NOVO",MONTH($O28)&gt;MONTH(AX$4)),AJ28,IF(MONTH($O28)&gt;MONTH(AX$4),AJ28,IF(MONTH($O28)=MONTH(AX$4),AJ28*(1+Macroindicadores!G$7),AW28)))))))))</f>
        <v>1.8938402000000001</v>
      </c>
      <c r="AY28" s="117">
        <f>IF(ISBLANK(W28),"",IF(ISBLANK($O28),AK28,IF($J28="ANUAL",AK28*(1+Macroindicadores!H$7),IF(AND($I28="NOVO",MONTH($O28)=MONTH(AY$4)),AK28*(1+Macroindicadores!H$7),IF(AND($J28="PONTUAL",MONTH($O28)=MONTH(AY$4)),AK28*(1+Macroindicadores!H$7),IF(AND($J28="PONTUAL",MONTH($O28)&lt;MONTH(AY$4)),MIN($AS28:AX28),IF(AND($I28="NOVO",MONTH($O28)&gt;MONTH(AY$4)),AK28,IF(MONTH($O28)&gt;MONTH(AY$4),AK28,IF(MONTH($O28)=MONTH(AY$4),AK28*(1+Macroindicadores!H$7),AX28)))))))))</f>
        <v>1.8938402000000001</v>
      </c>
      <c r="AZ28" s="117">
        <f>IF(ISBLANK(X28),"",IF(ISBLANK($O28),AL28,IF($J28="ANUAL",AL28*(1+Macroindicadores!I$7),IF(AND($I28="NOVO",MONTH($O28)=MONTH(AZ$4)),AL28*(1+Macroindicadores!I$7),IF(AND($J28="PONTUAL",MONTH($O28)=MONTH(AZ$4)),AL28*(1+Macroindicadores!I$7),IF(AND($J28="PONTUAL",MONTH($O28)&lt;MONTH(AZ$4)),MIN($AS28:AY28),IF(AND($I28="NOVO",MONTH($O28)&gt;MONTH(AZ$4)),AL28,IF(MONTH($O28)&gt;MONTH(AZ$4),AL28,IF(MONTH($O28)=MONTH(AZ$4),AL28*(1+Macroindicadores!I$7),AY28)))))))))</f>
        <v>1.8938402000000001</v>
      </c>
      <c r="BA28" s="117">
        <f>IF(ISBLANK(Y28),"",IF(ISBLANK($O28),AM28,IF($J28="ANUAL",AM28*(1+Macroindicadores!J$7),IF(AND($I28="NOVO",MONTH($O28)=MONTH(BA$4)),AM28*(1+Macroindicadores!J$7),IF(AND($J28="PONTUAL",MONTH($O28)=MONTH(BA$4)),AM28*(1+Macroindicadores!J$7),IF(AND($J28="PONTUAL",MONTH($O28)&lt;MONTH(BA$4)),MIN($AS28:AZ28),IF(AND($I28="NOVO",MONTH($O28)&gt;MONTH(BA$4)),AM28,IF(MONTH($O28)&gt;MONTH(BA$4),AM28,IF(MONTH($O28)=MONTH(BA$4),AM28*(1+Macroindicadores!J$7),AZ28)))))))))</f>
        <v>1.8938402000000001</v>
      </c>
      <c r="BB28" s="117">
        <f>IF(ISBLANK(Z28),"",IF(ISBLANK($O28),AN28,IF($J28="ANUAL",AN28*(1+Macroindicadores!K$7),IF(AND($I28="NOVO",MONTH($O28)=MONTH(BB$4)),AN28*(1+Macroindicadores!K$7),IF(AND($J28="PONTUAL",MONTH($O28)=MONTH(BB$4)),AN28*(1+Macroindicadores!K$7),IF(AND($J28="PONTUAL",MONTH($O28)&lt;MONTH(BB$4)),MIN($AS28:BA28),IF(AND($I28="NOVO",MONTH($O28)&gt;MONTH(BB$4)),AN28,IF(MONTH($O28)&gt;MONTH(BB$4),AN28,IF(MONTH($O28)=MONTH(BB$4),AN28*(1+Macroindicadores!K$7),BA28)))))))))</f>
        <v>1.8938402000000001</v>
      </c>
      <c r="BC28" s="117">
        <f>IF(ISBLANK(AA28),"",IF(ISBLANK($O28),AO28,IF($J28="ANUAL",AO28*(1+Macroindicadores!L$7),IF(AND($I28="NOVO",MONTH($O28)=MONTH(BC$4)),AO28*(1+Macroindicadores!L$7),IF(AND($J28="PONTUAL",MONTH($O28)=MONTH(BC$4)),AO28*(1+Macroindicadores!L$7),IF(AND($J28="PONTUAL",MONTH($O28)&lt;MONTH(BC$4)),MIN($AS28:BB28),IF(AND($I28="NOVO",MONTH($O28)&gt;MONTH(BC$4)),AO28,IF(MONTH($O28)&gt;MONTH(BC$4),AO28,IF(MONTH($O28)=MONTH(BC$4),AO28*(1+Macroindicadores!L$7),BB28)))))))))</f>
        <v>1.8938402000000001</v>
      </c>
      <c r="BD28" s="117">
        <f>IF(ISBLANK(AB28),"",IF(ISBLANK($O28),AP28,IF($J28="ANUAL",AP28*(1+Macroindicadores!M$7),IF(AND($I28="NOVO",MONTH($O28)=MONTH(BD$4)),AP28*(1+Macroindicadores!M$7),IF(AND($J28="PONTUAL",MONTH($O28)=MONTH(BD$4)),AP28*(1+Macroindicadores!M$7),IF(AND($J28="PONTUAL",MONTH($O28)&lt;MONTH(BD$4)),MIN($AS28:BC28),IF(AND($I28="NOVO",MONTH($O28)&gt;MONTH(BD$4)),AP28,IF(MONTH($O28)&gt;MONTH(BD$4),AP28,IF(MONTH($O28)=MONTH(BD$4),AP28*(1+Macroindicadores!M$7),BC28)))))))))</f>
        <v>1.8938402000000001</v>
      </c>
      <c r="BE28" s="118">
        <f t="shared" si="36"/>
        <v>22.726082399999999</v>
      </c>
      <c r="BF28" s="108"/>
      <c r="BG28" s="117">
        <f>IF(ISBLANK(Q28),"",AS28/Macroindicadores!B$2)</f>
        <v>0.32208166666666671</v>
      </c>
      <c r="BH28" s="117">
        <f>IF(ISBLANK(R28),"",AT28/Macroindicadores!C$2)</f>
        <v>0.32208166666666671</v>
      </c>
      <c r="BI28" s="117">
        <f>IF(ISBLANK(S28),"",AU28/Macroindicadores!D$2)</f>
        <v>0.32208166666666671</v>
      </c>
      <c r="BJ28" s="117">
        <f>IF(ISBLANK(T28),"",AV28/Macroindicadores!E$2)</f>
        <v>0.32208166666666671</v>
      </c>
      <c r="BK28" s="117">
        <f>IF(ISBLANK(U28),"",AW28/Macroindicadores!F$2)</f>
        <v>0.32208166666666671</v>
      </c>
      <c r="BL28" s="117">
        <f>IF(ISBLANK(V28),"",AX28/Macroindicadores!G$2)</f>
        <v>0.32208166666666671</v>
      </c>
      <c r="BM28" s="117">
        <f>IF(ISBLANK(W28),"",AY28/Macroindicadores!H$2)</f>
        <v>0.32208166666666671</v>
      </c>
      <c r="BN28" s="117">
        <f>IF(ISBLANK(X28),"",AZ28/Macroindicadores!I$2)</f>
        <v>0.32208166666666671</v>
      </c>
      <c r="BO28" s="117">
        <f>IF(ISBLANK(Y28),"",BA28/Macroindicadores!J$2)</f>
        <v>0.32208166666666671</v>
      </c>
      <c r="BP28" s="117">
        <f>IF(ISBLANK(Z28),"",BB28/Macroindicadores!K$2)</f>
        <v>0.32208166666666671</v>
      </c>
      <c r="BQ28" s="117">
        <f>IF(ISBLANK(AA28),"",BC28/Macroindicadores!L$2)</f>
        <v>0.32208166666666671</v>
      </c>
      <c r="BR28" s="117">
        <f>IF(ISBLANK(AB28),"",BD28/Macroindicadores!M$2)</f>
        <v>0.32208166666666671</v>
      </c>
      <c r="BS28" s="118">
        <f>IF(AND(ISBLANK($Q28),ISBLANK($R28),ISBLANK($S28),ISBLANK($T28),ISBLANK($U28),ISBLANK($V28),ISBLANK($W28),ISBLANK($X28),ISBLANK($Y28),ISBLANK($Z28),ISBLANK($AA28),ISBLANK($AB28)),"",SUM(BG28:BR28))</f>
        <v>3.8649799999999996</v>
      </c>
      <c r="BT28" s="25" t="str">
        <f>IF(ISBLANK($L28),"",_xlfn.XLOOKUP($L28,'CENTRO CUSTO'!$A:$A,'CENTRO CUSTO'!$E:$E,FALSE,0))</f>
        <v>Custo Fixo</v>
      </c>
    </row>
    <row r="29" spans="1:72">
      <c r="A29" s="9" t="str">
        <f t="shared" si="40"/>
        <v>Budget</v>
      </c>
      <c r="B29" s="9">
        <f t="shared" si="31"/>
        <v>2026</v>
      </c>
      <c r="C29" s="111" t="str">
        <f>IF(ISBLANK($L29),"",_xlfn.XLOOKUP($L29,'CENTRO CUSTO'!$A:$A,'CENTRO CUSTO'!F:F,FALSE,0))</f>
        <v>Martini Meat</v>
      </c>
      <c r="D29" s="111" t="str">
        <f>IF(ISBLANK($L29),"",_xlfn.XLOOKUP($L29,'CENTRO CUSTO'!$A:$A,'CENTRO CUSTO'!G:G,FALSE,0))</f>
        <v>Itajaí</v>
      </c>
      <c r="E29" s="111" t="str">
        <f>IF(ISBLANK($L29),"",_xlfn.XLOOKUP($L29,'CENTRO CUSTO'!$A:$A,'CENTRO CUSTO'!H:H,FALSE,0))</f>
        <v>Frigorífico</v>
      </c>
      <c r="F29" s="112" t="s">
        <v>99</v>
      </c>
      <c r="G29" s="112" t="s">
        <v>75</v>
      </c>
      <c r="H29" s="112" t="s">
        <v>100</v>
      </c>
      <c r="I29" s="113" t="s">
        <v>77</v>
      </c>
      <c r="J29" s="113" t="s">
        <v>78</v>
      </c>
      <c r="K29" s="113" t="s">
        <v>79</v>
      </c>
      <c r="L29" s="113" t="s">
        <v>27</v>
      </c>
      <c r="M29" s="111" t="str">
        <f>IF(ISBLANK($L29),"",_xlfn.XLOOKUP($L29,'CENTRO CUSTO'!$A:$A,'CENTRO CUSTO'!D:D,FALSE,0))</f>
        <v>Alexandre Ayabe</v>
      </c>
      <c r="N29" s="113" t="s">
        <v>101</v>
      </c>
      <c r="O29" s="114"/>
      <c r="P29" s="113" t="s">
        <v>88</v>
      </c>
      <c r="Q29" s="115">
        <f>55214*Rateio!$E$73/12</f>
        <v>230.05833333333337</v>
      </c>
      <c r="R29" s="115">
        <f>55214*Rateio!$E$73/12</f>
        <v>230.05833333333337</v>
      </c>
      <c r="S29" s="115">
        <f>55214*Rateio!$E$73/12</f>
        <v>230.05833333333337</v>
      </c>
      <c r="T29" s="115">
        <f>55214*Rateio!$E$73/12</f>
        <v>230.05833333333337</v>
      </c>
      <c r="U29" s="115">
        <f>55214*Rateio!$E$73/12</f>
        <v>230.05833333333337</v>
      </c>
      <c r="V29" s="115">
        <f>55214*Rateio!$E$73/12</f>
        <v>230.05833333333337</v>
      </c>
      <c r="W29" s="115">
        <f>55214*Rateio!$E$73/12</f>
        <v>230.05833333333337</v>
      </c>
      <c r="X29" s="115">
        <f>55214*Rateio!$E$73/12</f>
        <v>230.05833333333337</v>
      </c>
      <c r="Y29" s="115">
        <f>55214*Rateio!$E$73/12</f>
        <v>230.05833333333337</v>
      </c>
      <c r="Z29" s="115">
        <f>55214*Rateio!$E$73/12</f>
        <v>230.05833333333337</v>
      </c>
      <c r="AA29" s="115">
        <f>55214*Rateio!$E$73/12</f>
        <v>230.05833333333337</v>
      </c>
      <c r="AB29" s="115">
        <f>55214*Rateio!$E$73/12</f>
        <v>230.05833333333337</v>
      </c>
      <c r="AC29" s="116">
        <f t="shared" si="41"/>
        <v>2760.7000000000003</v>
      </c>
      <c r="AD29" s="108"/>
      <c r="AE29" s="117">
        <f>IF(ISBLANK(Q29),"",IF($P29="BRL",Q29,Q29*Macroindicadores!B$2)/1000)</f>
        <v>1.3527430000000003</v>
      </c>
      <c r="AF29" s="117">
        <f>IF(ISBLANK(R29),"",IF($P29="BRL",R29,R29*Macroindicadores!C$2)/1000)</f>
        <v>1.3527430000000003</v>
      </c>
      <c r="AG29" s="117">
        <f>IF(ISBLANK(S29),"",IF($P29="BRL",S29,S29*Macroindicadores!D$2)/1000)</f>
        <v>1.3527430000000003</v>
      </c>
      <c r="AH29" s="117">
        <f>IF(ISBLANK(T29),"",IF($P29="BRL",T29,T29*Macroindicadores!E$2)/1000)</f>
        <v>1.3527430000000003</v>
      </c>
      <c r="AI29" s="117">
        <f>IF(ISBLANK(U29),"",IF($P29="BRL",U29,U29*Macroindicadores!F$2)/1000)</f>
        <v>1.3527430000000003</v>
      </c>
      <c r="AJ29" s="117">
        <f>IF(ISBLANK(V29),"",IF($P29="BRL",V29,V29*Macroindicadores!G$2)/1000)</f>
        <v>1.3527430000000003</v>
      </c>
      <c r="AK29" s="117">
        <f>IF(ISBLANK(W29),"",IF($P29="BRL",W29,W29*Macroindicadores!H$2)/1000)</f>
        <v>1.3527430000000003</v>
      </c>
      <c r="AL29" s="117">
        <f>IF(ISBLANK(X29),"",IF($P29="BRL",X29,X29*Macroindicadores!I$2)/1000)</f>
        <v>1.3527430000000003</v>
      </c>
      <c r="AM29" s="117">
        <f>IF(ISBLANK(Y29),"",IF($P29="BRL",Y29,Y29*Macroindicadores!J$2)/1000)</f>
        <v>1.3527430000000003</v>
      </c>
      <c r="AN29" s="117">
        <f>IF(ISBLANK(Z29),"",IF($P29="BRL",Z29,Z29*Macroindicadores!K$2)/1000)</f>
        <v>1.3527430000000003</v>
      </c>
      <c r="AO29" s="117">
        <f>IF(ISBLANK(AA29),"",IF($P29="BRL",AA29,AA29*Macroindicadores!L$2)/1000)</f>
        <v>1.3527430000000003</v>
      </c>
      <c r="AP29" s="117">
        <f>IF(ISBLANK(AB29),"",IF($P29="BRL",AB29,AB29*Macroindicadores!M$2)/1000)</f>
        <v>1.3527430000000003</v>
      </c>
      <c r="AQ29" s="118">
        <f t="shared" si="35"/>
        <v>16.232916000000003</v>
      </c>
      <c r="AR29" s="108"/>
      <c r="AS29" s="117">
        <f>IF(ISBLANK(Q29),"",IF(ISBLANK($O29),AE29,IF($J29="ANUAL",AE29*(1+Macroindicadores!B$7),IF(AND($I29="NOVO",MONTH($O29)=MONTH(AS$4)),AE29*(1+Macroindicadores!B$7),IF(AND($J29="PONTUAL",MONTH($O29)=MONTH(AS$4)),AE29*(1+Macroindicadores!B$7),IF(AND($J29="PONTUAL",MONTH($O29)&lt;MONTH(AS$4)),MIN(AR29:$AS29),IF(AND($I29="NOVO",MONTH($O29)&gt;MONTH(AS$4)),AE29,IF(MONTH($O29)&gt;MONTH(AS$4),AE29,IF(MONTH($O29)=MONTH(AS$4),AE29*(1+Macroindicadores!B$7),AR29)))))))))</f>
        <v>1.3527430000000003</v>
      </c>
      <c r="AT29" s="117">
        <f>IF(ISBLANK(R29),"",IF(ISBLANK($O29),AF29,IF($J29="ANUAL",AF29*(1+Macroindicadores!C$7),IF(AND($I29="NOVO",MONTH($O29)=MONTH(AT$4)),AF29*(1+Macroindicadores!C$7),IF(AND($J29="PONTUAL",MONTH($O29)=MONTH(AT$4)),AF29*(1+Macroindicadores!C$7),IF(AND($J29="PONTUAL",MONTH($O29)&lt;MONTH(AT$4)),MIN($AS29:AS29),IF(AND($I29="NOVO",MONTH($O29)&gt;MONTH(AT$4)),AF29,IF(MONTH($O29)&gt;MONTH(AT$4),AF29,IF(MONTH($O29)=MONTH(AT$4),AF29*(1+Macroindicadores!C$7),AS29)))))))))</f>
        <v>1.3527430000000003</v>
      </c>
      <c r="AU29" s="117">
        <f>IF(ISBLANK(S29),"",IF(ISBLANK($O29),AG29,IF($J29="ANUAL",AG29*(1+Macroindicadores!D$7),IF(AND($I29="NOVO",MONTH($O29)=MONTH(AU$4)),AG29*(1+Macroindicadores!D$7),IF(AND($J29="PONTUAL",MONTH($O29)=MONTH(AU$4)),AG29*(1+Macroindicadores!D$7),IF(AND($J29="PONTUAL",MONTH($O29)&lt;MONTH(AU$4)),MIN($AS29:AT29),IF(AND($I29="NOVO",MONTH($O29)&gt;MONTH(AU$4)),AG29,IF(MONTH($O29)&gt;MONTH(AU$4),AG29,IF(MONTH($O29)=MONTH(AU$4),AG29*(1+Macroindicadores!D$7),AT29)))))))))</f>
        <v>1.3527430000000003</v>
      </c>
      <c r="AV29" s="117">
        <f>IF(ISBLANK(T29),"",IF(ISBLANK($O29),AH29,IF($J29="ANUAL",AH29*(1+Macroindicadores!E$7),IF(AND($I29="NOVO",MONTH($O29)=MONTH(AV$4)),AH29*(1+Macroindicadores!E$7),IF(AND($J29="PONTUAL",MONTH($O29)=MONTH(AV$4)),AH29*(1+Macroindicadores!E$7),IF(AND($J29="PONTUAL",MONTH($O29)&lt;MONTH(AV$4)),MIN($AS29:AU29),IF(AND($I29="NOVO",MONTH($O29)&gt;MONTH(AV$4)),AH29,IF(MONTH($O29)&gt;MONTH(AV$4),AH29,IF(MONTH($O29)=MONTH(AV$4),AH29*(1+Macroindicadores!E$7),AU29)))))))))</f>
        <v>1.3527430000000003</v>
      </c>
      <c r="AW29" s="117">
        <f>IF(ISBLANK(U29),"",IF(ISBLANK($O29),AI29,IF($J29="ANUAL",AI29*(1+Macroindicadores!F$7),IF(AND($I29="NOVO",MONTH($O29)=MONTH(AW$4)),AI29*(1+Macroindicadores!F$7),IF(AND($J29="PONTUAL",MONTH($O29)=MONTH(AW$4)),AI29*(1+Macroindicadores!F$7),IF(AND($J29="PONTUAL",MONTH($O29)&lt;MONTH(AW$4)),MIN($AS29:AV29),IF(AND($I29="NOVO",MONTH($O29)&gt;MONTH(AW$4)),AI29,IF(MONTH($O29)&gt;MONTH(AW$4),AI29,IF(MONTH($O29)=MONTH(AW$4),AI29*(1+Macroindicadores!F$7),AV29)))))))))</f>
        <v>1.3527430000000003</v>
      </c>
      <c r="AX29" s="117">
        <f>IF(ISBLANK(V29),"",IF(ISBLANK($O29),AJ29,IF($J29="ANUAL",AJ29*(1+Macroindicadores!G$7),IF(AND($I29="NOVO",MONTH($O29)=MONTH(AX$4)),AJ29*(1+Macroindicadores!G$7),IF(AND($J29="PONTUAL",MONTH($O29)=MONTH(AX$4)),AJ29*(1+Macroindicadores!G$7),IF(AND($J29="PONTUAL",MONTH($O29)&lt;MONTH(AX$4)),MIN($AS29:AW29),IF(AND($I29="NOVO",MONTH($O29)&gt;MONTH(AX$4)),AJ29,IF(MONTH($O29)&gt;MONTH(AX$4),AJ29,IF(MONTH($O29)=MONTH(AX$4),AJ29*(1+Macroindicadores!G$7),AW29)))))))))</f>
        <v>1.3527430000000003</v>
      </c>
      <c r="AY29" s="117">
        <f>IF(ISBLANK(W29),"",IF(ISBLANK($O29),AK29,IF($J29="ANUAL",AK29*(1+Macroindicadores!H$7),IF(AND($I29="NOVO",MONTH($O29)=MONTH(AY$4)),AK29*(1+Macroindicadores!H$7),IF(AND($J29="PONTUAL",MONTH($O29)=MONTH(AY$4)),AK29*(1+Macroindicadores!H$7),IF(AND($J29="PONTUAL",MONTH($O29)&lt;MONTH(AY$4)),MIN($AS29:AX29),IF(AND($I29="NOVO",MONTH($O29)&gt;MONTH(AY$4)),AK29,IF(MONTH($O29)&gt;MONTH(AY$4),AK29,IF(MONTH($O29)=MONTH(AY$4),AK29*(1+Macroindicadores!H$7),AX29)))))))))</f>
        <v>1.3527430000000003</v>
      </c>
      <c r="AZ29" s="117">
        <f>IF(ISBLANK(X29),"",IF(ISBLANK($O29),AL29,IF($J29="ANUAL",AL29*(1+Macroindicadores!I$7),IF(AND($I29="NOVO",MONTH($O29)=MONTH(AZ$4)),AL29*(1+Macroindicadores!I$7),IF(AND($J29="PONTUAL",MONTH($O29)=MONTH(AZ$4)),AL29*(1+Macroindicadores!I$7),IF(AND($J29="PONTUAL",MONTH($O29)&lt;MONTH(AZ$4)),MIN($AS29:AY29),IF(AND($I29="NOVO",MONTH($O29)&gt;MONTH(AZ$4)),AL29,IF(MONTH($O29)&gt;MONTH(AZ$4),AL29,IF(MONTH($O29)=MONTH(AZ$4),AL29*(1+Macroindicadores!I$7),AY29)))))))))</f>
        <v>1.3527430000000003</v>
      </c>
      <c r="BA29" s="117">
        <f>IF(ISBLANK(Y29),"",IF(ISBLANK($O29),AM29,IF($J29="ANUAL",AM29*(1+Macroindicadores!J$7),IF(AND($I29="NOVO",MONTH($O29)=MONTH(BA$4)),AM29*(1+Macroindicadores!J$7),IF(AND($J29="PONTUAL",MONTH($O29)=MONTH(BA$4)),AM29*(1+Macroindicadores!J$7),IF(AND($J29="PONTUAL",MONTH($O29)&lt;MONTH(BA$4)),MIN($AS29:AZ29),IF(AND($I29="NOVO",MONTH($O29)&gt;MONTH(BA$4)),AM29,IF(MONTH($O29)&gt;MONTH(BA$4),AM29,IF(MONTH($O29)=MONTH(BA$4),AM29*(1+Macroindicadores!J$7),AZ29)))))))))</f>
        <v>1.3527430000000003</v>
      </c>
      <c r="BB29" s="117">
        <f>IF(ISBLANK(Z29),"",IF(ISBLANK($O29),AN29,IF($J29="ANUAL",AN29*(1+Macroindicadores!K$7),IF(AND($I29="NOVO",MONTH($O29)=MONTH(BB$4)),AN29*(1+Macroindicadores!K$7),IF(AND($J29="PONTUAL",MONTH($O29)=MONTH(BB$4)),AN29*(1+Macroindicadores!K$7),IF(AND($J29="PONTUAL",MONTH($O29)&lt;MONTH(BB$4)),MIN($AS29:BA29),IF(AND($I29="NOVO",MONTH($O29)&gt;MONTH(BB$4)),AN29,IF(MONTH($O29)&gt;MONTH(BB$4),AN29,IF(MONTH($O29)=MONTH(BB$4),AN29*(1+Macroindicadores!K$7),BA29)))))))))</f>
        <v>1.3527430000000003</v>
      </c>
      <c r="BC29" s="117">
        <f>IF(ISBLANK(AA29),"",IF(ISBLANK($O29),AO29,IF($J29="ANUAL",AO29*(1+Macroindicadores!L$7),IF(AND($I29="NOVO",MONTH($O29)=MONTH(BC$4)),AO29*(1+Macroindicadores!L$7),IF(AND($J29="PONTUAL",MONTH($O29)=MONTH(BC$4)),AO29*(1+Macroindicadores!L$7),IF(AND($J29="PONTUAL",MONTH($O29)&lt;MONTH(BC$4)),MIN($AS29:BB29),IF(AND($I29="NOVO",MONTH($O29)&gt;MONTH(BC$4)),AO29,IF(MONTH($O29)&gt;MONTH(BC$4),AO29,IF(MONTH($O29)=MONTH(BC$4),AO29*(1+Macroindicadores!L$7),BB29)))))))))</f>
        <v>1.3527430000000003</v>
      </c>
      <c r="BD29" s="117">
        <f>IF(ISBLANK(AB29),"",IF(ISBLANK($O29),AP29,IF($J29="ANUAL",AP29*(1+Macroindicadores!M$7),IF(AND($I29="NOVO",MONTH($O29)=MONTH(BD$4)),AP29*(1+Macroindicadores!M$7),IF(AND($J29="PONTUAL",MONTH($O29)=MONTH(BD$4)),AP29*(1+Macroindicadores!M$7),IF(AND($J29="PONTUAL",MONTH($O29)&lt;MONTH(BD$4)),MIN($AS29:BC29),IF(AND($I29="NOVO",MONTH($O29)&gt;MONTH(BD$4)),AP29,IF(MONTH($O29)&gt;MONTH(BD$4),AP29,IF(MONTH($O29)=MONTH(BD$4),AP29*(1+Macroindicadores!M$7),BC29)))))))))</f>
        <v>1.3527430000000003</v>
      </c>
      <c r="BE29" s="118">
        <f t="shared" si="36"/>
        <v>16.232916000000003</v>
      </c>
      <c r="BF29" s="108"/>
      <c r="BG29" s="117">
        <f>IF(ISBLANK(Q29),"",AS29/Macroindicadores!B$2)</f>
        <v>0.23005833333333339</v>
      </c>
      <c r="BH29" s="117">
        <f>IF(ISBLANK(R29),"",AT29/Macroindicadores!C$2)</f>
        <v>0.23005833333333339</v>
      </c>
      <c r="BI29" s="117">
        <f>IF(ISBLANK(S29),"",AU29/Macroindicadores!D$2)</f>
        <v>0.23005833333333339</v>
      </c>
      <c r="BJ29" s="117">
        <f>IF(ISBLANK(T29),"",AV29/Macroindicadores!E$2)</f>
        <v>0.23005833333333339</v>
      </c>
      <c r="BK29" s="117">
        <f>IF(ISBLANK(U29),"",AW29/Macroindicadores!F$2)</f>
        <v>0.23005833333333339</v>
      </c>
      <c r="BL29" s="117">
        <f>IF(ISBLANK(V29),"",AX29/Macroindicadores!G$2)</f>
        <v>0.23005833333333339</v>
      </c>
      <c r="BM29" s="117">
        <f>IF(ISBLANK(W29),"",AY29/Macroindicadores!H$2)</f>
        <v>0.23005833333333339</v>
      </c>
      <c r="BN29" s="117">
        <f>IF(ISBLANK(X29),"",AZ29/Macroindicadores!I$2)</f>
        <v>0.23005833333333339</v>
      </c>
      <c r="BO29" s="117">
        <f>IF(ISBLANK(Y29),"",BA29/Macroindicadores!J$2)</f>
        <v>0.23005833333333339</v>
      </c>
      <c r="BP29" s="117">
        <f>IF(ISBLANK(Z29),"",BB29/Macroindicadores!K$2)</f>
        <v>0.23005833333333339</v>
      </c>
      <c r="BQ29" s="117">
        <f>IF(ISBLANK(AA29),"",BC29/Macroindicadores!L$2)</f>
        <v>0.23005833333333339</v>
      </c>
      <c r="BR29" s="117">
        <f>IF(ISBLANK(AB29),"",BD29/Macroindicadores!M$2)</f>
        <v>0.23005833333333339</v>
      </c>
      <c r="BS29" s="118">
        <f>IF(AND(ISBLANK($Q29),ISBLANK($R29),ISBLANK($S29),ISBLANK($T29),ISBLANK($U29),ISBLANK($V29),ISBLANK($W29),ISBLANK($X29),ISBLANK($Y29),ISBLANK($Z29),ISBLANK($AA29),ISBLANK($AB29)),"",SUM(BG29:BR29))</f>
        <v>2.7607000000000013</v>
      </c>
      <c r="BT29" s="25" t="str">
        <f>IF(ISBLANK($L29),"",_xlfn.XLOOKUP($L29,'CENTRO CUSTO'!$A:$A,'CENTRO CUSTO'!$E:$E,FALSE,0))</f>
        <v>Custo Fixo</v>
      </c>
    </row>
    <row r="30" spans="1:72">
      <c r="A30" s="9" t="str">
        <f t="shared" si="40"/>
        <v>Budget</v>
      </c>
      <c r="B30" s="9">
        <f t="shared" si="31"/>
        <v>2026</v>
      </c>
      <c r="C30" s="111" t="str">
        <f>IF(ISBLANK($L30),"",_xlfn.XLOOKUP($L30,'CENTRO CUSTO'!$A:$A,'CENTRO CUSTO'!F:F,FALSE,0))</f>
        <v>Martini Meat</v>
      </c>
      <c r="D30" s="111" t="str">
        <f>IF(ISBLANK($L30),"",_xlfn.XLOOKUP($L30,'CENTRO CUSTO'!$A:$A,'CENTRO CUSTO'!G:G,FALSE,0))</f>
        <v>Rio Grande</v>
      </c>
      <c r="E30" s="111" t="str">
        <f>IF(ISBLANK($L30),"",_xlfn.XLOOKUP($L30,'CENTRO CUSTO'!$A:$A,'CENTRO CUSTO'!H:H,FALSE,0))</f>
        <v>Frigorífico</v>
      </c>
      <c r="F30" s="112" t="s">
        <v>99</v>
      </c>
      <c r="G30" s="112" t="s">
        <v>75</v>
      </c>
      <c r="H30" s="112" t="s">
        <v>100</v>
      </c>
      <c r="I30" s="113" t="s">
        <v>77</v>
      </c>
      <c r="J30" s="113" t="s">
        <v>78</v>
      </c>
      <c r="K30" s="113" t="s">
        <v>79</v>
      </c>
      <c r="L30" s="113" t="s">
        <v>21</v>
      </c>
      <c r="M30" s="111" t="str">
        <f>IF(ISBLANK($L30),"",_xlfn.XLOOKUP($L30,'CENTRO CUSTO'!$A:$A,'CENTRO CUSTO'!D:D,FALSE,0))</f>
        <v>Alexandre Ayabe</v>
      </c>
      <c r="N30" s="113" t="s">
        <v>101</v>
      </c>
      <c r="O30" s="114"/>
      <c r="P30" s="113" t="s">
        <v>88</v>
      </c>
      <c r="Q30" s="115">
        <f>55214*Rateio!$E$69/12</f>
        <v>230.05833333333337</v>
      </c>
      <c r="R30" s="115">
        <f>55214*Rateio!$E$69/12</f>
        <v>230.05833333333337</v>
      </c>
      <c r="S30" s="115">
        <f>55214*Rateio!$E$69/12</f>
        <v>230.05833333333337</v>
      </c>
      <c r="T30" s="115">
        <f>55214*Rateio!$E$69/12</f>
        <v>230.05833333333337</v>
      </c>
      <c r="U30" s="115">
        <f>55214*Rateio!$E$69/12</f>
        <v>230.05833333333337</v>
      </c>
      <c r="V30" s="115">
        <f>55214*Rateio!$E$69/12</f>
        <v>230.05833333333337</v>
      </c>
      <c r="W30" s="115">
        <f>55214*Rateio!$E$69/12</f>
        <v>230.05833333333337</v>
      </c>
      <c r="X30" s="115">
        <f>55214*Rateio!$E$69/12</f>
        <v>230.05833333333337</v>
      </c>
      <c r="Y30" s="115">
        <f>55214*Rateio!$E$69/12</f>
        <v>230.05833333333337</v>
      </c>
      <c r="Z30" s="115">
        <f>55214*Rateio!$E$69/12</f>
        <v>230.05833333333337</v>
      </c>
      <c r="AA30" s="115">
        <f>55214*Rateio!$E$69/12</f>
        <v>230.05833333333337</v>
      </c>
      <c r="AB30" s="115">
        <f>55214*Rateio!$E$69/12</f>
        <v>230.05833333333337</v>
      </c>
      <c r="AC30" s="116">
        <f t="shared" si="41"/>
        <v>2760.7000000000003</v>
      </c>
      <c r="AD30" s="108"/>
      <c r="AE30" s="117">
        <f>IF(ISBLANK(Q30),"",IF($P30="BRL",Q30,Q30*Macroindicadores!B$2)/1000)</f>
        <v>1.3527430000000003</v>
      </c>
      <c r="AF30" s="117">
        <f>IF(ISBLANK(R30),"",IF($P30="BRL",R30,R30*Macroindicadores!C$2)/1000)</f>
        <v>1.3527430000000003</v>
      </c>
      <c r="AG30" s="117">
        <f>IF(ISBLANK(S30),"",IF($P30="BRL",S30,S30*Macroindicadores!D$2)/1000)</f>
        <v>1.3527430000000003</v>
      </c>
      <c r="AH30" s="117">
        <f>IF(ISBLANK(T30),"",IF($P30="BRL",T30,T30*Macroindicadores!E$2)/1000)</f>
        <v>1.3527430000000003</v>
      </c>
      <c r="AI30" s="117">
        <f>IF(ISBLANK(U30),"",IF($P30="BRL",U30,U30*Macroindicadores!F$2)/1000)</f>
        <v>1.3527430000000003</v>
      </c>
      <c r="AJ30" s="117">
        <f>IF(ISBLANK(V30),"",IF($P30="BRL",V30,V30*Macroindicadores!G$2)/1000)</f>
        <v>1.3527430000000003</v>
      </c>
      <c r="AK30" s="117">
        <f>IF(ISBLANK(W30),"",IF($P30="BRL",W30,W30*Macroindicadores!H$2)/1000)</f>
        <v>1.3527430000000003</v>
      </c>
      <c r="AL30" s="117">
        <f>IF(ISBLANK(X30),"",IF($P30="BRL",X30,X30*Macroindicadores!I$2)/1000)</f>
        <v>1.3527430000000003</v>
      </c>
      <c r="AM30" s="117">
        <f>IF(ISBLANK(Y30),"",IF($P30="BRL",Y30,Y30*Macroindicadores!J$2)/1000)</f>
        <v>1.3527430000000003</v>
      </c>
      <c r="AN30" s="117">
        <f>IF(ISBLANK(Z30),"",IF($P30="BRL",Z30,Z30*Macroindicadores!K$2)/1000)</f>
        <v>1.3527430000000003</v>
      </c>
      <c r="AO30" s="117">
        <f>IF(ISBLANK(AA30),"",IF($P30="BRL",AA30,AA30*Macroindicadores!L$2)/1000)</f>
        <v>1.3527430000000003</v>
      </c>
      <c r="AP30" s="117">
        <f>IF(ISBLANK(AB30),"",IF($P30="BRL",AB30,AB30*Macroindicadores!M$2)/1000)</f>
        <v>1.3527430000000003</v>
      </c>
      <c r="AQ30" s="118">
        <f t="shared" si="35"/>
        <v>16.232916000000003</v>
      </c>
      <c r="AR30" s="108"/>
      <c r="AS30" s="117">
        <f>IF(ISBLANK(Q30),"",IF(ISBLANK($O30),AE30,IF($J30="ANUAL",AE30*(1+Macroindicadores!B$7),IF(AND($I30="NOVO",MONTH($O30)=MONTH(AS$4)),AE30*(1+Macroindicadores!B$7),IF(AND($J30="PONTUAL",MONTH($O30)=MONTH(AS$4)),AE30*(1+Macroindicadores!B$7),IF(AND($J30="PONTUAL",MONTH($O30)&lt;MONTH(AS$4)),MIN(AR30:$AS30),IF(AND($I30="NOVO",MONTH($O30)&gt;MONTH(AS$4)),AE30,IF(MONTH($O30)&gt;MONTH(AS$4),AE30,IF(MONTH($O30)=MONTH(AS$4),AE30*(1+Macroindicadores!B$7),AR30)))))))))</f>
        <v>1.3527430000000003</v>
      </c>
      <c r="AT30" s="117">
        <f>IF(ISBLANK(R30),"",IF(ISBLANK($O30),AF30,IF($J30="ANUAL",AF30*(1+Macroindicadores!C$7),IF(AND($I30="NOVO",MONTH($O30)=MONTH(AT$4)),AF30*(1+Macroindicadores!C$7),IF(AND($J30="PONTUAL",MONTH($O30)=MONTH(AT$4)),AF30*(1+Macroindicadores!C$7),IF(AND($J30="PONTUAL",MONTH($O30)&lt;MONTH(AT$4)),MIN($AS30:AS30),IF(AND($I30="NOVO",MONTH($O30)&gt;MONTH(AT$4)),AF30,IF(MONTH($O30)&gt;MONTH(AT$4),AF30,IF(MONTH($O30)=MONTH(AT$4),AF30*(1+Macroindicadores!C$7),AS30)))))))))</f>
        <v>1.3527430000000003</v>
      </c>
      <c r="AU30" s="117">
        <f>IF(ISBLANK(S30),"",IF(ISBLANK($O30),AG30,IF($J30="ANUAL",AG30*(1+Macroindicadores!D$7),IF(AND($I30="NOVO",MONTH($O30)=MONTH(AU$4)),AG30*(1+Macroindicadores!D$7),IF(AND($J30="PONTUAL",MONTH($O30)=MONTH(AU$4)),AG30*(1+Macroindicadores!D$7),IF(AND($J30="PONTUAL",MONTH($O30)&lt;MONTH(AU$4)),MIN($AS30:AT30),IF(AND($I30="NOVO",MONTH($O30)&gt;MONTH(AU$4)),AG30,IF(MONTH($O30)&gt;MONTH(AU$4),AG30,IF(MONTH($O30)=MONTH(AU$4),AG30*(1+Macroindicadores!D$7),AT30)))))))))</f>
        <v>1.3527430000000003</v>
      </c>
      <c r="AV30" s="117">
        <f>IF(ISBLANK(T30),"",IF(ISBLANK($O30),AH30,IF($J30="ANUAL",AH30*(1+Macroindicadores!E$7),IF(AND($I30="NOVO",MONTH($O30)=MONTH(AV$4)),AH30*(1+Macroindicadores!E$7),IF(AND($J30="PONTUAL",MONTH($O30)=MONTH(AV$4)),AH30*(1+Macroindicadores!E$7),IF(AND($J30="PONTUAL",MONTH($O30)&lt;MONTH(AV$4)),MIN($AS30:AU30),IF(AND($I30="NOVO",MONTH($O30)&gt;MONTH(AV$4)),AH30,IF(MONTH($O30)&gt;MONTH(AV$4),AH30,IF(MONTH($O30)=MONTH(AV$4),AH30*(1+Macroindicadores!E$7),AU30)))))))))</f>
        <v>1.3527430000000003</v>
      </c>
      <c r="AW30" s="117">
        <f>IF(ISBLANK(U30),"",IF(ISBLANK($O30),AI30,IF($J30="ANUAL",AI30*(1+Macroindicadores!F$7),IF(AND($I30="NOVO",MONTH($O30)=MONTH(AW$4)),AI30*(1+Macroindicadores!F$7),IF(AND($J30="PONTUAL",MONTH($O30)=MONTH(AW$4)),AI30*(1+Macroindicadores!F$7),IF(AND($J30="PONTUAL",MONTH($O30)&lt;MONTH(AW$4)),MIN($AS30:AV30),IF(AND($I30="NOVO",MONTH($O30)&gt;MONTH(AW$4)),AI30,IF(MONTH($O30)&gt;MONTH(AW$4),AI30,IF(MONTH($O30)=MONTH(AW$4),AI30*(1+Macroindicadores!F$7),AV30)))))))))</f>
        <v>1.3527430000000003</v>
      </c>
      <c r="AX30" s="117">
        <f>IF(ISBLANK(V30),"",IF(ISBLANK($O30),AJ30,IF($J30="ANUAL",AJ30*(1+Macroindicadores!G$7),IF(AND($I30="NOVO",MONTH($O30)=MONTH(AX$4)),AJ30*(1+Macroindicadores!G$7),IF(AND($J30="PONTUAL",MONTH($O30)=MONTH(AX$4)),AJ30*(1+Macroindicadores!G$7),IF(AND($J30="PONTUAL",MONTH($O30)&lt;MONTH(AX$4)),MIN($AS30:AW30),IF(AND($I30="NOVO",MONTH($O30)&gt;MONTH(AX$4)),AJ30,IF(MONTH($O30)&gt;MONTH(AX$4),AJ30,IF(MONTH($O30)=MONTH(AX$4),AJ30*(1+Macroindicadores!G$7),AW30)))))))))</f>
        <v>1.3527430000000003</v>
      </c>
      <c r="AY30" s="117">
        <f>IF(ISBLANK(W30),"",IF(ISBLANK($O30),AK30,IF($J30="ANUAL",AK30*(1+Macroindicadores!H$7),IF(AND($I30="NOVO",MONTH($O30)=MONTH(AY$4)),AK30*(1+Macroindicadores!H$7),IF(AND($J30="PONTUAL",MONTH($O30)=MONTH(AY$4)),AK30*(1+Macroindicadores!H$7),IF(AND($J30="PONTUAL",MONTH($O30)&lt;MONTH(AY$4)),MIN($AS30:AX30),IF(AND($I30="NOVO",MONTH($O30)&gt;MONTH(AY$4)),AK30,IF(MONTH($O30)&gt;MONTH(AY$4),AK30,IF(MONTH($O30)=MONTH(AY$4),AK30*(1+Macroindicadores!H$7),AX30)))))))))</f>
        <v>1.3527430000000003</v>
      </c>
      <c r="AZ30" s="117">
        <f>IF(ISBLANK(X30),"",IF(ISBLANK($O30),AL30,IF($J30="ANUAL",AL30*(1+Macroindicadores!I$7),IF(AND($I30="NOVO",MONTH($O30)=MONTH(AZ$4)),AL30*(1+Macroindicadores!I$7),IF(AND($J30="PONTUAL",MONTH($O30)=MONTH(AZ$4)),AL30*(1+Macroindicadores!I$7),IF(AND($J30="PONTUAL",MONTH($O30)&lt;MONTH(AZ$4)),MIN($AS30:AY30),IF(AND($I30="NOVO",MONTH($O30)&gt;MONTH(AZ$4)),AL30,IF(MONTH($O30)&gt;MONTH(AZ$4),AL30,IF(MONTH($O30)=MONTH(AZ$4),AL30*(1+Macroindicadores!I$7),AY30)))))))))</f>
        <v>1.3527430000000003</v>
      </c>
      <c r="BA30" s="117">
        <f>IF(ISBLANK(Y30),"",IF(ISBLANK($O30),AM30,IF($J30="ANUAL",AM30*(1+Macroindicadores!J$7),IF(AND($I30="NOVO",MONTH($O30)=MONTH(BA$4)),AM30*(1+Macroindicadores!J$7),IF(AND($J30="PONTUAL",MONTH($O30)=MONTH(BA$4)),AM30*(1+Macroindicadores!J$7),IF(AND($J30="PONTUAL",MONTH($O30)&lt;MONTH(BA$4)),MIN($AS30:AZ30),IF(AND($I30="NOVO",MONTH($O30)&gt;MONTH(BA$4)),AM30,IF(MONTH($O30)&gt;MONTH(BA$4),AM30,IF(MONTH($O30)=MONTH(BA$4),AM30*(1+Macroindicadores!J$7),AZ30)))))))))</f>
        <v>1.3527430000000003</v>
      </c>
      <c r="BB30" s="117">
        <f>IF(ISBLANK(Z30),"",IF(ISBLANK($O30),AN30,IF($J30="ANUAL",AN30*(1+Macroindicadores!K$7),IF(AND($I30="NOVO",MONTH($O30)=MONTH(BB$4)),AN30*(1+Macroindicadores!K$7),IF(AND($J30="PONTUAL",MONTH($O30)=MONTH(BB$4)),AN30*(1+Macroindicadores!K$7),IF(AND($J30="PONTUAL",MONTH($O30)&lt;MONTH(BB$4)),MIN($AS30:BA30),IF(AND($I30="NOVO",MONTH($O30)&gt;MONTH(BB$4)),AN30,IF(MONTH($O30)&gt;MONTH(BB$4),AN30,IF(MONTH($O30)=MONTH(BB$4),AN30*(1+Macroindicadores!K$7),BA30)))))))))</f>
        <v>1.3527430000000003</v>
      </c>
      <c r="BC30" s="117">
        <f>IF(ISBLANK(AA30),"",IF(ISBLANK($O30),AO30,IF($J30="ANUAL",AO30*(1+Macroindicadores!L$7),IF(AND($I30="NOVO",MONTH($O30)=MONTH(BC$4)),AO30*(1+Macroindicadores!L$7),IF(AND($J30="PONTUAL",MONTH($O30)=MONTH(BC$4)),AO30*(1+Macroindicadores!L$7),IF(AND($J30="PONTUAL",MONTH($O30)&lt;MONTH(BC$4)),MIN($AS30:BB30),IF(AND($I30="NOVO",MONTH($O30)&gt;MONTH(BC$4)),AO30,IF(MONTH($O30)&gt;MONTH(BC$4),AO30,IF(MONTH($O30)=MONTH(BC$4),AO30*(1+Macroindicadores!L$7),BB30)))))))))</f>
        <v>1.3527430000000003</v>
      </c>
      <c r="BD30" s="117">
        <f>IF(ISBLANK(AB30),"",IF(ISBLANK($O30),AP30,IF($J30="ANUAL",AP30*(1+Macroindicadores!M$7),IF(AND($I30="NOVO",MONTH($O30)=MONTH(BD$4)),AP30*(1+Macroindicadores!M$7),IF(AND($J30="PONTUAL",MONTH($O30)=MONTH(BD$4)),AP30*(1+Macroindicadores!M$7),IF(AND($J30="PONTUAL",MONTH($O30)&lt;MONTH(BD$4)),MIN($AS30:BC30),IF(AND($I30="NOVO",MONTH($O30)&gt;MONTH(BD$4)),AP30,IF(MONTH($O30)&gt;MONTH(BD$4),AP30,IF(MONTH($O30)=MONTH(BD$4),AP30*(1+Macroindicadores!M$7),BC30)))))))))</f>
        <v>1.3527430000000003</v>
      </c>
      <c r="BE30" s="118">
        <f t="shared" si="36"/>
        <v>16.232916000000003</v>
      </c>
      <c r="BF30" s="108"/>
      <c r="BG30" s="117">
        <f>IF(ISBLANK(Q30),"",AS30/Macroindicadores!B$2)</f>
        <v>0.23005833333333339</v>
      </c>
      <c r="BH30" s="117">
        <f>IF(ISBLANK(R30),"",AT30/Macroindicadores!C$2)</f>
        <v>0.23005833333333339</v>
      </c>
      <c r="BI30" s="117">
        <f>IF(ISBLANK(S30),"",AU30/Macroindicadores!D$2)</f>
        <v>0.23005833333333339</v>
      </c>
      <c r="BJ30" s="117">
        <f>IF(ISBLANK(T30),"",AV30/Macroindicadores!E$2)</f>
        <v>0.23005833333333339</v>
      </c>
      <c r="BK30" s="117">
        <f>IF(ISBLANK(U30),"",AW30/Macroindicadores!F$2)</f>
        <v>0.23005833333333339</v>
      </c>
      <c r="BL30" s="117">
        <f>IF(ISBLANK(V30),"",AX30/Macroindicadores!G$2)</f>
        <v>0.23005833333333339</v>
      </c>
      <c r="BM30" s="117">
        <f>IF(ISBLANK(W30),"",AY30/Macroindicadores!H$2)</f>
        <v>0.23005833333333339</v>
      </c>
      <c r="BN30" s="117">
        <f>IF(ISBLANK(X30),"",AZ30/Macroindicadores!I$2)</f>
        <v>0.23005833333333339</v>
      </c>
      <c r="BO30" s="117">
        <f>IF(ISBLANK(Y30),"",BA30/Macroindicadores!J$2)</f>
        <v>0.23005833333333339</v>
      </c>
      <c r="BP30" s="117">
        <f>IF(ISBLANK(Z30),"",BB30/Macroindicadores!K$2)</f>
        <v>0.23005833333333339</v>
      </c>
      <c r="BQ30" s="117">
        <f>IF(ISBLANK(AA30),"",BC30/Macroindicadores!L$2)</f>
        <v>0.23005833333333339</v>
      </c>
      <c r="BR30" s="117">
        <f>IF(ISBLANK(AB30),"",BD30/Macroindicadores!M$2)</f>
        <v>0.23005833333333339</v>
      </c>
      <c r="BS30" s="118">
        <f>IF(AND(ISBLANK($Q30),ISBLANK($R30),ISBLANK($S30),ISBLANK($T30),ISBLANK($U30),ISBLANK($V30),ISBLANK($W30),ISBLANK($X30),ISBLANK($Y30),ISBLANK($Z30),ISBLANK($AA30),ISBLANK($AB30)),"",SUM(BG30:BR30))</f>
        <v>2.7607000000000013</v>
      </c>
      <c r="BT30" s="25" t="str">
        <f>IF(ISBLANK($L30),"",_xlfn.XLOOKUP($L30,'CENTRO CUSTO'!$A:$A,'CENTRO CUSTO'!$E:$E,FALSE,0))</f>
        <v>Custo Fixo</v>
      </c>
    </row>
    <row r="31" spans="1:72">
      <c r="A31" s="9" t="str">
        <f t="shared" si="40"/>
        <v>Budget</v>
      </c>
      <c r="B31" s="9">
        <f t="shared" si="31"/>
        <v>2026</v>
      </c>
      <c r="C31" s="111" t="str">
        <f>IF(ISBLANK($L31),"",_xlfn.XLOOKUP($L31,'CENTRO CUSTO'!$A:$A,'CENTRO CUSTO'!F:F,FALSE,0))</f>
        <v>Martini Meat</v>
      </c>
      <c r="D31" s="111" t="str">
        <f>IF(ISBLANK($L31),"",_xlfn.XLOOKUP($L31,'CENTRO CUSTO'!$A:$A,'CENTRO CUSTO'!G:G,FALSE,0))</f>
        <v>Ponta Grossa</v>
      </c>
      <c r="E31" s="111" t="str">
        <f>IF(ISBLANK($L31),"",_xlfn.XLOOKUP($L31,'CENTRO CUSTO'!$A:$A,'CENTRO CUSTO'!H:H,FALSE,0))</f>
        <v>Carga Geral</v>
      </c>
      <c r="F31" s="112" t="s">
        <v>99</v>
      </c>
      <c r="G31" s="112" t="s">
        <v>75</v>
      </c>
      <c r="H31" s="112" t="s">
        <v>100</v>
      </c>
      <c r="I31" s="113" t="s">
        <v>77</v>
      </c>
      <c r="J31" s="113" t="s">
        <v>78</v>
      </c>
      <c r="K31" s="113" t="s">
        <v>79</v>
      </c>
      <c r="L31" s="113" t="s">
        <v>25</v>
      </c>
      <c r="M31" s="111" t="str">
        <f>IF(ISBLANK($L31),"",_xlfn.XLOOKUP($L31,'CENTRO CUSTO'!$A:$A,'CENTRO CUSTO'!D:D,FALSE,0))</f>
        <v>Alexandre Ayabe</v>
      </c>
      <c r="N31" s="113" t="s">
        <v>101</v>
      </c>
      <c r="O31" s="114"/>
      <c r="P31" s="113" t="s">
        <v>88</v>
      </c>
      <c r="Q31" s="115">
        <f>55214*Rateio!$E$72/12</f>
        <v>414.10500000000002</v>
      </c>
      <c r="R31" s="115">
        <f>55214*Rateio!$E$72/12</f>
        <v>414.10500000000002</v>
      </c>
      <c r="S31" s="115">
        <f>55214*Rateio!$E$72/12</f>
        <v>414.10500000000002</v>
      </c>
      <c r="T31" s="115">
        <f>55214*Rateio!$E$72/12</f>
        <v>414.10500000000002</v>
      </c>
      <c r="U31" s="115">
        <f>55214*Rateio!$E$72/12</f>
        <v>414.10500000000002</v>
      </c>
      <c r="V31" s="115">
        <f>55214*Rateio!$E$72/12</f>
        <v>414.10500000000002</v>
      </c>
      <c r="W31" s="115">
        <f>55214*Rateio!$E$72/12</f>
        <v>414.10500000000002</v>
      </c>
      <c r="X31" s="115">
        <f>55214*Rateio!$E$72/12</f>
        <v>414.10500000000002</v>
      </c>
      <c r="Y31" s="115">
        <f>55214*Rateio!$E$72/12</f>
        <v>414.10500000000002</v>
      </c>
      <c r="Z31" s="115">
        <f>55214*Rateio!$E$72/12</f>
        <v>414.10500000000002</v>
      </c>
      <c r="AA31" s="115">
        <f>55214*Rateio!$E$72/12</f>
        <v>414.10500000000002</v>
      </c>
      <c r="AB31" s="115">
        <f>55214*Rateio!$E$72/12</f>
        <v>414.10500000000002</v>
      </c>
      <c r="AC31" s="116">
        <f t="shared" si="41"/>
        <v>4969.26</v>
      </c>
      <c r="AD31" s="108"/>
      <c r="AE31" s="117">
        <f>IF(ISBLANK(Q31),"",IF($P31="BRL",Q31,Q31*Macroindicadores!B$2)/1000)</f>
        <v>2.4349374000000004</v>
      </c>
      <c r="AF31" s="117">
        <f>IF(ISBLANK(R31),"",IF($P31="BRL",R31,R31*Macroindicadores!C$2)/1000)</f>
        <v>2.4349374000000004</v>
      </c>
      <c r="AG31" s="117">
        <f>IF(ISBLANK(S31),"",IF($P31="BRL",S31,S31*Macroindicadores!D$2)/1000)</f>
        <v>2.4349374000000004</v>
      </c>
      <c r="AH31" s="117">
        <f>IF(ISBLANK(T31),"",IF($P31="BRL",T31,T31*Macroindicadores!E$2)/1000)</f>
        <v>2.4349374000000004</v>
      </c>
      <c r="AI31" s="117">
        <f>IF(ISBLANK(U31),"",IF($P31="BRL",U31,U31*Macroindicadores!F$2)/1000)</f>
        <v>2.4349374000000004</v>
      </c>
      <c r="AJ31" s="117">
        <f>IF(ISBLANK(V31),"",IF($P31="BRL",V31,V31*Macroindicadores!G$2)/1000)</f>
        <v>2.4349374000000004</v>
      </c>
      <c r="AK31" s="117">
        <f>IF(ISBLANK(W31),"",IF($P31="BRL",W31,W31*Macroindicadores!H$2)/1000)</f>
        <v>2.4349374000000004</v>
      </c>
      <c r="AL31" s="117">
        <f>IF(ISBLANK(X31),"",IF($P31="BRL",X31,X31*Macroindicadores!I$2)/1000)</f>
        <v>2.4349374000000004</v>
      </c>
      <c r="AM31" s="117">
        <f>IF(ISBLANK(Y31),"",IF($P31="BRL",Y31,Y31*Macroindicadores!J$2)/1000)</f>
        <v>2.4349374000000004</v>
      </c>
      <c r="AN31" s="117">
        <f>IF(ISBLANK(Z31),"",IF($P31="BRL",Z31,Z31*Macroindicadores!K$2)/1000)</f>
        <v>2.4349374000000004</v>
      </c>
      <c r="AO31" s="117">
        <f>IF(ISBLANK(AA31),"",IF($P31="BRL",AA31,AA31*Macroindicadores!L$2)/1000)</f>
        <v>2.4349374000000004</v>
      </c>
      <c r="AP31" s="117">
        <f>IF(ISBLANK(AB31),"",IF($P31="BRL",AB31,AB31*Macroindicadores!M$2)/1000)</f>
        <v>2.4349374000000004</v>
      </c>
      <c r="AQ31" s="118">
        <f t="shared" si="35"/>
        <v>29.219248799999999</v>
      </c>
      <c r="AR31" s="108"/>
      <c r="AS31" s="117">
        <f>IF(ISBLANK(Q31),"",IF(ISBLANK($O31),AE31,IF($J31="ANUAL",AE31*(1+Macroindicadores!B$7),IF(AND($I31="NOVO",MONTH($O31)=MONTH(AS$4)),AE31*(1+Macroindicadores!B$7),IF(AND($J31="PONTUAL",MONTH($O31)=MONTH(AS$4)),AE31*(1+Macroindicadores!B$7),IF(AND($J31="PONTUAL",MONTH($O31)&lt;MONTH(AS$4)),MIN(AR31:$AS31),IF(AND($I31="NOVO",MONTH($O31)&gt;MONTH(AS$4)),AE31,IF(MONTH($O31)&gt;MONTH(AS$4),AE31,IF(MONTH($O31)=MONTH(AS$4),AE31*(1+Macroindicadores!B$7),AR31)))))))))</f>
        <v>2.4349374000000004</v>
      </c>
      <c r="AT31" s="117">
        <f>IF(ISBLANK(R31),"",IF(ISBLANK($O31),AF31,IF($J31="ANUAL",AF31*(1+Macroindicadores!C$7),IF(AND($I31="NOVO",MONTH($O31)=MONTH(AT$4)),AF31*(1+Macroindicadores!C$7),IF(AND($J31="PONTUAL",MONTH($O31)=MONTH(AT$4)),AF31*(1+Macroindicadores!C$7),IF(AND($J31="PONTUAL",MONTH($O31)&lt;MONTH(AT$4)),MIN($AS31:AS31),IF(AND($I31="NOVO",MONTH($O31)&gt;MONTH(AT$4)),AF31,IF(MONTH($O31)&gt;MONTH(AT$4),AF31,IF(MONTH($O31)=MONTH(AT$4),AF31*(1+Macroindicadores!C$7),AS31)))))))))</f>
        <v>2.4349374000000004</v>
      </c>
      <c r="AU31" s="117">
        <f>IF(ISBLANK(S31),"",IF(ISBLANK($O31),AG31,IF($J31="ANUAL",AG31*(1+Macroindicadores!D$7),IF(AND($I31="NOVO",MONTH($O31)=MONTH(AU$4)),AG31*(1+Macroindicadores!D$7),IF(AND($J31="PONTUAL",MONTH($O31)=MONTH(AU$4)),AG31*(1+Macroindicadores!D$7),IF(AND($J31="PONTUAL",MONTH($O31)&lt;MONTH(AU$4)),MIN($AS31:AT31),IF(AND($I31="NOVO",MONTH($O31)&gt;MONTH(AU$4)),AG31,IF(MONTH($O31)&gt;MONTH(AU$4),AG31,IF(MONTH($O31)=MONTH(AU$4),AG31*(1+Macroindicadores!D$7),AT31)))))))))</f>
        <v>2.4349374000000004</v>
      </c>
      <c r="AV31" s="117">
        <f>IF(ISBLANK(T31),"",IF(ISBLANK($O31),AH31,IF($J31="ANUAL",AH31*(1+Macroindicadores!E$7),IF(AND($I31="NOVO",MONTH($O31)=MONTH(AV$4)),AH31*(1+Macroindicadores!E$7),IF(AND($J31="PONTUAL",MONTH($O31)=MONTH(AV$4)),AH31*(1+Macroindicadores!E$7),IF(AND($J31="PONTUAL",MONTH($O31)&lt;MONTH(AV$4)),MIN($AS31:AU31),IF(AND($I31="NOVO",MONTH($O31)&gt;MONTH(AV$4)),AH31,IF(MONTH($O31)&gt;MONTH(AV$4),AH31,IF(MONTH($O31)=MONTH(AV$4),AH31*(1+Macroindicadores!E$7),AU31)))))))))</f>
        <v>2.4349374000000004</v>
      </c>
      <c r="AW31" s="117">
        <f>IF(ISBLANK(U31),"",IF(ISBLANK($O31),AI31,IF($J31="ANUAL",AI31*(1+Macroindicadores!F$7),IF(AND($I31="NOVO",MONTH($O31)=MONTH(AW$4)),AI31*(1+Macroindicadores!F$7),IF(AND($J31="PONTUAL",MONTH($O31)=MONTH(AW$4)),AI31*(1+Macroindicadores!F$7),IF(AND($J31="PONTUAL",MONTH($O31)&lt;MONTH(AW$4)),MIN($AS31:AV31),IF(AND($I31="NOVO",MONTH($O31)&gt;MONTH(AW$4)),AI31,IF(MONTH($O31)&gt;MONTH(AW$4),AI31,IF(MONTH($O31)=MONTH(AW$4),AI31*(1+Macroindicadores!F$7),AV31)))))))))</f>
        <v>2.4349374000000004</v>
      </c>
      <c r="AX31" s="117">
        <f>IF(ISBLANK(V31),"",IF(ISBLANK($O31),AJ31,IF($J31="ANUAL",AJ31*(1+Macroindicadores!G$7),IF(AND($I31="NOVO",MONTH($O31)=MONTH(AX$4)),AJ31*(1+Macroindicadores!G$7),IF(AND($J31="PONTUAL",MONTH($O31)=MONTH(AX$4)),AJ31*(1+Macroindicadores!G$7),IF(AND($J31="PONTUAL",MONTH($O31)&lt;MONTH(AX$4)),MIN($AS31:AW31),IF(AND($I31="NOVO",MONTH($O31)&gt;MONTH(AX$4)),AJ31,IF(MONTH($O31)&gt;MONTH(AX$4),AJ31,IF(MONTH($O31)=MONTH(AX$4),AJ31*(1+Macroindicadores!G$7),AW31)))))))))</f>
        <v>2.4349374000000004</v>
      </c>
      <c r="AY31" s="117">
        <f>IF(ISBLANK(W31),"",IF(ISBLANK($O31),AK31,IF($J31="ANUAL",AK31*(1+Macroindicadores!H$7),IF(AND($I31="NOVO",MONTH($O31)=MONTH(AY$4)),AK31*(1+Macroindicadores!H$7),IF(AND($J31="PONTUAL",MONTH($O31)=MONTH(AY$4)),AK31*(1+Macroindicadores!H$7),IF(AND($J31="PONTUAL",MONTH($O31)&lt;MONTH(AY$4)),MIN($AS31:AX31),IF(AND($I31="NOVO",MONTH($O31)&gt;MONTH(AY$4)),AK31,IF(MONTH($O31)&gt;MONTH(AY$4),AK31,IF(MONTH($O31)=MONTH(AY$4),AK31*(1+Macroindicadores!H$7),AX31)))))))))</f>
        <v>2.4349374000000004</v>
      </c>
      <c r="AZ31" s="117">
        <f>IF(ISBLANK(X31),"",IF(ISBLANK($O31),AL31,IF($J31="ANUAL",AL31*(1+Macroindicadores!I$7),IF(AND($I31="NOVO",MONTH($O31)=MONTH(AZ$4)),AL31*(1+Macroindicadores!I$7),IF(AND($J31="PONTUAL",MONTH($O31)=MONTH(AZ$4)),AL31*(1+Macroindicadores!I$7),IF(AND($J31="PONTUAL",MONTH($O31)&lt;MONTH(AZ$4)),MIN($AS31:AY31),IF(AND($I31="NOVO",MONTH($O31)&gt;MONTH(AZ$4)),AL31,IF(MONTH($O31)&gt;MONTH(AZ$4),AL31,IF(MONTH($O31)=MONTH(AZ$4),AL31*(1+Macroindicadores!I$7),AY31)))))))))</f>
        <v>2.4349374000000004</v>
      </c>
      <c r="BA31" s="117">
        <f>IF(ISBLANK(Y31),"",IF(ISBLANK($O31),AM31,IF($J31="ANUAL",AM31*(1+Macroindicadores!J$7),IF(AND($I31="NOVO",MONTH($O31)=MONTH(BA$4)),AM31*(1+Macroindicadores!J$7),IF(AND($J31="PONTUAL",MONTH($O31)=MONTH(BA$4)),AM31*(1+Macroindicadores!J$7),IF(AND($J31="PONTUAL",MONTH($O31)&lt;MONTH(BA$4)),MIN($AS31:AZ31),IF(AND($I31="NOVO",MONTH($O31)&gt;MONTH(BA$4)),AM31,IF(MONTH($O31)&gt;MONTH(BA$4),AM31,IF(MONTH($O31)=MONTH(BA$4),AM31*(1+Macroindicadores!J$7),AZ31)))))))))</f>
        <v>2.4349374000000004</v>
      </c>
      <c r="BB31" s="117">
        <f>IF(ISBLANK(Z31),"",IF(ISBLANK($O31),AN31,IF($J31="ANUAL",AN31*(1+Macroindicadores!K$7),IF(AND($I31="NOVO",MONTH($O31)=MONTH(BB$4)),AN31*(1+Macroindicadores!K$7),IF(AND($J31="PONTUAL",MONTH($O31)=MONTH(BB$4)),AN31*(1+Macroindicadores!K$7),IF(AND($J31="PONTUAL",MONTH($O31)&lt;MONTH(BB$4)),MIN($AS31:BA31),IF(AND($I31="NOVO",MONTH($O31)&gt;MONTH(BB$4)),AN31,IF(MONTH($O31)&gt;MONTH(BB$4),AN31,IF(MONTH($O31)=MONTH(BB$4),AN31*(1+Macroindicadores!K$7),BA31)))))))))</f>
        <v>2.4349374000000004</v>
      </c>
      <c r="BC31" s="117">
        <f>IF(ISBLANK(AA31),"",IF(ISBLANK($O31),AO31,IF($J31="ANUAL",AO31*(1+Macroindicadores!L$7),IF(AND($I31="NOVO",MONTH($O31)=MONTH(BC$4)),AO31*(1+Macroindicadores!L$7),IF(AND($J31="PONTUAL",MONTH($O31)=MONTH(BC$4)),AO31*(1+Macroindicadores!L$7),IF(AND($J31="PONTUAL",MONTH($O31)&lt;MONTH(BC$4)),MIN($AS31:BB31),IF(AND($I31="NOVO",MONTH($O31)&gt;MONTH(BC$4)),AO31,IF(MONTH($O31)&gt;MONTH(BC$4),AO31,IF(MONTH($O31)=MONTH(BC$4),AO31*(1+Macroindicadores!L$7),BB31)))))))))</f>
        <v>2.4349374000000004</v>
      </c>
      <c r="BD31" s="117">
        <f>IF(ISBLANK(AB31),"",IF(ISBLANK($O31),AP31,IF($J31="ANUAL",AP31*(1+Macroindicadores!M$7),IF(AND($I31="NOVO",MONTH($O31)=MONTH(BD$4)),AP31*(1+Macroindicadores!M$7),IF(AND($J31="PONTUAL",MONTH($O31)=MONTH(BD$4)),AP31*(1+Macroindicadores!M$7),IF(AND($J31="PONTUAL",MONTH($O31)&lt;MONTH(BD$4)),MIN($AS31:BC31),IF(AND($I31="NOVO",MONTH($O31)&gt;MONTH(BD$4)),AP31,IF(MONTH($O31)&gt;MONTH(BD$4),AP31,IF(MONTH($O31)=MONTH(BD$4),AP31*(1+Macroindicadores!M$7),BC31)))))))))</f>
        <v>2.4349374000000004</v>
      </c>
      <c r="BE31" s="118">
        <f t="shared" si="36"/>
        <v>29.219248799999999</v>
      </c>
      <c r="BF31" s="108"/>
      <c r="BG31" s="117">
        <f>IF(ISBLANK(Q31),"",AS31/Macroindicadores!B$2)</f>
        <v>0.41410500000000006</v>
      </c>
      <c r="BH31" s="117">
        <f>IF(ISBLANK(R31),"",AT31/Macroindicadores!C$2)</f>
        <v>0.41410500000000006</v>
      </c>
      <c r="BI31" s="117">
        <f>IF(ISBLANK(S31),"",AU31/Macroindicadores!D$2)</f>
        <v>0.41410500000000006</v>
      </c>
      <c r="BJ31" s="117">
        <f>IF(ISBLANK(T31),"",AV31/Macroindicadores!E$2)</f>
        <v>0.41410500000000006</v>
      </c>
      <c r="BK31" s="117">
        <f>IF(ISBLANK(U31),"",AW31/Macroindicadores!F$2)</f>
        <v>0.41410500000000006</v>
      </c>
      <c r="BL31" s="117">
        <f>IF(ISBLANK(V31),"",AX31/Macroindicadores!G$2)</f>
        <v>0.41410500000000006</v>
      </c>
      <c r="BM31" s="117">
        <f>IF(ISBLANK(W31),"",AY31/Macroindicadores!H$2)</f>
        <v>0.41410500000000006</v>
      </c>
      <c r="BN31" s="117">
        <f>IF(ISBLANK(X31),"",AZ31/Macroindicadores!I$2)</f>
        <v>0.41410500000000006</v>
      </c>
      <c r="BO31" s="117">
        <f>IF(ISBLANK(Y31),"",BA31/Macroindicadores!J$2)</f>
        <v>0.41410500000000006</v>
      </c>
      <c r="BP31" s="117">
        <f>IF(ISBLANK(Z31),"",BB31/Macroindicadores!K$2)</f>
        <v>0.41410500000000006</v>
      </c>
      <c r="BQ31" s="117">
        <f>IF(ISBLANK(AA31),"",BC31/Macroindicadores!L$2)</f>
        <v>0.41410500000000006</v>
      </c>
      <c r="BR31" s="117">
        <f>IF(ISBLANK(AB31),"",BD31/Macroindicadores!M$2)</f>
        <v>0.41410500000000006</v>
      </c>
      <c r="BS31" s="118">
        <f>IF(AND(ISBLANK($Q31),ISBLANK($R31),ISBLANK($S31),ISBLANK($T31),ISBLANK($U31),ISBLANK($V31),ISBLANK($W31),ISBLANK($X31),ISBLANK($Y31),ISBLANK($Z31),ISBLANK($AA31),ISBLANK($AB31)),"",SUM(BG31:BR31))</f>
        <v>4.9692600000000011</v>
      </c>
      <c r="BT31" s="25" t="str">
        <f>IF(ISBLANK($L31),"",_xlfn.XLOOKUP($L31,'CENTRO CUSTO'!$A:$A,'CENTRO CUSTO'!$E:$E,FALSE,0))</f>
        <v>Custo Fixo</v>
      </c>
    </row>
    <row r="32" spans="1:72">
      <c r="A32" s="9" t="str">
        <f t="shared" si="40"/>
        <v>Budget</v>
      </c>
      <c r="B32" s="9">
        <f t="shared" si="31"/>
        <v>2026</v>
      </c>
      <c r="C32" s="111" t="str">
        <f>IF(ISBLANK($L32),"",_xlfn.XLOOKUP($L32,'CENTRO CUSTO'!$A:$A,'CENTRO CUSTO'!F:F,FALSE,0))</f>
        <v>Martini Meat</v>
      </c>
      <c r="D32" s="111" t="str">
        <f>IF(ISBLANK($L32),"",_xlfn.XLOOKUP($L32,'CENTRO CUSTO'!$A:$A,'CENTRO CUSTO'!G:G,FALSE,0))</f>
        <v>Recife 2</v>
      </c>
      <c r="E32" s="111" t="str">
        <f>IF(ISBLANK($L32),"",_xlfn.XLOOKUP($L32,'CENTRO CUSTO'!$A:$A,'CENTRO CUSTO'!H:H,FALSE,0))</f>
        <v>Frigorífico</v>
      </c>
      <c r="F32" s="112" t="s">
        <v>99</v>
      </c>
      <c r="G32" s="112" t="s">
        <v>75</v>
      </c>
      <c r="H32" s="112" t="s">
        <v>100</v>
      </c>
      <c r="I32" s="113" t="s">
        <v>77</v>
      </c>
      <c r="J32" s="113" t="s">
        <v>78</v>
      </c>
      <c r="K32" s="113" t="s">
        <v>79</v>
      </c>
      <c r="L32" s="113" t="s">
        <v>31</v>
      </c>
      <c r="M32" s="111" t="str">
        <f>IF(ISBLANK($L32),"",_xlfn.XLOOKUP($L32,'CENTRO CUSTO'!$A:$A,'CENTRO CUSTO'!D:D,FALSE,0))</f>
        <v>Alexandre Ayabe</v>
      </c>
      <c r="N32" s="113" t="s">
        <v>101</v>
      </c>
      <c r="O32" s="114"/>
      <c r="P32" s="113" t="s">
        <v>88</v>
      </c>
      <c r="Q32" s="115">
        <f>55214*Rateio!$E$79/12</f>
        <v>276.07</v>
      </c>
      <c r="R32" s="115">
        <f>55214*Rateio!$E$79/12</f>
        <v>276.07</v>
      </c>
      <c r="S32" s="115">
        <f>55214*Rateio!$E$79/12</f>
        <v>276.07</v>
      </c>
      <c r="T32" s="115">
        <f>55214*Rateio!$E$79/12</f>
        <v>276.07</v>
      </c>
      <c r="U32" s="115">
        <f>55214*Rateio!$E$79/12</f>
        <v>276.07</v>
      </c>
      <c r="V32" s="115">
        <f>55214*Rateio!$E$79/12</f>
        <v>276.07</v>
      </c>
      <c r="W32" s="115">
        <f>55214*Rateio!$E$79/12</f>
        <v>276.07</v>
      </c>
      <c r="X32" s="115">
        <f>55214*Rateio!$E$79/12</f>
        <v>276.07</v>
      </c>
      <c r="Y32" s="115">
        <f>55214*Rateio!$E$79/12</f>
        <v>276.07</v>
      </c>
      <c r="Z32" s="115">
        <f>55214*Rateio!$E$79/12</f>
        <v>276.07</v>
      </c>
      <c r="AA32" s="115">
        <f>55214*Rateio!$E$79/12</f>
        <v>276.07</v>
      </c>
      <c r="AB32" s="115">
        <f>55214*Rateio!$E$79/12</f>
        <v>276.07</v>
      </c>
      <c r="AC32" s="116">
        <f t="shared" si="41"/>
        <v>3312.8400000000006</v>
      </c>
      <c r="AD32" s="108"/>
      <c r="AE32" s="117">
        <f>IF(ISBLANK(Q32),"",IF($P32="BRL",Q32,Q32*Macroindicadores!B$2)/1000)</f>
        <v>1.6232915999999999</v>
      </c>
      <c r="AF32" s="117">
        <f>IF(ISBLANK(R32),"",IF($P32="BRL",R32,R32*Macroindicadores!C$2)/1000)</f>
        <v>1.6232915999999999</v>
      </c>
      <c r="AG32" s="117">
        <f>IF(ISBLANK(S32),"",IF($P32="BRL",S32,S32*Macroindicadores!D$2)/1000)</f>
        <v>1.6232915999999999</v>
      </c>
      <c r="AH32" s="117">
        <f>IF(ISBLANK(T32),"",IF($P32="BRL",T32,T32*Macroindicadores!E$2)/1000)</f>
        <v>1.6232915999999999</v>
      </c>
      <c r="AI32" s="117">
        <f>IF(ISBLANK(U32),"",IF($P32="BRL",U32,U32*Macroindicadores!F$2)/1000)</f>
        <v>1.6232915999999999</v>
      </c>
      <c r="AJ32" s="117">
        <f>IF(ISBLANK(V32),"",IF($P32="BRL",V32,V32*Macroindicadores!G$2)/1000)</f>
        <v>1.6232915999999999</v>
      </c>
      <c r="AK32" s="117">
        <f>IF(ISBLANK(W32),"",IF($P32="BRL",W32,W32*Macroindicadores!H$2)/1000)</f>
        <v>1.6232915999999999</v>
      </c>
      <c r="AL32" s="117">
        <f>IF(ISBLANK(X32),"",IF($P32="BRL",X32,X32*Macroindicadores!I$2)/1000)</f>
        <v>1.6232915999999999</v>
      </c>
      <c r="AM32" s="117">
        <f>IF(ISBLANK(Y32),"",IF($P32="BRL",Y32,Y32*Macroindicadores!J$2)/1000)</f>
        <v>1.6232915999999999</v>
      </c>
      <c r="AN32" s="117">
        <f>IF(ISBLANK(Z32),"",IF($P32="BRL",Z32,Z32*Macroindicadores!K$2)/1000)</f>
        <v>1.6232915999999999</v>
      </c>
      <c r="AO32" s="117">
        <f>IF(ISBLANK(AA32),"",IF($P32="BRL",AA32,AA32*Macroindicadores!L$2)/1000)</f>
        <v>1.6232915999999999</v>
      </c>
      <c r="AP32" s="117">
        <f>IF(ISBLANK(AB32),"",IF($P32="BRL",AB32,AB32*Macroindicadores!M$2)/1000)</f>
        <v>1.6232915999999999</v>
      </c>
      <c r="AQ32" s="118">
        <f t="shared" si="35"/>
        <v>19.479499199999999</v>
      </c>
      <c r="AR32" s="108"/>
      <c r="AS32" s="117">
        <f>IF(ISBLANK(Q32),"",IF(ISBLANK($O32),AE32,IF($J32="ANUAL",AE32*(1+Macroindicadores!B$7),IF(AND($I32="NOVO",MONTH($O32)=MONTH(AS$4)),AE32*(1+Macroindicadores!B$7),IF(AND($J32="PONTUAL",MONTH($O32)=MONTH(AS$4)),AE32*(1+Macroindicadores!B$7),IF(AND($J32="PONTUAL",MONTH($O32)&lt;MONTH(AS$4)),MIN(AR32:$AS32),IF(AND($I32="NOVO",MONTH($O32)&gt;MONTH(AS$4)),AE32,IF(MONTH($O32)&gt;MONTH(AS$4),AE32,IF(MONTH($O32)=MONTH(AS$4),AE32*(1+Macroindicadores!B$7),AR32)))))))))</f>
        <v>1.6232915999999999</v>
      </c>
      <c r="AT32" s="117">
        <f>IF(ISBLANK(R32),"",IF(ISBLANK($O32),AF32,IF($J32="ANUAL",AF32*(1+Macroindicadores!C$7),IF(AND($I32="NOVO",MONTH($O32)=MONTH(AT$4)),AF32*(1+Macroindicadores!C$7),IF(AND($J32="PONTUAL",MONTH($O32)=MONTH(AT$4)),AF32*(1+Macroindicadores!C$7),IF(AND($J32="PONTUAL",MONTH($O32)&lt;MONTH(AT$4)),MIN($AS32:AS32),IF(AND($I32="NOVO",MONTH($O32)&gt;MONTH(AT$4)),AF32,IF(MONTH($O32)&gt;MONTH(AT$4),AF32,IF(MONTH($O32)=MONTH(AT$4),AF32*(1+Macroindicadores!C$7),AS32)))))))))</f>
        <v>1.6232915999999999</v>
      </c>
      <c r="AU32" s="117">
        <f>IF(ISBLANK(S32),"",IF(ISBLANK($O32),AG32,IF($J32="ANUAL",AG32*(1+Macroindicadores!D$7),IF(AND($I32="NOVO",MONTH($O32)=MONTH(AU$4)),AG32*(1+Macroindicadores!D$7),IF(AND($J32="PONTUAL",MONTH($O32)=MONTH(AU$4)),AG32*(1+Macroindicadores!D$7),IF(AND($J32="PONTUAL",MONTH($O32)&lt;MONTH(AU$4)),MIN($AS32:AT32),IF(AND($I32="NOVO",MONTH($O32)&gt;MONTH(AU$4)),AG32,IF(MONTH($O32)&gt;MONTH(AU$4),AG32,IF(MONTH($O32)=MONTH(AU$4),AG32*(1+Macroindicadores!D$7),AT32)))))))))</f>
        <v>1.6232915999999999</v>
      </c>
      <c r="AV32" s="117">
        <f>IF(ISBLANK(T32),"",IF(ISBLANK($O32),AH32,IF($J32="ANUAL",AH32*(1+Macroindicadores!E$7),IF(AND($I32="NOVO",MONTH($O32)=MONTH(AV$4)),AH32*(1+Macroindicadores!E$7),IF(AND($J32="PONTUAL",MONTH($O32)=MONTH(AV$4)),AH32*(1+Macroindicadores!E$7),IF(AND($J32="PONTUAL",MONTH($O32)&lt;MONTH(AV$4)),MIN($AS32:AU32),IF(AND($I32="NOVO",MONTH($O32)&gt;MONTH(AV$4)),AH32,IF(MONTH($O32)&gt;MONTH(AV$4),AH32,IF(MONTH($O32)=MONTH(AV$4),AH32*(1+Macroindicadores!E$7),AU32)))))))))</f>
        <v>1.6232915999999999</v>
      </c>
      <c r="AW32" s="117">
        <f>IF(ISBLANK(U32),"",IF(ISBLANK($O32),AI32,IF($J32="ANUAL",AI32*(1+Macroindicadores!F$7),IF(AND($I32="NOVO",MONTH($O32)=MONTH(AW$4)),AI32*(1+Macroindicadores!F$7),IF(AND($J32="PONTUAL",MONTH($O32)=MONTH(AW$4)),AI32*(1+Macroindicadores!F$7),IF(AND($J32="PONTUAL",MONTH($O32)&lt;MONTH(AW$4)),MIN($AS32:AV32),IF(AND($I32="NOVO",MONTH($O32)&gt;MONTH(AW$4)),AI32,IF(MONTH($O32)&gt;MONTH(AW$4),AI32,IF(MONTH($O32)=MONTH(AW$4),AI32*(1+Macroindicadores!F$7),AV32)))))))))</f>
        <v>1.6232915999999999</v>
      </c>
      <c r="AX32" s="117">
        <f>IF(ISBLANK(V32),"",IF(ISBLANK($O32),AJ32,IF($J32="ANUAL",AJ32*(1+Macroindicadores!G$7),IF(AND($I32="NOVO",MONTH($O32)=MONTH(AX$4)),AJ32*(1+Macroindicadores!G$7),IF(AND($J32="PONTUAL",MONTH($O32)=MONTH(AX$4)),AJ32*(1+Macroindicadores!G$7),IF(AND($J32="PONTUAL",MONTH($O32)&lt;MONTH(AX$4)),MIN($AS32:AW32),IF(AND($I32="NOVO",MONTH($O32)&gt;MONTH(AX$4)),AJ32,IF(MONTH($O32)&gt;MONTH(AX$4),AJ32,IF(MONTH($O32)=MONTH(AX$4),AJ32*(1+Macroindicadores!G$7),AW32)))))))))</f>
        <v>1.6232915999999999</v>
      </c>
      <c r="AY32" s="117">
        <f>IF(ISBLANK(W32),"",IF(ISBLANK($O32),AK32,IF($J32="ANUAL",AK32*(1+Macroindicadores!H$7),IF(AND($I32="NOVO",MONTH($O32)=MONTH(AY$4)),AK32*(1+Macroindicadores!H$7),IF(AND($J32="PONTUAL",MONTH($O32)=MONTH(AY$4)),AK32*(1+Macroindicadores!H$7),IF(AND($J32="PONTUAL",MONTH($O32)&lt;MONTH(AY$4)),MIN($AS32:AX32),IF(AND($I32="NOVO",MONTH($O32)&gt;MONTH(AY$4)),AK32,IF(MONTH($O32)&gt;MONTH(AY$4),AK32,IF(MONTH($O32)=MONTH(AY$4),AK32*(1+Macroindicadores!H$7),AX32)))))))))</f>
        <v>1.6232915999999999</v>
      </c>
      <c r="AZ32" s="117">
        <f>IF(ISBLANK(X32),"",IF(ISBLANK($O32),AL32,IF($J32="ANUAL",AL32*(1+Macroindicadores!I$7),IF(AND($I32="NOVO",MONTH($O32)=MONTH(AZ$4)),AL32*(1+Macroindicadores!I$7),IF(AND($J32="PONTUAL",MONTH($O32)=MONTH(AZ$4)),AL32*(1+Macroindicadores!I$7),IF(AND($J32="PONTUAL",MONTH($O32)&lt;MONTH(AZ$4)),MIN($AS32:AY32),IF(AND($I32="NOVO",MONTH($O32)&gt;MONTH(AZ$4)),AL32,IF(MONTH($O32)&gt;MONTH(AZ$4),AL32,IF(MONTH($O32)=MONTH(AZ$4),AL32*(1+Macroindicadores!I$7),AY32)))))))))</f>
        <v>1.6232915999999999</v>
      </c>
      <c r="BA32" s="117">
        <f>IF(ISBLANK(Y32),"",IF(ISBLANK($O32),AM32,IF($J32="ANUAL",AM32*(1+Macroindicadores!J$7),IF(AND($I32="NOVO",MONTH($O32)=MONTH(BA$4)),AM32*(1+Macroindicadores!J$7),IF(AND($J32="PONTUAL",MONTH($O32)=MONTH(BA$4)),AM32*(1+Macroindicadores!J$7),IF(AND($J32="PONTUAL",MONTH($O32)&lt;MONTH(BA$4)),MIN($AS32:AZ32),IF(AND($I32="NOVO",MONTH($O32)&gt;MONTH(BA$4)),AM32,IF(MONTH($O32)&gt;MONTH(BA$4),AM32,IF(MONTH($O32)=MONTH(BA$4),AM32*(1+Macroindicadores!J$7),AZ32)))))))))</f>
        <v>1.6232915999999999</v>
      </c>
      <c r="BB32" s="117">
        <f>IF(ISBLANK(Z32),"",IF(ISBLANK($O32),AN32,IF($J32="ANUAL",AN32*(1+Macroindicadores!K$7),IF(AND($I32="NOVO",MONTH($O32)=MONTH(BB$4)),AN32*(1+Macroindicadores!K$7),IF(AND($J32="PONTUAL",MONTH($O32)=MONTH(BB$4)),AN32*(1+Macroindicadores!K$7),IF(AND($J32="PONTUAL",MONTH($O32)&lt;MONTH(BB$4)),MIN($AS32:BA32),IF(AND($I32="NOVO",MONTH($O32)&gt;MONTH(BB$4)),AN32,IF(MONTH($O32)&gt;MONTH(BB$4),AN32,IF(MONTH($O32)=MONTH(BB$4),AN32*(1+Macroindicadores!K$7),BA32)))))))))</f>
        <v>1.6232915999999999</v>
      </c>
      <c r="BC32" s="117">
        <f>IF(ISBLANK(AA32),"",IF(ISBLANK($O32),AO32,IF($J32="ANUAL",AO32*(1+Macroindicadores!L$7),IF(AND($I32="NOVO",MONTH($O32)=MONTH(BC$4)),AO32*(1+Macroindicadores!L$7),IF(AND($J32="PONTUAL",MONTH($O32)=MONTH(BC$4)),AO32*(1+Macroindicadores!L$7),IF(AND($J32="PONTUAL",MONTH($O32)&lt;MONTH(BC$4)),MIN($AS32:BB32),IF(AND($I32="NOVO",MONTH($O32)&gt;MONTH(BC$4)),AO32,IF(MONTH($O32)&gt;MONTH(BC$4),AO32,IF(MONTH($O32)=MONTH(BC$4),AO32*(1+Macroindicadores!L$7),BB32)))))))))</f>
        <v>1.6232915999999999</v>
      </c>
      <c r="BD32" s="117">
        <f>IF(ISBLANK(AB32),"",IF(ISBLANK($O32),AP32,IF($J32="ANUAL",AP32*(1+Macroindicadores!M$7),IF(AND($I32="NOVO",MONTH($O32)=MONTH(BD$4)),AP32*(1+Macroindicadores!M$7),IF(AND($J32="PONTUAL",MONTH($O32)=MONTH(BD$4)),AP32*(1+Macroindicadores!M$7),IF(AND($J32="PONTUAL",MONTH($O32)&lt;MONTH(BD$4)),MIN($AS32:BC32),IF(AND($I32="NOVO",MONTH($O32)&gt;MONTH(BD$4)),AP32,IF(MONTH($O32)&gt;MONTH(BD$4),AP32,IF(MONTH($O32)=MONTH(BD$4),AP32*(1+Macroindicadores!M$7),BC32)))))))))</f>
        <v>1.6232915999999999</v>
      </c>
      <c r="BE32" s="118">
        <f t="shared" si="36"/>
        <v>19.479499199999999</v>
      </c>
      <c r="BF32" s="108"/>
      <c r="BG32" s="117">
        <f>IF(ISBLANK(Q32),"",AS32/Macroindicadores!B$2)</f>
        <v>0.27606999999999998</v>
      </c>
      <c r="BH32" s="117">
        <f>IF(ISBLANK(R32),"",AT32/Macroindicadores!C$2)</f>
        <v>0.27606999999999998</v>
      </c>
      <c r="BI32" s="117">
        <f>IF(ISBLANK(S32),"",AU32/Macroindicadores!D$2)</f>
        <v>0.27606999999999998</v>
      </c>
      <c r="BJ32" s="117">
        <f>IF(ISBLANK(T32),"",AV32/Macroindicadores!E$2)</f>
        <v>0.27606999999999998</v>
      </c>
      <c r="BK32" s="117">
        <f>IF(ISBLANK(U32),"",AW32/Macroindicadores!F$2)</f>
        <v>0.27606999999999998</v>
      </c>
      <c r="BL32" s="117">
        <f>IF(ISBLANK(V32),"",AX32/Macroindicadores!G$2)</f>
        <v>0.27606999999999998</v>
      </c>
      <c r="BM32" s="117">
        <f>IF(ISBLANK(W32),"",AY32/Macroindicadores!H$2)</f>
        <v>0.27606999999999998</v>
      </c>
      <c r="BN32" s="117">
        <f>IF(ISBLANK(X32),"",AZ32/Macroindicadores!I$2)</f>
        <v>0.27606999999999998</v>
      </c>
      <c r="BO32" s="117">
        <f>IF(ISBLANK(Y32),"",BA32/Macroindicadores!J$2)</f>
        <v>0.27606999999999998</v>
      </c>
      <c r="BP32" s="117">
        <f>IF(ISBLANK(Z32),"",BB32/Macroindicadores!K$2)</f>
        <v>0.27606999999999998</v>
      </c>
      <c r="BQ32" s="117">
        <f>IF(ISBLANK(AA32),"",BC32/Macroindicadores!L$2)</f>
        <v>0.27606999999999998</v>
      </c>
      <c r="BR32" s="117">
        <f>IF(ISBLANK(AB32),"",BD32/Macroindicadores!M$2)</f>
        <v>0.27606999999999998</v>
      </c>
      <c r="BS32" s="118">
        <f>IF(AND(ISBLANK($Q32),ISBLANK($R32),ISBLANK($S32),ISBLANK($T32),ISBLANK($U32),ISBLANK($V32),ISBLANK($W32),ISBLANK($X32),ISBLANK($Y32),ISBLANK($Z32),ISBLANK($AA32),ISBLANK($AB32)),"",SUM(BG32:BR32))</f>
        <v>3.3128399999999991</v>
      </c>
      <c r="BT32" s="25" t="str">
        <f>IF(ISBLANK($L32),"",_xlfn.XLOOKUP($L32,'CENTRO CUSTO'!$A:$A,'CENTRO CUSTO'!$E:$E,FALSE,0))</f>
        <v>Custo Fixo</v>
      </c>
    </row>
    <row r="33" spans="1:72">
      <c r="A33" s="9" t="str">
        <f t="shared" si="40"/>
        <v>Budget</v>
      </c>
      <c r="B33" s="9">
        <f t="shared" ref="B33:B58" si="44">IF(ISBLANK($F33),"",$F$1)</f>
        <v>2026</v>
      </c>
      <c r="C33" s="111" t="str">
        <f>IF(ISBLANK($L33),"",_xlfn.XLOOKUP($L33,'CENTRO CUSTO'!$A:$A,'CENTRO CUSTO'!F:F,FALSE,0))</f>
        <v>MRV</v>
      </c>
      <c r="D33" s="111" t="str">
        <f>IF(ISBLANK($L33),"",_xlfn.XLOOKUP($L33,'CENTRO CUSTO'!$A:$A,'CENTRO CUSTO'!G:G,FALSE,0))</f>
        <v>Velopark</v>
      </c>
      <c r="E33" s="111" t="str">
        <f>IF(ISBLANK($L33),"",_xlfn.XLOOKUP($L33,'CENTRO CUSTO'!$A:$A,'CENTRO CUSTO'!H:H,FALSE,0))</f>
        <v>Frigorífico</v>
      </c>
      <c r="F33" s="112" t="s">
        <v>99</v>
      </c>
      <c r="G33" s="112" t="s">
        <v>75</v>
      </c>
      <c r="H33" s="112" t="s">
        <v>100</v>
      </c>
      <c r="I33" s="113" t="s">
        <v>77</v>
      </c>
      <c r="J33" s="113" t="s">
        <v>78</v>
      </c>
      <c r="K33" s="113" t="s">
        <v>79</v>
      </c>
      <c r="L33" s="113" t="s">
        <v>43</v>
      </c>
      <c r="M33" s="111" t="str">
        <f>IF(ISBLANK($L33),"",_xlfn.XLOOKUP($L33,'CENTRO CUSTO'!$A:$A,'CENTRO CUSTO'!D:D,FALSE,0))</f>
        <v>Alexandre Ayabe</v>
      </c>
      <c r="N33" s="113" t="s">
        <v>101</v>
      </c>
      <c r="O33" s="114"/>
      <c r="P33" s="113" t="s">
        <v>88</v>
      </c>
      <c r="Q33" s="115">
        <f>55214*Rateio!$E$82/12</f>
        <v>828.21</v>
      </c>
      <c r="R33" s="115">
        <f>55214*Rateio!$E$82/12</f>
        <v>828.21</v>
      </c>
      <c r="S33" s="115">
        <f>55214*Rateio!$E$82/12</f>
        <v>828.21</v>
      </c>
      <c r="T33" s="115">
        <f>55214*Rateio!$E$82/12</f>
        <v>828.21</v>
      </c>
      <c r="U33" s="115">
        <f>55214*Rateio!$E$82/12</f>
        <v>828.21</v>
      </c>
      <c r="V33" s="115">
        <f>55214*Rateio!$E$82/12</f>
        <v>828.21</v>
      </c>
      <c r="W33" s="115">
        <f>55214*Rateio!$E$82/12</f>
        <v>828.21</v>
      </c>
      <c r="X33" s="115">
        <f>55214*Rateio!$E$82/12</f>
        <v>828.21</v>
      </c>
      <c r="Y33" s="115">
        <f>55214*Rateio!$E$82/12</f>
        <v>828.21</v>
      </c>
      <c r="Z33" s="115">
        <f>55214*Rateio!$E$82/12</f>
        <v>828.21</v>
      </c>
      <c r="AA33" s="115">
        <f>55214*Rateio!$E$82/12</f>
        <v>828.21</v>
      </c>
      <c r="AB33" s="115">
        <f>55214*Rateio!$E$82/12</f>
        <v>828.21</v>
      </c>
      <c r="AC33" s="116">
        <f t="shared" si="41"/>
        <v>9938.52</v>
      </c>
      <c r="AD33" s="108"/>
      <c r="AE33" s="117">
        <f>IF(ISBLANK(Q33),"",IF($P33="BRL",Q33,Q33*Macroindicadores!B$2)/1000)</f>
        <v>4.8698748000000007</v>
      </c>
      <c r="AF33" s="117">
        <f>IF(ISBLANK(R33),"",IF($P33="BRL",R33,R33*Macroindicadores!C$2)/1000)</f>
        <v>4.8698748000000007</v>
      </c>
      <c r="AG33" s="117">
        <f>IF(ISBLANK(S33),"",IF($P33="BRL",S33,S33*Macroindicadores!D$2)/1000)</f>
        <v>4.8698748000000007</v>
      </c>
      <c r="AH33" s="117">
        <f>IF(ISBLANK(T33),"",IF($P33="BRL",T33,T33*Macroindicadores!E$2)/1000)</f>
        <v>4.8698748000000007</v>
      </c>
      <c r="AI33" s="117">
        <f>IF(ISBLANK(U33),"",IF($P33="BRL",U33,U33*Macroindicadores!F$2)/1000)</f>
        <v>4.8698748000000007</v>
      </c>
      <c r="AJ33" s="117">
        <f>IF(ISBLANK(V33),"",IF($P33="BRL",V33,V33*Macroindicadores!G$2)/1000)</f>
        <v>4.8698748000000007</v>
      </c>
      <c r="AK33" s="117">
        <f>IF(ISBLANK(W33),"",IF($P33="BRL",W33,W33*Macroindicadores!H$2)/1000)</f>
        <v>4.8698748000000007</v>
      </c>
      <c r="AL33" s="117">
        <f>IF(ISBLANK(X33),"",IF($P33="BRL",X33,X33*Macroindicadores!I$2)/1000)</f>
        <v>4.8698748000000007</v>
      </c>
      <c r="AM33" s="117">
        <f>IF(ISBLANK(Y33),"",IF($P33="BRL",Y33,Y33*Macroindicadores!J$2)/1000)</f>
        <v>4.8698748000000007</v>
      </c>
      <c r="AN33" s="117">
        <f>IF(ISBLANK(Z33),"",IF($P33="BRL",Z33,Z33*Macroindicadores!K$2)/1000)</f>
        <v>4.8698748000000007</v>
      </c>
      <c r="AO33" s="117">
        <f>IF(ISBLANK(AA33),"",IF($P33="BRL",AA33,AA33*Macroindicadores!L$2)/1000)</f>
        <v>4.8698748000000007</v>
      </c>
      <c r="AP33" s="117">
        <f>IF(ISBLANK(AB33),"",IF($P33="BRL",AB33,AB33*Macroindicadores!M$2)/1000)</f>
        <v>4.8698748000000007</v>
      </c>
      <c r="AQ33" s="118">
        <f t="shared" si="35"/>
        <v>58.438497599999998</v>
      </c>
      <c r="AR33" s="108"/>
      <c r="AS33" s="117">
        <f>IF(ISBLANK(Q33),"",IF(ISBLANK($O33),AE33,IF($J33="ANUAL",AE33*(1+Macroindicadores!B$7),IF(AND($I33="NOVO",MONTH($O33)=MONTH(AS$4)),AE33*(1+Macroindicadores!B$7),IF(AND($J33="PONTUAL",MONTH($O33)=MONTH(AS$4)),AE33*(1+Macroindicadores!B$7),IF(AND($J33="PONTUAL",MONTH($O33)&lt;MONTH(AS$4)),MIN(AR33:$AS33),IF(AND($I33="NOVO",MONTH($O33)&gt;MONTH(AS$4)),AE33,IF(MONTH($O33)&gt;MONTH(AS$4),AE33,IF(MONTH($O33)=MONTH(AS$4),AE33*(1+Macroindicadores!B$7),AR33)))))))))</f>
        <v>4.8698748000000007</v>
      </c>
      <c r="AT33" s="117">
        <f>IF(ISBLANK(R33),"",IF(ISBLANK($O33),AF33,IF($J33="ANUAL",AF33*(1+Macroindicadores!C$7),IF(AND($I33="NOVO",MONTH($O33)=MONTH(AT$4)),AF33*(1+Macroindicadores!C$7),IF(AND($J33="PONTUAL",MONTH($O33)=MONTH(AT$4)),AF33*(1+Macroindicadores!C$7),IF(AND($J33="PONTUAL",MONTH($O33)&lt;MONTH(AT$4)),MIN($AS33:AS33),IF(AND($I33="NOVO",MONTH($O33)&gt;MONTH(AT$4)),AF33,IF(MONTH($O33)&gt;MONTH(AT$4),AF33,IF(MONTH($O33)=MONTH(AT$4),AF33*(1+Macroindicadores!C$7),AS33)))))))))</f>
        <v>4.8698748000000007</v>
      </c>
      <c r="AU33" s="117">
        <f>IF(ISBLANK(S33),"",IF(ISBLANK($O33),AG33,IF($J33="ANUAL",AG33*(1+Macroindicadores!D$7),IF(AND($I33="NOVO",MONTH($O33)=MONTH(AU$4)),AG33*(1+Macroindicadores!D$7),IF(AND($J33="PONTUAL",MONTH($O33)=MONTH(AU$4)),AG33*(1+Macroindicadores!D$7),IF(AND($J33="PONTUAL",MONTH($O33)&lt;MONTH(AU$4)),MIN($AS33:AT33),IF(AND($I33="NOVO",MONTH($O33)&gt;MONTH(AU$4)),AG33,IF(MONTH($O33)&gt;MONTH(AU$4),AG33,IF(MONTH($O33)=MONTH(AU$4),AG33*(1+Macroindicadores!D$7),AT33)))))))))</f>
        <v>4.8698748000000007</v>
      </c>
      <c r="AV33" s="117">
        <f>IF(ISBLANK(T33),"",IF(ISBLANK($O33),AH33,IF($J33="ANUAL",AH33*(1+Macroindicadores!E$7),IF(AND($I33="NOVO",MONTH($O33)=MONTH(AV$4)),AH33*(1+Macroindicadores!E$7),IF(AND($J33="PONTUAL",MONTH($O33)=MONTH(AV$4)),AH33*(1+Macroindicadores!E$7),IF(AND($J33="PONTUAL",MONTH($O33)&lt;MONTH(AV$4)),MIN($AS33:AU33),IF(AND($I33="NOVO",MONTH($O33)&gt;MONTH(AV$4)),AH33,IF(MONTH($O33)&gt;MONTH(AV$4),AH33,IF(MONTH($O33)=MONTH(AV$4),AH33*(1+Macroindicadores!E$7),AU33)))))))))</f>
        <v>4.8698748000000007</v>
      </c>
      <c r="AW33" s="117">
        <f>IF(ISBLANK(U33),"",IF(ISBLANK($O33),AI33,IF($J33="ANUAL",AI33*(1+Macroindicadores!F$7),IF(AND($I33="NOVO",MONTH($O33)=MONTH(AW$4)),AI33*(1+Macroindicadores!F$7),IF(AND($J33="PONTUAL",MONTH($O33)=MONTH(AW$4)),AI33*(1+Macroindicadores!F$7),IF(AND($J33="PONTUAL",MONTH($O33)&lt;MONTH(AW$4)),MIN($AS33:AV33),IF(AND($I33="NOVO",MONTH($O33)&gt;MONTH(AW$4)),AI33,IF(MONTH($O33)&gt;MONTH(AW$4),AI33,IF(MONTH($O33)=MONTH(AW$4),AI33*(1+Macroindicadores!F$7),AV33)))))))))</f>
        <v>4.8698748000000007</v>
      </c>
      <c r="AX33" s="117">
        <f>IF(ISBLANK(V33),"",IF(ISBLANK($O33),AJ33,IF($J33="ANUAL",AJ33*(1+Macroindicadores!G$7),IF(AND($I33="NOVO",MONTH($O33)=MONTH(AX$4)),AJ33*(1+Macroindicadores!G$7),IF(AND($J33="PONTUAL",MONTH($O33)=MONTH(AX$4)),AJ33*(1+Macroindicadores!G$7),IF(AND($J33="PONTUAL",MONTH($O33)&lt;MONTH(AX$4)),MIN($AS33:AW33),IF(AND($I33="NOVO",MONTH($O33)&gt;MONTH(AX$4)),AJ33,IF(MONTH($O33)&gt;MONTH(AX$4),AJ33,IF(MONTH($O33)=MONTH(AX$4),AJ33*(1+Macroindicadores!G$7),AW33)))))))))</f>
        <v>4.8698748000000007</v>
      </c>
      <c r="AY33" s="117">
        <f>IF(ISBLANK(W33),"",IF(ISBLANK($O33),AK33,IF($J33="ANUAL",AK33*(1+Macroindicadores!H$7),IF(AND($I33="NOVO",MONTH($O33)=MONTH(AY$4)),AK33*(1+Macroindicadores!H$7),IF(AND($J33="PONTUAL",MONTH($O33)=MONTH(AY$4)),AK33*(1+Macroindicadores!H$7),IF(AND($J33="PONTUAL",MONTH($O33)&lt;MONTH(AY$4)),MIN($AS33:AX33),IF(AND($I33="NOVO",MONTH($O33)&gt;MONTH(AY$4)),AK33,IF(MONTH($O33)&gt;MONTH(AY$4),AK33,IF(MONTH($O33)=MONTH(AY$4),AK33*(1+Macroindicadores!H$7),AX33)))))))))</f>
        <v>4.8698748000000007</v>
      </c>
      <c r="AZ33" s="117">
        <f>IF(ISBLANK(X33),"",IF(ISBLANK($O33),AL33,IF($J33="ANUAL",AL33*(1+Macroindicadores!I$7),IF(AND($I33="NOVO",MONTH($O33)=MONTH(AZ$4)),AL33*(1+Macroindicadores!I$7),IF(AND($J33="PONTUAL",MONTH($O33)=MONTH(AZ$4)),AL33*(1+Macroindicadores!I$7),IF(AND($J33="PONTUAL",MONTH($O33)&lt;MONTH(AZ$4)),MIN($AS33:AY33),IF(AND($I33="NOVO",MONTH($O33)&gt;MONTH(AZ$4)),AL33,IF(MONTH($O33)&gt;MONTH(AZ$4),AL33,IF(MONTH($O33)=MONTH(AZ$4),AL33*(1+Macroindicadores!I$7),AY33)))))))))</f>
        <v>4.8698748000000007</v>
      </c>
      <c r="BA33" s="117">
        <f>IF(ISBLANK(Y33),"",IF(ISBLANK($O33),AM33,IF($J33="ANUAL",AM33*(1+Macroindicadores!J$7),IF(AND($I33="NOVO",MONTH($O33)=MONTH(BA$4)),AM33*(1+Macroindicadores!J$7),IF(AND($J33="PONTUAL",MONTH($O33)=MONTH(BA$4)),AM33*(1+Macroindicadores!J$7),IF(AND($J33="PONTUAL",MONTH($O33)&lt;MONTH(BA$4)),MIN($AS33:AZ33),IF(AND($I33="NOVO",MONTH($O33)&gt;MONTH(BA$4)),AM33,IF(MONTH($O33)&gt;MONTH(BA$4),AM33,IF(MONTH($O33)=MONTH(BA$4),AM33*(1+Macroindicadores!J$7),AZ33)))))))))</f>
        <v>4.8698748000000007</v>
      </c>
      <c r="BB33" s="117">
        <f>IF(ISBLANK(Z33),"",IF(ISBLANK($O33),AN33,IF($J33="ANUAL",AN33*(1+Macroindicadores!K$7),IF(AND($I33="NOVO",MONTH($O33)=MONTH(BB$4)),AN33*(1+Macroindicadores!K$7),IF(AND($J33="PONTUAL",MONTH($O33)=MONTH(BB$4)),AN33*(1+Macroindicadores!K$7),IF(AND($J33="PONTUAL",MONTH($O33)&lt;MONTH(BB$4)),MIN($AS33:BA33),IF(AND($I33="NOVO",MONTH($O33)&gt;MONTH(BB$4)),AN33,IF(MONTH($O33)&gt;MONTH(BB$4),AN33,IF(MONTH($O33)=MONTH(BB$4),AN33*(1+Macroindicadores!K$7),BA33)))))))))</f>
        <v>4.8698748000000007</v>
      </c>
      <c r="BC33" s="117">
        <f>IF(ISBLANK(AA33),"",IF(ISBLANK($O33),AO33,IF($J33="ANUAL",AO33*(1+Macroindicadores!L$7),IF(AND($I33="NOVO",MONTH($O33)=MONTH(BC$4)),AO33*(1+Macroindicadores!L$7),IF(AND($J33="PONTUAL",MONTH($O33)=MONTH(BC$4)),AO33*(1+Macroindicadores!L$7),IF(AND($J33="PONTUAL",MONTH($O33)&lt;MONTH(BC$4)),MIN($AS33:BB33),IF(AND($I33="NOVO",MONTH($O33)&gt;MONTH(BC$4)),AO33,IF(MONTH($O33)&gt;MONTH(BC$4),AO33,IF(MONTH($O33)=MONTH(BC$4),AO33*(1+Macroindicadores!L$7),BB33)))))))))</f>
        <v>4.8698748000000007</v>
      </c>
      <c r="BD33" s="117">
        <f>IF(ISBLANK(AB33),"",IF(ISBLANK($O33),AP33,IF($J33="ANUAL",AP33*(1+Macroindicadores!M$7),IF(AND($I33="NOVO",MONTH($O33)=MONTH(BD$4)),AP33*(1+Macroindicadores!M$7),IF(AND($J33="PONTUAL",MONTH($O33)=MONTH(BD$4)),AP33*(1+Macroindicadores!M$7),IF(AND($J33="PONTUAL",MONTH($O33)&lt;MONTH(BD$4)),MIN($AS33:BC33),IF(AND($I33="NOVO",MONTH($O33)&gt;MONTH(BD$4)),AP33,IF(MONTH($O33)&gt;MONTH(BD$4),AP33,IF(MONTH($O33)=MONTH(BD$4),AP33*(1+Macroindicadores!M$7),BC33)))))))))</f>
        <v>4.8698748000000007</v>
      </c>
      <c r="BE33" s="118">
        <f t="shared" si="36"/>
        <v>58.438497599999998</v>
      </c>
      <c r="BF33" s="108"/>
      <c r="BG33" s="117">
        <f>IF(ISBLANK(Q33),"",AS33/Macroindicadores!B$2)</f>
        <v>0.82821000000000011</v>
      </c>
      <c r="BH33" s="117">
        <f>IF(ISBLANK(R33),"",AT33/Macroindicadores!C$2)</f>
        <v>0.82821000000000011</v>
      </c>
      <c r="BI33" s="117">
        <f>IF(ISBLANK(S33),"",AU33/Macroindicadores!D$2)</f>
        <v>0.82821000000000011</v>
      </c>
      <c r="BJ33" s="117">
        <f>IF(ISBLANK(T33),"",AV33/Macroindicadores!E$2)</f>
        <v>0.82821000000000011</v>
      </c>
      <c r="BK33" s="117">
        <f>IF(ISBLANK(U33),"",AW33/Macroindicadores!F$2)</f>
        <v>0.82821000000000011</v>
      </c>
      <c r="BL33" s="117">
        <f>IF(ISBLANK(V33),"",AX33/Macroindicadores!G$2)</f>
        <v>0.82821000000000011</v>
      </c>
      <c r="BM33" s="117">
        <f>IF(ISBLANK(W33),"",AY33/Macroindicadores!H$2)</f>
        <v>0.82821000000000011</v>
      </c>
      <c r="BN33" s="117">
        <f>IF(ISBLANK(X33),"",AZ33/Macroindicadores!I$2)</f>
        <v>0.82821000000000011</v>
      </c>
      <c r="BO33" s="117">
        <f>IF(ISBLANK(Y33),"",BA33/Macroindicadores!J$2)</f>
        <v>0.82821000000000011</v>
      </c>
      <c r="BP33" s="117">
        <f>IF(ISBLANK(Z33),"",BB33/Macroindicadores!K$2)</f>
        <v>0.82821000000000011</v>
      </c>
      <c r="BQ33" s="117">
        <f>IF(ISBLANK(AA33),"",BC33/Macroindicadores!L$2)</f>
        <v>0.82821000000000011</v>
      </c>
      <c r="BR33" s="117">
        <f>IF(ISBLANK(AB33),"",BD33/Macroindicadores!M$2)</f>
        <v>0.82821000000000011</v>
      </c>
      <c r="BS33" s="118">
        <f>IF(AND(ISBLANK($Q33),ISBLANK($R33),ISBLANK($S33),ISBLANK($T33),ISBLANK($U33),ISBLANK($V33),ISBLANK($W33),ISBLANK($X33),ISBLANK($Y33),ISBLANK($Z33),ISBLANK($AA33),ISBLANK($AB33)),"",SUM(BG33:BR33))</f>
        <v>9.9385200000000022</v>
      </c>
      <c r="BT33" s="25" t="str">
        <f>IF(ISBLANK($L33),"",_xlfn.XLOOKUP($L33,'CENTRO CUSTO'!$A:$A,'CENTRO CUSTO'!$E:$E,FALSE,0))</f>
        <v>Custo Fixo</v>
      </c>
    </row>
    <row r="34" spans="1:72">
      <c r="A34" s="9" t="str">
        <f t="shared" si="40"/>
        <v>Budget</v>
      </c>
      <c r="B34" s="9">
        <f t="shared" si="44"/>
        <v>2026</v>
      </c>
      <c r="C34" s="111" t="str">
        <f>IF(ISBLANK($L34),"",_xlfn.XLOOKUP($L34,'CENTRO CUSTO'!$A:$A,'CENTRO CUSTO'!F:F,FALSE,0))</f>
        <v>SKM</v>
      </c>
      <c r="D34" s="111" t="str">
        <f>IF(ISBLANK($L34),"",_xlfn.XLOOKUP($L34,'CENTRO CUSTO'!$A:$A,'CENTRO CUSTO'!G:G,FALSE,0))</f>
        <v>G100B</v>
      </c>
      <c r="E34" s="111" t="str">
        <f>IF(ISBLANK($L34),"",_xlfn.XLOOKUP($L34,'CENTRO CUSTO'!$A:$A,'CENTRO CUSTO'!H:H,FALSE,0))</f>
        <v>Frigorífico</v>
      </c>
      <c r="F34" s="112" t="s">
        <v>99</v>
      </c>
      <c r="G34" s="112" t="s">
        <v>75</v>
      </c>
      <c r="H34" s="112" t="s">
        <v>100</v>
      </c>
      <c r="I34" s="113" t="s">
        <v>77</v>
      </c>
      <c r="J34" s="113" t="s">
        <v>78</v>
      </c>
      <c r="K34" s="113" t="s">
        <v>79</v>
      </c>
      <c r="L34" s="113" t="s">
        <v>48</v>
      </c>
      <c r="M34" s="111" t="str">
        <f>IF(ISBLANK($L34),"",_xlfn.XLOOKUP($L34,'CENTRO CUSTO'!$A:$A,'CENTRO CUSTO'!D:D,FALSE,0))</f>
        <v>Alexandre Ayabe</v>
      </c>
      <c r="N34" s="113" t="s">
        <v>101</v>
      </c>
      <c r="O34" s="114"/>
      <c r="P34" s="113" t="s">
        <v>88</v>
      </c>
      <c r="Q34" s="115">
        <f>55214*Rateio!$E$85/12</f>
        <v>1012.2566666666667</v>
      </c>
      <c r="R34" s="115">
        <f>55214*Rateio!$E$85/12</f>
        <v>1012.2566666666667</v>
      </c>
      <c r="S34" s="115">
        <f>55214*Rateio!$E$85/12</f>
        <v>1012.2566666666667</v>
      </c>
      <c r="T34" s="115">
        <f>55214*Rateio!$E$85/12</f>
        <v>1012.2566666666667</v>
      </c>
      <c r="U34" s="115">
        <f>55214*Rateio!$E$85/12</f>
        <v>1012.2566666666667</v>
      </c>
      <c r="V34" s="115">
        <f>55214*Rateio!$E$85/12</f>
        <v>1012.2566666666667</v>
      </c>
      <c r="W34" s="115">
        <f>55214*Rateio!$E$85/12</f>
        <v>1012.2566666666667</v>
      </c>
      <c r="X34" s="115">
        <f>55214*Rateio!$E$85/12</f>
        <v>1012.2566666666667</v>
      </c>
      <c r="Y34" s="115">
        <f>55214*Rateio!$E$85/12</f>
        <v>1012.2566666666667</v>
      </c>
      <c r="Z34" s="115">
        <f>55214*Rateio!$E$85/12</f>
        <v>1012.2566666666667</v>
      </c>
      <c r="AA34" s="115">
        <f>55214*Rateio!$E$85/12</f>
        <v>1012.2566666666667</v>
      </c>
      <c r="AB34" s="115">
        <f>55214*Rateio!$E$85/12</f>
        <v>1012.2566666666667</v>
      </c>
      <c r="AC34" s="116">
        <f t="shared" si="41"/>
        <v>12147.079999999996</v>
      </c>
      <c r="AD34" s="108"/>
      <c r="AE34" s="117">
        <f>IF(ISBLANK(Q34),"",IF($P34="BRL",Q34,Q34*Macroindicadores!B$2)/1000)</f>
        <v>5.9520691999999995</v>
      </c>
      <c r="AF34" s="117">
        <f>IF(ISBLANK(R34),"",IF($P34="BRL",R34,R34*Macroindicadores!C$2)/1000)</f>
        <v>5.9520691999999995</v>
      </c>
      <c r="AG34" s="117">
        <f>IF(ISBLANK(S34),"",IF($P34="BRL",S34,S34*Macroindicadores!D$2)/1000)</f>
        <v>5.9520691999999995</v>
      </c>
      <c r="AH34" s="117">
        <f>IF(ISBLANK(T34),"",IF($P34="BRL",T34,T34*Macroindicadores!E$2)/1000)</f>
        <v>5.9520691999999995</v>
      </c>
      <c r="AI34" s="117">
        <f>IF(ISBLANK(U34),"",IF($P34="BRL",U34,U34*Macroindicadores!F$2)/1000)</f>
        <v>5.9520691999999995</v>
      </c>
      <c r="AJ34" s="117">
        <f>IF(ISBLANK(V34),"",IF($P34="BRL",V34,V34*Macroindicadores!G$2)/1000)</f>
        <v>5.9520691999999995</v>
      </c>
      <c r="AK34" s="117">
        <f>IF(ISBLANK(W34),"",IF($P34="BRL",W34,W34*Macroindicadores!H$2)/1000)</f>
        <v>5.9520691999999995</v>
      </c>
      <c r="AL34" s="117">
        <f>IF(ISBLANK(X34),"",IF($P34="BRL",X34,X34*Macroindicadores!I$2)/1000)</f>
        <v>5.9520691999999995</v>
      </c>
      <c r="AM34" s="117">
        <f>IF(ISBLANK(Y34),"",IF($P34="BRL",Y34,Y34*Macroindicadores!J$2)/1000)</f>
        <v>5.9520691999999995</v>
      </c>
      <c r="AN34" s="117">
        <f>IF(ISBLANK(Z34),"",IF($P34="BRL",Z34,Z34*Macroindicadores!K$2)/1000)</f>
        <v>5.9520691999999995</v>
      </c>
      <c r="AO34" s="117">
        <f>IF(ISBLANK(AA34),"",IF($P34="BRL",AA34,AA34*Macroindicadores!L$2)/1000)</f>
        <v>5.9520691999999995</v>
      </c>
      <c r="AP34" s="117">
        <f>IF(ISBLANK(AB34),"",IF($P34="BRL",AB34,AB34*Macroindicadores!M$2)/1000)</f>
        <v>5.9520691999999995</v>
      </c>
      <c r="AQ34" s="118">
        <f t="shared" si="35"/>
        <v>71.424830399999976</v>
      </c>
      <c r="AR34" s="108"/>
      <c r="AS34" s="117">
        <f>IF(ISBLANK(Q34),"",IF(ISBLANK($O34),AE34,IF($J34="ANUAL",AE34*(1+Macroindicadores!B$7),IF(AND($I34="NOVO",MONTH($O34)=MONTH(AS$4)),AE34*(1+Macroindicadores!B$7),IF(AND($J34="PONTUAL",MONTH($O34)=MONTH(AS$4)),AE34*(1+Macroindicadores!B$7),IF(AND($J34="PONTUAL",MONTH($O34)&lt;MONTH(AS$4)),MIN(AR34:$AS34),IF(AND($I34="NOVO",MONTH($O34)&gt;MONTH(AS$4)),AE34,IF(MONTH($O34)&gt;MONTH(AS$4),AE34,IF(MONTH($O34)=MONTH(AS$4),AE34*(1+Macroindicadores!B$7),AR34)))))))))</f>
        <v>5.9520691999999995</v>
      </c>
      <c r="AT34" s="117">
        <f>IF(ISBLANK(R34),"",IF(ISBLANK($O34),AF34,IF($J34="ANUAL",AF34*(1+Macroindicadores!C$7),IF(AND($I34="NOVO",MONTH($O34)=MONTH(AT$4)),AF34*(1+Macroindicadores!C$7),IF(AND($J34="PONTUAL",MONTH($O34)=MONTH(AT$4)),AF34*(1+Macroindicadores!C$7),IF(AND($J34="PONTUAL",MONTH($O34)&lt;MONTH(AT$4)),MIN($AS34:AS34),IF(AND($I34="NOVO",MONTH($O34)&gt;MONTH(AT$4)),AF34,IF(MONTH($O34)&gt;MONTH(AT$4),AF34,IF(MONTH($O34)=MONTH(AT$4),AF34*(1+Macroindicadores!C$7),AS34)))))))))</f>
        <v>5.9520691999999995</v>
      </c>
      <c r="AU34" s="117">
        <f>IF(ISBLANK(S34),"",IF(ISBLANK($O34),AG34,IF($J34="ANUAL",AG34*(1+Macroindicadores!D$7),IF(AND($I34="NOVO",MONTH($O34)=MONTH(AU$4)),AG34*(1+Macroindicadores!D$7),IF(AND($J34="PONTUAL",MONTH($O34)=MONTH(AU$4)),AG34*(1+Macroindicadores!D$7),IF(AND($J34="PONTUAL",MONTH($O34)&lt;MONTH(AU$4)),MIN($AS34:AT34),IF(AND($I34="NOVO",MONTH($O34)&gt;MONTH(AU$4)),AG34,IF(MONTH($O34)&gt;MONTH(AU$4),AG34,IF(MONTH($O34)=MONTH(AU$4),AG34*(1+Macroindicadores!D$7),AT34)))))))))</f>
        <v>5.9520691999999995</v>
      </c>
      <c r="AV34" s="117">
        <f>IF(ISBLANK(T34),"",IF(ISBLANK($O34),AH34,IF($J34="ANUAL",AH34*(1+Macroindicadores!E$7),IF(AND($I34="NOVO",MONTH($O34)=MONTH(AV$4)),AH34*(1+Macroindicadores!E$7),IF(AND($J34="PONTUAL",MONTH($O34)=MONTH(AV$4)),AH34*(1+Macroindicadores!E$7),IF(AND($J34="PONTUAL",MONTH($O34)&lt;MONTH(AV$4)),MIN($AS34:AU34),IF(AND($I34="NOVO",MONTH($O34)&gt;MONTH(AV$4)),AH34,IF(MONTH($O34)&gt;MONTH(AV$4),AH34,IF(MONTH($O34)=MONTH(AV$4),AH34*(1+Macroindicadores!E$7),AU34)))))))))</f>
        <v>5.9520691999999995</v>
      </c>
      <c r="AW34" s="117">
        <f>IF(ISBLANK(U34),"",IF(ISBLANK($O34),AI34,IF($J34="ANUAL",AI34*(1+Macroindicadores!F$7),IF(AND($I34="NOVO",MONTH($O34)=MONTH(AW$4)),AI34*(1+Macroindicadores!F$7),IF(AND($J34="PONTUAL",MONTH($O34)=MONTH(AW$4)),AI34*(1+Macroindicadores!F$7),IF(AND($J34="PONTUAL",MONTH($O34)&lt;MONTH(AW$4)),MIN($AS34:AV34),IF(AND($I34="NOVO",MONTH($O34)&gt;MONTH(AW$4)),AI34,IF(MONTH($O34)&gt;MONTH(AW$4),AI34,IF(MONTH($O34)=MONTH(AW$4),AI34*(1+Macroindicadores!F$7),AV34)))))))))</f>
        <v>5.9520691999999995</v>
      </c>
      <c r="AX34" s="117">
        <f>IF(ISBLANK(V34),"",IF(ISBLANK($O34),AJ34,IF($J34="ANUAL",AJ34*(1+Macroindicadores!G$7),IF(AND($I34="NOVO",MONTH($O34)=MONTH(AX$4)),AJ34*(1+Macroindicadores!G$7),IF(AND($J34="PONTUAL",MONTH($O34)=MONTH(AX$4)),AJ34*(1+Macroindicadores!G$7),IF(AND($J34="PONTUAL",MONTH($O34)&lt;MONTH(AX$4)),MIN($AS34:AW34),IF(AND($I34="NOVO",MONTH($O34)&gt;MONTH(AX$4)),AJ34,IF(MONTH($O34)&gt;MONTH(AX$4),AJ34,IF(MONTH($O34)=MONTH(AX$4),AJ34*(1+Macroindicadores!G$7),AW34)))))))))</f>
        <v>5.9520691999999995</v>
      </c>
      <c r="AY34" s="117">
        <f>IF(ISBLANK(W34),"",IF(ISBLANK($O34),AK34,IF($J34="ANUAL",AK34*(1+Macroindicadores!H$7),IF(AND($I34="NOVO",MONTH($O34)=MONTH(AY$4)),AK34*(1+Macroindicadores!H$7),IF(AND($J34="PONTUAL",MONTH($O34)=MONTH(AY$4)),AK34*(1+Macroindicadores!H$7),IF(AND($J34="PONTUAL",MONTH($O34)&lt;MONTH(AY$4)),MIN($AS34:AX34),IF(AND($I34="NOVO",MONTH($O34)&gt;MONTH(AY$4)),AK34,IF(MONTH($O34)&gt;MONTH(AY$4),AK34,IF(MONTH($O34)=MONTH(AY$4),AK34*(1+Macroindicadores!H$7),AX34)))))))))</f>
        <v>5.9520691999999995</v>
      </c>
      <c r="AZ34" s="117">
        <f>IF(ISBLANK(X34),"",IF(ISBLANK($O34),AL34,IF($J34="ANUAL",AL34*(1+Macroindicadores!I$7),IF(AND($I34="NOVO",MONTH($O34)=MONTH(AZ$4)),AL34*(1+Macroindicadores!I$7),IF(AND($J34="PONTUAL",MONTH($O34)=MONTH(AZ$4)),AL34*(1+Macroindicadores!I$7),IF(AND($J34="PONTUAL",MONTH($O34)&lt;MONTH(AZ$4)),MIN($AS34:AY34),IF(AND($I34="NOVO",MONTH($O34)&gt;MONTH(AZ$4)),AL34,IF(MONTH($O34)&gt;MONTH(AZ$4),AL34,IF(MONTH($O34)=MONTH(AZ$4),AL34*(1+Macroindicadores!I$7),AY34)))))))))</f>
        <v>5.9520691999999995</v>
      </c>
      <c r="BA34" s="117">
        <f>IF(ISBLANK(Y34),"",IF(ISBLANK($O34),AM34,IF($J34="ANUAL",AM34*(1+Macroindicadores!J$7),IF(AND($I34="NOVO",MONTH($O34)=MONTH(BA$4)),AM34*(1+Macroindicadores!J$7),IF(AND($J34="PONTUAL",MONTH($O34)=MONTH(BA$4)),AM34*(1+Macroindicadores!J$7),IF(AND($J34="PONTUAL",MONTH($O34)&lt;MONTH(BA$4)),MIN($AS34:AZ34),IF(AND($I34="NOVO",MONTH($O34)&gt;MONTH(BA$4)),AM34,IF(MONTH($O34)&gt;MONTH(BA$4),AM34,IF(MONTH($O34)=MONTH(BA$4),AM34*(1+Macroindicadores!J$7),AZ34)))))))))</f>
        <v>5.9520691999999995</v>
      </c>
      <c r="BB34" s="117">
        <f>IF(ISBLANK(Z34),"",IF(ISBLANK($O34),AN34,IF($J34="ANUAL",AN34*(1+Macroindicadores!K$7),IF(AND($I34="NOVO",MONTH($O34)=MONTH(BB$4)),AN34*(1+Macroindicadores!K$7),IF(AND($J34="PONTUAL",MONTH($O34)=MONTH(BB$4)),AN34*(1+Macroindicadores!K$7),IF(AND($J34="PONTUAL",MONTH($O34)&lt;MONTH(BB$4)),MIN($AS34:BA34),IF(AND($I34="NOVO",MONTH($O34)&gt;MONTH(BB$4)),AN34,IF(MONTH($O34)&gt;MONTH(BB$4),AN34,IF(MONTH($O34)=MONTH(BB$4),AN34*(1+Macroindicadores!K$7),BA34)))))))))</f>
        <v>5.9520691999999995</v>
      </c>
      <c r="BC34" s="117">
        <f>IF(ISBLANK(AA34),"",IF(ISBLANK($O34),AO34,IF($J34="ANUAL",AO34*(1+Macroindicadores!L$7),IF(AND($I34="NOVO",MONTH($O34)=MONTH(BC$4)),AO34*(1+Macroindicadores!L$7),IF(AND($J34="PONTUAL",MONTH($O34)=MONTH(BC$4)),AO34*(1+Macroindicadores!L$7),IF(AND($J34="PONTUAL",MONTH($O34)&lt;MONTH(BC$4)),MIN($AS34:BB34),IF(AND($I34="NOVO",MONTH($O34)&gt;MONTH(BC$4)),AO34,IF(MONTH($O34)&gt;MONTH(BC$4),AO34,IF(MONTH($O34)=MONTH(BC$4),AO34*(1+Macroindicadores!L$7),BB34)))))))))</f>
        <v>5.9520691999999995</v>
      </c>
      <c r="BD34" s="117">
        <f>IF(ISBLANK(AB34),"",IF(ISBLANK($O34),AP34,IF($J34="ANUAL",AP34*(1+Macroindicadores!M$7),IF(AND($I34="NOVO",MONTH($O34)=MONTH(BD$4)),AP34*(1+Macroindicadores!M$7),IF(AND($J34="PONTUAL",MONTH($O34)=MONTH(BD$4)),AP34*(1+Macroindicadores!M$7),IF(AND($J34="PONTUAL",MONTH($O34)&lt;MONTH(BD$4)),MIN($AS34:BC34),IF(AND($I34="NOVO",MONTH($O34)&gt;MONTH(BD$4)),AP34,IF(MONTH($O34)&gt;MONTH(BD$4),AP34,IF(MONTH($O34)=MONTH(BD$4),AP34*(1+Macroindicadores!M$7),BC34)))))))))</f>
        <v>5.9520691999999995</v>
      </c>
      <c r="BE34" s="118">
        <f t="shared" si="36"/>
        <v>71.424830399999976</v>
      </c>
      <c r="BF34" s="108"/>
      <c r="BG34" s="117">
        <f>IF(ISBLANK(Q34),"",AS34/Macroindicadores!B$2)</f>
        <v>1.0122566666666666</v>
      </c>
      <c r="BH34" s="117">
        <f>IF(ISBLANK(R34),"",AT34/Macroindicadores!C$2)</f>
        <v>1.0122566666666666</v>
      </c>
      <c r="BI34" s="117">
        <f>IF(ISBLANK(S34),"",AU34/Macroindicadores!D$2)</f>
        <v>1.0122566666666666</v>
      </c>
      <c r="BJ34" s="117">
        <f>IF(ISBLANK(T34),"",AV34/Macroindicadores!E$2)</f>
        <v>1.0122566666666666</v>
      </c>
      <c r="BK34" s="117">
        <f>IF(ISBLANK(U34),"",AW34/Macroindicadores!F$2)</f>
        <v>1.0122566666666666</v>
      </c>
      <c r="BL34" s="117">
        <f>IF(ISBLANK(V34),"",AX34/Macroindicadores!G$2)</f>
        <v>1.0122566666666666</v>
      </c>
      <c r="BM34" s="117">
        <f>IF(ISBLANK(W34),"",AY34/Macroindicadores!H$2)</f>
        <v>1.0122566666666666</v>
      </c>
      <c r="BN34" s="117">
        <f>IF(ISBLANK(X34),"",AZ34/Macroindicadores!I$2)</f>
        <v>1.0122566666666666</v>
      </c>
      <c r="BO34" s="117">
        <f>IF(ISBLANK(Y34),"",BA34/Macroindicadores!J$2)</f>
        <v>1.0122566666666666</v>
      </c>
      <c r="BP34" s="117">
        <f>IF(ISBLANK(Z34),"",BB34/Macroindicadores!K$2)</f>
        <v>1.0122566666666666</v>
      </c>
      <c r="BQ34" s="117">
        <f>IF(ISBLANK(AA34),"",BC34/Macroindicadores!L$2)</f>
        <v>1.0122566666666666</v>
      </c>
      <c r="BR34" s="117">
        <f>IF(ISBLANK(AB34),"",BD34/Macroindicadores!M$2)</f>
        <v>1.0122566666666666</v>
      </c>
      <c r="BS34" s="118">
        <f>IF(AND(ISBLANK($Q34),ISBLANK($R34),ISBLANK($S34),ISBLANK($T34),ISBLANK($U34),ISBLANK($V34),ISBLANK($W34),ISBLANK($X34),ISBLANK($Y34),ISBLANK($Z34),ISBLANK($AA34),ISBLANK($AB34)),"",SUM(BG34:BR34))</f>
        <v>12.147079999999995</v>
      </c>
      <c r="BT34" s="25" t="str">
        <f>IF(ISBLANK($L34),"",_xlfn.XLOOKUP($L34,'CENTRO CUSTO'!$A:$A,'CENTRO CUSTO'!$E:$E,FALSE,0))</f>
        <v>Custo Fixo</v>
      </c>
    </row>
    <row r="35" spans="1:72">
      <c r="A35" s="9" t="str">
        <f t="shared" si="40"/>
        <v>Budget</v>
      </c>
      <c r="B35" s="9">
        <f t="shared" si="44"/>
        <v>2026</v>
      </c>
      <c r="C35" s="111" t="str">
        <f>IF(ISBLANK($L35),"",_xlfn.XLOOKUP($L35,'CENTRO CUSTO'!$A:$A,'CENTRO CUSTO'!F:F,FALSE,0))</f>
        <v>Martini Meat</v>
      </c>
      <c r="D35" s="111" t="str">
        <f>IF(ISBLANK($L35),"",_xlfn.XLOOKUP($L35,'CENTRO CUSTO'!$A:$A,'CENTRO CUSTO'!G:G,FALSE,0))</f>
        <v>Paranaguá</v>
      </c>
      <c r="E35" s="111" t="str">
        <f>IF(ISBLANK($L35),"",_xlfn.XLOOKUP($L35,'CENTRO CUSTO'!$A:$A,'CENTRO CUSTO'!H:H,FALSE,0))</f>
        <v>Frigorífico</v>
      </c>
      <c r="F35" s="112" t="s">
        <v>99</v>
      </c>
      <c r="G35" s="112" t="s">
        <v>75</v>
      </c>
      <c r="H35" s="112" t="s">
        <v>102</v>
      </c>
      <c r="I35" s="113" t="s">
        <v>77</v>
      </c>
      <c r="J35" s="113" t="s">
        <v>78</v>
      </c>
      <c r="K35" s="113" t="s">
        <v>79</v>
      </c>
      <c r="L35" s="113" t="s">
        <v>15</v>
      </c>
      <c r="M35" s="111" t="str">
        <f>IF(ISBLANK($L35),"",_xlfn.XLOOKUP($L35,'CENTRO CUSTO'!$A:$A,'CENTRO CUSTO'!D:D,FALSE,0))</f>
        <v>Alexandre Ayabe</v>
      </c>
      <c r="N35" s="113" t="s">
        <v>87</v>
      </c>
      <c r="O35" s="114"/>
      <c r="P35" s="113" t="s">
        <v>88</v>
      </c>
      <c r="Q35" s="115">
        <f>10080*Rateio!$E$66/12</f>
        <v>235.20000000000002</v>
      </c>
      <c r="R35" s="115">
        <f>10080*Rateio!$E$66/12</f>
        <v>235.20000000000002</v>
      </c>
      <c r="S35" s="115">
        <f>10080*Rateio!$E$66/12</f>
        <v>235.20000000000002</v>
      </c>
      <c r="T35" s="115">
        <f>10080*Rateio!$E$66/12</f>
        <v>235.20000000000002</v>
      </c>
      <c r="U35" s="115">
        <f>10080*Rateio!$E$66/12</f>
        <v>235.20000000000002</v>
      </c>
      <c r="V35" s="115">
        <f>10080*Rateio!$E$66/12</f>
        <v>235.20000000000002</v>
      </c>
      <c r="W35" s="115">
        <f>10080*Rateio!$E$66/12</f>
        <v>235.20000000000002</v>
      </c>
      <c r="X35" s="115">
        <f>10080*Rateio!$E$66/12</f>
        <v>235.20000000000002</v>
      </c>
      <c r="Y35" s="115">
        <f>10080*Rateio!$E$66/12</f>
        <v>235.20000000000002</v>
      </c>
      <c r="Z35" s="115">
        <f>10080*Rateio!$E$66/12</f>
        <v>235.20000000000002</v>
      </c>
      <c r="AA35" s="115">
        <f>10080*Rateio!$E$66/12</f>
        <v>235.20000000000002</v>
      </c>
      <c r="AB35" s="115">
        <f>10080*Rateio!$E$66/12</f>
        <v>235.20000000000002</v>
      </c>
      <c r="AC35" s="116">
        <f t="shared" si="41"/>
        <v>2822.3999999999996</v>
      </c>
      <c r="AD35" s="108"/>
      <c r="AE35" s="117">
        <f>IF(ISBLANK(Q35),"",IF($P35="BRL",Q35,Q35*Macroindicadores!B$2)/1000)</f>
        <v>1.3829760000000002</v>
      </c>
      <c r="AF35" s="117">
        <f>IF(ISBLANK(R35),"",IF($P35="BRL",R35,R35*Macroindicadores!C$2)/1000)</f>
        <v>1.3829760000000002</v>
      </c>
      <c r="AG35" s="117">
        <f>IF(ISBLANK(S35),"",IF($P35="BRL",S35,S35*Macroindicadores!D$2)/1000)</f>
        <v>1.3829760000000002</v>
      </c>
      <c r="AH35" s="117">
        <f>IF(ISBLANK(T35),"",IF($P35="BRL",T35,T35*Macroindicadores!E$2)/1000)</f>
        <v>1.3829760000000002</v>
      </c>
      <c r="AI35" s="117">
        <f>IF(ISBLANK(U35),"",IF($P35="BRL",U35,U35*Macroindicadores!F$2)/1000)</f>
        <v>1.3829760000000002</v>
      </c>
      <c r="AJ35" s="117">
        <f>IF(ISBLANK(V35),"",IF($P35="BRL",V35,V35*Macroindicadores!G$2)/1000)</f>
        <v>1.3829760000000002</v>
      </c>
      <c r="AK35" s="117">
        <f>IF(ISBLANK(W35),"",IF($P35="BRL",W35,W35*Macroindicadores!H$2)/1000)</f>
        <v>1.3829760000000002</v>
      </c>
      <c r="AL35" s="117">
        <f>IF(ISBLANK(X35),"",IF($P35="BRL",X35,X35*Macroindicadores!I$2)/1000)</f>
        <v>1.3829760000000002</v>
      </c>
      <c r="AM35" s="117">
        <f>IF(ISBLANK(Y35),"",IF($P35="BRL",Y35,Y35*Macroindicadores!J$2)/1000)</f>
        <v>1.3829760000000002</v>
      </c>
      <c r="AN35" s="117">
        <f>IF(ISBLANK(Z35),"",IF($P35="BRL",Z35,Z35*Macroindicadores!K$2)/1000)</f>
        <v>1.3829760000000002</v>
      </c>
      <c r="AO35" s="117">
        <f>IF(ISBLANK(AA35),"",IF($P35="BRL",AA35,AA35*Macroindicadores!L$2)/1000)</f>
        <v>1.3829760000000002</v>
      </c>
      <c r="AP35" s="117">
        <f>IF(ISBLANK(AB35),"",IF($P35="BRL",AB35,AB35*Macroindicadores!M$2)/1000)</f>
        <v>1.3829760000000002</v>
      </c>
      <c r="AQ35" s="118">
        <f t="shared" si="35"/>
        <v>16.595711999999999</v>
      </c>
      <c r="AR35" s="108"/>
      <c r="AS35" s="117">
        <f>IF(ISBLANK(Q35),"",IF(ISBLANK($O35),AE35,IF($J35="ANUAL",AE35*(1+Macroindicadores!B$7),IF(AND($I35="NOVO",MONTH($O35)=MONTH(AS$4)),AE35*(1+Macroindicadores!B$7),IF(AND($J35="PONTUAL",MONTH($O35)=MONTH(AS$4)),AE35*(1+Macroindicadores!B$7),IF(AND($J35="PONTUAL",MONTH($O35)&lt;MONTH(AS$4)),MIN(AR35:$AS35),IF(AND($I35="NOVO",MONTH($O35)&gt;MONTH(AS$4)),AE35,IF(MONTH($O35)&gt;MONTH(AS$4),AE35,IF(MONTH($O35)=MONTH(AS$4),AE35*(1+Macroindicadores!B$7),AR35)))))))))</f>
        <v>1.3829760000000002</v>
      </c>
      <c r="AT35" s="117">
        <f>IF(ISBLANK(R35),"",IF(ISBLANK($O35),AF35,IF($J35="ANUAL",AF35*(1+Macroindicadores!C$7),IF(AND($I35="NOVO",MONTH($O35)=MONTH(AT$4)),AF35*(1+Macroindicadores!C$7),IF(AND($J35="PONTUAL",MONTH($O35)=MONTH(AT$4)),AF35*(1+Macroindicadores!C$7),IF(AND($J35="PONTUAL",MONTH($O35)&lt;MONTH(AT$4)),MIN($AS35:AS35),IF(AND($I35="NOVO",MONTH($O35)&gt;MONTH(AT$4)),AF35,IF(MONTH($O35)&gt;MONTH(AT$4),AF35,IF(MONTH($O35)=MONTH(AT$4),AF35*(1+Macroindicadores!C$7),AS35)))))))))</f>
        <v>1.3829760000000002</v>
      </c>
      <c r="AU35" s="117">
        <f>IF(ISBLANK(S35),"",IF(ISBLANK($O35),AG35,IF($J35="ANUAL",AG35*(1+Macroindicadores!D$7),IF(AND($I35="NOVO",MONTH($O35)=MONTH(AU$4)),AG35*(1+Macroindicadores!D$7),IF(AND($J35="PONTUAL",MONTH($O35)=MONTH(AU$4)),AG35*(1+Macroindicadores!D$7),IF(AND($J35="PONTUAL",MONTH($O35)&lt;MONTH(AU$4)),MIN($AS35:AT35),IF(AND($I35="NOVO",MONTH($O35)&gt;MONTH(AU$4)),AG35,IF(MONTH($O35)&gt;MONTH(AU$4),AG35,IF(MONTH($O35)=MONTH(AU$4),AG35*(1+Macroindicadores!D$7),AT35)))))))))</f>
        <v>1.3829760000000002</v>
      </c>
      <c r="AV35" s="117">
        <f>IF(ISBLANK(T35),"",IF(ISBLANK($O35),AH35,IF($J35="ANUAL",AH35*(1+Macroindicadores!E$7),IF(AND($I35="NOVO",MONTH($O35)=MONTH(AV$4)),AH35*(1+Macroindicadores!E$7),IF(AND($J35="PONTUAL",MONTH($O35)=MONTH(AV$4)),AH35*(1+Macroindicadores!E$7),IF(AND($J35="PONTUAL",MONTH($O35)&lt;MONTH(AV$4)),MIN($AS35:AU35),IF(AND($I35="NOVO",MONTH($O35)&gt;MONTH(AV$4)),AH35,IF(MONTH($O35)&gt;MONTH(AV$4),AH35,IF(MONTH($O35)=MONTH(AV$4),AH35*(1+Macroindicadores!E$7),AU35)))))))))</f>
        <v>1.3829760000000002</v>
      </c>
      <c r="AW35" s="117">
        <f>IF(ISBLANK(U35),"",IF(ISBLANK($O35),AI35,IF($J35="ANUAL",AI35*(1+Macroindicadores!F$7),IF(AND($I35="NOVO",MONTH($O35)=MONTH(AW$4)),AI35*(1+Macroindicadores!F$7),IF(AND($J35="PONTUAL",MONTH($O35)=MONTH(AW$4)),AI35*(1+Macroindicadores!F$7),IF(AND($J35="PONTUAL",MONTH($O35)&lt;MONTH(AW$4)),MIN($AS35:AV35),IF(AND($I35="NOVO",MONTH($O35)&gt;MONTH(AW$4)),AI35,IF(MONTH($O35)&gt;MONTH(AW$4),AI35,IF(MONTH($O35)=MONTH(AW$4),AI35*(1+Macroindicadores!F$7),AV35)))))))))</f>
        <v>1.3829760000000002</v>
      </c>
      <c r="AX35" s="117">
        <f>IF(ISBLANK(V35),"",IF(ISBLANK($O35),AJ35,IF($J35="ANUAL",AJ35*(1+Macroindicadores!G$7),IF(AND($I35="NOVO",MONTH($O35)=MONTH(AX$4)),AJ35*(1+Macroindicadores!G$7),IF(AND($J35="PONTUAL",MONTH($O35)=MONTH(AX$4)),AJ35*(1+Macroindicadores!G$7),IF(AND($J35="PONTUAL",MONTH($O35)&lt;MONTH(AX$4)),MIN($AS35:AW35),IF(AND($I35="NOVO",MONTH($O35)&gt;MONTH(AX$4)),AJ35,IF(MONTH($O35)&gt;MONTH(AX$4),AJ35,IF(MONTH($O35)=MONTH(AX$4),AJ35*(1+Macroindicadores!G$7),AW35)))))))))</f>
        <v>1.3829760000000002</v>
      </c>
      <c r="AY35" s="117">
        <f>IF(ISBLANK(W35),"",IF(ISBLANK($O35),AK35,IF($J35="ANUAL",AK35*(1+Macroindicadores!H$7),IF(AND($I35="NOVO",MONTH($O35)=MONTH(AY$4)),AK35*(1+Macroindicadores!H$7),IF(AND($J35="PONTUAL",MONTH($O35)=MONTH(AY$4)),AK35*(1+Macroindicadores!H$7),IF(AND($J35="PONTUAL",MONTH($O35)&lt;MONTH(AY$4)),MIN($AS35:AX35),IF(AND($I35="NOVO",MONTH($O35)&gt;MONTH(AY$4)),AK35,IF(MONTH($O35)&gt;MONTH(AY$4),AK35,IF(MONTH($O35)=MONTH(AY$4),AK35*(1+Macroindicadores!H$7),AX35)))))))))</f>
        <v>1.3829760000000002</v>
      </c>
      <c r="AZ35" s="117">
        <f>IF(ISBLANK(X35),"",IF(ISBLANK($O35),AL35,IF($J35="ANUAL",AL35*(1+Macroindicadores!I$7),IF(AND($I35="NOVO",MONTH($O35)=MONTH(AZ$4)),AL35*(1+Macroindicadores!I$7),IF(AND($J35="PONTUAL",MONTH($O35)=MONTH(AZ$4)),AL35*(1+Macroindicadores!I$7),IF(AND($J35="PONTUAL",MONTH($O35)&lt;MONTH(AZ$4)),MIN($AS35:AY35),IF(AND($I35="NOVO",MONTH($O35)&gt;MONTH(AZ$4)),AL35,IF(MONTH($O35)&gt;MONTH(AZ$4),AL35,IF(MONTH($O35)=MONTH(AZ$4),AL35*(1+Macroindicadores!I$7),AY35)))))))))</f>
        <v>1.3829760000000002</v>
      </c>
      <c r="BA35" s="117">
        <f>IF(ISBLANK(Y35),"",IF(ISBLANK($O35),AM35,IF($J35="ANUAL",AM35*(1+Macroindicadores!J$7),IF(AND($I35="NOVO",MONTH($O35)=MONTH(BA$4)),AM35*(1+Macroindicadores!J$7),IF(AND($J35="PONTUAL",MONTH($O35)=MONTH(BA$4)),AM35*(1+Macroindicadores!J$7),IF(AND($J35="PONTUAL",MONTH($O35)&lt;MONTH(BA$4)),MIN($AS35:AZ35),IF(AND($I35="NOVO",MONTH($O35)&gt;MONTH(BA$4)),AM35,IF(MONTH($O35)&gt;MONTH(BA$4),AM35,IF(MONTH($O35)=MONTH(BA$4),AM35*(1+Macroindicadores!J$7),AZ35)))))))))</f>
        <v>1.3829760000000002</v>
      </c>
      <c r="BB35" s="117">
        <f>IF(ISBLANK(Z35),"",IF(ISBLANK($O35),AN35,IF($J35="ANUAL",AN35*(1+Macroindicadores!K$7),IF(AND($I35="NOVO",MONTH($O35)=MONTH(BB$4)),AN35*(1+Macroindicadores!K$7),IF(AND($J35="PONTUAL",MONTH($O35)=MONTH(BB$4)),AN35*(1+Macroindicadores!K$7),IF(AND($J35="PONTUAL",MONTH($O35)&lt;MONTH(BB$4)),MIN($AS35:BA35),IF(AND($I35="NOVO",MONTH($O35)&gt;MONTH(BB$4)),AN35,IF(MONTH($O35)&gt;MONTH(BB$4),AN35,IF(MONTH($O35)=MONTH(BB$4),AN35*(1+Macroindicadores!K$7),BA35)))))))))</f>
        <v>1.3829760000000002</v>
      </c>
      <c r="BC35" s="117">
        <f>IF(ISBLANK(AA35),"",IF(ISBLANK($O35),AO35,IF($J35="ANUAL",AO35*(1+Macroindicadores!L$7),IF(AND($I35="NOVO",MONTH($O35)=MONTH(BC$4)),AO35*(1+Macroindicadores!L$7),IF(AND($J35="PONTUAL",MONTH($O35)=MONTH(BC$4)),AO35*(1+Macroindicadores!L$7),IF(AND($J35="PONTUAL",MONTH($O35)&lt;MONTH(BC$4)),MIN($AS35:BB35),IF(AND($I35="NOVO",MONTH($O35)&gt;MONTH(BC$4)),AO35,IF(MONTH($O35)&gt;MONTH(BC$4),AO35,IF(MONTH($O35)=MONTH(BC$4),AO35*(1+Macroindicadores!L$7),BB35)))))))))</f>
        <v>1.3829760000000002</v>
      </c>
      <c r="BD35" s="117">
        <f>IF(ISBLANK(AB35),"",IF(ISBLANK($O35),AP35,IF($J35="ANUAL",AP35*(1+Macroindicadores!M$7),IF(AND($I35="NOVO",MONTH($O35)=MONTH(BD$4)),AP35*(1+Macroindicadores!M$7),IF(AND($J35="PONTUAL",MONTH($O35)=MONTH(BD$4)),AP35*(1+Macroindicadores!M$7),IF(AND($J35="PONTUAL",MONTH($O35)&lt;MONTH(BD$4)),MIN($AS35:BC35),IF(AND($I35="NOVO",MONTH($O35)&gt;MONTH(BD$4)),AP35,IF(MONTH($O35)&gt;MONTH(BD$4),AP35,IF(MONTH($O35)=MONTH(BD$4),AP35*(1+Macroindicadores!M$7),BC35)))))))))</f>
        <v>1.3829760000000002</v>
      </c>
      <c r="BE35" s="118">
        <f>IF(AND(ISBLANK($Q35),ISBLANK($R35),ISBLANK($S35),ISBLANK($T35),ISBLANK($U35),ISBLANK($V35),ISBLANK($W35),ISBLANK($X35),ISBLANK($Y35),ISBLANK($Z35),ISBLANK($AA35),ISBLANK($AB35)),"",SUM(AS35:BD35))</f>
        <v>16.595711999999999</v>
      </c>
      <c r="BF35" s="108"/>
      <c r="BG35" s="117">
        <f>IF(ISBLANK(Q35),"",AS35/Macroindicadores!B$2)</f>
        <v>0.23520000000000005</v>
      </c>
      <c r="BH35" s="117">
        <f>IF(ISBLANK(R35),"",AT35/Macroindicadores!C$2)</f>
        <v>0.23520000000000005</v>
      </c>
      <c r="BI35" s="117">
        <f>IF(ISBLANK(S35),"",AU35/Macroindicadores!D$2)</f>
        <v>0.23520000000000005</v>
      </c>
      <c r="BJ35" s="117">
        <f>IF(ISBLANK(T35),"",AV35/Macroindicadores!E$2)</f>
        <v>0.23520000000000005</v>
      </c>
      <c r="BK35" s="117">
        <f>IF(ISBLANK(U35),"",AW35/Macroindicadores!F$2)</f>
        <v>0.23520000000000005</v>
      </c>
      <c r="BL35" s="117">
        <f>IF(ISBLANK(V35),"",AX35/Macroindicadores!G$2)</f>
        <v>0.23520000000000005</v>
      </c>
      <c r="BM35" s="117">
        <f>IF(ISBLANK(W35),"",AY35/Macroindicadores!H$2)</f>
        <v>0.23520000000000005</v>
      </c>
      <c r="BN35" s="117">
        <f>IF(ISBLANK(X35),"",AZ35/Macroindicadores!I$2)</f>
        <v>0.23520000000000005</v>
      </c>
      <c r="BO35" s="117">
        <f>IF(ISBLANK(Y35),"",BA35/Macroindicadores!J$2)</f>
        <v>0.23520000000000005</v>
      </c>
      <c r="BP35" s="117">
        <f>IF(ISBLANK(Z35),"",BB35/Macroindicadores!K$2)</f>
        <v>0.23520000000000005</v>
      </c>
      <c r="BQ35" s="117">
        <f>IF(ISBLANK(AA35),"",BC35/Macroindicadores!L$2)</f>
        <v>0.23520000000000005</v>
      </c>
      <c r="BR35" s="117">
        <f>IF(ISBLANK(AB35),"",BD35/Macroindicadores!M$2)</f>
        <v>0.23520000000000005</v>
      </c>
      <c r="BS35" s="118">
        <f>IF(AND(ISBLANK($Q35),ISBLANK($R35),ISBLANK($S35),ISBLANK($T35),ISBLANK($U35),ISBLANK($V35),ISBLANK($W35),ISBLANK($X35),ISBLANK($Y35),ISBLANK($Z35),ISBLANK($AA35),ISBLANK($AB35)),"",SUM(BG35:BR35))</f>
        <v>2.8224</v>
      </c>
      <c r="BT35" s="25" t="str">
        <f>IF(ISBLANK($L35),"",_xlfn.XLOOKUP($L35,'CENTRO CUSTO'!$A:$A,'CENTRO CUSTO'!$E:$E,FALSE,0))</f>
        <v>Custo Fixo</v>
      </c>
    </row>
    <row r="36" spans="1:72">
      <c r="A36" s="9" t="str">
        <f t="shared" si="40"/>
        <v>Budget</v>
      </c>
      <c r="B36" s="9">
        <f t="shared" si="44"/>
        <v>2026</v>
      </c>
      <c r="C36" s="111" t="str">
        <f>IF(ISBLANK($L36),"",_xlfn.XLOOKUP($L36,'CENTRO CUSTO'!$A:$A,'CENTRO CUSTO'!F:F,FALSE,0))</f>
        <v>Martini Meat</v>
      </c>
      <c r="D36" s="111" t="str">
        <f>IF(ISBLANK($L36),"",_xlfn.XLOOKUP($L36,'CENTRO CUSTO'!$A:$A,'CENTRO CUSTO'!G:G,FALSE,0))</f>
        <v>Paranaguá</v>
      </c>
      <c r="E36" s="111" t="str">
        <f>IF(ISBLANK($L36),"",_xlfn.XLOOKUP($L36,'CENTRO CUSTO'!$A:$A,'CENTRO CUSTO'!H:H,FALSE,0))</f>
        <v>Carga Geral</v>
      </c>
      <c r="F36" s="112" t="s">
        <v>99</v>
      </c>
      <c r="G36" s="112" t="s">
        <v>75</v>
      </c>
      <c r="H36" s="112" t="s">
        <v>102</v>
      </c>
      <c r="I36" s="113" t="s">
        <v>77</v>
      </c>
      <c r="J36" s="113" t="s">
        <v>78</v>
      </c>
      <c r="K36" s="113" t="s">
        <v>79</v>
      </c>
      <c r="L36" s="113" t="s">
        <v>12</v>
      </c>
      <c r="M36" s="111" t="str">
        <f>IF(ISBLANK($L36),"",_xlfn.XLOOKUP($L36,'CENTRO CUSTO'!$A:$A,'CENTRO CUSTO'!D:D,FALSE,0))</f>
        <v>Alexandre Ayabe</v>
      </c>
      <c r="N36" s="113" t="s">
        <v>87</v>
      </c>
      <c r="O36" s="114"/>
      <c r="P36" s="113" t="s">
        <v>88</v>
      </c>
      <c r="Q36" s="115">
        <f>10080*Rateio!$E$65/12</f>
        <v>58.800000000000004</v>
      </c>
      <c r="R36" s="115">
        <f>10080*Rateio!$E$65/12</f>
        <v>58.800000000000004</v>
      </c>
      <c r="S36" s="115">
        <f>10080*Rateio!$E$65/12</f>
        <v>58.800000000000004</v>
      </c>
      <c r="T36" s="115">
        <f>10080*Rateio!$E$65/12</f>
        <v>58.800000000000004</v>
      </c>
      <c r="U36" s="115">
        <f>10080*Rateio!$E$65/12</f>
        <v>58.800000000000004</v>
      </c>
      <c r="V36" s="115">
        <f>10080*Rateio!$E$65/12</f>
        <v>58.800000000000004</v>
      </c>
      <c r="W36" s="115">
        <f>10080*Rateio!$E$65/12</f>
        <v>58.800000000000004</v>
      </c>
      <c r="X36" s="115">
        <f>10080*Rateio!$E$65/12</f>
        <v>58.800000000000004</v>
      </c>
      <c r="Y36" s="115">
        <f>10080*Rateio!$E$65/12</f>
        <v>58.800000000000004</v>
      </c>
      <c r="Z36" s="115">
        <f>10080*Rateio!$E$65/12</f>
        <v>58.800000000000004</v>
      </c>
      <c r="AA36" s="115">
        <f>10080*Rateio!$E$65/12</f>
        <v>58.800000000000004</v>
      </c>
      <c r="AB36" s="115">
        <f>10080*Rateio!$E$65/12</f>
        <v>58.800000000000004</v>
      </c>
      <c r="AC36" s="116">
        <f t="shared" si="41"/>
        <v>705.59999999999991</v>
      </c>
      <c r="AD36" s="108"/>
      <c r="AE36" s="117">
        <f>IF(ISBLANK(Q36),"",IF($P36="BRL",Q36,Q36*Macroindicadores!B$2)/1000)</f>
        <v>0.34574400000000005</v>
      </c>
      <c r="AF36" s="117">
        <f>IF(ISBLANK(R36),"",IF($P36="BRL",R36,R36*Macroindicadores!C$2)/1000)</f>
        <v>0.34574400000000005</v>
      </c>
      <c r="AG36" s="117">
        <f>IF(ISBLANK(S36),"",IF($P36="BRL",S36,S36*Macroindicadores!D$2)/1000)</f>
        <v>0.34574400000000005</v>
      </c>
      <c r="AH36" s="117">
        <f>IF(ISBLANK(T36),"",IF($P36="BRL",T36,T36*Macroindicadores!E$2)/1000)</f>
        <v>0.34574400000000005</v>
      </c>
      <c r="AI36" s="117">
        <f>IF(ISBLANK(U36),"",IF($P36="BRL",U36,U36*Macroindicadores!F$2)/1000)</f>
        <v>0.34574400000000005</v>
      </c>
      <c r="AJ36" s="117">
        <f>IF(ISBLANK(V36),"",IF($P36="BRL",V36,V36*Macroindicadores!G$2)/1000)</f>
        <v>0.34574400000000005</v>
      </c>
      <c r="AK36" s="117">
        <f>IF(ISBLANK(W36),"",IF($P36="BRL",W36,W36*Macroindicadores!H$2)/1000)</f>
        <v>0.34574400000000005</v>
      </c>
      <c r="AL36" s="117">
        <f>IF(ISBLANK(X36),"",IF($P36="BRL",X36,X36*Macroindicadores!I$2)/1000)</f>
        <v>0.34574400000000005</v>
      </c>
      <c r="AM36" s="117">
        <f>IF(ISBLANK(Y36),"",IF($P36="BRL",Y36,Y36*Macroindicadores!J$2)/1000)</f>
        <v>0.34574400000000005</v>
      </c>
      <c r="AN36" s="117">
        <f>IF(ISBLANK(Z36),"",IF($P36="BRL",Z36,Z36*Macroindicadores!K$2)/1000)</f>
        <v>0.34574400000000005</v>
      </c>
      <c r="AO36" s="117">
        <f>IF(ISBLANK(AA36),"",IF($P36="BRL",AA36,AA36*Macroindicadores!L$2)/1000)</f>
        <v>0.34574400000000005</v>
      </c>
      <c r="AP36" s="117">
        <f>IF(ISBLANK(AB36),"",IF($P36="BRL",AB36,AB36*Macroindicadores!M$2)/1000)</f>
        <v>0.34574400000000005</v>
      </c>
      <c r="AQ36" s="118">
        <f t="shared" si="35"/>
        <v>4.1489279999999997</v>
      </c>
      <c r="AR36" s="108"/>
      <c r="AS36" s="117">
        <f>IF(ISBLANK(Q36),"",IF(ISBLANK($O36),AE36,IF($J36="ANUAL",AE36*(1+Macroindicadores!B$7),IF(AND($I36="NOVO",MONTH($O36)=MONTH(AS$4)),AE36*(1+Macroindicadores!B$7),IF(AND($J36="PONTUAL",MONTH($O36)=MONTH(AS$4)),AE36*(1+Macroindicadores!B$7),IF(AND($J36="PONTUAL",MONTH($O36)&lt;MONTH(AS$4)),MIN(AR36:$AS36),IF(AND($I36="NOVO",MONTH($O36)&gt;MONTH(AS$4)),AE36,IF(MONTH($O36)&gt;MONTH(AS$4),AE36,IF(MONTH($O36)=MONTH(AS$4),AE36*(1+Macroindicadores!B$7),AR36)))))))))</f>
        <v>0.34574400000000005</v>
      </c>
      <c r="AT36" s="117">
        <f>IF(ISBLANK(R36),"",IF(ISBLANK($O36),AF36,IF($J36="ANUAL",AF36*(1+Macroindicadores!C$7),IF(AND($I36="NOVO",MONTH($O36)=MONTH(AT$4)),AF36*(1+Macroindicadores!C$7),IF(AND($J36="PONTUAL",MONTH($O36)=MONTH(AT$4)),AF36*(1+Macroindicadores!C$7),IF(AND($J36="PONTUAL",MONTH($O36)&lt;MONTH(AT$4)),MIN($AS36:AS36),IF(AND($I36="NOVO",MONTH($O36)&gt;MONTH(AT$4)),AF36,IF(MONTH($O36)&gt;MONTH(AT$4),AF36,IF(MONTH($O36)=MONTH(AT$4),AF36*(1+Macroindicadores!C$7),AS36)))))))))</f>
        <v>0.34574400000000005</v>
      </c>
      <c r="AU36" s="117">
        <f>IF(ISBLANK(S36),"",IF(ISBLANK($O36),AG36,IF($J36="ANUAL",AG36*(1+Macroindicadores!D$7),IF(AND($I36="NOVO",MONTH($O36)=MONTH(AU$4)),AG36*(1+Macroindicadores!D$7),IF(AND($J36="PONTUAL",MONTH($O36)=MONTH(AU$4)),AG36*(1+Macroindicadores!D$7),IF(AND($J36="PONTUAL",MONTH($O36)&lt;MONTH(AU$4)),MIN($AS36:AT36),IF(AND($I36="NOVO",MONTH($O36)&gt;MONTH(AU$4)),AG36,IF(MONTH($O36)&gt;MONTH(AU$4),AG36,IF(MONTH($O36)=MONTH(AU$4),AG36*(1+Macroindicadores!D$7),AT36)))))))))</f>
        <v>0.34574400000000005</v>
      </c>
      <c r="AV36" s="117">
        <f>IF(ISBLANK(T36),"",IF(ISBLANK($O36),AH36,IF($J36="ANUAL",AH36*(1+Macroindicadores!E$7),IF(AND($I36="NOVO",MONTH($O36)=MONTH(AV$4)),AH36*(1+Macroindicadores!E$7),IF(AND($J36="PONTUAL",MONTH($O36)=MONTH(AV$4)),AH36*(1+Macroindicadores!E$7),IF(AND($J36="PONTUAL",MONTH($O36)&lt;MONTH(AV$4)),MIN($AS36:AU36),IF(AND($I36="NOVO",MONTH($O36)&gt;MONTH(AV$4)),AH36,IF(MONTH($O36)&gt;MONTH(AV$4),AH36,IF(MONTH($O36)=MONTH(AV$4),AH36*(1+Macroindicadores!E$7),AU36)))))))))</f>
        <v>0.34574400000000005</v>
      </c>
      <c r="AW36" s="117">
        <f>IF(ISBLANK(U36),"",IF(ISBLANK($O36),AI36,IF($J36="ANUAL",AI36*(1+Macroindicadores!F$7),IF(AND($I36="NOVO",MONTH($O36)=MONTH(AW$4)),AI36*(1+Macroindicadores!F$7),IF(AND($J36="PONTUAL",MONTH($O36)=MONTH(AW$4)),AI36*(1+Macroindicadores!F$7),IF(AND($J36="PONTUAL",MONTH($O36)&lt;MONTH(AW$4)),MIN($AS36:AV36),IF(AND($I36="NOVO",MONTH($O36)&gt;MONTH(AW$4)),AI36,IF(MONTH($O36)&gt;MONTH(AW$4),AI36,IF(MONTH($O36)=MONTH(AW$4),AI36*(1+Macroindicadores!F$7),AV36)))))))))</f>
        <v>0.34574400000000005</v>
      </c>
      <c r="AX36" s="117">
        <f>IF(ISBLANK(V36),"",IF(ISBLANK($O36),AJ36,IF($J36="ANUAL",AJ36*(1+Macroindicadores!G$7),IF(AND($I36="NOVO",MONTH($O36)=MONTH(AX$4)),AJ36*(1+Macroindicadores!G$7),IF(AND($J36="PONTUAL",MONTH($O36)=MONTH(AX$4)),AJ36*(1+Macroindicadores!G$7),IF(AND($J36="PONTUAL",MONTH($O36)&lt;MONTH(AX$4)),MIN($AS36:AW36),IF(AND($I36="NOVO",MONTH($O36)&gt;MONTH(AX$4)),AJ36,IF(MONTH($O36)&gt;MONTH(AX$4),AJ36,IF(MONTH($O36)=MONTH(AX$4),AJ36*(1+Macroindicadores!G$7),AW36)))))))))</f>
        <v>0.34574400000000005</v>
      </c>
      <c r="AY36" s="117">
        <f>IF(ISBLANK(W36),"",IF(ISBLANK($O36),AK36,IF($J36="ANUAL",AK36*(1+Macroindicadores!H$7),IF(AND($I36="NOVO",MONTH($O36)=MONTH(AY$4)),AK36*(1+Macroindicadores!H$7),IF(AND($J36="PONTUAL",MONTH($O36)=MONTH(AY$4)),AK36*(1+Macroindicadores!H$7),IF(AND($J36="PONTUAL",MONTH($O36)&lt;MONTH(AY$4)),MIN($AS36:AX36),IF(AND($I36="NOVO",MONTH($O36)&gt;MONTH(AY$4)),AK36,IF(MONTH($O36)&gt;MONTH(AY$4),AK36,IF(MONTH($O36)=MONTH(AY$4),AK36*(1+Macroindicadores!H$7),AX36)))))))))</f>
        <v>0.34574400000000005</v>
      </c>
      <c r="AZ36" s="117">
        <f>IF(ISBLANK(X36),"",IF(ISBLANK($O36),AL36,IF($J36="ANUAL",AL36*(1+Macroindicadores!I$7),IF(AND($I36="NOVO",MONTH($O36)=MONTH(AZ$4)),AL36*(1+Macroindicadores!I$7),IF(AND($J36="PONTUAL",MONTH($O36)=MONTH(AZ$4)),AL36*(1+Macroindicadores!I$7),IF(AND($J36="PONTUAL",MONTH($O36)&lt;MONTH(AZ$4)),MIN($AS36:AY36),IF(AND($I36="NOVO",MONTH($O36)&gt;MONTH(AZ$4)),AL36,IF(MONTH($O36)&gt;MONTH(AZ$4),AL36,IF(MONTH($O36)=MONTH(AZ$4),AL36*(1+Macroindicadores!I$7),AY36)))))))))</f>
        <v>0.34574400000000005</v>
      </c>
      <c r="BA36" s="117">
        <f>IF(ISBLANK(Y36),"",IF(ISBLANK($O36),AM36,IF($J36="ANUAL",AM36*(1+Macroindicadores!J$7),IF(AND($I36="NOVO",MONTH($O36)=MONTH(BA$4)),AM36*(1+Macroindicadores!J$7),IF(AND($J36="PONTUAL",MONTH($O36)=MONTH(BA$4)),AM36*(1+Macroindicadores!J$7),IF(AND($J36="PONTUAL",MONTH($O36)&lt;MONTH(BA$4)),MIN($AS36:AZ36),IF(AND($I36="NOVO",MONTH($O36)&gt;MONTH(BA$4)),AM36,IF(MONTH($O36)&gt;MONTH(BA$4),AM36,IF(MONTH($O36)=MONTH(BA$4),AM36*(1+Macroindicadores!J$7),AZ36)))))))))</f>
        <v>0.34574400000000005</v>
      </c>
      <c r="BB36" s="117">
        <f>IF(ISBLANK(Z36),"",IF(ISBLANK($O36),AN36,IF($J36="ANUAL",AN36*(1+Macroindicadores!K$7),IF(AND($I36="NOVO",MONTH($O36)=MONTH(BB$4)),AN36*(1+Macroindicadores!K$7),IF(AND($J36="PONTUAL",MONTH($O36)=MONTH(BB$4)),AN36*(1+Macroindicadores!K$7),IF(AND($J36="PONTUAL",MONTH($O36)&lt;MONTH(BB$4)),MIN($AS36:BA36),IF(AND($I36="NOVO",MONTH($O36)&gt;MONTH(BB$4)),AN36,IF(MONTH($O36)&gt;MONTH(BB$4),AN36,IF(MONTH($O36)=MONTH(BB$4),AN36*(1+Macroindicadores!K$7),BA36)))))))))</f>
        <v>0.34574400000000005</v>
      </c>
      <c r="BC36" s="117">
        <f>IF(ISBLANK(AA36),"",IF(ISBLANK($O36),AO36,IF($J36="ANUAL",AO36*(1+Macroindicadores!L$7),IF(AND($I36="NOVO",MONTH($O36)=MONTH(BC$4)),AO36*(1+Macroindicadores!L$7),IF(AND($J36="PONTUAL",MONTH($O36)=MONTH(BC$4)),AO36*(1+Macroindicadores!L$7),IF(AND($J36="PONTUAL",MONTH($O36)&lt;MONTH(BC$4)),MIN($AS36:BB36),IF(AND($I36="NOVO",MONTH($O36)&gt;MONTH(BC$4)),AO36,IF(MONTH($O36)&gt;MONTH(BC$4),AO36,IF(MONTH($O36)=MONTH(BC$4),AO36*(1+Macroindicadores!L$7),BB36)))))))))</f>
        <v>0.34574400000000005</v>
      </c>
      <c r="BD36" s="117">
        <f>IF(ISBLANK(AB36),"",IF(ISBLANK($O36),AP36,IF($J36="ANUAL",AP36*(1+Macroindicadores!M$7),IF(AND($I36="NOVO",MONTH($O36)=MONTH(BD$4)),AP36*(1+Macroindicadores!M$7),IF(AND($J36="PONTUAL",MONTH($O36)=MONTH(BD$4)),AP36*(1+Macroindicadores!M$7),IF(AND($J36="PONTUAL",MONTH($O36)&lt;MONTH(BD$4)),MIN($AS36:BC36),IF(AND($I36="NOVO",MONTH($O36)&gt;MONTH(BD$4)),AP36,IF(MONTH($O36)&gt;MONTH(BD$4),AP36,IF(MONTH($O36)=MONTH(BD$4),AP36*(1+Macroindicadores!M$7),BC36)))))))))</f>
        <v>0.34574400000000005</v>
      </c>
      <c r="BE36" s="118">
        <f t="shared" si="36"/>
        <v>4.1489279999999997</v>
      </c>
      <c r="BF36" s="108"/>
      <c r="BG36" s="117">
        <f>IF(ISBLANK(Q36),"",AS36/Macroindicadores!B$2)</f>
        <v>5.8800000000000012E-2</v>
      </c>
      <c r="BH36" s="117">
        <f>IF(ISBLANK(R36),"",AT36/Macroindicadores!C$2)</f>
        <v>5.8800000000000012E-2</v>
      </c>
      <c r="BI36" s="117">
        <f>IF(ISBLANK(S36),"",AU36/Macroindicadores!D$2)</f>
        <v>5.8800000000000012E-2</v>
      </c>
      <c r="BJ36" s="117">
        <f>IF(ISBLANK(T36),"",AV36/Macroindicadores!E$2)</f>
        <v>5.8800000000000012E-2</v>
      </c>
      <c r="BK36" s="117">
        <f>IF(ISBLANK(U36),"",AW36/Macroindicadores!F$2)</f>
        <v>5.8800000000000012E-2</v>
      </c>
      <c r="BL36" s="117">
        <f>IF(ISBLANK(V36),"",AX36/Macroindicadores!G$2)</f>
        <v>5.8800000000000012E-2</v>
      </c>
      <c r="BM36" s="117">
        <f>IF(ISBLANK(W36),"",AY36/Macroindicadores!H$2)</f>
        <v>5.8800000000000012E-2</v>
      </c>
      <c r="BN36" s="117">
        <f>IF(ISBLANK(X36),"",AZ36/Macroindicadores!I$2)</f>
        <v>5.8800000000000012E-2</v>
      </c>
      <c r="BO36" s="117">
        <f>IF(ISBLANK(Y36),"",BA36/Macroindicadores!J$2)</f>
        <v>5.8800000000000012E-2</v>
      </c>
      <c r="BP36" s="117">
        <f>IF(ISBLANK(Z36),"",BB36/Macroindicadores!K$2)</f>
        <v>5.8800000000000012E-2</v>
      </c>
      <c r="BQ36" s="117">
        <f>IF(ISBLANK(AA36),"",BC36/Macroindicadores!L$2)</f>
        <v>5.8800000000000012E-2</v>
      </c>
      <c r="BR36" s="117">
        <f>IF(ISBLANK(AB36),"",BD36/Macroindicadores!M$2)</f>
        <v>5.8800000000000012E-2</v>
      </c>
      <c r="BS36" s="118">
        <f>IF(AND(ISBLANK($Q36),ISBLANK($R36),ISBLANK($S36),ISBLANK($T36),ISBLANK($U36),ISBLANK($V36),ISBLANK($W36),ISBLANK($X36),ISBLANK($Y36),ISBLANK($Z36),ISBLANK($AA36),ISBLANK($AB36)),"",SUM(BG36:BR36))</f>
        <v>0.7056</v>
      </c>
      <c r="BT36" s="25" t="str">
        <f>IF(ISBLANK($L36),"",_xlfn.XLOOKUP($L36,'CENTRO CUSTO'!$A:$A,'CENTRO CUSTO'!$E:$E,FALSE,0))</f>
        <v>Custo Fixo</v>
      </c>
    </row>
    <row r="37" spans="1:72">
      <c r="A37" s="9" t="str">
        <f t="shared" si="40"/>
        <v>Budget</v>
      </c>
      <c r="B37" s="9">
        <f t="shared" si="44"/>
        <v>2026</v>
      </c>
      <c r="C37" s="111" t="str">
        <f>IF(ISBLANK($L37),"",_xlfn.XLOOKUP($L37,'CENTRO CUSTO'!$A:$A,'CENTRO CUSTO'!F:F,FALSE,0))</f>
        <v>LATAM</v>
      </c>
      <c r="D37" s="111" t="str">
        <f>IF(ISBLANK($L37),"",_xlfn.XLOOKUP($L37,'CENTRO CUSTO'!$A:$A,'CENTRO CUSTO'!G:G,FALSE,0))</f>
        <v>Corporativo</v>
      </c>
      <c r="E37" s="111" t="s">
        <v>103</v>
      </c>
      <c r="F37" s="112" t="s">
        <v>104</v>
      </c>
      <c r="G37" s="112" t="s">
        <v>75</v>
      </c>
      <c r="H37" s="112" t="s">
        <v>105</v>
      </c>
      <c r="I37" s="113" t="s">
        <v>77</v>
      </c>
      <c r="J37" s="113" t="s">
        <v>78</v>
      </c>
      <c r="K37" s="113" t="s">
        <v>79</v>
      </c>
      <c r="L37" s="113" t="s">
        <v>96</v>
      </c>
      <c r="M37" s="111" t="str">
        <f>IF(ISBLANK($L37),"",_xlfn.XLOOKUP($L37,'CENTRO CUSTO'!$A:$A,'CENTRO CUSTO'!D:D,FALSE,0))</f>
        <v>Jimmy Espinosa</v>
      </c>
      <c r="N37" s="113" t="s">
        <v>106</v>
      </c>
      <c r="O37" s="114"/>
      <c r="P37" s="113" t="s">
        <v>88</v>
      </c>
      <c r="Q37" s="115">
        <f>120000/12</f>
        <v>10000</v>
      </c>
      <c r="R37" s="115">
        <f t="shared" ref="R37:AB37" si="45">120000/12</f>
        <v>10000</v>
      </c>
      <c r="S37" s="115">
        <f t="shared" si="45"/>
        <v>10000</v>
      </c>
      <c r="T37" s="115">
        <f t="shared" si="45"/>
        <v>10000</v>
      </c>
      <c r="U37" s="115">
        <f t="shared" si="45"/>
        <v>10000</v>
      </c>
      <c r="V37" s="115">
        <f t="shared" si="45"/>
        <v>10000</v>
      </c>
      <c r="W37" s="115">
        <f t="shared" si="45"/>
        <v>10000</v>
      </c>
      <c r="X37" s="115">
        <f t="shared" si="45"/>
        <v>10000</v>
      </c>
      <c r="Y37" s="115">
        <f t="shared" si="45"/>
        <v>10000</v>
      </c>
      <c r="Z37" s="115">
        <f t="shared" si="45"/>
        <v>10000</v>
      </c>
      <c r="AA37" s="115">
        <f t="shared" si="45"/>
        <v>10000</v>
      </c>
      <c r="AB37" s="115">
        <f t="shared" si="45"/>
        <v>10000</v>
      </c>
      <c r="AC37" s="116">
        <f t="shared" ref="AC37" si="46">IF(AND(ISBLANK($Q37),ISBLANK($R37),ISBLANK($S37),ISBLANK($T37),ISBLANK($U37),ISBLANK($V37),ISBLANK($W37),ISBLANK($X37),ISBLANK($Y37),ISBLANK($Z37),ISBLANK($AA37),ISBLANK($AB37)),"",SUM(Q37:AB37))</f>
        <v>120000</v>
      </c>
      <c r="AD37" s="108"/>
      <c r="AE37" s="117">
        <f>IF(ISBLANK(Q37),"",IF($P37="BRL",Q37,Q37*Macroindicadores!B$2)/1000)</f>
        <v>58.8</v>
      </c>
      <c r="AF37" s="117">
        <f>IF(ISBLANK(R37),"",IF($P37="BRL",R37,R37*Macroindicadores!C$2)/1000)</f>
        <v>58.8</v>
      </c>
      <c r="AG37" s="117">
        <f>IF(ISBLANK(S37),"",IF($P37="BRL",S37,S37*Macroindicadores!D$2)/1000)</f>
        <v>58.8</v>
      </c>
      <c r="AH37" s="117">
        <f>IF(ISBLANK(T37),"",IF($P37="BRL",T37,T37*Macroindicadores!E$2)/1000)</f>
        <v>58.8</v>
      </c>
      <c r="AI37" s="117">
        <f>IF(ISBLANK(U37),"",IF($P37="BRL",U37,U37*Macroindicadores!F$2)/1000)</f>
        <v>58.8</v>
      </c>
      <c r="AJ37" s="117">
        <f>IF(ISBLANK(V37),"",IF($P37="BRL",V37,V37*Macroindicadores!G$2)/1000)</f>
        <v>58.8</v>
      </c>
      <c r="AK37" s="117">
        <f>IF(ISBLANK(W37),"",IF($P37="BRL",W37,W37*Macroindicadores!H$2)/1000)</f>
        <v>58.8</v>
      </c>
      <c r="AL37" s="117">
        <f>IF(ISBLANK(X37),"",IF($P37="BRL",X37,X37*Macroindicadores!I$2)/1000)</f>
        <v>58.8</v>
      </c>
      <c r="AM37" s="117">
        <f>IF(ISBLANK(Y37),"",IF($P37="BRL",Y37,Y37*Macroindicadores!J$2)/1000)</f>
        <v>58.8</v>
      </c>
      <c r="AN37" s="117">
        <f>IF(ISBLANK(Z37),"",IF($P37="BRL",Z37,Z37*Macroindicadores!K$2)/1000)</f>
        <v>58.8</v>
      </c>
      <c r="AO37" s="117">
        <f>IF(ISBLANK(AA37),"",IF($P37="BRL",AA37,AA37*Macroindicadores!L$2)/1000)</f>
        <v>58.8</v>
      </c>
      <c r="AP37" s="117">
        <f>IF(ISBLANK(AB37),"",IF($P37="BRL",AB37,AB37*Macroindicadores!M$2)/1000)</f>
        <v>58.8</v>
      </c>
      <c r="AQ37" s="118">
        <f t="shared" ref="AQ37" si="47">IF(AND(ISBLANK($Q37),ISBLANK($R37),ISBLANK($S37),ISBLANK($T37),ISBLANK($U37),ISBLANK($V37),ISBLANK($W37),ISBLANK($X37),ISBLANK($Y37),ISBLANK($Z37),ISBLANK($AA37),ISBLANK($AB37)),"",SUM(AE37:AP37))</f>
        <v>705.59999999999991</v>
      </c>
      <c r="AR37" s="108"/>
      <c r="AS37" s="117">
        <f>IF(ISBLANK(Q37),"",IF(ISBLANK($O37),AE37,IF($J37="ANUAL",AE37*(1+Macroindicadores!B$7),IF(AND($I37="NOVO",MONTH($O37)=MONTH(AS$4)),AE37*(1+Macroindicadores!B$7),IF(AND($J37="PONTUAL",MONTH($O37)=MONTH(AS$4)),AE37*(1+Macroindicadores!B$7),IF(AND($J37="PONTUAL",MONTH($O37)&lt;MONTH(AS$4)),MIN(AR37:$AS37),IF(AND($I37="NOVO",MONTH($O37)&gt;MONTH(AS$4)),AE37,IF(MONTH($O37)&gt;MONTH(AS$4),AE37,IF(MONTH($O37)=MONTH(AS$4),AE37*(1+Macroindicadores!B$7),AR37)))))))))</f>
        <v>58.8</v>
      </c>
      <c r="AT37" s="117">
        <f>IF(ISBLANK(R37),"",IF(ISBLANK($O37),AF37,IF($J37="ANUAL",AF37*(1+Macroindicadores!C$7),IF(AND($I37="NOVO",MONTH($O37)=MONTH(AT$4)),AF37*(1+Macroindicadores!C$7),IF(AND($J37="PONTUAL",MONTH($O37)=MONTH(AT$4)),AF37*(1+Macroindicadores!C$7),IF(AND($J37="PONTUAL",MONTH($O37)&lt;MONTH(AT$4)),MIN($AS37:AS37),IF(AND($I37="NOVO",MONTH($O37)&gt;MONTH(AT$4)),AF37,IF(MONTH($O37)&gt;MONTH(AT$4),AF37,IF(MONTH($O37)=MONTH(AT$4),AF37*(1+Macroindicadores!C$7),AS37)))))))))</f>
        <v>58.8</v>
      </c>
      <c r="AU37" s="117">
        <f>IF(ISBLANK(S37),"",IF(ISBLANK($O37),AG37,IF($J37="ANUAL",AG37*(1+Macroindicadores!D$7),IF(AND($I37="NOVO",MONTH($O37)=MONTH(AU$4)),AG37*(1+Macroindicadores!D$7),IF(AND($J37="PONTUAL",MONTH($O37)=MONTH(AU$4)),AG37*(1+Macroindicadores!D$7),IF(AND($J37="PONTUAL",MONTH($O37)&lt;MONTH(AU$4)),MIN($AS37:AT37),IF(AND($I37="NOVO",MONTH($O37)&gt;MONTH(AU$4)),AG37,IF(MONTH($O37)&gt;MONTH(AU$4),AG37,IF(MONTH($O37)=MONTH(AU$4),AG37*(1+Macroindicadores!D$7),AT37)))))))))</f>
        <v>58.8</v>
      </c>
      <c r="AV37" s="117">
        <f>IF(ISBLANK(T37),"",IF(ISBLANK($O37),AH37,IF($J37="ANUAL",AH37*(1+Macroindicadores!E$7),IF(AND($I37="NOVO",MONTH($O37)=MONTH(AV$4)),AH37*(1+Macroindicadores!E$7),IF(AND($J37="PONTUAL",MONTH($O37)=MONTH(AV$4)),AH37*(1+Macroindicadores!E$7),IF(AND($J37="PONTUAL",MONTH($O37)&lt;MONTH(AV$4)),MIN($AS37:AU37),IF(AND($I37="NOVO",MONTH($O37)&gt;MONTH(AV$4)),AH37,IF(MONTH($O37)&gt;MONTH(AV$4),AH37,IF(MONTH($O37)=MONTH(AV$4),AH37*(1+Macroindicadores!E$7),AU37)))))))))</f>
        <v>58.8</v>
      </c>
      <c r="AW37" s="117">
        <f>IF(ISBLANK(U37),"",IF(ISBLANK($O37),AI37,IF($J37="ANUAL",AI37*(1+Macroindicadores!F$7),IF(AND($I37="NOVO",MONTH($O37)=MONTH(AW$4)),AI37*(1+Macroindicadores!F$7),IF(AND($J37="PONTUAL",MONTH($O37)=MONTH(AW$4)),AI37*(1+Macroindicadores!F$7),IF(AND($J37="PONTUAL",MONTH($O37)&lt;MONTH(AW$4)),MIN($AS37:AV37),IF(AND($I37="NOVO",MONTH($O37)&gt;MONTH(AW$4)),AI37,IF(MONTH($O37)&gt;MONTH(AW$4),AI37,IF(MONTH($O37)=MONTH(AW$4),AI37*(1+Macroindicadores!F$7),AV37)))))))))</f>
        <v>58.8</v>
      </c>
      <c r="AX37" s="117">
        <f>IF(ISBLANK(V37),"",IF(ISBLANK($O37),AJ37,IF($J37="ANUAL",AJ37*(1+Macroindicadores!G$7),IF(AND($I37="NOVO",MONTH($O37)=MONTH(AX$4)),AJ37*(1+Macroindicadores!G$7),IF(AND($J37="PONTUAL",MONTH($O37)=MONTH(AX$4)),AJ37*(1+Macroindicadores!G$7),IF(AND($J37="PONTUAL",MONTH($O37)&lt;MONTH(AX$4)),MIN($AS37:AW37),IF(AND($I37="NOVO",MONTH($O37)&gt;MONTH(AX$4)),AJ37,IF(MONTH($O37)&gt;MONTH(AX$4),AJ37,IF(MONTH($O37)=MONTH(AX$4),AJ37*(1+Macroindicadores!G$7),AW37)))))))))</f>
        <v>58.8</v>
      </c>
      <c r="AY37" s="117">
        <f>IF(ISBLANK(W37),"",IF(ISBLANK($O37),AK37,IF($J37="ANUAL",AK37*(1+Macroindicadores!H$7),IF(AND($I37="NOVO",MONTH($O37)=MONTH(AY$4)),AK37*(1+Macroindicadores!H$7),IF(AND($J37="PONTUAL",MONTH($O37)=MONTH(AY$4)),AK37*(1+Macroindicadores!H$7),IF(AND($J37="PONTUAL",MONTH($O37)&lt;MONTH(AY$4)),MIN($AS37:AX37),IF(AND($I37="NOVO",MONTH($O37)&gt;MONTH(AY$4)),AK37,IF(MONTH($O37)&gt;MONTH(AY$4),AK37,IF(MONTH($O37)=MONTH(AY$4),AK37*(1+Macroindicadores!H$7),AX37)))))))))</f>
        <v>58.8</v>
      </c>
      <c r="AZ37" s="117">
        <f>IF(ISBLANK(X37),"",IF(ISBLANK($O37),AL37,IF($J37="ANUAL",AL37*(1+Macroindicadores!I$7),IF(AND($I37="NOVO",MONTH($O37)=MONTH(AZ$4)),AL37*(1+Macroindicadores!I$7),IF(AND($J37="PONTUAL",MONTH($O37)=MONTH(AZ$4)),AL37*(1+Macroindicadores!I$7),IF(AND($J37="PONTUAL",MONTH($O37)&lt;MONTH(AZ$4)),MIN($AS37:AY37),IF(AND($I37="NOVO",MONTH($O37)&gt;MONTH(AZ$4)),AL37,IF(MONTH($O37)&gt;MONTH(AZ$4),AL37,IF(MONTH($O37)=MONTH(AZ$4),AL37*(1+Macroindicadores!I$7),AY37)))))))))</f>
        <v>58.8</v>
      </c>
      <c r="BA37" s="117">
        <f>IF(ISBLANK(Y37),"",IF(ISBLANK($O37),AM37,IF($J37="ANUAL",AM37*(1+Macroindicadores!J$7),IF(AND($I37="NOVO",MONTH($O37)=MONTH(BA$4)),AM37*(1+Macroindicadores!J$7),IF(AND($J37="PONTUAL",MONTH($O37)=MONTH(BA$4)),AM37*(1+Macroindicadores!J$7),IF(AND($J37="PONTUAL",MONTH($O37)&lt;MONTH(BA$4)),MIN($AS37:AZ37),IF(AND($I37="NOVO",MONTH($O37)&gt;MONTH(BA$4)),AM37,IF(MONTH($O37)&gt;MONTH(BA$4),AM37,IF(MONTH($O37)=MONTH(BA$4),AM37*(1+Macroindicadores!J$7),AZ37)))))))))</f>
        <v>58.8</v>
      </c>
      <c r="BB37" s="117">
        <f>IF(ISBLANK(Z37),"",IF(ISBLANK($O37),AN37,IF($J37="ANUAL",AN37*(1+Macroindicadores!K$7),IF(AND($I37="NOVO",MONTH($O37)=MONTH(BB$4)),AN37*(1+Macroindicadores!K$7),IF(AND($J37="PONTUAL",MONTH($O37)=MONTH(BB$4)),AN37*(1+Macroindicadores!K$7),IF(AND($J37="PONTUAL",MONTH($O37)&lt;MONTH(BB$4)),MIN($AS37:BA37),IF(AND($I37="NOVO",MONTH($O37)&gt;MONTH(BB$4)),AN37,IF(MONTH($O37)&gt;MONTH(BB$4),AN37,IF(MONTH($O37)=MONTH(BB$4),AN37*(1+Macroindicadores!K$7),BA37)))))))))</f>
        <v>58.8</v>
      </c>
      <c r="BC37" s="117">
        <f>IF(ISBLANK(AA37),"",IF(ISBLANK($O37),AO37,IF($J37="ANUAL",AO37*(1+Macroindicadores!L$7),IF(AND($I37="NOVO",MONTH($O37)=MONTH(BC$4)),AO37*(1+Macroindicadores!L$7),IF(AND($J37="PONTUAL",MONTH($O37)=MONTH(BC$4)),AO37*(1+Macroindicadores!L$7),IF(AND($J37="PONTUAL",MONTH($O37)&lt;MONTH(BC$4)),MIN($AS37:BB37),IF(AND($I37="NOVO",MONTH($O37)&gt;MONTH(BC$4)),AO37,IF(MONTH($O37)&gt;MONTH(BC$4),AO37,IF(MONTH($O37)=MONTH(BC$4),AO37*(1+Macroindicadores!L$7),BB37)))))))))</f>
        <v>58.8</v>
      </c>
      <c r="BD37" s="117">
        <f>IF(ISBLANK(AB37),"",IF(ISBLANK($O37),AP37,IF($J37="ANUAL",AP37*(1+Macroindicadores!M$7),IF(AND($I37="NOVO",MONTH($O37)=MONTH(BD$4)),AP37*(1+Macroindicadores!M$7),IF(AND($J37="PONTUAL",MONTH($O37)=MONTH(BD$4)),AP37*(1+Macroindicadores!M$7),IF(AND($J37="PONTUAL",MONTH($O37)&lt;MONTH(BD$4)),MIN($AS37:BC37),IF(AND($I37="NOVO",MONTH($O37)&gt;MONTH(BD$4)),AP37,IF(MONTH($O37)&gt;MONTH(BD$4),AP37,IF(MONTH($O37)=MONTH(BD$4),AP37*(1+Macroindicadores!M$7),BC37)))))))))</f>
        <v>58.8</v>
      </c>
      <c r="BE37" s="118">
        <f t="shared" ref="BE37" si="48">IF(AND(ISBLANK($Q37),ISBLANK($R37),ISBLANK($S37),ISBLANK($T37),ISBLANK($U37),ISBLANK($V37),ISBLANK($W37),ISBLANK($X37),ISBLANK($Y37),ISBLANK($Z37),ISBLANK($AA37),ISBLANK($AB37)),"",SUM(AS37:BD37))</f>
        <v>705.59999999999991</v>
      </c>
      <c r="BF37" s="108"/>
      <c r="BG37" s="117">
        <f>IF(ISBLANK(Q37),"",AS37/Macroindicadores!B$2)</f>
        <v>10</v>
      </c>
      <c r="BH37" s="117">
        <f>IF(ISBLANK(R37),"",AT37/Macroindicadores!C$2)</f>
        <v>10</v>
      </c>
      <c r="BI37" s="117">
        <f>IF(ISBLANK(S37),"",AU37/Macroindicadores!D$2)</f>
        <v>10</v>
      </c>
      <c r="BJ37" s="117">
        <f>IF(ISBLANK(T37),"",AV37/Macroindicadores!E$2)</f>
        <v>10</v>
      </c>
      <c r="BK37" s="117">
        <f>IF(ISBLANK(U37),"",AW37/Macroindicadores!F$2)</f>
        <v>10</v>
      </c>
      <c r="BL37" s="117">
        <f>IF(ISBLANK(V37),"",AX37/Macroindicadores!G$2)</f>
        <v>10</v>
      </c>
      <c r="BM37" s="117">
        <f>IF(ISBLANK(W37),"",AY37/Macroindicadores!H$2)</f>
        <v>10</v>
      </c>
      <c r="BN37" s="117">
        <f>IF(ISBLANK(X37),"",AZ37/Macroindicadores!I$2)</f>
        <v>10</v>
      </c>
      <c r="BO37" s="117">
        <f>IF(ISBLANK(Y37),"",BA37/Macroindicadores!J$2)</f>
        <v>10</v>
      </c>
      <c r="BP37" s="117">
        <f>IF(ISBLANK(Z37),"",BB37/Macroindicadores!K$2)</f>
        <v>10</v>
      </c>
      <c r="BQ37" s="117">
        <f>IF(ISBLANK(AA37),"",BC37/Macroindicadores!L$2)</f>
        <v>10</v>
      </c>
      <c r="BR37" s="117">
        <f>IF(ISBLANK(AB37),"",BD37/Macroindicadores!M$2)</f>
        <v>10</v>
      </c>
      <c r="BS37" s="118">
        <f>IF(AND(ISBLANK($Q37),ISBLANK($R37),ISBLANK($S37),ISBLANK($T37),ISBLANK($U37),ISBLANK($V37),ISBLANK($W37),ISBLANK($X37),ISBLANK($Y37),ISBLANK($Z37),ISBLANK($AA37),ISBLANK($AB37)),"",SUM(BG37:BR37))</f>
        <v>120</v>
      </c>
      <c r="BT37" s="25" t="str">
        <f>IF(ISBLANK($L37),"",_xlfn.XLOOKUP($L37,'CENTRO CUSTO'!$A:$A,'CENTRO CUSTO'!$E:$E,FALSE,0))</f>
        <v>G&amp;A CP</v>
      </c>
    </row>
    <row r="38" spans="1:72">
      <c r="A38" s="9" t="str">
        <f t="shared" si="40"/>
        <v>Budget</v>
      </c>
      <c r="B38" s="9">
        <f t="shared" si="44"/>
        <v>2026</v>
      </c>
      <c r="C38" s="111" t="str">
        <f>IF(ISBLANK($L38),"",_xlfn.XLOOKUP($L38,'CENTRO CUSTO'!$A:$A,'CENTRO CUSTO'!F:F,FALSE,0))</f>
        <v>Martini Meat</v>
      </c>
      <c r="D38" s="111" t="str">
        <f>IF(ISBLANK($L38),"",_xlfn.XLOOKUP($L38,'CENTRO CUSTO'!$A:$A,'CENTRO CUSTO'!G:G,FALSE,0))</f>
        <v>Itajaí</v>
      </c>
      <c r="E38" s="111" t="str">
        <f>IF(ISBLANK($L38),"",_xlfn.XLOOKUP($L38,'CENTRO CUSTO'!$A:$A,'CENTRO CUSTO'!H:H,FALSE,0))</f>
        <v>Frigorífico</v>
      </c>
      <c r="F38" s="112" t="s">
        <v>99</v>
      </c>
      <c r="G38" s="112" t="s">
        <v>75</v>
      </c>
      <c r="H38" s="112" t="s">
        <v>102</v>
      </c>
      <c r="I38" s="113" t="s">
        <v>77</v>
      </c>
      <c r="J38" s="113" t="s">
        <v>78</v>
      </c>
      <c r="K38" s="113" t="s">
        <v>79</v>
      </c>
      <c r="L38" s="113" t="s">
        <v>27</v>
      </c>
      <c r="M38" s="111" t="str">
        <f>IF(ISBLANK($L38),"",_xlfn.XLOOKUP($L38,'CENTRO CUSTO'!$A:$A,'CENTRO CUSTO'!D:D,FALSE,0))</f>
        <v>Alexandre Ayabe</v>
      </c>
      <c r="N38" s="113" t="s">
        <v>87</v>
      </c>
      <c r="O38" s="114"/>
      <c r="P38" s="113" t="s">
        <v>88</v>
      </c>
      <c r="Q38" s="115">
        <f>10080*Rateio!$E$73/12</f>
        <v>42</v>
      </c>
      <c r="R38" s="115">
        <f>10080*Rateio!$E$73/12</f>
        <v>42</v>
      </c>
      <c r="S38" s="115">
        <f>10080*Rateio!$E$73/12</f>
        <v>42</v>
      </c>
      <c r="T38" s="115">
        <f>10080*Rateio!$E$73/12</f>
        <v>42</v>
      </c>
      <c r="U38" s="115">
        <f>10080*Rateio!$E$73/12</f>
        <v>42</v>
      </c>
      <c r="V38" s="115">
        <f>10080*Rateio!$E$73/12</f>
        <v>42</v>
      </c>
      <c r="W38" s="115">
        <f>10080*Rateio!$E$73/12</f>
        <v>42</v>
      </c>
      <c r="X38" s="115">
        <f>10080*Rateio!$E$73/12</f>
        <v>42</v>
      </c>
      <c r="Y38" s="115">
        <f>10080*Rateio!$E$73/12</f>
        <v>42</v>
      </c>
      <c r="Z38" s="115">
        <f>10080*Rateio!$E$73/12</f>
        <v>42</v>
      </c>
      <c r="AA38" s="115">
        <f>10080*Rateio!$E$73/12</f>
        <v>42</v>
      </c>
      <c r="AB38" s="115">
        <f>10080*Rateio!$E$73/12</f>
        <v>42</v>
      </c>
      <c r="AC38" s="116">
        <f t="shared" si="41"/>
        <v>504</v>
      </c>
      <c r="AD38" s="108"/>
      <c r="AE38" s="117">
        <f>IF(ISBLANK(Q38),"",IF($P38="BRL",Q38,Q38*Macroindicadores!B$2)/1000)</f>
        <v>0.24696000000000001</v>
      </c>
      <c r="AF38" s="117">
        <f>IF(ISBLANK(R38),"",IF($P38="BRL",R38,R38*Macroindicadores!C$2)/1000)</f>
        <v>0.24696000000000001</v>
      </c>
      <c r="AG38" s="117">
        <f>IF(ISBLANK(S38),"",IF($P38="BRL",S38,S38*Macroindicadores!D$2)/1000)</f>
        <v>0.24696000000000001</v>
      </c>
      <c r="AH38" s="117">
        <f>IF(ISBLANK(T38),"",IF($P38="BRL",T38,T38*Macroindicadores!E$2)/1000)</f>
        <v>0.24696000000000001</v>
      </c>
      <c r="AI38" s="117">
        <f>IF(ISBLANK(U38),"",IF($P38="BRL",U38,U38*Macroindicadores!F$2)/1000)</f>
        <v>0.24696000000000001</v>
      </c>
      <c r="AJ38" s="117">
        <f>IF(ISBLANK(V38),"",IF($P38="BRL",V38,V38*Macroindicadores!G$2)/1000)</f>
        <v>0.24696000000000001</v>
      </c>
      <c r="AK38" s="117">
        <f>IF(ISBLANK(W38),"",IF($P38="BRL",W38,W38*Macroindicadores!H$2)/1000)</f>
        <v>0.24696000000000001</v>
      </c>
      <c r="AL38" s="117">
        <f>IF(ISBLANK(X38),"",IF($P38="BRL",X38,X38*Macroindicadores!I$2)/1000)</f>
        <v>0.24696000000000001</v>
      </c>
      <c r="AM38" s="117">
        <f>IF(ISBLANK(Y38),"",IF($P38="BRL",Y38,Y38*Macroindicadores!J$2)/1000)</f>
        <v>0.24696000000000001</v>
      </c>
      <c r="AN38" s="117">
        <f>IF(ISBLANK(Z38),"",IF($P38="BRL",Z38,Z38*Macroindicadores!K$2)/1000)</f>
        <v>0.24696000000000001</v>
      </c>
      <c r="AO38" s="117">
        <f>IF(ISBLANK(AA38),"",IF($P38="BRL",AA38,AA38*Macroindicadores!L$2)/1000)</f>
        <v>0.24696000000000001</v>
      </c>
      <c r="AP38" s="117">
        <f>IF(ISBLANK(AB38),"",IF($P38="BRL",AB38,AB38*Macroindicadores!M$2)/1000)</f>
        <v>0.24696000000000001</v>
      </c>
      <c r="AQ38" s="118">
        <f t="shared" si="35"/>
        <v>2.9635200000000004</v>
      </c>
      <c r="AR38" s="108"/>
      <c r="AS38" s="117">
        <f>IF(ISBLANK(Q38),"",IF(ISBLANK($O38),AE38,IF($J38="ANUAL",AE38*(1+Macroindicadores!B$7),IF(AND($I38="NOVO",MONTH($O38)=MONTH(AS$4)),AE38*(1+Macroindicadores!B$7),IF(AND($J38="PONTUAL",MONTH($O38)=MONTH(AS$4)),AE38*(1+Macroindicadores!B$7),IF(AND($J38="PONTUAL",MONTH($O38)&lt;MONTH(AS$4)),MIN(AR38:$AS38),IF(AND($I38="NOVO",MONTH($O38)&gt;MONTH(AS$4)),AE38,IF(MONTH($O38)&gt;MONTH(AS$4),AE38,IF(MONTH($O38)=MONTH(AS$4),AE38*(1+Macroindicadores!B$7),AR38)))))))))</f>
        <v>0.24696000000000001</v>
      </c>
      <c r="AT38" s="117">
        <f>IF(ISBLANK(R38),"",IF(ISBLANK($O38),AF38,IF($J38="ANUAL",AF38*(1+Macroindicadores!C$7),IF(AND($I38="NOVO",MONTH($O38)=MONTH(AT$4)),AF38*(1+Macroindicadores!C$7),IF(AND($J38="PONTUAL",MONTH($O38)=MONTH(AT$4)),AF38*(1+Macroindicadores!C$7),IF(AND($J38="PONTUAL",MONTH($O38)&lt;MONTH(AT$4)),MIN($AS38:AS38),IF(AND($I38="NOVO",MONTH($O38)&gt;MONTH(AT$4)),AF38,IF(MONTH($O38)&gt;MONTH(AT$4),AF38,IF(MONTH($O38)=MONTH(AT$4),AF38*(1+Macroindicadores!C$7),AS38)))))))))</f>
        <v>0.24696000000000001</v>
      </c>
      <c r="AU38" s="117">
        <f>IF(ISBLANK(S38),"",IF(ISBLANK($O38),AG38,IF($J38="ANUAL",AG38*(1+Macroindicadores!D$7),IF(AND($I38="NOVO",MONTH($O38)=MONTH(AU$4)),AG38*(1+Macroindicadores!D$7),IF(AND($J38="PONTUAL",MONTH($O38)=MONTH(AU$4)),AG38*(1+Macroindicadores!D$7),IF(AND($J38="PONTUAL",MONTH($O38)&lt;MONTH(AU$4)),MIN($AS38:AT38),IF(AND($I38="NOVO",MONTH($O38)&gt;MONTH(AU$4)),AG38,IF(MONTH($O38)&gt;MONTH(AU$4),AG38,IF(MONTH($O38)=MONTH(AU$4),AG38*(1+Macroindicadores!D$7),AT38)))))))))</f>
        <v>0.24696000000000001</v>
      </c>
      <c r="AV38" s="117">
        <f>IF(ISBLANK(T38),"",IF(ISBLANK($O38),AH38,IF($J38="ANUAL",AH38*(1+Macroindicadores!E$7),IF(AND($I38="NOVO",MONTH($O38)=MONTH(AV$4)),AH38*(1+Macroindicadores!E$7),IF(AND($J38="PONTUAL",MONTH($O38)=MONTH(AV$4)),AH38*(1+Macroindicadores!E$7),IF(AND($J38="PONTUAL",MONTH($O38)&lt;MONTH(AV$4)),MIN($AS38:AU38),IF(AND($I38="NOVO",MONTH($O38)&gt;MONTH(AV$4)),AH38,IF(MONTH($O38)&gt;MONTH(AV$4),AH38,IF(MONTH($O38)=MONTH(AV$4),AH38*(1+Macroindicadores!E$7),AU38)))))))))</f>
        <v>0.24696000000000001</v>
      </c>
      <c r="AW38" s="117">
        <f>IF(ISBLANK(U38),"",IF(ISBLANK($O38),AI38,IF($J38="ANUAL",AI38*(1+Macroindicadores!F$7),IF(AND($I38="NOVO",MONTH($O38)=MONTH(AW$4)),AI38*(1+Macroindicadores!F$7),IF(AND($J38="PONTUAL",MONTH($O38)=MONTH(AW$4)),AI38*(1+Macroindicadores!F$7),IF(AND($J38="PONTUAL",MONTH($O38)&lt;MONTH(AW$4)),MIN($AS38:AV38),IF(AND($I38="NOVO",MONTH($O38)&gt;MONTH(AW$4)),AI38,IF(MONTH($O38)&gt;MONTH(AW$4),AI38,IF(MONTH($O38)=MONTH(AW$4),AI38*(1+Macroindicadores!F$7),AV38)))))))))</f>
        <v>0.24696000000000001</v>
      </c>
      <c r="AX38" s="117">
        <f>IF(ISBLANK(V38),"",IF(ISBLANK($O38),AJ38,IF($J38="ANUAL",AJ38*(1+Macroindicadores!G$7),IF(AND($I38="NOVO",MONTH($O38)=MONTH(AX$4)),AJ38*(1+Macroindicadores!G$7),IF(AND($J38="PONTUAL",MONTH($O38)=MONTH(AX$4)),AJ38*(1+Macroindicadores!G$7),IF(AND($J38="PONTUAL",MONTH($O38)&lt;MONTH(AX$4)),MIN($AS38:AW38),IF(AND($I38="NOVO",MONTH($O38)&gt;MONTH(AX$4)),AJ38,IF(MONTH($O38)&gt;MONTH(AX$4),AJ38,IF(MONTH($O38)=MONTH(AX$4),AJ38*(1+Macroindicadores!G$7),AW38)))))))))</f>
        <v>0.24696000000000001</v>
      </c>
      <c r="AY38" s="117">
        <f>IF(ISBLANK(W38),"",IF(ISBLANK($O38),AK38,IF($J38="ANUAL",AK38*(1+Macroindicadores!H$7),IF(AND($I38="NOVO",MONTH($O38)=MONTH(AY$4)),AK38*(1+Macroindicadores!H$7),IF(AND($J38="PONTUAL",MONTH($O38)=MONTH(AY$4)),AK38*(1+Macroindicadores!H$7),IF(AND($J38="PONTUAL",MONTH($O38)&lt;MONTH(AY$4)),MIN($AS38:AX38),IF(AND($I38="NOVO",MONTH($O38)&gt;MONTH(AY$4)),AK38,IF(MONTH($O38)&gt;MONTH(AY$4),AK38,IF(MONTH($O38)=MONTH(AY$4),AK38*(1+Macroindicadores!H$7),AX38)))))))))</f>
        <v>0.24696000000000001</v>
      </c>
      <c r="AZ38" s="117">
        <f>IF(ISBLANK(X38),"",IF(ISBLANK($O38),AL38,IF($J38="ANUAL",AL38*(1+Macroindicadores!I$7),IF(AND($I38="NOVO",MONTH($O38)=MONTH(AZ$4)),AL38*(1+Macroindicadores!I$7),IF(AND($J38="PONTUAL",MONTH($O38)=MONTH(AZ$4)),AL38*(1+Macroindicadores!I$7),IF(AND($J38="PONTUAL",MONTH($O38)&lt;MONTH(AZ$4)),MIN($AS38:AY38),IF(AND($I38="NOVO",MONTH($O38)&gt;MONTH(AZ$4)),AL38,IF(MONTH($O38)&gt;MONTH(AZ$4),AL38,IF(MONTH($O38)=MONTH(AZ$4),AL38*(1+Macroindicadores!I$7),AY38)))))))))</f>
        <v>0.24696000000000001</v>
      </c>
      <c r="BA38" s="117">
        <f>IF(ISBLANK(Y38),"",IF(ISBLANK($O38),AM38,IF($J38="ANUAL",AM38*(1+Macroindicadores!J$7),IF(AND($I38="NOVO",MONTH($O38)=MONTH(BA$4)),AM38*(1+Macroindicadores!J$7),IF(AND($J38="PONTUAL",MONTH($O38)=MONTH(BA$4)),AM38*(1+Macroindicadores!J$7),IF(AND($J38="PONTUAL",MONTH($O38)&lt;MONTH(BA$4)),MIN($AS38:AZ38),IF(AND($I38="NOVO",MONTH($O38)&gt;MONTH(BA$4)),AM38,IF(MONTH($O38)&gt;MONTH(BA$4),AM38,IF(MONTH($O38)=MONTH(BA$4),AM38*(1+Macroindicadores!J$7),AZ38)))))))))</f>
        <v>0.24696000000000001</v>
      </c>
      <c r="BB38" s="117">
        <f>IF(ISBLANK(Z38),"",IF(ISBLANK($O38),AN38,IF($J38="ANUAL",AN38*(1+Macroindicadores!K$7),IF(AND($I38="NOVO",MONTH($O38)=MONTH(BB$4)),AN38*(1+Macroindicadores!K$7),IF(AND($J38="PONTUAL",MONTH($O38)=MONTH(BB$4)),AN38*(1+Macroindicadores!K$7),IF(AND($J38="PONTUAL",MONTH($O38)&lt;MONTH(BB$4)),MIN($AS38:BA38),IF(AND($I38="NOVO",MONTH($O38)&gt;MONTH(BB$4)),AN38,IF(MONTH($O38)&gt;MONTH(BB$4),AN38,IF(MONTH($O38)=MONTH(BB$4),AN38*(1+Macroindicadores!K$7),BA38)))))))))</f>
        <v>0.24696000000000001</v>
      </c>
      <c r="BC38" s="117">
        <f>IF(ISBLANK(AA38),"",IF(ISBLANK($O38),AO38,IF($J38="ANUAL",AO38*(1+Macroindicadores!L$7),IF(AND($I38="NOVO",MONTH($O38)=MONTH(BC$4)),AO38*(1+Macroindicadores!L$7),IF(AND($J38="PONTUAL",MONTH($O38)=MONTH(BC$4)),AO38*(1+Macroindicadores!L$7),IF(AND($J38="PONTUAL",MONTH($O38)&lt;MONTH(BC$4)),MIN($AS38:BB38),IF(AND($I38="NOVO",MONTH($O38)&gt;MONTH(BC$4)),AO38,IF(MONTH($O38)&gt;MONTH(BC$4),AO38,IF(MONTH($O38)=MONTH(BC$4),AO38*(1+Macroindicadores!L$7),BB38)))))))))</f>
        <v>0.24696000000000001</v>
      </c>
      <c r="BD38" s="117">
        <f>IF(ISBLANK(AB38),"",IF(ISBLANK($O38),AP38,IF($J38="ANUAL",AP38*(1+Macroindicadores!M$7),IF(AND($I38="NOVO",MONTH($O38)=MONTH(BD$4)),AP38*(1+Macroindicadores!M$7),IF(AND($J38="PONTUAL",MONTH($O38)=MONTH(BD$4)),AP38*(1+Macroindicadores!M$7),IF(AND($J38="PONTUAL",MONTH($O38)&lt;MONTH(BD$4)),MIN($AS38:BC38),IF(AND($I38="NOVO",MONTH($O38)&gt;MONTH(BD$4)),AP38,IF(MONTH($O38)&gt;MONTH(BD$4),AP38,IF(MONTH($O38)=MONTH(BD$4),AP38*(1+Macroindicadores!M$7),BC38)))))))))</f>
        <v>0.24696000000000001</v>
      </c>
      <c r="BE38" s="118">
        <f t="shared" si="36"/>
        <v>2.9635200000000004</v>
      </c>
      <c r="BF38" s="108"/>
      <c r="BG38" s="117">
        <f>IF(ISBLANK(Q38),"",AS38/Macroindicadores!B$2)</f>
        <v>4.2000000000000003E-2</v>
      </c>
      <c r="BH38" s="117">
        <f>IF(ISBLANK(R38),"",AT38/Macroindicadores!C$2)</f>
        <v>4.2000000000000003E-2</v>
      </c>
      <c r="BI38" s="117">
        <f>IF(ISBLANK(S38),"",AU38/Macroindicadores!D$2)</f>
        <v>4.2000000000000003E-2</v>
      </c>
      <c r="BJ38" s="117">
        <f>IF(ISBLANK(T38),"",AV38/Macroindicadores!E$2)</f>
        <v>4.2000000000000003E-2</v>
      </c>
      <c r="BK38" s="117">
        <f>IF(ISBLANK(U38),"",AW38/Macroindicadores!F$2)</f>
        <v>4.2000000000000003E-2</v>
      </c>
      <c r="BL38" s="117">
        <f>IF(ISBLANK(V38),"",AX38/Macroindicadores!G$2)</f>
        <v>4.2000000000000003E-2</v>
      </c>
      <c r="BM38" s="117">
        <f>IF(ISBLANK(W38),"",AY38/Macroindicadores!H$2)</f>
        <v>4.2000000000000003E-2</v>
      </c>
      <c r="BN38" s="117">
        <f>IF(ISBLANK(X38),"",AZ38/Macroindicadores!I$2)</f>
        <v>4.2000000000000003E-2</v>
      </c>
      <c r="BO38" s="117">
        <f>IF(ISBLANK(Y38),"",BA38/Macroindicadores!J$2)</f>
        <v>4.2000000000000003E-2</v>
      </c>
      <c r="BP38" s="117">
        <f>IF(ISBLANK(Z38),"",BB38/Macroindicadores!K$2)</f>
        <v>4.2000000000000003E-2</v>
      </c>
      <c r="BQ38" s="117">
        <f>IF(ISBLANK(AA38),"",BC38/Macroindicadores!L$2)</f>
        <v>4.2000000000000003E-2</v>
      </c>
      <c r="BR38" s="117">
        <f>IF(ISBLANK(AB38),"",BD38/Macroindicadores!M$2)</f>
        <v>4.2000000000000003E-2</v>
      </c>
      <c r="BS38" s="118">
        <f>IF(AND(ISBLANK($Q38),ISBLANK($R38),ISBLANK($S38),ISBLANK($T38),ISBLANK($U38),ISBLANK($V38),ISBLANK($W38),ISBLANK($X38),ISBLANK($Y38),ISBLANK($Z38),ISBLANK($AA38),ISBLANK($AB38)),"",SUM(BG38:BR38))</f>
        <v>0.50399999999999989</v>
      </c>
      <c r="BT38" s="25" t="str">
        <f>IF(ISBLANK($L38),"",_xlfn.XLOOKUP($L38,'CENTRO CUSTO'!$A:$A,'CENTRO CUSTO'!$E:$E,FALSE,0))</f>
        <v>Custo Fixo</v>
      </c>
    </row>
    <row r="39" spans="1:72">
      <c r="A39" s="9" t="str">
        <f t="shared" si="40"/>
        <v>Budget</v>
      </c>
      <c r="B39" s="9">
        <f t="shared" si="44"/>
        <v>2026</v>
      </c>
      <c r="C39" s="111" t="str">
        <f>IF(ISBLANK($L39),"",_xlfn.XLOOKUP($L39,'CENTRO CUSTO'!$A:$A,'CENTRO CUSTO'!F:F,FALSE,0))</f>
        <v>Martini Meat</v>
      </c>
      <c r="D39" s="111" t="str">
        <f>IF(ISBLANK($L39),"",_xlfn.XLOOKUP($L39,'CENTRO CUSTO'!$A:$A,'CENTRO CUSTO'!G:G,FALSE,0))</f>
        <v>Rio Grande</v>
      </c>
      <c r="E39" s="111" t="str">
        <f>IF(ISBLANK($L39),"",_xlfn.XLOOKUP($L39,'CENTRO CUSTO'!$A:$A,'CENTRO CUSTO'!H:H,FALSE,0))</f>
        <v>Frigorífico</v>
      </c>
      <c r="F39" s="112" t="s">
        <v>99</v>
      </c>
      <c r="G39" s="112" t="s">
        <v>75</v>
      </c>
      <c r="H39" s="112" t="s">
        <v>102</v>
      </c>
      <c r="I39" s="113" t="s">
        <v>77</v>
      </c>
      <c r="J39" s="113" t="s">
        <v>78</v>
      </c>
      <c r="K39" s="113" t="s">
        <v>79</v>
      </c>
      <c r="L39" s="113" t="s">
        <v>21</v>
      </c>
      <c r="M39" s="111" t="str">
        <f>IF(ISBLANK($L39),"",_xlfn.XLOOKUP($L39,'CENTRO CUSTO'!$A:$A,'CENTRO CUSTO'!D:D,FALSE,0))</f>
        <v>Alexandre Ayabe</v>
      </c>
      <c r="N39" s="113" t="s">
        <v>87</v>
      </c>
      <c r="O39" s="114"/>
      <c r="P39" s="113" t="s">
        <v>88</v>
      </c>
      <c r="Q39" s="115">
        <f>10080*Rateio!$E$69/12</f>
        <v>42</v>
      </c>
      <c r="R39" s="115">
        <f>10080*Rateio!$E$69/12</f>
        <v>42</v>
      </c>
      <c r="S39" s="115">
        <f>10080*Rateio!$E$69/12</f>
        <v>42</v>
      </c>
      <c r="T39" s="115">
        <f>10080*Rateio!$E$69/12</f>
        <v>42</v>
      </c>
      <c r="U39" s="115">
        <f>10080*Rateio!$E$69/12</f>
        <v>42</v>
      </c>
      <c r="V39" s="115">
        <f>10080*Rateio!$E$69/12</f>
        <v>42</v>
      </c>
      <c r="W39" s="115">
        <f>10080*Rateio!$E$69/12</f>
        <v>42</v>
      </c>
      <c r="X39" s="115">
        <f>10080*Rateio!$E$69/12</f>
        <v>42</v>
      </c>
      <c r="Y39" s="115">
        <f>10080*Rateio!$E$69/12</f>
        <v>42</v>
      </c>
      <c r="Z39" s="115">
        <f>10080*Rateio!$E$69/12</f>
        <v>42</v>
      </c>
      <c r="AA39" s="115">
        <f>10080*Rateio!$E$69/12</f>
        <v>42</v>
      </c>
      <c r="AB39" s="115">
        <f>10080*Rateio!$E$69/12</f>
        <v>42</v>
      </c>
      <c r="AC39" s="116">
        <f t="shared" si="41"/>
        <v>504</v>
      </c>
      <c r="AD39" s="108"/>
      <c r="AE39" s="117">
        <f>IF(ISBLANK(Q39),"",IF($P39="BRL",Q39,Q39*Macroindicadores!B$2)/1000)</f>
        <v>0.24696000000000001</v>
      </c>
      <c r="AF39" s="117">
        <f>IF(ISBLANK(R39),"",IF($P39="BRL",R39,R39*Macroindicadores!C$2)/1000)</f>
        <v>0.24696000000000001</v>
      </c>
      <c r="AG39" s="117">
        <f>IF(ISBLANK(S39),"",IF($P39="BRL",S39,S39*Macroindicadores!D$2)/1000)</f>
        <v>0.24696000000000001</v>
      </c>
      <c r="AH39" s="117">
        <f>IF(ISBLANK(T39),"",IF($P39="BRL",T39,T39*Macroindicadores!E$2)/1000)</f>
        <v>0.24696000000000001</v>
      </c>
      <c r="AI39" s="117">
        <f>IF(ISBLANK(U39),"",IF($P39="BRL",U39,U39*Macroindicadores!F$2)/1000)</f>
        <v>0.24696000000000001</v>
      </c>
      <c r="AJ39" s="117">
        <f>IF(ISBLANK(V39),"",IF($P39="BRL",V39,V39*Macroindicadores!G$2)/1000)</f>
        <v>0.24696000000000001</v>
      </c>
      <c r="AK39" s="117">
        <f>IF(ISBLANK(W39),"",IF($P39="BRL",W39,W39*Macroindicadores!H$2)/1000)</f>
        <v>0.24696000000000001</v>
      </c>
      <c r="AL39" s="117">
        <f>IF(ISBLANK(X39),"",IF($P39="BRL",X39,X39*Macroindicadores!I$2)/1000)</f>
        <v>0.24696000000000001</v>
      </c>
      <c r="AM39" s="117">
        <f>IF(ISBLANK(Y39),"",IF($P39="BRL",Y39,Y39*Macroindicadores!J$2)/1000)</f>
        <v>0.24696000000000001</v>
      </c>
      <c r="AN39" s="117">
        <f>IF(ISBLANK(Z39),"",IF($P39="BRL",Z39,Z39*Macroindicadores!K$2)/1000)</f>
        <v>0.24696000000000001</v>
      </c>
      <c r="AO39" s="117">
        <f>IF(ISBLANK(AA39),"",IF($P39="BRL",AA39,AA39*Macroindicadores!L$2)/1000)</f>
        <v>0.24696000000000001</v>
      </c>
      <c r="AP39" s="117">
        <f>IF(ISBLANK(AB39),"",IF($P39="BRL",AB39,AB39*Macroindicadores!M$2)/1000)</f>
        <v>0.24696000000000001</v>
      </c>
      <c r="AQ39" s="118">
        <f t="shared" si="35"/>
        <v>2.9635200000000004</v>
      </c>
      <c r="AR39" s="108"/>
      <c r="AS39" s="117">
        <f>IF(ISBLANK(Q39),"",IF(ISBLANK($O39),AE39,IF($J39="ANUAL",AE39*(1+Macroindicadores!B$7),IF(AND($I39="NOVO",MONTH($O39)=MONTH(AS$4)),AE39*(1+Macroindicadores!B$7),IF(AND($J39="PONTUAL",MONTH($O39)=MONTH(AS$4)),AE39*(1+Macroindicadores!B$7),IF(AND($J39="PONTUAL",MONTH($O39)&lt;MONTH(AS$4)),MIN(AR39:$AS39),IF(AND($I39="NOVO",MONTH($O39)&gt;MONTH(AS$4)),AE39,IF(MONTH($O39)&gt;MONTH(AS$4),AE39,IF(MONTH($O39)=MONTH(AS$4),AE39*(1+Macroindicadores!B$7),AR39)))))))))</f>
        <v>0.24696000000000001</v>
      </c>
      <c r="AT39" s="117">
        <f>IF(ISBLANK(R39),"",IF(ISBLANK($O39),AF39,IF($J39="ANUAL",AF39*(1+Macroindicadores!C$7),IF(AND($I39="NOVO",MONTH($O39)=MONTH(AT$4)),AF39*(1+Macroindicadores!C$7),IF(AND($J39="PONTUAL",MONTH($O39)=MONTH(AT$4)),AF39*(1+Macroindicadores!C$7),IF(AND($J39="PONTUAL",MONTH($O39)&lt;MONTH(AT$4)),MIN($AS39:AS39),IF(AND($I39="NOVO",MONTH($O39)&gt;MONTH(AT$4)),AF39,IF(MONTH($O39)&gt;MONTH(AT$4),AF39,IF(MONTH($O39)=MONTH(AT$4),AF39*(1+Macroindicadores!C$7),AS39)))))))))</f>
        <v>0.24696000000000001</v>
      </c>
      <c r="AU39" s="117">
        <f>IF(ISBLANK(S39),"",IF(ISBLANK($O39),AG39,IF($J39="ANUAL",AG39*(1+Macroindicadores!D$7),IF(AND($I39="NOVO",MONTH($O39)=MONTH(AU$4)),AG39*(1+Macroindicadores!D$7),IF(AND($J39="PONTUAL",MONTH($O39)=MONTH(AU$4)),AG39*(1+Macroindicadores!D$7),IF(AND($J39="PONTUAL",MONTH($O39)&lt;MONTH(AU$4)),MIN($AS39:AT39),IF(AND($I39="NOVO",MONTH($O39)&gt;MONTH(AU$4)),AG39,IF(MONTH($O39)&gt;MONTH(AU$4),AG39,IF(MONTH($O39)=MONTH(AU$4),AG39*(1+Macroindicadores!D$7),AT39)))))))))</f>
        <v>0.24696000000000001</v>
      </c>
      <c r="AV39" s="117">
        <f>IF(ISBLANK(T39),"",IF(ISBLANK($O39),AH39,IF($J39="ANUAL",AH39*(1+Macroindicadores!E$7),IF(AND($I39="NOVO",MONTH($O39)=MONTH(AV$4)),AH39*(1+Macroindicadores!E$7),IF(AND($J39="PONTUAL",MONTH($O39)=MONTH(AV$4)),AH39*(1+Macroindicadores!E$7),IF(AND($J39="PONTUAL",MONTH($O39)&lt;MONTH(AV$4)),MIN($AS39:AU39),IF(AND($I39="NOVO",MONTH($O39)&gt;MONTH(AV$4)),AH39,IF(MONTH($O39)&gt;MONTH(AV$4),AH39,IF(MONTH($O39)=MONTH(AV$4),AH39*(1+Macroindicadores!E$7),AU39)))))))))</f>
        <v>0.24696000000000001</v>
      </c>
      <c r="AW39" s="117">
        <f>IF(ISBLANK(U39),"",IF(ISBLANK($O39),AI39,IF($J39="ANUAL",AI39*(1+Macroindicadores!F$7),IF(AND($I39="NOVO",MONTH($O39)=MONTH(AW$4)),AI39*(1+Macroindicadores!F$7),IF(AND($J39="PONTUAL",MONTH($O39)=MONTH(AW$4)),AI39*(1+Macroindicadores!F$7),IF(AND($J39="PONTUAL",MONTH($O39)&lt;MONTH(AW$4)),MIN($AS39:AV39),IF(AND($I39="NOVO",MONTH($O39)&gt;MONTH(AW$4)),AI39,IF(MONTH($O39)&gt;MONTH(AW$4),AI39,IF(MONTH($O39)=MONTH(AW$4),AI39*(1+Macroindicadores!F$7),AV39)))))))))</f>
        <v>0.24696000000000001</v>
      </c>
      <c r="AX39" s="117">
        <f>IF(ISBLANK(V39),"",IF(ISBLANK($O39),AJ39,IF($J39="ANUAL",AJ39*(1+Macroindicadores!G$7),IF(AND($I39="NOVO",MONTH($O39)=MONTH(AX$4)),AJ39*(1+Macroindicadores!G$7),IF(AND($J39="PONTUAL",MONTH($O39)=MONTH(AX$4)),AJ39*(1+Macroindicadores!G$7),IF(AND($J39="PONTUAL",MONTH($O39)&lt;MONTH(AX$4)),MIN($AS39:AW39),IF(AND($I39="NOVO",MONTH($O39)&gt;MONTH(AX$4)),AJ39,IF(MONTH($O39)&gt;MONTH(AX$4),AJ39,IF(MONTH($O39)=MONTH(AX$4),AJ39*(1+Macroindicadores!G$7),AW39)))))))))</f>
        <v>0.24696000000000001</v>
      </c>
      <c r="AY39" s="117">
        <f>IF(ISBLANK(W39),"",IF(ISBLANK($O39),AK39,IF($J39="ANUAL",AK39*(1+Macroindicadores!H$7),IF(AND($I39="NOVO",MONTH($O39)=MONTH(AY$4)),AK39*(1+Macroindicadores!H$7),IF(AND($J39="PONTUAL",MONTH($O39)=MONTH(AY$4)),AK39*(1+Macroindicadores!H$7),IF(AND($J39="PONTUAL",MONTH($O39)&lt;MONTH(AY$4)),MIN($AS39:AX39),IF(AND($I39="NOVO",MONTH($O39)&gt;MONTH(AY$4)),AK39,IF(MONTH($O39)&gt;MONTH(AY$4),AK39,IF(MONTH($O39)=MONTH(AY$4),AK39*(1+Macroindicadores!H$7),AX39)))))))))</f>
        <v>0.24696000000000001</v>
      </c>
      <c r="AZ39" s="117">
        <f>IF(ISBLANK(X39),"",IF(ISBLANK($O39),AL39,IF($J39="ANUAL",AL39*(1+Macroindicadores!I$7),IF(AND($I39="NOVO",MONTH($O39)=MONTH(AZ$4)),AL39*(1+Macroindicadores!I$7),IF(AND($J39="PONTUAL",MONTH($O39)=MONTH(AZ$4)),AL39*(1+Macroindicadores!I$7),IF(AND($J39="PONTUAL",MONTH($O39)&lt;MONTH(AZ$4)),MIN($AS39:AY39),IF(AND($I39="NOVO",MONTH($O39)&gt;MONTH(AZ$4)),AL39,IF(MONTH($O39)&gt;MONTH(AZ$4),AL39,IF(MONTH($O39)=MONTH(AZ$4),AL39*(1+Macroindicadores!I$7),AY39)))))))))</f>
        <v>0.24696000000000001</v>
      </c>
      <c r="BA39" s="117">
        <f>IF(ISBLANK(Y39),"",IF(ISBLANK($O39),AM39,IF($J39="ANUAL",AM39*(1+Macroindicadores!J$7),IF(AND($I39="NOVO",MONTH($O39)=MONTH(BA$4)),AM39*(1+Macroindicadores!J$7),IF(AND($J39="PONTUAL",MONTH($O39)=MONTH(BA$4)),AM39*(1+Macroindicadores!J$7),IF(AND($J39="PONTUAL",MONTH($O39)&lt;MONTH(BA$4)),MIN($AS39:AZ39),IF(AND($I39="NOVO",MONTH($O39)&gt;MONTH(BA$4)),AM39,IF(MONTH($O39)&gt;MONTH(BA$4),AM39,IF(MONTH($O39)=MONTH(BA$4),AM39*(1+Macroindicadores!J$7),AZ39)))))))))</f>
        <v>0.24696000000000001</v>
      </c>
      <c r="BB39" s="117">
        <f>IF(ISBLANK(Z39),"",IF(ISBLANK($O39),AN39,IF($J39="ANUAL",AN39*(1+Macroindicadores!K$7),IF(AND($I39="NOVO",MONTH($O39)=MONTH(BB$4)),AN39*(1+Macroindicadores!K$7),IF(AND($J39="PONTUAL",MONTH($O39)=MONTH(BB$4)),AN39*(1+Macroindicadores!K$7),IF(AND($J39="PONTUAL",MONTH($O39)&lt;MONTH(BB$4)),MIN($AS39:BA39),IF(AND($I39="NOVO",MONTH($O39)&gt;MONTH(BB$4)),AN39,IF(MONTH($O39)&gt;MONTH(BB$4),AN39,IF(MONTH($O39)=MONTH(BB$4),AN39*(1+Macroindicadores!K$7),BA39)))))))))</f>
        <v>0.24696000000000001</v>
      </c>
      <c r="BC39" s="117">
        <f>IF(ISBLANK(AA39),"",IF(ISBLANK($O39),AO39,IF($J39="ANUAL",AO39*(1+Macroindicadores!L$7),IF(AND($I39="NOVO",MONTH($O39)=MONTH(BC$4)),AO39*(1+Macroindicadores!L$7),IF(AND($J39="PONTUAL",MONTH($O39)=MONTH(BC$4)),AO39*(1+Macroindicadores!L$7),IF(AND($J39="PONTUAL",MONTH($O39)&lt;MONTH(BC$4)),MIN($AS39:BB39),IF(AND($I39="NOVO",MONTH($O39)&gt;MONTH(BC$4)),AO39,IF(MONTH($O39)&gt;MONTH(BC$4),AO39,IF(MONTH($O39)=MONTH(BC$4),AO39*(1+Macroindicadores!L$7),BB39)))))))))</f>
        <v>0.24696000000000001</v>
      </c>
      <c r="BD39" s="117">
        <f>IF(ISBLANK(AB39),"",IF(ISBLANK($O39),AP39,IF($J39="ANUAL",AP39*(1+Macroindicadores!M$7),IF(AND($I39="NOVO",MONTH($O39)=MONTH(BD$4)),AP39*(1+Macroindicadores!M$7),IF(AND($J39="PONTUAL",MONTH($O39)=MONTH(BD$4)),AP39*(1+Macroindicadores!M$7),IF(AND($J39="PONTUAL",MONTH($O39)&lt;MONTH(BD$4)),MIN($AS39:BC39),IF(AND($I39="NOVO",MONTH($O39)&gt;MONTH(BD$4)),AP39,IF(MONTH($O39)&gt;MONTH(BD$4),AP39,IF(MONTH($O39)=MONTH(BD$4),AP39*(1+Macroindicadores!M$7),BC39)))))))))</f>
        <v>0.24696000000000001</v>
      </c>
      <c r="BE39" s="118">
        <f t="shared" si="36"/>
        <v>2.9635200000000004</v>
      </c>
      <c r="BF39" s="108"/>
      <c r="BG39" s="117">
        <f>IF(ISBLANK(Q39),"",AS39/Macroindicadores!B$2)</f>
        <v>4.2000000000000003E-2</v>
      </c>
      <c r="BH39" s="117">
        <f>IF(ISBLANK(R39),"",AT39/Macroindicadores!C$2)</f>
        <v>4.2000000000000003E-2</v>
      </c>
      <c r="BI39" s="117">
        <f>IF(ISBLANK(S39),"",AU39/Macroindicadores!D$2)</f>
        <v>4.2000000000000003E-2</v>
      </c>
      <c r="BJ39" s="117">
        <f>IF(ISBLANK(T39),"",AV39/Macroindicadores!E$2)</f>
        <v>4.2000000000000003E-2</v>
      </c>
      <c r="BK39" s="117">
        <f>IF(ISBLANK(U39),"",AW39/Macroindicadores!F$2)</f>
        <v>4.2000000000000003E-2</v>
      </c>
      <c r="BL39" s="117">
        <f>IF(ISBLANK(V39),"",AX39/Macroindicadores!G$2)</f>
        <v>4.2000000000000003E-2</v>
      </c>
      <c r="BM39" s="117">
        <f>IF(ISBLANK(W39),"",AY39/Macroindicadores!H$2)</f>
        <v>4.2000000000000003E-2</v>
      </c>
      <c r="BN39" s="117">
        <f>IF(ISBLANK(X39),"",AZ39/Macroindicadores!I$2)</f>
        <v>4.2000000000000003E-2</v>
      </c>
      <c r="BO39" s="117">
        <f>IF(ISBLANK(Y39),"",BA39/Macroindicadores!J$2)</f>
        <v>4.2000000000000003E-2</v>
      </c>
      <c r="BP39" s="117">
        <f>IF(ISBLANK(Z39),"",BB39/Macroindicadores!K$2)</f>
        <v>4.2000000000000003E-2</v>
      </c>
      <c r="BQ39" s="117">
        <f>IF(ISBLANK(AA39),"",BC39/Macroindicadores!L$2)</f>
        <v>4.2000000000000003E-2</v>
      </c>
      <c r="BR39" s="117">
        <f>IF(ISBLANK(AB39),"",BD39/Macroindicadores!M$2)</f>
        <v>4.2000000000000003E-2</v>
      </c>
      <c r="BS39" s="118">
        <f>IF(AND(ISBLANK($Q39),ISBLANK($R39),ISBLANK($S39),ISBLANK($T39),ISBLANK($U39),ISBLANK($V39),ISBLANK($W39),ISBLANK($X39),ISBLANK($Y39),ISBLANK($Z39),ISBLANK($AA39),ISBLANK($AB39)),"",SUM(BG39:BR39))</f>
        <v>0.50399999999999989</v>
      </c>
      <c r="BT39" s="25" t="str">
        <f>IF(ISBLANK($L39),"",_xlfn.XLOOKUP($L39,'CENTRO CUSTO'!$A:$A,'CENTRO CUSTO'!$E:$E,FALSE,0))</f>
        <v>Custo Fixo</v>
      </c>
    </row>
    <row r="40" spans="1:72">
      <c r="A40" s="9" t="str">
        <f t="shared" si="40"/>
        <v>Budget</v>
      </c>
      <c r="B40" s="9">
        <f t="shared" si="44"/>
        <v>2026</v>
      </c>
      <c r="C40" s="111" t="str">
        <f>IF(ISBLANK($L40),"",_xlfn.XLOOKUP($L40,'CENTRO CUSTO'!$A:$A,'CENTRO CUSTO'!F:F,FALSE,0))</f>
        <v>Martini Meat</v>
      </c>
      <c r="D40" s="111" t="str">
        <f>IF(ISBLANK($L40),"",_xlfn.XLOOKUP($L40,'CENTRO CUSTO'!$A:$A,'CENTRO CUSTO'!G:G,FALSE,0))</f>
        <v>Ponta Grossa</v>
      </c>
      <c r="E40" s="111" t="str">
        <f>IF(ISBLANK($L40),"",_xlfn.XLOOKUP($L40,'CENTRO CUSTO'!$A:$A,'CENTRO CUSTO'!H:H,FALSE,0))</f>
        <v>Carga Geral</v>
      </c>
      <c r="F40" s="112" t="s">
        <v>99</v>
      </c>
      <c r="G40" s="112" t="s">
        <v>75</v>
      </c>
      <c r="H40" s="112" t="s">
        <v>102</v>
      </c>
      <c r="I40" s="113" t="s">
        <v>77</v>
      </c>
      <c r="J40" s="113" t="s">
        <v>78</v>
      </c>
      <c r="K40" s="113" t="s">
        <v>79</v>
      </c>
      <c r="L40" s="113" t="s">
        <v>25</v>
      </c>
      <c r="M40" s="111" t="str">
        <f>IF(ISBLANK($L40),"",_xlfn.XLOOKUP($L40,'CENTRO CUSTO'!$A:$A,'CENTRO CUSTO'!D:D,FALSE,0))</f>
        <v>Alexandre Ayabe</v>
      </c>
      <c r="N40" s="113" t="s">
        <v>87</v>
      </c>
      <c r="O40" s="114"/>
      <c r="P40" s="113" t="s">
        <v>88</v>
      </c>
      <c r="Q40" s="115">
        <f>10080*Rateio!$E$72/12</f>
        <v>75.599999999999994</v>
      </c>
      <c r="R40" s="115">
        <f>10080*Rateio!$E$72/12</f>
        <v>75.599999999999994</v>
      </c>
      <c r="S40" s="115">
        <f>10080*Rateio!$E$72/12</f>
        <v>75.599999999999994</v>
      </c>
      <c r="T40" s="115">
        <f>10080*Rateio!$E$72/12</f>
        <v>75.599999999999994</v>
      </c>
      <c r="U40" s="115">
        <f>10080*Rateio!$E$72/12</f>
        <v>75.599999999999994</v>
      </c>
      <c r="V40" s="115">
        <f>10080*Rateio!$E$72/12</f>
        <v>75.599999999999994</v>
      </c>
      <c r="W40" s="115">
        <f>10080*Rateio!$E$72/12</f>
        <v>75.599999999999994</v>
      </c>
      <c r="X40" s="115">
        <f>10080*Rateio!$E$72/12</f>
        <v>75.599999999999994</v>
      </c>
      <c r="Y40" s="115">
        <f>10080*Rateio!$E$72/12</f>
        <v>75.599999999999994</v>
      </c>
      <c r="Z40" s="115">
        <f>10080*Rateio!$E$72/12</f>
        <v>75.599999999999994</v>
      </c>
      <c r="AA40" s="115">
        <f>10080*Rateio!$E$72/12</f>
        <v>75.599999999999994</v>
      </c>
      <c r="AB40" s="115">
        <f>10080*Rateio!$E$72/12</f>
        <v>75.599999999999994</v>
      </c>
      <c r="AC40" s="116">
        <f t="shared" si="41"/>
        <v>907.20000000000016</v>
      </c>
      <c r="AD40" s="108"/>
      <c r="AE40" s="117">
        <f>IF(ISBLANK(Q40),"",IF($P40="BRL",Q40,Q40*Macroindicadores!B$2)/1000)</f>
        <v>0.44452799999999998</v>
      </c>
      <c r="AF40" s="117">
        <f>IF(ISBLANK(R40),"",IF($P40="BRL",R40,R40*Macroindicadores!C$2)/1000)</f>
        <v>0.44452799999999998</v>
      </c>
      <c r="AG40" s="117">
        <f>IF(ISBLANK(S40),"",IF($P40="BRL",S40,S40*Macroindicadores!D$2)/1000)</f>
        <v>0.44452799999999998</v>
      </c>
      <c r="AH40" s="117">
        <f>IF(ISBLANK(T40),"",IF($P40="BRL",T40,T40*Macroindicadores!E$2)/1000)</f>
        <v>0.44452799999999998</v>
      </c>
      <c r="AI40" s="117">
        <f>IF(ISBLANK(U40),"",IF($P40="BRL",U40,U40*Macroindicadores!F$2)/1000)</f>
        <v>0.44452799999999998</v>
      </c>
      <c r="AJ40" s="117">
        <f>IF(ISBLANK(V40),"",IF($P40="BRL",V40,V40*Macroindicadores!G$2)/1000)</f>
        <v>0.44452799999999998</v>
      </c>
      <c r="AK40" s="117">
        <f>IF(ISBLANK(W40),"",IF($P40="BRL",W40,W40*Macroindicadores!H$2)/1000)</f>
        <v>0.44452799999999998</v>
      </c>
      <c r="AL40" s="117">
        <f>IF(ISBLANK(X40),"",IF($P40="BRL",X40,X40*Macroindicadores!I$2)/1000)</f>
        <v>0.44452799999999998</v>
      </c>
      <c r="AM40" s="117">
        <f>IF(ISBLANK(Y40),"",IF($P40="BRL",Y40,Y40*Macroindicadores!J$2)/1000)</f>
        <v>0.44452799999999998</v>
      </c>
      <c r="AN40" s="117">
        <f>IF(ISBLANK(Z40),"",IF($P40="BRL",Z40,Z40*Macroindicadores!K$2)/1000)</f>
        <v>0.44452799999999998</v>
      </c>
      <c r="AO40" s="117">
        <f>IF(ISBLANK(AA40),"",IF($P40="BRL",AA40,AA40*Macroindicadores!L$2)/1000)</f>
        <v>0.44452799999999998</v>
      </c>
      <c r="AP40" s="117">
        <f>IF(ISBLANK(AB40),"",IF($P40="BRL",AB40,AB40*Macroindicadores!M$2)/1000)</f>
        <v>0.44452799999999998</v>
      </c>
      <c r="AQ40" s="118">
        <f t="shared" si="35"/>
        <v>5.3343359999999995</v>
      </c>
      <c r="AR40" s="108"/>
      <c r="AS40" s="117">
        <f>IF(ISBLANK(Q40),"",IF(ISBLANK($O40),AE40,IF($J40="ANUAL",AE40*(1+Macroindicadores!B$7),IF(AND($I40="NOVO",MONTH($O40)=MONTH(AS$4)),AE40*(1+Macroindicadores!B$7),IF(AND($J40="PONTUAL",MONTH($O40)=MONTH(AS$4)),AE40*(1+Macroindicadores!B$7),IF(AND($J40="PONTUAL",MONTH($O40)&lt;MONTH(AS$4)),MIN(AR40:$AS40),IF(AND($I40="NOVO",MONTH($O40)&gt;MONTH(AS$4)),AE40,IF(MONTH($O40)&gt;MONTH(AS$4),AE40,IF(MONTH($O40)=MONTH(AS$4),AE40*(1+Macroindicadores!B$7),AR40)))))))))</f>
        <v>0.44452799999999998</v>
      </c>
      <c r="AT40" s="117">
        <f>IF(ISBLANK(R40),"",IF(ISBLANK($O40),AF40,IF($J40="ANUAL",AF40*(1+Macroindicadores!C$7),IF(AND($I40="NOVO",MONTH($O40)=MONTH(AT$4)),AF40*(1+Macroindicadores!C$7),IF(AND($J40="PONTUAL",MONTH($O40)=MONTH(AT$4)),AF40*(1+Macroindicadores!C$7),IF(AND($J40="PONTUAL",MONTH($O40)&lt;MONTH(AT$4)),MIN($AS40:AS40),IF(AND($I40="NOVO",MONTH($O40)&gt;MONTH(AT$4)),AF40,IF(MONTH($O40)&gt;MONTH(AT$4),AF40,IF(MONTH($O40)=MONTH(AT$4),AF40*(1+Macroindicadores!C$7),AS40)))))))))</f>
        <v>0.44452799999999998</v>
      </c>
      <c r="AU40" s="117">
        <f>IF(ISBLANK(S40),"",IF(ISBLANK($O40),AG40,IF($J40="ANUAL",AG40*(1+Macroindicadores!D$7),IF(AND($I40="NOVO",MONTH($O40)=MONTH(AU$4)),AG40*(1+Macroindicadores!D$7),IF(AND($J40="PONTUAL",MONTH($O40)=MONTH(AU$4)),AG40*(1+Macroindicadores!D$7),IF(AND($J40="PONTUAL",MONTH($O40)&lt;MONTH(AU$4)),MIN($AS40:AT40),IF(AND($I40="NOVO",MONTH($O40)&gt;MONTH(AU$4)),AG40,IF(MONTH($O40)&gt;MONTH(AU$4),AG40,IF(MONTH($O40)=MONTH(AU$4),AG40*(1+Macroindicadores!D$7),AT40)))))))))</f>
        <v>0.44452799999999998</v>
      </c>
      <c r="AV40" s="117">
        <f>IF(ISBLANK(T40),"",IF(ISBLANK($O40),AH40,IF($J40="ANUAL",AH40*(1+Macroindicadores!E$7),IF(AND($I40="NOVO",MONTH($O40)=MONTH(AV$4)),AH40*(1+Macroindicadores!E$7),IF(AND($J40="PONTUAL",MONTH($O40)=MONTH(AV$4)),AH40*(1+Macroindicadores!E$7),IF(AND($J40="PONTUAL",MONTH($O40)&lt;MONTH(AV$4)),MIN($AS40:AU40),IF(AND($I40="NOVO",MONTH($O40)&gt;MONTH(AV$4)),AH40,IF(MONTH($O40)&gt;MONTH(AV$4),AH40,IF(MONTH($O40)=MONTH(AV$4),AH40*(1+Macroindicadores!E$7),AU40)))))))))</f>
        <v>0.44452799999999998</v>
      </c>
      <c r="AW40" s="117">
        <f>IF(ISBLANK(U40),"",IF(ISBLANK($O40),AI40,IF($J40="ANUAL",AI40*(1+Macroindicadores!F$7),IF(AND($I40="NOVO",MONTH($O40)=MONTH(AW$4)),AI40*(1+Macroindicadores!F$7),IF(AND($J40="PONTUAL",MONTH($O40)=MONTH(AW$4)),AI40*(1+Macroindicadores!F$7),IF(AND($J40="PONTUAL",MONTH($O40)&lt;MONTH(AW$4)),MIN($AS40:AV40),IF(AND($I40="NOVO",MONTH($O40)&gt;MONTH(AW$4)),AI40,IF(MONTH($O40)&gt;MONTH(AW$4),AI40,IF(MONTH($O40)=MONTH(AW$4),AI40*(1+Macroindicadores!F$7),AV40)))))))))</f>
        <v>0.44452799999999998</v>
      </c>
      <c r="AX40" s="117">
        <f>IF(ISBLANK(V40),"",IF(ISBLANK($O40),AJ40,IF($J40="ANUAL",AJ40*(1+Macroindicadores!G$7),IF(AND($I40="NOVO",MONTH($O40)=MONTH(AX$4)),AJ40*(1+Macroindicadores!G$7),IF(AND($J40="PONTUAL",MONTH($O40)=MONTH(AX$4)),AJ40*(1+Macroindicadores!G$7),IF(AND($J40="PONTUAL",MONTH($O40)&lt;MONTH(AX$4)),MIN($AS40:AW40),IF(AND($I40="NOVO",MONTH($O40)&gt;MONTH(AX$4)),AJ40,IF(MONTH($O40)&gt;MONTH(AX$4),AJ40,IF(MONTH($O40)=MONTH(AX$4),AJ40*(1+Macroindicadores!G$7),AW40)))))))))</f>
        <v>0.44452799999999998</v>
      </c>
      <c r="AY40" s="117">
        <f>IF(ISBLANK(W40),"",IF(ISBLANK($O40),AK40,IF($J40="ANUAL",AK40*(1+Macroindicadores!H$7),IF(AND($I40="NOVO",MONTH($O40)=MONTH(AY$4)),AK40*(1+Macroindicadores!H$7),IF(AND($J40="PONTUAL",MONTH($O40)=MONTH(AY$4)),AK40*(1+Macroindicadores!H$7),IF(AND($J40="PONTUAL",MONTH($O40)&lt;MONTH(AY$4)),MIN($AS40:AX40),IF(AND($I40="NOVO",MONTH($O40)&gt;MONTH(AY$4)),AK40,IF(MONTH($O40)&gt;MONTH(AY$4),AK40,IF(MONTH($O40)=MONTH(AY$4),AK40*(1+Macroindicadores!H$7),AX40)))))))))</f>
        <v>0.44452799999999998</v>
      </c>
      <c r="AZ40" s="117">
        <f>IF(ISBLANK(X40),"",IF(ISBLANK($O40),AL40,IF($J40="ANUAL",AL40*(1+Macroindicadores!I$7),IF(AND($I40="NOVO",MONTH($O40)=MONTH(AZ$4)),AL40*(1+Macroindicadores!I$7),IF(AND($J40="PONTUAL",MONTH($O40)=MONTH(AZ$4)),AL40*(1+Macroindicadores!I$7),IF(AND($J40="PONTUAL",MONTH($O40)&lt;MONTH(AZ$4)),MIN($AS40:AY40),IF(AND($I40="NOVO",MONTH($O40)&gt;MONTH(AZ$4)),AL40,IF(MONTH($O40)&gt;MONTH(AZ$4),AL40,IF(MONTH($O40)=MONTH(AZ$4),AL40*(1+Macroindicadores!I$7),AY40)))))))))</f>
        <v>0.44452799999999998</v>
      </c>
      <c r="BA40" s="117">
        <f>IF(ISBLANK(Y40),"",IF(ISBLANK($O40),AM40,IF($J40="ANUAL",AM40*(1+Macroindicadores!J$7),IF(AND($I40="NOVO",MONTH($O40)=MONTH(BA$4)),AM40*(1+Macroindicadores!J$7),IF(AND($J40="PONTUAL",MONTH($O40)=MONTH(BA$4)),AM40*(1+Macroindicadores!J$7),IF(AND($J40="PONTUAL",MONTH($O40)&lt;MONTH(BA$4)),MIN($AS40:AZ40),IF(AND($I40="NOVO",MONTH($O40)&gt;MONTH(BA$4)),AM40,IF(MONTH($O40)&gt;MONTH(BA$4),AM40,IF(MONTH($O40)=MONTH(BA$4),AM40*(1+Macroindicadores!J$7),AZ40)))))))))</f>
        <v>0.44452799999999998</v>
      </c>
      <c r="BB40" s="117">
        <f>IF(ISBLANK(Z40),"",IF(ISBLANK($O40),AN40,IF($J40="ANUAL",AN40*(1+Macroindicadores!K$7),IF(AND($I40="NOVO",MONTH($O40)=MONTH(BB$4)),AN40*(1+Macroindicadores!K$7),IF(AND($J40="PONTUAL",MONTH($O40)=MONTH(BB$4)),AN40*(1+Macroindicadores!K$7),IF(AND($J40="PONTUAL",MONTH($O40)&lt;MONTH(BB$4)),MIN($AS40:BA40),IF(AND($I40="NOVO",MONTH($O40)&gt;MONTH(BB$4)),AN40,IF(MONTH($O40)&gt;MONTH(BB$4),AN40,IF(MONTH($O40)=MONTH(BB$4),AN40*(1+Macroindicadores!K$7),BA40)))))))))</f>
        <v>0.44452799999999998</v>
      </c>
      <c r="BC40" s="117">
        <f>IF(ISBLANK(AA40),"",IF(ISBLANK($O40),AO40,IF($J40="ANUAL",AO40*(1+Macroindicadores!L$7),IF(AND($I40="NOVO",MONTH($O40)=MONTH(BC$4)),AO40*(1+Macroindicadores!L$7),IF(AND($J40="PONTUAL",MONTH($O40)=MONTH(BC$4)),AO40*(1+Macroindicadores!L$7),IF(AND($J40="PONTUAL",MONTH($O40)&lt;MONTH(BC$4)),MIN($AS40:BB40),IF(AND($I40="NOVO",MONTH($O40)&gt;MONTH(BC$4)),AO40,IF(MONTH($O40)&gt;MONTH(BC$4),AO40,IF(MONTH($O40)=MONTH(BC$4),AO40*(1+Macroindicadores!L$7),BB40)))))))))</f>
        <v>0.44452799999999998</v>
      </c>
      <c r="BD40" s="117">
        <f>IF(ISBLANK(AB40),"",IF(ISBLANK($O40),AP40,IF($J40="ANUAL",AP40*(1+Macroindicadores!M$7),IF(AND($I40="NOVO",MONTH($O40)=MONTH(BD$4)),AP40*(1+Macroindicadores!M$7),IF(AND($J40="PONTUAL",MONTH($O40)=MONTH(BD$4)),AP40*(1+Macroindicadores!M$7),IF(AND($J40="PONTUAL",MONTH($O40)&lt;MONTH(BD$4)),MIN($AS40:BC40),IF(AND($I40="NOVO",MONTH($O40)&gt;MONTH(BD$4)),AP40,IF(MONTH($O40)&gt;MONTH(BD$4),AP40,IF(MONTH($O40)=MONTH(BD$4),AP40*(1+Macroindicadores!M$7),BC40)))))))))</f>
        <v>0.44452799999999998</v>
      </c>
      <c r="BE40" s="118">
        <f t="shared" si="36"/>
        <v>5.3343359999999995</v>
      </c>
      <c r="BF40" s="108"/>
      <c r="BG40" s="117">
        <f>IF(ISBLANK(Q40),"",AS40/Macroindicadores!B$2)</f>
        <v>7.5600000000000001E-2</v>
      </c>
      <c r="BH40" s="117">
        <f>IF(ISBLANK(R40),"",AT40/Macroindicadores!C$2)</f>
        <v>7.5600000000000001E-2</v>
      </c>
      <c r="BI40" s="117">
        <f>IF(ISBLANK(S40),"",AU40/Macroindicadores!D$2)</f>
        <v>7.5600000000000001E-2</v>
      </c>
      <c r="BJ40" s="117">
        <f>IF(ISBLANK(T40),"",AV40/Macroindicadores!E$2)</f>
        <v>7.5600000000000001E-2</v>
      </c>
      <c r="BK40" s="117">
        <f>IF(ISBLANK(U40),"",AW40/Macroindicadores!F$2)</f>
        <v>7.5600000000000001E-2</v>
      </c>
      <c r="BL40" s="117">
        <f>IF(ISBLANK(V40),"",AX40/Macroindicadores!G$2)</f>
        <v>7.5600000000000001E-2</v>
      </c>
      <c r="BM40" s="117">
        <f>IF(ISBLANK(W40),"",AY40/Macroindicadores!H$2)</f>
        <v>7.5600000000000001E-2</v>
      </c>
      <c r="BN40" s="117">
        <f>IF(ISBLANK(X40),"",AZ40/Macroindicadores!I$2)</f>
        <v>7.5600000000000001E-2</v>
      </c>
      <c r="BO40" s="117">
        <f>IF(ISBLANK(Y40),"",BA40/Macroindicadores!J$2)</f>
        <v>7.5600000000000001E-2</v>
      </c>
      <c r="BP40" s="117">
        <f>IF(ISBLANK(Z40),"",BB40/Macroindicadores!K$2)</f>
        <v>7.5600000000000001E-2</v>
      </c>
      <c r="BQ40" s="117">
        <f>IF(ISBLANK(AA40),"",BC40/Macroindicadores!L$2)</f>
        <v>7.5600000000000001E-2</v>
      </c>
      <c r="BR40" s="117">
        <f>IF(ISBLANK(AB40),"",BD40/Macroindicadores!M$2)</f>
        <v>7.5600000000000001E-2</v>
      </c>
      <c r="BS40" s="118">
        <f>IF(AND(ISBLANK($Q40),ISBLANK($R40),ISBLANK($S40),ISBLANK($T40),ISBLANK($U40),ISBLANK($V40),ISBLANK($W40),ISBLANK($X40),ISBLANK($Y40),ISBLANK($Z40),ISBLANK($AA40),ISBLANK($AB40)),"",SUM(BG40:BR40))</f>
        <v>0.90720000000000001</v>
      </c>
      <c r="BT40" s="25" t="str">
        <f>IF(ISBLANK($L40),"",_xlfn.XLOOKUP($L40,'CENTRO CUSTO'!$A:$A,'CENTRO CUSTO'!$E:$E,FALSE,0))</f>
        <v>Custo Fixo</v>
      </c>
    </row>
    <row r="41" spans="1:72">
      <c r="A41" s="9" t="str">
        <f t="shared" si="40"/>
        <v>Budget</v>
      </c>
      <c r="B41" s="9">
        <f t="shared" si="44"/>
        <v>2026</v>
      </c>
      <c r="C41" s="111" t="str">
        <f>IF(ISBLANK($L41),"",_xlfn.XLOOKUP($L41,'CENTRO CUSTO'!$A:$A,'CENTRO CUSTO'!F:F,FALSE,0))</f>
        <v>Martini Meat</v>
      </c>
      <c r="D41" s="111" t="str">
        <f>IF(ISBLANK($L41),"",_xlfn.XLOOKUP($L41,'CENTRO CUSTO'!$A:$A,'CENTRO CUSTO'!G:G,FALSE,0))</f>
        <v>Recife 2</v>
      </c>
      <c r="E41" s="111" t="str">
        <f>IF(ISBLANK($L41),"",_xlfn.XLOOKUP($L41,'CENTRO CUSTO'!$A:$A,'CENTRO CUSTO'!H:H,FALSE,0))</f>
        <v>Frigorífico</v>
      </c>
      <c r="F41" s="112" t="s">
        <v>99</v>
      </c>
      <c r="G41" s="112" t="s">
        <v>75</v>
      </c>
      <c r="H41" s="112" t="s">
        <v>102</v>
      </c>
      <c r="I41" s="113" t="s">
        <v>77</v>
      </c>
      <c r="J41" s="113" t="s">
        <v>78</v>
      </c>
      <c r="K41" s="113" t="s">
        <v>79</v>
      </c>
      <c r="L41" s="113" t="s">
        <v>31</v>
      </c>
      <c r="M41" s="111" t="str">
        <f>IF(ISBLANK($L41),"",_xlfn.XLOOKUP($L41,'CENTRO CUSTO'!$A:$A,'CENTRO CUSTO'!D:D,FALSE,0))</f>
        <v>Alexandre Ayabe</v>
      </c>
      <c r="N41" s="113" t="s">
        <v>87</v>
      </c>
      <c r="O41" s="114"/>
      <c r="P41" s="113" t="s">
        <v>88</v>
      </c>
      <c r="Q41" s="115">
        <f>10080*Rateio!$E$79/12</f>
        <v>50.4</v>
      </c>
      <c r="R41" s="115">
        <f>10080*Rateio!$E$79/12</f>
        <v>50.4</v>
      </c>
      <c r="S41" s="115">
        <f>10080*Rateio!$E$79/12</f>
        <v>50.4</v>
      </c>
      <c r="T41" s="115">
        <f>10080*Rateio!$E$79/12</f>
        <v>50.4</v>
      </c>
      <c r="U41" s="115">
        <f>10080*Rateio!$E$79/12</f>
        <v>50.4</v>
      </c>
      <c r="V41" s="115">
        <f>10080*Rateio!$E$79/12</f>
        <v>50.4</v>
      </c>
      <c r="W41" s="115">
        <f>10080*Rateio!$E$79/12</f>
        <v>50.4</v>
      </c>
      <c r="X41" s="115">
        <f>10080*Rateio!$E$79/12</f>
        <v>50.4</v>
      </c>
      <c r="Y41" s="115">
        <f>10080*Rateio!$E$79/12</f>
        <v>50.4</v>
      </c>
      <c r="Z41" s="115">
        <f>10080*Rateio!$E$79/12</f>
        <v>50.4</v>
      </c>
      <c r="AA41" s="115">
        <f>10080*Rateio!$E$79/12</f>
        <v>50.4</v>
      </c>
      <c r="AB41" s="115">
        <f>10080*Rateio!$E$79/12</f>
        <v>50.4</v>
      </c>
      <c r="AC41" s="116">
        <f t="shared" si="41"/>
        <v>604.79999999999984</v>
      </c>
      <c r="AD41" s="108"/>
      <c r="AE41" s="117">
        <f>IF(ISBLANK(Q41),"",IF($P41="BRL",Q41,Q41*Macroindicadores!B$2)/1000)</f>
        <v>0.29635199999999995</v>
      </c>
      <c r="AF41" s="117">
        <f>IF(ISBLANK(R41),"",IF($P41="BRL",R41,R41*Macroindicadores!C$2)/1000)</f>
        <v>0.29635199999999995</v>
      </c>
      <c r="AG41" s="117">
        <f>IF(ISBLANK(S41),"",IF($P41="BRL",S41,S41*Macroindicadores!D$2)/1000)</f>
        <v>0.29635199999999995</v>
      </c>
      <c r="AH41" s="117">
        <f>IF(ISBLANK(T41),"",IF($P41="BRL",T41,T41*Macroindicadores!E$2)/1000)</f>
        <v>0.29635199999999995</v>
      </c>
      <c r="AI41" s="117">
        <f>IF(ISBLANK(U41),"",IF($P41="BRL",U41,U41*Macroindicadores!F$2)/1000)</f>
        <v>0.29635199999999995</v>
      </c>
      <c r="AJ41" s="117">
        <f>IF(ISBLANK(V41),"",IF($P41="BRL",V41,V41*Macroindicadores!G$2)/1000)</f>
        <v>0.29635199999999995</v>
      </c>
      <c r="AK41" s="117">
        <f>IF(ISBLANK(W41),"",IF($P41="BRL",W41,W41*Macroindicadores!H$2)/1000)</f>
        <v>0.29635199999999995</v>
      </c>
      <c r="AL41" s="117">
        <f>IF(ISBLANK(X41),"",IF($P41="BRL",X41,X41*Macroindicadores!I$2)/1000)</f>
        <v>0.29635199999999995</v>
      </c>
      <c r="AM41" s="117">
        <f>IF(ISBLANK(Y41),"",IF($P41="BRL",Y41,Y41*Macroindicadores!J$2)/1000)</f>
        <v>0.29635199999999995</v>
      </c>
      <c r="AN41" s="117">
        <f>IF(ISBLANK(Z41),"",IF($P41="BRL",Z41,Z41*Macroindicadores!K$2)/1000)</f>
        <v>0.29635199999999995</v>
      </c>
      <c r="AO41" s="117">
        <f>IF(ISBLANK(AA41),"",IF($P41="BRL",AA41,AA41*Macroindicadores!L$2)/1000)</f>
        <v>0.29635199999999995</v>
      </c>
      <c r="AP41" s="117">
        <f>IF(ISBLANK(AB41),"",IF($P41="BRL",AB41,AB41*Macroindicadores!M$2)/1000)</f>
        <v>0.29635199999999995</v>
      </c>
      <c r="AQ41" s="118">
        <f t="shared" si="35"/>
        <v>3.5562239999999985</v>
      </c>
      <c r="AR41" s="108"/>
      <c r="AS41" s="117">
        <f>IF(ISBLANK(Q41),"",IF(ISBLANK($O41),AE41,IF($J41="ANUAL",AE41*(1+Macroindicadores!B$7),IF(AND($I41="NOVO",MONTH($O41)=MONTH(AS$4)),AE41*(1+Macroindicadores!B$7),IF(AND($J41="PONTUAL",MONTH($O41)=MONTH(AS$4)),AE41*(1+Macroindicadores!B$7),IF(AND($J41="PONTUAL",MONTH($O41)&lt;MONTH(AS$4)),MIN(AR41:$AS41),IF(AND($I41="NOVO",MONTH($O41)&gt;MONTH(AS$4)),AE41,IF(MONTH($O41)&gt;MONTH(AS$4),AE41,IF(MONTH($O41)=MONTH(AS$4),AE41*(1+Macroindicadores!B$7),AR41)))))))))</f>
        <v>0.29635199999999995</v>
      </c>
      <c r="AT41" s="117">
        <f>IF(ISBLANK(R41),"",IF(ISBLANK($O41),AF41,IF($J41="ANUAL",AF41*(1+Macroindicadores!C$7),IF(AND($I41="NOVO",MONTH($O41)=MONTH(AT$4)),AF41*(1+Macroindicadores!C$7),IF(AND($J41="PONTUAL",MONTH($O41)=MONTH(AT$4)),AF41*(1+Macroindicadores!C$7),IF(AND($J41="PONTUAL",MONTH($O41)&lt;MONTH(AT$4)),MIN($AS41:AS41),IF(AND($I41="NOVO",MONTH($O41)&gt;MONTH(AT$4)),AF41,IF(MONTH($O41)&gt;MONTH(AT$4),AF41,IF(MONTH($O41)=MONTH(AT$4),AF41*(1+Macroindicadores!C$7),AS41)))))))))</f>
        <v>0.29635199999999995</v>
      </c>
      <c r="AU41" s="117">
        <f>IF(ISBLANK(S41),"",IF(ISBLANK($O41),AG41,IF($J41="ANUAL",AG41*(1+Macroindicadores!D$7),IF(AND($I41="NOVO",MONTH($O41)=MONTH(AU$4)),AG41*(1+Macroindicadores!D$7),IF(AND($J41="PONTUAL",MONTH($O41)=MONTH(AU$4)),AG41*(1+Macroindicadores!D$7),IF(AND($J41="PONTUAL",MONTH($O41)&lt;MONTH(AU$4)),MIN($AS41:AT41),IF(AND($I41="NOVO",MONTH($O41)&gt;MONTH(AU$4)),AG41,IF(MONTH($O41)&gt;MONTH(AU$4),AG41,IF(MONTH($O41)=MONTH(AU$4),AG41*(1+Macroindicadores!D$7),AT41)))))))))</f>
        <v>0.29635199999999995</v>
      </c>
      <c r="AV41" s="117">
        <f>IF(ISBLANK(T41),"",IF(ISBLANK($O41),AH41,IF($J41="ANUAL",AH41*(1+Macroindicadores!E$7),IF(AND($I41="NOVO",MONTH($O41)=MONTH(AV$4)),AH41*(1+Macroindicadores!E$7),IF(AND($J41="PONTUAL",MONTH($O41)=MONTH(AV$4)),AH41*(1+Macroindicadores!E$7),IF(AND($J41="PONTUAL",MONTH($O41)&lt;MONTH(AV$4)),MIN($AS41:AU41),IF(AND($I41="NOVO",MONTH($O41)&gt;MONTH(AV$4)),AH41,IF(MONTH($O41)&gt;MONTH(AV$4),AH41,IF(MONTH($O41)=MONTH(AV$4),AH41*(1+Macroindicadores!E$7),AU41)))))))))</f>
        <v>0.29635199999999995</v>
      </c>
      <c r="AW41" s="117">
        <f>IF(ISBLANK(U41),"",IF(ISBLANK($O41),AI41,IF($J41="ANUAL",AI41*(1+Macroindicadores!F$7),IF(AND($I41="NOVO",MONTH($O41)=MONTH(AW$4)),AI41*(1+Macroindicadores!F$7),IF(AND($J41="PONTUAL",MONTH($O41)=MONTH(AW$4)),AI41*(1+Macroindicadores!F$7),IF(AND($J41="PONTUAL",MONTH($O41)&lt;MONTH(AW$4)),MIN($AS41:AV41),IF(AND($I41="NOVO",MONTH($O41)&gt;MONTH(AW$4)),AI41,IF(MONTH($O41)&gt;MONTH(AW$4),AI41,IF(MONTH($O41)=MONTH(AW$4),AI41*(1+Macroindicadores!F$7),AV41)))))))))</f>
        <v>0.29635199999999995</v>
      </c>
      <c r="AX41" s="117">
        <f>IF(ISBLANK(V41),"",IF(ISBLANK($O41),AJ41,IF($J41="ANUAL",AJ41*(1+Macroindicadores!G$7),IF(AND($I41="NOVO",MONTH($O41)=MONTH(AX$4)),AJ41*(1+Macroindicadores!G$7),IF(AND($J41="PONTUAL",MONTH($O41)=MONTH(AX$4)),AJ41*(1+Macroindicadores!G$7),IF(AND($J41="PONTUAL",MONTH($O41)&lt;MONTH(AX$4)),MIN($AS41:AW41),IF(AND($I41="NOVO",MONTH($O41)&gt;MONTH(AX$4)),AJ41,IF(MONTH($O41)&gt;MONTH(AX$4),AJ41,IF(MONTH($O41)=MONTH(AX$4),AJ41*(1+Macroindicadores!G$7),AW41)))))))))</f>
        <v>0.29635199999999995</v>
      </c>
      <c r="AY41" s="117">
        <f>IF(ISBLANK(W41),"",IF(ISBLANK($O41),AK41,IF($J41="ANUAL",AK41*(1+Macroindicadores!H$7),IF(AND($I41="NOVO",MONTH($O41)=MONTH(AY$4)),AK41*(1+Macroindicadores!H$7),IF(AND($J41="PONTUAL",MONTH($O41)=MONTH(AY$4)),AK41*(1+Macroindicadores!H$7),IF(AND($J41="PONTUAL",MONTH($O41)&lt;MONTH(AY$4)),MIN($AS41:AX41),IF(AND($I41="NOVO",MONTH($O41)&gt;MONTH(AY$4)),AK41,IF(MONTH($O41)&gt;MONTH(AY$4),AK41,IF(MONTH($O41)=MONTH(AY$4),AK41*(1+Macroindicadores!H$7),AX41)))))))))</f>
        <v>0.29635199999999995</v>
      </c>
      <c r="AZ41" s="117">
        <f>IF(ISBLANK(X41),"",IF(ISBLANK($O41),AL41,IF($J41="ANUAL",AL41*(1+Macroindicadores!I$7),IF(AND($I41="NOVO",MONTH($O41)=MONTH(AZ$4)),AL41*(1+Macroindicadores!I$7),IF(AND($J41="PONTUAL",MONTH($O41)=MONTH(AZ$4)),AL41*(1+Macroindicadores!I$7),IF(AND($J41="PONTUAL",MONTH($O41)&lt;MONTH(AZ$4)),MIN($AS41:AY41),IF(AND($I41="NOVO",MONTH($O41)&gt;MONTH(AZ$4)),AL41,IF(MONTH($O41)&gt;MONTH(AZ$4),AL41,IF(MONTH($O41)=MONTH(AZ$4),AL41*(1+Macroindicadores!I$7),AY41)))))))))</f>
        <v>0.29635199999999995</v>
      </c>
      <c r="BA41" s="117">
        <f>IF(ISBLANK(Y41),"",IF(ISBLANK($O41),AM41,IF($J41="ANUAL",AM41*(1+Macroindicadores!J$7),IF(AND($I41="NOVO",MONTH($O41)=MONTH(BA$4)),AM41*(1+Macroindicadores!J$7),IF(AND($J41="PONTUAL",MONTH($O41)=MONTH(BA$4)),AM41*(1+Macroindicadores!J$7),IF(AND($J41="PONTUAL",MONTH($O41)&lt;MONTH(BA$4)),MIN($AS41:AZ41),IF(AND($I41="NOVO",MONTH($O41)&gt;MONTH(BA$4)),AM41,IF(MONTH($O41)&gt;MONTH(BA$4),AM41,IF(MONTH($O41)=MONTH(BA$4),AM41*(1+Macroindicadores!J$7),AZ41)))))))))</f>
        <v>0.29635199999999995</v>
      </c>
      <c r="BB41" s="117">
        <f>IF(ISBLANK(Z41),"",IF(ISBLANK($O41),AN41,IF($J41="ANUAL",AN41*(1+Macroindicadores!K$7),IF(AND($I41="NOVO",MONTH($O41)=MONTH(BB$4)),AN41*(1+Macroindicadores!K$7),IF(AND($J41="PONTUAL",MONTH($O41)=MONTH(BB$4)),AN41*(1+Macroindicadores!K$7),IF(AND($J41="PONTUAL",MONTH($O41)&lt;MONTH(BB$4)),MIN($AS41:BA41),IF(AND($I41="NOVO",MONTH($O41)&gt;MONTH(BB$4)),AN41,IF(MONTH($O41)&gt;MONTH(BB$4),AN41,IF(MONTH($O41)=MONTH(BB$4),AN41*(1+Macroindicadores!K$7),BA41)))))))))</f>
        <v>0.29635199999999995</v>
      </c>
      <c r="BC41" s="117">
        <f>IF(ISBLANK(AA41),"",IF(ISBLANK($O41),AO41,IF($J41="ANUAL",AO41*(1+Macroindicadores!L$7),IF(AND($I41="NOVO",MONTH($O41)=MONTH(BC$4)),AO41*(1+Macroindicadores!L$7),IF(AND($J41="PONTUAL",MONTH($O41)=MONTH(BC$4)),AO41*(1+Macroindicadores!L$7),IF(AND($J41="PONTUAL",MONTH($O41)&lt;MONTH(BC$4)),MIN($AS41:BB41),IF(AND($I41="NOVO",MONTH($O41)&gt;MONTH(BC$4)),AO41,IF(MONTH($O41)&gt;MONTH(BC$4),AO41,IF(MONTH($O41)=MONTH(BC$4),AO41*(1+Macroindicadores!L$7),BB41)))))))))</f>
        <v>0.29635199999999995</v>
      </c>
      <c r="BD41" s="117">
        <f>IF(ISBLANK(AB41),"",IF(ISBLANK($O41),AP41,IF($J41="ANUAL",AP41*(1+Macroindicadores!M$7),IF(AND($I41="NOVO",MONTH($O41)=MONTH(BD$4)),AP41*(1+Macroindicadores!M$7),IF(AND($J41="PONTUAL",MONTH($O41)=MONTH(BD$4)),AP41*(1+Macroindicadores!M$7),IF(AND($J41="PONTUAL",MONTH($O41)&lt;MONTH(BD$4)),MIN($AS41:BC41),IF(AND($I41="NOVO",MONTH($O41)&gt;MONTH(BD$4)),AP41,IF(MONTH($O41)&gt;MONTH(BD$4),AP41,IF(MONTH($O41)=MONTH(BD$4),AP41*(1+Macroindicadores!M$7),BC41)))))))))</f>
        <v>0.29635199999999995</v>
      </c>
      <c r="BE41" s="118">
        <f t="shared" si="36"/>
        <v>3.5562239999999985</v>
      </c>
      <c r="BF41" s="108"/>
      <c r="BG41" s="117">
        <f>IF(ISBLANK(Q41),"",AS41/Macroindicadores!B$2)</f>
        <v>5.0399999999999993E-2</v>
      </c>
      <c r="BH41" s="117">
        <f>IF(ISBLANK(R41),"",AT41/Macroindicadores!C$2)</f>
        <v>5.0399999999999993E-2</v>
      </c>
      <c r="BI41" s="117">
        <f>IF(ISBLANK(S41),"",AU41/Macroindicadores!D$2)</f>
        <v>5.0399999999999993E-2</v>
      </c>
      <c r="BJ41" s="117">
        <f>IF(ISBLANK(T41),"",AV41/Macroindicadores!E$2)</f>
        <v>5.0399999999999993E-2</v>
      </c>
      <c r="BK41" s="117">
        <f>IF(ISBLANK(U41),"",AW41/Macroindicadores!F$2)</f>
        <v>5.0399999999999993E-2</v>
      </c>
      <c r="BL41" s="117">
        <f>IF(ISBLANK(V41),"",AX41/Macroindicadores!G$2)</f>
        <v>5.0399999999999993E-2</v>
      </c>
      <c r="BM41" s="117">
        <f>IF(ISBLANK(W41),"",AY41/Macroindicadores!H$2)</f>
        <v>5.0399999999999993E-2</v>
      </c>
      <c r="BN41" s="117">
        <f>IF(ISBLANK(X41),"",AZ41/Macroindicadores!I$2)</f>
        <v>5.0399999999999993E-2</v>
      </c>
      <c r="BO41" s="117">
        <f>IF(ISBLANK(Y41),"",BA41/Macroindicadores!J$2)</f>
        <v>5.0399999999999993E-2</v>
      </c>
      <c r="BP41" s="117">
        <f>IF(ISBLANK(Z41),"",BB41/Macroindicadores!K$2)</f>
        <v>5.0399999999999993E-2</v>
      </c>
      <c r="BQ41" s="117">
        <f>IF(ISBLANK(AA41),"",BC41/Macroindicadores!L$2)</f>
        <v>5.0399999999999993E-2</v>
      </c>
      <c r="BR41" s="117">
        <f>IF(ISBLANK(AB41),"",BD41/Macroindicadores!M$2)</f>
        <v>5.0399999999999993E-2</v>
      </c>
      <c r="BS41" s="118">
        <f>IF(AND(ISBLANK($Q41),ISBLANK($R41),ISBLANK($S41),ISBLANK($T41),ISBLANK($U41),ISBLANK($V41),ISBLANK($W41),ISBLANK($X41),ISBLANK($Y41),ISBLANK($Z41),ISBLANK($AA41),ISBLANK($AB41)),"",SUM(BG41:BR41))</f>
        <v>0.60479999999999989</v>
      </c>
      <c r="BT41" s="25" t="str">
        <f>IF(ISBLANK($L41),"",_xlfn.XLOOKUP($L41,'CENTRO CUSTO'!$A:$A,'CENTRO CUSTO'!$E:$E,FALSE,0))</f>
        <v>Custo Fixo</v>
      </c>
    </row>
    <row r="42" spans="1:72">
      <c r="A42" s="9" t="str">
        <f t="shared" si="40"/>
        <v>Budget</v>
      </c>
      <c r="B42" s="9">
        <f t="shared" si="44"/>
        <v>2026</v>
      </c>
      <c r="C42" s="111" t="str">
        <f>IF(ISBLANK($L42),"",_xlfn.XLOOKUP($L42,'CENTRO CUSTO'!$A:$A,'CENTRO CUSTO'!F:F,FALSE,0))</f>
        <v>MRV</v>
      </c>
      <c r="D42" s="111" t="str">
        <f>IF(ISBLANK($L42),"",_xlfn.XLOOKUP($L42,'CENTRO CUSTO'!$A:$A,'CENTRO CUSTO'!G:G,FALSE,0))</f>
        <v>Velopark</v>
      </c>
      <c r="E42" s="111" t="str">
        <f>IF(ISBLANK($L42),"",_xlfn.XLOOKUP($L42,'CENTRO CUSTO'!$A:$A,'CENTRO CUSTO'!H:H,FALSE,0))</f>
        <v>Frigorífico</v>
      </c>
      <c r="F42" s="112" t="s">
        <v>99</v>
      </c>
      <c r="G42" s="112" t="s">
        <v>75</v>
      </c>
      <c r="H42" s="112" t="s">
        <v>102</v>
      </c>
      <c r="I42" s="113" t="s">
        <v>77</v>
      </c>
      <c r="J42" s="113" t="s">
        <v>78</v>
      </c>
      <c r="K42" s="113" t="s">
        <v>79</v>
      </c>
      <c r="L42" s="113" t="s">
        <v>43</v>
      </c>
      <c r="M42" s="111" t="str">
        <f>IF(ISBLANK($L42),"",_xlfn.XLOOKUP($L42,'CENTRO CUSTO'!$A:$A,'CENTRO CUSTO'!D:D,FALSE,0))</f>
        <v>Alexandre Ayabe</v>
      </c>
      <c r="N42" s="113" t="s">
        <v>87</v>
      </c>
      <c r="O42" s="114"/>
      <c r="P42" s="113" t="s">
        <v>88</v>
      </c>
      <c r="Q42" s="115">
        <f>10080*Rateio!$E$82/12</f>
        <v>151.19999999999999</v>
      </c>
      <c r="R42" s="115">
        <f>10080*Rateio!$E$82/12</f>
        <v>151.19999999999999</v>
      </c>
      <c r="S42" s="115">
        <f>10080*Rateio!$E$82/12</f>
        <v>151.19999999999999</v>
      </c>
      <c r="T42" s="115">
        <f>10080*Rateio!$E$82/12</f>
        <v>151.19999999999999</v>
      </c>
      <c r="U42" s="115">
        <f>10080*Rateio!$E$82/12</f>
        <v>151.19999999999999</v>
      </c>
      <c r="V42" s="115">
        <f>10080*Rateio!$E$82/12</f>
        <v>151.19999999999999</v>
      </c>
      <c r="W42" s="115">
        <f>10080*Rateio!$E$82/12</f>
        <v>151.19999999999999</v>
      </c>
      <c r="X42" s="115">
        <f>10080*Rateio!$E$82/12</f>
        <v>151.19999999999999</v>
      </c>
      <c r="Y42" s="115">
        <f>10080*Rateio!$E$82/12</f>
        <v>151.19999999999999</v>
      </c>
      <c r="Z42" s="115">
        <f>10080*Rateio!$E$82/12</f>
        <v>151.19999999999999</v>
      </c>
      <c r="AA42" s="115">
        <f>10080*Rateio!$E$82/12</f>
        <v>151.19999999999999</v>
      </c>
      <c r="AB42" s="115">
        <f>10080*Rateio!$E$82/12</f>
        <v>151.19999999999999</v>
      </c>
      <c r="AC42" s="116">
        <f t="shared" si="41"/>
        <v>1814.4000000000003</v>
      </c>
      <c r="AD42" s="108"/>
      <c r="AE42" s="117">
        <f>IF(ISBLANK(Q42),"",IF($P42="BRL",Q42,Q42*Macroindicadores!B$2)/1000)</f>
        <v>0.88905599999999996</v>
      </c>
      <c r="AF42" s="117">
        <f>IF(ISBLANK(R42),"",IF($P42="BRL",R42,R42*Macroindicadores!C$2)/1000)</f>
        <v>0.88905599999999996</v>
      </c>
      <c r="AG42" s="117">
        <f>IF(ISBLANK(S42),"",IF($P42="BRL",S42,S42*Macroindicadores!D$2)/1000)</f>
        <v>0.88905599999999996</v>
      </c>
      <c r="AH42" s="117">
        <f>IF(ISBLANK(T42),"",IF($P42="BRL",T42,T42*Macroindicadores!E$2)/1000)</f>
        <v>0.88905599999999996</v>
      </c>
      <c r="AI42" s="117">
        <f>IF(ISBLANK(U42),"",IF($P42="BRL",U42,U42*Macroindicadores!F$2)/1000)</f>
        <v>0.88905599999999996</v>
      </c>
      <c r="AJ42" s="117">
        <f>IF(ISBLANK(V42),"",IF($P42="BRL",V42,V42*Macroindicadores!G$2)/1000)</f>
        <v>0.88905599999999996</v>
      </c>
      <c r="AK42" s="117">
        <f>IF(ISBLANK(W42),"",IF($P42="BRL",W42,W42*Macroindicadores!H$2)/1000)</f>
        <v>0.88905599999999996</v>
      </c>
      <c r="AL42" s="117">
        <f>IF(ISBLANK(X42),"",IF($P42="BRL",X42,X42*Macroindicadores!I$2)/1000)</f>
        <v>0.88905599999999996</v>
      </c>
      <c r="AM42" s="117">
        <f>IF(ISBLANK(Y42),"",IF($P42="BRL",Y42,Y42*Macroindicadores!J$2)/1000)</f>
        <v>0.88905599999999996</v>
      </c>
      <c r="AN42" s="117">
        <f>IF(ISBLANK(Z42),"",IF($P42="BRL",Z42,Z42*Macroindicadores!K$2)/1000)</f>
        <v>0.88905599999999996</v>
      </c>
      <c r="AO42" s="117">
        <f>IF(ISBLANK(AA42),"",IF($P42="BRL",AA42,AA42*Macroindicadores!L$2)/1000)</f>
        <v>0.88905599999999996</v>
      </c>
      <c r="AP42" s="117">
        <f>IF(ISBLANK(AB42),"",IF($P42="BRL",AB42,AB42*Macroindicadores!M$2)/1000)</f>
        <v>0.88905599999999996</v>
      </c>
      <c r="AQ42" s="118">
        <f t="shared" si="35"/>
        <v>10.668671999999999</v>
      </c>
      <c r="AR42" s="108"/>
      <c r="AS42" s="117">
        <f>IF(ISBLANK(Q42),"",IF(ISBLANK($O42),AE42,IF($J42="ANUAL",AE42*(1+Macroindicadores!B$7),IF(AND($I42="NOVO",MONTH($O42)=MONTH(AS$4)),AE42*(1+Macroindicadores!B$7),IF(AND($J42="PONTUAL",MONTH($O42)=MONTH(AS$4)),AE42*(1+Macroindicadores!B$7),IF(AND($J42="PONTUAL",MONTH($O42)&lt;MONTH(AS$4)),MIN(AR42:$AS42),IF(AND($I42="NOVO",MONTH($O42)&gt;MONTH(AS$4)),AE42,IF(MONTH($O42)&gt;MONTH(AS$4),AE42,IF(MONTH($O42)=MONTH(AS$4),AE42*(1+Macroindicadores!B$7),AR42)))))))))</f>
        <v>0.88905599999999996</v>
      </c>
      <c r="AT42" s="117">
        <f>IF(ISBLANK(R42),"",IF(ISBLANK($O42),AF42,IF($J42="ANUAL",AF42*(1+Macroindicadores!C$7),IF(AND($I42="NOVO",MONTH($O42)=MONTH(AT$4)),AF42*(1+Macroindicadores!C$7),IF(AND($J42="PONTUAL",MONTH($O42)=MONTH(AT$4)),AF42*(1+Macroindicadores!C$7),IF(AND($J42="PONTUAL",MONTH($O42)&lt;MONTH(AT$4)),MIN($AS42:AS42),IF(AND($I42="NOVO",MONTH($O42)&gt;MONTH(AT$4)),AF42,IF(MONTH($O42)&gt;MONTH(AT$4),AF42,IF(MONTH($O42)=MONTH(AT$4),AF42*(1+Macroindicadores!C$7),AS42)))))))))</f>
        <v>0.88905599999999996</v>
      </c>
      <c r="AU42" s="117">
        <f>IF(ISBLANK(S42),"",IF(ISBLANK($O42),AG42,IF($J42="ANUAL",AG42*(1+Macroindicadores!D$7),IF(AND($I42="NOVO",MONTH($O42)=MONTH(AU$4)),AG42*(1+Macroindicadores!D$7),IF(AND($J42="PONTUAL",MONTH($O42)=MONTH(AU$4)),AG42*(1+Macroindicadores!D$7),IF(AND($J42="PONTUAL",MONTH($O42)&lt;MONTH(AU$4)),MIN($AS42:AT42),IF(AND($I42="NOVO",MONTH($O42)&gt;MONTH(AU$4)),AG42,IF(MONTH($O42)&gt;MONTH(AU$4),AG42,IF(MONTH($O42)=MONTH(AU$4),AG42*(1+Macroindicadores!D$7),AT42)))))))))</f>
        <v>0.88905599999999996</v>
      </c>
      <c r="AV42" s="117">
        <f>IF(ISBLANK(T42),"",IF(ISBLANK($O42),AH42,IF($J42="ANUAL",AH42*(1+Macroindicadores!E$7),IF(AND($I42="NOVO",MONTH($O42)=MONTH(AV$4)),AH42*(1+Macroindicadores!E$7),IF(AND($J42="PONTUAL",MONTH($O42)=MONTH(AV$4)),AH42*(1+Macroindicadores!E$7),IF(AND($J42="PONTUAL",MONTH($O42)&lt;MONTH(AV$4)),MIN($AS42:AU42),IF(AND($I42="NOVO",MONTH($O42)&gt;MONTH(AV$4)),AH42,IF(MONTH($O42)&gt;MONTH(AV$4),AH42,IF(MONTH($O42)=MONTH(AV$4),AH42*(1+Macroindicadores!E$7),AU42)))))))))</f>
        <v>0.88905599999999996</v>
      </c>
      <c r="AW42" s="117">
        <f>IF(ISBLANK(U42),"",IF(ISBLANK($O42),AI42,IF($J42="ANUAL",AI42*(1+Macroindicadores!F$7),IF(AND($I42="NOVO",MONTH($O42)=MONTH(AW$4)),AI42*(1+Macroindicadores!F$7),IF(AND($J42="PONTUAL",MONTH($O42)=MONTH(AW$4)),AI42*(1+Macroindicadores!F$7),IF(AND($J42="PONTUAL",MONTH($O42)&lt;MONTH(AW$4)),MIN($AS42:AV42),IF(AND($I42="NOVO",MONTH($O42)&gt;MONTH(AW$4)),AI42,IF(MONTH($O42)&gt;MONTH(AW$4),AI42,IF(MONTH($O42)=MONTH(AW$4),AI42*(1+Macroindicadores!F$7),AV42)))))))))</f>
        <v>0.88905599999999996</v>
      </c>
      <c r="AX42" s="117">
        <f>IF(ISBLANK(V42),"",IF(ISBLANK($O42),AJ42,IF($J42="ANUAL",AJ42*(1+Macroindicadores!G$7),IF(AND($I42="NOVO",MONTH($O42)=MONTH(AX$4)),AJ42*(1+Macroindicadores!G$7),IF(AND($J42="PONTUAL",MONTH($O42)=MONTH(AX$4)),AJ42*(1+Macroindicadores!G$7),IF(AND($J42="PONTUAL",MONTH($O42)&lt;MONTH(AX$4)),MIN($AS42:AW42),IF(AND($I42="NOVO",MONTH($O42)&gt;MONTH(AX$4)),AJ42,IF(MONTH($O42)&gt;MONTH(AX$4),AJ42,IF(MONTH($O42)=MONTH(AX$4),AJ42*(1+Macroindicadores!G$7),AW42)))))))))</f>
        <v>0.88905599999999996</v>
      </c>
      <c r="AY42" s="117">
        <f>IF(ISBLANK(W42),"",IF(ISBLANK($O42),AK42,IF($J42="ANUAL",AK42*(1+Macroindicadores!H$7),IF(AND($I42="NOVO",MONTH($O42)=MONTH(AY$4)),AK42*(1+Macroindicadores!H$7),IF(AND($J42="PONTUAL",MONTH($O42)=MONTH(AY$4)),AK42*(1+Macroindicadores!H$7),IF(AND($J42="PONTUAL",MONTH($O42)&lt;MONTH(AY$4)),MIN($AS42:AX42),IF(AND($I42="NOVO",MONTH($O42)&gt;MONTH(AY$4)),AK42,IF(MONTH($O42)&gt;MONTH(AY$4),AK42,IF(MONTH($O42)=MONTH(AY$4),AK42*(1+Macroindicadores!H$7),AX42)))))))))</f>
        <v>0.88905599999999996</v>
      </c>
      <c r="AZ42" s="117">
        <f>IF(ISBLANK(X42),"",IF(ISBLANK($O42),AL42,IF($J42="ANUAL",AL42*(1+Macroindicadores!I$7),IF(AND($I42="NOVO",MONTH($O42)=MONTH(AZ$4)),AL42*(1+Macroindicadores!I$7),IF(AND($J42="PONTUAL",MONTH($O42)=MONTH(AZ$4)),AL42*(1+Macroindicadores!I$7),IF(AND($J42="PONTUAL",MONTH($O42)&lt;MONTH(AZ$4)),MIN($AS42:AY42),IF(AND($I42="NOVO",MONTH($O42)&gt;MONTH(AZ$4)),AL42,IF(MONTH($O42)&gt;MONTH(AZ$4),AL42,IF(MONTH($O42)=MONTH(AZ$4),AL42*(1+Macroindicadores!I$7),AY42)))))))))</f>
        <v>0.88905599999999996</v>
      </c>
      <c r="BA42" s="117">
        <f>IF(ISBLANK(Y42),"",IF(ISBLANK($O42),AM42,IF($J42="ANUAL",AM42*(1+Macroindicadores!J$7),IF(AND($I42="NOVO",MONTH($O42)=MONTH(BA$4)),AM42*(1+Macroindicadores!J$7),IF(AND($J42="PONTUAL",MONTH($O42)=MONTH(BA$4)),AM42*(1+Macroindicadores!J$7),IF(AND($J42="PONTUAL",MONTH($O42)&lt;MONTH(BA$4)),MIN($AS42:AZ42),IF(AND($I42="NOVO",MONTH($O42)&gt;MONTH(BA$4)),AM42,IF(MONTH($O42)&gt;MONTH(BA$4),AM42,IF(MONTH($O42)=MONTH(BA$4),AM42*(1+Macroindicadores!J$7),AZ42)))))))))</f>
        <v>0.88905599999999996</v>
      </c>
      <c r="BB42" s="117">
        <f>IF(ISBLANK(Z42),"",IF(ISBLANK($O42),AN42,IF($J42="ANUAL",AN42*(1+Macroindicadores!K$7),IF(AND($I42="NOVO",MONTH($O42)=MONTH(BB$4)),AN42*(1+Macroindicadores!K$7),IF(AND($J42="PONTUAL",MONTH($O42)=MONTH(BB$4)),AN42*(1+Macroindicadores!K$7),IF(AND($J42="PONTUAL",MONTH($O42)&lt;MONTH(BB$4)),MIN($AS42:BA42),IF(AND($I42="NOVO",MONTH($O42)&gt;MONTH(BB$4)),AN42,IF(MONTH($O42)&gt;MONTH(BB$4),AN42,IF(MONTH($O42)=MONTH(BB$4),AN42*(1+Macroindicadores!K$7),BA42)))))))))</f>
        <v>0.88905599999999996</v>
      </c>
      <c r="BC42" s="117">
        <f>IF(ISBLANK(AA42),"",IF(ISBLANK($O42),AO42,IF($J42="ANUAL",AO42*(1+Macroindicadores!L$7),IF(AND($I42="NOVO",MONTH($O42)=MONTH(BC$4)),AO42*(1+Macroindicadores!L$7),IF(AND($J42="PONTUAL",MONTH($O42)=MONTH(BC$4)),AO42*(1+Macroindicadores!L$7),IF(AND($J42="PONTUAL",MONTH($O42)&lt;MONTH(BC$4)),MIN($AS42:BB42),IF(AND($I42="NOVO",MONTH($O42)&gt;MONTH(BC$4)),AO42,IF(MONTH($O42)&gt;MONTH(BC$4),AO42,IF(MONTH($O42)=MONTH(BC$4),AO42*(1+Macroindicadores!L$7),BB42)))))))))</f>
        <v>0.88905599999999996</v>
      </c>
      <c r="BD42" s="117">
        <f>IF(ISBLANK(AB42),"",IF(ISBLANK($O42),AP42,IF($J42="ANUAL",AP42*(1+Macroindicadores!M$7),IF(AND($I42="NOVO",MONTH($O42)=MONTH(BD$4)),AP42*(1+Macroindicadores!M$7),IF(AND($J42="PONTUAL",MONTH($O42)=MONTH(BD$4)),AP42*(1+Macroindicadores!M$7),IF(AND($J42="PONTUAL",MONTH($O42)&lt;MONTH(BD$4)),MIN($AS42:BC42),IF(AND($I42="NOVO",MONTH($O42)&gt;MONTH(BD$4)),AP42,IF(MONTH($O42)&gt;MONTH(BD$4),AP42,IF(MONTH($O42)=MONTH(BD$4),AP42*(1+Macroindicadores!M$7),BC42)))))))))</f>
        <v>0.88905599999999996</v>
      </c>
      <c r="BE42" s="118">
        <f t="shared" si="36"/>
        <v>10.668671999999999</v>
      </c>
      <c r="BF42" s="108"/>
      <c r="BG42" s="117">
        <f>IF(ISBLANK(Q42),"",AS42/Macroindicadores!B$2)</f>
        <v>0.1512</v>
      </c>
      <c r="BH42" s="117">
        <f>IF(ISBLANK(R42),"",AT42/Macroindicadores!C$2)</f>
        <v>0.1512</v>
      </c>
      <c r="BI42" s="117">
        <f>IF(ISBLANK(S42),"",AU42/Macroindicadores!D$2)</f>
        <v>0.1512</v>
      </c>
      <c r="BJ42" s="117">
        <f>IF(ISBLANK(T42),"",AV42/Macroindicadores!E$2)</f>
        <v>0.1512</v>
      </c>
      <c r="BK42" s="117">
        <f>IF(ISBLANK(U42),"",AW42/Macroindicadores!F$2)</f>
        <v>0.1512</v>
      </c>
      <c r="BL42" s="117">
        <f>IF(ISBLANK(V42),"",AX42/Macroindicadores!G$2)</f>
        <v>0.1512</v>
      </c>
      <c r="BM42" s="117">
        <f>IF(ISBLANK(W42),"",AY42/Macroindicadores!H$2)</f>
        <v>0.1512</v>
      </c>
      <c r="BN42" s="117">
        <f>IF(ISBLANK(X42),"",AZ42/Macroindicadores!I$2)</f>
        <v>0.1512</v>
      </c>
      <c r="BO42" s="117">
        <f>IF(ISBLANK(Y42),"",BA42/Macroindicadores!J$2)</f>
        <v>0.1512</v>
      </c>
      <c r="BP42" s="117">
        <f>IF(ISBLANK(Z42),"",BB42/Macroindicadores!K$2)</f>
        <v>0.1512</v>
      </c>
      <c r="BQ42" s="117">
        <f>IF(ISBLANK(AA42),"",BC42/Macroindicadores!L$2)</f>
        <v>0.1512</v>
      </c>
      <c r="BR42" s="117">
        <f>IF(ISBLANK(AB42),"",BD42/Macroindicadores!M$2)</f>
        <v>0.1512</v>
      </c>
      <c r="BS42" s="118">
        <f>IF(AND(ISBLANK($Q42),ISBLANK($R42),ISBLANK($S42),ISBLANK($T42),ISBLANK($U42),ISBLANK($V42),ISBLANK($W42),ISBLANK($X42),ISBLANK($Y42),ISBLANK($Z42),ISBLANK($AA42),ISBLANK($AB42)),"",SUM(BG42:BR42))</f>
        <v>1.8144</v>
      </c>
      <c r="BT42" s="25" t="str">
        <f>IF(ISBLANK($L42),"",_xlfn.XLOOKUP($L42,'CENTRO CUSTO'!$A:$A,'CENTRO CUSTO'!$E:$E,FALSE,0))</f>
        <v>Custo Fixo</v>
      </c>
    </row>
    <row r="43" spans="1:72">
      <c r="A43" s="9" t="str">
        <f t="shared" si="40"/>
        <v>Budget</v>
      </c>
      <c r="B43" s="9">
        <f t="shared" si="44"/>
        <v>2026</v>
      </c>
      <c r="C43" s="111" t="str">
        <f>IF(ISBLANK($L43),"",_xlfn.XLOOKUP($L43,'CENTRO CUSTO'!$A:$A,'CENTRO CUSTO'!F:F,FALSE,0))</f>
        <v>MRV</v>
      </c>
      <c r="D43" s="111" t="str">
        <f>IF(ISBLANK($L43),"",_xlfn.XLOOKUP($L43,'CENTRO CUSTO'!$A:$A,'CENTRO CUSTO'!G:G,FALSE,0))</f>
        <v>Passo Fundo</v>
      </c>
      <c r="E43" s="111" t="str">
        <f>IF(ISBLANK($L43),"",_xlfn.XLOOKUP($L43,'CENTRO CUSTO'!$A:$A,'CENTRO CUSTO'!H:H,FALSE,0))</f>
        <v>Frigorífico</v>
      </c>
      <c r="F43" s="112" t="s">
        <v>99</v>
      </c>
      <c r="G43" s="112" t="s">
        <v>75</v>
      </c>
      <c r="H43" s="112" t="s">
        <v>102</v>
      </c>
      <c r="I43" s="113" t="s">
        <v>77</v>
      </c>
      <c r="J43" s="113" t="s">
        <v>78</v>
      </c>
      <c r="K43" s="113" t="s">
        <v>79</v>
      </c>
      <c r="L43" s="113" t="s">
        <v>41</v>
      </c>
      <c r="M43" s="111" t="str">
        <f>IF(ISBLANK($L43),"",_xlfn.XLOOKUP($L43,'CENTRO CUSTO'!$A:$A,'CENTRO CUSTO'!D:D,FALSE,0))</f>
        <v>Alexandre Ayabe</v>
      </c>
      <c r="N43" s="113" t="s">
        <v>87</v>
      </c>
      <c r="O43" s="114"/>
      <c r="P43" s="113" t="s">
        <v>88</v>
      </c>
      <c r="Q43" s="115">
        <v>0</v>
      </c>
      <c r="R43" s="115">
        <v>0</v>
      </c>
      <c r="S43" s="115">
        <v>0</v>
      </c>
      <c r="T43" s="115">
        <v>0</v>
      </c>
      <c r="U43" s="115">
        <v>0</v>
      </c>
      <c r="V43" s="115">
        <v>0</v>
      </c>
      <c r="W43" s="115">
        <v>0</v>
      </c>
      <c r="X43" s="115">
        <v>0</v>
      </c>
      <c r="Y43" s="115">
        <v>0</v>
      </c>
      <c r="Z43" s="115">
        <v>0</v>
      </c>
      <c r="AA43" s="115">
        <v>0</v>
      </c>
      <c r="AB43" s="115">
        <v>0</v>
      </c>
      <c r="AC43" s="116">
        <f t="shared" si="41"/>
        <v>0</v>
      </c>
      <c r="AD43" s="108"/>
      <c r="AE43" s="117">
        <f>IF(ISBLANK(Q43),"",IF($P43="BRL",Q43,Q43*Macroindicadores!B$2)/1000)</f>
        <v>0</v>
      </c>
      <c r="AF43" s="117">
        <f>IF(ISBLANK(R43),"",IF($P43="BRL",R43,R43*Macroindicadores!C$2)/1000)</f>
        <v>0</v>
      </c>
      <c r="AG43" s="117">
        <f>IF(ISBLANK(S43),"",IF($P43="BRL",S43,S43*Macroindicadores!D$2)/1000)</f>
        <v>0</v>
      </c>
      <c r="AH43" s="117">
        <f>IF(ISBLANK(T43),"",IF($P43="BRL",T43,T43*Macroindicadores!E$2)/1000)</f>
        <v>0</v>
      </c>
      <c r="AI43" s="117">
        <f>IF(ISBLANK(U43),"",IF($P43="BRL",U43,U43*Macroindicadores!F$2)/1000)</f>
        <v>0</v>
      </c>
      <c r="AJ43" s="117">
        <f>IF(ISBLANK(V43),"",IF($P43="BRL",V43,V43*Macroindicadores!G$2)/1000)</f>
        <v>0</v>
      </c>
      <c r="AK43" s="117">
        <f>IF(ISBLANK(W43),"",IF($P43="BRL",W43,W43*Macroindicadores!H$2)/1000)</f>
        <v>0</v>
      </c>
      <c r="AL43" s="117">
        <f>IF(ISBLANK(X43),"",IF($P43="BRL",X43,X43*Macroindicadores!I$2)/1000)</f>
        <v>0</v>
      </c>
      <c r="AM43" s="117">
        <f>IF(ISBLANK(Y43),"",IF($P43="BRL",Y43,Y43*Macroindicadores!J$2)/1000)</f>
        <v>0</v>
      </c>
      <c r="AN43" s="117">
        <f>IF(ISBLANK(Z43),"",IF($P43="BRL",Z43,Z43*Macroindicadores!K$2)/1000)</f>
        <v>0</v>
      </c>
      <c r="AO43" s="117">
        <f>IF(ISBLANK(AA43),"",IF($P43="BRL",AA43,AA43*Macroindicadores!L$2)/1000)</f>
        <v>0</v>
      </c>
      <c r="AP43" s="117">
        <f>IF(ISBLANK(AB43),"",IF($P43="BRL",AB43,AB43*Macroindicadores!M$2)/1000)</f>
        <v>0</v>
      </c>
      <c r="AQ43" s="118">
        <f t="shared" si="35"/>
        <v>0</v>
      </c>
      <c r="AR43" s="108"/>
      <c r="AS43" s="117">
        <f>IF(ISBLANK(Q43),"",IF(ISBLANK($O43),AE43,IF($J43="ANUAL",AE43*(1+Macroindicadores!B$7),IF(AND($I43="NOVO",MONTH($O43)=MONTH(AS$4)),AE43*(1+Macroindicadores!B$7),IF(AND($J43="PONTUAL",MONTH($O43)=MONTH(AS$4)),AE43*(1+Macroindicadores!B$7),IF(AND($J43="PONTUAL",MONTH($O43)&lt;MONTH(AS$4)),MIN(AR43:$AS43),IF(AND($I43="NOVO",MONTH($O43)&gt;MONTH(AS$4)),AE43,IF(MONTH($O43)&gt;MONTH(AS$4),AE43,IF(MONTH($O43)=MONTH(AS$4),AE43*(1+Macroindicadores!B$7),AR43)))))))))</f>
        <v>0</v>
      </c>
      <c r="AT43" s="117">
        <f>IF(ISBLANK(R43),"",IF(ISBLANK($O43),AF43,IF($J43="ANUAL",AF43*(1+Macroindicadores!C$7),IF(AND($I43="NOVO",MONTH($O43)=MONTH(AT$4)),AF43*(1+Macroindicadores!C$7),IF(AND($J43="PONTUAL",MONTH($O43)=MONTH(AT$4)),AF43*(1+Macroindicadores!C$7),IF(AND($J43="PONTUAL",MONTH($O43)&lt;MONTH(AT$4)),MIN($AS43:AS43),IF(AND($I43="NOVO",MONTH($O43)&gt;MONTH(AT$4)),AF43,IF(MONTH($O43)&gt;MONTH(AT$4),AF43,IF(MONTH($O43)=MONTH(AT$4),AF43*(1+Macroindicadores!C$7),AS43)))))))))</f>
        <v>0</v>
      </c>
      <c r="AU43" s="117">
        <f>IF(ISBLANK(S43),"",IF(ISBLANK($O43),AG43,IF($J43="ANUAL",AG43*(1+Macroindicadores!D$7),IF(AND($I43="NOVO",MONTH($O43)=MONTH(AU$4)),AG43*(1+Macroindicadores!D$7),IF(AND($J43="PONTUAL",MONTH($O43)=MONTH(AU$4)),AG43*(1+Macroindicadores!D$7),IF(AND($J43="PONTUAL",MONTH($O43)&lt;MONTH(AU$4)),MIN($AS43:AT43),IF(AND($I43="NOVO",MONTH($O43)&gt;MONTH(AU$4)),AG43,IF(MONTH($O43)&gt;MONTH(AU$4),AG43,IF(MONTH($O43)=MONTH(AU$4),AG43*(1+Macroindicadores!D$7),AT43)))))))))</f>
        <v>0</v>
      </c>
      <c r="AV43" s="117">
        <f>IF(ISBLANK(T43),"",IF(ISBLANK($O43),AH43,IF($J43="ANUAL",AH43*(1+Macroindicadores!E$7),IF(AND($I43="NOVO",MONTH($O43)=MONTH(AV$4)),AH43*(1+Macroindicadores!E$7),IF(AND($J43="PONTUAL",MONTH($O43)=MONTH(AV$4)),AH43*(1+Macroindicadores!E$7),IF(AND($J43="PONTUAL",MONTH($O43)&lt;MONTH(AV$4)),MIN($AS43:AU43),IF(AND($I43="NOVO",MONTH($O43)&gt;MONTH(AV$4)),AH43,IF(MONTH($O43)&gt;MONTH(AV$4),AH43,IF(MONTH($O43)=MONTH(AV$4),AH43*(1+Macroindicadores!E$7),AU43)))))))))</f>
        <v>0</v>
      </c>
      <c r="AW43" s="117">
        <f>IF(ISBLANK(U43),"",IF(ISBLANK($O43),AI43,IF($J43="ANUAL",AI43*(1+Macroindicadores!F$7),IF(AND($I43="NOVO",MONTH($O43)=MONTH(AW$4)),AI43*(1+Macroindicadores!F$7),IF(AND($J43="PONTUAL",MONTH($O43)=MONTH(AW$4)),AI43*(1+Macroindicadores!F$7),IF(AND($J43="PONTUAL",MONTH($O43)&lt;MONTH(AW$4)),MIN($AS43:AV43),IF(AND($I43="NOVO",MONTH($O43)&gt;MONTH(AW$4)),AI43,IF(MONTH($O43)&gt;MONTH(AW$4),AI43,IF(MONTH($O43)=MONTH(AW$4),AI43*(1+Macroindicadores!F$7),AV43)))))))))</f>
        <v>0</v>
      </c>
      <c r="AX43" s="117">
        <f>IF(ISBLANK(V43),"",IF(ISBLANK($O43),AJ43,IF($J43="ANUAL",AJ43*(1+Macroindicadores!G$7),IF(AND($I43="NOVO",MONTH($O43)=MONTH(AX$4)),AJ43*(1+Macroindicadores!G$7),IF(AND($J43="PONTUAL",MONTH($O43)=MONTH(AX$4)),AJ43*(1+Macroindicadores!G$7),IF(AND($J43="PONTUAL",MONTH($O43)&lt;MONTH(AX$4)),MIN($AS43:AW43),IF(AND($I43="NOVO",MONTH($O43)&gt;MONTH(AX$4)),AJ43,IF(MONTH($O43)&gt;MONTH(AX$4),AJ43,IF(MONTH($O43)=MONTH(AX$4),AJ43*(1+Macroindicadores!G$7),AW43)))))))))</f>
        <v>0</v>
      </c>
      <c r="AY43" s="117">
        <f>IF(ISBLANK(W43),"",IF(ISBLANK($O43),AK43,IF($J43="ANUAL",AK43*(1+Macroindicadores!H$7),IF(AND($I43="NOVO",MONTH($O43)=MONTH(AY$4)),AK43*(1+Macroindicadores!H$7),IF(AND($J43="PONTUAL",MONTH($O43)=MONTH(AY$4)),AK43*(1+Macroindicadores!H$7),IF(AND($J43="PONTUAL",MONTH($O43)&lt;MONTH(AY$4)),MIN($AS43:AX43),IF(AND($I43="NOVO",MONTH($O43)&gt;MONTH(AY$4)),AK43,IF(MONTH($O43)&gt;MONTH(AY$4),AK43,IF(MONTH($O43)=MONTH(AY$4),AK43*(1+Macroindicadores!H$7),AX43)))))))))</f>
        <v>0</v>
      </c>
      <c r="AZ43" s="117">
        <f>IF(ISBLANK(X43),"",IF(ISBLANK($O43),AL43,IF($J43="ANUAL",AL43*(1+Macroindicadores!I$7),IF(AND($I43="NOVO",MONTH($O43)=MONTH(AZ$4)),AL43*(1+Macroindicadores!I$7),IF(AND($J43="PONTUAL",MONTH($O43)=MONTH(AZ$4)),AL43*(1+Macroindicadores!I$7),IF(AND($J43="PONTUAL",MONTH($O43)&lt;MONTH(AZ$4)),MIN($AS43:AY43),IF(AND($I43="NOVO",MONTH($O43)&gt;MONTH(AZ$4)),AL43,IF(MONTH($O43)&gt;MONTH(AZ$4),AL43,IF(MONTH($O43)=MONTH(AZ$4),AL43*(1+Macroindicadores!I$7),AY43)))))))))</f>
        <v>0</v>
      </c>
      <c r="BA43" s="117">
        <f>IF(ISBLANK(Y43),"",IF(ISBLANK($O43),AM43,IF($J43="ANUAL",AM43*(1+Macroindicadores!J$7),IF(AND($I43="NOVO",MONTH($O43)=MONTH(BA$4)),AM43*(1+Macroindicadores!J$7),IF(AND($J43="PONTUAL",MONTH($O43)=MONTH(BA$4)),AM43*(1+Macroindicadores!J$7),IF(AND($J43="PONTUAL",MONTH($O43)&lt;MONTH(BA$4)),MIN($AS43:AZ43),IF(AND($I43="NOVO",MONTH($O43)&gt;MONTH(BA$4)),AM43,IF(MONTH($O43)&gt;MONTH(BA$4),AM43,IF(MONTH($O43)=MONTH(BA$4),AM43*(1+Macroindicadores!J$7),AZ43)))))))))</f>
        <v>0</v>
      </c>
      <c r="BB43" s="117">
        <f>IF(ISBLANK(Z43),"",IF(ISBLANK($O43),AN43,IF($J43="ANUAL",AN43*(1+Macroindicadores!K$7),IF(AND($I43="NOVO",MONTH($O43)=MONTH(BB$4)),AN43*(1+Macroindicadores!K$7),IF(AND($J43="PONTUAL",MONTH($O43)=MONTH(BB$4)),AN43*(1+Macroindicadores!K$7),IF(AND($J43="PONTUAL",MONTH($O43)&lt;MONTH(BB$4)),MIN($AS43:BA43),IF(AND($I43="NOVO",MONTH($O43)&gt;MONTH(BB$4)),AN43,IF(MONTH($O43)&gt;MONTH(BB$4),AN43,IF(MONTH($O43)=MONTH(BB$4),AN43*(1+Macroindicadores!K$7),BA43)))))))))</f>
        <v>0</v>
      </c>
      <c r="BC43" s="117">
        <f>IF(ISBLANK(AA43),"",IF(ISBLANK($O43),AO43,IF($J43="ANUAL",AO43*(1+Macroindicadores!L$7),IF(AND($I43="NOVO",MONTH($O43)=MONTH(BC$4)),AO43*(1+Macroindicadores!L$7),IF(AND($J43="PONTUAL",MONTH($O43)=MONTH(BC$4)),AO43*(1+Macroindicadores!L$7),IF(AND($J43="PONTUAL",MONTH($O43)&lt;MONTH(BC$4)),MIN($AS43:BB43),IF(AND($I43="NOVO",MONTH($O43)&gt;MONTH(BC$4)),AO43,IF(MONTH($O43)&gt;MONTH(BC$4),AO43,IF(MONTH($O43)=MONTH(BC$4),AO43*(1+Macroindicadores!L$7),BB43)))))))))</f>
        <v>0</v>
      </c>
      <c r="BD43" s="117">
        <f>IF(ISBLANK(AB43),"",IF(ISBLANK($O43),AP43,IF($J43="ANUAL",AP43*(1+Macroindicadores!M$7),IF(AND($I43="NOVO",MONTH($O43)=MONTH(BD$4)),AP43*(1+Macroindicadores!M$7),IF(AND($J43="PONTUAL",MONTH($O43)=MONTH(BD$4)),AP43*(1+Macroindicadores!M$7),IF(AND($J43="PONTUAL",MONTH($O43)&lt;MONTH(BD$4)),MIN($AS43:BC43),IF(AND($I43="NOVO",MONTH($O43)&gt;MONTH(BD$4)),AP43,IF(MONTH($O43)&gt;MONTH(BD$4),AP43,IF(MONTH($O43)=MONTH(BD$4),AP43*(1+Macroindicadores!M$7),BC43)))))))))</f>
        <v>0</v>
      </c>
      <c r="BE43" s="118">
        <f t="shared" si="36"/>
        <v>0</v>
      </c>
      <c r="BF43" s="108"/>
      <c r="BG43" s="117">
        <f>IF(ISBLANK(Q43),"",AS43/Macroindicadores!B$2)</f>
        <v>0</v>
      </c>
      <c r="BH43" s="117">
        <f>IF(ISBLANK(R43),"",AT43/Macroindicadores!C$2)</f>
        <v>0</v>
      </c>
      <c r="BI43" s="117">
        <f>IF(ISBLANK(S43),"",AU43/Macroindicadores!D$2)</f>
        <v>0</v>
      </c>
      <c r="BJ43" s="117">
        <f>IF(ISBLANK(T43),"",AV43/Macroindicadores!E$2)</f>
        <v>0</v>
      </c>
      <c r="BK43" s="117">
        <f>IF(ISBLANK(U43),"",AW43/Macroindicadores!F$2)</f>
        <v>0</v>
      </c>
      <c r="BL43" s="117">
        <f>IF(ISBLANK(V43),"",AX43/Macroindicadores!G$2)</f>
        <v>0</v>
      </c>
      <c r="BM43" s="117">
        <f>IF(ISBLANK(W43),"",AY43/Macroindicadores!H$2)</f>
        <v>0</v>
      </c>
      <c r="BN43" s="117">
        <f>IF(ISBLANK(X43),"",AZ43/Macroindicadores!I$2)</f>
        <v>0</v>
      </c>
      <c r="BO43" s="117">
        <f>IF(ISBLANK(Y43),"",BA43/Macroindicadores!J$2)</f>
        <v>0</v>
      </c>
      <c r="BP43" s="117">
        <f>IF(ISBLANK(Z43),"",BB43/Macroindicadores!K$2)</f>
        <v>0</v>
      </c>
      <c r="BQ43" s="117">
        <f>IF(ISBLANK(AA43),"",BC43/Macroindicadores!L$2)</f>
        <v>0</v>
      </c>
      <c r="BR43" s="117">
        <f>IF(ISBLANK(AB43),"",BD43/Macroindicadores!M$2)</f>
        <v>0</v>
      </c>
      <c r="BS43" s="118">
        <f>IF(AND(ISBLANK($Q43),ISBLANK($R43),ISBLANK($S43),ISBLANK($T43),ISBLANK($U43),ISBLANK($V43),ISBLANK($W43),ISBLANK($X43),ISBLANK($Y43),ISBLANK($Z43),ISBLANK($AA43),ISBLANK($AB43)),"",SUM(BG43:BR43))</f>
        <v>0</v>
      </c>
      <c r="BT43" s="25" t="str">
        <f>IF(ISBLANK($L43),"",_xlfn.XLOOKUP($L43,'CENTRO CUSTO'!$A:$A,'CENTRO CUSTO'!$E:$E,FALSE,0))</f>
        <v>Custo Fixo</v>
      </c>
    </row>
    <row r="44" spans="1:72">
      <c r="A44" s="9" t="str">
        <f t="shared" si="40"/>
        <v>Budget</v>
      </c>
      <c r="B44" s="9">
        <f t="shared" si="44"/>
        <v>2026</v>
      </c>
      <c r="C44" s="111" t="str">
        <f>IF(ISBLANK($L44),"",_xlfn.XLOOKUP($L44,'CENTRO CUSTO'!$A:$A,'CENTRO CUSTO'!F:F,FALSE,0))</f>
        <v>SKM</v>
      </c>
      <c r="D44" s="111" t="str">
        <f>IF(ISBLANK($L44),"",_xlfn.XLOOKUP($L44,'CENTRO CUSTO'!$A:$A,'CENTRO CUSTO'!G:G,FALSE,0))</f>
        <v>G100B</v>
      </c>
      <c r="E44" s="111" t="str">
        <f>IF(ISBLANK($L44),"",_xlfn.XLOOKUP($L44,'CENTRO CUSTO'!$A:$A,'CENTRO CUSTO'!H:H,FALSE,0))</f>
        <v>Frigorífico</v>
      </c>
      <c r="F44" s="112" t="s">
        <v>99</v>
      </c>
      <c r="G44" s="112" t="s">
        <v>75</v>
      </c>
      <c r="H44" s="112" t="s">
        <v>102</v>
      </c>
      <c r="I44" s="113" t="s">
        <v>77</v>
      </c>
      <c r="J44" s="113" t="s">
        <v>78</v>
      </c>
      <c r="K44" s="113" t="s">
        <v>79</v>
      </c>
      <c r="L44" s="113" t="s">
        <v>48</v>
      </c>
      <c r="M44" s="111" t="str">
        <f>IF(ISBLANK($L44),"",_xlfn.XLOOKUP($L44,'CENTRO CUSTO'!$A:$A,'CENTRO CUSTO'!D:D,FALSE,0))</f>
        <v>Alexandre Ayabe</v>
      </c>
      <c r="N44" s="113" t="s">
        <v>87</v>
      </c>
      <c r="O44" s="114"/>
      <c r="P44" s="113" t="s">
        <v>88</v>
      </c>
      <c r="Q44" s="115">
        <f>10080*Rateio!$E$85/12</f>
        <v>184.79999999999998</v>
      </c>
      <c r="R44" s="115">
        <f>10080*Rateio!$E$85/12</f>
        <v>184.79999999999998</v>
      </c>
      <c r="S44" s="115">
        <f>10080*Rateio!$E$85/12</f>
        <v>184.79999999999998</v>
      </c>
      <c r="T44" s="115">
        <f>10080*Rateio!$E$85/12</f>
        <v>184.79999999999998</v>
      </c>
      <c r="U44" s="115">
        <f>10080*Rateio!$E$85/12</f>
        <v>184.79999999999998</v>
      </c>
      <c r="V44" s="115">
        <f>10080*Rateio!$E$85/12</f>
        <v>184.79999999999998</v>
      </c>
      <c r="W44" s="115">
        <f>10080*Rateio!$E$85/12</f>
        <v>184.79999999999998</v>
      </c>
      <c r="X44" s="115">
        <f>10080*Rateio!$E$85/12</f>
        <v>184.79999999999998</v>
      </c>
      <c r="Y44" s="115">
        <f>10080*Rateio!$E$85/12</f>
        <v>184.79999999999998</v>
      </c>
      <c r="Z44" s="115">
        <f>10080*Rateio!$E$85/12</f>
        <v>184.79999999999998</v>
      </c>
      <c r="AA44" s="115">
        <f>10080*Rateio!$E$85/12</f>
        <v>184.79999999999998</v>
      </c>
      <c r="AB44" s="115">
        <f>10080*Rateio!$E$85/12</f>
        <v>184.79999999999998</v>
      </c>
      <c r="AC44" s="116">
        <f t="shared" si="41"/>
        <v>2217.6</v>
      </c>
      <c r="AD44" s="108"/>
      <c r="AE44" s="117">
        <f>IF(ISBLANK(Q44),"",IF($P44="BRL",Q44,Q44*Macroindicadores!B$2)/1000)</f>
        <v>1.0866239999999998</v>
      </c>
      <c r="AF44" s="117">
        <f>IF(ISBLANK(R44),"",IF($P44="BRL",R44,R44*Macroindicadores!C$2)/1000)</f>
        <v>1.0866239999999998</v>
      </c>
      <c r="AG44" s="117">
        <f>IF(ISBLANK(S44),"",IF($P44="BRL",S44,S44*Macroindicadores!D$2)/1000)</f>
        <v>1.0866239999999998</v>
      </c>
      <c r="AH44" s="117">
        <f>IF(ISBLANK(T44),"",IF($P44="BRL",T44,T44*Macroindicadores!E$2)/1000)</f>
        <v>1.0866239999999998</v>
      </c>
      <c r="AI44" s="117">
        <f>IF(ISBLANK(U44),"",IF($P44="BRL",U44,U44*Macroindicadores!F$2)/1000)</f>
        <v>1.0866239999999998</v>
      </c>
      <c r="AJ44" s="117">
        <f>IF(ISBLANK(V44),"",IF($P44="BRL",V44,V44*Macroindicadores!G$2)/1000)</f>
        <v>1.0866239999999998</v>
      </c>
      <c r="AK44" s="117">
        <f>IF(ISBLANK(W44),"",IF($P44="BRL",W44,W44*Macroindicadores!H$2)/1000)</f>
        <v>1.0866239999999998</v>
      </c>
      <c r="AL44" s="117">
        <f>IF(ISBLANK(X44),"",IF($P44="BRL",X44,X44*Macroindicadores!I$2)/1000)</f>
        <v>1.0866239999999998</v>
      </c>
      <c r="AM44" s="117">
        <f>IF(ISBLANK(Y44),"",IF($P44="BRL",Y44,Y44*Macroindicadores!J$2)/1000)</f>
        <v>1.0866239999999998</v>
      </c>
      <c r="AN44" s="117">
        <f>IF(ISBLANK(Z44),"",IF($P44="BRL",Z44,Z44*Macroindicadores!K$2)/1000)</f>
        <v>1.0866239999999998</v>
      </c>
      <c r="AO44" s="117">
        <f>IF(ISBLANK(AA44),"",IF($P44="BRL",AA44,AA44*Macroindicadores!L$2)/1000)</f>
        <v>1.0866239999999998</v>
      </c>
      <c r="AP44" s="117">
        <f>IF(ISBLANK(AB44),"",IF($P44="BRL",AB44,AB44*Macroindicadores!M$2)/1000)</f>
        <v>1.0866239999999998</v>
      </c>
      <c r="AQ44" s="118">
        <f t="shared" si="35"/>
        <v>13.039488</v>
      </c>
      <c r="AR44" s="108"/>
      <c r="AS44" s="117">
        <f>IF(ISBLANK(Q44),"",IF(ISBLANK($O44),AE44,IF($J44="ANUAL",AE44*(1+Macroindicadores!B$7),IF(AND($I44="NOVO",MONTH($O44)=MONTH(AS$4)),AE44*(1+Macroindicadores!B$7),IF(AND($J44="PONTUAL",MONTH($O44)=MONTH(AS$4)),AE44*(1+Macroindicadores!B$7),IF(AND($J44="PONTUAL",MONTH($O44)&lt;MONTH(AS$4)),MIN(AR44:$AS44),IF(AND($I44="NOVO",MONTH($O44)&gt;MONTH(AS$4)),AE44,IF(MONTH($O44)&gt;MONTH(AS$4),AE44,IF(MONTH($O44)=MONTH(AS$4),AE44*(1+Macroindicadores!B$7),AR44)))))))))</f>
        <v>1.0866239999999998</v>
      </c>
      <c r="AT44" s="117">
        <f>IF(ISBLANK(R44),"",IF(ISBLANK($O44),AF44,IF($J44="ANUAL",AF44*(1+Macroindicadores!C$7),IF(AND($I44="NOVO",MONTH($O44)=MONTH(AT$4)),AF44*(1+Macroindicadores!C$7),IF(AND($J44="PONTUAL",MONTH($O44)=MONTH(AT$4)),AF44*(1+Macroindicadores!C$7),IF(AND($J44="PONTUAL",MONTH($O44)&lt;MONTH(AT$4)),MIN($AS44:AS44),IF(AND($I44="NOVO",MONTH($O44)&gt;MONTH(AT$4)),AF44,IF(MONTH($O44)&gt;MONTH(AT$4),AF44,IF(MONTH($O44)=MONTH(AT$4),AF44*(1+Macroindicadores!C$7),AS44)))))))))</f>
        <v>1.0866239999999998</v>
      </c>
      <c r="AU44" s="117">
        <f>IF(ISBLANK(S44),"",IF(ISBLANK($O44),AG44,IF($J44="ANUAL",AG44*(1+Macroindicadores!D$7),IF(AND($I44="NOVO",MONTH($O44)=MONTH(AU$4)),AG44*(1+Macroindicadores!D$7),IF(AND($J44="PONTUAL",MONTH($O44)=MONTH(AU$4)),AG44*(1+Macroindicadores!D$7),IF(AND($J44="PONTUAL",MONTH($O44)&lt;MONTH(AU$4)),MIN($AS44:AT44),IF(AND($I44="NOVO",MONTH($O44)&gt;MONTH(AU$4)),AG44,IF(MONTH($O44)&gt;MONTH(AU$4),AG44,IF(MONTH($O44)=MONTH(AU$4),AG44*(1+Macroindicadores!D$7),AT44)))))))))</f>
        <v>1.0866239999999998</v>
      </c>
      <c r="AV44" s="117">
        <f>IF(ISBLANK(T44),"",IF(ISBLANK($O44),AH44,IF($J44="ANUAL",AH44*(1+Macroindicadores!E$7),IF(AND($I44="NOVO",MONTH($O44)=MONTH(AV$4)),AH44*(1+Macroindicadores!E$7),IF(AND($J44="PONTUAL",MONTH($O44)=MONTH(AV$4)),AH44*(1+Macroindicadores!E$7),IF(AND($J44="PONTUAL",MONTH($O44)&lt;MONTH(AV$4)),MIN($AS44:AU44),IF(AND($I44="NOVO",MONTH($O44)&gt;MONTH(AV$4)),AH44,IF(MONTH($O44)&gt;MONTH(AV$4),AH44,IF(MONTH($O44)=MONTH(AV$4),AH44*(1+Macroindicadores!E$7),AU44)))))))))</f>
        <v>1.0866239999999998</v>
      </c>
      <c r="AW44" s="117">
        <f>IF(ISBLANK(U44),"",IF(ISBLANK($O44),AI44,IF($J44="ANUAL",AI44*(1+Macroindicadores!F$7),IF(AND($I44="NOVO",MONTH($O44)=MONTH(AW$4)),AI44*(1+Macroindicadores!F$7),IF(AND($J44="PONTUAL",MONTH($O44)=MONTH(AW$4)),AI44*(1+Macroindicadores!F$7),IF(AND($J44="PONTUAL",MONTH($O44)&lt;MONTH(AW$4)),MIN($AS44:AV44),IF(AND($I44="NOVO",MONTH($O44)&gt;MONTH(AW$4)),AI44,IF(MONTH($O44)&gt;MONTH(AW$4),AI44,IF(MONTH($O44)=MONTH(AW$4),AI44*(1+Macroindicadores!F$7),AV44)))))))))</f>
        <v>1.0866239999999998</v>
      </c>
      <c r="AX44" s="117">
        <f>IF(ISBLANK(V44),"",IF(ISBLANK($O44),AJ44,IF($J44="ANUAL",AJ44*(1+Macroindicadores!G$7),IF(AND($I44="NOVO",MONTH($O44)=MONTH(AX$4)),AJ44*(1+Macroindicadores!G$7),IF(AND($J44="PONTUAL",MONTH($O44)=MONTH(AX$4)),AJ44*(1+Macroindicadores!G$7),IF(AND($J44="PONTUAL",MONTH($O44)&lt;MONTH(AX$4)),MIN($AS44:AW44),IF(AND($I44="NOVO",MONTH($O44)&gt;MONTH(AX$4)),AJ44,IF(MONTH($O44)&gt;MONTH(AX$4),AJ44,IF(MONTH($O44)=MONTH(AX$4),AJ44*(1+Macroindicadores!G$7),AW44)))))))))</f>
        <v>1.0866239999999998</v>
      </c>
      <c r="AY44" s="117">
        <f>IF(ISBLANK(W44),"",IF(ISBLANK($O44),AK44,IF($J44="ANUAL",AK44*(1+Macroindicadores!H$7),IF(AND($I44="NOVO",MONTH($O44)=MONTH(AY$4)),AK44*(1+Macroindicadores!H$7),IF(AND($J44="PONTUAL",MONTH($O44)=MONTH(AY$4)),AK44*(1+Macroindicadores!H$7),IF(AND($J44="PONTUAL",MONTH($O44)&lt;MONTH(AY$4)),MIN($AS44:AX44),IF(AND($I44="NOVO",MONTH($O44)&gt;MONTH(AY$4)),AK44,IF(MONTH($O44)&gt;MONTH(AY$4),AK44,IF(MONTH($O44)=MONTH(AY$4),AK44*(1+Macroindicadores!H$7),AX44)))))))))</f>
        <v>1.0866239999999998</v>
      </c>
      <c r="AZ44" s="117">
        <f>IF(ISBLANK(X44),"",IF(ISBLANK($O44),AL44,IF($J44="ANUAL",AL44*(1+Macroindicadores!I$7),IF(AND($I44="NOVO",MONTH($O44)=MONTH(AZ$4)),AL44*(1+Macroindicadores!I$7),IF(AND($J44="PONTUAL",MONTH($O44)=MONTH(AZ$4)),AL44*(1+Macroindicadores!I$7),IF(AND($J44="PONTUAL",MONTH($O44)&lt;MONTH(AZ$4)),MIN($AS44:AY44),IF(AND($I44="NOVO",MONTH($O44)&gt;MONTH(AZ$4)),AL44,IF(MONTH($O44)&gt;MONTH(AZ$4),AL44,IF(MONTH($O44)=MONTH(AZ$4),AL44*(1+Macroindicadores!I$7),AY44)))))))))</f>
        <v>1.0866239999999998</v>
      </c>
      <c r="BA44" s="117">
        <f>IF(ISBLANK(Y44),"",IF(ISBLANK($O44),AM44,IF($J44="ANUAL",AM44*(1+Macroindicadores!J$7),IF(AND($I44="NOVO",MONTH($O44)=MONTH(BA$4)),AM44*(1+Macroindicadores!J$7),IF(AND($J44="PONTUAL",MONTH($O44)=MONTH(BA$4)),AM44*(1+Macroindicadores!J$7),IF(AND($J44="PONTUAL",MONTH($O44)&lt;MONTH(BA$4)),MIN($AS44:AZ44),IF(AND($I44="NOVO",MONTH($O44)&gt;MONTH(BA$4)),AM44,IF(MONTH($O44)&gt;MONTH(BA$4),AM44,IF(MONTH($O44)=MONTH(BA$4),AM44*(1+Macroindicadores!J$7),AZ44)))))))))</f>
        <v>1.0866239999999998</v>
      </c>
      <c r="BB44" s="117">
        <f>IF(ISBLANK(Z44),"",IF(ISBLANK($O44),AN44,IF($J44="ANUAL",AN44*(1+Macroindicadores!K$7),IF(AND($I44="NOVO",MONTH($O44)=MONTH(BB$4)),AN44*(1+Macroindicadores!K$7),IF(AND($J44="PONTUAL",MONTH($O44)=MONTH(BB$4)),AN44*(1+Macroindicadores!K$7),IF(AND($J44="PONTUAL",MONTH($O44)&lt;MONTH(BB$4)),MIN($AS44:BA44),IF(AND($I44="NOVO",MONTH($O44)&gt;MONTH(BB$4)),AN44,IF(MONTH($O44)&gt;MONTH(BB$4),AN44,IF(MONTH($O44)=MONTH(BB$4),AN44*(1+Macroindicadores!K$7),BA44)))))))))</f>
        <v>1.0866239999999998</v>
      </c>
      <c r="BC44" s="117">
        <f>IF(ISBLANK(AA44),"",IF(ISBLANK($O44),AO44,IF($J44="ANUAL",AO44*(1+Macroindicadores!L$7),IF(AND($I44="NOVO",MONTH($O44)=MONTH(BC$4)),AO44*(1+Macroindicadores!L$7),IF(AND($J44="PONTUAL",MONTH($O44)=MONTH(BC$4)),AO44*(1+Macroindicadores!L$7),IF(AND($J44="PONTUAL",MONTH($O44)&lt;MONTH(BC$4)),MIN($AS44:BB44),IF(AND($I44="NOVO",MONTH($O44)&gt;MONTH(BC$4)),AO44,IF(MONTH($O44)&gt;MONTH(BC$4),AO44,IF(MONTH($O44)=MONTH(BC$4),AO44*(1+Macroindicadores!L$7),BB44)))))))))</f>
        <v>1.0866239999999998</v>
      </c>
      <c r="BD44" s="117">
        <f>IF(ISBLANK(AB44),"",IF(ISBLANK($O44),AP44,IF($J44="ANUAL",AP44*(1+Macroindicadores!M$7),IF(AND($I44="NOVO",MONTH($O44)=MONTH(BD$4)),AP44*(1+Macroindicadores!M$7),IF(AND($J44="PONTUAL",MONTH($O44)=MONTH(BD$4)),AP44*(1+Macroindicadores!M$7),IF(AND($J44="PONTUAL",MONTH($O44)&lt;MONTH(BD$4)),MIN($AS44:BC44),IF(AND($I44="NOVO",MONTH($O44)&gt;MONTH(BD$4)),AP44,IF(MONTH($O44)&gt;MONTH(BD$4),AP44,IF(MONTH($O44)=MONTH(BD$4),AP44*(1+Macroindicadores!M$7),BC44)))))))))</f>
        <v>1.0866239999999998</v>
      </c>
      <c r="BE44" s="118">
        <f t="shared" si="36"/>
        <v>13.039488</v>
      </c>
      <c r="BF44" s="108"/>
      <c r="BG44" s="117">
        <f>IF(ISBLANK(Q44),"",AS44/Macroindicadores!B$2)</f>
        <v>0.18479999999999996</v>
      </c>
      <c r="BH44" s="117">
        <f>IF(ISBLANK(R44),"",AT44/Macroindicadores!C$2)</f>
        <v>0.18479999999999996</v>
      </c>
      <c r="BI44" s="117">
        <f>IF(ISBLANK(S44),"",AU44/Macroindicadores!D$2)</f>
        <v>0.18479999999999996</v>
      </c>
      <c r="BJ44" s="117">
        <f>IF(ISBLANK(T44),"",AV44/Macroindicadores!E$2)</f>
        <v>0.18479999999999996</v>
      </c>
      <c r="BK44" s="117">
        <f>IF(ISBLANK(U44),"",AW44/Macroindicadores!F$2)</f>
        <v>0.18479999999999996</v>
      </c>
      <c r="BL44" s="117">
        <f>IF(ISBLANK(V44),"",AX44/Macroindicadores!G$2)</f>
        <v>0.18479999999999996</v>
      </c>
      <c r="BM44" s="117">
        <f>IF(ISBLANK(W44),"",AY44/Macroindicadores!H$2)</f>
        <v>0.18479999999999996</v>
      </c>
      <c r="BN44" s="117">
        <f>IF(ISBLANK(X44),"",AZ44/Macroindicadores!I$2)</f>
        <v>0.18479999999999996</v>
      </c>
      <c r="BO44" s="117">
        <f>IF(ISBLANK(Y44),"",BA44/Macroindicadores!J$2)</f>
        <v>0.18479999999999996</v>
      </c>
      <c r="BP44" s="117">
        <f>IF(ISBLANK(Z44),"",BB44/Macroindicadores!K$2)</f>
        <v>0.18479999999999996</v>
      </c>
      <c r="BQ44" s="117">
        <f>IF(ISBLANK(AA44),"",BC44/Macroindicadores!L$2)</f>
        <v>0.18479999999999996</v>
      </c>
      <c r="BR44" s="117">
        <f>IF(ISBLANK(AB44),"",BD44/Macroindicadores!M$2)</f>
        <v>0.18479999999999996</v>
      </c>
      <c r="BS44" s="118">
        <f>IF(AND(ISBLANK($Q44),ISBLANK($R44),ISBLANK($S44),ISBLANK($T44),ISBLANK($U44),ISBLANK($V44),ISBLANK($W44),ISBLANK($X44),ISBLANK($Y44),ISBLANK($Z44),ISBLANK($AA44),ISBLANK($AB44)),"",SUM(BG44:BR44))</f>
        <v>2.2176</v>
      </c>
      <c r="BT44" s="25" t="str">
        <f>IF(ISBLANK($L44),"",_xlfn.XLOOKUP($L44,'CENTRO CUSTO'!$A:$A,'CENTRO CUSTO'!$E:$E,FALSE,0))</f>
        <v>Custo Fixo</v>
      </c>
    </row>
    <row r="45" spans="1:72">
      <c r="A45" s="9" t="str">
        <f t="shared" si="40"/>
        <v>Budget</v>
      </c>
      <c r="B45" s="9">
        <f t="shared" si="44"/>
        <v>2026</v>
      </c>
      <c r="C45" s="111" t="str">
        <f>IF(ISBLANK($L45),"",_xlfn.XLOOKUP($L45,'CENTRO CUSTO'!$A:$A,'CENTRO CUSTO'!F:F,FALSE,0))</f>
        <v>Martini Meat</v>
      </c>
      <c r="D45" s="111" t="str">
        <f>IF(ISBLANK($L45),"",_xlfn.XLOOKUP($L45,'CENTRO CUSTO'!$A:$A,'CENTRO CUSTO'!G:G,FALSE,0))</f>
        <v>Paranaguá</v>
      </c>
      <c r="E45" s="111" t="str">
        <f>IF(ISBLANK($L45),"",_xlfn.XLOOKUP($L45,'CENTRO CUSTO'!$A:$A,'CENTRO CUSTO'!H:H,FALSE,0))</f>
        <v>Pátio</v>
      </c>
      <c r="F45" s="112" t="s">
        <v>107</v>
      </c>
      <c r="G45" s="112" t="s">
        <v>75</v>
      </c>
      <c r="H45" s="112" t="s">
        <v>108</v>
      </c>
      <c r="I45" s="113" t="s">
        <v>84</v>
      </c>
      <c r="J45" s="113" t="s">
        <v>78</v>
      </c>
      <c r="K45" s="113" t="s">
        <v>79</v>
      </c>
      <c r="L45" s="113" t="s">
        <v>17</v>
      </c>
      <c r="M45" s="111" t="str">
        <f>IF(ISBLANK($L45),"",_xlfn.XLOOKUP($L45,'CENTRO CUSTO'!$A:$A,'CENTRO CUSTO'!D:D,FALSE,0))</f>
        <v>Alexandre Ayabe</v>
      </c>
      <c r="N45" s="113" t="s">
        <v>101</v>
      </c>
      <c r="O45" s="114"/>
      <c r="P45" s="113" t="s">
        <v>81</v>
      </c>
      <c r="Q45" s="115">
        <f>330000*Rateio!$E$97/12</f>
        <v>22550</v>
      </c>
      <c r="R45" s="115">
        <f>330000*Rateio!$E$97/12</f>
        <v>22550</v>
      </c>
      <c r="S45" s="115">
        <f>330000*Rateio!$E$97/12</f>
        <v>22550</v>
      </c>
      <c r="T45" s="115">
        <f>330000*Rateio!$E$97/12</f>
        <v>22550</v>
      </c>
      <c r="U45" s="115">
        <f>330000*Rateio!$E$97/12</f>
        <v>22550</v>
      </c>
      <c r="V45" s="115">
        <f>330000*Rateio!$E$97/12</f>
        <v>22550</v>
      </c>
      <c r="W45" s="115">
        <f>330000*Rateio!$E$97/12</f>
        <v>22550</v>
      </c>
      <c r="X45" s="115">
        <f>330000*Rateio!$E$97/12</f>
        <v>22550</v>
      </c>
      <c r="Y45" s="115">
        <f>330000*Rateio!$E$97/12</f>
        <v>22550</v>
      </c>
      <c r="Z45" s="115">
        <f>330000*Rateio!$E$97/12</f>
        <v>22550</v>
      </c>
      <c r="AA45" s="115">
        <f>330000*Rateio!$E$97/12</f>
        <v>22550</v>
      </c>
      <c r="AB45" s="115">
        <f>330000*Rateio!$E$97/12</f>
        <v>22550</v>
      </c>
      <c r="AC45" s="116">
        <f t="shared" si="41"/>
        <v>270600</v>
      </c>
      <c r="AD45" s="108"/>
      <c r="AE45" s="117">
        <f>IF(ISBLANK(Q45),"",IF($P45="BRL",Q45,Q45*Macroindicadores!B$2)/1000)</f>
        <v>22.55</v>
      </c>
      <c r="AF45" s="117">
        <f>IF(ISBLANK(R45),"",IF($P45="BRL",R45,R45*Macroindicadores!C$2)/1000)</f>
        <v>22.55</v>
      </c>
      <c r="AG45" s="117">
        <f>IF(ISBLANK(S45),"",IF($P45="BRL",S45,S45*Macroindicadores!D$2)/1000)</f>
        <v>22.55</v>
      </c>
      <c r="AH45" s="117">
        <f>IF(ISBLANK(T45),"",IF($P45="BRL",T45,T45*Macroindicadores!E$2)/1000)</f>
        <v>22.55</v>
      </c>
      <c r="AI45" s="117">
        <f>IF(ISBLANK(U45),"",IF($P45="BRL",U45,U45*Macroindicadores!F$2)/1000)</f>
        <v>22.55</v>
      </c>
      <c r="AJ45" s="117">
        <f>IF(ISBLANK(V45),"",IF($P45="BRL",V45,V45*Macroindicadores!G$2)/1000)</f>
        <v>22.55</v>
      </c>
      <c r="AK45" s="117">
        <f>IF(ISBLANK(W45),"",IF($P45="BRL",W45,W45*Macroindicadores!H$2)/1000)</f>
        <v>22.55</v>
      </c>
      <c r="AL45" s="117">
        <f>IF(ISBLANK(X45),"",IF($P45="BRL",X45,X45*Macroindicadores!I$2)/1000)</f>
        <v>22.55</v>
      </c>
      <c r="AM45" s="117">
        <f>IF(ISBLANK(Y45),"",IF($P45="BRL",Y45,Y45*Macroindicadores!J$2)/1000)</f>
        <v>22.55</v>
      </c>
      <c r="AN45" s="117">
        <f>IF(ISBLANK(Z45),"",IF($P45="BRL",Z45,Z45*Macroindicadores!K$2)/1000)</f>
        <v>22.55</v>
      </c>
      <c r="AO45" s="117">
        <f>IF(ISBLANK(AA45),"",IF($P45="BRL",AA45,AA45*Macroindicadores!L$2)/1000)</f>
        <v>22.55</v>
      </c>
      <c r="AP45" s="117">
        <f>IF(ISBLANK(AB45),"",IF($P45="BRL",AB45,AB45*Macroindicadores!M$2)/1000)</f>
        <v>22.55</v>
      </c>
      <c r="AQ45" s="118">
        <f t="shared" si="35"/>
        <v>270.60000000000008</v>
      </c>
      <c r="AR45" s="108"/>
      <c r="AS45" s="117">
        <f>IF(ISBLANK(Q45),"",IF(ISBLANK($O45),AE45,IF($J45="ANUAL",AE45*(1+Macroindicadores!B$7),IF(AND($I45="NOVO",MONTH($O45)=MONTH(AS$4)),AE45*(1+Macroindicadores!B$7),IF(AND($J45="PONTUAL",MONTH($O45)=MONTH(AS$4)),AE45*(1+Macroindicadores!B$7),IF(AND($J45="PONTUAL",MONTH($O45)&lt;MONTH(AS$4)),MIN(AR45:$AS45),IF(AND($I45="NOVO",MONTH($O45)&gt;MONTH(AS$4)),AE45,IF(MONTH($O45)&gt;MONTH(AS$4),AE45,IF(MONTH($O45)=MONTH(AS$4),AE45*(1+Macroindicadores!B$7),AR45)))))))))</f>
        <v>22.55</v>
      </c>
      <c r="AT45" s="117">
        <f>IF(ISBLANK(R45),"",IF(ISBLANK($O45),AF45,IF($J45="ANUAL",AF45*(1+Macroindicadores!C$7),IF(AND($I45="NOVO",MONTH($O45)=MONTH(AT$4)),AF45*(1+Macroindicadores!C$7),IF(AND($J45="PONTUAL",MONTH($O45)=MONTH(AT$4)),AF45*(1+Macroindicadores!C$7),IF(AND($J45="PONTUAL",MONTH($O45)&lt;MONTH(AT$4)),MIN($AS45:AS45),IF(AND($I45="NOVO",MONTH($O45)&gt;MONTH(AT$4)),AF45,IF(MONTH($O45)&gt;MONTH(AT$4),AF45,IF(MONTH($O45)=MONTH(AT$4),AF45*(1+Macroindicadores!C$7),AS45)))))))))</f>
        <v>22.55</v>
      </c>
      <c r="AU45" s="117">
        <f>IF(ISBLANK(S45),"",IF(ISBLANK($O45),AG45,IF($J45="ANUAL",AG45*(1+Macroindicadores!D$7),IF(AND($I45="NOVO",MONTH($O45)=MONTH(AU$4)),AG45*(1+Macroindicadores!D$7),IF(AND($J45="PONTUAL",MONTH($O45)=MONTH(AU$4)),AG45*(1+Macroindicadores!D$7),IF(AND($J45="PONTUAL",MONTH($O45)&lt;MONTH(AU$4)),MIN($AS45:AT45),IF(AND($I45="NOVO",MONTH($O45)&gt;MONTH(AU$4)),AG45,IF(MONTH($O45)&gt;MONTH(AU$4),AG45,IF(MONTH($O45)=MONTH(AU$4),AG45*(1+Macroindicadores!D$7),AT45)))))))))</f>
        <v>22.55</v>
      </c>
      <c r="AV45" s="117">
        <f>IF(ISBLANK(T45),"",IF(ISBLANK($O45),AH45,IF($J45="ANUAL",AH45*(1+Macroindicadores!E$7),IF(AND($I45="NOVO",MONTH($O45)=MONTH(AV$4)),AH45*(1+Macroindicadores!E$7),IF(AND($J45="PONTUAL",MONTH($O45)=MONTH(AV$4)),AH45*(1+Macroindicadores!E$7),IF(AND($J45="PONTUAL",MONTH($O45)&lt;MONTH(AV$4)),MIN($AS45:AU45),IF(AND($I45="NOVO",MONTH($O45)&gt;MONTH(AV$4)),AH45,IF(MONTH($O45)&gt;MONTH(AV$4),AH45,IF(MONTH($O45)=MONTH(AV$4),AH45*(1+Macroindicadores!E$7),AU45)))))))))</f>
        <v>22.55</v>
      </c>
      <c r="AW45" s="117">
        <f>IF(ISBLANK(U45),"",IF(ISBLANK($O45),AI45,IF($J45="ANUAL",AI45*(1+Macroindicadores!F$7),IF(AND($I45="NOVO",MONTH($O45)=MONTH(AW$4)),AI45*(1+Macroindicadores!F$7),IF(AND($J45="PONTUAL",MONTH($O45)=MONTH(AW$4)),AI45*(1+Macroindicadores!F$7),IF(AND($J45="PONTUAL",MONTH($O45)&lt;MONTH(AW$4)),MIN($AS45:AV45),IF(AND($I45="NOVO",MONTH($O45)&gt;MONTH(AW$4)),AI45,IF(MONTH($O45)&gt;MONTH(AW$4),AI45,IF(MONTH($O45)=MONTH(AW$4),AI45*(1+Macroindicadores!F$7),AV45)))))))))</f>
        <v>22.55</v>
      </c>
      <c r="AX45" s="117">
        <f>IF(ISBLANK(V45),"",IF(ISBLANK($O45),AJ45,IF($J45="ANUAL",AJ45*(1+Macroindicadores!G$7),IF(AND($I45="NOVO",MONTH($O45)=MONTH(AX$4)),AJ45*(1+Macroindicadores!G$7),IF(AND($J45="PONTUAL",MONTH($O45)=MONTH(AX$4)),AJ45*(1+Macroindicadores!G$7),IF(AND($J45="PONTUAL",MONTH($O45)&lt;MONTH(AX$4)),MIN($AS45:AW45),IF(AND($I45="NOVO",MONTH($O45)&gt;MONTH(AX$4)),AJ45,IF(MONTH($O45)&gt;MONTH(AX$4),AJ45,IF(MONTH($O45)=MONTH(AX$4),AJ45*(1+Macroindicadores!G$7),AW45)))))))))</f>
        <v>22.55</v>
      </c>
      <c r="AY45" s="117">
        <f>IF(ISBLANK(W45),"",IF(ISBLANK($O45),AK45,IF($J45="ANUAL",AK45*(1+Macroindicadores!H$7),IF(AND($I45="NOVO",MONTH($O45)=MONTH(AY$4)),AK45*(1+Macroindicadores!H$7),IF(AND($J45="PONTUAL",MONTH($O45)=MONTH(AY$4)),AK45*(1+Macroindicadores!H$7),IF(AND($J45="PONTUAL",MONTH($O45)&lt;MONTH(AY$4)),MIN($AS45:AX45),IF(AND($I45="NOVO",MONTH($O45)&gt;MONTH(AY$4)),AK45,IF(MONTH($O45)&gt;MONTH(AY$4),AK45,IF(MONTH($O45)=MONTH(AY$4),AK45*(1+Macroindicadores!H$7),AX45)))))))))</f>
        <v>22.55</v>
      </c>
      <c r="AZ45" s="117">
        <f>IF(ISBLANK(X45),"",IF(ISBLANK($O45),AL45,IF($J45="ANUAL",AL45*(1+Macroindicadores!I$7),IF(AND($I45="NOVO",MONTH($O45)=MONTH(AZ$4)),AL45*(1+Macroindicadores!I$7),IF(AND($J45="PONTUAL",MONTH($O45)=MONTH(AZ$4)),AL45*(1+Macroindicadores!I$7),IF(AND($J45="PONTUAL",MONTH($O45)&lt;MONTH(AZ$4)),MIN($AS45:AY45),IF(AND($I45="NOVO",MONTH($O45)&gt;MONTH(AZ$4)),AL45,IF(MONTH($O45)&gt;MONTH(AZ$4),AL45,IF(MONTH($O45)=MONTH(AZ$4),AL45*(1+Macroindicadores!I$7),AY45)))))))))</f>
        <v>22.55</v>
      </c>
      <c r="BA45" s="117">
        <f>IF(ISBLANK(Y45),"",IF(ISBLANK($O45),AM45,IF($J45="ANUAL",AM45*(1+Macroindicadores!J$7),IF(AND($I45="NOVO",MONTH($O45)=MONTH(BA$4)),AM45*(1+Macroindicadores!J$7),IF(AND($J45="PONTUAL",MONTH($O45)=MONTH(BA$4)),AM45*(1+Macroindicadores!J$7),IF(AND($J45="PONTUAL",MONTH($O45)&lt;MONTH(BA$4)),MIN($AS45:AZ45),IF(AND($I45="NOVO",MONTH($O45)&gt;MONTH(BA$4)),AM45,IF(MONTH($O45)&gt;MONTH(BA$4),AM45,IF(MONTH($O45)=MONTH(BA$4),AM45*(1+Macroindicadores!J$7),AZ45)))))))))</f>
        <v>22.55</v>
      </c>
      <c r="BB45" s="117">
        <f>IF(ISBLANK(Z45),"",IF(ISBLANK($O45),AN45,IF($J45="ANUAL",AN45*(1+Macroindicadores!K$7),IF(AND($I45="NOVO",MONTH($O45)=MONTH(BB$4)),AN45*(1+Macroindicadores!K$7),IF(AND($J45="PONTUAL",MONTH($O45)=MONTH(BB$4)),AN45*(1+Macroindicadores!K$7),IF(AND($J45="PONTUAL",MONTH($O45)&lt;MONTH(BB$4)),MIN($AS45:BA45),IF(AND($I45="NOVO",MONTH($O45)&gt;MONTH(BB$4)),AN45,IF(MONTH($O45)&gt;MONTH(BB$4),AN45,IF(MONTH($O45)=MONTH(BB$4),AN45*(1+Macroindicadores!K$7),BA45)))))))))</f>
        <v>22.55</v>
      </c>
      <c r="BC45" s="117">
        <f>IF(ISBLANK(AA45),"",IF(ISBLANK($O45),AO45,IF($J45="ANUAL",AO45*(1+Macroindicadores!L$7),IF(AND($I45="NOVO",MONTH($O45)=MONTH(BC$4)),AO45*(1+Macroindicadores!L$7),IF(AND($J45="PONTUAL",MONTH($O45)=MONTH(BC$4)),AO45*(1+Macroindicadores!L$7),IF(AND($J45="PONTUAL",MONTH($O45)&lt;MONTH(BC$4)),MIN($AS45:BB45),IF(AND($I45="NOVO",MONTH($O45)&gt;MONTH(BC$4)),AO45,IF(MONTH($O45)&gt;MONTH(BC$4),AO45,IF(MONTH($O45)=MONTH(BC$4),AO45*(1+Macroindicadores!L$7),BB45)))))))))</f>
        <v>22.55</v>
      </c>
      <c r="BD45" s="117">
        <f>IF(ISBLANK(AB45),"",IF(ISBLANK($O45),AP45,IF($J45="ANUAL",AP45*(1+Macroindicadores!M$7),IF(AND($I45="NOVO",MONTH($O45)=MONTH(BD$4)),AP45*(1+Macroindicadores!M$7),IF(AND($J45="PONTUAL",MONTH($O45)=MONTH(BD$4)),AP45*(1+Macroindicadores!M$7),IF(AND($J45="PONTUAL",MONTH($O45)&lt;MONTH(BD$4)),MIN($AS45:BC45),IF(AND($I45="NOVO",MONTH($O45)&gt;MONTH(BD$4)),AP45,IF(MONTH($O45)&gt;MONTH(BD$4),AP45,IF(MONTH($O45)=MONTH(BD$4),AP45*(1+Macroindicadores!M$7),BC45)))))))))</f>
        <v>22.55</v>
      </c>
      <c r="BE45" s="118">
        <f t="shared" si="36"/>
        <v>270.60000000000008</v>
      </c>
      <c r="BF45" s="108"/>
      <c r="BG45" s="117">
        <f>IF(ISBLANK(Q45),"",AS45/Macroindicadores!B$2)</f>
        <v>3.8350340136054424</v>
      </c>
      <c r="BH45" s="117">
        <f>IF(ISBLANK(R45),"",AT45/Macroindicadores!C$2)</f>
        <v>3.8350340136054424</v>
      </c>
      <c r="BI45" s="117">
        <f>IF(ISBLANK(S45),"",AU45/Macroindicadores!D$2)</f>
        <v>3.8350340136054424</v>
      </c>
      <c r="BJ45" s="117">
        <f>IF(ISBLANK(T45),"",AV45/Macroindicadores!E$2)</f>
        <v>3.8350340136054424</v>
      </c>
      <c r="BK45" s="117">
        <f>IF(ISBLANK(U45),"",AW45/Macroindicadores!F$2)</f>
        <v>3.8350340136054424</v>
      </c>
      <c r="BL45" s="117">
        <f>IF(ISBLANK(V45),"",AX45/Macroindicadores!G$2)</f>
        <v>3.8350340136054424</v>
      </c>
      <c r="BM45" s="117">
        <f>IF(ISBLANK(W45),"",AY45/Macroindicadores!H$2)</f>
        <v>3.8350340136054424</v>
      </c>
      <c r="BN45" s="117">
        <f>IF(ISBLANK(X45),"",AZ45/Macroindicadores!I$2)</f>
        <v>3.8350340136054424</v>
      </c>
      <c r="BO45" s="117">
        <f>IF(ISBLANK(Y45),"",BA45/Macroindicadores!J$2)</f>
        <v>3.8350340136054424</v>
      </c>
      <c r="BP45" s="117">
        <f>IF(ISBLANK(Z45),"",BB45/Macroindicadores!K$2)</f>
        <v>3.8350340136054424</v>
      </c>
      <c r="BQ45" s="117">
        <f>IF(ISBLANK(AA45),"",BC45/Macroindicadores!L$2)</f>
        <v>3.8350340136054424</v>
      </c>
      <c r="BR45" s="117">
        <f>IF(ISBLANK(AB45),"",BD45/Macroindicadores!M$2)</f>
        <v>3.8350340136054424</v>
      </c>
      <c r="BS45" s="118">
        <f>IF(AND(ISBLANK($Q45),ISBLANK($R45),ISBLANK($S45),ISBLANK($T45),ISBLANK($U45),ISBLANK($V45),ISBLANK($W45),ISBLANK($X45),ISBLANK($Y45),ISBLANK($Z45),ISBLANK($AA45),ISBLANK($AB45)),"",SUM(BG45:BR45))</f>
        <v>46.020408163265323</v>
      </c>
      <c r="BT45" s="25" t="str">
        <f>IF(ISBLANK($L45),"",_xlfn.XLOOKUP($L45,'CENTRO CUSTO'!$A:$A,'CENTRO CUSTO'!$E:$E,FALSE,0))</f>
        <v>Custo Fixo</v>
      </c>
    </row>
    <row r="46" spans="1:72">
      <c r="A46" s="9" t="str">
        <f t="shared" si="40"/>
        <v>Budget</v>
      </c>
      <c r="B46" s="9">
        <f t="shared" si="44"/>
        <v>2026</v>
      </c>
      <c r="C46" s="111" t="str">
        <f>IF(ISBLANK($L46),"",_xlfn.XLOOKUP($L46,'CENTRO CUSTO'!$A:$A,'CENTRO CUSTO'!F:F,FALSE,0))</f>
        <v>Martini Meat</v>
      </c>
      <c r="D46" s="111" t="str">
        <f>IF(ISBLANK($L46),"",_xlfn.XLOOKUP($L46,'CENTRO CUSTO'!$A:$A,'CENTRO CUSTO'!G:G,FALSE,0))</f>
        <v>Itajaí</v>
      </c>
      <c r="E46" s="111" t="str">
        <f>IF(ISBLANK($L46),"",_xlfn.XLOOKUP($L46,'CENTRO CUSTO'!$A:$A,'CENTRO CUSTO'!H:H,FALSE,0))</f>
        <v>Pátio</v>
      </c>
      <c r="F46" s="112" t="s">
        <v>107</v>
      </c>
      <c r="G46" s="112" t="s">
        <v>75</v>
      </c>
      <c r="H46" s="112" t="s">
        <v>108</v>
      </c>
      <c r="I46" s="113" t="s">
        <v>84</v>
      </c>
      <c r="J46" s="113" t="s">
        <v>78</v>
      </c>
      <c r="K46" s="113" t="s">
        <v>79</v>
      </c>
      <c r="L46" s="113" t="s">
        <v>28</v>
      </c>
      <c r="M46" s="111" t="str">
        <f>IF(ISBLANK($L46),"",_xlfn.XLOOKUP($L46,'CENTRO CUSTO'!$A:$A,'CENTRO CUSTO'!D:D,FALSE,0))</f>
        <v>Alexandre Ayabe</v>
      </c>
      <c r="N46" s="113" t="s">
        <v>101</v>
      </c>
      <c r="O46" s="114"/>
      <c r="P46" s="113" t="s">
        <v>81</v>
      </c>
      <c r="Q46" s="115">
        <f>330000*Rateio!$E$105/12</f>
        <v>3575</v>
      </c>
      <c r="R46" s="115">
        <f>330000*Rateio!$E$105/12</f>
        <v>3575</v>
      </c>
      <c r="S46" s="115">
        <f>330000*Rateio!$E$105/12</f>
        <v>3575</v>
      </c>
      <c r="T46" s="115">
        <f>330000*Rateio!$E$105/12</f>
        <v>3575</v>
      </c>
      <c r="U46" s="115">
        <f>330000*Rateio!$E$105/12</f>
        <v>3575</v>
      </c>
      <c r="V46" s="115">
        <f>330000*Rateio!$E$105/12</f>
        <v>3575</v>
      </c>
      <c r="W46" s="115">
        <f>330000*Rateio!$E$105/12</f>
        <v>3575</v>
      </c>
      <c r="X46" s="115">
        <f>330000*Rateio!$E$105/12</f>
        <v>3575</v>
      </c>
      <c r="Y46" s="115">
        <f>330000*Rateio!$E$105/12</f>
        <v>3575</v>
      </c>
      <c r="Z46" s="115">
        <f>330000*Rateio!$E$105/12</f>
        <v>3575</v>
      </c>
      <c r="AA46" s="115">
        <f>330000*Rateio!$E$105/12</f>
        <v>3575</v>
      </c>
      <c r="AB46" s="115">
        <f>330000*Rateio!$E$105/12</f>
        <v>3575</v>
      </c>
      <c r="AC46" s="116">
        <f t="shared" si="41"/>
        <v>42900</v>
      </c>
      <c r="AD46" s="108"/>
      <c r="AE46" s="117">
        <f>IF(ISBLANK(Q46),"",IF($P46="BRL",Q46,Q46*Macroindicadores!B$2)/1000)</f>
        <v>3.5750000000000002</v>
      </c>
      <c r="AF46" s="117">
        <f>IF(ISBLANK(R46),"",IF($P46="BRL",R46,R46*Macroindicadores!C$2)/1000)</f>
        <v>3.5750000000000002</v>
      </c>
      <c r="AG46" s="117">
        <f>IF(ISBLANK(S46),"",IF($P46="BRL",S46,S46*Macroindicadores!D$2)/1000)</f>
        <v>3.5750000000000002</v>
      </c>
      <c r="AH46" s="117">
        <f>IF(ISBLANK(T46),"",IF($P46="BRL",T46,T46*Macroindicadores!E$2)/1000)</f>
        <v>3.5750000000000002</v>
      </c>
      <c r="AI46" s="117">
        <f>IF(ISBLANK(U46),"",IF($P46="BRL",U46,U46*Macroindicadores!F$2)/1000)</f>
        <v>3.5750000000000002</v>
      </c>
      <c r="AJ46" s="117">
        <f>IF(ISBLANK(V46),"",IF($P46="BRL",V46,V46*Macroindicadores!G$2)/1000)</f>
        <v>3.5750000000000002</v>
      </c>
      <c r="AK46" s="117">
        <f>IF(ISBLANK(W46),"",IF($P46="BRL",W46,W46*Macroindicadores!H$2)/1000)</f>
        <v>3.5750000000000002</v>
      </c>
      <c r="AL46" s="117">
        <f>IF(ISBLANK(X46),"",IF($P46="BRL",X46,X46*Macroindicadores!I$2)/1000)</f>
        <v>3.5750000000000002</v>
      </c>
      <c r="AM46" s="117">
        <f>IF(ISBLANK(Y46),"",IF($P46="BRL",Y46,Y46*Macroindicadores!J$2)/1000)</f>
        <v>3.5750000000000002</v>
      </c>
      <c r="AN46" s="117">
        <f>IF(ISBLANK(Z46),"",IF($P46="BRL",Z46,Z46*Macroindicadores!K$2)/1000)</f>
        <v>3.5750000000000002</v>
      </c>
      <c r="AO46" s="117">
        <f>IF(ISBLANK(AA46),"",IF($P46="BRL",AA46,AA46*Macroindicadores!L$2)/1000)</f>
        <v>3.5750000000000002</v>
      </c>
      <c r="AP46" s="117">
        <f>IF(ISBLANK(AB46),"",IF($P46="BRL",AB46,AB46*Macroindicadores!M$2)/1000)</f>
        <v>3.5750000000000002</v>
      </c>
      <c r="AQ46" s="118">
        <f t="shared" si="35"/>
        <v>42.900000000000006</v>
      </c>
      <c r="AR46" s="108"/>
      <c r="AS46" s="117">
        <f>IF(ISBLANK(Q46),"",IF(ISBLANK($O46),AE46,IF($J46="ANUAL",AE46*(1+Macroindicadores!B$7),IF(AND($I46="NOVO",MONTH($O46)=MONTH(AS$4)),AE46*(1+Macroindicadores!B$7),IF(AND($J46="PONTUAL",MONTH($O46)=MONTH(AS$4)),AE46*(1+Macroindicadores!B$7),IF(AND($J46="PONTUAL",MONTH($O46)&lt;MONTH(AS$4)),MIN(AR46:$AS46),IF(AND($I46="NOVO",MONTH($O46)&gt;MONTH(AS$4)),AE46,IF(MONTH($O46)&gt;MONTH(AS$4),AE46,IF(MONTH($O46)=MONTH(AS$4),AE46*(1+Macroindicadores!B$7),AR46)))))))))</f>
        <v>3.5750000000000002</v>
      </c>
      <c r="AT46" s="117">
        <f>IF(ISBLANK(R46),"",IF(ISBLANK($O46),AF46,IF($J46="ANUAL",AF46*(1+Macroindicadores!C$7),IF(AND($I46="NOVO",MONTH($O46)=MONTH(AT$4)),AF46*(1+Macroindicadores!C$7),IF(AND($J46="PONTUAL",MONTH($O46)=MONTH(AT$4)),AF46*(1+Macroindicadores!C$7),IF(AND($J46="PONTUAL",MONTH($O46)&lt;MONTH(AT$4)),MIN($AS46:AS46),IF(AND($I46="NOVO",MONTH($O46)&gt;MONTH(AT$4)),AF46,IF(MONTH($O46)&gt;MONTH(AT$4),AF46,IF(MONTH($O46)=MONTH(AT$4),AF46*(1+Macroindicadores!C$7),AS46)))))))))</f>
        <v>3.5750000000000002</v>
      </c>
      <c r="AU46" s="117">
        <f>IF(ISBLANK(S46),"",IF(ISBLANK($O46),AG46,IF($J46="ANUAL",AG46*(1+Macroindicadores!D$7),IF(AND($I46="NOVO",MONTH($O46)=MONTH(AU$4)),AG46*(1+Macroindicadores!D$7),IF(AND($J46="PONTUAL",MONTH($O46)=MONTH(AU$4)),AG46*(1+Macroindicadores!D$7),IF(AND($J46="PONTUAL",MONTH($O46)&lt;MONTH(AU$4)),MIN($AS46:AT46),IF(AND($I46="NOVO",MONTH($O46)&gt;MONTH(AU$4)),AG46,IF(MONTH($O46)&gt;MONTH(AU$4),AG46,IF(MONTH($O46)=MONTH(AU$4),AG46*(1+Macroindicadores!D$7),AT46)))))))))</f>
        <v>3.5750000000000002</v>
      </c>
      <c r="AV46" s="117">
        <f>IF(ISBLANK(T46),"",IF(ISBLANK($O46),AH46,IF($J46="ANUAL",AH46*(1+Macroindicadores!E$7),IF(AND($I46="NOVO",MONTH($O46)=MONTH(AV$4)),AH46*(1+Macroindicadores!E$7),IF(AND($J46="PONTUAL",MONTH($O46)=MONTH(AV$4)),AH46*(1+Macroindicadores!E$7),IF(AND($J46="PONTUAL",MONTH($O46)&lt;MONTH(AV$4)),MIN($AS46:AU46),IF(AND($I46="NOVO",MONTH($O46)&gt;MONTH(AV$4)),AH46,IF(MONTH($O46)&gt;MONTH(AV$4),AH46,IF(MONTH($O46)=MONTH(AV$4),AH46*(1+Macroindicadores!E$7),AU46)))))))))</f>
        <v>3.5750000000000002</v>
      </c>
      <c r="AW46" s="117">
        <f>IF(ISBLANK(U46),"",IF(ISBLANK($O46),AI46,IF($J46="ANUAL",AI46*(1+Macroindicadores!F$7),IF(AND($I46="NOVO",MONTH($O46)=MONTH(AW$4)),AI46*(1+Macroindicadores!F$7),IF(AND($J46="PONTUAL",MONTH($O46)=MONTH(AW$4)),AI46*(1+Macroindicadores!F$7),IF(AND($J46="PONTUAL",MONTH($O46)&lt;MONTH(AW$4)),MIN($AS46:AV46),IF(AND($I46="NOVO",MONTH($O46)&gt;MONTH(AW$4)),AI46,IF(MONTH($O46)&gt;MONTH(AW$4),AI46,IF(MONTH($O46)=MONTH(AW$4),AI46*(1+Macroindicadores!F$7),AV46)))))))))</f>
        <v>3.5750000000000002</v>
      </c>
      <c r="AX46" s="117">
        <f>IF(ISBLANK(V46),"",IF(ISBLANK($O46),AJ46,IF($J46="ANUAL",AJ46*(1+Macroindicadores!G$7),IF(AND($I46="NOVO",MONTH($O46)=MONTH(AX$4)),AJ46*(1+Macroindicadores!G$7),IF(AND($J46="PONTUAL",MONTH($O46)=MONTH(AX$4)),AJ46*(1+Macroindicadores!G$7),IF(AND($J46="PONTUAL",MONTH($O46)&lt;MONTH(AX$4)),MIN($AS46:AW46),IF(AND($I46="NOVO",MONTH($O46)&gt;MONTH(AX$4)),AJ46,IF(MONTH($O46)&gt;MONTH(AX$4),AJ46,IF(MONTH($O46)=MONTH(AX$4),AJ46*(1+Macroindicadores!G$7),AW46)))))))))</f>
        <v>3.5750000000000002</v>
      </c>
      <c r="AY46" s="117">
        <f>IF(ISBLANK(W46),"",IF(ISBLANK($O46),AK46,IF($J46="ANUAL",AK46*(1+Macroindicadores!H$7),IF(AND($I46="NOVO",MONTH($O46)=MONTH(AY$4)),AK46*(1+Macroindicadores!H$7),IF(AND($J46="PONTUAL",MONTH($O46)=MONTH(AY$4)),AK46*(1+Macroindicadores!H$7),IF(AND($J46="PONTUAL",MONTH($O46)&lt;MONTH(AY$4)),MIN($AS46:AX46),IF(AND($I46="NOVO",MONTH($O46)&gt;MONTH(AY$4)),AK46,IF(MONTH($O46)&gt;MONTH(AY$4),AK46,IF(MONTH($O46)=MONTH(AY$4),AK46*(1+Macroindicadores!H$7),AX46)))))))))</f>
        <v>3.5750000000000002</v>
      </c>
      <c r="AZ46" s="117">
        <f>IF(ISBLANK(X46),"",IF(ISBLANK($O46),AL46,IF($J46="ANUAL",AL46*(1+Macroindicadores!I$7),IF(AND($I46="NOVO",MONTH($O46)=MONTH(AZ$4)),AL46*(1+Macroindicadores!I$7),IF(AND($J46="PONTUAL",MONTH($O46)=MONTH(AZ$4)),AL46*(1+Macroindicadores!I$7),IF(AND($J46="PONTUAL",MONTH($O46)&lt;MONTH(AZ$4)),MIN($AS46:AY46),IF(AND($I46="NOVO",MONTH($O46)&gt;MONTH(AZ$4)),AL46,IF(MONTH($O46)&gt;MONTH(AZ$4),AL46,IF(MONTH($O46)=MONTH(AZ$4),AL46*(1+Macroindicadores!I$7),AY46)))))))))</f>
        <v>3.5750000000000002</v>
      </c>
      <c r="BA46" s="117">
        <f>IF(ISBLANK(Y46),"",IF(ISBLANK($O46),AM46,IF($J46="ANUAL",AM46*(1+Macroindicadores!J$7),IF(AND($I46="NOVO",MONTH($O46)=MONTH(BA$4)),AM46*(1+Macroindicadores!J$7),IF(AND($J46="PONTUAL",MONTH($O46)=MONTH(BA$4)),AM46*(1+Macroindicadores!J$7),IF(AND($J46="PONTUAL",MONTH($O46)&lt;MONTH(BA$4)),MIN($AS46:AZ46),IF(AND($I46="NOVO",MONTH($O46)&gt;MONTH(BA$4)),AM46,IF(MONTH($O46)&gt;MONTH(BA$4),AM46,IF(MONTH($O46)=MONTH(BA$4),AM46*(1+Macroindicadores!J$7),AZ46)))))))))</f>
        <v>3.5750000000000002</v>
      </c>
      <c r="BB46" s="117">
        <f>IF(ISBLANK(Z46),"",IF(ISBLANK($O46),AN46,IF($J46="ANUAL",AN46*(1+Macroindicadores!K$7),IF(AND($I46="NOVO",MONTH($O46)=MONTH(BB$4)),AN46*(1+Macroindicadores!K$7),IF(AND($J46="PONTUAL",MONTH($O46)=MONTH(BB$4)),AN46*(1+Macroindicadores!K$7),IF(AND($J46="PONTUAL",MONTH($O46)&lt;MONTH(BB$4)),MIN($AS46:BA46),IF(AND($I46="NOVO",MONTH($O46)&gt;MONTH(BB$4)),AN46,IF(MONTH($O46)&gt;MONTH(BB$4),AN46,IF(MONTH($O46)=MONTH(BB$4),AN46*(1+Macroindicadores!K$7),BA46)))))))))</f>
        <v>3.5750000000000002</v>
      </c>
      <c r="BC46" s="117">
        <f>IF(ISBLANK(AA46),"",IF(ISBLANK($O46),AO46,IF($J46="ANUAL",AO46*(1+Macroindicadores!L$7),IF(AND($I46="NOVO",MONTH($O46)=MONTH(BC$4)),AO46*(1+Macroindicadores!L$7),IF(AND($J46="PONTUAL",MONTH($O46)=MONTH(BC$4)),AO46*(1+Macroindicadores!L$7),IF(AND($J46="PONTUAL",MONTH($O46)&lt;MONTH(BC$4)),MIN($AS46:BB46),IF(AND($I46="NOVO",MONTH($O46)&gt;MONTH(BC$4)),AO46,IF(MONTH($O46)&gt;MONTH(BC$4),AO46,IF(MONTH($O46)=MONTH(BC$4),AO46*(1+Macroindicadores!L$7),BB46)))))))))</f>
        <v>3.5750000000000002</v>
      </c>
      <c r="BD46" s="117">
        <f>IF(ISBLANK(AB46),"",IF(ISBLANK($O46),AP46,IF($J46="ANUAL",AP46*(1+Macroindicadores!M$7),IF(AND($I46="NOVO",MONTH($O46)=MONTH(BD$4)),AP46*(1+Macroindicadores!M$7),IF(AND($J46="PONTUAL",MONTH($O46)=MONTH(BD$4)),AP46*(1+Macroindicadores!M$7),IF(AND($J46="PONTUAL",MONTH($O46)&lt;MONTH(BD$4)),MIN($AS46:BC46),IF(AND($I46="NOVO",MONTH($O46)&gt;MONTH(BD$4)),AP46,IF(MONTH($O46)&gt;MONTH(BD$4),AP46,IF(MONTH($O46)=MONTH(BD$4),AP46*(1+Macroindicadores!M$7),BC46)))))))))</f>
        <v>3.5750000000000002</v>
      </c>
      <c r="BE46" s="118">
        <f t="shared" si="36"/>
        <v>42.900000000000006</v>
      </c>
      <c r="BF46" s="108"/>
      <c r="BG46" s="117">
        <f>IF(ISBLANK(Q46),"",AS46/Macroindicadores!B$2)</f>
        <v>0.60799319727891166</v>
      </c>
      <c r="BH46" s="117">
        <f>IF(ISBLANK(R46),"",AT46/Macroindicadores!C$2)</f>
        <v>0.60799319727891166</v>
      </c>
      <c r="BI46" s="117">
        <f>IF(ISBLANK(S46),"",AU46/Macroindicadores!D$2)</f>
        <v>0.60799319727891166</v>
      </c>
      <c r="BJ46" s="117">
        <f>IF(ISBLANK(T46),"",AV46/Macroindicadores!E$2)</f>
        <v>0.60799319727891166</v>
      </c>
      <c r="BK46" s="117">
        <f>IF(ISBLANK(U46),"",AW46/Macroindicadores!F$2)</f>
        <v>0.60799319727891166</v>
      </c>
      <c r="BL46" s="117">
        <f>IF(ISBLANK(V46),"",AX46/Macroindicadores!G$2)</f>
        <v>0.60799319727891166</v>
      </c>
      <c r="BM46" s="117">
        <f>IF(ISBLANK(W46),"",AY46/Macroindicadores!H$2)</f>
        <v>0.60799319727891166</v>
      </c>
      <c r="BN46" s="117">
        <f>IF(ISBLANK(X46),"",AZ46/Macroindicadores!I$2)</f>
        <v>0.60799319727891166</v>
      </c>
      <c r="BO46" s="117">
        <f>IF(ISBLANK(Y46),"",BA46/Macroindicadores!J$2)</f>
        <v>0.60799319727891166</v>
      </c>
      <c r="BP46" s="117">
        <f>IF(ISBLANK(Z46),"",BB46/Macroindicadores!K$2)</f>
        <v>0.60799319727891166</v>
      </c>
      <c r="BQ46" s="117">
        <f>IF(ISBLANK(AA46),"",BC46/Macroindicadores!L$2)</f>
        <v>0.60799319727891166</v>
      </c>
      <c r="BR46" s="117">
        <f>IF(ISBLANK(AB46),"",BD46/Macroindicadores!M$2)</f>
        <v>0.60799319727891166</v>
      </c>
      <c r="BS46" s="118">
        <f>IF(AND(ISBLANK($Q46),ISBLANK($R46),ISBLANK($S46),ISBLANK($T46),ISBLANK($U46),ISBLANK($V46),ISBLANK($W46),ISBLANK($X46),ISBLANK($Y46),ISBLANK($Z46),ISBLANK($AA46),ISBLANK($AB46)),"",SUM(BG46:BR46))</f>
        <v>7.2959183673469417</v>
      </c>
      <c r="BT46" s="25" t="str">
        <f>IF(ISBLANK($L46),"",_xlfn.XLOOKUP($L46,'CENTRO CUSTO'!$A:$A,'CENTRO CUSTO'!$E:$E,FALSE,0))</f>
        <v>Custo Fixo</v>
      </c>
    </row>
    <row r="47" spans="1:72">
      <c r="A47" s="9" t="str">
        <f t="shared" si="40"/>
        <v>Budget</v>
      </c>
      <c r="B47" s="9">
        <f t="shared" si="44"/>
        <v>2026</v>
      </c>
      <c r="C47" s="111" t="str">
        <f>IF(ISBLANK($L47),"",_xlfn.XLOOKUP($L47,'CENTRO CUSTO'!$A:$A,'CENTRO CUSTO'!F:F,FALSE,0))</f>
        <v>LATAM</v>
      </c>
      <c r="D47" s="111" t="str">
        <f>IF(ISBLANK($L47),"",_xlfn.XLOOKUP($L47,'CENTRO CUSTO'!$A:$A,'CENTRO CUSTO'!G:G,FALSE,0))</f>
        <v>Corporativo</v>
      </c>
      <c r="E47" s="111" t="str">
        <f>IF(ISBLANK($L47),"",_xlfn.XLOOKUP($L47,'CENTRO CUSTO'!$A:$A,'CENTRO CUSTO'!H:H,FALSE,0))</f>
        <v>G&amp;A</v>
      </c>
      <c r="F47" s="112" t="s">
        <v>107</v>
      </c>
      <c r="G47" s="112" t="s">
        <v>75</v>
      </c>
      <c r="H47" s="112" t="s">
        <v>108</v>
      </c>
      <c r="I47" s="113" t="s">
        <v>84</v>
      </c>
      <c r="J47" s="113" t="s">
        <v>78</v>
      </c>
      <c r="K47" s="113" t="s">
        <v>79</v>
      </c>
      <c r="L47" s="113" t="s">
        <v>96</v>
      </c>
      <c r="M47" s="111" t="str">
        <f>IF(ISBLANK($L47),"",_xlfn.XLOOKUP($L47,'CENTRO CUSTO'!$A:$A,'CENTRO CUSTO'!D:D,FALSE,0))</f>
        <v>Jimmy Espinosa</v>
      </c>
      <c r="N47" s="113" t="s">
        <v>101</v>
      </c>
      <c r="O47" s="114"/>
      <c r="P47" s="113" t="s">
        <v>81</v>
      </c>
      <c r="Q47" s="115">
        <f>330000*Rateio!$E$100/12</f>
        <v>1375</v>
      </c>
      <c r="R47" s="115">
        <f>330000*Rateio!$E$100/12</f>
        <v>1375</v>
      </c>
      <c r="S47" s="115">
        <f>330000*Rateio!$E$100/12</f>
        <v>1375</v>
      </c>
      <c r="T47" s="115">
        <f>330000*Rateio!$E$100/12</f>
        <v>1375</v>
      </c>
      <c r="U47" s="115">
        <f>330000*Rateio!$E$100/12</f>
        <v>1375</v>
      </c>
      <c r="V47" s="115">
        <f>330000*Rateio!$E$100/12</f>
        <v>1375</v>
      </c>
      <c r="W47" s="115">
        <f>330000*Rateio!$E$100/12</f>
        <v>1375</v>
      </c>
      <c r="X47" s="115">
        <f>330000*Rateio!$E$100/12</f>
        <v>1375</v>
      </c>
      <c r="Y47" s="115">
        <f>330000*Rateio!$E$100/12</f>
        <v>1375</v>
      </c>
      <c r="Z47" s="115">
        <f>330000*Rateio!$E$100/12</f>
        <v>1375</v>
      </c>
      <c r="AA47" s="115">
        <f>330000*Rateio!$E$100/12</f>
        <v>1375</v>
      </c>
      <c r="AB47" s="115">
        <f>330000*Rateio!$E$100/12</f>
        <v>1375</v>
      </c>
      <c r="AC47" s="116">
        <f t="shared" si="41"/>
        <v>16500</v>
      </c>
      <c r="AD47" s="108"/>
      <c r="AE47" s="117">
        <f>IF(ISBLANK(Q47),"",IF($P47="BRL",Q47,Q47*Macroindicadores!B$2)/1000)</f>
        <v>1.375</v>
      </c>
      <c r="AF47" s="117">
        <f>IF(ISBLANK(R47),"",IF($P47="BRL",R47,R47*Macroindicadores!C$2)/1000)</f>
        <v>1.375</v>
      </c>
      <c r="AG47" s="117">
        <f>IF(ISBLANK(S47),"",IF($P47="BRL",S47,S47*Macroindicadores!D$2)/1000)</f>
        <v>1.375</v>
      </c>
      <c r="AH47" s="117">
        <f>IF(ISBLANK(T47),"",IF($P47="BRL",T47,T47*Macroindicadores!E$2)/1000)</f>
        <v>1.375</v>
      </c>
      <c r="AI47" s="117">
        <f>IF(ISBLANK(U47),"",IF($P47="BRL",U47,U47*Macroindicadores!F$2)/1000)</f>
        <v>1.375</v>
      </c>
      <c r="AJ47" s="117">
        <f>IF(ISBLANK(V47),"",IF($P47="BRL",V47,V47*Macroindicadores!G$2)/1000)</f>
        <v>1.375</v>
      </c>
      <c r="AK47" s="117">
        <f>IF(ISBLANK(W47),"",IF($P47="BRL",W47,W47*Macroindicadores!H$2)/1000)</f>
        <v>1.375</v>
      </c>
      <c r="AL47" s="117">
        <f>IF(ISBLANK(X47),"",IF($P47="BRL",X47,X47*Macroindicadores!I$2)/1000)</f>
        <v>1.375</v>
      </c>
      <c r="AM47" s="117">
        <f>IF(ISBLANK(Y47),"",IF($P47="BRL",Y47,Y47*Macroindicadores!J$2)/1000)</f>
        <v>1.375</v>
      </c>
      <c r="AN47" s="117">
        <f>IF(ISBLANK(Z47),"",IF($P47="BRL",Z47,Z47*Macroindicadores!K$2)/1000)</f>
        <v>1.375</v>
      </c>
      <c r="AO47" s="117">
        <f>IF(ISBLANK(AA47),"",IF($P47="BRL",AA47,AA47*Macroindicadores!L$2)/1000)</f>
        <v>1.375</v>
      </c>
      <c r="AP47" s="117">
        <f>IF(ISBLANK(AB47),"",IF($P47="BRL",AB47,AB47*Macroindicadores!M$2)/1000)</f>
        <v>1.375</v>
      </c>
      <c r="AQ47" s="118">
        <f t="shared" si="35"/>
        <v>16.5</v>
      </c>
      <c r="AR47" s="108"/>
      <c r="AS47" s="117">
        <f>IF(ISBLANK(Q47),"",IF(ISBLANK($O47),AE47,IF($J47="ANUAL",AE47*(1+Macroindicadores!B$7),IF(AND($I47="NOVO",MONTH($O47)=MONTH(AS$4)),AE47*(1+Macroindicadores!B$7),IF(AND($J47="PONTUAL",MONTH($O47)=MONTH(AS$4)),AE47*(1+Macroindicadores!B$7),IF(AND($J47="PONTUAL",MONTH($O47)&lt;MONTH(AS$4)),MIN(AR47:$AS47),IF(AND($I47="NOVO",MONTH($O47)&gt;MONTH(AS$4)),AE47,IF(MONTH($O47)&gt;MONTH(AS$4),AE47,IF(MONTH($O47)=MONTH(AS$4),AE47*(1+Macroindicadores!B$7),AR47)))))))))</f>
        <v>1.375</v>
      </c>
      <c r="AT47" s="117">
        <f>IF(ISBLANK(R47),"",IF(ISBLANK($O47),AF47,IF($J47="ANUAL",AF47*(1+Macroindicadores!C$7),IF(AND($I47="NOVO",MONTH($O47)=MONTH(AT$4)),AF47*(1+Macroindicadores!C$7),IF(AND($J47="PONTUAL",MONTH($O47)=MONTH(AT$4)),AF47*(1+Macroindicadores!C$7),IF(AND($J47="PONTUAL",MONTH($O47)&lt;MONTH(AT$4)),MIN($AS47:AS47),IF(AND($I47="NOVO",MONTH($O47)&gt;MONTH(AT$4)),AF47,IF(MONTH($O47)&gt;MONTH(AT$4),AF47,IF(MONTH($O47)=MONTH(AT$4),AF47*(1+Macroindicadores!C$7),AS47)))))))))</f>
        <v>1.375</v>
      </c>
      <c r="AU47" s="117">
        <f>IF(ISBLANK(S47),"",IF(ISBLANK($O47),AG47,IF($J47="ANUAL",AG47*(1+Macroindicadores!D$7),IF(AND($I47="NOVO",MONTH($O47)=MONTH(AU$4)),AG47*(1+Macroindicadores!D$7),IF(AND($J47="PONTUAL",MONTH($O47)=MONTH(AU$4)),AG47*(1+Macroindicadores!D$7),IF(AND($J47="PONTUAL",MONTH($O47)&lt;MONTH(AU$4)),MIN($AS47:AT47),IF(AND($I47="NOVO",MONTH($O47)&gt;MONTH(AU$4)),AG47,IF(MONTH($O47)&gt;MONTH(AU$4),AG47,IF(MONTH($O47)=MONTH(AU$4),AG47*(1+Macroindicadores!D$7),AT47)))))))))</f>
        <v>1.375</v>
      </c>
      <c r="AV47" s="117">
        <f>IF(ISBLANK(T47),"",IF(ISBLANK($O47),AH47,IF($J47="ANUAL",AH47*(1+Macroindicadores!E$7),IF(AND($I47="NOVO",MONTH($O47)=MONTH(AV$4)),AH47*(1+Macroindicadores!E$7),IF(AND($J47="PONTUAL",MONTH($O47)=MONTH(AV$4)),AH47*(1+Macroindicadores!E$7),IF(AND($J47="PONTUAL",MONTH($O47)&lt;MONTH(AV$4)),MIN($AS47:AU47),IF(AND($I47="NOVO",MONTH($O47)&gt;MONTH(AV$4)),AH47,IF(MONTH($O47)&gt;MONTH(AV$4),AH47,IF(MONTH($O47)=MONTH(AV$4),AH47*(1+Macroindicadores!E$7),AU47)))))))))</f>
        <v>1.375</v>
      </c>
      <c r="AW47" s="117">
        <f>IF(ISBLANK(U47),"",IF(ISBLANK($O47),AI47,IF($J47="ANUAL",AI47*(1+Macroindicadores!F$7),IF(AND($I47="NOVO",MONTH($O47)=MONTH(AW$4)),AI47*(1+Macroindicadores!F$7),IF(AND($J47="PONTUAL",MONTH($O47)=MONTH(AW$4)),AI47*(1+Macroindicadores!F$7),IF(AND($J47="PONTUAL",MONTH($O47)&lt;MONTH(AW$4)),MIN($AS47:AV47),IF(AND($I47="NOVO",MONTH($O47)&gt;MONTH(AW$4)),AI47,IF(MONTH($O47)&gt;MONTH(AW$4),AI47,IF(MONTH($O47)=MONTH(AW$4),AI47*(1+Macroindicadores!F$7),AV47)))))))))</f>
        <v>1.375</v>
      </c>
      <c r="AX47" s="117">
        <f>IF(ISBLANK(V47),"",IF(ISBLANK($O47),AJ47,IF($J47="ANUAL",AJ47*(1+Macroindicadores!G$7),IF(AND($I47="NOVO",MONTH($O47)=MONTH(AX$4)),AJ47*(1+Macroindicadores!G$7),IF(AND($J47="PONTUAL",MONTH($O47)=MONTH(AX$4)),AJ47*(1+Macroindicadores!G$7),IF(AND($J47="PONTUAL",MONTH($O47)&lt;MONTH(AX$4)),MIN($AS47:AW47),IF(AND($I47="NOVO",MONTH($O47)&gt;MONTH(AX$4)),AJ47,IF(MONTH($O47)&gt;MONTH(AX$4),AJ47,IF(MONTH($O47)=MONTH(AX$4),AJ47*(1+Macroindicadores!G$7),AW47)))))))))</f>
        <v>1.375</v>
      </c>
      <c r="AY47" s="117">
        <f>IF(ISBLANK(W47),"",IF(ISBLANK($O47),AK47,IF($J47="ANUAL",AK47*(1+Macroindicadores!H$7),IF(AND($I47="NOVO",MONTH($O47)=MONTH(AY$4)),AK47*(1+Macroindicadores!H$7),IF(AND($J47="PONTUAL",MONTH($O47)=MONTH(AY$4)),AK47*(1+Macroindicadores!H$7),IF(AND($J47="PONTUAL",MONTH($O47)&lt;MONTH(AY$4)),MIN($AS47:AX47),IF(AND($I47="NOVO",MONTH($O47)&gt;MONTH(AY$4)),AK47,IF(MONTH($O47)&gt;MONTH(AY$4),AK47,IF(MONTH($O47)=MONTH(AY$4),AK47*(1+Macroindicadores!H$7),AX47)))))))))</f>
        <v>1.375</v>
      </c>
      <c r="AZ47" s="117">
        <f>IF(ISBLANK(X47),"",IF(ISBLANK($O47),AL47,IF($J47="ANUAL",AL47*(1+Macroindicadores!I$7),IF(AND($I47="NOVO",MONTH($O47)=MONTH(AZ$4)),AL47*(1+Macroindicadores!I$7),IF(AND($J47="PONTUAL",MONTH($O47)=MONTH(AZ$4)),AL47*(1+Macroindicadores!I$7),IF(AND($J47="PONTUAL",MONTH($O47)&lt;MONTH(AZ$4)),MIN($AS47:AY47),IF(AND($I47="NOVO",MONTH($O47)&gt;MONTH(AZ$4)),AL47,IF(MONTH($O47)&gt;MONTH(AZ$4),AL47,IF(MONTH($O47)=MONTH(AZ$4),AL47*(1+Macroindicadores!I$7),AY47)))))))))</f>
        <v>1.375</v>
      </c>
      <c r="BA47" s="117">
        <f>IF(ISBLANK(Y47),"",IF(ISBLANK($O47),AM47,IF($J47="ANUAL",AM47*(1+Macroindicadores!J$7),IF(AND($I47="NOVO",MONTH($O47)=MONTH(BA$4)),AM47*(1+Macroindicadores!J$7),IF(AND($J47="PONTUAL",MONTH($O47)=MONTH(BA$4)),AM47*(1+Macroindicadores!J$7),IF(AND($J47="PONTUAL",MONTH($O47)&lt;MONTH(BA$4)),MIN($AS47:AZ47),IF(AND($I47="NOVO",MONTH($O47)&gt;MONTH(BA$4)),AM47,IF(MONTH($O47)&gt;MONTH(BA$4),AM47,IF(MONTH($O47)=MONTH(BA$4),AM47*(1+Macroindicadores!J$7),AZ47)))))))))</f>
        <v>1.375</v>
      </c>
      <c r="BB47" s="117">
        <f>IF(ISBLANK(Z47),"",IF(ISBLANK($O47),AN47,IF($J47="ANUAL",AN47*(1+Macroindicadores!K$7),IF(AND($I47="NOVO",MONTH($O47)=MONTH(BB$4)),AN47*(1+Macroindicadores!K$7),IF(AND($J47="PONTUAL",MONTH($O47)=MONTH(BB$4)),AN47*(1+Macroindicadores!K$7),IF(AND($J47="PONTUAL",MONTH($O47)&lt;MONTH(BB$4)),MIN($AS47:BA47),IF(AND($I47="NOVO",MONTH($O47)&gt;MONTH(BB$4)),AN47,IF(MONTH($O47)&gt;MONTH(BB$4),AN47,IF(MONTH($O47)=MONTH(BB$4),AN47*(1+Macroindicadores!K$7),BA47)))))))))</f>
        <v>1.375</v>
      </c>
      <c r="BC47" s="117">
        <f>IF(ISBLANK(AA47),"",IF(ISBLANK($O47),AO47,IF($J47="ANUAL",AO47*(1+Macroindicadores!L$7),IF(AND($I47="NOVO",MONTH($O47)=MONTH(BC$4)),AO47*(1+Macroindicadores!L$7),IF(AND($J47="PONTUAL",MONTH($O47)=MONTH(BC$4)),AO47*(1+Macroindicadores!L$7),IF(AND($J47="PONTUAL",MONTH($O47)&lt;MONTH(BC$4)),MIN($AS47:BB47),IF(AND($I47="NOVO",MONTH($O47)&gt;MONTH(BC$4)),AO47,IF(MONTH($O47)&gt;MONTH(BC$4),AO47,IF(MONTH($O47)=MONTH(BC$4),AO47*(1+Macroindicadores!L$7),BB47)))))))))</f>
        <v>1.375</v>
      </c>
      <c r="BD47" s="117">
        <f>IF(ISBLANK(AB47),"",IF(ISBLANK($O47),AP47,IF($J47="ANUAL",AP47*(1+Macroindicadores!M$7),IF(AND($I47="NOVO",MONTH($O47)=MONTH(BD$4)),AP47*(1+Macroindicadores!M$7),IF(AND($J47="PONTUAL",MONTH($O47)=MONTH(BD$4)),AP47*(1+Macroindicadores!M$7),IF(AND($J47="PONTUAL",MONTH($O47)&lt;MONTH(BD$4)),MIN($AS47:BC47),IF(AND($I47="NOVO",MONTH($O47)&gt;MONTH(BD$4)),AP47,IF(MONTH($O47)&gt;MONTH(BD$4),AP47,IF(MONTH($O47)=MONTH(BD$4),AP47*(1+Macroindicadores!M$7),BC47)))))))))</f>
        <v>1.375</v>
      </c>
      <c r="BE47" s="118">
        <f t="shared" si="36"/>
        <v>16.5</v>
      </c>
      <c r="BF47" s="108"/>
      <c r="BG47" s="117">
        <f>IF(ISBLANK(Q47),"",AS47/Macroindicadores!B$2)</f>
        <v>0.233843537414966</v>
      </c>
      <c r="BH47" s="117">
        <f>IF(ISBLANK(R47),"",AT47/Macroindicadores!C$2)</f>
        <v>0.233843537414966</v>
      </c>
      <c r="BI47" s="117">
        <f>IF(ISBLANK(S47),"",AU47/Macroindicadores!D$2)</f>
        <v>0.233843537414966</v>
      </c>
      <c r="BJ47" s="117">
        <f>IF(ISBLANK(T47),"",AV47/Macroindicadores!E$2)</f>
        <v>0.233843537414966</v>
      </c>
      <c r="BK47" s="117">
        <f>IF(ISBLANK(U47),"",AW47/Macroindicadores!F$2)</f>
        <v>0.233843537414966</v>
      </c>
      <c r="BL47" s="117">
        <f>IF(ISBLANK(V47),"",AX47/Macroindicadores!G$2)</f>
        <v>0.233843537414966</v>
      </c>
      <c r="BM47" s="117">
        <f>IF(ISBLANK(W47),"",AY47/Macroindicadores!H$2)</f>
        <v>0.233843537414966</v>
      </c>
      <c r="BN47" s="117">
        <f>IF(ISBLANK(X47),"",AZ47/Macroindicadores!I$2)</f>
        <v>0.233843537414966</v>
      </c>
      <c r="BO47" s="117">
        <f>IF(ISBLANK(Y47),"",BA47/Macroindicadores!J$2)</f>
        <v>0.233843537414966</v>
      </c>
      <c r="BP47" s="117">
        <f>IF(ISBLANK(Z47),"",BB47/Macroindicadores!K$2)</f>
        <v>0.233843537414966</v>
      </c>
      <c r="BQ47" s="117">
        <f>IF(ISBLANK(AA47),"",BC47/Macroindicadores!L$2)</f>
        <v>0.233843537414966</v>
      </c>
      <c r="BR47" s="117">
        <f>IF(ISBLANK(AB47),"",BD47/Macroindicadores!M$2)</f>
        <v>0.233843537414966</v>
      </c>
      <c r="BS47" s="118">
        <f>IF(AND(ISBLANK($Q47),ISBLANK($R47),ISBLANK($S47),ISBLANK($T47),ISBLANK($U47),ISBLANK($V47),ISBLANK($W47),ISBLANK($X47),ISBLANK($Y47),ISBLANK($Z47),ISBLANK($AA47),ISBLANK($AB47)),"",SUM(BG47:BR47))</f>
        <v>2.8061224489795928</v>
      </c>
      <c r="BT47" s="25" t="str">
        <f>IF(ISBLANK($L47),"",_xlfn.XLOOKUP($L47,'CENTRO CUSTO'!$A:$A,'CENTRO CUSTO'!$E:$E,FALSE,0))</f>
        <v>G&amp;A CP</v>
      </c>
    </row>
    <row r="48" spans="1:72">
      <c r="A48" s="9" t="str">
        <f t="shared" si="40"/>
        <v>Budget</v>
      </c>
      <c r="B48" s="9">
        <f t="shared" si="44"/>
        <v>2026</v>
      </c>
      <c r="C48" s="111" t="str">
        <f>IF(ISBLANK($L48),"",_xlfn.XLOOKUP($L48,'CENTRO CUSTO'!$A:$A,'CENTRO CUSTO'!F:F,FALSE,0))</f>
        <v>Transporte</v>
      </c>
      <c r="D48" s="111" t="str">
        <f>IF(ISBLANK($L48),"",_xlfn.XLOOKUP($L48,'CENTRO CUSTO'!$A:$A,'CENTRO CUSTO'!G:G,FALSE,0))</f>
        <v>Transportes</v>
      </c>
      <c r="E48" s="111" t="str">
        <f>IF(ISBLANK($L48),"",_xlfn.XLOOKUP($L48,'CENTRO CUSTO'!$A:$A,'CENTRO CUSTO'!H:H,FALSE,0))</f>
        <v>Transportes</v>
      </c>
      <c r="F48" s="112" t="s">
        <v>109</v>
      </c>
      <c r="G48" s="112" t="s">
        <v>75</v>
      </c>
      <c r="H48" s="119" t="s">
        <v>110</v>
      </c>
      <c r="I48" s="113" t="s">
        <v>77</v>
      </c>
      <c r="J48" s="113" t="s">
        <v>78</v>
      </c>
      <c r="K48" s="113" t="s">
        <v>79</v>
      </c>
      <c r="L48" s="113" t="s">
        <v>111</v>
      </c>
      <c r="M48" s="111" t="str">
        <f>IF(ISBLANK($L48),"",_xlfn.XLOOKUP($L48,'CENTRO CUSTO'!$A:$A,'CENTRO CUSTO'!D:D,FALSE,0))</f>
        <v>Alexandre Ayabe</v>
      </c>
      <c r="N48" s="113" t="s">
        <v>106</v>
      </c>
      <c r="O48" s="114"/>
      <c r="P48" s="113" t="s">
        <v>81</v>
      </c>
      <c r="Q48" s="115">
        <v>67000</v>
      </c>
      <c r="R48" s="115">
        <v>67000</v>
      </c>
      <c r="S48" s="115">
        <v>67000</v>
      </c>
      <c r="T48" s="115">
        <v>67000</v>
      </c>
      <c r="U48" s="115">
        <v>67000</v>
      </c>
      <c r="V48" s="115">
        <v>67000</v>
      </c>
      <c r="W48" s="115">
        <v>67000</v>
      </c>
      <c r="X48" s="115">
        <v>67000</v>
      </c>
      <c r="Y48" s="115">
        <v>67000</v>
      </c>
      <c r="Z48" s="115">
        <v>67000</v>
      </c>
      <c r="AA48" s="115">
        <v>67000</v>
      </c>
      <c r="AB48" s="115">
        <v>67000</v>
      </c>
      <c r="AC48" s="116">
        <f t="shared" si="41"/>
        <v>804000</v>
      </c>
      <c r="AD48" s="108"/>
      <c r="AE48" s="117">
        <f>IF(ISBLANK(Q48),"",IF($P48="BRL",Q48,Q48*Macroindicadores!B$2)/1000)</f>
        <v>67</v>
      </c>
      <c r="AF48" s="117">
        <f>IF(ISBLANK(R48),"",IF($P48="BRL",R48,R48*Macroindicadores!C$2)/1000)</f>
        <v>67</v>
      </c>
      <c r="AG48" s="117">
        <f>IF(ISBLANK(S48),"",IF($P48="BRL",S48,S48*Macroindicadores!D$2)/1000)</f>
        <v>67</v>
      </c>
      <c r="AH48" s="117">
        <f>IF(ISBLANK(T48),"",IF($P48="BRL",T48,T48*Macroindicadores!E$2)/1000)</f>
        <v>67</v>
      </c>
      <c r="AI48" s="117">
        <f>IF(ISBLANK(U48),"",IF($P48="BRL",U48,U48*Macroindicadores!F$2)/1000)</f>
        <v>67</v>
      </c>
      <c r="AJ48" s="117">
        <f>IF(ISBLANK(V48),"",IF($P48="BRL",V48,V48*Macroindicadores!G$2)/1000)</f>
        <v>67</v>
      </c>
      <c r="AK48" s="117">
        <f>IF(ISBLANK(W48),"",IF($P48="BRL",W48,W48*Macroindicadores!H$2)/1000)</f>
        <v>67</v>
      </c>
      <c r="AL48" s="117">
        <f>IF(ISBLANK(X48),"",IF($P48="BRL",X48,X48*Macroindicadores!I$2)/1000)</f>
        <v>67</v>
      </c>
      <c r="AM48" s="117">
        <f>IF(ISBLANK(Y48),"",IF($P48="BRL",Y48,Y48*Macroindicadores!J$2)/1000)</f>
        <v>67</v>
      </c>
      <c r="AN48" s="117">
        <f>IF(ISBLANK(Z48),"",IF($P48="BRL",Z48,Z48*Macroindicadores!K$2)/1000)</f>
        <v>67</v>
      </c>
      <c r="AO48" s="117">
        <f>IF(ISBLANK(AA48),"",IF($P48="BRL",AA48,AA48*Macroindicadores!L$2)/1000)</f>
        <v>67</v>
      </c>
      <c r="AP48" s="117">
        <f>IF(ISBLANK(AB48),"",IF($P48="BRL",AB48,AB48*Macroindicadores!M$2)/1000)</f>
        <v>67</v>
      </c>
      <c r="AQ48" s="118">
        <f t="shared" si="35"/>
        <v>804</v>
      </c>
      <c r="AR48" s="108"/>
      <c r="AS48" s="117">
        <f>IF(ISBLANK(Q48),"",IF(ISBLANK($O48),AE48,IF($J48="ANUAL",AE48*(1+Macroindicadores!B$7),IF(AND($I48="NOVO",MONTH($O48)=MONTH(AS$4)),AE48*(1+Macroindicadores!B$7),IF(AND($J48="PONTUAL",MONTH($O48)=MONTH(AS$4)),AE48*(1+Macroindicadores!B$7),IF(AND($J48="PONTUAL",MONTH($O48)&lt;MONTH(AS$4)),MIN(AR48:$AS48),IF(AND($I48="NOVO",MONTH($O48)&gt;MONTH(AS$4)),AE48,IF(MONTH($O48)&gt;MONTH(AS$4),AE48,IF(MONTH($O48)=MONTH(AS$4),AE48*(1+Macroindicadores!B$7),AR48)))))))))</f>
        <v>67</v>
      </c>
      <c r="AT48" s="117">
        <f>IF(ISBLANK(R48),"",IF(ISBLANK($O48),AF48,IF($J48="ANUAL",AF48*(1+Macroindicadores!C$7),IF(AND($I48="NOVO",MONTH($O48)=MONTH(AT$4)),AF48*(1+Macroindicadores!C$7),IF(AND($J48="PONTUAL",MONTH($O48)=MONTH(AT$4)),AF48*(1+Macroindicadores!C$7),IF(AND($J48="PONTUAL",MONTH($O48)&lt;MONTH(AT$4)),MIN($AS48:AS48),IF(AND($I48="NOVO",MONTH($O48)&gt;MONTH(AT$4)),AF48,IF(MONTH($O48)&gt;MONTH(AT$4),AF48,IF(MONTH($O48)=MONTH(AT$4),AF48*(1+Macroindicadores!C$7),AS48)))))))))</f>
        <v>67</v>
      </c>
      <c r="AU48" s="117">
        <f>IF(ISBLANK(S48),"",IF(ISBLANK($O48),AG48,IF($J48="ANUAL",AG48*(1+Macroindicadores!D$7),IF(AND($I48="NOVO",MONTH($O48)=MONTH(AU$4)),AG48*(1+Macroindicadores!D$7),IF(AND($J48="PONTUAL",MONTH($O48)=MONTH(AU$4)),AG48*(1+Macroindicadores!D$7),IF(AND($J48="PONTUAL",MONTH($O48)&lt;MONTH(AU$4)),MIN($AS48:AT48),IF(AND($I48="NOVO",MONTH($O48)&gt;MONTH(AU$4)),AG48,IF(MONTH($O48)&gt;MONTH(AU$4),AG48,IF(MONTH($O48)=MONTH(AU$4),AG48*(1+Macroindicadores!D$7),AT48)))))))))</f>
        <v>67</v>
      </c>
      <c r="AV48" s="117">
        <f>IF(ISBLANK(T48),"",IF(ISBLANK($O48),AH48,IF($J48="ANUAL",AH48*(1+Macroindicadores!E$7),IF(AND($I48="NOVO",MONTH($O48)=MONTH(AV$4)),AH48*(1+Macroindicadores!E$7),IF(AND($J48="PONTUAL",MONTH($O48)=MONTH(AV$4)),AH48*(1+Macroindicadores!E$7),IF(AND($J48="PONTUAL",MONTH($O48)&lt;MONTH(AV$4)),MIN($AS48:AU48),IF(AND($I48="NOVO",MONTH($O48)&gt;MONTH(AV$4)),AH48,IF(MONTH($O48)&gt;MONTH(AV$4),AH48,IF(MONTH($O48)=MONTH(AV$4),AH48*(1+Macroindicadores!E$7),AU48)))))))))</f>
        <v>67</v>
      </c>
      <c r="AW48" s="117">
        <f>IF(ISBLANK(U48),"",IF(ISBLANK($O48),AI48,IF($J48="ANUAL",AI48*(1+Macroindicadores!F$7),IF(AND($I48="NOVO",MONTH($O48)=MONTH(AW$4)),AI48*(1+Macroindicadores!F$7),IF(AND($J48="PONTUAL",MONTH($O48)=MONTH(AW$4)),AI48*(1+Macroindicadores!F$7),IF(AND($J48="PONTUAL",MONTH($O48)&lt;MONTH(AW$4)),MIN($AS48:AV48),IF(AND($I48="NOVO",MONTH($O48)&gt;MONTH(AW$4)),AI48,IF(MONTH($O48)&gt;MONTH(AW$4),AI48,IF(MONTH($O48)=MONTH(AW$4),AI48*(1+Macroindicadores!F$7),AV48)))))))))</f>
        <v>67</v>
      </c>
      <c r="AX48" s="117">
        <f>IF(ISBLANK(V48),"",IF(ISBLANK($O48),AJ48,IF($J48="ANUAL",AJ48*(1+Macroindicadores!G$7),IF(AND($I48="NOVO",MONTH($O48)=MONTH(AX$4)),AJ48*(1+Macroindicadores!G$7),IF(AND($J48="PONTUAL",MONTH($O48)=MONTH(AX$4)),AJ48*(1+Macroindicadores!G$7),IF(AND($J48="PONTUAL",MONTH($O48)&lt;MONTH(AX$4)),MIN($AS48:AW48),IF(AND($I48="NOVO",MONTH($O48)&gt;MONTH(AX$4)),AJ48,IF(MONTH($O48)&gt;MONTH(AX$4),AJ48,IF(MONTH($O48)=MONTH(AX$4),AJ48*(1+Macroindicadores!G$7),AW48)))))))))</f>
        <v>67</v>
      </c>
      <c r="AY48" s="117">
        <f>IF(ISBLANK(W48),"",IF(ISBLANK($O48),AK48,IF($J48="ANUAL",AK48*(1+Macroindicadores!H$7),IF(AND($I48="NOVO",MONTH($O48)=MONTH(AY$4)),AK48*(1+Macroindicadores!H$7),IF(AND($J48="PONTUAL",MONTH($O48)=MONTH(AY$4)),AK48*(1+Macroindicadores!H$7),IF(AND($J48="PONTUAL",MONTH($O48)&lt;MONTH(AY$4)),MIN($AS48:AX48),IF(AND($I48="NOVO",MONTH($O48)&gt;MONTH(AY$4)),AK48,IF(MONTH($O48)&gt;MONTH(AY$4),AK48,IF(MONTH($O48)=MONTH(AY$4),AK48*(1+Macroindicadores!H$7),AX48)))))))))</f>
        <v>67</v>
      </c>
      <c r="AZ48" s="117">
        <f>IF(ISBLANK(X48),"",IF(ISBLANK($O48),AL48,IF($J48="ANUAL",AL48*(1+Macroindicadores!I$7),IF(AND($I48="NOVO",MONTH($O48)=MONTH(AZ$4)),AL48*(1+Macroindicadores!I$7),IF(AND($J48="PONTUAL",MONTH($O48)=MONTH(AZ$4)),AL48*(1+Macroindicadores!I$7),IF(AND($J48="PONTUAL",MONTH($O48)&lt;MONTH(AZ$4)),MIN($AS48:AY48),IF(AND($I48="NOVO",MONTH($O48)&gt;MONTH(AZ$4)),AL48,IF(MONTH($O48)&gt;MONTH(AZ$4),AL48,IF(MONTH($O48)=MONTH(AZ$4),AL48*(1+Macroindicadores!I$7),AY48)))))))))</f>
        <v>67</v>
      </c>
      <c r="BA48" s="117">
        <f>IF(ISBLANK(Y48),"",IF(ISBLANK($O48),AM48,IF($J48="ANUAL",AM48*(1+Macroindicadores!J$7),IF(AND($I48="NOVO",MONTH($O48)=MONTH(BA$4)),AM48*(1+Macroindicadores!J$7),IF(AND($J48="PONTUAL",MONTH($O48)=MONTH(BA$4)),AM48*(1+Macroindicadores!J$7),IF(AND($J48="PONTUAL",MONTH($O48)&lt;MONTH(BA$4)),MIN($AS48:AZ48),IF(AND($I48="NOVO",MONTH($O48)&gt;MONTH(BA$4)),AM48,IF(MONTH($O48)&gt;MONTH(BA$4),AM48,IF(MONTH($O48)=MONTH(BA$4),AM48*(1+Macroindicadores!J$7),AZ48)))))))))</f>
        <v>67</v>
      </c>
      <c r="BB48" s="117">
        <f>IF(ISBLANK(Z48),"",IF(ISBLANK($O48),AN48,IF($J48="ANUAL",AN48*(1+Macroindicadores!K$7),IF(AND($I48="NOVO",MONTH($O48)=MONTH(BB$4)),AN48*(1+Macroindicadores!K$7),IF(AND($J48="PONTUAL",MONTH($O48)=MONTH(BB$4)),AN48*(1+Macroindicadores!K$7),IF(AND($J48="PONTUAL",MONTH($O48)&lt;MONTH(BB$4)),MIN($AS48:BA48),IF(AND($I48="NOVO",MONTH($O48)&gt;MONTH(BB$4)),AN48,IF(MONTH($O48)&gt;MONTH(BB$4),AN48,IF(MONTH($O48)=MONTH(BB$4),AN48*(1+Macroindicadores!K$7),BA48)))))))))</f>
        <v>67</v>
      </c>
      <c r="BC48" s="117">
        <f>IF(ISBLANK(AA48),"",IF(ISBLANK($O48),AO48,IF($J48="ANUAL",AO48*(1+Macroindicadores!L$7),IF(AND($I48="NOVO",MONTH($O48)=MONTH(BC$4)),AO48*(1+Macroindicadores!L$7),IF(AND($J48="PONTUAL",MONTH($O48)=MONTH(BC$4)),AO48*(1+Macroindicadores!L$7),IF(AND($J48="PONTUAL",MONTH($O48)&lt;MONTH(BC$4)),MIN($AS48:BB48),IF(AND($I48="NOVO",MONTH($O48)&gt;MONTH(BC$4)),AO48,IF(MONTH($O48)&gt;MONTH(BC$4),AO48,IF(MONTH($O48)=MONTH(BC$4),AO48*(1+Macroindicadores!L$7),BB48)))))))))</f>
        <v>67</v>
      </c>
      <c r="BD48" s="117">
        <f>IF(ISBLANK(AB48),"",IF(ISBLANK($O48),AP48,IF($J48="ANUAL",AP48*(1+Macroindicadores!M$7),IF(AND($I48="NOVO",MONTH($O48)=MONTH(BD$4)),AP48*(1+Macroindicadores!M$7),IF(AND($J48="PONTUAL",MONTH($O48)=MONTH(BD$4)),AP48*(1+Macroindicadores!M$7),IF(AND($J48="PONTUAL",MONTH($O48)&lt;MONTH(BD$4)),MIN($AS48:BC48),IF(AND($I48="NOVO",MONTH($O48)&gt;MONTH(BD$4)),AP48,IF(MONTH($O48)&gt;MONTH(BD$4),AP48,IF(MONTH($O48)=MONTH(BD$4),AP48*(1+Macroindicadores!M$7),BC48)))))))))</f>
        <v>67</v>
      </c>
      <c r="BE48" s="118">
        <f t="shared" si="36"/>
        <v>804</v>
      </c>
      <c r="BF48" s="108"/>
      <c r="BG48" s="117">
        <f>IF(ISBLANK(Q48),"",AS48/Macroindicadores!B$2)</f>
        <v>11.394557823129253</v>
      </c>
      <c r="BH48" s="117">
        <f>IF(ISBLANK(R48),"",AT48/Macroindicadores!C$2)</f>
        <v>11.394557823129253</v>
      </c>
      <c r="BI48" s="117">
        <f>IF(ISBLANK(S48),"",AU48/Macroindicadores!D$2)</f>
        <v>11.394557823129253</v>
      </c>
      <c r="BJ48" s="117">
        <f>IF(ISBLANK(T48),"",AV48/Macroindicadores!E$2)</f>
        <v>11.394557823129253</v>
      </c>
      <c r="BK48" s="117">
        <f>IF(ISBLANK(U48),"",AW48/Macroindicadores!F$2)</f>
        <v>11.394557823129253</v>
      </c>
      <c r="BL48" s="117">
        <f>IF(ISBLANK(V48),"",AX48/Macroindicadores!G$2)</f>
        <v>11.394557823129253</v>
      </c>
      <c r="BM48" s="117">
        <f>IF(ISBLANK(W48),"",AY48/Macroindicadores!H$2)</f>
        <v>11.394557823129253</v>
      </c>
      <c r="BN48" s="117">
        <f>IF(ISBLANK(X48),"",AZ48/Macroindicadores!I$2)</f>
        <v>11.394557823129253</v>
      </c>
      <c r="BO48" s="117">
        <f>IF(ISBLANK(Y48),"",BA48/Macroindicadores!J$2)</f>
        <v>11.394557823129253</v>
      </c>
      <c r="BP48" s="117">
        <f>IF(ISBLANK(Z48),"",BB48/Macroindicadores!K$2)</f>
        <v>11.394557823129253</v>
      </c>
      <c r="BQ48" s="117">
        <f>IF(ISBLANK(AA48),"",BC48/Macroindicadores!L$2)</f>
        <v>11.394557823129253</v>
      </c>
      <c r="BR48" s="117">
        <f>IF(ISBLANK(AB48),"",BD48/Macroindicadores!M$2)</f>
        <v>11.394557823129253</v>
      </c>
      <c r="BS48" s="118">
        <f>IF(AND(ISBLANK($Q48),ISBLANK($R48),ISBLANK($S48),ISBLANK($T48),ISBLANK($U48),ISBLANK($V48),ISBLANK($W48),ISBLANK($X48),ISBLANK($Y48),ISBLANK($Z48),ISBLANK($AA48),ISBLANK($AB48)),"",SUM(BG48:BR48))</f>
        <v>136.734693877551</v>
      </c>
      <c r="BT48" s="25" t="str">
        <f>IF(ISBLANK($L48),"",_xlfn.XLOOKUP($L48,'CENTRO CUSTO'!$A:$A,'CENTRO CUSTO'!$E:$E,FALSE,0))</f>
        <v>Custo Fixo</v>
      </c>
    </row>
    <row r="49" spans="1:72">
      <c r="A49" s="9" t="str">
        <f t="shared" si="40"/>
        <v>Budget</v>
      </c>
      <c r="B49" s="9">
        <f t="shared" si="44"/>
        <v>2026</v>
      </c>
      <c r="C49" s="111" t="str">
        <f>IF(ISBLANK($L49),"",_xlfn.XLOOKUP($L49,'CENTRO CUSTO'!$A:$A,'CENTRO CUSTO'!F:F,FALSE,0))</f>
        <v>Martini Meat</v>
      </c>
      <c r="D49" s="111" t="str">
        <f>IF(ISBLANK($L49),"",_xlfn.XLOOKUP($L49,'CENTRO CUSTO'!$A:$A,'CENTRO CUSTO'!G:G,FALSE,0))</f>
        <v>Paranaguá</v>
      </c>
      <c r="E49" s="111" t="str">
        <f>IF(ISBLANK($L49),"",_xlfn.XLOOKUP($L49,'CENTRO CUSTO'!$A:$A,'CENTRO CUSTO'!H:H,FALSE,0))</f>
        <v>Pátio</v>
      </c>
      <c r="F49" s="112" t="s">
        <v>112</v>
      </c>
      <c r="G49" s="112" t="s">
        <v>75</v>
      </c>
      <c r="H49" s="112" t="s">
        <v>113</v>
      </c>
      <c r="I49" s="113" t="s">
        <v>77</v>
      </c>
      <c r="J49" s="113" t="s">
        <v>78</v>
      </c>
      <c r="K49" s="113" t="s">
        <v>79</v>
      </c>
      <c r="L49" s="113" t="s">
        <v>17</v>
      </c>
      <c r="M49" s="111" t="str">
        <f>IF(ISBLANK($L49),"",_xlfn.XLOOKUP($L49,'CENTRO CUSTO'!$A:$A,'CENTRO CUSTO'!D:D,FALSE,0))</f>
        <v>Alexandre Ayabe</v>
      </c>
      <c r="N49" s="113" t="s">
        <v>106</v>
      </c>
      <c r="O49" s="114"/>
      <c r="P49" s="113" t="s">
        <v>81</v>
      </c>
      <c r="Q49" s="115">
        <v>14000</v>
      </c>
      <c r="R49" s="115">
        <v>14000</v>
      </c>
      <c r="S49" s="115">
        <v>14000</v>
      </c>
      <c r="T49" s="115">
        <v>14000</v>
      </c>
      <c r="U49" s="115">
        <v>14000</v>
      </c>
      <c r="V49" s="115">
        <v>14000</v>
      </c>
      <c r="W49" s="115">
        <v>14000</v>
      </c>
      <c r="X49" s="115">
        <v>14000</v>
      </c>
      <c r="Y49" s="115">
        <v>14000</v>
      </c>
      <c r="Z49" s="115">
        <v>14000</v>
      </c>
      <c r="AA49" s="115">
        <v>14000</v>
      </c>
      <c r="AB49" s="115">
        <v>14000</v>
      </c>
      <c r="AC49" s="116">
        <f t="shared" si="41"/>
        <v>168000</v>
      </c>
      <c r="AD49" s="108"/>
      <c r="AE49" s="117">
        <f>IF(ISBLANK(Q49),"",IF($P49="BRL",Q49,Q49*Macroindicadores!B$2)/1000)</f>
        <v>14</v>
      </c>
      <c r="AF49" s="117">
        <f>IF(ISBLANK(R49),"",IF($P49="BRL",R49,R49*Macroindicadores!C$2)/1000)</f>
        <v>14</v>
      </c>
      <c r="AG49" s="117">
        <f>IF(ISBLANK(S49),"",IF($P49="BRL",S49,S49*Macroindicadores!D$2)/1000)</f>
        <v>14</v>
      </c>
      <c r="AH49" s="117">
        <f>IF(ISBLANK(T49),"",IF($P49="BRL",T49,T49*Macroindicadores!E$2)/1000)</f>
        <v>14</v>
      </c>
      <c r="AI49" s="117">
        <f>IF(ISBLANK(U49),"",IF($P49="BRL",U49,U49*Macroindicadores!F$2)/1000)</f>
        <v>14</v>
      </c>
      <c r="AJ49" s="117">
        <f>IF(ISBLANK(V49),"",IF($P49="BRL",V49,V49*Macroindicadores!G$2)/1000)</f>
        <v>14</v>
      </c>
      <c r="AK49" s="117">
        <f>IF(ISBLANK(W49),"",IF($P49="BRL",W49,W49*Macroindicadores!H$2)/1000)</f>
        <v>14</v>
      </c>
      <c r="AL49" s="117">
        <f>IF(ISBLANK(X49),"",IF($P49="BRL",X49,X49*Macroindicadores!I$2)/1000)</f>
        <v>14</v>
      </c>
      <c r="AM49" s="117">
        <f>IF(ISBLANK(Y49),"",IF($P49="BRL",Y49,Y49*Macroindicadores!J$2)/1000)</f>
        <v>14</v>
      </c>
      <c r="AN49" s="117">
        <f>IF(ISBLANK(Z49),"",IF($P49="BRL",Z49,Z49*Macroindicadores!K$2)/1000)</f>
        <v>14</v>
      </c>
      <c r="AO49" s="117">
        <f>IF(ISBLANK(AA49),"",IF($P49="BRL",AA49,AA49*Macroindicadores!L$2)/1000)</f>
        <v>14</v>
      </c>
      <c r="AP49" s="117">
        <f>IF(ISBLANK(AB49),"",IF($P49="BRL",AB49,AB49*Macroindicadores!M$2)/1000)</f>
        <v>14</v>
      </c>
      <c r="AQ49" s="118">
        <f t="shared" si="35"/>
        <v>168</v>
      </c>
      <c r="AR49" s="108"/>
      <c r="AS49" s="117">
        <f>IF(ISBLANK(Q49),"",IF(ISBLANK($O49),AE49,IF($J49="ANUAL",AE49*(1+Macroindicadores!B$7),IF(AND($I49="NOVO",MONTH($O49)=MONTH(AS$4)),AE49*(1+Macroindicadores!B$7),IF(AND($J49="PONTUAL",MONTH($O49)=MONTH(AS$4)),AE49*(1+Macroindicadores!B$7),IF(AND($J49="PONTUAL",MONTH($O49)&lt;MONTH(AS$4)),MIN(AR49:$AS49),IF(AND($I49="NOVO",MONTH($O49)&gt;MONTH(AS$4)),AE49,IF(MONTH($O49)&gt;MONTH(AS$4),AE49,IF(MONTH($O49)=MONTH(AS$4),AE49*(1+Macroindicadores!B$7),AR49)))))))))</f>
        <v>14</v>
      </c>
      <c r="AT49" s="117">
        <f>IF(ISBLANK(R49),"",IF(ISBLANK($O49),AF49,IF($J49="ANUAL",AF49*(1+Macroindicadores!C$7),IF(AND($I49="NOVO",MONTH($O49)=MONTH(AT$4)),AF49*(1+Macroindicadores!C$7),IF(AND($J49="PONTUAL",MONTH($O49)=MONTH(AT$4)),AF49*(1+Macroindicadores!C$7),IF(AND($J49="PONTUAL",MONTH($O49)&lt;MONTH(AT$4)),MIN($AS49:AS49),IF(AND($I49="NOVO",MONTH($O49)&gt;MONTH(AT$4)),AF49,IF(MONTH($O49)&gt;MONTH(AT$4),AF49,IF(MONTH($O49)=MONTH(AT$4),AF49*(1+Macroindicadores!C$7),AS49)))))))))</f>
        <v>14</v>
      </c>
      <c r="AU49" s="117">
        <f>IF(ISBLANK(S49),"",IF(ISBLANK($O49),AG49,IF($J49="ANUAL",AG49*(1+Macroindicadores!D$7),IF(AND($I49="NOVO",MONTH($O49)=MONTH(AU$4)),AG49*(1+Macroindicadores!D$7),IF(AND($J49="PONTUAL",MONTH($O49)=MONTH(AU$4)),AG49*(1+Macroindicadores!D$7),IF(AND($J49="PONTUAL",MONTH($O49)&lt;MONTH(AU$4)),MIN($AS49:AT49),IF(AND($I49="NOVO",MONTH($O49)&gt;MONTH(AU$4)),AG49,IF(MONTH($O49)&gt;MONTH(AU$4),AG49,IF(MONTH($O49)=MONTH(AU$4),AG49*(1+Macroindicadores!D$7),AT49)))))))))</f>
        <v>14</v>
      </c>
      <c r="AV49" s="117">
        <f>IF(ISBLANK(T49),"",IF(ISBLANK($O49),AH49,IF($J49="ANUAL",AH49*(1+Macroindicadores!E$7),IF(AND($I49="NOVO",MONTH($O49)=MONTH(AV$4)),AH49*(1+Macroindicadores!E$7),IF(AND($J49="PONTUAL",MONTH($O49)=MONTH(AV$4)),AH49*(1+Macroindicadores!E$7),IF(AND($J49="PONTUAL",MONTH($O49)&lt;MONTH(AV$4)),MIN($AS49:AU49),IF(AND($I49="NOVO",MONTH($O49)&gt;MONTH(AV$4)),AH49,IF(MONTH($O49)&gt;MONTH(AV$4),AH49,IF(MONTH($O49)=MONTH(AV$4),AH49*(1+Macroindicadores!E$7),AU49)))))))))</f>
        <v>14</v>
      </c>
      <c r="AW49" s="117">
        <f>IF(ISBLANK(U49),"",IF(ISBLANK($O49),AI49,IF($J49="ANUAL",AI49*(1+Macroindicadores!F$7),IF(AND($I49="NOVO",MONTH($O49)=MONTH(AW$4)),AI49*(1+Macroindicadores!F$7),IF(AND($J49="PONTUAL",MONTH($O49)=MONTH(AW$4)),AI49*(1+Macroindicadores!F$7),IF(AND($J49="PONTUAL",MONTH($O49)&lt;MONTH(AW$4)),MIN($AS49:AV49),IF(AND($I49="NOVO",MONTH($O49)&gt;MONTH(AW$4)),AI49,IF(MONTH($O49)&gt;MONTH(AW$4),AI49,IF(MONTH($O49)=MONTH(AW$4),AI49*(1+Macroindicadores!F$7),AV49)))))))))</f>
        <v>14</v>
      </c>
      <c r="AX49" s="117">
        <f>IF(ISBLANK(V49),"",IF(ISBLANK($O49),AJ49,IF($J49="ANUAL",AJ49*(1+Macroindicadores!G$7),IF(AND($I49="NOVO",MONTH($O49)=MONTH(AX$4)),AJ49*(1+Macroindicadores!G$7),IF(AND($J49="PONTUAL",MONTH($O49)=MONTH(AX$4)),AJ49*(1+Macroindicadores!G$7),IF(AND($J49="PONTUAL",MONTH($O49)&lt;MONTH(AX$4)),MIN($AS49:AW49),IF(AND($I49="NOVO",MONTH($O49)&gt;MONTH(AX$4)),AJ49,IF(MONTH($O49)&gt;MONTH(AX$4),AJ49,IF(MONTH($O49)=MONTH(AX$4),AJ49*(1+Macroindicadores!G$7),AW49)))))))))</f>
        <v>14</v>
      </c>
      <c r="AY49" s="117">
        <f>IF(ISBLANK(W49),"",IF(ISBLANK($O49),AK49,IF($J49="ANUAL",AK49*(1+Macroindicadores!H$7),IF(AND($I49="NOVO",MONTH($O49)=MONTH(AY$4)),AK49*(1+Macroindicadores!H$7),IF(AND($J49="PONTUAL",MONTH($O49)=MONTH(AY$4)),AK49*(1+Macroindicadores!H$7),IF(AND($J49="PONTUAL",MONTH($O49)&lt;MONTH(AY$4)),MIN($AS49:AX49),IF(AND($I49="NOVO",MONTH($O49)&gt;MONTH(AY$4)),AK49,IF(MONTH($O49)&gt;MONTH(AY$4),AK49,IF(MONTH($O49)=MONTH(AY$4),AK49*(1+Macroindicadores!H$7),AX49)))))))))</f>
        <v>14</v>
      </c>
      <c r="AZ49" s="117">
        <f>IF(ISBLANK(X49),"",IF(ISBLANK($O49),AL49,IF($J49="ANUAL",AL49*(1+Macroindicadores!I$7),IF(AND($I49="NOVO",MONTH($O49)=MONTH(AZ$4)),AL49*(1+Macroindicadores!I$7),IF(AND($J49="PONTUAL",MONTH($O49)=MONTH(AZ$4)),AL49*(1+Macroindicadores!I$7),IF(AND($J49="PONTUAL",MONTH($O49)&lt;MONTH(AZ$4)),MIN($AS49:AY49),IF(AND($I49="NOVO",MONTH($O49)&gt;MONTH(AZ$4)),AL49,IF(MONTH($O49)&gt;MONTH(AZ$4),AL49,IF(MONTH($O49)=MONTH(AZ$4),AL49*(1+Macroindicadores!I$7),AY49)))))))))</f>
        <v>14</v>
      </c>
      <c r="BA49" s="117">
        <f>IF(ISBLANK(Y49),"",IF(ISBLANK($O49),AM49,IF($J49="ANUAL",AM49*(1+Macroindicadores!J$7),IF(AND($I49="NOVO",MONTH($O49)=MONTH(BA$4)),AM49*(1+Macroindicadores!J$7),IF(AND($J49="PONTUAL",MONTH($O49)=MONTH(BA$4)),AM49*(1+Macroindicadores!J$7),IF(AND($J49="PONTUAL",MONTH($O49)&lt;MONTH(BA$4)),MIN($AS49:AZ49),IF(AND($I49="NOVO",MONTH($O49)&gt;MONTH(BA$4)),AM49,IF(MONTH($O49)&gt;MONTH(BA$4),AM49,IF(MONTH($O49)=MONTH(BA$4),AM49*(1+Macroindicadores!J$7),AZ49)))))))))</f>
        <v>14</v>
      </c>
      <c r="BB49" s="117">
        <f>IF(ISBLANK(Z49),"",IF(ISBLANK($O49),AN49,IF($J49="ANUAL",AN49*(1+Macroindicadores!K$7),IF(AND($I49="NOVO",MONTH($O49)=MONTH(BB$4)),AN49*(1+Macroindicadores!K$7),IF(AND($J49="PONTUAL",MONTH($O49)=MONTH(BB$4)),AN49*(1+Macroindicadores!K$7),IF(AND($J49="PONTUAL",MONTH($O49)&lt;MONTH(BB$4)),MIN($AS49:BA49),IF(AND($I49="NOVO",MONTH($O49)&gt;MONTH(BB$4)),AN49,IF(MONTH($O49)&gt;MONTH(BB$4),AN49,IF(MONTH($O49)=MONTH(BB$4),AN49*(1+Macroindicadores!K$7),BA49)))))))))</f>
        <v>14</v>
      </c>
      <c r="BC49" s="117">
        <f>IF(ISBLANK(AA49),"",IF(ISBLANK($O49),AO49,IF($J49="ANUAL",AO49*(1+Macroindicadores!L$7),IF(AND($I49="NOVO",MONTH($O49)=MONTH(BC$4)),AO49*(1+Macroindicadores!L$7),IF(AND($J49="PONTUAL",MONTH($O49)=MONTH(BC$4)),AO49*(1+Macroindicadores!L$7),IF(AND($J49="PONTUAL",MONTH($O49)&lt;MONTH(BC$4)),MIN($AS49:BB49),IF(AND($I49="NOVO",MONTH($O49)&gt;MONTH(BC$4)),AO49,IF(MONTH($O49)&gt;MONTH(BC$4),AO49,IF(MONTH($O49)=MONTH(BC$4),AO49*(1+Macroindicadores!L$7),BB49)))))))))</f>
        <v>14</v>
      </c>
      <c r="BD49" s="117">
        <f>IF(ISBLANK(AB49),"",IF(ISBLANK($O49),AP49,IF($J49="ANUAL",AP49*(1+Macroindicadores!M$7),IF(AND($I49="NOVO",MONTH($O49)=MONTH(BD$4)),AP49*(1+Macroindicadores!M$7),IF(AND($J49="PONTUAL",MONTH($O49)=MONTH(BD$4)),AP49*(1+Macroindicadores!M$7),IF(AND($J49="PONTUAL",MONTH($O49)&lt;MONTH(BD$4)),MIN($AS49:BC49),IF(AND($I49="NOVO",MONTH($O49)&gt;MONTH(BD$4)),AP49,IF(MONTH($O49)&gt;MONTH(BD$4),AP49,IF(MONTH($O49)=MONTH(BD$4),AP49*(1+Macroindicadores!M$7),BC49)))))))))</f>
        <v>14</v>
      </c>
      <c r="BE49" s="118">
        <f t="shared" si="36"/>
        <v>168</v>
      </c>
      <c r="BF49" s="108"/>
      <c r="BG49" s="117">
        <f>IF(ISBLANK(Q49),"",AS49/Macroindicadores!B$2)</f>
        <v>2.3809523809523809</v>
      </c>
      <c r="BH49" s="117">
        <f>IF(ISBLANK(R49),"",AT49/Macroindicadores!C$2)</f>
        <v>2.3809523809523809</v>
      </c>
      <c r="BI49" s="117">
        <f>IF(ISBLANK(S49),"",AU49/Macroindicadores!D$2)</f>
        <v>2.3809523809523809</v>
      </c>
      <c r="BJ49" s="117">
        <f>IF(ISBLANK(T49),"",AV49/Macroindicadores!E$2)</f>
        <v>2.3809523809523809</v>
      </c>
      <c r="BK49" s="117">
        <f>IF(ISBLANK(U49),"",AW49/Macroindicadores!F$2)</f>
        <v>2.3809523809523809</v>
      </c>
      <c r="BL49" s="117">
        <f>IF(ISBLANK(V49),"",AX49/Macroindicadores!G$2)</f>
        <v>2.3809523809523809</v>
      </c>
      <c r="BM49" s="117">
        <f>IF(ISBLANK(W49),"",AY49/Macroindicadores!H$2)</f>
        <v>2.3809523809523809</v>
      </c>
      <c r="BN49" s="117">
        <f>IF(ISBLANK(X49),"",AZ49/Macroindicadores!I$2)</f>
        <v>2.3809523809523809</v>
      </c>
      <c r="BO49" s="117">
        <f>IF(ISBLANK(Y49),"",BA49/Macroindicadores!J$2)</f>
        <v>2.3809523809523809</v>
      </c>
      <c r="BP49" s="117">
        <f>IF(ISBLANK(Z49),"",BB49/Macroindicadores!K$2)</f>
        <v>2.3809523809523809</v>
      </c>
      <c r="BQ49" s="117">
        <f>IF(ISBLANK(AA49),"",BC49/Macroindicadores!L$2)</f>
        <v>2.3809523809523809</v>
      </c>
      <c r="BR49" s="117">
        <f>IF(ISBLANK(AB49),"",BD49/Macroindicadores!M$2)</f>
        <v>2.3809523809523809</v>
      </c>
      <c r="BS49" s="118">
        <f>IF(AND(ISBLANK($Q49),ISBLANK($R49),ISBLANK($S49),ISBLANK($T49),ISBLANK($U49),ISBLANK($V49),ISBLANK($W49),ISBLANK($X49),ISBLANK($Y49),ISBLANK($Z49),ISBLANK($AA49),ISBLANK($AB49)),"",SUM(BG49:BR49))</f>
        <v>28.571428571428566</v>
      </c>
      <c r="BT49" s="25" t="str">
        <f>IF(ISBLANK($L49),"",_xlfn.XLOOKUP($L49,'CENTRO CUSTO'!$A:$A,'CENTRO CUSTO'!$E:$E,FALSE,0))</f>
        <v>Custo Fixo</v>
      </c>
    </row>
    <row r="50" spans="1:72">
      <c r="A50" s="9" t="str">
        <f t="shared" si="40"/>
        <v>Budget</v>
      </c>
      <c r="B50" s="9">
        <f t="shared" si="44"/>
        <v>2026</v>
      </c>
      <c r="C50" s="111" t="str">
        <f>IF(ISBLANK($L50),"",_xlfn.XLOOKUP($L50,'CENTRO CUSTO'!$A:$A,'CENTRO CUSTO'!F:F,FALSE,0))</f>
        <v>Martini Meat</v>
      </c>
      <c r="D50" s="111" t="str">
        <f>IF(ISBLANK($L50),"",_xlfn.XLOOKUP($L50,'CENTRO CUSTO'!$A:$A,'CENTRO CUSTO'!G:G,FALSE,0))</f>
        <v>Paranaguá</v>
      </c>
      <c r="E50" s="111" t="str">
        <f>IF(ISBLANK($L50),"",_xlfn.XLOOKUP($L50,'CENTRO CUSTO'!$A:$A,'CENTRO CUSTO'!H:H,FALSE,0))</f>
        <v>Frigorífico</v>
      </c>
      <c r="F50" s="112" t="s">
        <v>114</v>
      </c>
      <c r="G50" s="112" t="s">
        <v>75</v>
      </c>
      <c r="H50" s="112" t="s">
        <v>115</v>
      </c>
      <c r="I50" s="113" t="s">
        <v>77</v>
      </c>
      <c r="J50" s="113" t="s">
        <v>78</v>
      </c>
      <c r="K50" s="113" t="s">
        <v>79</v>
      </c>
      <c r="L50" s="113" t="s">
        <v>15</v>
      </c>
      <c r="M50" s="111" t="str">
        <f>IF(ISBLANK($L50),"",_xlfn.XLOOKUP($L50,'CENTRO CUSTO'!$A:$A,'CENTRO CUSTO'!D:D,FALSE,0))</f>
        <v>Alexandre Ayabe</v>
      </c>
      <c r="N50" s="113" t="s">
        <v>106</v>
      </c>
      <c r="O50" s="114"/>
      <c r="P50" s="113" t="s">
        <v>81</v>
      </c>
      <c r="Q50" s="115">
        <f>300000*Rateio!$E$126/12</f>
        <v>6500</v>
      </c>
      <c r="R50" s="115">
        <f>300000*Rateio!$E$126/12</f>
        <v>6500</v>
      </c>
      <c r="S50" s="115">
        <f>300000*Rateio!$E$126/12</f>
        <v>6500</v>
      </c>
      <c r="T50" s="115">
        <f>300000*Rateio!$E$126/12</f>
        <v>6500</v>
      </c>
      <c r="U50" s="115">
        <f>300000*Rateio!$E$126/12</f>
        <v>6500</v>
      </c>
      <c r="V50" s="115">
        <f>300000*Rateio!$E$126/12</f>
        <v>6500</v>
      </c>
      <c r="W50" s="115">
        <f>300000*Rateio!$E$126/12</f>
        <v>6500</v>
      </c>
      <c r="X50" s="115">
        <f>300000*Rateio!$E$126/12</f>
        <v>6500</v>
      </c>
      <c r="Y50" s="115">
        <f>300000*Rateio!$E$126/12</f>
        <v>6500</v>
      </c>
      <c r="Z50" s="115">
        <f>300000*Rateio!$E$126/12</f>
        <v>6500</v>
      </c>
      <c r="AA50" s="115">
        <f>300000*Rateio!$E$126/12</f>
        <v>6500</v>
      </c>
      <c r="AB50" s="115">
        <f>300000*Rateio!$E$126/12</f>
        <v>6500</v>
      </c>
      <c r="AC50" s="116">
        <f t="shared" si="41"/>
        <v>78000</v>
      </c>
      <c r="AD50" s="108"/>
      <c r="AE50" s="117">
        <f>IF(ISBLANK(Q50),"",IF($P50="BRL",Q50,Q50*Macroindicadores!B$2)/1000)</f>
        <v>6.5</v>
      </c>
      <c r="AF50" s="117">
        <f>IF(ISBLANK(R50),"",IF($P50="BRL",R50,R50*Macroindicadores!C$2)/1000)</f>
        <v>6.5</v>
      </c>
      <c r="AG50" s="117">
        <f>IF(ISBLANK(S50),"",IF($P50="BRL",S50,S50*Macroindicadores!D$2)/1000)</f>
        <v>6.5</v>
      </c>
      <c r="AH50" s="117">
        <f>IF(ISBLANK(T50),"",IF($P50="BRL",T50,T50*Macroindicadores!E$2)/1000)</f>
        <v>6.5</v>
      </c>
      <c r="AI50" s="117">
        <f>IF(ISBLANK(U50),"",IF($P50="BRL",U50,U50*Macroindicadores!F$2)/1000)</f>
        <v>6.5</v>
      </c>
      <c r="AJ50" s="117">
        <f>IF(ISBLANK(V50),"",IF($P50="BRL",V50,V50*Macroindicadores!G$2)/1000)</f>
        <v>6.5</v>
      </c>
      <c r="AK50" s="117">
        <f>IF(ISBLANK(W50),"",IF($P50="BRL",W50,W50*Macroindicadores!H$2)/1000)</f>
        <v>6.5</v>
      </c>
      <c r="AL50" s="117">
        <f>IF(ISBLANK(X50),"",IF($P50="BRL",X50,X50*Macroindicadores!I$2)/1000)</f>
        <v>6.5</v>
      </c>
      <c r="AM50" s="117">
        <f>IF(ISBLANK(Y50),"",IF($P50="BRL",Y50,Y50*Macroindicadores!J$2)/1000)</f>
        <v>6.5</v>
      </c>
      <c r="AN50" s="117">
        <f>IF(ISBLANK(Z50),"",IF($P50="BRL",Z50,Z50*Macroindicadores!K$2)/1000)</f>
        <v>6.5</v>
      </c>
      <c r="AO50" s="117">
        <f>IF(ISBLANK(AA50),"",IF($P50="BRL",AA50,AA50*Macroindicadores!L$2)/1000)</f>
        <v>6.5</v>
      </c>
      <c r="AP50" s="117">
        <f>IF(ISBLANK(AB50),"",IF($P50="BRL",AB50,AB50*Macroindicadores!M$2)/1000)</f>
        <v>6.5</v>
      </c>
      <c r="AQ50" s="118">
        <f t="shared" si="35"/>
        <v>78</v>
      </c>
      <c r="AR50" s="108"/>
      <c r="AS50" s="117">
        <f>IF(ISBLANK(Q50),"",IF(ISBLANK($O50),AE50,IF($J50="ANUAL",AE50*(1+Macroindicadores!B$7),IF(AND($I50="NOVO",MONTH($O50)=MONTH(AS$4)),AE50*(1+Macroindicadores!B$7),IF(AND($J50="PONTUAL",MONTH($O50)=MONTH(AS$4)),AE50*(1+Macroindicadores!B$7),IF(AND($J50="PONTUAL",MONTH($O50)&lt;MONTH(AS$4)),MIN(AR50:$AS50),IF(AND($I50="NOVO",MONTH($O50)&gt;MONTH(AS$4)),AE50,IF(MONTH($O50)&gt;MONTH(AS$4),AE50,IF(MONTH($O50)=MONTH(AS$4),AE50*(1+Macroindicadores!B$7),AR50)))))))))</f>
        <v>6.5</v>
      </c>
      <c r="AT50" s="117">
        <f>IF(ISBLANK(R50),"",IF(ISBLANK($O50),AF50,IF($J50="ANUAL",AF50*(1+Macroindicadores!C$7),IF(AND($I50="NOVO",MONTH($O50)=MONTH(AT$4)),AF50*(1+Macroindicadores!C$7),IF(AND($J50="PONTUAL",MONTH($O50)=MONTH(AT$4)),AF50*(1+Macroindicadores!C$7),IF(AND($J50="PONTUAL",MONTH($O50)&lt;MONTH(AT$4)),MIN($AS50:AS50),IF(AND($I50="NOVO",MONTH($O50)&gt;MONTH(AT$4)),AF50,IF(MONTH($O50)&gt;MONTH(AT$4),AF50,IF(MONTH($O50)=MONTH(AT$4),AF50*(1+Macroindicadores!C$7),AS50)))))))))</f>
        <v>6.5</v>
      </c>
      <c r="AU50" s="117">
        <f>IF(ISBLANK(S50),"",IF(ISBLANK($O50),AG50,IF($J50="ANUAL",AG50*(1+Macroindicadores!D$7),IF(AND($I50="NOVO",MONTH($O50)=MONTH(AU$4)),AG50*(1+Macroindicadores!D$7),IF(AND($J50="PONTUAL",MONTH($O50)=MONTH(AU$4)),AG50*(1+Macroindicadores!D$7),IF(AND($J50="PONTUAL",MONTH($O50)&lt;MONTH(AU$4)),MIN($AS50:AT50),IF(AND($I50="NOVO",MONTH($O50)&gt;MONTH(AU$4)),AG50,IF(MONTH($O50)&gt;MONTH(AU$4),AG50,IF(MONTH($O50)=MONTH(AU$4),AG50*(1+Macroindicadores!D$7),AT50)))))))))</f>
        <v>6.5</v>
      </c>
      <c r="AV50" s="117">
        <f>IF(ISBLANK(T50),"",IF(ISBLANK($O50),AH50,IF($J50="ANUAL",AH50*(1+Macroindicadores!E$7),IF(AND($I50="NOVO",MONTH($O50)=MONTH(AV$4)),AH50*(1+Macroindicadores!E$7),IF(AND($J50="PONTUAL",MONTH($O50)=MONTH(AV$4)),AH50*(1+Macroindicadores!E$7),IF(AND($J50="PONTUAL",MONTH($O50)&lt;MONTH(AV$4)),MIN($AS50:AU50),IF(AND($I50="NOVO",MONTH($O50)&gt;MONTH(AV$4)),AH50,IF(MONTH($O50)&gt;MONTH(AV$4),AH50,IF(MONTH($O50)=MONTH(AV$4),AH50*(1+Macroindicadores!E$7),AU50)))))))))</f>
        <v>6.5</v>
      </c>
      <c r="AW50" s="117">
        <f>IF(ISBLANK(U50),"",IF(ISBLANK($O50),AI50,IF($J50="ANUAL",AI50*(1+Macroindicadores!F$7),IF(AND($I50="NOVO",MONTH($O50)=MONTH(AW$4)),AI50*(1+Macroindicadores!F$7),IF(AND($J50="PONTUAL",MONTH($O50)=MONTH(AW$4)),AI50*(1+Macroindicadores!F$7),IF(AND($J50="PONTUAL",MONTH($O50)&lt;MONTH(AW$4)),MIN($AS50:AV50),IF(AND($I50="NOVO",MONTH($O50)&gt;MONTH(AW$4)),AI50,IF(MONTH($O50)&gt;MONTH(AW$4),AI50,IF(MONTH($O50)=MONTH(AW$4),AI50*(1+Macroindicadores!F$7),AV50)))))))))</f>
        <v>6.5</v>
      </c>
      <c r="AX50" s="117">
        <f>IF(ISBLANK(V50),"",IF(ISBLANK($O50),AJ50,IF($J50="ANUAL",AJ50*(1+Macroindicadores!G$7),IF(AND($I50="NOVO",MONTH($O50)=MONTH(AX$4)),AJ50*(1+Macroindicadores!G$7),IF(AND($J50="PONTUAL",MONTH($O50)=MONTH(AX$4)),AJ50*(1+Macroindicadores!G$7),IF(AND($J50="PONTUAL",MONTH($O50)&lt;MONTH(AX$4)),MIN($AS50:AW50),IF(AND($I50="NOVO",MONTH($O50)&gt;MONTH(AX$4)),AJ50,IF(MONTH($O50)&gt;MONTH(AX$4),AJ50,IF(MONTH($O50)=MONTH(AX$4),AJ50*(1+Macroindicadores!G$7),AW50)))))))))</f>
        <v>6.5</v>
      </c>
      <c r="AY50" s="117">
        <f>IF(ISBLANK(W50),"",IF(ISBLANK($O50),AK50,IF($J50="ANUAL",AK50*(1+Macroindicadores!H$7),IF(AND($I50="NOVO",MONTH($O50)=MONTH(AY$4)),AK50*(1+Macroindicadores!H$7),IF(AND($J50="PONTUAL",MONTH($O50)=MONTH(AY$4)),AK50*(1+Macroindicadores!H$7),IF(AND($J50="PONTUAL",MONTH($O50)&lt;MONTH(AY$4)),MIN($AS50:AX50),IF(AND($I50="NOVO",MONTH($O50)&gt;MONTH(AY$4)),AK50,IF(MONTH($O50)&gt;MONTH(AY$4),AK50,IF(MONTH($O50)=MONTH(AY$4),AK50*(1+Macroindicadores!H$7),AX50)))))))))</f>
        <v>6.5</v>
      </c>
      <c r="AZ50" s="117">
        <f>IF(ISBLANK(X50),"",IF(ISBLANK($O50),AL50,IF($J50="ANUAL",AL50*(1+Macroindicadores!I$7),IF(AND($I50="NOVO",MONTH($O50)=MONTH(AZ$4)),AL50*(1+Macroindicadores!I$7),IF(AND($J50="PONTUAL",MONTH($O50)=MONTH(AZ$4)),AL50*(1+Macroindicadores!I$7),IF(AND($J50="PONTUAL",MONTH($O50)&lt;MONTH(AZ$4)),MIN($AS50:AY50),IF(AND($I50="NOVO",MONTH($O50)&gt;MONTH(AZ$4)),AL50,IF(MONTH($O50)&gt;MONTH(AZ$4),AL50,IF(MONTH($O50)=MONTH(AZ$4),AL50*(1+Macroindicadores!I$7),AY50)))))))))</f>
        <v>6.5</v>
      </c>
      <c r="BA50" s="117">
        <f>IF(ISBLANK(Y50),"",IF(ISBLANK($O50),AM50,IF($J50="ANUAL",AM50*(1+Macroindicadores!J$7),IF(AND($I50="NOVO",MONTH($O50)=MONTH(BA$4)),AM50*(1+Macroindicadores!J$7),IF(AND($J50="PONTUAL",MONTH($O50)=MONTH(BA$4)),AM50*(1+Macroindicadores!J$7),IF(AND($J50="PONTUAL",MONTH($O50)&lt;MONTH(BA$4)),MIN($AS50:AZ50),IF(AND($I50="NOVO",MONTH($O50)&gt;MONTH(BA$4)),AM50,IF(MONTH($O50)&gt;MONTH(BA$4),AM50,IF(MONTH($O50)=MONTH(BA$4),AM50*(1+Macroindicadores!J$7),AZ50)))))))))</f>
        <v>6.5</v>
      </c>
      <c r="BB50" s="117">
        <f>IF(ISBLANK(Z50),"",IF(ISBLANK($O50),AN50,IF($J50="ANUAL",AN50*(1+Macroindicadores!K$7),IF(AND($I50="NOVO",MONTH($O50)=MONTH(BB$4)),AN50*(1+Macroindicadores!K$7),IF(AND($J50="PONTUAL",MONTH($O50)=MONTH(BB$4)),AN50*(1+Macroindicadores!K$7),IF(AND($J50="PONTUAL",MONTH($O50)&lt;MONTH(BB$4)),MIN($AS50:BA50),IF(AND($I50="NOVO",MONTH($O50)&gt;MONTH(BB$4)),AN50,IF(MONTH($O50)&gt;MONTH(BB$4),AN50,IF(MONTH($O50)=MONTH(BB$4),AN50*(1+Macroindicadores!K$7),BA50)))))))))</f>
        <v>6.5</v>
      </c>
      <c r="BC50" s="117">
        <f>IF(ISBLANK(AA50),"",IF(ISBLANK($O50),AO50,IF($J50="ANUAL",AO50*(1+Macroindicadores!L$7),IF(AND($I50="NOVO",MONTH($O50)=MONTH(BC$4)),AO50*(1+Macroindicadores!L$7),IF(AND($J50="PONTUAL",MONTH($O50)=MONTH(BC$4)),AO50*(1+Macroindicadores!L$7),IF(AND($J50="PONTUAL",MONTH($O50)&lt;MONTH(BC$4)),MIN($AS50:BB50),IF(AND($I50="NOVO",MONTH($O50)&gt;MONTH(BC$4)),AO50,IF(MONTH($O50)&gt;MONTH(BC$4),AO50,IF(MONTH($O50)=MONTH(BC$4),AO50*(1+Macroindicadores!L$7),BB50)))))))))</f>
        <v>6.5</v>
      </c>
      <c r="BD50" s="117">
        <f>IF(ISBLANK(AB50),"",IF(ISBLANK($O50),AP50,IF($J50="ANUAL",AP50*(1+Macroindicadores!M$7),IF(AND($I50="NOVO",MONTH($O50)=MONTH(BD$4)),AP50*(1+Macroindicadores!M$7),IF(AND($J50="PONTUAL",MONTH($O50)=MONTH(BD$4)),AP50*(1+Macroindicadores!M$7),IF(AND($J50="PONTUAL",MONTH($O50)&lt;MONTH(BD$4)),MIN($AS50:BC50),IF(AND($I50="NOVO",MONTH($O50)&gt;MONTH(BD$4)),AP50,IF(MONTH($O50)&gt;MONTH(BD$4),AP50,IF(MONTH($O50)=MONTH(BD$4),AP50*(1+Macroindicadores!M$7),BC50)))))))))</f>
        <v>6.5</v>
      </c>
      <c r="BE50" s="118">
        <f t="shared" si="36"/>
        <v>78</v>
      </c>
      <c r="BF50" s="108"/>
      <c r="BG50" s="117">
        <f>IF(ISBLANK(Q50),"",AS50/Macroindicadores!B$2)</f>
        <v>1.1054421768707483</v>
      </c>
      <c r="BH50" s="117">
        <f>IF(ISBLANK(R50),"",AT50/Macroindicadores!C$2)</f>
        <v>1.1054421768707483</v>
      </c>
      <c r="BI50" s="117">
        <f>IF(ISBLANK(S50),"",AU50/Macroindicadores!D$2)</f>
        <v>1.1054421768707483</v>
      </c>
      <c r="BJ50" s="117">
        <f>IF(ISBLANK(T50),"",AV50/Macroindicadores!E$2)</f>
        <v>1.1054421768707483</v>
      </c>
      <c r="BK50" s="117">
        <f>IF(ISBLANK(U50),"",AW50/Macroindicadores!F$2)</f>
        <v>1.1054421768707483</v>
      </c>
      <c r="BL50" s="117">
        <f>IF(ISBLANK(V50),"",AX50/Macroindicadores!G$2)</f>
        <v>1.1054421768707483</v>
      </c>
      <c r="BM50" s="117">
        <f>IF(ISBLANK(W50),"",AY50/Macroindicadores!H$2)</f>
        <v>1.1054421768707483</v>
      </c>
      <c r="BN50" s="117">
        <f>IF(ISBLANK(X50),"",AZ50/Macroindicadores!I$2)</f>
        <v>1.1054421768707483</v>
      </c>
      <c r="BO50" s="117">
        <f>IF(ISBLANK(Y50),"",BA50/Macroindicadores!J$2)</f>
        <v>1.1054421768707483</v>
      </c>
      <c r="BP50" s="117">
        <f>IF(ISBLANK(Z50),"",BB50/Macroindicadores!K$2)</f>
        <v>1.1054421768707483</v>
      </c>
      <c r="BQ50" s="117">
        <f>IF(ISBLANK(AA50),"",BC50/Macroindicadores!L$2)</f>
        <v>1.1054421768707483</v>
      </c>
      <c r="BR50" s="117">
        <f>IF(ISBLANK(AB50),"",BD50/Macroindicadores!M$2)</f>
        <v>1.1054421768707483</v>
      </c>
      <c r="BS50" s="118">
        <f>IF(AND(ISBLANK($Q50),ISBLANK($R50),ISBLANK($S50),ISBLANK($T50),ISBLANK($U50),ISBLANK($V50),ISBLANK($W50),ISBLANK($X50),ISBLANK($Y50),ISBLANK($Z50),ISBLANK($AA50),ISBLANK($AB50)),"",SUM(BG50:BR50))</f>
        <v>13.265306122448983</v>
      </c>
      <c r="BT50" s="25" t="str">
        <f>IF(ISBLANK($L50),"",_xlfn.XLOOKUP($L50,'CENTRO CUSTO'!$A:$A,'CENTRO CUSTO'!$E:$E,FALSE,0))</f>
        <v>Custo Fixo</v>
      </c>
    </row>
    <row r="51" spans="1:72">
      <c r="A51" s="9" t="str">
        <f t="shared" si="40"/>
        <v>Budget</v>
      </c>
      <c r="B51" s="9">
        <f t="shared" si="44"/>
        <v>2026</v>
      </c>
      <c r="C51" s="111" t="str">
        <f>IF(ISBLANK($L51),"",_xlfn.XLOOKUP($L51,'CENTRO CUSTO'!$A:$A,'CENTRO CUSTO'!F:F,FALSE,0))</f>
        <v>Martini Meat</v>
      </c>
      <c r="D51" s="111" t="str">
        <f>IF(ISBLANK($L51),"",_xlfn.XLOOKUP($L51,'CENTRO CUSTO'!$A:$A,'CENTRO CUSTO'!G:G,FALSE,0))</f>
        <v>Paranaguá</v>
      </c>
      <c r="E51" s="111" t="str">
        <f>IF(ISBLANK($L51),"",_xlfn.XLOOKUP($L51,'CENTRO CUSTO'!$A:$A,'CENTRO CUSTO'!H:H,FALSE,0))</f>
        <v>Carga Geral</v>
      </c>
      <c r="F51" s="112" t="s">
        <v>114</v>
      </c>
      <c r="G51" s="112" t="s">
        <v>75</v>
      </c>
      <c r="H51" s="112" t="s">
        <v>115</v>
      </c>
      <c r="I51" s="113" t="s">
        <v>77</v>
      </c>
      <c r="J51" s="113" t="s">
        <v>78</v>
      </c>
      <c r="K51" s="113" t="s">
        <v>79</v>
      </c>
      <c r="L51" s="113" t="s">
        <v>12</v>
      </c>
      <c r="M51" s="111" t="str">
        <f>IF(ISBLANK($L51),"",_xlfn.XLOOKUP($L51,'CENTRO CUSTO'!$A:$A,'CENTRO CUSTO'!D:D,FALSE,0))</f>
        <v>Alexandre Ayabe</v>
      </c>
      <c r="N51" s="113" t="s">
        <v>106</v>
      </c>
      <c r="O51" s="114"/>
      <c r="P51" s="113" t="s">
        <v>81</v>
      </c>
      <c r="Q51" s="115">
        <f>300000*Rateio!$E$125/12</f>
        <v>1500</v>
      </c>
      <c r="R51" s="115">
        <f>300000*Rateio!$E$125/12</f>
        <v>1500</v>
      </c>
      <c r="S51" s="115">
        <f>300000*Rateio!$E$125/12</f>
        <v>1500</v>
      </c>
      <c r="T51" s="115">
        <f>300000*Rateio!$E$125/12</f>
        <v>1500</v>
      </c>
      <c r="U51" s="115">
        <f>300000*Rateio!$E$125/12</f>
        <v>1500</v>
      </c>
      <c r="V51" s="115">
        <f>300000*Rateio!$E$125/12</f>
        <v>1500</v>
      </c>
      <c r="W51" s="115">
        <f>300000*Rateio!$E$125/12</f>
        <v>1500</v>
      </c>
      <c r="X51" s="115">
        <f>300000*Rateio!$E$125/12</f>
        <v>1500</v>
      </c>
      <c r="Y51" s="115">
        <f>300000*Rateio!$E$125/12</f>
        <v>1500</v>
      </c>
      <c r="Z51" s="115">
        <f>300000*Rateio!$E$125/12</f>
        <v>1500</v>
      </c>
      <c r="AA51" s="115">
        <f>300000*Rateio!$E$125/12</f>
        <v>1500</v>
      </c>
      <c r="AB51" s="115">
        <f>300000*Rateio!$E$125/12</f>
        <v>1500</v>
      </c>
      <c r="AC51" s="116">
        <f t="shared" si="41"/>
        <v>18000</v>
      </c>
      <c r="AD51" s="108"/>
      <c r="AE51" s="117">
        <f>IF(ISBLANK(Q51),"",IF($P51="BRL",Q51,Q51*Macroindicadores!B$2)/1000)</f>
        <v>1.5</v>
      </c>
      <c r="AF51" s="117">
        <f>IF(ISBLANK(R51),"",IF($P51="BRL",R51,R51*Macroindicadores!C$2)/1000)</f>
        <v>1.5</v>
      </c>
      <c r="AG51" s="117">
        <f>IF(ISBLANK(S51),"",IF($P51="BRL",S51,S51*Macroindicadores!D$2)/1000)</f>
        <v>1.5</v>
      </c>
      <c r="AH51" s="117">
        <f>IF(ISBLANK(T51),"",IF($P51="BRL",T51,T51*Macroindicadores!E$2)/1000)</f>
        <v>1.5</v>
      </c>
      <c r="AI51" s="117">
        <f>IF(ISBLANK(U51),"",IF($P51="BRL",U51,U51*Macroindicadores!F$2)/1000)</f>
        <v>1.5</v>
      </c>
      <c r="AJ51" s="117">
        <f>IF(ISBLANK(V51),"",IF($P51="BRL",V51,V51*Macroindicadores!G$2)/1000)</f>
        <v>1.5</v>
      </c>
      <c r="AK51" s="117">
        <f>IF(ISBLANK(W51),"",IF($P51="BRL",W51,W51*Macroindicadores!H$2)/1000)</f>
        <v>1.5</v>
      </c>
      <c r="AL51" s="117">
        <f>IF(ISBLANK(X51),"",IF($P51="BRL",X51,X51*Macroindicadores!I$2)/1000)</f>
        <v>1.5</v>
      </c>
      <c r="AM51" s="117">
        <f>IF(ISBLANK(Y51),"",IF($P51="BRL",Y51,Y51*Macroindicadores!J$2)/1000)</f>
        <v>1.5</v>
      </c>
      <c r="AN51" s="117">
        <f>IF(ISBLANK(Z51),"",IF($P51="BRL",Z51,Z51*Macroindicadores!K$2)/1000)</f>
        <v>1.5</v>
      </c>
      <c r="AO51" s="117">
        <f>IF(ISBLANK(AA51),"",IF($P51="BRL",AA51,AA51*Macroindicadores!L$2)/1000)</f>
        <v>1.5</v>
      </c>
      <c r="AP51" s="117">
        <f>IF(ISBLANK(AB51),"",IF($P51="BRL",AB51,AB51*Macroindicadores!M$2)/1000)</f>
        <v>1.5</v>
      </c>
      <c r="AQ51" s="118">
        <f t="shared" si="35"/>
        <v>18</v>
      </c>
      <c r="AR51" s="108"/>
      <c r="AS51" s="117">
        <f>IF(ISBLANK(Q51),"",IF(ISBLANK($O51),AE51,IF($J51="ANUAL",AE51*(1+Macroindicadores!B$7),IF(AND($I51="NOVO",MONTH($O51)=MONTH(AS$4)),AE51*(1+Macroindicadores!B$7),IF(AND($J51="PONTUAL",MONTH($O51)=MONTH(AS$4)),AE51*(1+Macroindicadores!B$7),IF(AND($J51="PONTUAL",MONTH($O51)&lt;MONTH(AS$4)),MIN(AR51:$AS51),IF(AND($I51="NOVO",MONTH($O51)&gt;MONTH(AS$4)),AE51,IF(MONTH($O51)&gt;MONTH(AS$4),AE51,IF(MONTH($O51)=MONTH(AS$4),AE51*(1+Macroindicadores!B$7),AR51)))))))))</f>
        <v>1.5</v>
      </c>
      <c r="AT51" s="117">
        <f>IF(ISBLANK(R51),"",IF(ISBLANK($O51),AF51,IF($J51="ANUAL",AF51*(1+Macroindicadores!C$7),IF(AND($I51="NOVO",MONTH($O51)=MONTH(AT$4)),AF51*(1+Macroindicadores!C$7),IF(AND($J51="PONTUAL",MONTH($O51)=MONTH(AT$4)),AF51*(1+Macroindicadores!C$7),IF(AND($J51="PONTUAL",MONTH($O51)&lt;MONTH(AT$4)),MIN($AS51:AS51),IF(AND($I51="NOVO",MONTH($O51)&gt;MONTH(AT$4)),AF51,IF(MONTH($O51)&gt;MONTH(AT$4),AF51,IF(MONTH($O51)=MONTH(AT$4),AF51*(1+Macroindicadores!C$7),AS51)))))))))</f>
        <v>1.5</v>
      </c>
      <c r="AU51" s="117">
        <f>IF(ISBLANK(S51),"",IF(ISBLANK($O51),AG51,IF($J51="ANUAL",AG51*(1+Macroindicadores!D$7),IF(AND($I51="NOVO",MONTH($O51)=MONTH(AU$4)),AG51*(1+Macroindicadores!D$7),IF(AND($J51="PONTUAL",MONTH($O51)=MONTH(AU$4)),AG51*(1+Macroindicadores!D$7),IF(AND($J51="PONTUAL",MONTH($O51)&lt;MONTH(AU$4)),MIN($AS51:AT51),IF(AND($I51="NOVO",MONTH($O51)&gt;MONTH(AU$4)),AG51,IF(MONTH($O51)&gt;MONTH(AU$4),AG51,IF(MONTH($O51)=MONTH(AU$4),AG51*(1+Macroindicadores!D$7),AT51)))))))))</f>
        <v>1.5</v>
      </c>
      <c r="AV51" s="117">
        <f>IF(ISBLANK(T51),"",IF(ISBLANK($O51),AH51,IF($J51="ANUAL",AH51*(1+Macroindicadores!E$7),IF(AND($I51="NOVO",MONTH($O51)=MONTH(AV$4)),AH51*(1+Macroindicadores!E$7),IF(AND($J51="PONTUAL",MONTH($O51)=MONTH(AV$4)),AH51*(1+Macroindicadores!E$7),IF(AND($J51="PONTUAL",MONTH($O51)&lt;MONTH(AV$4)),MIN($AS51:AU51),IF(AND($I51="NOVO",MONTH($O51)&gt;MONTH(AV$4)),AH51,IF(MONTH($O51)&gt;MONTH(AV$4),AH51,IF(MONTH($O51)=MONTH(AV$4),AH51*(1+Macroindicadores!E$7),AU51)))))))))</f>
        <v>1.5</v>
      </c>
      <c r="AW51" s="117">
        <f>IF(ISBLANK(U51),"",IF(ISBLANK($O51),AI51,IF($J51="ANUAL",AI51*(1+Macroindicadores!F$7),IF(AND($I51="NOVO",MONTH($O51)=MONTH(AW$4)),AI51*(1+Macroindicadores!F$7),IF(AND($J51="PONTUAL",MONTH($O51)=MONTH(AW$4)),AI51*(1+Macroindicadores!F$7),IF(AND($J51="PONTUAL",MONTH($O51)&lt;MONTH(AW$4)),MIN($AS51:AV51),IF(AND($I51="NOVO",MONTH($O51)&gt;MONTH(AW$4)),AI51,IF(MONTH($O51)&gt;MONTH(AW$4),AI51,IF(MONTH($O51)=MONTH(AW$4),AI51*(1+Macroindicadores!F$7),AV51)))))))))</f>
        <v>1.5</v>
      </c>
      <c r="AX51" s="117">
        <f>IF(ISBLANK(V51),"",IF(ISBLANK($O51),AJ51,IF($J51="ANUAL",AJ51*(1+Macroindicadores!G$7),IF(AND($I51="NOVO",MONTH($O51)=MONTH(AX$4)),AJ51*(1+Macroindicadores!G$7),IF(AND($J51="PONTUAL",MONTH($O51)=MONTH(AX$4)),AJ51*(1+Macroindicadores!G$7),IF(AND($J51="PONTUAL",MONTH($O51)&lt;MONTH(AX$4)),MIN($AS51:AW51),IF(AND($I51="NOVO",MONTH($O51)&gt;MONTH(AX$4)),AJ51,IF(MONTH($O51)&gt;MONTH(AX$4),AJ51,IF(MONTH($O51)=MONTH(AX$4),AJ51*(1+Macroindicadores!G$7),AW51)))))))))</f>
        <v>1.5</v>
      </c>
      <c r="AY51" s="117">
        <f>IF(ISBLANK(W51),"",IF(ISBLANK($O51),AK51,IF($J51="ANUAL",AK51*(1+Macroindicadores!H$7),IF(AND($I51="NOVO",MONTH($O51)=MONTH(AY$4)),AK51*(1+Macroindicadores!H$7),IF(AND($J51="PONTUAL",MONTH($O51)=MONTH(AY$4)),AK51*(1+Macroindicadores!H$7),IF(AND($J51="PONTUAL",MONTH($O51)&lt;MONTH(AY$4)),MIN($AS51:AX51),IF(AND($I51="NOVO",MONTH($O51)&gt;MONTH(AY$4)),AK51,IF(MONTH($O51)&gt;MONTH(AY$4),AK51,IF(MONTH($O51)=MONTH(AY$4),AK51*(1+Macroindicadores!H$7),AX51)))))))))</f>
        <v>1.5</v>
      </c>
      <c r="AZ51" s="117">
        <f>IF(ISBLANK(X51),"",IF(ISBLANK($O51),AL51,IF($J51="ANUAL",AL51*(1+Macroindicadores!I$7),IF(AND($I51="NOVO",MONTH($O51)=MONTH(AZ$4)),AL51*(1+Macroindicadores!I$7),IF(AND($J51="PONTUAL",MONTH($O51)=MONTH(AZ$4)),AL51*(1+Macroindicadores!I$7),IF(AND($J51="PONTUAL",MONTH($O51)&lt;MONTH(AZ$4)),MIN($AS51:AY51),IF(AND($I51="NOVO",MONTH($O51)&gt;MONTH(AZ$4)),AL51,IF(MONTH($O51)&gt;MONTH(AZ$4),AL51,IF(MONTH($O51)=MONTH(AZ$4),AL51*(1+Macroindicadores!I$7),AY51)))))))))</f>
        <v>1.5</v>
      </c>
      <c r="BA51" s="117">
        <f>IF(ISBLANK(Y51),"",IF(ISBLANK($O51),AM51,IF($J51="ANUAL",AM51*(1+Macroindicadores!J$7),IF(AND($I51="NOVO",MONTH($O51)=MONTH(BA$4)),AM51*(1+Macroindicadores!J$7),IF(AND($J51="PONTUAL",MONTH($O51)=MONTH(BA$4)),AM51*(1+Macroindicadores!J$7),IF(AND($J51="PONTUAL",MONTH($O51)&lt;MONTH(BA$4)),MIN($AS51:AZ51),IF(AND($I51="NOVO",MONTH($O51)&gt;MONTH(BA$4)),AM51,IF(MONTH($O51)&gt;MONTH(BA$4),AM51,IF(MONTH($O51)=MONTH(BA$4),AM51*(1+Macroindicadores!J$7),AZ51)))))))))</f>
        <v>1.5</v>
      </c>
      <c r="BB51" s="117">
        <f>IF(ISBLANK(Z51),"",IF(ISBLANK($O51),AN51,IF($J51="ANUAL",AN51*(1+Macroindicadores!K$7),IF(AND($I51="NOVO",MONTH($O51)=MONTH(BB$4)),AN51*(1+Macroindicadores!K$7),IF(AND($J51="PONTUAL",MONTH($O51)=MONTH(BB$4)),AN51*(1+Macroindicadores!K$7),IF(AND($J51="PONTUAL",MONTH($O51)&lt;MONTH(BB$4)),MIN($AS51:BA51),IF(AND($I51="NOVO",MONTH($O51)&gt;MONTH(BB$4)),AN51,IF(MONTH($O51)&gt;MONTH(BB$4),AN51,IF(MONTH($O51)=MONTH(BB$4),AN51*(1+Macroindicadores!K$7),BA51)))))))))</f>
        <v>1.5</v>
      </c>
      <c r="BC51" s="117">
        <f>IF(ISBLANK(AA51),"",IF(ISBLANK($O51),AO51,IF($J51="ANUAL",AO51*(1+Macroindicadores!L$7),IF(AND($I51="NOVO",MONTH($O51)=MONTH(BC$4)),AO51*(1+Macroindicadores!L$7),IF(AND($J51="PONTUAL",MONTH($O51)=MONTH(BC$4)),AO51*(1+Macroindicadores!L$7),IF(AND($J51="PONTUAL",MONTH($O51)&lt;MONTH(BC$4)),MIN($AS51:BB51),IF(AND($I51="NOVO",MONTH($O51)&gt;MONTH(BC$4)),AO51,IF(MONTH($O51)&gt;MONTH(BC$4),AO51,IF(MONTH($O51)=MONTH(BC$4),AO51*(1+Macroindicadores!L$7),BB51)))))))))</f>
        <v>1.5</v>
      </c>
      <c r="BD51" s="117">
        <f>IF(ISBLANK(AB51),"",IF(ISBLANK($O51),AP51,IF($J51="ANUAL",AP51*(1+Macroindicadores!M$7),IF(AND($I51="NOVO",MONTH($O51)=MONTH(BD$4)),AP51*(1+Macroindicadores!M$7),IF(AND($J51="PONTUAL",MONTH($O51)=MONTH(BD$4)),AP51*(1+Macroindicadores!M$7),IF(AND($J51="PONTUAL",MONTH($O51)&lt;MONTH(BD$4)),MIN($AS51:BC51),IF(AND($I51="NOVO",MONTH($O51)&gt;MONTH(BD$4)),AP51,IF(MONTH($O51)&gt;MONTH(BD$4),AP51,IF(MONTH($O51)=MONTH(BD$4),AP51*(1+Macroindicadores!M$7),BC51)))))))))</f>
        <v>1.5</v>
      </c>
      <c r="BE51" s="118">
        <f t="shared" si="36"/>
        <v>18</v>
      </c>
      <c r="BF51" s="108"/>
      <c r="BG51" s="117">
        <f>IF(ISBLANK(Q51),"",AS51/Macroindicadores!B$2)</f>
        <v>0.25510204081632654</v>
      </c>
      <c r="BH51" s="117">
        <f>IF(ISBLANK(R51),"",AT51/Macroindicadores!C$2)</f>
        <v>0.25510204081632654</v>
      </c>
      <c r="BI51" s="117">
        <f>IF(ISBLANK(S51),"",AU51/Macroindicadores!D$2)</f>
        <v>0.25510204081632654</v>
      </c>
      <c r="BJ51" s="117">
        <f>IF(ISBLANK(T51),"",AV51/Macroindicadores!E$2)</f>
        <v>0.25510204081632654</v>
      </c>
      <c r="BK51" s="117">
        <f>IF(ISBLANK(U51),"",AW51/Macroindicadores!F$2)</f>
        <v>0.25510204081632654</v>
      </c>
      <c r="BL51" s="117">
        <f>IF(ISBLANK(V51),"",AX51/Macroindicadores!G$2)</f>
        <v>0.25510204081632654</v>
      </c>
      <c r="BM51" s="117">
        <f>IF(ISBLANK(W51),"",AY51/Macroindicadores!H$2)</f>
        <v>0.25510204081632654</v>
      </c>
      <c r="BN51" s="117">
        <f>IF(ISBLANK(X51),"",AZ51/Macroindicadores!I$2)</f>
        <v>0.25510204081632654</v>
      </c>
      <c r="BO51" s="117">
        <f>IF(ISBLANK(Y51),"",BA51/Macroindicadores!J$2)</f>
        <v>0.25510204081632654</v>
      </c>
      <c r="BP51" s="117">
        <f>IF(ISBLANK(Z51),"",BB51/Macroindicadores!K$2)</f>
        <v>0.25510204081632654</v>
      </c>
      <c r="BQ51" s="117">
        <f>IF(ISBLANK(AA51),"",BC51/Macroindicadores!L$2)</f>
        <v>0.25510204081632654</v>
      </c>
      <c r="BR51" s="117">
        <f>IF(ISBLANK(AB51),"",BD51/Macroindicadores!M$2)</f>
        <v>0.25510204081632654</v>
      </c>
      <c r="BS51" s="118">
        <f>IF(AND(ISBLANK($Q51),ISBLANK($R51),ISBLANK($S51),ISBLANK($T51),ISBLANK($U51),ISBLANK($V51),ISBLANK($W51),ISBLANK($X51),ISBLANK($Y51),ISBLANK($Z51),ISBLANK($AA51),ISBLANK($AB51)),"",SUM(BG51:BR51))</f>
        <v>3.0612244897959191</v>
      </c>
      <c r="BT51" s="25" t="str">
        <f>IF(ISBLANK($L51),"",_xlfn.XLOOKUP($L51,'CENTRO CUSTO'!$A:$A,'CENTRO CUSTO'!$E:$E,FALSE,0))</f>
        <v>Custo Fixo</v>
      </c>
    </row>
    <row r="52" spans="1:72">
      <c r="A52" s="9" t="str">
        <f t="shared" si="40"/>
        <v>Budget</v>
      </c>
      <c r="B52" s="9">
        <f t="shared" si="44"/>
        <v>2026</v>
      </c>
      <c r="C52" s="111" t="str">
        <f>IF(ISBLANK($L52),"",_xlfn.XLOOKUP($L52,'CENTRO CUSTO'!$A:$A,'CENTRO CUSTO'!F:F,FALSE,0))</f>
        <v>Martini Meat</v>
      </c>
      <c r="D52" s="111" t="str">
        <f>IF(ISBLANK($L52),"",_xlfn.XLOOKUP($L52,'CENTRO CUSTO'!$A:$A,'CENTRO CUSTO'!G:G,FALSE,0))</f>
        <v>Itajaí</v>
      </c>
      <c r="E52" s="111" t="str">
        <f>IF(ISBLANK($L52),"",_xlfn.XLOOKUP($L52,'CENTRO CUSTO'!$A:$A,'CENTRO CUSTO'!H:H,FALSE,0))</f>
        <v>Frigorífico</v>
      </c>
      <c r="F52" s="112" t="s">
        <v>114</v>
      </c>
      <c r="G52" s="112" t="s">
        <v>75</v>
      </c>
      <c r="H52" s="112" t="s">
        <v>115</v>
      </c>
      <c r="I52" s="113" t="s">
        <v>77</v>
      </c>
      <c r="J52" s="113" t="s">
        <v>78</v>
      </c>
      <c r="K52" s="113" t="s">
        <v>79</v>
      </c>
      <c r="L52" s="113" t="s">
        <v>27</v>
      </c>
      <c r="M52" s="111" t="str">
        <f>IF(ISBLANK($L52),"",_xlfn.XLOOKUP($L52,'CENTRO CUSTO'!$A:$A,'CENTRO CUSTO'!D:D,FALSE,0))</f>
        <v>Alexandre Ayabe</v>
      </c>
      <c r="N52" s="113" t="s">
        <v>106</v>
      </c>
      <c r="O52" s="114"/>
      <c r="P52" s="113" t="s">
        <v>81</v>
      </c>
      <c r="Q52" s="115">
        <f>300000*Rateio!$E$134/12</f>
        <v>3750</v>
      </c>
      <c r="R52" s="115">
        <f>300000*Rateio!$E$134/12</f>
        <v>3750</v>
      </c>
      <c r="S52" s="115">
        <f>300000*Rateio!$E$134/12</f>
        <v>3750</v>
      </c>
      <c r="T52" s="115">
        <f>300000*Rateio!$E$134/12</f>
        <v>3750</v>
      </c>
      <c r="U52" s="115">
        <f>300000*Rateio!$E$134/12</f>
        <v>3750</v>
      </c>
      <c r="V52" s="115">
        <f>300000*Rateio!$E$134/12</f>
        <v>3750</v>
      </c>
      <c r="W52" s="115">
        <f>300000*Rateio!$E$134/12</f>
        <v>3750</v>
      </c>
      <c r="X52" s="115">
        <f>300000*Rateio!$E$134/12</f>
        <v>3750</v>
      </c>
      <c r="Y52" s="115">
        <f>300000*Rateio!$E$134/12</f>
        <v>3750</v>
      </c>
      <c r="Z52" s="115">
        <f>300000*Rateio!$E$134/12</f>
        <v>3750</v>
      </c>
      <c r="AA52" s="115">
        <f>300000*Rateio!$E$134/12</f>
        <v>3750</v>
      </c>
      <c r="AB52" s="115">
        <f>300000*Rateio!$E$134/12</f>
        <v>3750</v>
      </c>
      <c r="AC52" s="116">
        <f t="shared" si="41"/>
        <v>45000</v>
      </c>
      <c r="AD52" s="108"/>
      <c r="AE52" s="117">
        <f>IF(ISBLANK(Q52),"",IF($P52="BRL",Q52,Q52*Macroindicadores!B$2)/1000)</f>
        <v>3.75</v>
      </c>
      <c r="AF52" s="117">
        <f>IF(ISBLANK(R52),"",IF($P52="BRL",R52,R52*Macroindicadores!C$2)/1000)</f>
        <v>3.75</v>
      </c>
      <c r="AG52" s="117">
        <f>IF(ISBLANK(S52),"",IF($P52="BRL",S52,S52*Macroindicadores!D$2)/1000)</f>
        <v>3.75</v>
      </c>
      <c r="AH52" s="117">
        <f>IF(ISBLANK(T52),"",IF($P52="BRL",T52,T52*Macroindicadores!E$2)/1000)</f>
        <v>3.75</v>
      </c>
      <c r="AI52" s="117">
        <f>IF(ISBLANK(U52),"",IF($P52="BRL",U52,U52*Macroindicadores!F$2)/1000)</f>
        <v>3.75</v>
      </c>
      <c r="AJ52" s="117">
        <f>IF(ISBLANK(V52),"",IF($P52="BRL",V52,V52*Macroindicadores!G$2)/1000)</f>
        <v>3.75</v>
      </c>
      <c r="AK52" s="117">
        <f>IF(ISBLANK(W52),"",IF($P52="BRL",W52,W52*Macroindicadores!H$2)/1000)</f>
        <v>3.75</v>
      </c>
      <c r="AL52" s="117">
        <f>IF(ISBLANK(X52),"",IF($P52="BRL",X52,X52*Macroindicadores!I$2)/1000)</f>
        <v>3.75</v>
      </c>
      <c r="AM52" s="117">
        <f>IF(ISBLANK(Y52),"",IF($P52="BRL",Y52,Y52*Macroindicadores!J$2)/1000)</f>
        <v>3.75</v>
      </c>
      <c r="AN52" s="117">
        <f>IF(ISBLANK(Z52),"",IF($P52="BRL",Z52,Z52*Macroindicadores!K$2)/1000)</f>
        <v>3.75</v>
      </c>
      <c r="AO52" s="117">
        <f>IF(ISBLANK(AA52),"",IF($P52="BRL",AA52,AA52*Macroindicadores!L$2)/1000)</f>
        <v>3.75</v>
      </c>
      <c r="AP52" s="117">
        <f>IF(ISBLANK(AB52),"",IF($P52="BRL",AB52,AB52*Macroindicadores!M$2)/1000)</f>
        <v>3.75</v>
      </c>
      <c r="AQ52" s="118">
        <f t="shared" si="35"/>
        <v>45</v>
      </c>
      <c r="AR52" s="108"/>
      <c r="AS52" s="117">
        <f>IF(ISBLANK(Q52),"",IF(ISBLANK($O52),AE52,IF($J52="ANUAL",AE52*(1+Macroindicadores!B$7),IF(AND($I52="NOVO",MONTH($O52)=MONTH(AS$4)),AE52*(1+Macroindicadores!B$7),IF(AND($J52="PONTUAL",MONTH($O52)=MONTH(AS$4)),AE52*(1+Macroindicadores!B$7),IF(AND($J52="PONTUAL",MONTH($O52)&lt;MONTH(AS$4)),MIN(AR52:$AS52),IF(AND($I52="NOVO",MONTH($O52)&gt;MONTH(AS$4)),AE52,IF(MONTH($O52)&gt;MONTH(AS$4),AE52,IF(MONTH($O52)=MONTH(AS$4),AE52*(1+Macroindicadores!B$7),AR52)))))))))</f>
        <v>3.75</v>
      </c>
      <c r="AT52" s="117">
        <f>IF(ISBLANK(R52),"",IF(ISBLANK($O52),AF52,IF($J52="ANUAL",AF52*(1+Macroindicadores!C$7),IF(AND($I52="NOVO",MONTH($O52)=MONTH(AT$4)),AF52*(1+Macroindicadores!C$7),IF(AND($J52="PONTUAL",MONTH($O52)=MONTH(AT$4)),AF52*(1+Macroindicadores!C$7),IF(AND($J52="PONTUAL",MONTH($O52)&lt;MONTH(AT$4)),MIN($AS52:AS52),IF(AND($I52="NOVO",MONTH($O52)&gt;MONTH(AT$4)),AF52,IF(MONTH($O52)&gt;MONTH(AT$4),AF52,IF(MONTH($O52)=MONTH(AT$4),AF52*(1+Macroindicadores!C$7),AS52)))))))))</f>
        <v>3.75</v>
      </c>
      <c r="AU52" s="117">
        <f>IF(ISBLANK(S52),"",IF(ISBLANK($O52),AG52,IF($J52="ANUAL",AG52*(1+Macroindicadores!D$7),IF(AND($I52="NOVO",MONTH($O52)=MONTH(AU$4)),AG52*(1+Macroindicadores!D$7),IF(AND($J52="PONTUAL",MONTH($O52)=MONTH(AU$4)),AG52*(1+Macroindicadores!D$7),IF(AND($J52="PONTUAL",MONTH($O52)&lt;MONTH(AU$4)),MIN($AS52:AT52),IF(AND($I52="NOVO",MONTH($O52)&gt;MONTH(AU$4)),AG52,IF(MONTH($O52)&gt;MONTH(AU$4),AG52,IF(MONTH($O52)=MONTH(AU$4),AG52*(1+Macroindicadores!D$7),AT52)))))))))</f>
        <v>3.75</v>
      </c>
      <c r="AV52" s="117">
        <f>IF(ISBLANK(T52),"",IF(ISBLANK($O52),AH52,IF($J52="ANUAL",AH52*(1+Macroindicadores!E$7),IF(AND($I52="NOVO",MONTH($O52)=MONTH(AV$4)),AH52*(1+Macroindicadores!E$7),IF(AND($J52="PONTUAL",MONTH($O52)=MONTH(AV$4)),AH52*(1+Macroindicadores!E$7),IF(AND($J52="PONTUAL",MONTH($O52)&lt;MONTH(AV$4)),MIN($AS52:AU52),IF(AND($I52="NOVO",MONTH($O52)&gt;MONTH(AV$4)),AH52,IF(MONTH($O52)&gt;MONTH(AV$4),AH52,IF(MONTH($O52)=MONTH(AV$4),AH52*(1+Macroindicadores!E$7),AU52)))))))))</f>
        <v>3.75</v>
      </c>
      <c r="AW52" s="117">
        <f>IF(ISBLANK(U52),"",IF(ISBLANK($O52),AI52,IF($J52="ANUAL",AI52*(1+Macroindicadores!F$7),IF(AND($I52="NOVO",MONTH($O52)=MONTH(AW$4)),AI52*(1+Macroindicadores!F$7),IF(AND($J52="PONTUAL",MONTH($O52)=MONTH(AW$4)),AI52*(1+Macroindicadores!F$7),IF(AND($J52="PONTUAL",MONTH($O52)&lt;MONTH(AW$4)),MIN($AS52:AV52),IF(AND($I52="NOVO",MONTH($O52)&gt;MONTH(AW$4)),AI52,IF(MONTH($O52)&gt;MONTH(AW$4),AI52,IF(MONTH($O52)=MONTH(AW$4),AI52*(1+Macroindicadores!F$7),AV52)))))))))</f>
        <v>3.75</v>
      </c>
      <c r="AX52" s="117">
        <f>IF(ISBLANK(V52),"",IF(ISBLANK($O52),AJ52,IF($J52="ANUAL",AJ52*(1+Macroindicadores!G$7),IF(AND($I52="NOVO",MONTH($O52)=MONTH(AX$4)),AJ52*(1+Macroindicadores!G$7),IF(AND($J52="PONTUAL",MONTH($O52)=MONTH(AX$4)),AJ52*(1+Macroindicadores!G$7),IF(AND($J52="PONTUAL",MONTH($O52)&lt;MONTH(AX$4)),MIN($AS52:AW52),IF(AND($I52="NOVO",MONTH($O52)&gt;MONTH(AX$4)),AJ52,IF(MONTH($O52)&gt;MONTH(AX$4),AJ52,IF(MONTH($O52)=MONTH(AX$4),AJ52*(1+Macroindicadores!G$7),AW52)))))))))</f>
        <v>3.75</v>
      </c>
      <c r="AY52" s="117">
        <f>IF(ISBLANK(W52),"",IF(ISBLANK($O52),AK52,IF($J52="ANUAL",AK52*(1+Macroindicadores!H$7),IF(AND($I52="NOVO",MONTH($O52)=MONTH(AY$4)),AK52*(1+Macroindicadores!H$7),IF(AND($J52="PONTUAL",MONTH($O52)=MONTH(AY$4)),AK52*(1+Macroindicadores!H$7),IF(AND($J52="PONTUAL",MONTH($O52)&lt;MONTH(AY$4)),MIN($AS52:AX52),IF(AND($I52="NOVO",MONTH($O52)&gt;MONTH(AY$4)),AK52,IF(MONTH($O52)&gt;MONTH(AY$4),AK52,IF(MONTH($O52)=MONTH(AY$4),AK52*(1+Macroindicadores!H$7),AX52)))))))))</f>
        <v>3.75</v>
      </c>
      <c r="AZ52" s="117">
        <f>IF(ISBLANK(X52),"",IF(ISBLANK($O52),AL52,IF($J52="ANUAL",AL52*(1+Macroindicadores!I$7),IF(AND($I52="NOVO",MONTH($O52)=MONTH(AZ$4)),AL52*(1+Macroindicadores!I$7),IF(AND($J52="PONTUAL",MONTH($O52)=MONTH(AZ$4)),AL52*(1+Macroindicadores!I$7),IF(AND($J52="PONTUAL",MONTH($O52)&lt;MONTH(AZ$4)),MIN($AS52:AY52),IF(AND($I52="NOVO",MONTH($O52)&gt;MONTH(AZ$4)),AL52,IF(MONTH($O52)&gt;MONTH(AZ$4),AL52,IF(MONTH($O52)=MONTH(AZ$4),AL52*(1+Macroindicadores!I$7),AY52)))))))))</f>
        <v>3.75</v>
      </c>
      <c r="BA52" s="117">
        <f>IF(ISBLANK(Y52),"",IF(ISBLANK($O52),AM52,IF($J52="ANUAL",AM52*(1+Macroindicadores!J$7),IF(AND($I52="NOVO",MONTH($O52)=MONTH(BA$4)),AM52*(1+Macroindicadores!J$7),IF(AND($J52="PONTUAL",MONTH($O52)=MONTH(BA$4)),AM52*(1+Macroindicadores!J$7),IF(AND($J52="PONTUAL",MONTH($O52)&lt;MONTH(BA$4)),MIN($AS52:AZ52),IF(AND($I52="NOVO",MONTH($O52)&gt;MONTH(BA$4)),AM52,IF(MONTH($O52)&gt;MONTH(BA$4),AM52,IF(MONTH($O52)=MONTH(BA$4),AM52*(1+Macroindicadores!J$7),AZ52)))))))))</f>
        <v>3.75</v>
      </c>
      <c r="BB52" s="117">
        <f>IF(ISBLANK(Z52),"",IF(ISBLANK($O52),AN52,IF($J52="ANUAL",AN52*(1+Macroindicadores!K$7),IF(AND($I52="NOVO",MONTH($O52)=MONTH(BB$4)),AN52*(1+Macroindicadores!K$7),IF(AND($J52="PONTUAL",MONTH($O52)=MONTH(BB$4)),AN52*(1+Macroindicadores!K$7),IF(AND($J52="PONTUAL",MONTH($O52)&lt;MONTH(BB$4)),MIN($AS52:BA52),IF(AND($I52="NOVO",MONTH($O52)&gt;MONTH(BB$4)),AN52,IF(MONTH($O52)&gt;MONTH(BB$4),AN52,IF(MONTH($O52)=MONTH(BB$4),AN52*(1+Macroindicadores!K$7),BA52)))))))))</f>
        <v>3.75</v>
      </c>
      <c r="BC52" s="117">
        <f>IF(ISBLANK(AA52),"",IF(ISBLANK($O52),AO52,IF($J52="ANUAL",AO52*(1+Macroindicadores!L$7),IF(AND($I52="NOVO",MONTH($O52)=MONTH(BC$4)),AO52*(1+Macroindicadores!L$7),IF(AND($J52="PONTUAL",MONTH($O52)=MONTH(BC$4)),AO52*(1+Macroindicadores!L$7),IF(AND($J52="PONTUAL",MONTH($O52)&lt;MONTH(BC$4)),MIN($AS52:BB52),IF(AND($I52="NOVO",MONTH($O52)&gt;MONTH(BC$4)),AO52,IF(MONTH($O52)&gt;MONTH(BC$4),AO52,IF(MONTH($O52)=MONTH(BC$4),AO52*(1+Macroindicadores!L$7),BB52)))))))))</f>
        <v>3.75</v>
      </c>
      <c r="BD52" s="117">
        <f>IF(ISBLANK(AB52),"",IF(ISBLANK($O52),AP52,IF($J52="ANUAL",AP52*(1+Macroindicadores!M$7),IF(AND($I52="NOVO",MONTH($O52)=MONTH(BD$4)),AP52*(1+Macroindicadores!M$7),IF(AND($J52="PONTUAL",MONTH($O52)=MONTH(BD$4)),AP52*(1+Macroindicadores!M$7),IF(AND($J52="PONTUAL",MONTH($O52)&lt;MONTH(BD$4)),MIN($AS52:BC52),IF(AND($I52="NOVO",MONTH($O52)&gt;MONTH(BD$4)),AP52,IF(MONTH($O52)&gt;MONTH(BD$4),AP52,IF(MONTH($O52)=MONTH(BD$4),AP52*(1+Macroindicadores!M$7),BC52)))))))))</f>
        <v>3.75</v>
      </c>
      <c r="BE52" s="118">
        <f t="shared" si="36"/>
        <v>45</v>
      </c>
      <c r="BF52" s="108"/>
      <c r="BG52" s="117">
        <f>IF(ISBLANK(Q52),"",AS52/Macroindicadores!B$2)</f>
        <v>0.63775510204081631</v>
      </c>
      <c r="BH52" s="117">
        <f>IF(ISBLANK(R52),"",AT52/Macroindicadores!C$2)</f>
        <v>0.63775510204081631</v>
      </c>
      <c r="BI52" s="117">
        <f>IF(ISBLANK(S52),"",AU52/Macroindicadores!D$2)</f>
        <v>0.63775510204081631</v>
      </c>
      <c r="BJ52" s="117">
        <f>IF(ISBLANK(T52),"",AV52/Macroindicadores!E$2)</f>
        <v>0.63775510204081631</v>
      </c>
      <c r="BK52" s="117">
        <f>IF(ISBLANK(U52),"",AW52/Macroindicadores!F$2)</f>
        <v>0.63775510204081631</v>
      </c>
      <c r="BL52" s="117">
        <f>IF(ISBLANK(V52),"",AX52/Macroindicadores!G$2)</f>
        <v>0.63775510204081631</v>
      </c>
      <c r="BM52" s="117">
        <f>IF(ISBLANK(W52),"",AY52/Macroindicadores!H$2)</f>
        <v>0.63775510204081631</v>
      </c>
      <c r="BN52" s="117">
        <f>IF(ISBLANK(X52),"",AZ52/Macroindicadores!I$2)</f>
        <v>0.63775510204081631</v>
      </c>
      <c r="BO52" s="117">
        <f>IF(ISBLANK(Y52),"",BA52/Macroindicadores!J$2)</f>
        <v>0.63775510204081631</v>
      </c>
      <c r="BP52" s="117">
        <f>IF(ISBLANK(Z52),"",BB52/Macroindicadores!K$2)</f>
        <v>0.63775510204081631</v>
      </c>
      <c r="BQ52" s="117">
        <f>IF(ISBLANK(AA52),"",BC52/Macroindicadores!L$2)</f>
        <v>0.63775510204081631</v>
      </c>
      <c r="BR52" s="117">
        <f>IF(ISBLANK(AB52),"",BD52/Macroindicadores!M$2)</f>
        <v>0.63775510204081631</v>
      </c>
      <c r="BS52" s="118">
        <f>IF(AND(ISBLANK($Q52),ISBLANK($R52),ISBLANK($S52),ISBLANK($T52),ISBLANK($U52),ISBLANK($V52),ISBLANK($W52),ISBLANK($X52),ISBLANK($Y52),ISBLANK($Z52),ISBLANK($AA52),ISBLANK($AB52)),"",SUM(BG52:BR52))</f>
        <v>7.653061224489794</v>
      </c>
      <c r="BT52" s="25" t="str">
        <f>IF(ISBLANK($L52),"",_xlfn.XLOOKUP($L52,'CENTRO CUSTO'!$A:$A,'CENTRO CUSTO'!$E:$E,FALSE,0))</f>
        <v>Custo Fixo</v>
      </c>
    </row>
    <row r="53" spans="1:72">
      <c r="A53" s="9" t="str">
        <f t="shared" si="40"/>
        <v>Budget</v>
      </c>
      <c r="B53" s="9">
        <f t="shared" si="44"/>
        <v>2026</v>
      </c>
      <c r="C53" s="111" t="str">
        <f>IF(ISBLANK($L53),"",_xlfn.XLOOKUP($L53,'CENTRO CUSTO'!$A:$A,'CENTRO CUSTO'!F:F,FALSE,0))</f>
        <v>Martini Meat</v>
      </c>
      <c r="D53" s="111" t="str">
        <f>IF(ISBLANK($L53),"",_xlfn.XLOOKUP($L53,'CENTRO CUSTO'!$A:$A,'CENTRO CUSTO'!G:G,FALSE,0))</f>
        <v>Rio Grande</v>
      </c>
      <c r="E53" s="111" t="str">
        <f>IF(ISBLANK($L53),"",_xlfn.XLOOKUP($L53,'CENTRO CUSTO'!$A:$A,'CENTRO CUSTO'!H:H,FALSE,0))</f>
        <v>Frigorífico</v>
      </c>
      <c r="F53" s="112" t="s">
        <v>114</v>
      </c>
      <c r="G53" s="112" t="s">
        <v>75</v>
      </c>
      <c r="H53" s="112" t="s">
        <v>115</v>
      </c>
      <c r="I53" s="113" t="s">
        <v>77</v>
      </c>
      <c r="J53" s="113" t="s">
        <v>78</v>
      </c>
      <c r="K53" s="113" t="s">
        <v>79</v>
      </c>
      <c r="L53" s="113" t="s">
        <v>21</v>
      </c>
      <c r="M53" s="111" t="str">
        <f>IF(ISBLANK($L53),"",_xlfn.XLOOKUP($L53,'CENTRO CUSTO'!$A:$A,'CENTRO CUSTO'!D:D,FALSE,0))</f>
        <v>Alexandre Ayabe</v>
      </c>
      <c r="N53" s="113" t="s">
        <v>106</v>
      </c>
      <c r="O53" s="114"/>
      <c r="P53" s="113" t="s">
        <v>81</v>
      </c>
      <c r="Q53" s="115">
        <f>300000*Rateio!$E$129/12</f>
        <v>1250</v>
      </c>
      <c r="R53" s="115">
        <f>300000*Rateio!$E$129/12</f>
        <v>1250</v>
      </c>
      <c r="S53" s="115">
        <f>300000*Rateio!$E$129/12</f>
        <v>1250</v>
      </c>
      <c r="T53" s="115">
        <f>300000*Rateio!$E$129/12</f>
        <v>1250</v>
      </c>
      <c r="U53" s="115">
        <f>300000*Rateio!$E$129/12</f>
        <v>1250</v>
      </c>
      <c r="V53" s="115">
        <f>300000*Rateio!$E$129/12</f>
        <v>1250</v>
      </c>
      <c r="W53" s="115">
        <f>300000*Rateio!$E$129/12</f>
        <v>1250</v>
      </c>
      <c r="X53" s="115">
        <f>300000*Rateio!$E$129/12</f>
        <v>1250</v>
      </c>
      <c r="Y53" s="115">
        <f>300000*Rateio!$E$129/12</f>
        <v>1250</v>
      </c>
      <c r="Z53" s="115">
        <f>300000*Rateio!$E$129/12</f>
        <v>1250</v>
      </c>
      <c r="AA53" s="115">
        <f>300000*Rateio!$E$129/12</f>
        <v>1250</v>
      </c>
      <c r="AB53" s="115">
        <f>300000*Rateio!$E$129/12</f>
        <v>1250</v>
      </c>
      <c r="AC53" s="116">
        <f t="shared" si="41"/>
        <v>15000</v>
      </c>
      <c r="AD53" s="108"/>
      <c r="AE53" s="117">
        <f>IF(ISBLANK(Q53),"",IF($P53="BRL",Q53,Q53*Macroindicadores!B$2)/1000)</f>
        <v>1.25</v>
      </c>
      <c r="AF53" s="117">
        <f>IF(ISBLANK(R53),"",IF($P53="BRL",R53,R53*Macroindicadores!C$2)/1000)</f>
        <v>1.25</v>
      </c>
      <c r="AG53" s="117">
        <f>IF(ISBLANK(S53),"",IF($P53="BRL",S53,S53*Macroindicadores!D$2)/1000)</f>
        <v>1.25</v>
      </c>
      <c r="AH53" s="117">
        <f>IF(ISBLANK(T53),"",IF($P53="BRL",T53,T53*Macroindicadores!E$2)/1000)</f>
        <v>1.25</v>
      </c>
      <c r="AI53" s="117">
        <f>IF(ISBLANK(U53),"",IF($P53="BRL",U53,U53*Macroindicadores!F$2)/1000)</f>
        <v>1.25</v>
      </c>
      <c r="AJ53" s="117">
        <f>IF(ISBLANK(V53),"",IF($P53="BRL",V53,V53*Macroindicadores!G$2)/1000)</f>
        <v>1.25</v>
      </c>
      <c r="AK53" s="117">
        <f>IF(ISBLANK(W53),"",IF($P53="BRL",W53,W53*Macroindicadores!H$2)/1000)</f>
        <v>1.25</v>
      </c>
      <c r="AL53" s="117">
        <f>IF(ISBLANK(X53),"",IF($P53="BRL",X53,X53*Macroindicadores!I$2)/1000)</f>
        <v>1.25</v>
      </c>
      <c r="AM53" s="117">
        <f>IF(ISBLANK(Y53),"",IF($P53="BRL",Y53,Y53*Macroindicadores!J$2)/1000)</f>
        <v>1.25</v>
      </c>
      <c r="AN53" s="117">
        <f>IF(ISBLANK(Z53),"",IF($P53="BRL",Z53,Z53*Macroindicadores!K$2)/1000)</f>
        <v>1.25</v>
      </c>
      <c r="AO53" s="117">
        <f>IF(ISBLANK(AA53),"",IF($P53="BRL",AA53,AA53*Macroindicadores!L$2)/1000)</f>
        <v>1.25</v>
      </c>
      <c r="AP53" s="117">
        <f>IF(ISBLANK(AB53),"",IF($P53="BRL",AB53,AB53*Macroindicadores!M$2)/1000)</f>
        <v>1.25</v>
      </c>
      <c r="AQ53" s="118">
        <f t="shared" si="35"/>
        <v>15</v>
      </c>
      <c r="AR53" s="108"/>
      <c r="AS53" s="117">
        <f>IF(ISBLANK(Q53),"",IF(ISBLANK($O53),AE53,IF($J53="ANUAL",AE53*(1+Macroindicadores!B$7),IF(AND($I53="NOVO",MONTH($O53)=MONTH(AS$4)),AE53*(1+Macroindicadores!B$7),IF(AND($J53="PONTUAL",MONTH($O53)=MONTH(AS$4)),AE53*(1+Macroindicadores!B$7),IF(AND($J53="PONTUAL",MONTH($O53)&lt;MONTH(AS$4)),MIN(AR53:$AS53),IF(AND($I53="NOVO",MONTH($O53)&gt;MONTH(AS$4)),AE53,IF(MONTH($O53)&gt;MONTH(AS$4),AE53,IF(MONTH($O53)=MONTH(AS$4),AE53*(1+Macroindicadores!B$7),AR53)))))))))</f>
        <v>1.25</v>
      </c>
      <c r="AT53" s="117">
        <f>IF(ISBLANK(R53),"",IF(ISBLANK($O53),AF53,IF($J53="ANUAL",AF53*(1+Macroindicadores!C$7),IF(AND($I53="NOVO",MONTH($O53)=MONTH(AT$4)),AF53*(1+Macroindicadores!C$7),IF(AND($J53="PONTUAL",MONTH($O53)=MONTH(AT$4)),AF53*(1+Macroindicadores!C$7),IF(AND($J53="PONTUAL",MONTH($O53)&lt;MONTH(AT$4)),MIN($AS53:AS53),IF(AND($I53="NOVO",MONTH($O53)&gt;MONTH(AT$4)),AF53,IF(MONTH($O53)&gt;MONTH(AT$4),AF53,IF(MONTH($O53)=MONTH(AT$4),AF53*(1+Macroindicadores!C$7),AS53)))))))))</f>
        <v>1.25</v>
      </c>
      <c r="AU53" s="117">
        <f>IF(ISBLANK(S53),"",IF(ISBLANK($O53),AG53,IF($J53="ANUAL",AG53*(1+Macroindicadores!D$7),IF(AND($I53="NOVO",MONTH($O53)=MONTH(AU$4)),AG53*(1+Macroindicadores!D$7),IF(AND($J53="PONTUAL",MONTH($O53)=MONTH(AU$4)),AG53*(1+Macroindicadores!D$7),IF(AND($J53="PONTUAL",MONTH($O53)&lt;MONTH(AU$4)),MIN($AS53:AT53),IF(AND($I53="NOVO",MONTH($O53)&gt;MONTH(AU$4)),AG53,IF(MONTH($O53)&gt;MONTH(AU$4),AG53,IF(MONTH($O53)=MONTH(AU$4),AG53*(1+Macroindicadores!D$7),AT53)))))))))</f>
        <v>1.25</v>
      </c>
      <c r="AV53" s="117">
        <f>IF(ISBLANK(T53),"",IF(ISBLANK($O53),AH53,IF($J53="ANUAL",AH53*(1+Macroindicadores!E$7),IF(AND($I53="NOVO",MONTH($O53)=MONTH(AV$4)),AH53*(1+Macroindicadores!E$7),IF(AND($J53="PONTUAL",MONTH($O53)=MONTH(AV$4)),AH53*(1+Macroindicadores!E$7),IF(AND($J53="PONTUAL",MONTH($O53)&lt;MONTH(AV$4)),MIN($AS53:AU53),IF(AND($I53="NOVO",MONTH($O53)&gt;MONTH(AV$4)),AH53,IF(MONTH($O53)&gt;MONTH(AV$4),AH53,IF(MONTH($O53)=MONTH(AV$4),AH53*(1+Macroindicadores!E$7),AU53)))))))))</f>
        <v>1.25</v>
      </c>
      <c r="AW53" s="117">
        <f>IF(ISBLANK(U53),"",IF(ISBLANK($O53),AI53,IF($J53="ANUAL",AI53*(1+Macroindicadores!F$7),IF(AND($I53="NOVO",MONTH($O53)=MONTH(AW$4)),AI53*(1+Macroindicadores!F$7),IF(AND($J53="PONTUAL",MONTH($O53)=MONTH(AW$4)),AI53*(1+Macroindicadores!F$7),IF(AND($J53="PONTUAL",MONTH($O53)&lt;MONTH(AW$4)),MIN($AS53:AV53),IF(AND($I53="NOVO",MONTH($O53)&gt;MONTH(AW$4)),AI53,IF(MONTH($O53)&gt;MONTH(AW$4),AI53,IF(MONTH($O53)=MONTH(AW$4),AI53*(1+Macroindicadores!F$7),AV53)))))))))</f>
        <v>1.25</v>
      </c>
      <c r="AX53" s="117">
        <f>IF(ISBLANK(V53),"",IF(ISBLANK($O53),AJ53,IF($J53="ANUAL",AJ53*(1+Macroindicadores!G$7),IF(AND($I53="NOVO",MONTH($O53)=MONTH(AX$4)),AJ53*(1+Macroindicadores!G$7),IF(AND($J53="PONTUAL",MONTH($O53)=MONTH(AX$4)),AJ53*(1+Macroindicadores!G$7),IF(AND($J53="PONTUAL",MONTH($O53)&lt;MONTH(AX$4)),MIN($AS53:AW53),IF(AND($I53="NOVO",MONTH($O53)&gt;MONTH(AX$4)),AJ53,IF(MONTH($O53)&gt;MONTH(AX$4),AJ53,IF(MONTH($O53)=MONTH(AX$4),AJ53*(1+Macroindicadores!G$7),AW53)))))))))</f>
        <v>1.25</v>
      </c>
      <c r="AY53" s="117">
        <f>IF(ISBLANK(W53),"",IF(ISBLANK($O53),AK53,IF($J53="ANUAL",AK53*(1+Macroindicadores!H$7),IF(AND($I53="NOVO",MONTH($O53)=MONTH(AY$4)),AK53*(1+Macroindicadores!H$7),IF(AND($J53="PONTUAL",MONTH($O53)=MONTH(AY$4)),AK53*(1+Macroindicadores!H$7),IF(AND($J53="PONTUAL",MONTH($O53)&lt;MONTH(AY$4)),MIN($AS53:AX53),IF(AND($I53="NOVO",MONTH($O53)&gt;MONTH(AY$4)),AK53,IF(MONTH($O53)&gt;MONTH(AY$4),AK53,IF(MONTH($O53)=MONTH(AY$4),AK53*(1+Macroindicadores!H$7),AX53)))))))))</f>
        <v>1.25</v>
      </c>
      <c r="AZ53" s="117">
        <f>IF(ISBLANK(X53),"",IF(ISBLANK($O53),AL53,IF($J53="ANUAL",AL53*(1+Macroindicadores!I$7),IF(AND($I53="NOVO",MONTH($O53)=MONTH(AZ$4)),AL53*(1+Macroindicadores!I$7),IF(AND($J53="PONTUAL",MONTH($O53)=MONTH(AZ$4)),AL53*(1+Macroindicadores!I$7),IF(AND($J53="PONTUAL",MONTH($O53)&lt;MONTH(AZ$4)),MIN($AS53:AY53),IF(AND($I53="NOVO",MONTH($O53)&gt;MONTH(AZ$4)),AL53,IF(MONTH($O53)&gt;MONTH(AZ$4),AL53,IF(MONTH($O53)=MONTH(AZ$4),AL53*(1+Macroindicadores!I$7),AY53)))))))))</f>
        <v>1.25</v>
      </c>
      <c r="BA53" s="117">
        <f>IF(ISBLANK(Y53),"",IF(ISBLANK($O53),AM53,IF($J53="ANUAL",AM53*(1+Macroindicadores!J$7),IF(AND($I53="NOVO",MONTH($O53)=MONTH(BA$4)),AM53*(1+Macroindicadores!J$7),IF(AND($J53="PONTUAL",MONTH($O53)=MONTH(BA$4)),AM53*(1+Macroindicadores!J$7),IF(AND($J53="PONTUAL",MONTH($O53)&lt;MONTH(BA$4)),MIN($AS53:AZ53),IF(AND($I53="NOVO",MONTH($O53)&gt;MONTH(BA$4)),AM53,IF(MONTH($O53)&gt;MONTH(BA$4),AM53,IF(MONTH($O53)=MONTH(BA$4),AM53*(1+Macroindicadores!J$7),AZ53)))))))))</f>
        <v>1.25</v>
      </c>
      <c r="BB53" s="117">
        <f>IF(ISBLANK(Z53),"",IF(ISBLANK($O53),AN53,IF($J53="ANUAL",AN53*(1+Macroindicadores!K$7),IF(AND($I53="NOVO",MONTH($O53)=MONTH(BB$4)),AN53*(1+Macroindicadores!K$7),IF(AND($J53="PONTUAL",MONTH($O53)=MONTH(BB$4)),AN53*(1+Macroindicadores!K$7),IF(AND($J53="PONTUAL",MONTH($O53)&lt;MONTH(BB$4)),MIN($AS53:BA53),IF(AND($I53="NOVO",MONTH($O53)&gt;MONTH(BB$4)),AN53,IF(MONTH($O53)&gt;MONTH(BB$4),AN53,IF(MONTH($O53)=MONTH(BB$4),AN53*(1+Macroindicadores!K$7),BA53)))))))))</f>
        <v>1.25</v>
      </c>
      <c r="BC53" s="117">
        <f>IF(ISBLANK(AA53),"",IF(ISBLANK($O53),AO53,IF($J53="ANUAL",AO53*(1+Macroindicadores!L$7),IF(AND($I53="NOVO",MONTH($O53)=MONTH(BC$4)),AO53*(1+Macroindicadores!L$7),IF(AND($J53="PONTUAL",MONTH($O53)=MONTH(BC$4)),AO53*(1+Macroindicadores!L$7),IF(AND($J53="PONTUAL",MONTH($O53)&lt;MONTH(BC$4)),MIN($AS53:BB53),IF(AND($I53="NOVO",MONTH($O53)&gt;MONTH(BC$4)),AO53,IF(MONTH($O53)&gt;MONTH(BC$4),AO53,IF(MONTH($O53)=MONTH(BC$4),AO53*(1+Macroindicadores!L$7),BB53)))))))))</f>
        <v>1.25</v>
      </c>
      <c r="BD53" s="117">
        <f>IF(ISBLANK(AB53),"",IF(ISBLANK($O53),AP53,IF($J53="ANUAL",AP53*(1+Macroindicadores!M$7),IF(AND($I53="NOVO",MONTH($O53)=MONTH(BD$4)),AP53*(1+Macroindicadores!M$7),IF(AND($J53="PONTUAL",MONTH($O53)=MONTH(BD$4)),AP53*(1+Macroindicadores!M$7),IF(AND($J53="PONTUAL",MONTH($O53)&lt;MONTH(BD$4)),MIN($AS53:BC53),IF(AND($I53="NOVO",MONTH($O53)&gt;MONTH(BD$4)),AP53,IF(MONTH($O53)&gt;MONTH(BD$4),AP53,IF(MONTH($O53)=MONTH(BD$4),AP53*(1+Macroindicadores!M$7),BC53)))))))))</f>
        <v>1.25</v>
      </c>
      <c r="BE53" s="118">
        <f t="shared" si="36"/>
        <v>15</v>
      </c>
      <c r="BF53" s="108"/>
      <c r="BG53" s="117">
        <f>IF(ISBLANK(Q53),"",AS53/Macroindicadores!B$2)</f>
        <v>0.21258503401360546</v>
      </c>
      <c r="BH53" s="117">
        <f>IF(ISBLANK(R53),"",AT53/Macroindicadores!C$2)</f>
        <v>0.21258503401360546</v>
      </c>
      <c r="BI53" s="117">
        <f>IF(ISBLANK(S53),"",AU53/Macroindicadores!D$2)</f>
        <v>0.21258503401360546</v>
      </c>
      <c r="BJ53" s="117">
        <f>IF(ISBLANK(T53),"",AV53/Macroindicadores!E$2)</f>
        <v>0.21258503401360546</v>
      </c>
      <c r="BK53" s="117">
        <f>IF(ISBLANK(U53),"",AW53/Macroindicadores!F$2)</f>
        <v>0.21258503401360546</v>
      </c>
      <c r="BL53" s="117">
        <f>IF(ISBLANK(V53),"",AX53/Macroindicadores!G$2)</f>
        <v>0.21258503401360546</v>
      </c>
      <c r="BM53" s="117">
        <f>IF(ISBLANK(W53),"",AY53/Macroindicadores!H$2)</f>
        <v>0.21258503401360546</v>
      </c>
      <c r="BN53" s="117">
        <f>IF(ISBLANK(X53),"",AZ53/Macroindicadores!I$2)</f>
        <v>0.21258503401360546</v>
      </c>
      <c r="BO53" s="117">
        <f>IF(ISBLANK(Y53),"",BA53/Macroindicadores!J$2)</f>
        <v>0.21258503401360546</v>
      </c>
      <c r="BP53" s="117">
        <f>IF(ISBLANK(Z53),"",BB53/Macroindicadores!K$2)</f>
        <v>0.21258503401360546</v>
      </c>
      <c r="BQ53" s="117">
        <f>IF(ISBLANK(AA53),"",BC53/Macroindicadores!L$2)</f>
        <v>0.21258503401360546</v>
      </c>
      <c r="BR53" s="117">
        <f>IF(ISBLANK(AB53),"",BD53/Macroindicadores!M$2)</f>
        <v>0.21258503401360546</v>
      </c>
      <c r="BS53" s="118">
        <f>IF(AND(ISBLANK($Q53),ISBLANK($R53),ISBLANK($S53),ISBLANK($T53),ISBLANK($U53),ISBLANK($V53),ISBLANK($W53),ISBLANK($X53),ISBLANK($Y53),ISBLANK($Z53),ISBLANK($AA53),ISBLANK($AB53)),"",SUM(BG53:BR53))</f>
        <v>2.5510204081632657</v>
      </c>
      <c r="BT53" s="25" t="str">
        <f>IF(ISBLANK($L53),"",_xlfn.XLOOKUP($L53,'CENTRO CUSTO'!$A:$A,'CENTRO CUSTO'!$E:$E,FALSE,0))</f>
        <v>Custo Fixo</v>
      </c>
    </row>
    <row r="54" spans="1:72">
      <c r="A54" s="9" t="str">
        <f t="shared" si="40"/>
        <v>Budget</v>
      </c>
      <c r="B54" s="9">
        <f t="shared" si="44"/>
        <v>2026</v>
      </c>
      <c r="C54" s="111" t="str">
        <f>IF(ISBLANK($L54),"",_xlfn.XLOOKUP($L54,'CENTRO CUSTO'!$A:$A,'CENTRO CUSTO'!F:F,FALSE,0))</f>
        <v>Martini Meat</v>
      </c>
      <c r="D54" s="111" t="str">
        <f>IF(ISBLANK($L54),"",_xlfn.XLOOKUP($L54,'CENTRO CUSTO'!$A:$A,'CENTRO CUSTO'!G:G,FALSE,0))</f>
        <v>Ponta Grossa</v>
      </c>
      <c r="E54" s="111" t="str">
        <f>IF(ISBLANK($L54),"",_xlfn.XLOOKUP($L54,'CENTRO CUSTO'!$A:$A,'CENTRO CUSTO'!H:H,FALSE,0))</f>
        <v>Carga Geral</v>
      </c>
      <c r="F54" s="112" t="s">
        <v>114</v>
      </c>
      <c r="G54" s="112" t="s">
        <v>75</v>
      </c>
      <c r="H54" s="112" t="s">
        <v>115</v>
      </c>
      <c r="I54" s="113" t="s">
        <v>77</v>
      </c>
      <c r="J54" s="113" t="s">
        <v>78</v>
      </c>
      <c r="K54" s="113" t="s">
        <v>79</v>
      </c>
      <c r="L54" s="113" t="s">
        <v>25</v>
      </c>
      <c r="M54" s="111" t="str">
        <f>IF(ISBLANK($L54),"",_xlfn.XLOOKUP($L54,'CENTRO CUSTO'!$A:$A,'CENTRO CUSTO'!D:D,FALSE,0))</f>
        <v>Alexandre Ayabe</v>
      </c>
      <c r="N54" s="113" t="s">
        <v>106</v>
      </c>
      <c r="O54" s="114"/>
      <c r="P54" s="113" t="s">
        <v>81</v>
      </c>
      <c r="Q54" s="115">
        <f>300000*Rateio!$E$132/12</f>
        <v>2000</v>
      </c>
      <c r="R54" s="115">
        <f>300000*Rateio!$E$132/12</f>
        <v>2000</v>
      </c>
      <c r="S54" s="115">
        <f>300000*Rateio!$E$132/12</f>
        <v>2000</v>
      </c>
      <c r="T54" s="115">
        <f>300000*Rateio!$E$132/12</f>
        <v>2000</v>
      </c>
      <c r="U54" s="115">
        <f>300000*Rateio!$E$132/12</f>
        <v>2000</v>
      </c>
      <c r="V54" s="115">
        <f>300000*Rateio!$E$132/12</f>
        <v>2000</v>
      </c>
      <c r="W54" s="115">
        <f>300000*Rateio!$E$132/12</f>
        <v>2000</v>
      </c>
      <c r="X54" s="115">
        <f>300000*Rateio!$E$132/12</f>
        <v>2000</v>
      </c>
      <c r="Y54" s="115">
        <f>300000*Rateio!$E$132/12</f>
        <v>2000</v>
      </c>
      <c r="Z54" s="115">
        <f>300000*Rateio!$E$132/12</f>
        <v>2000</v>
      </c>
      <c r="AA54" s="115">
        <f>300000*Rateio!$E$132/12</f>
        <v>2000</v>
      </c>
      <c r="AB54" s="115">
        <f>300000*Rateio!$E$132/12</f>
        <v>2000</v>
      </c>
      <c r="AC54" s="116">
        <f t="shared" si="41"/>
        <v>24000</v>
      </c>
      <c r="AD54" s="108"/>
      <c r="AE54" s="117">
        <f>IF(ISBLANK(Q54),"",IF($P54="BRL",Q54,Q54*Macroindicadores!B$2)/1000)</f>
        <v>2</v>
      </c>
      <c r="AF54" s="117">
        <f>IF(ISBLANK(R54),"",IF($P54="BRL",R54,R54*Macroindicadores!C$2)/1000)</f>
        <v>2</v>
      </c>
      <c r="AG54" s="117">
        <f>IF(ISBLANK(S54),"",IF($P54="BRL",S54,S54*Macroindicadores!D$2)/1000)</f>
        <v>2</v>
      </c>
      <c r="AH54" s="117">
        <f>IF(ISBLANK(T54),"",IF($P54="BRL",T54,T54*Macroindicadores!E$2)/1000)</f>
        <v>2</v>
      </c>
      <c r="AI54" s="117">
        <f>IF(ISBLANK(U54),"",IF($P54="BRL",U54,U54*Macroindicadores!F$2)/1000)</f>
        <v>2</v>
      </c>
      <c r="AJ54" s="117">
        <f>IF(ISBLANK(V54),"",IF($P54="BRL",V54,V54*Macroindicadores!G$2)/1000)</f>
        <v>2</v>
      </c>
      <c r="AK54" s="117">
        <f>IF(ISBLANK(W54),"",IF($P54="BRL",W54,W54*Macroindicadores!H$2)/1000)</f>
        <v>2</v>
      </c>
      <c r="AL54" s="117">
        <f>IF(ISBLANK(X54),"",IF($P54="BRL",X54,X54*Macroindicadores!I$2)/1000)</f>
        <v>2</v>
      </c>
      <c r="AM54" s="117">
        <f>IF(ISBLANK(Y54),"",IF($P54="BRL",Y54,Y54*Macroindicadores!J$2)/1000)</f>
        <v>2</v>
      </c>
      <c r="AN54" s="117">
        <f>IF(ISBLANK(Z54),"",IF($P54="BRL",Z54,Z54*Macroindicadores!K$2)/1000)</f>
        <v>2</v>
      </c>
      <c r="AO54" s="117">
        <f>IF(ISBLANK(AA54),"",IF($P54="BRL",AA54,AA54*Macroindicadores!L$2)/1000)</f>
        <v>2</v>
      </c>
      <c r="AP54" s="117">
        <f>IF(ISBLANK(AB54),"",IF($P54="BRL",AB54,AB54*Macroindicadores!M$2)/1000)</f>
        <v>2</v>
      </c>
      <c r="AQ54" s="118">
        <f t="shared" si="35"/>
        <v>24</v>
      </c>
      <c r="AR54" s="108"/>
      <c r="AS54" s="117">
        <f>IF(ISBLANK(Q54),"",IF(ISBLANK($O54),AE54,IF($J54="ANUAL",AE54*(1+Macroindicadores!B$7),IF(AND($I54="NOVO",MONTH($O54)=MONTH(AS$4)),AE54*(1+Macroindicadores!B$7),IF(AND($J54="PONTUAL",MONTH($O54)=MONTH(AS$4)),AE54*(1+Macroindicadores!B$7),IF(AND($J54="PONTUAL",MONTH($O54)&lt;MONTH(AS$4)),MIN(AR54:$AS54),IF(AND($I54="NOVO",MONTH($O54)&gt;MONTH(AS$4)),AE54,IF(MONTH($O54)&gt;MONTH(AS$4),AE54,IF(MONTH($O54)=MONTH(AS$4),AE54*(1+Macroindicadores!B$7),AR54)))))))))</f>
        <v>2</v>
      </c>
      <c r="AT54" s="117">
        <f>IF(ISBLANK(R54),"",IF(ISBLANK($O54),AF54,IF($J54="ANUAL",AF54*(1+Macroindicadores!C$7),IF(AND($I54="NOVO",MONTH($O54)=MONTH(AT$4)),AF54*(1+Macroindicadores!C$7),IF(AND($J54="PONTUAL",MONTH($O54)=MONTH(AT$4)),AF54*(1+Macroindicadores!C$7),IF(AND($J54="PONTUAL",MONTH($O54)&lt;MONTH(AT$4)),MIN($AS54:AS54),IF(AND($I54="NOVO",MONTH($O54)&gt;MONTH(AT$4)),AF54,IF(MONTH($O54)&gt;MONTH(AT$4),AF54,IF(MONTH($O54)=MONTH(AT$4),AF54*(1+Macroindicadores!C$7),AS54)))))))))</f>
        <v>2</v>
      </c>
      <c r="AU54" s="117">
        <f>IF(ISBLANK(S54),"",IF(ISBLANK($O54),AG54,IF($J54="ANUAL",AG54*(1+Macroindicadores!D$7),IF(AND($I54="NOVO",MONTH($O54)=MONTH(AU$4)),AG54*(1+Macroindicadores!D$7),IF(AND($J54="PONTUAL",MONTH($O54)=MONTH(AU$4)),AG54*(1+Macroindicadores!D$7),IF(AND($J54="PONTUAL",MONTH($O54)&lt;MONTH(AU$4)),MIN($AS54:AT54),IF(AND($I54="NOVO",MONTH($O54)&gt;MONTH(AU$4)),AG54,IF(MONTH($O54)&gt;MONTH(AU$4),AG54,IF(MONTH($O54)=MONTH(AU$4),AG54*(1+Macroindicadores!D$7),AT54)))))))))</f>
        <v>2</v>
      </c>
      <c r="AV54" s="117">
        <f>IF(ISBLANK(T54),"",IF(ISBLANK($O54),AH54,IF($J54="ANUAL",AH54*(1+Macroindicadores!E$7),IF(AND($I54="NOVO",MONTH($O54)=MONTH(AV$4)),AH54*(1+Macroindicadores!E$7),IF(AND($J54="PONTUAL",MONTH($O54)=MONTH(AV$4)),AH54*(1+Macroindicadores!E$7),IF(AND($J54="PONTUAL",MONTH($O54)&lt;MONTH(AV$4)),MIN($AS54:AU54),IF(AND($I54="NOVO",MONTH($O54)&gt;MONTH(AV$4)),AH54,IF(MONTH($O54)&gt;MONTH(AV$4),AH54,IF(MONTH($O54)=MONTH(AV$4),AH54*(1+Macroindicadores!E$7),AU54)))))))))</f>
        <v>2</v>
      </c>
      <c r="AW54" s="117">
        <f>IF(ISBLANK(U54),"",IF(ISBLANK($O54),AI54,IF($J54="ANUAL",AI54*(1+Macroindicadores!F$7),IF(AND($I54="NOVO",MONTH($O54)=MONTH(AW$4)),AI54*(1+Macroindicadores!F$7),IF(AND($J54="PONTUAL",MONTH($O54)=MONTH(AW$4)),AI54*(1+Macroindicadores!F$7),IF(AND($J54="PONTUAL",MONTH($O54)&lt;MONTH(AW$4)),MIN($AS54:AV54),IF(AND($I54="NOVO",MONTH($O54)&gt;MONTH(AW$4)),AI54,IF(MONTH($O54)&gt;MONTH(AW$4),AI54,IF(MONTH($O54)=MONTH(AW$4),AI54*(1+Macroindicadores!F$7),AV54)))))))))</f>
        <v>2</v>
      </c>
      <c r="AX54" s="117">
        <f>IF(ISBLANK(V54),"",IF(ISBLANK($O54),AJ54,IF($J54="ANUAL",AJ54*(1+Macroindicadores!G$7),IF(AND($I54="NOVO",MONTH($O54)=MONTH(AX$4)),AJ54*(1+Macroindicadores!G$7),IF(AND($J54="PONTUAL",MONTH($O54)=MONTH(AX$4)),AJ54*(1+Macroindicadores!G$7),IF(AND($J54="PONTUAL",MONTH($O54)&lt;MONTH(AX$4)),MIN($AS54:AW54),IF(AND($I54="NOVO",MONTH($O54)&gt;MONTH(AX$4)),AJ54,IF(MONTH($O54)&gt;MONTH(AX$4),AJ54,IF(MONTH($O54)=MONTH(AX$4),AJ54*(1+Macroindicadores!G$7),AW54)))))))))</f>
        <v>2</v>
      </c>
      <c r="AY54" s="117">
        <f>IF(ISBLANK(W54),"",IF(ISBLANK($O54),AK54,IF($J54="ANUAL",AK54*(1+Macroindicadores!H$7),IF(AND($I54="NOVO",MONTH($O54)=MONTH(AY$4)),AK54*(1+Macroindicadores!H$7),IF(AND($J54="PONTUAL",MONTH($O54)=MONTH(AY$4)),AK54*(1+Macroindicadores!H$7),IF(AND($J54="PONTUAL",MONTH($O54)&lt;MONTH(AY$4)),MIN($AS54:AX54),IF(AND($I54="NOVO",MONTH($O54)&gt;MONTH(AY$4)),AK54,IF(MONTH($O54)&gt;MONTH(AY$4),AK54,IF(MONTH($O54)=MONTH(AY$4),AK54*(1+Macroindicadores!H$7),AX54)))))))))</f>
        <v>2</v>
      </c>
      <c r="AZ54" s="117">
        <f>IF(ISBLANK(X54),"",IF(ISBLANK($O54),AL54,IF($J54="ANUAL",AL54*(1+Macroindicadores!I$7),IF(AND($I54="NOVO",MONTH($O54)=MONTH(AZ$4)),AL54*(1+Macroindicadores!I$7),IF(AND($J54="PONTUAL",MONTH($O54)=MONTH(AZ$4)),AL54*(1+Macroindicadores!I$7),IF(AND($J54="PONTUAL",MONTH($O54)&lt;MONTH(AZ$4)),MIN($AS54:AY54),IF(AND($I54="NOVO",MONTH($O54)&gt;MONTH(AZ$4)),AL54,IF(MONTH($O54)&gt;MONTH(AZ$4),AL54,IF(MONTH($O54)=MONTH(AZ$4),AL54*(1+Macroindicadores!I$7),AY54)))))))))</f>
        <v>2</v>
      </c>
      <c r="BA54" s="117">
        <f>IF(ISBLANK(Y54),"",IF(ISBLANK($O54),AM54,IF($J54="ANUAL",AM54*(1+Macroindicadores!J$7),IF(AND($I54="NOVO",MONTH($O54)=MONTH(BA$4)),AM54*(1+Macroindicadores!J$7),IF(AND($J54="PONTUAL",MONTH($O54)=MONTH(BA$4)),AM54*(1+Macroindicadores!J$7),IF(AND($J54="PONTUAL",MONTH($O54)&lt;MONTH(BA$4)),MIN($AS54:AZ54),IF(AND($I54="NOVO",MONTH($O54)&gt;MONTH(BA$4)),AM54,IF(MONTH($O54)&gt;MONTH(BA$4),AM54,IF(MONTH($O54)=MONTH(BA$4),AM54*(1+Macroindicadores!J$7),AZ54)))))))))</f>
        <v>2</v>
      </c>
      <c r="BB54" s="117">
        <f>IF(ISBLANK(Z54),"",IF(ISBLANK($O54),AN54,IF($J54="ANUAL",AN54*(1+Macroindicadores!K$7),IF(AND($I54="NOVO",MONTH($O54)=MONTH(BB$4)),AN54*(1+Macroindicadores!K$7),IF(AND($J54="PONTUAL",MONTH($O54)=MONTH(BB$4)),AN54*(1+Macroindicadores!K$7),IF(AND($J54="PONTUAL",MONTH($O54)&lt;MONTH(BB$4)),MIN($AS54:BA54),IF(AND($I54="NOVO",MONTH($O54)&gt;MONTH(BB$4)),AN54,IF(MONTH($O54)&gt;MONTH(BB$4),AN54,IF(MONTH($O54)=MONTH(BB$4),AN54*(1+Macroindicadores!K$7),BA54)))))))))</f>
        <v>2</v>
      </c>
      <c r="BC54" s="117">
        <f>IF(ISBLANK(AA54),"",IF(ISBLANK($O54),AO54,IF($J54="ANUAL",AO54*(1+Macroindicadores!L$7),IF(AND($I54="NOVO",MONTH($O54)=MONTH(BC$4)),AO54*(1+Macroindicadores!L$7),IF(AND($J54="PONTUAL",MONTH($O54)=MONTH(BC$4)),AO54*(1+Macroindicadores!L$7),IF(AND($J54="PONTUAL",MONTH($O54)&lt;MONTH(BC$4)),MIN($AS54:BB54),IF(AND($I54="NOVO",MONTH($O54)&gt;MONTH(BC$4)),AO54,IF(MONTH($O54)&gt;MONTH(BC$4),AO54,IF(MONTH($O54)=MONTH(BC$4),AO54*(1+Macroindicadores!L$7),BB54)))))))))</f>
        <v>2</v>
      </c>
      <c r="BD54" s="117">
        <f>IF(ISBLANK(AB54),"",IF(ISBLANK($O54),AP54,IF($J54="ANUAL",AP54*(1+Macroindicadores!M$7),IF(AND($I54="NOVO",MONTH($O54)=MONTH(BD$4)),AP54*(1+Macroindicadores!M$7),IF(AND($J54="PONTUAL",MONTH($O54)=MONTH(BD$4)),AP54*(1+Macroindicadores!M$7),IF(AND($J54="PONTUAL",MONTH($O54)&lt;MONTH(BD$4)),MIN($AS54:BC54),IF(AND($I54="NOVO",MONTH($O54)&gt;MONTH(BD$4)),AP54,IF(MONTH($O54)&gt;MONTH(BD$4),AP54,IF(MONTH($O54)=MONTH(BD$4),AP54*(1+Macroindicadores!M$7),BC54)))))))))</f>
        <v>2</v>
      </c>
      <c r="BE54" s="118">
        <f t="shared" si="36"/>
        <v>24</v>
      </c>
      <c r="BF54" s="108"/>
      <c r="BG54" s="117">
        <f>IF(ISBLANK(Q54),"",AS54/Macroindicadores!B$2)</f>
        <v>0.3401360544217687</v>
      </c>
      <c r="BH54" s="117">
        <f>IF(ISBLANK(R54),"",AT54/Macroindicadores!C$2)</f>
        <v>0.3401360544217687</v>
      </c>
      <c r="BI54" s="117">
        <f>IF(ISBLANK(S54),"",AU54/Macroindicadores!D$2)</f>
        <v>0.3401360544217687</v>
      </c>
      <c r="BJ54" s="117">
        <f>IF(ISBLANK(T54),"",AV54/Macroindicadores!E$2)</f>
        <v>0.3401360544217687</v>
      </c>
      <c r="BK54" s="117">
        <f>IF(ISBLANK(U54),"",AW54/Macroindicadores!F$2)</f>
        <v>0.3401360544217687</v>
      </c>
      <c r="BL54" s="117">
        <f>IF(ISBLANK(V54),"",AX54/Macroindicadores!G$2)</f>
        <v>0.3401360544217687</v>
      </c>
      <c r="BM54" s="117">
        <f>IF(ISBLANK(W54),"",AY54/Macroindicadores!H$2)</f>
        <v>0.3401360544217687</v>
      </c>
      <c r="BN54" s="117">
        <f>IF(ISBLANK(X54),"",AZ54/Macroindicadores!I$2)</f>
        <v>0.3401360544217687</v>
      </c>
      <c r="BO54" s="117">
        <f>IF(ISBLANK(Y54),"",BA54/Macroindicadores!J$2)</f>
        <v>0.3401360544217687</v>
      </c>
      <c r="BP54" s="117">
        <f>IF(ISBLANK(Z54),"",BB54/Macroindicadores!K$2)</f>
        <v>0.3401360544217687</v>
      </c>
      <c r="BQ54" s="117">
        <f>IF(ISBLANK(AA54),"",BC54/Macroindicadores!L$2)</f>
        <v>0.3401360544217687</v>
      </c>
      <c r="BR54" s="117">
        <f>IF(ISBLANK(AB54),"",BD54/Macroindicadores!M$2)</f>
        <v>0.3401360544217687</v>
      </c>
      <c r="BS54" s="118">
        <f>IF(AND(ISBLANK($Q54),ISBLANK($R54),ISBLANK($S54),ISBLANK($T54),ISBLANK($U54),ISBLANK($V54),ISBLANK($W54),ISBLANK($X54),ISBLANK($Y54),ISBLANK($Z54),ISBLANK($AA54),ISBLANK($AB54)),"",SUM(BG54:BR54))</f>
        <v>4.0816326530612246</v>
      </c>
      <c r="BT54" s="25" t="str">
        <f>IF(ISBLANK($L54),"",_xlfn.XLOOKUP($L54,'CENTRO CUSTO'!$A:$A,'CENTRO CUSTO'!$E:$E,FALSE,0))</f>
        <v>Custo Fixo</v>
      </c>
    </row>
    <row r="55" spans="1:72">
      <c r="A55" s="9" t="str">
        <f t="shared" si="40"/>
        <v>Budget</v>
      </c>
      <c r="B55" s="9">
        <f t="shared" si="44"/>
        <v>2026</v>
      </c>
      <c r="C55" s="111" t="str">
        <f>IF(ISBLANK($L55),"",_xlfn.XLOOKUP($L55,'CENTRO CUSTO'!$A:$A,'CENTRO CUSTO'!F:F,FALSE,0))</f>
        <v>Martini Meat</v>
      </c>
      <c r="D55" s="111" t="str">
        <f>IF(ISBLANK($L55),"",_xlfn.XLOOKUP($L55,'CENTRO CUSTO'!$A:$A,'CENTRO CUSTO'!G:G,FALSE,0))</f>
        <v>Recife 2</v>
      </c>
      <c r="E55" s="111" t="str">
        <f>IF(ISBLANK($L55),"",_xlfn.XLOOKUP($L55,'CENTRO CUSTO'!$A:$A,'CENTRO CUSTO'!H:H,FALSE,0))</f>
        <v>Frigorífico</v>
      </c>
      <c r="F55" s="112" t="s">
        <v>114</v>
      </c>
      <c r="G55" s="112" t="s">
        <v>75</v>
      </c>
      <c r="H55" s="112" t="s">
        <v>115</v>
      </c>
      <c r="I55" s="113" t="s">
        <v>77</v>
      </c>
      <c r="J55" s="113" t="s">
        <v>78</v>
      </c>
      <c r="K55" s="113" t="s">
        <v>79</v>
      </c>
      <c r="L55" s="113" t="s">
        <v>31</v>
      </c>
      <c r="M55" s="111" t="str">
        <f>IF(ISBLANK($L55),"",_xlfn.XLOOKUP($L55,'CENTRO CUSTO'!$A:$A,'CENTRO CUSTO'!D:D,FALSE,0))</f>
        <v>Alexandre Ayabe</v>
      </c>
      <c r="N55" s="113" t="s">
        <v>106</v>
      </c>
      <c r="O55" s="114"/>
      <c r="P55" s="113" t="s">
        <v>81</v>
      </c>
      <c r="Q55" s="115">
        <f>300000*Rateio!$E$139/12</f>
        <v>1250</v>
      </c>
      <c r="R55" s="115">
        <f>300000*Rateio!$E$139/12</f>
        <v>1250</v>
      </c>
      <c r="S55" s="115">
        <f>300000*Rateio!$E$139/12</f>
        <v>1250</v>
      </c>
      <c r="T55" s="115">
        <f>300000*Rateio!$E$139/12</f>
        <v>1250</v>
      </c>
      <c r="U55" s="115">
        <f>300000*Rateio!$E$139/12</f>
        <v>1250</v>
      </c>
      <c r="V55" s="115">
        <f>300000*Rateio!$E$139/12</f>
        <v>1250</v>
      </c>
      <c r="W55" s="115">
        <f>300000*Rateio!$E$139/12</f>
        <v>1250</v>
      </c>
      <c r="X55" s="115">
        <f>300000*Rateio!$E$139/12</f>
        <v>1250</v>
      </c>
      <c r="Y55" s="115">
        <f>300000*Rateio!$E$139/12</f>
        <v>1250</v>
      </c>
      <c r="Z55" s="115">
        <f>300000*Rateio!$E$139/12</f>
        <v>1250</v>
      </c>
      <c r="AA55" s="115">
        <f>300000*Rateio!$E$139/12</f>
        <v>1250</v>
      </c>
      <c r="AB55" s="115">
        <f>300000*Rateio!$E$139/12</f>
        <v>1250</v>
      </c>
      <c r="AC55" s="116">
        <f t="shared" si="41"/>
        <v>15000</v>
      </c>
      <c r="AD55" s="108"/>
      <c r="AE55" s="117">
        <f>IF(ISBLANK(Q55),"",IF($P55="BRL",Q55,Q55*Macroindicadores!B$2)/1000)</f>
        <v>1.25</v>
      </c>
      <c r="AF55" s="117">
        <f>IF(ISBLANK(R55),"",IF($P55="BRL",R55,R55*Macroindicadores!C$2)/1000)</f>
        <v>1.25</v>
      </c>
      <c r="AG55" s="117">
        <f>IF(ISBLANK(S55),"",IF($P55="BRL",S55,S55*Macroindicadores!D$2)/1000)</f>
        <v>1.25</v>
      </c>
      <c r="AH55" s="117">
        <f>IF(ISBLANK(T55),"",IF($P55="BRL",T55,T55*Macroindicadores!E$2)/1000)</f>
        <v>1.25</v>
      </c>
      <c r="AI55" s="117">
        <f>IF(ISBLANK(U55),"",IF($P55="BRL",U55,U55*Macroindicadores!F$2)/1000)</f>
        <v>1.25</v>
      </c>
      <c r="AJ55" s="117">
        <f>IF(ISBLANK(V55),"",IF($P55="BRL",V55,V55*Macroindicadores!G$2)/1000)</f>
        <v>1.25</v>
      </c>
      <c r="AK55" s="117">
        <f>IF(ISBLANK(W55),"",IF($P55="BRL",W55,W55*Macroindicadores!H$2)/1000)</f>
        <v>1.25</v>
      </c>
      <c r="AL55" s="117">
        <f>IF(ISBLANK(X55),"",IF($P55="BRL",X55,X55*Macroindicadores!I$2)/1000)</f>
        <v>1.25</v>
      </c>
      <c r="AM55" s="117">
        <f>IF(ISBLANK(Y55),"",IF($P55="BRL",Y55,Y55*Macroindicadores!J$2)/1000)</f>
        <v>1.25</v>
      </c>
      <c r="AN55" s="117">
        <f>IF(ISBLANK(Z55),"",IF($P55="BRL",Z55,Z55*Macroindicadores!K$2)/1000)</f>
        <v>1.25</v>
      </c>
      <c r="AO55" s="117">
        <f>IF(ISBLANK(AA55),"",IF($P55="BRL",AA55,AA55*Macroindicadores!L$2)/1000)</f>
        <v>1.25</v>
      </c>
      <c r="AP55" s="117">
        <f>IF(ISBLANK(AB55),"",IF($P55="BRL",AB55,AB55*Macroindicadores!M$2)/1000)</f>
        <v>1.25</v>
      </c>
      <c r="AQ55" s="118">
        <f t="shared" si="35"/>
        <v>15</v>
      </c>
      <c r="AR55" s="108"/>
      <c r="AS55" s="117">
        <f>IF(ISBLANK(Q55),"",IF(ISBLANK($O55),AE55,IF($J55="ANUAL",AE55*(1+Macroindicadores!B$7),IF(AND($I55="NOVO",MONTH($O55)=MONTH(AS$4)),AE55*(1+Macroindicadores!B$7),IF(AND($J55="PONTUAL",MONTH($O55)=MONTH(AS$4)),AE55*(1+Macroindicadores!B$7),IF(AND($J55="PONTUAL",MONTH($O55)&lt;MONTH(AS$4)),MIN(AR55:$AS55),IF(AND($I55="NOVO",MONTH($O55)&gt;MONTH(AS$4)),AE55,IF(MONTH($O55)&gt;MONTH(AS$4),AE55,IF(MONTH($O55)=MONTH(AS$4),AE55*(1+Macroindicadores!B$7),AR55)))))))))</f>
        <v>1.25</v>
      </c>
      <c r="AT55" s="117">
        <f>IF(ISBLANK(R55),"",IF(ISBLANK($O55),AF55,IF($J55="ANUAL",AF55*(1+Macroindicadores!C$7),IF(AND($I55="NOVO",MONTH($O55)=MONTH(AT$4)),AF55*(1+Macroindicadores!C$7),IF(AND($J55="PONTUAL",MONTH($O55)=MONTH(AT$4)),AF55*(1+Macroindicadores!C$7),IF(AND($J55="PONTUAL",MONTH($O55)&lt;MONTH(AT$4)),MIN($AS55:AS55),IF(AND($I55="NOVO",MONTH($O55)&gt;MONTH(AT$4)),AF55,IF(MONTH($O55)&gt;MONTH(AT$4),AF55,IF(MONTH($O55)=MONTH(AT$4),AF55*(1+Macroindicadores!C$7),AS55)))))))))</f>
        <v>1.25</v>
      </c>
      <c r="AU55" s="117">
        <f>IF(ISBLANK(S55),"",IF(ISBLANK($O55),AG55,IF($J55="ANUAL",AG55*(1+Macroindicadores!D$7),IF(AND($I55="NOVO",MONTH($O55)=MONTH(AU$4)),AG55*(1+Macroindicadores!D$7),IF(AND($J55="PONTUAL",MONTH($O55)=MONTH(AU$4)),AG55*(1+Macroindicadores!D$7),IF(AND($J55="PONTUAL",MONTH($O55)&lt;MONTH(AU$4)),MIN($AS55:AT55),IF(AND($I55="NOVO",MONTH($O55)&gt;MONTH(AU$4)),AG55,IF(MONTH($O55)&gt;MONTH(AU$4),AG55,IF(MONTH($O55)=MONTH(AU$4),AG55*(1+Macroindicadores!D$7),AT55)))))))))</f>
        <v>1.25</v>
      </c>
      <c r="AV55" s="117">
        <f>IF(ISBLANK(T55),"",IF(ISBLANK($O55),AH55,IF($J55="ANUAL",AH55*(1+Macroindicadores!E$7),IF(AND($I55="NOVO",MONTH($O55)=MONTH(AV$4)),AH55*(1+Macroindicadores!E$7),IF(AND($J55="PONTUAL",MONTH($O55)=MONTH(AV$4)),AH55*(1+Macroindicadores!E$7),IF(AND($J55="PONTUAL",MONTH($O55)&lt;MONTH(AV$4)),MIN($AS55:AU55),IF(AND($I55="NOVO",MONTH($O55)&gt;MONTH(AV$4)),AH55,IF(MONTH($O55)&gt;MONTH(AV$4),AH55,IF(MONTH($O55)=MONTH(AV$4),AH55*(1+Macroindicadores!E$7),AU55)))))))))</f>
        <v>1.25</v>
      </c>
      <c r="AW55" s="117">
        <f>IF(ISBLANK(U55),"",IF(ISBLANK($O55),AI55,IF($J55="ANUAL",AI55*(1+Macroindicadores!F$7),IF(AND($I55="NOVO",MONTH($O55)=MONTH(AW$4)),AI55*(1+Macroindicadores!F$7),IF(AND($J55="PONTUAL",MONTH($O55)=MONTH(AW$4)),AI55*(1+Macroindicadores!F$7),IF(AND($J55="PONTUAL",MONTH($O55)&lt;MONTH(AW$4)),MIN($AS55:AV55),IF(AND($I55="NOVO",MONTH($O55)&gt;MONTH(AW$4)),AI55,IF(MONTH($O55)&gt;MONTH(AW$4),AI55,IF(MONTH($O55)=MONTH(AW$4),AI55*(1+Macroindicadores!F$7),AV55)))))))))</f>
        <v>1.25</v>
      </c>
      <c r="AX55" s="117">
        <f>IF(ISBLANK(V55),"",IF(ISBLANK($O55),AJ55,IF($J55="ANUAL",AJ55*(1+Macroindicadores!G$7),IF(AND($I55="NOVO",MONTH($O55)=MONTH(AX$4)),AJ55*(1+Macroindicadores!G$7),IF(AND($J55="PONTUAL",MONTH($O55)=MONTH(AX$4)),AJ55*(1+Macroindicadores!G$7),IF(AND($J55="PONTUAL",MONTH($O55)&lt;MONTH(AX$4)),MIN($AS55:AW55),IF(AND($I55="NOVO",MONTH($O55)&gt;MONTH(AX$4)),AJ55,IF(MONTH($O55)&gt;MONTH(AX$4),AJ55,IF(MONTH($O55)=MONTH(AX$4),AJ55*(1+Macroindicadores!G$7),AW55)))))))))</f>
        <v>1.25</v>
      </c>
      <c r="AY55" s="117">
        <f>IF(ISBLANK(W55),"",IF(ISBLANK($O55),AK55,IF($J55="ANUAL",AK55*(1+Macroindicadores!H$7),IF(AND($I55="NOVO",MONTH($O55)=MONTH(AY$4)),AK55*(1+Macroindicadores!H$7),IF(AND($J55="PONTUAL",MONTH($O55)=MONTH(AY$4)),AK55*(1+Macroindicadores!H$7),IF(AND($J55="PONTUAL",MONTH($O55)&lt;MONTH(AY$4)),MIN($AS55:AX55),IF(AND($I55="NOVO",MONTH($O55)&gt;MONTH(AY$4)),AK55,IF(MONTH($O55)&gt;MONTH(AY$4),AK55,IF(MONTH($O55)=MONTH(AY$4),AK55*(1+Macroindicadores!H$7),AX55)))))))))</f>
        <v>1.25</v>
      </c>
      <c r="AZ55" s="117">
        <f>IF(ISBLANK(X55),"",IF(ISBLANK($O55),AL55,IF($J55="ANUAL",AL55*(1+Macroindicadores!I$7),IF(AND($I55="NOVO",MONTH($O55)=MONTH(AZ$4)),AL55*(1+Macroindicadores!I$7),IF(AND($J55="PONTUAL",MONTH($O55)=MONTH(AZ$4)),AL55*(1+Macroindicadores!I$7),IF(AND($J55="PONTUAL",MONTH($O55)&lt;MONTH(AZ$4)),MIN($AS55:AY55),IF(AND($I55="NOVO",MONTH($O55)&gt;MONTH(AZ$4)),AL55,IF(MONTH($O55)&gt;MONTH(AZ$4),AL55,IF(MONTH($O55)=MONTH(AZ$4),AL55*(1+Macroindicadores!I$7),AY55)))))))))</f>
        <v>1.25</v>
      </c>
      <c r="BA55" s="117">
        <f>IF(ISBLANK(Y55),"",IF(ISBLANK($O55),AM55,IF($J55="ANUAL",AM55*(1+Macroindicadores!J$7),IF(AND($I55="NOVO",MONTH($O55)=MONTH(BA$4)),AM55*(1+Macroindicadores!J$7),IF(AND($J55="PONTUAL",MONTH($O55)=MONTH(BA$4)),AM55*(1+Macroindicadores!J$7),IF(AND($J55="PONTUAL",MONTH($O55)&lt;MONTH(BA$4)),MIN($AS55:AZ55),IF(AND($I55="NOVO",MONTH($O55)&gt;MONTH(BA$4)),AM55,IF(MONTH($O55)&gt;MONTH(BA$4),AM55,IF(MONTH($O55)=MONTH(BA$4),AM55*(1+Macroindicadores!J$7),AZ55)))))))))</f>
        <v>1.25</v>
      </c>
      <c r="BB55" s="117">
        <f>IF(ISBLANK(Z55),"",IF(ISBLANK($O55),AN55,IF($J55="ANUAL",AN55*(1+Macroindicadores!K$7),IF(AND($I55="NOVO",MONTH($O55)=MONTH(BB$4)),AN55*(1+Macroindicadores!K$7),IF(AND($J55="PONTUAL",MONTH($O55)=MONTH(BB$4)),AN55*(1+Macroindicadores!K$7),IF(AND($J55="PONTUAL",MONTH($O55)&lt;MONTH(BB$4)),MIN($AS55:BA55),IF(AND($I55="NOVO",MONTH($O55)&gt;MONTH(BB$4)),AN55,IF(MONTH($O55)&gt;MONTH(BB$4),AN55,IF(MONTH($O55)=MONTH(BB$4),AN55*(1+Macroindicadores!K$7),BA55)))))))))</f>
        <v>1.25</v>
      </c>
      <c r="BC55" s="117">
        <f>IF(ISBLANK(AA55),"",IF(ISBLANK($O55),AO55,IF($J55="ANUAL",AO55*(1+Macroindicadores!L$7),IF(AND($I55="NOVO",MONTH($O55)=MONTH(BC$4)),AO55*(1+Macroindicadores!L$7),IF(AND($J55="PONTUAL",MONTH($O55)=MONTH(BC$4)),AO55*(1+Macroindicadores!L$7),IF(AND($J55="PONTUAL",MONTH($O55)&lt;MONTH(BC$4)),MIN($AS55:BB55),IF(AND($I55="NOVO",MONTH($O55)&gt;MONTH(BC$4)),AO55,IF(MONTH($O55)&gt;MONTH(BC$4),AO55,IF(MONTH($O55)=MONTH(BC$4),AO55*(1+Macroindicadores!L$7),BB55)))))))))</f>
        <v>1.25</v>
      </c>
      <c r="BD55" s="117">
        <f>IF(ISBLANK(AB55),"",IF(ISBLANK($O55),AP55,IF($J55="ANUAL",AP55*(1+Macroindicadores!M$7),IF(AND($I55="NOVO",MONTH($O55)=MONTH(BD$4)),AP55*(1+Macroindicadores!M$7),IF(AND($J55="PONTUAL",MONTH($O55)=MONTH(BD$4)),AP55*(1+Macroindicadores!M$7),IF(AND($J55="PONTUAL",MONTH($O55)&lt;MONTH(BD$4)),MIN($AS55:BC55),IF(AND($I55="NOVO",MONTH($O55)&gt;MONTH(BD$4)),AP55,IF(MONTH($O55)&gt;MONTH(BD$4),AP55,IF(MONTH($O55)=MONTH(BD$4),AP55*(1+Macroindicadores!M$7),BC55)))))))))</f>
        <v>1.25</v>
      </c>
      <c r="BE55" s="118">
        <f t="shared" si="36"/>
        <v>15</v>
      </c>
      <c r="BF55" s="108"/>
      <c r="BG55" s="117">
        <f>IF(ISBLANK(Q55),"",AS55/Macroindicadores!B$2)</f>
        <v>0.21258503401360546</v>
      </c>
      <c r="BH55" s="117">
        <f>IF(ISBLANK(R55),"",AT55/Macroindicadores!C$2)</f>
        <v>0.21258503401360546</v>
      </c>
      <c r="BI55" s="117">
        <f>IF(ISBLANK(S55),"",AU55/Macroindicadores!D$2)</f>
        <v>0.21258503401360546</v>
      </c>
      <c r="BJ55" s="117">
        <f>IF(ISBLANK(T55),"",AV55/Macroindicadores!E$2)</f>
        <v>0.21258503401360546</v>
      </c>
      <c r="BK55" s="117">
        <f>IF(ISBLANK(U55),"",AW55/Macroindicadores!F$2)</f>
        <v>0.21258503401360546</v>
      </c>
      <c r="BL55" s="117">
        <f>IF(ISBLANK(V55),"",AX55/Macroindicadores!G$2)</f>
        <v>0.21258503401360546</v>
      </c>
      <c r="BM55" s="117">
        <f>IF(ISBLANK(W55),"",AY55/Macroindicadores!H$2)</f>
        <v>0.21258503401360546</v>
      </c>
      <c r="BN55" s="117">
        <f>IF(ISBLANK(X55),"",AZ55/Macroindicadores!I$2)</f>
        <v>0.21258503401360546</v>
      </c>
      <c r="BO55" s="117">
        <f>IF(ISBLANK(Y55),"",BA55/Macroindicadores!J$2)</f>
        <v>0.21258503401360546</v>
      </c>
      <c r="BP55" s="117">
        <f>IF(ISBLANK(Z55),"",BB55/Macroindicadores!K$2)</f>
        <v>0.21258503401360546</v>
      </c>
      <c r="BQ55" s="117">
        <f>IF(ISBLANK(AA55),"",BC55/Macroindicadores!L$2)</f>
        <v>0.21258503401360546</v>
      </c>
      <c r="BR55" s="117">
        <f>IF(ISBLANK(AB55),"",BD55/Macroindicadores!M$2)</f>
        <v>0.21258503401360546</v>
      </c>
      <c r="BS55" s="118">
        <f>IF(AND(ISBLANK($Q55),ISBLANK($R55),ISBLANK($S55),ISBLANK($T55),ISBLANK($U55),ISBLANK($V55),ISBLANK($W55),ISBLANK($X55),ISBLANK($Y55),ISBLANK($Z55),ISBLANK($AA55),ISBLANK($AB55)),"",SUM(BG55:BR55))</f>
        <v>2.5510204081632657</v>
      </c>
      <c r="BT55" s="25" t="str">
        <f>IF(ISBLANK($L55),"",_xlfn.XLOOKUP($L55,'CENTRO CUSTO'!$A:$A,'CENTRO CUSTO'!$E:$E,FALSE,0))</f>
        <v>Custo Fixo</v>
      </c>
    </row>
    <row r="56" spans="1:72">
      <c r="A56" s="9" t="str">
        <f t="shared" si="40"/>
        <v>Budget</v>
      </c>
      <c r="B56" s="9">
        <f t="shared" si="44"/>
        <v>2026</v>
      </c>
      <c r="C56" s="111" t="str">
        <f>IF(ISBLANK($L56),"",_xlfn.XLOOKUP($L56,'CENTRO CUSTO'!$A:$A,'CENTRO CUSTO'!F:F,FALSE,0))</f>
        <v>MRV</v>
      </c>
      <c r="D56" s="111" t="str">
        <f>IF(ISBLANK($L56),"",_xlfn.XLOOKUP($L56,'CENTRO CUSTO'!$A:$A,'CENTRO CUSTO'!G:G,FALSE,0))</f>
        <v>Velopark</v>
      </c>
      <c r="E56" s="111" t="str">
        <f>IF(ISBLANK($L56),"",_xlfn.XLOOKUP($L56,'CENTRO CUSTO'!$A:$A,'CENTRO CUSTO'!H:H,FALSE,0))</f>
        <v>Frigorífico</v>
      </c>
      <c r="F56" s="112" t="s">
        <v>114</v>
      </c>
      <c r="G56" s="112" t="s">
        <v>75</v>
      </c>
      <c r="H56" s="112" t="s">
        <v>115</v>
      </c>
      <c r="I56" s="113" t="s">
        <v>77</v>
      </c>
      <c r="J56" s="113" t="s">
        <v>78</v>
      </c>
      <c r="K56" s="113" t="s">
        <v>79</v>
      </c>
      <c r="L56" s="113" t="s">
        <v>43</v>
      </c>
      <c r="M56" s="111" t="str">
        <f>IF(ISBLANK($L56),"",_xlfn.XLOOKUP($L56,'CENTRO CUSTO'!$A:$A,'CENTRO CUSTO'!D:D,FALSE,0))</f>
        <v>Alexandre Ayabe</v>
      </c>
      <c r="N56" s="113" t="s">
        <v>106</v>
      </c>
      <c r="O56" s="114"/>
      <c r="P56" s="113" t="s">
        <v>81</v>
      </c>
      <c r="Q56" s="115">
        <f>300000*Rateio!$E$142/12</f>
        <v>4000</v>
      </c>
      <c r="R56" s="115">
        <f>300000*Rateio!$E$142/12</f>
        <v>4000</v>
      </c>
      <c r="S56" s="115">
        <f>300000*Rateio!$E$142/12</f>
        <v>4000</v>
      </c>
      <c r="T56" s="115">
        <f>300000*Rateio!$E$142/12</f>
        <v>4000</v>
      </c>
      <c r="U56" s="115">
        <f>300000*Rateio!$E$142/12</f>
        <v>4000</v>
      </c>
      <c r="V56" s="115">
        <f>300000*Rateio!$E$142/12</f>
        <v>4000</v>
      </c>
      <c r="W56" s="115">
        <f>300000*Rateio!$E$142/12</f>
        <v>4000</v>
      </c>
      <c r="X56" s="115">
        <f>300000*Rateio!$E$142/12</f>
        <v>4000</v>
      </c>
      <c r="Y56" s="115">
        <f>300000*Rateio!$E$142/12</f>
        <v>4000</v>
      </c>
      <c r="Z56" s="115">
        <f>300000*Rateio!$E$142/12</f>
        <v>4000</v>
      </c>
      <c r="AA56" s="115">
        <f>300000*Rateio!$E$142/12</f>
        <v>4000</v>
      </c>
      <c r="AB56" s="115">
        <f>300000*Rateio!$E$142/12</f>
        <v>4000</v>
      </c>
      <c r="AC56" s="116">
        <f t="shared" si="41"/>
        <v>48000</v>
      </c>
      <c r="AD56" s="108"/>
      <c r="AE56" s="117">
        <f>IF(ISBLANK(Q56),"",IF($P56="BRL",Q56,Q56*Macroindicadores!B$2)/1000)</f>
        <v>4</v>
      </c>
      <c r="AF56" s="117">
        <f>IF(ISBLANK(R56),"",IF($P56="BRL",R56,R56*Macroindicadores!C$2)/1000)</f>
        <v>4</v>
      </c>
      <c r="AG56" s="117">
        <f>IF(ISBLANK(S56),"",IF($P56="BRL",S56,S56*Macroindicadores!D$2)/1000)</f>
        <v>4</v>
      </c>
      <c r="AH56" s="117">
        <f>IF(ISBLANK(T56),"",IF($P56="BRL",T56,T56*Macroindicadores!E$2)/1000)</f>
        <v>4</v>
      </c>
      <c r="AI56" s="117">
        <f>IF(ISBLANK(U56),"",IF($P56="BRL",U56,U56*Macroindicadores!F$2)/1000)</f>
        <v>4</v>
      </c>
      <c r="AJ56" s="117">
        <f>IF(ISBLANK(V56),"",IF($P56="BRL",V56,V56*Macroindicadores!G$2)/1000)</f>
        <v>4</v>
      </c>
      <c r="AK56" s="117">
        <f>IF(ISBLANK(W56),"",IF($P56="BRL",W56,W56*Macroindicadores!H$2)/1000)</f>
        <v>4</v>
      </c>
      <c r="AL56" s="117">
        <f>IF(ISBLANK(X56),"",IF($P56="BRL",X56,X56*Macroindicadores!I$2)/1000)</f>
        <v>4</v>
      </c>
      <c r="AM56" s="117">
        <f>IF(ISBLANK(Y56),"",IF($P56="BRL",Y56,Y56*Macroindicadores!J$2)/1000)</f>
        <v>4</v>
      </c>
      <c r="AN56" s="117">
        <f>IF(ISBLANK(Z56),"",IF($P56="BRL",Z56,Z56*Macroindicadores!K$2)/1000)</f>
        <v>4</v>
      </c>
      <c r="AO56" s="117">
        <f>IF(ISBLANK(AA56),"",IF($P56="BRL",AA56,AA56*Macroindicadores!L$2)/1000)</f>
        <v>4</v>
      </c>
      <c r="AP56" s="117">
        <f>IF(ISBLANK(AB56),"",IF($P56="BRL",AB56,AB56*Macroindicadores!M$2)/1000)</f>
        <v>4</v>
      </c>
      <c r="AQ56" s="118">
        <f t="shared" si="35"/>
        <v>48</v>
      </c>
      <c r="AR56" s="108"/>
      <c r="AS56" s="117">
        <f>IF(ISBLANK(Q56),"",IF(ISBLANK($O56),AE56,IF($J56="ANUAL",AE56*(1+Macroindicadores!B$7),IF(AND($I56="NOVO",MONTH($O56)=MONTH(AS$4)),AE56*(1+Macroindicadores!B$7),IF(AND($J56="PONTUAL",MONTH($O56)=MONTH(AS$4)),AE56*(1+Macroindicadores!B$7),IF(AND($J56="PONTUAL",MONTH($O56)&lt;MONTH(AS$4)),MIN(AR56:$AS56),IF(AND($I56="NOVO",MONTH($O56)&gt;MONTH(AS$4)),AE56,IF(MONTH($O56)&gt;MONTH(AS$4),AE56,IF(MONTH($O56)=MONTH(AS$4),AE56*(1+Macroindicadores!B$7),AR56)))))))))</f>
        <v>4</v>
      </c>
      <c r="AT56" s="117">
        <f>IF(ISBLANK(R56),"",IF(ISBLANK($O56),AF56,IF($J56="ANUAL",AF56*(1+Macroindicadores!C$7),IF(AND($I56="NOVO",MONTH($O56)=MONTH(AT$4)),AF56*(1+Macroindicadores!C$7),IF(AND($J56="PONTUAL",MONTH($O56)=MONTH(AT$4)),AF56*(1+Macroindicadores!C$7),IF(AND($J56="PONTUAL",MONTH($O56)&lt;MONTH(AT$4)),MIN($AS56:AS56),IF(AND($I56="NOVO",MONTH($O56)&gt;MONTH(AT$4)),AF56,IF(MONTH($O56)&gt;MONTH(AT$4),AF56,IF(MONTH($O56)=MONTH(AT$4),AF56*(1+Macroindicadores!C$7),AS56)))))))))</f>
        <v>4</v>
      </c>
      <c r="AU56" s="117">
        <f>IF(ISBLANK(S56),"",IF(ISBLANK($O56),AG56,IF($J56="ANUAL",AG56*(1+Macroindicadores!D$7),IF(AND($I56="NOVO",MONTH($O56)=MONTH(AU$4)),AG56*(1+Macroindicadores!D$7),IF(AND($J56="PONTUAL",MONTH($O56)=MONTH(AU$4)),AG56*(1+Macroindicadores!D$7),IF(AND($J56="PONTUAL",MONTH($O56)&lt;MONTH(AU$4)),MIN($AS56:AT56),IF(AND($I56="NOVO",MONTH($O56)&gt;MONTH(AU$4)),AG56,IF(MONTH($O56)&gt;MONTH(AU$4),AG56,IF(MONTH($O56)=MONTH(AU$4),AG56*(1+Macroindicadores!D$7),AT56)))))))))</f>
        <v>4</v>
      </c>
      <c r="AV56" s="117">
        <f>IF(ISBLANK(T56),"",IF(ISBLANK($O56),AH56,IF($J56="ANUAL",AH56*(1+Macroindicadores!E$7),IF(AND($I56="NOVO",MONTH($O56)=MONTH(AV$4)),AH56*(1+Macroindicadores!E$7),IF(AND($J56="PONTUAL",MONTH($O56)=MONTH(AV$4)),AH56*(1+Macroindicadores!E$7),IF(AND($J56="PONTUAL",MONTH($O56)&lt;MONTH(AV$4)),MIN($AS56:AU56),IF(AND($I56="NOVO",MONTH($O56)&gt;MONTH(AV$4)),AH56,IF(MONTH($O56)&gt;MONTH(AV$4),AH56,IF(MONTH($O56)=MONTH(AV$4),AH56*(1+Macroindicadores!E$7),AU56)))))))))</f>
        <v>4</v>
      </c>
      <c r="AW56" s="117">
        <f>IF(ISBLANK(U56),"",IF(ISBLANK($O56),AI56,IF($J56="ANUAL",AI56*(1+Macroindicadores!F$7),IF(AND($I56="NOVO",MONTH($O56)=MONTH(AW$4)),AI56*(1+Macroindicadores!F$7),IF(AND($J56="PONTUAL",MONTH($O56)=MONTH(AW$4)),AI56*(1+Macroindicadores!F$7),IF(AND($J56="PONTUAL",MONTH($O56)&lt;MONTH(AW$4)),MIN($AS56:AV56),IF(AND($I56="NOVO",MONTH($O56)&gt;MONTH(AW$4)),AI56,IF(MONTH($O56)&gt;MONTH(AW$4),AI56,IF(MONTH($O56)=MONTH(AW$4),AI56*(1+Macroindicadores!F$7),AV56)))))))))</f>
        <v>4</v>
      </c>
      <c r="AX56" s="117">
        <f>IF(ISBLANK(V56),"",IF(ISBLANK($O56),AJ56,IF($J56="ANUAL",AJ56*(1+Macroindicadores!G$7),IF(AND($I56="NOVO",MONTH($O56)=MONTH(AX$4)),AJ56*(1+Macroindicadores!G$7),IF(AND($J56="PONTUAL",MONTH($O56)=MONTH(AX$4)),AJ56*(1+Macroindicadores!G$7),IF(AND($J56="PONTUAL",MONTH($O56)&lt;MONTH(AX$4)),MIN($AS56:AW56),IF(AND($I56="NOVO",MONTH($O56)&gt;MONTH(AX$4)),AJ56,IF(MONTH($O56)&gt;MONTH(AX$4),AJ56,IF(MONTH($O56)=MONTH(AX$4),AJ56*(1+Macroindicadores!G$7),AW56)))))))))</f>
        <v>4</v>
      </c>
      <c r="AY56" s="117">
        <f>IF(ISBLANK(W56),"",IF(ISBLANK($O56),AK56,IF($J56="ANUAL",AK56*(1+Macroindicadores!H$7),IF(AND($I56="NOVO",MONTH($O56)=MONTH(AY$4)),AK56*(1+Macroindicadores!H$7),IF(AND($J56="PONTUAL",MONTH($O56)=MONTH(AY$4)),AK56*(1+Macroindicadores!H$7),IF(AND($J56="PONTUAL",MONTH($O56)&lt;MONTH(AY$4)),MIN($AS56:AX56),IF(AND($I56="NOVO",MONTH($O56)&gt;MONTH(AY$4)),AK56,IF(MONTH($O56)&gt;MONTH(AY$4),AK56,IF(MONTH($O56)=MONTH(AY$4),AK56*(1+Macroindicadores!H$7),AX56)))))))))</f>
        <v>4</v>
      </c>
      <c r="AZ56" s="117">
        <f>IF(ISBLANK(X56),"",IF(ISBLANK($O56),AL56,IF($J56="ANUAL",AL56*(1+Macroindicadores!I$7),IF(AND($I56="NOVO",MONTH($O56)=MONTH(AZ$4)),AL56*(1+Macroindicadores!I$7),IF(AND($J56="PONTUAL",MONTH($O56)=MONTH(AZ$4)),AL56*(1+Macroindicadores!I$7),IF(AND($J56="PONTUAL",MONTH($O56)&lt;MONTH(AZ$4)),MIN($AS56:AY56),IF(AND($I56="NOVO",MONTH($O56)&gt;MONTH(AZ$4)),AL56,IF(MONTH($O56)&gt;MONTH(AZ$4),AL56,IF(MONTH($O56)=MONTH(AZ$4),AL56*(1+Macroindicadores!I$7),AY56)))))))))</f>
        <v>4</v>
      </c>
      <c r="BA56" s="117">
        <f>IF(ISBLANK(Y56),"",IF(ISBLANK($O56),AM56,IF($J56="ANUAL",AM56*(1+Macroindicadores!J$7),IF(AND($I56="NOVO",MONTH($O56)=MONTH(BA$4)),AM56*(1+Macroindicadores!J$7),IF(AND($J56="PONTUAL",MONTH($O56)=MONTH(BA$4)),AM56*(1+Macroindicadores!J$7),IF(AND($J56="PONTUAL",MONTH($O56)&lt;MONTH(BA$4)),MIN($AS56:AZ56),IF(AND($I56="NOVO",MONTH($O56)&gt;MONTH(BA$4)),AM56,IF(MONTH($O56)&gt;MONTH(BA$4),AM56,IF(MONTH($O56)=MONTH(BA$4),AM56*(1+Macroindicadores!J$7),AZ56)))))))))</f>
        <v>4</v>
      </c>
      <c r="BB56" s="117">
        <f>IF(ISBLANK(Z56),"",IF(ISBLANK($O56),AN56,IF($J56="ANUAL",AN56*(1+Macroindicadores!K$7),IF(AND($I56="NOVO",MONTH($O56)=MONTH(BB$4)),AN56*(1+Macroindicadores!K$7),IF(AND($J56="PONTUAL",MONTH($O56)=MONTH(BB$4)),AN56*(1+Macroindicadores!K$7),IF(AND($J56="PONTUAL",MONTH($O56)&lt;MONTH(BB$4)),MIN($AS56:BA56),IF(AND($I56="NOVO",MONTH($O56)&gt;MONTH(BB$4)),AN56,IF(MONTH($O56)&gt;MONTH(BB$4),AN56,IF(MONTH($O56)=MONTH(BB$4),AN56*(1+Macroindicadores!K$7),BA56)))))))))</f>
        <v>4</v>
      </c>
      <c r="BC56" s="117">
        <f>IF(ISBLANK(AA56),"",IF(ISBLANK($O56),AO56,IF($J56="ANUAL",AO56*(1+Macroindicadores!L$7),IF(AND($I56="NOVO",MONTH($O56)=MONTH(BC$4)),AO56*(1+Macroindicadores!L$7),IF(AND($J56="PONTUAL",MONTH($O56)=MONTH(BC$4)),AO56*(1+Macroindicadores!L$7),IF(AND($J56="PONTUAL",MONTH($O56)&lt;MONTH(BC$4)),MIN($AS56:BB56),IF(AND($I56="NOVO",MONTH($O56)&gt;MONTH(BC$4)),AO56,IF(MONTH($O56)&gt;MONTH(BC$4),AO56,IF(MONTH($O56)=MONTH(BC$4),AO56*(1+Macroindicadores!L$7),BB56)))))))))</f>
        <v>4</v>
      </c>
      <c r="BD56" s="117">
        <f>IF(ISBLANK(AB56),"",IF(ISBLANK($O56),AP56,IF($J56="ANUAL",AP56*(1+Macroindicadores!M$7),IF(AND($I56="NOVO",MONTH($O56)=MONTH(BD$4)),AP56*(1+Macroindicadores!M$7),IF(AND($J56="PONTUAL",MONTH($O56)=MONTH(BD$4)),AP56*(1+Macroindicadores!M$7),IF(AND($J56="PONTUAL",MONTH($O56)&lt;MONTH(BD$4)),MIN($AS56:BC56),IF(AND($I56="NOVO",MONTH($O56)&gt;MONTH(BD$4)),AP56,IF(MONTH($O56)&gt;MONTH(BD$4),AP56,IF(MONTH($O56)=MONTH(BD$4),AP56*(1+Macroindicadores!M$7),BC56)))))))))</f>
        <v>4</v>
      </c>
      <c r="BE56" s="118">
        <f t="shared" si="36"/>
        <v>48</v>
      </c>
      <c r="BF56" s="108"/>
      <c r="BG56" s="117">
        <f>IF(ISBLANK(Q56),"",AS56/Macroindicadores!B$2)</f>
        <v>0.68027210884353739</v>
      </c>
      <c r="BH56" s="117">
        <f>IF(ISBLANK(R56),"",AT56/Macroindicadores!C$2)</f>
        <v>0.68027210884353739</v>
      </c>
      <c r="BI56" s="117">
        <f>IF(ISBLANK(S56),"",AU56/Macroindicadores!D$2)</f>
        <v>0.68027210884353739</v>
      </c>
      <c r="BJ56" s="117">
        <f>IF(ISBLANK(T56),"",AV56/Macroindicadores!E$2)</f>
        <v>0.68027210884353739</v>
      </c>
      <c r="BK56" s="117">
        <f>IF(ISBLANK(U56),"",AW56/Macroindicadores!F$2)</f>
        <v>0.68027210884353739</v>
      </c>
      <c r="BL56" s="117">
        <f>IF(ISBLANK(V56),"",AX56/Macroindicadores!G$2)</f>
        <v>0.68027210884353739</v>
      </c>
      <c r="BM56" s="117">
        <f>IF(ISBLANK(W56),"",AY56/Macroindicadores!H$2)</f>
        <v>0.68027210884353739</v>
      </c>
      <c r="BN56" s="117">
        <f>IF(ISBLANK(X56),"",AZ56/Macroindicadores!I$2)</f>
        <v>0.68027210884353739</v>
      </c>
      <c r="BO56" s="117">
        <f>IF(ISBLANK(Y56),"",BA56/Macroindicadores!J$2)</f>
        <v>0.68027210884353739</v>
      </c>
      <c r="BP56" s="117">
        <f>IF(ISBLANK(Z56),"",BB56/Macroindicadores!K$2)</f>
        <v>0.68027210884353739</v>
      </c>
      <c r="BQ56" s="117">
        <f>IF(ISBLANK(AA56),"",BC56/Macroindicadores!L$2)</f>
        <v>0.68027210884353739</v>
      </c>
      <c r="BR56" s="117">
        <f>IF(ISBLANK(AB56),"",BD56/Macroindicadores!M$2)</f>
        <v>0.68027210884353739</v>
      </c>
      <c r="BS56" s="118">
        <f>IF(AND(ISBLANK($Q56),ISBLANK($R56),ISBLANK($S56),ISBLANK($T56),ISBLANK($U56),ISBLANK($V56),ISBLANK($W56),ISBLANK($X56),ISBLANK($Y56),ISBLANK($Z56),ISBLANK($AA56),ISBLANK($AB56)),"",SUM(BG56:BR56))</f>
        <v>8.1632653061224492</v>
      </c>
      <c r="BT56" s="25" t="str">
        <f>IF(ISBLANK($L56),"",_xlfn.XLOOKUP($L56,'CENTRO CUSTO'!$A:$A,'CENTRO CUSTO'!$E:$E,FALSE,0))</f>
        <v>Custo Fixo</v>
      </c>
    </row>
    <row r="57" spans="1:72">
      <c r="A57" s="9" t="str">
        <f t="shared" si="40"/>
        <v>Budget</v>
      </c>
      <c r="B57" s="9">
        <f t="shared" si="44"/>
        <v>2026</v>
      </c>
      <c r="C57" s="111" t="str">
        <f>IF(ISBLANK($L57),"",_xlfn.XLOOKUP($L57,'CENTRO CUSTO'!$A:$A,'CENTRO CUSTO'!F:F,FALSE,0))</f>
        <v>MRV</v>
      </c>
      <c r="D57" s="111" t="str">
        <f>IF(ISBLANK($L57),"",_xlfn.XLOOKUP($L57,'CENTRO CUSTO'!$A:$A,'CENTRO CUSTO'!G:G,FALSE,0))</f>
        <v>Passo Fundo</v>
      </c>
      <c r="E57" s="111" t="str">
        <f>IF(ISBLANK($L57),"",_xlfn.XLOOKUP($L57,'CENTRO CUSTO'!$A:$A,'CENTRO CUSTO'!H:H,FALSE,0))</f>
        <v>Frigorífico</v>
      </c>
      <c r="F57" s="112" t="s">
        <v>114</v>
      </c>
      <c r="G57" s="112" t="s">
        <v>75</v>
      </c>
      <c r="H57" s="112" t="s">
        <v>115</v>
      </c>
      <c r="I57" s="113" t="s">
        <v>77</v>
      </c>
      <c r="J57" s="113" t="s">
        <v>78</v>
      </c>
      <c r="K57" s="113" t="s">
        <v>79</v>
      </c>
      <c r="L57" s="113" t="s">
        <v>41</v>
      </c>
      <c r="M57" s="111" t="str">
        <f>IF(ISBLANK($L57),"",_xlfn.XLOOKUP($L57,'CENTRO CUSTO'!$A:$A,'CENTRO CUSTO'!D:D,FALSE,0))</f>
        <v>Alexandre Ayabe</v>
      </c>
      <c r="N57" s="113" t="s">
        <v>106</v>
      </c>
      <c r="O57" s="114"/>
      <c r="P57" s="113" t="s">
        <v>81</v>
      </c>
      <c r="Q57" s="115">
        <v>0</v>
      </c>
      <c r="R57" s="115">
        <v>0</v>
      </c>
      <c r="S57" s="115">
        <v>0</v>
      </c>
      <c r="T57" s="115">
        <v>0</v>
      </c>
      <c r="U57" s="115">
        <v>0</v>
      </c>
      <c r="V57" s="115">
        <v>0</v>
      </c>
      <c r="W57" s="115">
        <v>0</v>
      </c>
      <c r="X57" s="115">
        <v>0</v>
      </c>
      <c r="Y57" s="115">
        <v>0</v>
      </c>
      <c r="Z57" s="115">
        <v>0</v>
      </c>
      <c r="AA57" s="115">
        <v>0</v>
      </c>
      <c r="AB57" s="115">
        <v>0</v>
      </c>
      <c r="AC57" s="116">
        <f t="shared" si="41"/>
        <v>0</v>
      </c>
      <c r="AD57" s="108"/>
      <c r="AE57" s="117">
        <f>IF(ISBLANK(Q57),"",IF($P57="BRL",Q57,Q57*Macroindicadores!B$2)/1000)</f>
        <v>0</v>
      </c>
      <c r="AF57" s="117">
        <f>IF(ISBLANK(R57),"",IF($P57="BRL",R57,R57*Macroindicadores!C$2)/1000)</f>
        <v>0</v>
      </c>
      <c r="AG57" s="117">
        <f>IF(ISBLANK(S57),"",IF($P57="BRL",S57,S57*Macroindicadores!D$2)/1000)</f>
        <v>0</v>
      </c>
      <c r="AH57" s="117">
        <f>IF(ISBLANK(T57),"",IF($P57="BRL",T57,T57*Macroindicadores!E$2)/1000)</f>
        <v>0</v>
      </c>
      <c r="AI57" s="117">
        <f>IF(ISBLANK(U57),"",IF($P57="BRL",U57,U57*Macroindicadores!F$2)/1000)</f>
        <v>0</v>
      </c>
      <c r="AJ57" s="117">
        <f>IF(ISBLANK(V57),"",IF($P57="BRL",V57,V57*Macroindicadores!G$2)/1000)</f>
        <v>0</v>
      </c>
      <c r="AK57" s="117">
        <f>IF(ISBLANK(W57),"",IF($P57="BRL",W57,W57*Macroindicadores!H$2)/1000)</f>
        <v>0</v>
      </c>
      <c r="AL57" s="117">
        <f>IF(ISBLANK(X57),"",IF($P57="BRL",X57,X57*Macroindicadores!I$2)/1000)</f>
        <v>0</v>
      </c>
      <c r="AM57" s="117">
        <f>IF(ISBLANK(Y57),"",IF($P57="BRL",Y57,Y57*Macroindicadores!J$2)/1000)</f>
        <v>0</v>
      </c>
      <c r="AN57" s="117">
        <f>IF(ISBLANK(Z57),"",IF($P57="BRL",Z57,Z57*Macroindicadores!K$2)/1000)</f>
        <v>0</v>
      </c>
      <c r="AO57" s="117">
        <f>IF(ISBLANK(AA57),"",IF($P57="BRL",AA57,AA57*Macroindicadores!L$2)/1000)</f>
        <v>0</v>
      </c>
      <c r="AP57" s="117">
        <f>IF(ISBLANK(AB57),"",IF($P57="BRL",AB57,AB57*Macroindicadores!M$2)/1000)</f>
        <v>0</v>
      </c>
      <c r="AQ57" s="118">
        <f t="shared" si="35"/>
        <v>0</v>
      </c>
      <c r="AR57" s="108"/>
      <c r="AS57" s="117">
        <f>IF(ISBLANK(Q57),"",IF(ISBLANK($O57),AE57,IF($J57="ANUAL",AE57*(1+Macroindicadores!B$7),IF(AND($I57="NOVO",MONTH($O57)=MONTH(AS$4)),AE57*(1+Macroindicadores!B$7),IF(AND($J57="PONTUAL",MONTH($O57)=MONTH(AS$4)),AE57*(1+Macroindicadores!B$7),IF(AND($J57="PONTUAL",MONTH($O57)&lt;MONTH(AS$4)),MIN(AR57:$AS57),IF(AND($I57="NOVO",MONTH($O57)&gt;MONTH(AS$4)),AE57,IF(MONTH($O57)&gt;MONTH(AS$4),AE57,IF(MONTH($O57)=MONTH(AS$4),AE57*(1+Macroindicadores!B$7),AR57)))))))))</f>
        <v>0</v>
      </c>
      <c r="AT57" s="117">
        <f>IF(ISBLANK(R57),"",IF(ISBLANK($O57),AF57,IF($J57="ANUAL",AF57*(1+Macroindicadores!C$7),IF(AND($I57="NOVO",MONTH($O57)=MONTH(AT$4)),AF57*(1+Macroindicadores!C$7),IF(AND($J57="PONTUAL",MONTH($O57)=MONTH(AT$4)),AF57*(1+Macroindicadores!C$7),IF(AND($J57="PONTUAL",MONTH($O57)&lt;MONTH(AT$4)),MIN($AS57:AS57),IF(AND($I57="NOVO",MONTH($O57)&gt;MONTH(AT$4)),AF57,IF(MONTH($O57)&gt;MONTH(AT$4),AF57,IF(MONTH($O57)=MONTH(AT$4),AF57*(1+Macroindicadores!C$7),AS57)))))))))</f>
        <v>0</v>
      </c>
      <c r="AU57" s="117">
        <f>IF(ISBLANK(S57),"",IF(ISBLANK($O57),AG57,IF($J57="ANUAL",AG57*(1+Macroindicadores!D$7),IF(AND($I57="NOVO",MONTH($O57)=MONTH(AU$4)),AG57*(1+Macroindicadores!D$7),IF(AND($J57="PONTUAL",MONTH($O57)=MONTH(AU$4)),AG57*(1+Macroindicadores!D$7),IF(AND($J57="PONTUAL",MONTH($O57)&lt;MONTH(AU$4)),MIN($AS57:AT57),IF(AND($I57="NOVO",MONTH($O57)&gt;MONTH(AU$4)),AG57,IF(MONTH($O57)&gt;MONTH(AU$4),AG57,IF(MONTH($O57)=MONTH(AU$4),AG57*(1+Macroindicadores!D$7),AT57)))))))))</f>
        <v>0</v>
      </c>
      <c r="AV57" s="117">
        <f>IF(ISBLANK(T57),"",IF(ISBLANK($O57),AH57,IF($J57="ANUAL",AH57*(1+Macroindicadores!E$7),IF(AND($I57="NOVO",MONTH($O57)=MONTH(AV$4)),AH57*(1+Macroindicadores!E$7),IF(AND($J57="PONTUAL",MONTH($O57)=MONTH(AV$4)),AH57*(1+Macroindicadores!E$7),IF(AND($J57="PONTUAL",MONTH($O57)&lt;MONTH(AV$4)),MIN($AS57:AU57),IF(AND($I57="NOVO",MONTH($O57)&gt;MONTH(AV$4)),AH57,IF(MONTH($O57)&gt;MONTH(AV$4),AH57,IF(MONTH($O57)=MONTH(AV$4),AH57*(1+Macroindicadores!E$7),AU57)))))))))</f>
        <v>0</v>
      </c>
      <c r="AW57" s="117">
        <f>IF(ISBLANK(U57),"",IF(ISBLANK($O57),AI57,IF($J57="ANUAL",AI57*(1+Macroindicadores!F$7),IF(AND($I57="NOVO",MONTH($O57)=MONTH(AW$4)),AI57*(1+Macroindicadores!F$7),IF(AND($J57="PONTUAL",MONTH($O57)=MONTH(AW$4)),AI57*(1+Macroindicadores!F$7),IF(AND($J57="PONTUAL",MONTH($O57)&lt;MONTH(AW$4)),MIN($AS57:AV57),IF(AND($I57="NOVO",MONTH($O57)&gt;MONTH(AW$4)),AI57,IF(MONTH($O57)&gt;MONTH(AW$4),AI57,IF(MONTH($O57)=MONTH(AW$4),AI57*(1+Macroindicadores!F$7),AV57)))))))))</f>
        <v>0</v>
      </c>
      <c r="AX57" s="117">
        <f>IF(ISBLANK(V57),"",IF(ISBLANK($O57),AJ57,IF($J57="ANUAL",AJ57*(1+Macroindicadores!G$7),IF(AND($I57="NOVO",MONTH($O57)=MONTH(AX$4)),AJ57*(1+Macroindicadores!G$7),IF(AND($J57="PONTUAL",MONTH($O57)=MONTH(AX$4)),AJ57*(1+Macroindicadores!G$7),IF(AND($J57="PONTUAL",MONTH($O57)&lt;MONTH(AX$4)),MIN($AS57:AW57),IF(AND($I57="NOVO",MONTH($O57)&gt;MONTH(AX$4)),AJ57,IF(MONTH($O57)&gt;MONTH(AX$4),AJ57,IF(MONTH($O57)=MONTH(AX$4),AJ57*(1+Macroindicadores!G$7),AW57)))))))))</f>
        <v>0</v>
      </c>
      <c r="AY57" s="117">
        <f>IF(ISBLANK(W57),"",IF(ISBLANK($O57),AK57,IF($J57="ANUAL",AK57*(1+Macroindicadores!H$7),IF(AND($I57="NOVO",MONTH($O57)=MONTH(AY$4)),AK57*(1+Macroindicadores!H$7),IF(AND($J57="PONTUAL",MONTH($O57)=MONTH(AY$4)),AK57*(1+Macroindicadores!H$7),IF(AND($J57="PONTUAL",MONTH($O57)&lt;MONTH(AY$4)),MIN($AS57:AX57),IF(AND($I57="NOVO",MONTH($O57)&gt;MONTH(AY$4)),AK57,IF(MONTH($O57)&gt;MONTH(AY$4),AK57,IF(MONTH($O57)=MONTH(AY$4),AK57*(1+Macroindicadores!H$7),AX57)))))))))</f>
        <v>0</v>
      </c>
      <c r="AZ57" s="117">
        <f>IF(ISBLANK(X57),"",IF(ISBLANK($O57),AL57,IF($J57="ANUAL",AL57*(1+Macroindicadores!I$7),IF(AND($I57="NOVO",MONTH($O57)=MONTH(AZ$4)),AL57*(1+Macroindicadores!I$7),IF(AND($J57="PONTUAL",MONTH($O57)=MONTH(AZ$4)),AL57*(1+Macroindicadores!I$7),IF(AND($J57="PONTUAL",MONTH($O57)&lt;MONTH(AZ$4)),MIN($AS57:AY57),IF(AND($I57="NOVO",MONTH($O57)&gt;MONTH(AZ$4)),AL57,IF(MONTH($O57)&gt;MONTH(AZ$4),AL57,IF(MONTH($O57)=MONTH(AZ$4),AL57*(1+Macroindicadores!I$7),AY57)))))))))</f>
        <v>0</v>
      </c>
      <c r="BA57" s="117">
        <f>IF(ISBLANK(Y57),"",IF(ISBLANK($O57),AM57,IF($J57="ANUAL",AM57*(1+Macroindicadores!J$7),IF(AND($I57="NOVO",MONTH($O57)=MONTH(BA$4)),AM57*(1+Macroindicadores!J$7),IF(AND($J57="PONTUAL",MONTH($O57)=MONTH(BA$4)),AM57*(1+Macroindicadores!J$7),IF(AND($J57="PONTUAL",MONTH($O57)&lt;MONTH(BA$4)),MIN($AS57:AZ57),IF(AND($I57="NOVO",MONTH($O57)&gt;MONTH(BA$4)),AM57,IF(MONTH($O57)&gt;MONTH(BA$4),AM57,IF(MONTH($O57)=MONTH(BA$4),AM57*(1+Macroindicadores!J$7),AZ57)))))))))</f>
        <v>0</v>
      </c>
      <c r="BB57" s="117">
        <f>IF(ISBLANK(Z57),"",IF(ISBLANK($O57),AN57,IF($J57="ANUAL",AN57*(1+Macroindicadores!K$7),IF(AND($I57="NOVO",MONTH($O57)=MONTH(BB$4)),AN57*(1+Macroindicadores!K$7),IF(AND($J57="PONTUAL",MONTH($O57)=MONTH(BB$4)),AN57*(1+Macroindicadores!K$7),IF(AND($J57="PONTUAL",MONTH($O57)&lt;MONTH(BB$4)),MIN($AS57:BA57),IF(AND($I57="NOVO",MONTH($O57)&gt;MONTH(BB$4)),AN57,IF(MONTH($O57)&gt;MONTH(BB$4),AN57,IF(MONTH($O57)=MONTH(BB$4),AN57*(1+Macroindicadores!K$7),BA57)))))))))</f>
        <v>0</v>
      </c>
      <c r="BC57" s="117">
        <f>IF(ISBLANK(AA57),"",IF(ISBLANK($O57),AO57,IF($J57="ANUAL",AO57*(1+Macroindicadores!L$7),IF(AND($I57="NOVO",MONTH($O57)=MONTH(BC$4)),AO57*(1+Macroindicadores!L$7),IF(AND($J57="PONTUAL",MONTH($O57)=MONTH(BC$4)),AO57*(1+Macroindicadores!L$7),IF(AND($J57="PONTUAL",MONTH($O57)&lt;MONTH(BC$4)),MIN($AS57:BB57),IF(AND($I57="NOVO",MONTH($O57)&gt;MONTH(BC$4)),AO57,IF(MONTH($O57)&gt;MONTH(BC$4),AO57,IF(MONTH($O57)=MONTH(BC$4),AO57*(1+Macroindicadores!L$7),BB57)))))))))</f>
        <v>0</v>
      </c>
      <c r="BD57" s="117">
        <f>IF(ISBLANK(AB57),"",IF(ISBLANK($O57),AP57,IF($J57="ANUAL",AP57*(1+Macroindicadores!M$7),IF(AND($I57="NOVO",MONTH($O57)=MONTH(BD$4)),AP57*(1+Macroindicadores!M$7),IF(AND($J57="PONTUAL",MONTH($O57)=MONTH(BD$4)),AP57*(1+Macroindicadores!M$7),IF(AND($J57="PONTUAL",MONTH($O57)&lt;MONTH(BD$4)),MIN($AS57:BC57),IF(AND($I57="NOVO",MONTH($O57)&gt;MONTH(BD$4)),AP57,IF(MONTH($O57)&gt;MONTH(BD$4),AP57,IF(MONTH($O57)=MONTH(BD$4),AP57*(1+Macroindicadores!M$7),BC57)))))))))</f>
        <v>0</v>
      </c>
      <c r="BE57" s="118">
        <f t="shared" si="36"/>
        <v>0</v>
      </c>
      <c r="BF57" s="108"/>
      <c r="BG57" s="117">
        <f>IF(ISBLANK(Q57),"",AS57/Macroindicadores!B$2)</f>
        <v>0</v>
      </c>
      <c r="BH57" s="117">
        <f>IF(ISBLANK(R57),"",AT57/Macroindicadores!C$2)</f>
        <v>0</v>
      </c>
      <c r="BI57" s="117">
        <f>IF(ISBLANK(S57),"",AU57/Macroindicadores!D$2)</f>
        <v>0</v>
      </c>
      <c r="BJ57" s="117">
        <f>IF(ISBLANK(T57),"",AV57/Macroindicadores!E$2)</f>
        <v>0</v>
      </c>
      <c r="BK57" s="117">
        <f>IF(ISBLANK(U57),"",AW57/Macroindicadores!F$2)</f>
        <v>0</v>
      </c>
      <c r="BL57" s="117">
        <f>IF(ISBLANK(V57),"",AX57/Macroindicadores!G$2)</f>
        <v>0</v>
      </c>
      <c r="BM57" s="117">
        <f>IF(ISBLANK(W57),"",AY57/Macroindicadores!H$2)</f>
        <v>0</v>
      </c>
      <c r="BN57" s="117">
        <f>IF(ISBLANK(X57),"",AZ57/Macroindicadores!I$2)</f>
        <v>0</v>
      </c>
      <c r="BO57" s="117">
        <f>IF(ISBLANK(Y57),"",BA57/Macroindicadores!J$2)</f>
        <v>0</v>
      </c>
      <c r="BP57" s="117">
        <f>IF(ISBLANK(Z57),"",BB57/Macroindicadores!K$2)</f>
        <v>0</v>
      </c>
      <c r="BQ57" s="117">
        <f>IF(ISBLANK(AA57),"",BC57/Macroindicadores!L$2)</f>
        <v>0</v>
      </c>
      <c r="BR57" s="117">
        <f>IF(ISBLANK(AB57),"",BD57/Macroindicadores!M$2)</f>
        <v>0</v>
      </c>
      <c r="BS57" s="118">
        <f>IF(AND(ISBLANK($Q57),ISBLANK($R57),ISBLANK($S57),ISBLANK($T57),ISBLANK($U57),ISBLANK($V57),ISBLANK($W57),ISBLANK($X57),ISBLANK($Y57),ISBLANK($Z57),ISBLANK($AA57),ISBLANK($AB57)),"",SUM(BG57:BR57))</f>
        <v>0</v>
      </c>
      <c r="BT57" s="25" t="str">
        <f>IF(ISBLANK($L57),"",_xlfn.XLOOKUP($L57,'CENTRO CUSTO'!$A:$A,'CENTRO CUSTO'!$E:$E,FALSE,0))</f>
        <v>Custo Fixo</v>
      </c>
    </row>
    <row r="58" spans="1:72">
      <c r="A58" s="9" t="str">
        <f t="shared" si="40"/>
        <v>Budget</v>
      </c>
      <c r="B58" s="9">
        <f t="shared" si="44"/>
        <v>2026</v>
      </c>
      <c r="C58" s="111" t="str">
        <f>IF(ISBLANK($L58),"",_xlfn.XLOOKUP($L58,'CENTRO CUSTO'!$A:$A,'CENTRO CUSTO'!F:F,FALSE,0))</f>
        <v>SKM</v>
      </c>
      <c r="D58" s="111" t="str">
        <f>IF(ISBLANK($L58),"",_xlfn.XLOOKUP($L58,'CENTRO CUSTO'!$A:$A,'CENTRO CUSTO'!G:G,FALSE,0))</f>
        <v>G100B</v>
      </c>
      <c r="E58" s="111" t="str">
        <f>IF(ISBLANK($L58),"",_xlfn.XLOOKUP($L58,'CENTRO CUSTO'!$A:$A,'CENTRO CUSTO'!H:H,FALSE,0))</f>
        <v>Frigorífico</v>
      </c>
      <c r="F58" s="112" t="s">
        <v>114</v>
      </c>
      <c r="G58" s="112" t="s">
        <v>75</v>
      </c>
      <c r="H58" s="112" t="s">
        <v>115</v>
      </c>
      <c r="I58" s="113" t="s">
        <v>77</v>
      </c>
      <c r="J58" s="113" t="s">
        <v>78</v>
      </c>
      <c r="K58" s="113" t="s">
        <v>79</v>
      </c>
      <c r="L58" s="113" t="s">
        <v>48</v>
      </c>
      <c r="M58" s="111" t="str">
        <f>IF(ISBLANK($L58),"",_xlfn.XLOOKUP($L58,'CENTRO CUSTO'!$A:$A,'CENTRO CUSTO'!D:D,FALSE,0))</f>
        <v>Alexandre Ayabe</v>
      </c>
      <c r="N58" s="113" t="s">
        <v>106</v>
      </c>
      <c r="O58" s="114"/>
      <c r="P58" s="113" t="s">
        <v>81</v>
      </c>
      <c r="Q58" s="115">
        <f>300000*Rateio!$E$145/12</f>
        <v>4750</v>
      </c>
      <c r="R58" s="115">
        <f>300000*Rateio!$E$145/12</f>
        <v>4750</v>
      </c>
      <c r="S58" s="115">
        <f>300000*Rateio!$E$145/12</f>
        <v>4750</v>
      </c>
      <c r="T58" s="115">
        <f>300000*Rateio!$E$145/12</f>
        <v>4750</v>
      </c>
      <c r="U58" s="115">
        <f>300000*Rateio!$E$145/12</f>
        <v>4750</v>
      </c>
      <c r="V58" s="115">
        <f>300000*Rateio!$E$145/12</f>
        <v>4750</v>
      </c>
      <c r="W58" s="115">
        <f>300000*Rateio!$E$145/12</f>
        <v>4750</v>
      </c>
      <c r="X58" s="115">
        <f>300000*Rateio!$E$145/12</f>
        <v>4750</v>
      </c>
      <c r="Y58" s="115">
        <f>300000*Rateio!$E$145/12</f>
        <v>4750</v>
      </c>
      <c r="Z58" s="115">
        <f>300000*Rateio!$E$145/12</f>
        <v>4750</v>
      </c>
      <c r="AA58" s="115">
        <f>300000*Rateio!$E$145/12</f>
        <v>4750</v>
      </c>
      <c r="AB58" s="115">
        <f>300000*Rateio!$E$145/12</f>
        <v>4750</v>
      </c>
      <c r="AC58" s="116">
        <f t="shared" si="41"/>
        <v>57000</v>
      </c>
      <c r="AD58" s="108"/>
      <c r="AE58" s="117">
        <f>IF(ISBLANK(Q58),"",IF($P58="BRL",Q58,Q58*Macroindicadores!B$2)/1000)</f>
        <v>4.75</v>
      </c>
      <c r="AF58" s="117">
        <f>IF(ISBLANK(R58),"",IF($P58="BRL",R58,R58*Macroindicadores!C$2)/1000)</f>
        <v>4.75</v>
      </c>
      <c r="AG58" s="117">
        <f>IF(ISBLANK(S58),"",IF($P58="BRL",S58,S58*Macroindicadores!D$2)/1000)</f>
        <v>4.75</v>
      </c>
      <c r="AH58" s="117">
        <f>IF(ISBLANK(T58),"",IF($P58="BRL",T58,T58*Macroindicadores!E$2)/1000)</f>
        <v>4.75</v>
      </c>
      <c r="AI58" s="117">
        <f>IF(ISBLANK(U58),"",IF($P58="BRL",U58,U58*Macroindicadores!F$2)/1000)</f>
        <v>4.75</v>
      </c>
      <c r="AJ58" s="117">
        <f>IF(ISBLANK(V58),"",IF($P58="BRL",V58,V58*Macroindicadores!G$2)/1000)</f>
        <v>4.75</v>
      </c>
      <c r="AK58" s="117">
        <f>IF(ISBLANK(W58),"",IF($P58="BRL",W58,W58*Macroindicadores!H$2)/1000)</f>
        <v>4.75</v>
      </c>
      <c r="AL58" s="117">
        <f>IF(ISBLANK(X58),"",IF($P58="BRL",X58,X58*Macroindicadores!I$2)/1000)</f>
        <v>4.75</v>
      </c>
      <c r="AM58" s="117">
        <f>IF(ISBLANK(Y58),"",IF($P58="BRL",Y58,Y58*Macroindicadores!J$2)/1000)</f>
        <v>4.75</v>
      </c>
      <c r="AN58" s="117">
        <f>IF(ISBLANK(Z58),"",IF($P58="BRL",Z58,Z58*Macroindicadores!K$2)/1000)</f>
        <v>4.75</v>
      </c>
      <c r="AO58" s="117">
        <f>IF(ISBLANK(AA58),"",IF($P58="BRL",AA58,AA58*Macroindicadores!L$2)/1000)</f>
        <v>4.75</v>
      </c>
      <c r="AP58" s="117">
        <f>IF(ISBLANK(AB58),"",IF($P58="BRL",AB58,AB58*Macroindicadores!M$2)/1000)</f>
        <v>4.75</v>
      </c>
      <c r="AQ58" s="118">
        <f t="shared" si="35"/>
        <v>57</v>
      </c>
      <c r="AR58" s="108"/>
      <c r="AS58" s="117">
        <f>IF(ISBLANK(Q58),"",IF(ISBLANK($O58),AE58,IF($J58="ANUAL",AE58*(1+Macroindicadores!B$7),IF(AND($I58="NOVO",MONTH($O58)=MONTH(AS$4)),AE58*(1+Macroindicadores!B$7),IF(AND($J58="PONTUAL",MONTH($O58)=MONTH(AS$4)),AE58*(1+Macroindicadores!B$7),IF(AND($J58="PONTUAL",MONTH($O58)&lt;MONTH(AS$4)),MIN(AR58:$AS58),IF(AND($I58="NOVO",MONTH($O58)&gt;MONTH(AS$4)),AE58,IF(MONTH($O58)&gt;MONTH(AS$4),AE58,IF(MONTH($O58)=MONTH(AS$4),AE58*(1+Macroindicadores!B$7),AR58)))))))))</f>
        <v>4.75</v>
      </c>
      <c r="AT58" s="117">
        <f>IF(ISBLANK(R58),"",IF(ISBLANK($O58),AF58,IF($J58="ANUAL",AF58*(1+Macroindicadores!C$7),IF(AND($I58="NOVO",MONTH($O58)=MONTH(AT$4)),AF58*(1+Macroindicadores!C$7),IF(AND($J58="PONTUAL",MONTH($O58)=MONTH(AT$4)),AF58*(1+Macroindicadores!C$7),IF(AND($J58="PONTUAL",MONTH($O58)&lt;MONTH(AT$4)),MIN($AS58:AS58),IF(AND($I58="NOVO",MONTH($O58)&gt;MONTH(AT$4)),AF58,IF(MONTH($O58)&gt;MONTH(AT$4),AF58,IF(MONTH($O58)=MONTH(AT$4),AF58*(1+Macroindicadores!C$7),AS58)))))))))</f>
        <v>4.75</v>
      </c>
      <c r="AU58" s="117">
        <f>IF(ISBLANK(S58),"",IF(ISBLANK($O58),AG58,IF($J58="ANUAL",AG58*(1+Macroindicadores!D$7),IF(AND($I58="NOVO",MONTH($O58)=MONTH(AU$4)),AG58*(1+Macroindicadores!D$7),IF(AND($J58="PONTUAL",MONTH($O58)=MONTH(AU$4)),AG58*(1+Macroindicadores!D$7),IF(AND($J58="PONTUAL",MONTH($O58)&lt;MONTH(AU$4)),MIN($AS58:AT58),IF(AND($I58="NOVO",MONTH($O58)&gt;MONTH(AU$4)),AG58,IF(MONTH($O58)&gt;MONTH(AU$4),AG58,IF(MONTH($O58)=MONTH(AU$4),AG58*(1+Macroindicadores!D$7),AT58)))))))))</f>
        <v>4.75</v>
      </c>
      <c r="AV58" s="117">
        <f>IF(ISBLANK(T58),"",IF(ISBLANK($O58),AH58,IF($J58="ANUAL",AH58*(1+Macroindicadores!E$7),IF(AND($I58="NOVO",MONTH($O58)=MONTH(AV$4)),AH58*(1+Macroindicadores!E$7),IF(AND($J58="PONTUAL",MONTH($O58)=MONTH(AV$4)),AH58*(1+Macroindicadores!E$7),IF(AND($J58="PONTUAL",MONTH($O58)&lt;MONTH(AV$4)),MIN($AS58:AU58),IF(AND($I58="NOVO",MONTH($O58)&gt;MONTH(AV$4)),AH58,IF(MONTH($O58)&gt;MONTH(AV$4),AH58,IF(MONTH($O58)=MONTH(AV$4),AH58*(1+Macroindicadores!E$7),AU58)))))))))</f>
        <v>4.75</v>
      </c>
      <c r="AW58" s="117">
        <f>IF(ISBLANK(U58),"",IF(ISBLANK($O58),AI58,IF($J58="ANUAL",AI58*(1+Macroindicadores!F$7),IF(AND($I58="NOVO",MONTH($O58)=MONTH(AW$4)),AI58*(1+Macroindicadores!F$7),IF(AND($J58="PONTUAL",MONTH($O58)=MONTH(AW$4)),AI58*(1+Macroindicadores!F$7),IF(AND($J58="PONTUAL",MONTH($O58)&lt;MONTH(AW$4)),MIN($AS58:AV58),IF(AND($I58="NOVO",MONTH($O58)&gt;MONTH(AW$4)),AI58,IF(MONTH($O58)&gt;MONTH(AW$4),AI58,IF(MONTH($O58)=MONTH(AW$4),AI58*(1+Macroindicadores!F$7),AV58)))))))))</f>
        <v>4.75</v>
      </c>
      <c r="AX58" s="117">
        <f>IF(ISBLANK(V58),"",IF(ISBLANK($O58),AJ58,IF($J58="ANUAL",AJ58*(1+Macroindicadores!G$7),IF(AND($I58="NOVO",MONTH($O58)=MONTH(AX$4)),AJ58*(1+Macroindicadores!G$7),IF(AND($J58="PONTUAL",MONTH($O58)=MONTH(AX$4)),AJ58*(1+Macroindicadores!G$7),IF(AND($J58="PONTUAL",MONTH($O58)&lt;MONTH(AX$4)),MIN($AS58:AW58),IF(AND($I58="NOVO",MONTH($O58)&gt;MONTH(AX$4)),AJ58,IF(MONTH($O58)&gt;MONTH(AX$4),AJ58,IF(MONTH($O58)=MONTH(AX$4),AJ58*(1+Macroindicadores!G$7),AW58)))))))))</f>
        <v>4.75</v>
      </c>
      <c r="AY58" s="117">
        <f>IF(ISBLANK(W58),"",IF(ISBLANK($O58),AK58,IF($J58="ANUAL",AK58*(1+Macroindicadores!H$7),IF(AND($I58="NOVO",MONTH($O58)=MONTH(AY$4)),AK58*(1+Macroindicadores!H$7),IF(AND($J58="PONTUAL",MONTH($O58)=MONTH(AY$4)),AK58*(1+Macroindicadores!H$7),IF(AND($J58="PONTUAL",MONTH($O58)&lt;MONTH(AY$4)),MIN($AS58:AX58),IF(AND($I58="NOVO",MONTH($O58)&gt;MONTH(AY$4)),AK58,IF(MONTH($O58)&gt;MONTH(AY$4),AK58,IF(MONTH($O58)=MONTH(AY$4),AK58*(1+Macroindicadores!H$7),AX58)))))))))</f>
        <v>4.75</v>
      </c>
      <c r="AZ58" s="117">
        <f>IF(ISBLANK(X58),"",IF(ISBLANK($O58),AL58,IF($J58="ANUAL",AL58*(1+Macroindicadores!I$7),IF(AND($I58="NOVO",MONTH($O58)=MONTH(AZ$4)),AL58*(1+Macroindicadores!I$7),IF(AND($J58="PONTUAL",MONTH($O58)=MONTH(AZ$4)),AL58*(1+Macroindicadores!I$7),IF(AND($J58="PONTUAL",MONTH($O58)&lt;MONTH(AZ$4)),MIN($AS58:AY58),IF(AND($I58="NOVO",MONTH($O58)&gt;MONTH(AZ$4)),AL58,IF(MONTH($O58)&gt;MONTH(AZ$4),AL58,IF(MONTH($O58)=MONTH(AZ$4),AL58*(1+Macroindicadores!I$7),AY58)))))))))</f>
        <v>4.75</v>
      </c>
      <c r="BA58" s="117">
        <f>IF(ISBLANK(Y58),"",IF(ISBLANK($O58),AM58,IF($J58="ANUAL",AM58*(1+Macroindicadores!J$7),IF(AND($I58="NOVO",MONTH($O58)=MONTH(BA$4)),AM58*(1+Macroindicadores!J$7),IF(AND($J58="PONTUAL",MONTH($O58)=MONTH(BA$4)),AM58*(1+Macroindicadores!J$7),IF(AND($J58="PONTUAL",MONTH($O58)&lt;MONTH(BA$4)),MIN($AS58:AZ58),IF(AND($I58="NOVO",MONTH($O58)&gt;MONTH(BA$4)),AM58,IF(MONTH($O58)&gt;MONTH(BA$4),AM58,IF(MONTH($O58)=MONTH(BA$4),AM58*(1+Macroindicadores!J$7),AZ58)))))))))</f>
        <v>4.75</v>
      </c>
      <c r="BB58" s="117">
        <f>IF(ISBLANK(Z58),"",IF(ISBLANK($O58),AN58,IF($J58="ANUAL",AN58*(1+Macroindicadores!K$7),IF(AND($I58="NOVO",MONTH($O58)=MONTH(BB$4)),AN58*(1+Macroindicadores!K$7),IF(AND($J58="PONTUAL",MONTH($O58)=MONTH(BB$4)),AN58*(1+Macroindicadores!K$7),IF(AND($J58="PONTUAL",MONTH($O58)&lt;MONTH(BB$4)),MIN($AS58:BA58),IF(AND($I58="NOVO",MONTH($O58)&gt;MONTH(BB$4)),AN58,IF(MONTH($O58)&gt;MONTH(BB$4),AN58,IF(MONTH($O58)=MONTH(BB$4),AN58*(1+Macroindicadores!K$7),BA58)))))))))</f>
        <v>4.75</v>
      </c>
      <c r="BC58" s="117">
        <f>IF(ISBLANK(AA58),"",IF(ISBLANK($O58),AO58,IF($J58="ANUAL",AO58*(1+Macroindicadores!L$7),IF(AND($I58="NOVO",MONTH($O58)=MONTH(BC$4)),AO58*(1+Macroindicadores!L$7),IF(AND($J58="PONTUAL",MONTH($O58)=MONTH(BC$4)),AO58*(1+Macroindicadores!L$7),IF(AND($J58="PONTUAL",MONTH($O58)&lt;MONTH(BC$4)),MIN($AS58:BB58),IF(AND($I58="NOVO",MONTH($O58)&gt;MONTH(BC$4)),AO58,IF(MONTH($O58)&gt;MONTH(BC$4),AO58,IF(MONTH($O58)=MONTH(BC$4),AO58*(1+Macroindicadores!L$7),BB58)))))))))</f>
        <v>4.75</v>
      </c>
      <c r="BD58" s="117">
        <f>IF(ISBLANK(AB58),"",IF(ISBLANK($O58),AP58,IF($J58="ANUAL",AP58*(1+Macroindicadores!M$7),IF(AND($I58="NOVO",MONTH($O58)=MONTH(BD$4)),AP58*(1+Macroindicadores!M$7),IF(AND($J58="PONTUAL",MONTH($O58)=MONTH(BD$4)),AP58*(1+Macroindicadores!M$7),IF(AND($J58="PONTUAL",MONTH($O58)&lt;MONTH(BD$4)),MIN($AS58:BC58),IF(AND($I58="NOVO",MONTH($O58)&gt;MONTH(BD$4)),AP58,IF(MONTH($O58)&gt;MONTH(BD$4),AP58,IF(MONTH($O58)=MONTH(BD$4),AP58*(1+Macroindicadores!M$7),BC58)))))))))</f>
        <v>4.75</v>
      </c>
      <c r="BE58" s="118">
        <f t="shared" si="36"/>
        <v>57</v>
      </c>
      <c r="BF58" s="108"/>
      <c r="BG58" s="117">
        <f>IF(ISBLANK(Q58),"",AS58/Macroindicadores!B$2)</f>
        <v>0.80782312925170074</v>
      </c>
      <c r="BH58" s="117">
        <f>IF(ISBLANK(R58),"",AT58/Macroindicadores!C$2)</f>
        <v>0.80782312925170074</v>
      </c>
      <c r="BI58" s="117">
        <f>IF(ISBLANK(S58),"",AU58/Macroindicadores!D$2)</f>
        <v>0.80782312925170074</v>
      </c>
      <c r="BJ58" s="117">
        <f>IF(ISBLANK(T58),"",AV58/Macroindicadores!E$2)</f>
        <v>0.80782312925170074</v>
      </c>
      <c r="BK58" s="117">
        <f>IF(ISBLANK(U58),"",AW58/Macroindicadores!F$2)</f>
        <v>0.80782312925170074</v>
      </c>
      <c r="BL58" s="117">
        <f>IF(ISBLANK(V58),"",AX58/Macroindicadores!G$2)</f>
        <v>0.80782312925170074</v>
      </c>
      <c r="BM58" s="117">
        <f>IF(ISBLANK(W58),"",AY58/Macroindicadores!H$2)</f>
        <v>0.80782312925170074</v>
      </c>
      <c r="BN58" s="117">
        <f>IF(ISBLANK(X58),"",AZ58/Macroindicadores!I$2)</f>
        <v>0.80782312925170074</v>
      </c>
      <c r="BO58" s="117">
        <f>IF(ISBLANK(Y58),"",BA58/Macroindicadores!J$2)</f>
        <v>0.80782312925170074</v>
      </c>
      <c r="BP58" s="117">
        <f>IF(ISBLANK(Z58),"",BB58/Macroindicadores!K$2)</f>
        <v>0.80782312925170074</v>
      </c>
      <c r="BQ58" s="117">
        <f>IF(ISBLANK(AA58),"",BC58/Macroindicadores!L$2)</f>
        <v>0.80782312925170074</v>
      </c>
      <c r="BR58" s="117">
        <f>IF(ISBLANK(AB58),"",BD58/Macroindicadores!M$2)</f>
        <v>0.80782312925170074</v>
      </c>
      <c r="BS58" s="118">
        <f>IF(AND(ISBLANK($Q58),ISBLANK($R58),ISBLANK($S58),ISBLANK($T58),ISBLANK($U58),ISBLANK($V58),ISBLANK($W58),ISBLANK($X58),ISBLANK($Y58),ISBLANK($Z58),ISBLANK($AA58),ISBLANK($AB58)),"",SUM(BG58:BR58))</f>
        <v>9.6938775510204067</v>
      </c>
      <c r="BT58" s="25" t="str">
        <f>IF(ISBLANK($L58),"",_xlfn.XLOOKUP($L58,'CENTRO CUSTO'!$A:$A,'CENTRO CUSTO'!$E:$E,FALSE,0))</f>
        <v>Custo Fixo</v>
      </c>
    </row>
    <row r="59" spans="1:72">
      <c r="A59" s="9" t="str">
        <f t="shared" si="40"/>
        <v>Budget</v>
      </c>
      <c r="B59" s="9">
        <f t="shared" ref="B59:B86" si="49">IF(ISBLANK($F59),"",$F$1)</f>
        <v>2026</v>
      </c>
      <c r="C59" s="111" t="str">
        <f>IF(ISBLANK($L59),"",_xlfn.XLOOKUP($L59,'CENTRO CUSTO'!$A:$A,'CENTRO CUSTO'!F:F,FALSE,0))</f>
        <v>Transporte</v>
      </c>
      <c r="D59" s="111" t="str">
        <f>IF(ISBLANK($L59),"",_xlfn.XLOOKUP($L59,'CENTRO CUSTO'!$A:$A,'CENTRO CUSTO'!G:G,FALSE,0))</f>
        <v>Transportes</v>
      </c>
      <c r="E59" s="111" t="str">
        <f>IF(ISBLANK($L59),"",_xlfn.XLOOKUP($L59,'CENTRO CUSTO'!$A:$A,'CENTRO CUSTO'!H:H,FALSE,0))</f>
        <v>Transportes</v>
      </c>
      <c r="F59" s="112" t="s">
        <v>116</v>
      </c>
      <c r="G59" s="112" t="s">
        <v>75</v>
      </c>
      <c r="H59" s="112" t="s">
        <v>117</v>
      </c>
      <c r="I59" s="113" t="s">
        <v>77</v>
      </c>
      <c r="J59" s="113" t="s">
        <v>78</v>
      </c>
      <c r="K59" s="113" t="s">
        <v>79</v>
      </c>
      <c r="L59" s="113" t="s">
        <v>111</v>
      </c>
      <c r="M59" s="111" t="str">
        <f>IF(ISBLANK($L59),"",_xlfn.XLOOKUP($L59,'CENTRO CUSTO'!$A:$A,'CENTRO CUSTO'!D:D,FALSE,0))</f>
        <v>Alexandre Ayabe</v>
      </c>
      <c r="N59" s="113" t="s">
        <v>87</v>
      </c>
      <c r="O59" s="114">
        <v>46023</v>
      </c>
      <c r="P59" s="113" t="s">
        <v>88</v>
      </c>
      <c r="Q59" s="120">
        <f>25000*Rateio!$E$152/12</f>
        <v>0</v>
      </c>
      <c r="R59" s="120">
        <f>25000*Rateio!$E$152/12</f>
        <v>0</v>
      </c>
      <c r="S59" s="120">
        <f>25000*Rateio!$E$152/12</f>
        <v>0</v>
      </c>
      <c r="T59" s="120">
        <f>25000*Rateio!$E$152/12</f>
        <v>0</v>
      </c>
      <c r="U59" s="120">
        <f>25000*Rateio!$E$152/12</f>
        <v>0</v>
      </c>
      <c r="V59" s="120">
        <f>25000*Rateio!$E$152/12</f>
        <v>0</v>
      </c>
      <c r="W59" s="120">
        <f>25000*Rateio!$E$152/12</f>
        <v>0</v>
      </c>
      <c r="X59" s="120">
        <f>25000*Rateio!$E$152/12</f>
        <v>0</v>
      </c>
      <c r="Y59" s="120">
        <f>25000*Rateio!$E$152/12</f>
        <v>0</v>
      </c>
      <c r="Z59" s="120">
        <f>25000*Rateio!$E$152/12</f>
        <v>0</v>
      </c>
      <c r="AA59" s="120">
        <f>25000*Rateio!$E$152/12</f>
        <v>0</v>
      </c>
      <c r="AB59" s="120">
        <f>25000*Rateio!$E$152/12</f>
        <v>0</v>
      </c>
      <c r="AC59" s="116">
        <f t="shared" si="41"/>
        <v>0</v>
      </c>
      <c r="AD59" s="108"/>
      <c r="AE59" s="117">
        <f>IF(ISBLANK(Q59),"",IF($P59="BRL",Q59,Q59*Macroindicadores!B$2)/1000)</f>
        <v>0</v>
      </c>
      <c r="AF59" s="117">
        <f>IF(ISBLANK(R59),"",IF($P59="BRL",R59,R59*Macroindicadores!C$2)/1000)</f>
        <v>0</v>
      </c>
      <c r="AG59" s="117">
        <f>IF(ISBLANK(S59),"",IF($P59="BRL",S59,S59*Macroindicadores!D$2)/1000)</f>
        <v>0</v>
      </c>
      <c r="AH59" s="117">
        <f>IF(ISBLANK(T59),"",IF($P59="BRL",T59,T59*Macroindicadores!E$2)/1000)</f>
        <v>0</v>
      </c>
      <c r="AI59" s="117">
        <f>IF(ISBLANK(U59),"",IF($P59="BRL",U59,U59*Macroindicadores!F$2)/1000)</f>
        <v>0</v>
      </c>
      <c r="AJ59" s="117">
        <f>IF(ISBLANK(V59),"",IF($P59="BRL",V59,V59*Macroindicadores!G$2)/1000)</f>
        <v>0</v>
      </c>
      <c r="AK59" s="117">
        <f>IF(ISBLANK(W59),"",IF($P59="BRL",W59,W59*Macroindicadores!H$2)/1000)</f>
        <v>0</v>
      </c>
      <c r="AL59" s="117">
        <f>IF(ISBLANK(X59),"",IF($P59="BRL",X59,X59*Macroindicadores!I$2)/1000)</f>
        <v>0</v>
      </c>
      <c r="AM59" s="117">
        <f>IF(ISBLANK(Y59),"",IF($P59="BRL",Y59,Y59*Macroindicadores!J$2)/1000)</f>
        <v>0</v>
      </c>
      <c r="AN59" s="117">
        <f>IF(ISBLANK(Z59),"",IF($P59="BRL",Z59,Z59*Macroindicadores!K$2)/1000)</f>
        <v>0</v>
      </c>
      <c r="AO59" s="117">
        <f>IF(ISBLANK(AA59),"",IF($P59="BRL",AA59,AA59*Macroindicadores!L$2)/1000)</f>
        <v>0</v>
      </c>
      <c r="AP59" s="117">
        <f>IF(ISBLANK(AB59),"",IF($P59="BRL",AB59,AB59*Macroindicadores!M$2)/1000)</f>
        <v>0</v>
      </c>
      <c r="AQ59" s="118">
        <f t="shared" si="35"/>
        <v>0</v>
      </c>
      <c r="AR59" s="108"/>
      <c r="AS59" s="117">
        <f>IF(ISBLANK(Q59),"",IF(ISBLANK($O59),AE59,IF($J59="ANUAL",AE59*(1+Macroindicadores!B$7),IF(AND($I59="NOVO",MONTH($O59)=MONTH(AS$4)),AE59*(1+Macroindicadores!B$7),IF(AND($J59="PONTUAL",MONTH($O59)=MONTH(AS$4)),AE59*(1+Macroindicadores!B$7),IF(AND($J59="PONTUAL",MONTH($O59)&lt;MONTH(AS$4)),MIN(AR59:$AS59),IF(AND($I59="NOVO",MONTH($O59)&gt;MONTH(AS$4)),AE59,IF(MONTH($O59)&gt;MONTH(AS$4),AE59,IF(MONTH($O59)=MONTH(AS$4),AE59*(1+Macroindicadores!B$7),AR59)))))))))</f>
        <v>0</v>
      </c>
      <c r="AT59" s="117">
        <f>IF(ISBLANK(R59),"",IF(ISBLANK($O59),AF59,IF($J59="ANUAL",AF59*(1+Macroindicadores!C$7),IF(AND($I59="NOVO",MONTH($O59)=MONTH(AT$4)),AF59*(1+Macroindicadores!C$7),IF(AND($J59="PONTUAL",MONTH($O59)=MONTH(AT$4)),AF59*(1+Macroindicadores!C$7),IF(AND($J59="PONTUAL",MONTH($O59)&lt;MONTH(AT$4)),MIN($AS59:AS59),IF(AND($I59="NOVO",MONTH($O59)&gt;MONTH(AT$4)),AF59,IF(MONTH($O59)&gt;MONTH(AT$4),AF59,IF(MONTH($O59)=MONTH(AT$4),AF59*(1+Macroindicadores!C$7),AS59)))))))))</f>
        <v>0</v>
      </c>
      <c r="AU59" s="117">
        <f>IF(ISBLANK(S59),"",IF(ISBLANK($O59),AG59,IF($J59="ANUAL",AG59*(1+Macroindicadores!D$7),IF(AND($I59="NOVO",MONTH($O59)=MONTH(AU$4)),AG59*(1+Macroindicadores!D$7),IF(AND($J59="PONTUAL",MONTH($O59)=MONTH(AU$4)),AG59*(1+Macroindicadores!D$7),IF(AND($J59="PONTUAL",MONTH($O59)&lt;MONTH(AU$4)),MIN($AS59:AT59),IF(AND($I59="NOVO",MONTH($O59)&gt;MONTH(AU$4)),AG59,IF(MONTH($O59)&gt;MONTH(AU$4),AG59,IF(MONTH($O59)=MONTH(AU$4),AG59*(1+Macroindicadores!D$7),AT59)))))))))</f>
        <v>0</v>
      </c>
      <c r="AV59" s="117">
        <f>IF(ISBLANK(T59),"",IF(ISBLANK($O59),AH59,IF($J59="ANUAL",AH59*(1+Macroindicadores!E$7),IF(AND($I59="NOVO",MONTH($O59)=MONTH(AV$4)),AH59*(1+Macroindicadores!E$7),IF(AND($J59="PONTUAL",MONTH($O59)=MONTH(AV$4)),AH59*(1+Macroindicadores!E$7),IF(AND($J59="PONTUAL",MONTH($O59)&lt;MONTH(AV$4)),MIN($AS59:AU59),IF(AND($I59="NOVO",MONTH($O59)&gt;MONTH(AV$4)),AH59,IF(MONTH($O59)&gt;MONTH(AV$4),AH59,IF(MONTH($O59)=MONTH(AV$4),AH59*(1+Macroindicadores!E$7),AU59)))))))))</f>
        <v>0</v>
      </c>
      <c r="AW59" s="117">
        <f>IF(ISBLANK(U59),"",IF(ISBLANK($O59),AI59,IF($J59="ANUAL",AI59*(1+Macroindicadores!F$7),IF(AND($I59="NOVO",MONTH($O59)=MONTH(AW$4)),AI59*(1+Macroindicadores!F$7),IF(AND($J59="PONTUAL",MONTH($O59)=MONTH(AW$4)),AI59*(1+Macroindicadores!F$7),IF(AND($J59="PONTUAL",MONTH($O59)&lt;MONTH(AW$4)),MIN($AS59:AV59),IF(AND($I59="NOVO",MONTH($O59)&gt;MONTH(AW$4)),AI59,IF(MONTH($O59)&gt;MONTH(AW$4),AI59,IF(MONTH($O59)=MONTH(AW$4),AI59*(1+Macroindicadores!F$7),AV59)))))))))</f>
        <v>0</v>
      </c>
      <c r="AX59" s="117">
        <f>IF(ISBLANK(V59),"",IF(ISBLANK($O59),AJ59,IF($J59="ANUAL",AJ59*(1+Macroindicadores!G$7),IF(AND($I59="NOVO",MONTH($O59)=MONTH(AX$4)),AJ59*(1+Macroindicadores!G$7),IF(AND($J59="PONTUAL",MONTH($O59)=MONTH(AX$4)),AJ59*(1+Macroindicadores!G$7),IF(AND($J59="PONTUAL",MONTH($O59)&lt;MONTH(AX$4)),MIN($AS59:AW59),IF(AND($I59="NOVO",MONTH($O59)&gt;MONTH(AX$4)),AJ59,IF(MONTH($O59)&gt;MONTH(AX$4),AJ59,IF(MONTH($O59)=MONTH(AX$4),AJ59*(1+Macroindicadores!G$7),AW59)))))))))</f>
        <v>0</v>
      </c>
      <c r="AY59" s="117">
        <f>IF(ISBLANK(W59),"",IF(ISBLANK($O59),AK59,IF($J59="ANUAL",AK59*(1+Macroindicadores!H$7),IF(AND($I59="NOVO",MONTH($O59)=MONTH(AY$4)),AK59*(1+Macroindicadores!H$7),IF(AND($J59="PONTUAL",MONTH($O59)=MONTH(AY$4)),AK59*(1+Macroindicadores!H$7),IF(AND($J59="PONTUAL",MONTH($O59)&lt;MONTH(AY$4)),MIN($AS59:AX59),IF(AND($I59="NOVO",MONTH($O59)&gt;MONTH(AY$4)),AK59,IF(MONTH($O59)&gt;MONTH(AY$4),AK59,IF(MONTH($O59)=MONTH(AY$4),AK59*(1+Macroindicadores!H$7),AX59)))))))))</f>
        <v>0</v>
      </c>
      <c r="AZ59" s="117">
        <f>IF(ISBLANK(X59),"",IF(ISBLANK($O59),AL59,IF($J59="ANUAL",AL59*(1+Macroindicadores!I$7),IF(AND($I59="NOVO",MONTH($O59)=MONTH(AZ$4)),AL59*(1+Macroindicadores!I$7),IF(AND($J59="PONTUAL",MONTH($O59)=MONTH(AZ$4)),AL59*(1+Macroindicadores!I$7),IF(AND($J59="PONTUAL",MONTH($O59)&lt;MONTH(AZ$4)),MIN($AS59:AY59),IF(AND($I59="NOVO",MONTH($O59)&gt;MONTH(AZ$4)),AL59,IF(MONTH($O59)&gt;MONTH(AZ$4),AL59,IF(MONTH($O59)=MONTH(AZ$4),AL59*(1+Macroindicadores!I$7),AY59)))))))))</f>
        <v>0</v>
      </c>
      <c r="BA59" s="117">
        <f>IF(ISBLANK(Y59),"",IF(ISBLANK($O59),AM59,IF($J59="ANUAL",AM59*(1+Macroindicadores!J$7),IF(AND($I59="NOVO",MONTH($O59)=MONTH(BA$4)),AM59*(1+Macroindicadores!J$7),IF(AND($J59="PONTUAL",MONTH($O59)=MONTH(BA$4)),AM59*(1+Macroindicadores!J$7),IF(AND($J59="PONTUAL",MONTH($O59)&lt;MONTH(BA$4)),MIN($AS59:AZ59),IF(AND($I59="NOVO",MONTH($O59)&gt;MONTH(BA$4)),AM59,IF(MONTH($O59)&gt;MONTH(BA$4),AM59,IF(MONTH($O59)=MONTH(BA$4),AM59*(1+Macroindicadores!J$7),AZ59)))))))))</f>
        <v>0</v>
      </c>
      <c r="BB59" s="117">
        <f>IF(ISBLANK(Z59),"",IF(ISBLANK($O59),AN59,IF($J59="ANUAL",AN59*(1+Macroindicadores!K$7),IF(AND($I59="NOVO",MONTH($O59)=MONTH(BB$4)),AN59*(1+Macroindicadores!K$7),IF(AND($J59="PONTUAL",MONTH($O59)=MONTH(BB$4)),AN59*(1+Macroindicadores!K$7),IF(AND($J59="PONTUAL",MONTH($O59)&lt;MONTH(BB$4)),MIN($AS59:BA59),IF(AND($I59="NOVO",MONTH($O59)&gt;MONTH(BB$4)),AN59,IF(MONTH($O59)&gt;MONTH(BB$4),AN59,IF(MONTH($O59)=MONTH(BB$4),AN59*(1+Macroindicadores!K$7),BA59)))))))))</f>
        <v>0</v>
      </c>
      <c r="BC59" s="117">
        <f>IF(ISBLANK(AA59),"",IF(ISBLANK($O59),AO59,IF($J59="ANUAL",AO59*(1+Macroindicadores!L$7),IF(AND($I59="NOVO",MONTH($O59)=MONTH(BC$4)),AO59*(1+Macroindicadores!L$7),IF(AND($J59="PONTUAL",MONTH($O59)=MONTH(BC$4)),AO59*(1+Macroindicadores!L$7),IF(AND($J59="PONTUAL",MONTH($O59)&lt;MONTH(BC$4)),MIN($AS59:BB59),IF(AND($I59="NOVO",MONTH($O59)&gt;MONTH(BC$4)),AO59,IF(MONTH($O59)&gt;MONTH(BC$4),AO59,IF(MONTH($O59)=MONTH(BC$4),AO59*(1+Macroindicadores!L$7),BB59)))))))))</f>
        <v>0</v>
      </c>
      <c r="BD59" s="117">
        <f>IF(ISBLANK(AB59),"",IF(ISBLANK($O59),AP59,IF($J59="ANUAL",AP59*(1+Macroindicadores!M$7),IF(AND($I59="NOVO",MONTH($O59)=MONTH(BD$4)),AP59*(1+Macroindicadores!M$7),IF(AND($J59="PONTUAL",MONTH($O59)=MONTH(BD$4)),AP59*(1+Macroindicadores!M$7),IF(AND($J59="PONTUAL",MONTH($O59)&lt;MONTH(BD$4)),MIN($AS59:BC59),IF(AND($I59="NOVO",MONTH($O59)&gt;MONTH(BD$4)),AP59,IF(MONTH($O59)&gt;MONTH(BD$4),AP59,IF(MONTH($O59)=MONTH(BD$4),AP59*(1+Macroindicadores!M$7),BC59)))))))))</f>
        <v>0</v>
      </c>
      <c r="BE59" s="118">
        <f t="shared" ref="BE59:BE114" si="50">IF(AND(ISBLANK($Q59),ISBLANK($R59),ISBLANK($S59),ISBLANK($T59),ISBLANK($U59),ISBLANK($V59),ISBLANK($W59),ISBLANK($X59),ISBLANK($Y59),ISBLANK($Z59),ISBLANK($AA59),ISBLANK($AB59)),"",SUM(AS59:BD59))</f>
        <v>0</v>
      </c>
      <c r="BF59" s="108"/>
      <c r="BG59" s="117">
        <f>IF(ISBLANK(Q59),"",AS59/Macroindicadores!B$2)</f>
        <v>0</v>
      </c>
      <c r="BH59" s="117">
        <f>IF(ISBLANK(R59),"",AT59/Macroindicadores!C$2)</f>
        <v>0</v>
      </c>
      <c r="BI59" s="117">
        <f>IF(ISBLANK(S59),"",AU59/Macroindicadores!D$2)</f>
        <v>0</v>
      </c>
      <c r="BJ59" s="117">
        <f>IF(ISBLANK(T59),"",AV59/Macroindicadores!E$2)</f>
        <v>0</v>
      </c>
      <c r="BK59" s="117">
        <f>IF(ISBLANK(U59),"",AW59/Macroindicadores!F$2)</f>
        <v>0</v>
      </c>
      <c r="BL59" s="117">
        <f>IF(ISBLANK(V59),"",AX59/Macroindicadores!G$2)</f>
        <v>0</v>
      </c>
      <c r="BM59" s="117">
        <f>IF(ISBLANK(W59),"",AY59/Macroindicadores!H$2)</f>
        <v>0</v>
      </c>
      <c r="BN59" s="117">
        <f>IF(ISBLANK(X59),"",AZ59/Macroindicadores!I$2)</f>
        <v>0</v>
      </c>
      <c r="BO59" s="117">
        <f>IF(ISBLANK(Y59),"",BA59/Macroindicadores!J$2)</f>
        <v>0</v>
      </c>
      <c r="BP59" s="117">
        <f>IF(ISBLANK(Z59),"",BB59/Macroindicadores!K$2)</f>
        <v>0</v>
      </c>
      <c r="BQ59" s="117">
        <f>IF(ISBLANK(AA59),"",BC59/Macroindicadores!L$2)</f>
        <v>0</v>
      </c>
      <c r="BR59" s="117">
        <f>IF(ISBLANK(AB59),"",BD59/Macroindicadores!M$2)</f>
        <v>0</v>
      </c>
      <c r="BS59" s="118">
        <f>IF(AND(ISBLANK($Q59),ISBLANK($R59),ISBLANK($S59),ISBLANK($T59),ISBLANK($U59),ISBLANK($V59),ISBLANK($W59),ISBLANK($X59),ISBLANK($Y59),ISBLANK($Z59),ISBLANK($AA59),ISBLANK($AB59)),"",SUM(BG59:BR59))</f>
        <v>0</v>
      </c>
      <c r="BT59" s="25" t="str">
        <f>IF(ISBLANK($L59),"",_xlfn.XLOOKUP($L59,'CENTRO CUSTO'!$A:$A,'CENTRO CUSTO'!$E:$E,FALSE,0))</f>
        <v>Custo Fixo</v>
      </c>
    </row>
    <row r="60" spans="1:72">
      <c r="A60" s="9" t="str">
        <f t="shared" si="40"/>
        <v>Budget</v>
      </c>
      <c r="B60" s="9">
        <f t="shared" si="49"/>
        <v>2026</v>
      </c>
      <c r="C60" s="111" t="str">
        <f>IF(ISBLANK($L60),"",_xlfn.XLOOKUP($L60,'CENTRO CUSTO'!$A:$A,'CENTRO CUSTO'!F:F,FALSE,0))</f>
        <v>Martini Meat</v>
      </c>
      <c r="D60" s="111" t="str">
        <f>IF(ISBLANK($L60),"",_xlfn.XLOOKUP($L60,'CENTRO CUSTO'!$A:$A,'CENTRO CUSTO'!G:G,FALSE,0))</f>
        <v>Paranaguá</v>
      </c>
      <c r="E60" s="111" t="str">
        <f>IF(ISBLANK($L60),"",_xlfn.XLOOKUP($L60,'CENTRO CUSTO'!$A:$A,'CENTRO CUSTO'!H:H,FALSE,0))</f>
        <v>Carga Geral</v>
      </c>
      <c r="F60" s="112" t="s">
        <v>116</v>
      </c>
      <c r="G60" s="112" t="s">
        <v>75</v>
      </c>
      <c r="H60" s="112" t="s">
        <v>117</v>
      </c>
      <c r="I60" s="113" t="s">
        <v>77</v>
      </c>
      <c r="J60" s="113" t="s">
        <v>78</v>
      </c>
      <c r="K60" s="113" t="s">
        <v>79</v>
      </c>
      <c r="L60" s="113" t="s">
        <v>12</v>
      </c>
      <c r="M60" s="111" t="str">
        <f>IF(ISBLANK($L60),"",_xlfn.XLOOKUP($L60,'CENTRO CUSTO'!$A:$A,'CENTRO CUSTO'!D:D,FALSE,0))</f>
        <v>Alexandre Ayabe</v>
      </c>
      <c r="N60" s="113" t="s">
        <v>87</v>
      </c>
      <c r="O60" s="114">
        <v>46023</v>
      </c>
      <c r="P60" s="113" t="s">
        <v>88</v>
      </c>
      <c r="Q60" s="115">
        <f>25000*Rateio!$E$155/12</f>
        <v>125</v>
      </c>
      <c r="R60" s="115">
        <f>25000*Rateio!$E$155/12</f>
        <v>125</v>
      </c>
      <c r="S60" s="115">
        <f>25000*Rateio!$E$155/12</f>
        <v>125</v>
      </c>
      <c r="T60" s="115">
        <f>25000*Rateio!$E$155/12</f>
        <v>125</v>
      </c>
      <c r="U60" s="115">
        <f>25000*Rateio!$E$155/12</f>
        <v>125</v>
      </c>
      <c r="V60" s="115">
        <f>25000*Rateio!$E$155/12</f>
        <v>125</v>
      </c>
      <c r="W60" s="115">
        <f>25000*Rateio!$E$155/12</f>
        <v>125</v>
      </c>
      <c r="X60" s="115">
        <f>25000*Rateio!$E$155/12</f>
        <v>125</v>
      </c>
      <c r="Y60" s="115">
        <f>25000*Rateio!$E$155/12</f>
        <v>125</v>
      </c>
      <c r="Z60" s="115">
        <f>25000*Rateio!$E$155/12</f>
        <v>125</v>
      </c>
      <c r="AA60" s="115">
        <f>25000*Rateio!$E$155/12</f>
        <v>125</v>
      </c>
      <c r="AB60" s="115">
        <f>25000*Rateio!$E$155/12</f>
        <v>125</v>
      </c>
      <c r="AC60" s="116">
        <f t="shared" si="41"/>
        <v>1500</v>
      </c>
      <c r="AD60" s="108"/>
      <c r="AE60" s="117">
        <f>IF(ISBLANK(Q60),"",IF($P60="BRL",Q60,Q60*Macroindicadores!B$2)/1000)</f>
        <v>0.73499999999999999</v>
      </c>
      <c r="AF60" s="117">
        <f>IF(ISBLANK(R60),"",IF($P60="BRL",R60,R60*Macroindicadores!C$2)/1000)</f>
        <v>0.73499999999999999</v>
      </c>
      <c r="AG60" s="117">
        <f>IF(ISBLANK(S60),"",IF($P60="BRL",S60,S60*Macroindicadores!D$2)/1000)</f>
        <v>0.73499999999999999</v>
      </c>
      <c r="AH60" s="117">
        <f>IF(ISBLANK(T60),"",IF($P60="BRL",T60,T60*Macroindicadores!E$2)/1000)</f>
        <v>0.73499999999999999</v>
      </c>
      <c r="AI60" s="117">
        <f>IF(ISBLANK(U60),"",IF($P60="BRL",U60,U60*Macroindicadores!F$2)/1000)</f>
        <v>0.73499999999999999</v>
      </c>
      <c r="AJ60" s="117">
        <f>IF(ISBLANK(V60),"",IF($P60="BRL",V60,V60*Macroindicadores!G$2)/1000)</f>
        <v>0.73499999999999999</v>
      </c>
      <c r="AK60" s="117">
        <f>IF(ISBLANK(W60),"",IF($P60="BRL",W60,W60*Macroindicadores!H$2)/1000)</f>
        <v>0.73499999999999999</v>
      </c>
      <c r="AL60" s="117">
        <f>IF(ISBLANK(X60),"",IF($P60="BRL",X60,X60*Macroindicadores!I$2)/1000)</f>
        <v>0.73499999999999999</v>
      </c>
      <c r="AM60" s="117">
        <f>IF(ISBLANK(Y60),"",IF($P60="BRL",Y60,Y60*Macroindicadores!J$2)/1000)</f>
        <v>0.73499999999999999</v>
      </c>
      <c r="AN60" s="117">
        <f>IF(ISBLANK(Z60),"",IF($P60="BRL",Z60,Z60*Macroindicadores!K$2)/1000)</f>
        <v>0.73499999999999999</v>
      </c>
      <c r="AO60" s="117">
        <f>IF(ISBLANK(AA60),"",IF($P60="BRL",AA60,AA60*Macroindicadores!L$2)/1000)</f>
        <v>0.73499999999999999</v>
      </c>
      <c r="AP60" s="117">
        <f>IF(ISBLANK(AB60),"",IF($P60="BRL",AB60,AB60*Macroindicadores!M$2)/1000)</f>
        <v>0.73499999999999999</v>
      </c>
      <c r="AQ60" s="118">
        <f t="shared" ref="AQ60:AQ114" si="51">IF(AND(ISBLANK($Q60),ISBLANK($R60),ISBLANK($S60),ISBLANK($T60),ISBLANK($U60),ISBLANK($V60),ISBLANK($W60),ISBLANK($X60),ISBLANK($Y60),ISBLANK($Z60),ISBLANK($AA60),ISBLANK($AB60)),"",SUM(AE60:AP60))</f>
        <v>8.82</v>
      </c>
      <c r="AR60" s="108"/>
      <c r="AS60" s="117">
        <f>IF(ISBLANK(Q60),"",IF(ISBLANK($O60),AE60,IF($J60="ANUAL",AE60*(1+Macroindicadores!B$7),IF(AND($I60="NOVO",MONTH($O60)=MONTH(AS$4)),AE60*(1+Macroindicadores!B$7),IF(AND($J60="PONTUAL",MONTH($O60)=MONTH(AS$4)),AE60*(1+Macroindicadores!B$7),IF(AND($J60="PONTUAL",MONTH($O60)&lt;MONTH(AS$4)),MIN(AR60:$AS60),IF(AND($I60="NOVO",MONTH($O60)&gt;MONTH(AS$4)),AE60,IF(MONTH($O60)&gt;MONTH(AS$4),AE60,IF(MONTH($O60)=MONTH(AS$4),AE60*(1+Macroindicadores!B$7),AR60)))))))))</f>
        <v>0.7751861832949074</v>
      </c>
      <c r="AT60" s="117">
        <f>IF(ISBLANK(R60),"",IF(ISBLANK($O60),AF60,IF($J60="ANUAL",AF60*(1+Macroindicadores!C$7),IF(AND($I60="NOVO",MONTH($O60)=MONTH(AT$4)),AF60*(1+Macroindicadores!C$7),IF(AND($J60="PONTUAL",MONTH($O60)=MONTH(AT$4)),AF60*(1+Macroindicadores!C$7),IF(AND($J60="PONTUAL",MONTH($O60)&lt;MONTH(AT$4)),MIN($AS60:AS60),IF(AND($I60="NOVO",MONTH($O60)&gt;MONTH(AT$4)),AF60,IF(MONTH($O60)&gt;MONTH(AT$4),AF60,IF(MONTH($O60)=MONTH(AT$4),AF60*(1+Macroindicadores!C$7),AS60)))))))))</f>
        <v>0.7751861832949074</v>
      </c>
      <c r="AU60" s="117">
        <f>IF(ISBLANK(S60),"",IF(ISBLANK($O60),AG60,IF($J60="ANUAL",AG60*(1+Macroindicadores!D$7),IF(AND($I60="NOVO",MONTH($O60)=MONTH(AU$4)),AG60*(1+Macroindicadores!D$7),IF(AND($J60="PONTUAL",MONTH($O60)=MONTH(AU$4)),AG60*(1+Macroindicadores!D$7),IF(AND($J60="PONTUAL",MONTH($O60)&lt;MONTH(AU$4)),MIN($AS60:AT60),IF(AND($I60="NOVO",MONTH($O60)&gt;MONTH(AU$4)),AG60,IF(MONTH($O60)&gt;MONTH(AU$4),AG60,IF(MONTH($O60)=MONTH(AU$4),AG60*(1+Macroindicadores!D$7),AT60)))))))))</f>
        <v>0.7751861832949074</v>
      </c>
      <c r="AV60" s="117">
        <f>IF(ISBLANK(T60),"",IF(ISBLANK($O60),AH60,IF($J60="ANUAL",AH60*(1+Macroindicadores!E$7),IF(AND($I60="NOVO",MONTH($O60)=MONTH(AV$4)),AH60*(1+Macroindicadores!E$7),IF(AND($J60="PONTUAL",MONTH($O60)=MONTH(AV$4)),AH60*(1+Macroindicadores!E$7),IF(AND($J60="PONTUAL",MONTH($O60)&lt;MONTH(AV$4)),MIN($AS60:AU60),IF(AND($I60="NOVO",MONTH($O60)&gt;MONTH(AV$4)),AH60,IF(MONTH($O60)&gt;MONTH(AV$4),AH60,IF(MONTH($O60)=MONTH(AV$4),AH60*(1+Macroindicadores!E$7),AU60)))))))))</f>
        <v>0.7751861832949074</v>
      </c>
      <c r="AW60" s="117">
        <f>IF(ISBLANK(U60),"",IF(ISBLANK($O60),AI60,IF($J60="ANUAL",AI60*(1+Macroindicadores!F$7),IF(AND($I60="NOVO",MONTH($O60)=MONTH(AW$4)),AI60*(1+Macroindicadores!F$7),IF(AND($J60="PONTUAL",MONTH($O60)=MONTH(AW$4)),AI60*(1+Macroindicadores!F$7),IF(AND($J60="PONTUAL",MONTH($O60)&lt;MONTH(AW$4)),MIN($AS60:AV60),IF(AND($I60="NOVO",MONTH($O60)&gt;MONTH(AW$4)),AI60,IF(MONTH($O60)&gt;MONTH(AW$4),AI60,IF(MONTH($O60)=MONTH(AW$4),AI60*(1+Macroindicadores!F$7),AV60)))))))))</f>
        <v>0.7751861832949074</v>
      </c>
      <c r="AX60" s="117">
        <f>IF(ISBLANK(V60),"",IF(ISBLANK($O60),AJ60,IF($J60="ANUAL",AJ60*(1+Macroindicadores!G$7),IF(AND($I60="NOVO",MONTH($O60)=MONTH(AX$4)),AJ60*(1+Macroindicadores!G$7),IF(AND($J60="PONTUAL",MONTH($O60)=MONTH(AX$4)),AJ60*(1+Macroindicadores!G$7),IF(AND($J60="PONTUAL",MONTH($O60)&lt;MONTH(AX$4)),MIN($AS60:AW60),IF(AND($I60="NOVO",MONTH($O60)&gt;MONTH(AX$4)),AJ60,IF(MONTH($O60)&gt;MONTH(AX$4),AJ60,IF(MONTH($O60)=MONTH(AX$4),AJ60*(1+Macroindicadores!G$7),AW60)))))))))</f>
        <v>0.7751861832949074</v>
      </c>
      <c r="AY60" s="117">
        <f>IF(ISBLANK(W60),"",IF(ISBLANK($O60),AK60,IF($J60="ANUAL",AK60*(1+Macroindicadores!H$7),IF(AND($I60="NOVO",MONTH($O60)=MONTH(AY$4)),AK60*(1+Macroindicadores!H$7),IF(AND($J60="PONTUAL",MONTH($O60)=MONTH(AY$4)),AK60*(1+Macroindicadores!H$7),IF(AND($J60="PONTUAL",MONTH($O60)&lt;MONTH(AY$4)),MIN($AS60:AX60),IF(AND($I60="NOVO",MONTH($O60)&gt;MONTH(AY$4)),AK60,IF(MONTH($O60)&gt;MONTH(AY$4),AK60,IF(MONTH($O60)=MONTH(AY$4),AK60*(1+Macroindicadores!H$7),AX60)))))))))</f>
        <v>0.7751861832949074</v>
      </c>
      <c r="AZ60" s="117">
        <f>IF(ISBLANK(X60),"",IF(ISBLANK($O60),AL60,IF($J60="ANUAL",AL60*(1+Macroindicadores!I$7),IF(AND($I60="NOVO",MONTH($O60)=MONTH(AZ$4)),AL60*(1+Macroindicadores!I$7),IF(AND($J60="PONTUAL",MONTH($O60)=MONTH(AZ$4)),AL60*(1+Macroindicadores!I$7),IF(AND($J60="PONTUAL",MONTH($O60)&lt;MONTH(AZ$4)),MIN($AS60:AY60),IF(AND($I60="NOVO",MONTH($O60)&gt;MONTH(AZ$4)),AL60,IF(MONTH($O60)&gt;MONTH(AZ$4),AL60,IF(MONTH($O60)=MONTH(AZ$4),AL60*(1+Macroindicadores!I$7),AY60)))))))))</f>
        <v>0.7751861832949074</v>
      </c>
      <c r="BA60" s="117">
        <f>IF(ISBLANK(Y60),"",IF(ISBLANK($O60),AM60,IF($J60="ANUAL",AM60*(1+Macroindicadores!J$7),IF(AND($I60="NOVO",MONTH($O60)=MONTH(BA$4)),AM60*(1+Macroindicadores!J$7),IF(AND($J60="PONTUAL",MONTH($O60)=MONTH(BA$4)),AM60*(1+Macroindicadores!J$7),IF(AND($J60="PONTUAL",MONTH($O60)&lt;MONTH(BA$4)),MIN($AS60:AZ60),IF(AND($I60="NOVO",MONTH($O60)&gt;MONTH(BA$4)),AM60,IF(MONTH($O60)&gt;MONTH(BA$4),AM60,IF(MONTH($O60)=MONTH(BA$4),AM60*(1+Macroindicadores!J$7),AZ60)))))))))</f>
        <v>0.7751861832949074</v>
      </c>
      <c r="BB60" s="117">
        <f>IF(ISBLANK(Z60),"",IF(ISBLANK($O60),AN60,IF($J60="ANUAL",AN60*(1+Macroindicadores!K$7),IF(AND($I60="NOVO",MONTH($O60)=MONTH(BB$4)),AN60*(1+Macroindicadores!K$7),IF(AND($J60="PONTUAL",MONTH($O60)=MONTH(BB$4)),AN60*(1+Macroindicadores!K$7),IF(AND($J60="PONTUAL",MONTH($O60)&lt;MONTH(BB$4)),MIN($AS60:BA60),IF(AND($I60="NOVO",MONTH($O60)&gt;MONTH(BB$4)),AN60,IF(MONTH($O60)&gt;MONTH(BB$4),AN60,IF(MONTH($O60)=MONTH(BB$4),AN60*(1+Macroindicadores!K$7),BA60)))))))))</f>
        <v>0.7751861832949074</v>
      </c>
      <c r="BC60" s="117">
        <f>IF(ISBLANK(AA60),"",IF(ISBLANK($O60),AO60,IF($J60="ANUAL",AO60*(1+Macroindicadores!L$7),IF(AND($I60="NOVO",MONTH($O60)=MONTH(BC$4)),AO60*(1+Macroindicadores!L$7),IF(AND($J60="PONTUAL",MONTH($O60)=MONTH(BC$4)),AO60*(1+Macroindicadores!L$7),IF(AND($J60="PONTUAL",MONTH($O60)&lt;MONTH(BC$4)),MIN($AS60:BB60),IF(AND($I60="NOVO",MONTH($O60)&gt;MONTH(BC$4)),AO60,IF(MONTH($O60)&gt;MONTH(BC$4),AO60,IF(MONTH($O60)=MONTH(BC$4),AO60*(1+Macroindicadores!L$7),BB60)))))))))</f>
        <v>0.7751861832949074</v>
      </c>
      <c r="BD60" s="117">
        <f>IF(ISBLANK(AB60),"",IF(ISBLANK($O60),AP60,IF($J60="ANUAL",AP60*(1+Macroindicadores!M$7),IF(AND($I60="NOVO",MONTH($O60)=MONTH(BD$4)),AP60*(1+Macroindicadores!M$7),IF(AND($J60="PONTUAL",MONTH($O60)=MONTH(BD$4)),AP60*(1+Macroindicadores!M$7),IF(AND($J60="PONTUAL",MONTH($O60)&lt;MONTH(BD$4)),MIN($AS60:BC60),IF(AND($I60="NOVO",MONTH($O60)&gt;MONTH(BD$4)),AP60,IF(MONTH($O60)&gt;MONTH(BD$4),AP60,IF(MONTH($O60)=MONTH(BD$4),AP60*(1+Macroindicadores!M$7),BC60)))))))))</f>
        <v>0.7751861832949074</v>
      </c>
      <c r="BE60" s="118">
        <f t="shared" si="50"/>
        <v>9.3022341995388906</v>
      </c>
      <c r="BF60" s="108"/>
      <c r="BG60" s="117">
        <f>IF(ISBLANK(Q60),"",AS60/Macroindicadores!B$2)</f>
        <v>0.13183438491409991</v>
      </c>
      <c r="BH60" s="117">
        <f>IF(ISBLANK(R60),"",AT60/Macroindicadores!C$2)</f>
        <v>0.13183438491409991</v>
      </c>
      <c r="BI60" s="117">
        <f>IF(ISBLANK(S60),"",AU60/Macroindicadores!D$2)</f>
        <v>0.13183438491409991</v>
      </c>
      <c r="BJ60" s="117">
        <f>IF(ISBLANK(T60),"",AV60/Macroindicadores!E$2)</f>
        <v>0.13183438491409991</v>
      </c>
      <c r="BK60" s="117">
        <f>IF(ISBLANK(U60),"",AW60/Macroindicadores!F$2)</f>
        <v>0.13183438491409991</v>
      </c>
      <c r="BL60" s="117">
        <f>IF(ISBLANK(V60),"",AX60/Macroindicadores!G$2)</f>
        <v>0.13183438491409991</v>
      </c>
      <c r="BM60" s="117">
        <f>IF(ISBLANK(W60),"",AY60/Macroindicadores!H$2)</f>
        <v>0.13183438491409991</v>
      </c>
      <c r="BN60" s="117">
        <f>IF(ISBLANK(X60),"",AZ60/Macroindicadores!I$2)</f>
        <v>0.13183438491409991</v>
      </c>
      <c r="BO60" s="117">
        <f>IF(ISBLANK(Y60),"",BA60/Macroindicadores!J$2)</f>
        <v>0.13183438491409991</v>
      </c>
      <c r="BP60" s="117">
        <f>IF(ISBLANK(Z60),"",BB60/Macroindicadores!K$2)</f>
        <v>0.13183438491409991</v>
      </c>
      <c r="BQ60" s="117">
        <f>IF(ISBLANK(AA60),"",BC60/Macroindicadores!L$2)</f>
        <v>0.13183438491409991</v>
      </c>
      <c r="BR60" s="117">
        <f>IF(ISBLANK(AB60),"",BD60/Macroindicadores!M$2)</f>
        <v>0.13183438491409991</v>
      </c>
      <c r="BS60" s="118">
        <f>IF(AND(ISBLANK($Q60),ISBLANK($R60),ISBLANK($S60),ISBLANK($T60),ISBLANK($U60),ISBLANK($V60),ISBLANK($W60),ISBLANK($X60),ISBLANK($Y60),ISBLANK($Z60),ISBLANK($AA60),ISBLANK($AB60)),"",SUM(BG60:BR60))</f>
        <v>1.582012618969199</v>
      </c>
      <c r="BT60" s="25" t="str">
        <f>IF(ISBLANK($L60),"",_xlfn.XLOOKUP($L60,'CENTRO CUSTO'!$A:$A,'CENTRO CUSTO'!$E:$E,FALSE,0))</f>
        <v>Custo Fixo</v>
      </c>
    </row>
    <row r="61" spans="1:72">
      <c r="A61" s="9" t="str">
        <f t="shared" ref="A61:A115" si="52">IF(ISBLANK($F61),"","Budget")</f>
        <v>Budget</v>
      </c>
      <c r="B61" s="9">
        <f t="shared" si="49"/>
        <v>2026</v>
      </c>
      <c r="C61" s="111" t="str">
        <f>IF(ISBLANK($L61),"",_xlfn.XLOOKUP($L61,'CENTRO CUSTO'!$A:$A,'CENTRO CUSTO'!F:F,FALSE,0))</f>
        <v>Martini Meat</v>
      </c>
      <c r="D61" s="111" t="str">
        <f>IF(ISBLANK($L61),"",_xlfn.XLOOKUP($L61,'CENTRO CUSTO'!$A:$A,'CENTRO CUSTO'!G:G,FALSE,0))</f>
        <v>Paranaguá</v>
      </c>
      <c r="E61" s="111" t="str">
        <f>IF(ISBLANK($L61),"",_xlfn.XLOOKUP($L61,'CENTRO CUSTO'!$A:$A,'CENTRO CUSTO'!H:H,FALSE,0))</f>
        <v>Frigorífico</v>
      </c>
      <c r="F61" s="112" t="s">
        <v>116</v>
      </c>
      <c r="G61" s="112" t="s">
        <v>75</v>
      </c>
      <c r="H61" s="112" t="s">
        <v>117</v>
      </c>
      <c r="I61" s="113" t="s">
        <v>77</v>
      </c>
      <c r="J61" s="113" t="s">
        <v>78</v>
      </c>
      <c r="K61" s="113" t="s">
        <v>79</v>
      </c>
      <c r="L61" s="113" t="s">
        <v>15</v>
      </c>
      <c r="M61" s="111" t="str">
        <f>IF(ISBLANK($L61),"",_xlfn.XLOOKUP($L61,'CENTRO CUSTO'!$A:$A,'CENTRO CUSTO'!D:D,FALSE,0))</f>
        <v>Alexandre Ayabe</v>
      </c>
      <c r="N61" s="113" t="s">
        <v>87</v>
      </c>
      <c r="O61" s="114">
        <v>46023</v>
      </c>
      <c r="P61" s="113" t="s">
        <v>88</v>
      </c>
      <c r="Q61" s="115">
        <f>25000*Rateio!$E$156/12</f>
        <v>541.66666666666663</v>
      </c>
      <c r="R61" s="115">
        <f>25000*Rateio!$E$156/12</f>
        <v>541.66666666666663</v>
      </c>
      <c r="S61" s="115">
        <f>25000*Rateio!$E$156/12</f>
        <v>541.66666666666663</v>
      </c>
      <c r="T61" s="115">
        <f>25000*Rateio!$E$156/12</f>
        <v>541.66666666666663</v>
      </c>
      <c r="U61" s="115">
        <f>25000*Rateio!$E$156/12</f>
        <v>541.66666666666663</v>
      </c>
      <c r="V61" s="115">
        <f>25000*Rateio!$E$156/12</f>
        <v>541.66666666666663</v>
      </c>
      <c r="W61" s="115">
        <f>25000*Rateio!$E$156/12</f>
        <v>541.66666666666663</v>
      </c>
      <c r="X61" s="115">
        <f>25000*Rateio!$E$156/12</f>
        <v>541.66666666666663</v>
      </c>
      <c r="Y61" s="115">
        <f>25000*Rateio!$E$156/12</f>
        <v>541.66666666666663</v>
      </c>
      <c r="Z61" s="115">
        <f>25000*Rateio!$E$156/12</f>
        <v>541.66666666666663</v>
      </c>
      <c r="AA61" s="115">
        <f>25000*Rateio!$E$156/12</f>
        <v>541.66666666666663</v>
      </c>
      <c r="AB61" s="115">
        <f>25000*Rateio!$E$156/12</f>
        <v>541.66666666666663</v>
      </c>
      <c r="AC61" s="116">
        <f t="shared" si="41"/>
        <v>6500.0000000000009</v>
      </c>
      <c r="AD61" s="108"/>
      <c r="AE61" s="117">
        <f>IF(ISBLANK(Q61),"",IF($P61="BRL",Q61,Q61*Macroindicadores!B$2)/1000)</f>
        <v>3.1849999999999996</v>
      </c>
      <c r="AF61" s="117">
        <f>IF(ISBLANK(R61),"",IF($P61="BRL",R61,R61*Macroindicadores!C$2)/1000)</f>
        <v>3.1849999999999996</v>
      </c>
      <c r="AG61" s="117">
        <f>IF(ISBLANK(S61),"",IF($P61="BRL",S61,S61*Macroindicadores!D$2)/1000)</f>
        <v>3.1849999999999996</v>
      </c>
      <c r="AH61" s="117">
        <f>IF(ISBLANK(T61),"",IF($P61="BRL",T61,T61*Macroindicadores!E$2)/1000)</f>
        <v>3.1849999999999996</v>
      </c>
      <c r="AI61" s="117">
        <f>IF(ISBLANK(U61),"",IF($P61="BRL",U61,U61*Macroindicadores!F$2)/1000)</f>
        <v>3.1849999999999996</v>
      </c>
      <c r="AJ61" s="117">
        <f>IF(ISBLANK(V61),"",IF($P61="BRL",V61,V61*Macroindicadores!G$2)/1000)</f>
        <v>3.1849999999999996</v>
      </c>
      <c r="AK61" s="117">
        <f>IF(ISBLANK(W61),"",IF($P61="BRL",W61,W61*Macroindicadores!H$2)/1000)</f>
        <v>3.1849999999999996</v>
      </c>
      <c r="AL61" s="117">
        <f>IF(ISBLANK(X61),"",IF($P61="BRL",X61,X61*Macroindicadores!I$2)/1000)</f>
        <v>3.1849999999999996</v>
      </c>
      <c r="AM61" s="117">
        <f>IF(ISBLANK(Y61),"",IF($P61="BRL",Y61,Y61*Macroindicadores!J$2)/1000)</f>
        <v>3.1849999999999996</v>
      </c>
      <c r="AN61" s="117">
        <f>IF(ISBLANK(Z61),"",IF($P61="BRL",Z61,Z61*Macroindicadores!K$2)/1000)</f>
        <v>3.1849999999999996</v>
      </c>
      <c r="AO61" s="117">
        <f>IF(ISBLANK(AA61),"",IF($P61="BRL",AA61,AA61*Macroindicadores!L$2)/1000)</f>
        <v>3.1849999999999996</v>
      </c>
      <c r="AP61" s="117">
        <f>IF(ISBLANK(AB61),"",IF($P61="BRL",AB61,AB61*Macroindicadores!M$2)/1000)</f>
        <v>3.1849999999999996</v>
      </c>
      <c r="AQ61" s="118">
        <f t="shared" si="51"/>
        <v>38.219999999999992</v>
      </c>
      <c r="AR61" s="108"/>
      <c r="AS61" s="117">
        <f>IF(ISBLANK(Q61),"",IF(ISBLANK($O61),AE61,IF($J61="ANUAL",AE61*(1+Macroindicadores!B$7),IF(AND($I61="NOVO",MONTH($O61)=MONTH(AS$4)),AE61*(1+Macroindicadores!B$7),IF(AND($J61="PONTUAL",MONTH($O61)=MONTH(AS$4)),AE61*(1+Macroindicadores!B$7),IF(AND($J61="PONTUAL",MONTH($O61)&lt;MONTH(AS$4)),MIN(AR61:$AS61),IF(AND($I61="NOVO",MONTH($O61)&gt;MONTH(AS$4)),AE61,IF(MONTH($O61)&gt;MONTH(AS$4),AE61,IF(MONTH($O61)=MONTH(AS$4),AE61*(1+Macroindicadores!B$7),AR61)))))))))</f>
        <v>3.3591401276112651</v>
      </c>
      <c r="AT61" s="117">
        <f>IF(ISBLANK(R61),"",IF(ISBLANK($O61),AF61,IF($J61="ANUAL",AF61*(1+Macroindicadores!C$7),IF(AND($I61="NOVO",MONTH($O61)=MONTH(AT$4)),AF61*(1+Macroindicadores!C$7),IF(AND($J61="PONTUAL",MONTH($O61)=MONTH(AT$4)),AF61*(1+Macroindicadores!C$7),IF(AND($J61="PONTUAL",MONTH($O61)&lt;MONTH(AT$4)),MIN($AS61:AS61),IF(AND($I61="NOVO",MONTH($O61)&gt;MONTH(AT$4)),AF61,IF(MONTH($O61)&gt;MONTH(AT$4),AF61,IF(MONTH($O61)=MONTH(AT$4),AF61*(1+Macroindicadores!C$7),AS61)))))))))</f>
        <v>3.3591401276112651</v>
      </c>
      <c r="AU61" s="117">
        <f>IF(ISBLANK(S61),"",IF(ISBLANK($O61),AG61,IF($J61="ANUAL",AG61*(1+Macroindicadores!D$7),IF(AND($I61="NOVO",MONTH($O61)=MONTH(AU$4)),AG61*(1+Macroindicadores!D$7),IF(AND($J61="PONTUAL",MONTH($O61)=MONTH(AU$4)),AG61*(1+Macroindicadores!D$7),IF(AND($J61="PONTUAL",MONTH($O61)&lt;MONTH(AU$4)),MIN($AS61:AT61),IF(AND($I61="NOVO",MONTH($O61)&gt;MONTH(AU$4)),AG61,IF(MONTH($O61)&gt;MONTH(AU$4),AG61,IF(MONTH($O61)=MONTH(AU$4),AG61*(1+Macroindicadores!D$7),AT61)))))))))</f>
        <v>3.3591401276112651</v>
      </c>
      <c r="AV61" s="117">
        <f>IF(ISBLANK(T61),"",IF(ISBLANK($O61),AH61,IF($J61="ANUAL",AH61*(1+Macroindicadores!E$7),IF(AND($I61="NOVO",MONTH($O61)=MONTH(AV$4)),AH61*(1+Macroindicadores!E$7),IF(AND($J61="PONTUAL",MONTH($O61)=MONTH(AV$4)),AH61*(1+Macroindicadores!E$7),IF(AND($J61="PONTUAL",MONTH($O61)&lt;MONTH(AV$4)),MIN($AS61:AU61),IF(AND($I61="NOVO",MONTH($O61)&gt;MONTH(AV$4)),AH61,IF(MONTH($O61)&gt;MONTH(AV$4),AH61,IF(MONTH($O61)=MONTH(AV$4),AH61*(1+Macroindicadores!E$7),AU61)))))))))</f>
        <v>3.3591401276112651</v>
      </c>
      <c r="AW61" s="117">
        <f>IF(ISBLANK(U61),"",IF(ISBLANK($O61),AI61,IF($J61="ANUAL",AI61*(1+Macroindicadores!F$7),IF(AND($I61="NOVO",MONTH($O61)=MONTH(AW$4)),AI61*(1+Macroindicadores!F$7),IF(AND($J61="PONTUAL",MONTH($O61)=MONTH(AW$4)),AI61*(1+Macroindicadores!F$7),IF(AND($J61="PONTUAL",MONTH($O61)&lt;MONTH(AW$4)),MIN($AS61:AV61),IF(AND($I61="NOVO",MONTH($O61)&gt;MONTH(AW$4)),AI61,IF(MONTH($O61)&gt;MONTH(AW$4),AI61,IF(MONTH($O61)=MONTH(AW$4),AI61*(1+Macroindicadores!F$7),AV61)))))))))</f>
        <v>3.3591401276112651</v>
      </c>
      <c r="AX61" s="117">
        <f>IF(ISBLANK(V61),"",IF(ISBLANK($O61),AJ61,IF($J61="ANUAL",AJ61*(1+Macroindicadores!G$7),IF(AND($I61="NOVO",MONTH($O61)=MONTH(AX$4)),AJ61*(1+Macroindicadores!G$7),IF(AND($J61="PONTUAL",MONTH($O61)=MONTH(AX$4)),AJ61*(1+Macroindicadores!G$7),IF(AND($J61="PONTUAL",MONTH($O61)&lt;MONTH(AX$4)),MIN($AS61:AW61),IF(AND($I61="NOVO",MONTH($O61)&gt;MONTH(AX$4)),AJ61,IF(MONTH($O61)&gt;MONTH(AX$4),AJ61,IF(MONTH($O61)=MONTH(AX$4),AJ61*(1+Macroindicadores!G$7),AW61)))))))))</f>
        <v>3.3591401276112651</v>
      </c>
      <c r="AY61" s="117">
        <f>IF(ISBLANK(W61),"",IF(ISBLANK($O61),AK61,IF($J61="ANUAL",AK61*(1+Macroindicadores!H$7),IF(AND($I61="NOVO",MONTH($O61)=MONTH(AY$4)),AK61*(1+Macroindicadores!H$7),IF(AND($J61="PONTUAL",MONTH($O61)=MONTH(AY$4)),AK61*(1+Macroindicadores!H$7),IF(AND($J61="PONTUAL",MONTH($O61)&lt;MONTH(AY$4)),MIN($AS61:AX61),IF(AND($I61="NOVO",MONTH($O61)&gt;MONTH(AY$4)),AK61,IF(MONTH($O61)&gt;MONTH(AY$4),AK61,IF(MONTH($O61)=MONTH(AY$4),AK61*(1+Macroindicadores!H$7),AX61)))))))))</f>
        <v>3.3591401276112651</v>
      </c>
      <c r="AZ61" s="117">
        <f>IF(ISBLANK(X61),"",IF(ISBLANK($O61),AL61,IF($J61="ANUAL",AL61*(1+Macroindicadores!I$7),IF(AND($I61="NOVO",MONTH($O61)=MONTH(AZ$4)),AL61*(1+Macroindicadores!I$7),IF(AND($J61="PONTUAL",MONTH($O61)=MONTH(AZ$4)),AL61*(1+Macroindicadores!I$7),IF(AND($J61="PONTUAL",MONTH($O61)&lt;MONTH(AZ$4)),MIN($AS61:AY61),IF(AND($I61="NOVO",MONTH($O61)&gt;MONTH(AZ$4)),AL61,IF(MONTH($O61)&gt;MONTH(AZ$4),AL61,IF(MONTH($O61)=MONTH(AZ$4),AL61*(1+Macroindicadores!I$7),AY61)))))))))</f>
        <v>3.3591401276112651</v>
      </c>
      <c r="BA61" s="117">
        <f>IF(ISBLANK(Y61),"",IF(ISBLANK($O61),AM61,IF($J61="ANUAL",AM61*(1+Macroindicadores!J$7),IF(AND($I61="NOVO",MONTH($O61)=MONTH(BA$4)),AM61*(1+Macroindicadores!J$7),IF(AND($J61="PONTUAL",MONTH($O61)=MONTH(BA$4)),AM61*(1+Macroindicadores!J$7),IF(AND($J61="PONTUAL",MONTH($O61)&lt;MONTH(BA$4)),MIN($AS61:AZ61),IF(AND($I61="NOVO",MONTH($O61)&gt;MONTH(BA$4)),AM61,IF(MONTH($O61)&gt;MONTH(BA$4),AM61,IF(MONTH($O61)=MONTH(BA$4),AM61*(1+Macroindicadores!J$7),AZ61)))))))))</f>
        <v>3.3591401276112651</v>
      </c>
      <c r="BB61" s="117">
        <f>IF(ISBLANK(Z61),"",IF(ISBLANK($O61),AN61,IF($J61="ANUAL",AN61*(1+Macroindicadores!K$7),IF(AND($I61="NOVO",MONTH($O61)=MONTH(BB$4)),AN61*(1+Macroindicadores!K$7),IF(AND($J61="PONTUAL",MONTH($O61)=MONTH(BB$4)),AN61*(1+Macroindicadores!K$7),IF(AND($J61="PONTUAL",MONTH($O61)&lt;MONTH(BB$4)),MIN($AS61:BA61),IF(AND($I61="NOVO",MONTH($O61)&gt;MONTH(BB$4)),AN61,IF(MONTH($O61)&gt;MONTH(BB$4),AN61,IF(MONTH($O61)=MONTH(BB$4),AN61*(1+Macroindicadores!K$7),BA61)))))))))</f>
        <v>3.3591401276112651</v>
      </c>
      <c r="BC61" s="117">
        <f>IF(ISBLANK(AA61),"",IF(ISBLANK($O61),AO61,IF($J61="ANUAL",AO61*(1+Macroindicadores!L$7),IF(AND($I61="NOVO",MONTH($O61)=MONTH(BC$4)),AO61*(1+Macroindicadores!L$7),IF(AND($J61="PONTUAL",MONTH($O61)=MONTH(BC$4)),AO61*(1+Macroindicadores!L$7),IF(AND($J61="PONTUAL",MONTH($O61)&lt;MONTH(BC$4)),MIN($AS61:BB61),IF(AND($I61="NOVO",MONTH($O61)&gt;MONTH(BC$4)),AO61,IF(MONTH($O61)&gt;MONTH(BC$4),AO61,IF(MONTH($O61)=MONTH(BC$4),AO61*(1+Macroindicadores!L$7),BB61)))))))))</f>
        <v>3.3591401276112651</v>
      </c>
      <c r="BD61" s="117">
        <f>IF(ISBLANK(AB61),"",IF(ISBLANK($O61),AP61,IF($J61="ANUAL",AP61*(1+Macroindicadores!M$7),IF(AND($I61="NOVO",MONTH($O61)=MONTH(BD$4)),AP61*(1+Macroindicadores!M$7),IF(AND($J61="PONTUAL",MONTH($O61)=MONTH(BD$4)),AP61*(1+Macroindicadores!M$7),IF(AND($J61="PONTUAL",MONTH($O61)&lt;MONTH(BD$4)),MIN($AS61:BC61),IF(AND($I61="NOVO",MONTH($O61)&gt;MONTH(BD$4)),AP61,IF(MONTH($O61)&gt;MONTH(BD$4),AP61,IF(MONTH($O61)=MONTH(BD$4),AP61*(1+Macroindicadores!M$7),BC61)))))))))</f>
        <v>3.3591401276112651</v>
      </c>
      <c r="BE61" s="118">
        <f t="shared" si="50"/>
        <v>40.309681531335173</v>
      </c>
      <c r="BF61" s="108"/>
      <c r="BG61" s="117">
        <f>IF(ISBLANK(Q61),"",AS61/Macroindicadores!B$2)</f>
        <v>0.57128233462776623</v>
      </c>
      <c r="BH61" s="117">
        <f>IF(ISBLANK(R61),"",AT61/Macroindicadores!C$2)</f>
        <v>0.57128233462776623</v>
      </c>
      <c r="BI61" s="117">
        <f>IF(ISBLANK(S61),"",AU61/Macroindicadores!D$2)</f>
        <v>0.57128233462776623</v>
      </c>
      <c r="BJ61" s="117">
        <f>IF(ISBLANK(T61),"",AV61/Macroindicadores!E$2)</f>
        <v>0.57128233462776623</v>
      </c>
      <c r="BK61" s="117">
        <f>IF(ISBLANK(U61),"",AW61/Macroindicadores!F$2)</f>
        <v>0.57128233462776623</v>
      </c>
      <c r="BL61" s="117">
        <f>IF(ISBLANK(V61),"",AX61/Macroindicadores!G$2)</f>
        <v>0.57128233462776623</v>
      </c>
      <c r="BM61" s="117">
        <f>IF(ISBLANK(W61),"",AY61/Macroindicadores!H$2)</f>
        <v>0.57128233462776623</v>
      </c>
      <c r="BN61" s="117">
        <f>IF(ISBLANK(X61),"",AZ61/Macroindicadores!I$2)</f>
        <v>0.57128233462776623</v>
      </c>
      <c r="BO61" s="117">
        <f>IF(ISBLANK(Y61),"",BA61/Macroindicadores!J$2)</f>
        <v>0.57128233462776623</v>
      </c>
      <c r="BP61" s="117">
        <f>IF(ISBLANK(Z61),"",BB61/Macroindicadores!K$2)</f>
        <v>0.57128233462776623</v>
      </c>
      <c r="BQ61" s="117">
        <f>IF(ISBLANK(AA61),"",BC61/Macroindicadores!L$2)</f>
        <v>0.57128233462776623</v>
      </c>
      <c r="BR61" s="117">
        <f>IF(ISBLANK(AB61),"",BD61/Macroindicadores!M$2)</f>
        <v>0.57128233462776623</v>
      </c>
      <c r="BS61" s="118">
        <f>IF(AND(ISBLANK($Q61),ISBLANK($R61),ISBLANK($S61),ISBLANK($T61),ISBLANK($U61),ISBLANK($V61),ISBLANK($W61),ISBLANK($X61),ISBLANK($Y61),ISBLANK($Z61),ISBLANK($AA61),ISBLANK($AB61)),"",SUM(BG61:BR61))</f>
        <v>6.8553880155331965</v>
      </c>
      <c r="BT61" s="25" t="str">
        <f>IF(ISBLANK($L61),"",_xlfn.XLOOKUP($L61,'CENTRO CUSTO'!$A:$A,'CENTRO CUSTO'!$E:$E,FALSE,0))</f>
        <v>Custo Fixo</v>
      </c>
    </row>
    <row r="62" spans="1:72">
      <c r="A62" s="9" t="str">
        <f t="shared" si="52"/>
        <v>Budget</v>
      </c>
      <c r="B62" s="9">
        <f t="shared" si="49"/>
        <v>2026</v>
      </c>
      <c r="C62" s="111" t="str">
        <f>IF(ISBLANK($L62),"",_xlfn.XLOOKUP($L62,'CENTRO CUSTO'!$A:$A,'CENTRO CUSTO'!F:F,FALSE,0))</f>
        <v>Martini Meat</v>
      </c>
      <c r="D62" s="111" t="str">
        <f>IF(ISBLANK($L62),"",_xlfn.XLOOKUP($L62,'CENTRO CUSTO'!$A:$A,'CENTRO CUSTO'!G:G,FALSE,0))</f>
        <v>Rio Grande</v>
      </c>
      <c r="E62" s="111" t="str">
        <f>IF(ISBLANK($L62),"",_xlfn.XLOOKUP($L62,'CENTRO CUSTO'!$A:$A,'CENTRO CUSTO'!H:H,FALSE,0))</f>
        <v>Frigorífico</v>
      </c>
      <c r="F62" s="112" t="s">
        <v>116</v>
      </c>
      <c r="G62" s="112" t="s">
        <v>75</v>
      </c>
      <c r="H62" s="112" t="s">
        <v>117</v>
      </c>
      <c r="I62" s="113" t="s">
        <v>77</v>
      </c>
      <c r="J62" s="113" t="s">
        <v>78</v>
      </c>
      <c r="K62" s="113" t="s">
        <v>79</v>
      </c>
      <c r="L62" s="113" t="s">
        <v>21</v>
      </c>
      <c r="M62" s="111" t="str">
        <f>IF(ISBLANK($L62),"",_xlfn.XLOOKUP($L62,'CENTRO CUSTO'!$A:$A,'CENTRO CUSTO'!D:D,FALSE,0))</f>
        <v>Alexandre Ayabe</v>
      </c>
      <c r="N62" s="113" t="s">
        <v>87</v>
      </c>
      <c r="O62" s="114">
        <v>46023</v>
      </c>
      <c r="P62" s="113" t="s">
        <v>88</v>
      </c>
      <c r="Q62" s="115">
        <f>25000*Rateio!$E$159/12</f>
        <v>104.16666666666667</v>
      </c>
      <c r="R62" s="115">
        <f>25000*Rateio!$E$159/12</f>
        <v>104.16666666666667</v>
      </c>
      <c r="S62" s="115">
        <f>25000*Rateio!$E$159/12</f>
        <v>104.16666666666667</v>
      </c>
      <c r="T62" s="115">
        <f>25000*Rateio!$E$159/12</f>
        <v>104.16666666666667</v>
      </c>
      <c r="U62" s="115">
        <f>25000*Rateio!$E$159/12</f>
        <v>104.16666666666667</v>
      </c>
      <c r="V62" s="115">
        <f>25000*Rateio!$E$159/12</f>
        <v>104.16666666666667</v>
      </c>
      <c r="W62" s="115">
        <f>25000*Rateio!$E$159/12</f>
        <v>104.16666666666667</v>
      </c>
      <c r="X62" s="115">
        <f>25000*Rateio!$E$159/12</f>
        <v>104.16666666666667</v>
      </c>
      <c r="Y62" s="115">
        <f>25000*Rateio!$E$159/12</f>
        <v>104.16666666666667</v>
      </c>
      <c r="Z62" s="115">
        <f>25000*Rateio!$E$159/12</f>
        <v>104.16666666666667</v>
      </c>
      <c r="AA62" s="115">
        <f>25000*Rateio!$E$159/12</f>
        <v>104.16666666666667</v>
      </c>
      <c r="AB62" s="115">
        <f>25000*Rateio!$E$159/12</f>
        <v>104.16666666666667</v>
      </c>
      <c r="AC62" s="116">
        <f t="shared" si="41"/>
        <v>1250</v>
      </c>
      <c r="AD62" s="108"/>
      <c r="AE62" s="117">
        <f>IF(ISBLANK(Q62),"",IF($P62="BRL",Q62,Q62*Macroindicadores!B$2)/1000)</f>
        <v>0.61250000000000004</v>
      </c>
      <c r="AF62" s="117">
        <f>IF(ISBLANK(R62),"",IF($P62="BRL",R62,R62*Macroindicadores!C$2)/1000)</f>
        <v>0.61250000000000004</v>
      </c>
      <c r="AG62" s="117">
        <f>IF(ISBLANK(S62),"",IF($P62="BRL",S62,S62*Macroindicadores!D$2)/1000)</f>
        <v>0.61250000000000004</v>
      </c>
      <c r="AH62" s="117">
        <f>IF(ISBLANK(T62),"",IF($P62="BRL",T62,T62*Macroindicadores!E$2)/1000)</f>
        <v>0.61250000000000004</v>
      </c>
      <c r="AI62" s="117">
        <f>IF(ISBLANK(U62),"",IF($P62="BRL",U62,U62*Macroindicadores!F$2)/1000)</f>
        <v>0.61250000000000004</v>
      </c>
      <c r="AJ62" s="117">
        <f>IF(ISBLANK(V62),"",IF($P62="BRL",V62,V62*Macroindicadores!G$2)/1000)</f>
        <v>0.61250000000000004</v>
      </c>
      <c r="AK62" s="117">
        <f>IF(ISBLANK(W62),"",IF($P62="BRL",W62,W62*Macroindicadores!H$2)/1000)</f>
        <v>0.61250000000000004</v>
      </c>
      <c r="AL62" s="117">
        <f>IF(ISBLANK(X62),"",IF($P62="BRL",X62,X62*Macroindicadores!I$2)/1000)</f>
        <v>0.61250000000000004</v>
      </c>
      <c r="AM62" s="117">
        <f>IF(ISBLANK(Y62),"",IF($P62="BRL",Y62,Y62*Macroindicadores!J$2)/1000)</f>
        <v>0.61250000000000004</v>
      </c>
      <c r="AN62" s="117">
        <f>IF(ISBLANK(Z62),"",IF($P62="BRL",Z62,Z62*Macroindicadores!K$2)/1000)</f>
        <v>0.61250000000000004</v>
      </c>
      <c r="AO62" s="117">
        <f>IF(ISBLANK(AA62),"",IF($P62="BRL",AA62,AA62*Macroindicadores!L$2)/1000)</f>
        <v>0.61250000000000004</v>
      </c>
      <c r="AP62" s="117">
        <f>IF(ISBLANK(AB62),"",IF($P62="BRL",AB62,AB62*Macroindicadores!M$2)/1000)</f>
        <v>0.61250000000000004</v>
      </c>
      <c r="AQ62" s="118">
        <f t="shared" si="51"/>
        <v>7.3499999999999988</v>
      </c>
      <c r="AR62" s="108"/>
      <c r="AS62" s="117">
        <f>IF(ISBLANK(Q62),"",IF(ISBLANK($O62),AE62,IF($J62="ANUAL",AE62*(1+Macroindicadores!B$7),IF(AND($I62="NOVO",MONTH($O62)=MONTH(AS$4)),AE62*(1+Macroindicadores!B$7),IF(AND($J62="PONTUAL",MONTH($O62)=MONTH(AS$4)),AE62*(1+Macroindicadores!B$7),IF(AND($J62="PONTUAL",MONTH($O62)&lt;MONTH(AS$4)),MIN(AR62:$AS62),IF(AND($I62="NOVO",MONTH($O62)&gt;MONTH(AS$4)),AE62,IF(MONTH($O62)&gt;MONTH(AS$4),AE62,IF(MONTH($O62)=MONTH(AS$4),AE62*(1+Macroindicadores!B$7),AR62)))))))))</f>
        <v>0.64598848607908954</v>
      </c>
      <c r="AT62" s="117">
        <f>IF(ISBLANK(R62),"",IF(ISBLANK($O62),AF62,IF($J62="ANUAL",AF62*(1+Macroindicadores!C$7),IF(AND($I62="NOVO",MONTH($O62)=MONTH(AT$4)),AF62*(1+Macroindicadores!C$7),IF(AND($J62="PONTUAL",MONTH($O62)=MONTH(AT$4)),AF62*(1+Macroindicadores!C$7),IF(AND($J62="PONTUAL",MONTH($O62)&lt;MONTH(AT$4)),MIN($AS62:AS62),IF(AND($I62="NOVO",MONTH($O62)&gt;MONTH(AT$4)),AF62,IF(MONTH($O62)&gt;MONTH(AT$4),AF62,IF(MONTH($O62)=MONTH(AT$4),AF62*(1+Macroindicadores!C$7),AS62)))))))))</f>
        <v>0.64598848607908954</v>
      </c>
      <c r="AU62" s="117">
        <f>IF(ISBLANK(S62),"",IF(ISBLANK($O62),AG62,IF($J62="ANUAL",AG62*(1+Macroindicadores!D$7),IF(AND($I62="NOVO",MONTH($O62)=MONTH(AU$4)),AG62*(1+Macroindicadores!D$7),IF(AND($J62="PONTUAL",MONTH($O62)=MONTH(AU$4)),AG62*(1+Macroindicadores!D$7),IF(AND($J62="PONTUAL",MONTH($O62)&lt;MONTH(AU$4)),MIN($AS62:AT62),IF(AND($I62="NOVO",MONTH($O62)&gt;MONTH(AU$4)),AG62,IF(MONTH($O62)&gt;MONTH(AU$4),AG62,IF(MONTH($O62)=MONTH(AU$4),AG62*(1+Macroindicadores!D$7),AT62)))))))))</f>
        <v>0.64598848607908954</v>
      </c>
      <c r="AV62" s="117">
        <f>IF(ISBLANK(T62),"",IF(ISBLANK($O62),AH62,IF($J62="ANUAL",AH62*(1+Macroindicadores!E$7),IF(AND($I62="NOVO",MONTH($O62)=MONTH(AV$4)),AH62*(1+Macroindicadores!E$7),IF(AND($J62="PONTUAL",MONTH($O62)=MONTH(AV$4)),AH62*(1+Macroindicadores!E$7),IF(AND($J62="PONTUAL",MONTH($O62)&lt;MONTH(AV$4)),MIN($AS62:AU62),IF(AND($I62="NOVO",MONTH($O62)&gt;MONTH(AV$4)),AH62,IF(MONTH($O62)&gt;MONTH(AV$4),AH62,IF(MONTH($O62)=MONTH(AV$4),AH62*(1+Macroindicadores!E$7),AU62)))))))))</f>
        <v>0.64598848607908954</v>
      </c>
      <c r="AW62" s="117">
        <f>IF(ISBLANK(U62),"",IF(ISBLANK($O62),AI62,IF($J62="ANUAL",AI62*(1+Macroindicadores!F$7),IF(AND($I62="NOVO",MONTH($O62)=MONTH(AW$4)),AI62*(1+Macroindicadores!F$7),IF(AND($J62="PONTUAL",MONTH($O62)=MONTH(AW$4)),AI62*(1+Macroindicadores!F$7),IF(AND($J62="PONTUAL",MONTH($O62)&lt;MONTH(AW$4)),MIN($AS62:AV62),IF(AND($I62="NOVO",MONTH($O62)&gt;MONTH(AW$4)),AI62,IF(MONTH($O62)&gt;MONTH(AW$4),AI62,IF(MONTH($O62)=MONTH(AW$4),AI62*(1+Macroindicadores!F$7),AV62)))))))))</f>
        <v>0.64598848607908954</v>
      </c>
      <c r="AX62" s="117">
        <f>IF(ISBLANK(V62),"",IF(ISBLANK($O62),AJ62,IF($J62="ANUAL",AJ62*(1+Macroindicadores!G$7),IF(AND($I62="NOVO",MONTH($O62)=MONTH(AX$4)),AJ62*(1+Macroindicadores!G$7),IF(AND($J62="PONTUAL",MONTH($O62)=MONTH(AX$4)),AJ62*(1+Macroindicadores!G$7),IF(AND($J62="PONTUAL",MONTH($O62)&lt;MONTH(AX$4)),MIN($AS62:AW62),IF(AND($I62="NOVO",MONTH($O62)&gt;MONTH(AX$4)),AJ62,IF(MONTH($O62)&gt;MONTH(AX$4),AJ62,IF(MONTH($O62)=MONTH(AX$4),AJ62*(1+Macroindicadores!G$7),AW62)))))))))</f>
        <v>0.64598848607908954</v>
      </c>
      <c r="AY62" s="117">
        <f>IF(ISBLANK(W62),"",IF(ISBLANK($O62),AK62,IF($J62="ANUAL",AK62*(1+Macroindicadores!H$7),IF(AND($I62="NOVO",MONTH($O62)=MONTH(AY$4)),AK62*(1+Macroindicadores!H$7),IF(AND($J62="PONTUAL",MONTH($O62)=MONTH(AY$4)),AK62*(1+Macroindicadores!H$7),IF(AND($J62="PONTUAL",MONTH($O62)&lt;MONTH(AY$4)),MIN($AS62:AX62),IF(AND($I62="NOVO",MONTH($O62)&gt;MONTH(AY$4)),AK62,IF(MONTH($O62)&gt;MONTH(AY$4),AK62,IF(MONTH($O62)=MONTH(AY$4),AK62*(1+Macroindicadores!H$7),AX62)))))))))</f>
        <v>0.64598848607908954</v>
      </c>
      <c r="AZ62" s="117">
        <f>IF(ISBLANK(X62),"",IF(ISBLANK($O62),AL62,IF($J62="ANUAL",AL62*(1+Macroindicadores!I$7),IF(AND($I62="NOVO",MONTH($O62)=MONTH(AZ$4)),AL62*(1+Macroindicadores!I$7),IF(AND($J62="PONTUAL",MONTH($O62)=MONTH(AZ$4)),AL62*(1+Macroindicadores!I$7),IF(AND($J62="PONTUAL",MONTH($O62)&lt;MONTH(AZ$4)),MIN($AS62:AY62),IF(AND($I62="NOVO",MONTH($O62)&gt;MONTH(AZ$4)),AL62,IF(MONTH($O62)&gt;MONTH(AZ$4),AL62,IF(MONTH($O62)=MONTH(AZ$4),AL62*(1+Macroindicadores!I$7),AY62)))))))))</f>
        <v>0.64598848607908954</v>
      </c>
      <c r="BA62" s="117">
        <f>IF(ISBLANK(Y62),"",IF(ISBLANK($O62),AM62,IF($J62="ANUAL",AM62*(1+Macroindicadores!J$7),IF(AND($I62="NOVO",MONTH($O62)=MONTH(BA$4)),AM62*(1+Macroindicadores!J$7),IF(AND($J62="PONTUAL",MONTH($O62)=MONTH(BA$4)),AM62*(1+Macroindicadores!J$7),IF(AND($J62="PONTUAL",MONTH($O62)&lt;MONTH(BA$4)),MIN($AS62:AZ62),IF(AND($I62="NOVO",MONTH($O62)&gt;MONTH(BA$4)),AM62,IF(MONTH($O62)&gt;MONTH(BA$4),AM62,IF(MONTH($O62)=MONTH(BA$4),AM62*(1+Macroindicadores!J$7),AZ62)))))))))</f>
        <v>0.64598848607908954</v>
      </c>
      <c r="BB62" s="117">
        <f>IF(ISBLANK(Z62),"",IF(ISBLANK($O62),AN62,IF($J62="ANUAL",AN62*(1+Macroindicadores!K$7),IF(AND($I62="NOVO",MONTH($O62)=MONTH(BB$4)),AN62*(1+Macroindicadores!K$7),IF(AND($J62="PONTUAL",MONTH($O62)=MONTH(BB$4)),AN62*(1+Macroindicadores!K$7),IF(AND($J62="PONTUAL",MONTH($O62)&lt;MONTH(BB$4)),MIN($AS62:BA62),IF(AND($I62="NOVO",MONTH($O62)&gt;MONTH(BB$4)),AN62,IF(MONTH($O62)&gt;MONTH(BB$4),AN62,IF(MONTH($O62)=MONTH(BB$4),AN62*(1+Macroindicadores!K$7),BA62)))))))))</f>
        <v>0.64598848607908954</v>
      </c>
      <c r="BC62" s="117">
        <f>IF(ISBLANK(AA62),"",IF(ISBLANK($O62),AO62,IF($J62="ANUAL",AO62*(1+Macroindicadores!L$7),IF(AND($I62="NOVO",MONTH($O62)=MONTH(BC$4)),AO62*(1+Macroindicadores!L$7),IF(AND($J62="PONTUAL",MONTH($O62)=MONTH(BC$4)),AO62*(1+Macroindicadores!L$7),IF(AND($J62="PONTUAL",MONTH($O62)&lt;MONTH(BC$4)),MIN($AS62:BB62),IF(AND($I62="NOVO",MONTH($O62)&gt;MONTH(BC$4)),AO62,IF(MONTH($O62)&gt;MONTH(BC$4),AO62,IF(MONTH($O62)=MONTH(BC$4),AO62*(1+Macroindicadores!L$7),BB62)))))))))</f>
        <v>0.64598848607908954</v>
      </c>
      <c r="BD62" s="117">
        <f>IF(ISBLANK(AB62),"",IF(ISBLANK($O62),AP62,IF($J62="ANUAL",AP62*(1+Macroindicadores!M$7),IF(AND($I62="NOVO",MONTH($O62)=MONTH(BD$4)),AP62*(1+Macroindicadores!M$7),IF(AND($J62="PONTUAL",MONTH($O62)=MONTH(BD$4)),AP62*(1+Macroindicadores!M$7),IF(AND($J62="PONTUAL",MONTH($O62)&lt;MONTH(BD$4)),MIN($AS62:BC62),IF(AND($I62="NOVO",MONTH($O62)&gt;MONTH(BD$4)),AP62,IF(MONTH($O62)&gt;MONTH(BD$4),AP62,IF(MONTH($O62)=MONTH(BD$4),AP62*(1+Macroindicadores!M$7),BC62)))))))))</f>
        <v>0.64598848607908954</v>
      </c>
      <c r="BE62" s="118">
        <f t="shared" si="50"/>
        <v>7.7518618329490758</v>
      </c>
      <c r="BF62" s="108"/>
      <c r="BG62" s="117">
        <f>IF(ISBLANK(Q62),"",AS62/Macroindicadores!B$2)</f>
        <v>0.10986198742841659</v>
      </c>
      <c r="BH62" s="117">
        <f>IF(ISBLANK(R62),"",AT62/Macroindicadores!C$2)</f>
        <v>0.10986198742841659</v>
      </c>
      <c r="BI62" s="117">
        <f>IF(ISBLANK(S62),"",AU62/Macroindicadores!D$2)</f>
        <v>0.10986198742841659</v>
      </c>
      <c r="BJ62" s="117">
        <f>IF(ISBLANK(T62),"",AV62/Macroindicadores!E$2)</f>
        <v>0.10986198742841659</v>
      </c>
      <c r="BK62" s="117">
        <f>IF(ISBLANK(U62),"",AW62/Macroindicadores!F$2)</f>
        <v>0.10986198742841659</v>
      </c>
      <c r="BL62" s="117">
        <f>IF(ISBLANK(V62),"",AX62/Macroindicadores!G$2)</f>
        <v>0.10986198742841659</v>
      </c>
      <c r="BM62" s="117">
        <f>IF(ISBLANK(W62),"",AY62/Macroindicadores!H$2)</f>
        <v>0.10986198742841659</v>
      </c>
      <c r="BN62" s="117">
        <f>IF(ISBLANK(X62),"",AZ62/Macroindicadores!I$2)</f>
        <v>0.10986198742841659</v>
      </c>
      <c r="BO62" s="117">
        <f>IF(ISBLANK(Y62),"",BA62/Macroindicadores!J$2)</f>
        <v>0.10986198742841659</v>
      </c>
      <c r="BP62" s="117">
        <f>IF(ISBLANK(Z62),"",BB62/Macroindicadores!K$2)</f>
        <v>0.10986198742841659</v>
      </c>
      <c r="BQ62" s="117">
        <f>IF(ISBLANK(AA62),"",BC62/Macroindicadores!L$2)</f>
        <v>0.10986198742841659</v>
      </c>
      <c r="BR62" s="117">
        <f>IF(ISBLANK(AB62),"",BD62/Macroindicadores!M$2)</f>
        <v>0.10986198742841659</v>
      </c>
      <c r="BS62" s="118">
        <f>IF(AND(ISBLANK($Q62),ISBLANK($R62),ISBLANK($S62),ISBLANK($T62),ISBLANK($U62),ISBLANK($V62),ISBLANK($W62),ISBLANK($X62),ISBLANK($Y62),ISBLANK($Z62),ISBLANK($AA62),ISBLANK($AB62)),"",SUM(BG62:BR62))</f>
        <v>1.3183438491409991</v>
      </c>
      <c r="BT62" s="25" t="str">
        <f>IF(ISBLANK($L62),"",_xlfn.XLOOKUP($L62,'CENTRO CUSTO'!$A:$A,'CENTRO CUSTO'!$E:$E,FALSE,0))</f>
        <v>Custo Fixo</v>
      </c>
    </row>
    <row r="63" spans="1:72">
      <c r="A63" s="9" t="str">
        <f t="shared" si="52"/>
        <v>Budget</v>
      </c>
      <c r="B63" s="9">
        <f t="shared" si="49"/>
        <v>2026</v>
      </c>
      <c r="C63" s="111" t="str">
        <f>IF(ISBLANK($L63),"",_xlfn.XLOOKUP($L63,'CENTRO CUSTO'!$A:$A,'CENTRO CUSTO'!F:F,FALSE,0))</f>
        <v>Martini Meat</v>
      </c>
      <c r="D63" s="111" t="str">
        <f>IF(ISBLANK($L63),"",_xlfn.XLOOKUP($L63,'CENTRO CUSTO'!$A:$A,'CENTRO CUSTO'!G:G,FALSE,0))</f>
        <v>Ponta Grossa</v>
      </c>
      <c r="E63" s="111" t="str">
        <f>IF(ISBLANK($L63),"",_xlfn.XLOOKUP($L63,'CENTRO CUSTO'!$A:$A,'CENTRO CUSTO'!H:H,FALSE,0))</f>
        <v>Carga Geral</v>
      </c>
      <c r="F63" s="112" t="s">
        <v>116</v>
      </c>
      <c r="G63" s="112" t="s">
        <v>75</v>
      </c>
      <c r="H63" s="112" t="s">
        <v>117</v>
      </c>
      <c r="I63" s="113" t="s">
        <v>77</v>
      </c>
      <c r="J63" s="113" t="s">
        <v>78</v>
      </c>
      <c r="K63" s="113" t="s">
        <v>79</v>
      </c>
      <c r="L63" s="113" t="s">
        <v>25</v>
      </c>
      <c r="M63" s="111" t="str">
        <f>IF(ISBLANK($L63),"",_xlfn.XLOOKUP($L63,'CENTRO CUSTO'!$A:$A,'CENTRO CUSTO'!D:D,FALSE,0))</f>
        <v>Alexandre Ayabe</v>
      </c>
      <c r="N63" s="113" t="s">
        <v>87</v>
      </c>
      <c r="O63" s="114">
        <v>46023</v>
      </c>
      <c r="P63" s="113" t="s">
        <v>88</v>
      </c>
      <c r="Q63" s="115">
        <f>25000*Rateio!$E$162/12</f>
        <v>166.66666666666666</v>
      </c>
      <c r="R63" s="115">
        <f>25000*Rateio!$E$162/12</f>
        <v>166.66666666666666</v>
      </c>
      <c r="S63" s="115">
        <f>25000*Rateio!$E$162/12</f>
        <v>166.66666666666666</v>
      </c>
      <c r="T63" s="115">
        <f>25000*Rateio!$E$162/12</f>
        <v>166.66666666666666</v>
      </c>
      <c r="U63" s="115">
        <f>25000*Rateio!$E$162/12</f>
        <v>166.66666666666666</v>
      </c>
      <c r="V63" s="115">
        <f>25000*Rateio!$E$162/12</f>
        <v>166.66666666666666</v>
      </c>
      <c r="W63" s="115">
        <f>25000*Rateio!$E$162/12</f>
        <v>166.66666666666666</v>
      </c>
      <c r="X63" s="115">
        <f>25000*Rateio!$E$162/12</f>
        <v>166.66666666666666</v>
      </c>
      <c r="Y63" s="115">
        <f>25000*Rateio!$E$162/12</f>
        <v>166.66666666666666</v>
      </c>
      <c r="Z63" s="115">
        <f>25000*Rateio!$E$162/12</f>
        <v>166.66666666666666</v>
      </c>
      <c r="AA63" s="115">
        <f>25000*Rateio!$E$162/12</f>
        <v>166.66666666666666</v>
      </c>
      <c r="AB63" s="115">
        <f>25000*Rateio!$E$162/12</f>
        <v>166.66666666666666</v>
      </c>
      <c r="AC63" s="116">
        <f t="shared" si="41"/>
        <v>2000.0000000000002</v>
      </c>
      <c r="AD63" s="108"/>
      <c r="AE63" s="117">
        <f>IF(ISBLANK(Q63),"",IF($P63="BRL",Q63,Q63*Macroindicadores!B$2)/1000)</f>
        <v>0.97999999999999987</v>
      </c>
      <c r="AF63" s="117">
        <f>IF(ISBLANK(R63),"",IF($P63="BRL",R63,R63*Macroindicadores!C$2)/1000)</f>
        <v>0.97999999999999987</v>
      </c>
      <c r="AG63" s="117">
        <f>IF(ISBLANK(S63),"",IF($P63="BRL",S63,S63*Macroindicadores!D$2)/1000)</f>
        <v>0.97999999999999987</v>
      </c>
      <c r="AH63" s="117">
        <f>IF(ISBLANK(T63),"",IF($P63="BRL",T63,T63*Macroindicadores!E$2)/1000)</f>
        <v>0.97999999999999987</v>
      </c>
      <c r="AI63" s="117">
        <f>IF(ISBLANK(U63),"",IF($P63="BRL",U63,U63*Macroindicadores!F$2)/1000)</f>
        <v>0.97999999999999987</v>
      </c>
      <c r="AJ63" s="117">
        <f>IF(ISBLANK(V63),"",IF($P63="BRL",V63,V63*Macroindicadores!G$2)/1000)</f>
        <v>0.97999999999999987</v>
      </c>
      <c r="AK63" s="117">
        <f>IF(ISBLANK(W63),"",IF($P63="BRL",W63,W63*Macroindicadores!H$2)/1000)</f>
        <v>0.97999999999999987</v>
      </c>
      <c r="AL63" s="117">
        <f>IF(ISBLANK(X63),"",IF($P63="BRL",X63,X63*Macroindicadores!I$2)/1000)</f>
        <v>0.97999999999999987</v>
      </c>
      <c r="AM63" s="117">
        <f>IF(ISBLANK(Y63),"",IF($P63="BRL",Y63,Y63*Macroindicadores!J$2)/1000)</f>
        <v>0.97999999999999987</v>
      </c>
      <c r="AN63" s="117">
        <f>IF(ISBLANK(Z63),"",IF($P63="BRL",Z63,Z63*Macroindicadores!K$2)/1000)</f>
        <v>0.97999999999999987</v>
      </c>
      <c r="AO63" s="117">
        <f>IF(ISBLANK(AA63),"",IF($P63="BRL",AA63,AA63*Macroindicadores!L$2)/1000)</f>
        <v>0.97999999999999987</v>
      </c>
      <c r="AP63" s="117">
        <f>IF(ISBLANK(AB63),"",IF($P63="BRL",AB63,AB63*Macroindicadores!M$2)/1000)</f>
        <v>0.97999999999999987</v>
      </c>
      <c r="AQ63" s="118">
        <f t="shared" si="51"/>
        <v>11.76</v>
      </c>
      <c r="AR63" s="108"/>
      <c r="AS63" s="117">
        <f>IF(ISBLANK(Q63),"",IF(ISBLANK($O63),AE63,IF($J63="ANUAL",AE63*(1+Macroindicadores!B$7),IF(AND($I63="NOVO",MONTH($O63)=MONTH(AS$4)),AE63*(1+Macroindicadores!B$7),IF(AND($J63="PONTUAL",MONTH($O63)=MONTH(AS$4)),AE63*(1+Macroindicadores!B$7),IF(AND($J63="PONTUAL",MONTH($O63)&lt;MONTH(AS$4)),MIN(AR63:$AS63),IF(AND($I63="NOVO",MONTH($O63)&gt;MONTH(AS$4)),AE63,IF(MONTH($O63)&gt;MONTH(AS$4),AE63,IF(MONTH($O63)=MONTH(AS$4),AE63*(1+Macroindicadores!B$7),AR63)))))))))</f>
        <v>1.0335815777265431</v>
      </c>
      <c r="AT63" s="117">
        <f>IF(ISBLANK(R63),"",IF(ISBLANK($O63),AF63,IF($J63="ANUAL",AF63*(1+Macroindicadores!C$7),IF(AND($I63="NOVO",MONTH($O63)=MONTH(AT$4)),AF63*(1+Macroindicadores!C$7),IF(AND($J63="PONTUAL",MONTH($O63)=MONTH(AT$4)),AF63*(1+Macroindicadores!C$7),IF(AND($J63="PONTUAL",MONTH($O63)&lt;MONTH(AT$4)),MIN($AS63:AS63),IF(AND($I63="NOVO",MONTH($O63)&gt;MONTH(AT$4)),AF63,IF(MONTH($O63)&gt;MONTH(AT$4),AF63,IF(MONTH($O63)=MONTH(AT$4),AF63*(1+Macroindicadores!C$7),AS63)))))))))</f>
        <v>1.0335815777265431</v>
      </c>
      <c r="AU63" s="117">
        <f>IF(ISBLANK(S63),"",IF(ISBLANK($O63),AG63,IF($J63="ANUAL",AG63*(1+Macroindicadores!D$7),IF(AND($I63="NOVO",MONTH($O63)=MONTH(AU$4)),AG63*(1+Macroindicadores!D$7),IF(AND($J63="PONTUAL",MONTH($O63)=MONTH(AU$4)),AG63*(1+Macroindicadores!D$7),IF(AND($J63="PONTUAL",MONTH($O63)&lt;MONTH(AU$4)),MIN($AS63:AT63),IF(AND($I63="NOVO",MONTH($O63)&gt;MONTH(AU$4)),AG63,IF(MONTH($O63)&gt;MONTH(AU$4),AG63,IF(MONTH($O63)=MONTH(AU$4),AG63*(1+Macroindicadores!D$7),AT63)))))))))</f>
        <v>1.0335815777265431</v>
      </c>
      <c r="AV63" s="117">
        <f>IF(ISBLANK(T63),"",IF(ISBLANK($O63),AH63,IF($J63="ANUAL",AH63*(1+Macroindicadores!E$7),IF(AND($I63="NOVO",MONTH($O63)=MONTH(AV$4)),AH63*(1+Macroindicadores!E$7),IF(AND($J63="PONTUAL",MONTH($O63)=MONTH(AV$4)),AH63*(1+Macroindicadores!E$7),IF(AND($J63="PONTUAL",MONTH($O63)&lt;MONTH(AV$4)),MIN($AS63:AU63),IF(AND($I63="NOVO",MONTH($O63)&gt;MONTH(AV$4)),AH63,IF(MONTH($O63)&gt;MONTH(AV$4),AH63,IF(MONTH($O63)=MONTH(AV$4),AH63*(1+Macroindicadores!E$7),AU63)))))))))</f>
        <v>1.0335815777265431</v>
      </c>
      <c r="AW63" s="117">
        <f>IF(ISBLANK(U63),"",IF(ISBLANK($O63),AI63,IF($J63="ANUAL",AI63*(1+Macroindicadores!F$7),IF(AND($I63="NOVO",MONTH($O63)=MONTH(AW$4)),AI63*(1+Macroindicadores!F$7),IF(AND($J63="PONTUAL",MONTH($O63)=MONTH(AW$4)),AI63*(1+Macroindicadores!F$7),IF(AND($J63="PONTUAL",MONTH($O63)&lt;MONTH(AW$4)),MIN($AS63:AV63),IF(AND($I63="NOVO",MONTH($O63)&gt;MONTH(AW$4)),AI63,IF(MONTH($O63)&gt;MONTH(AW$4),AI63,IF(MONTH($O63)=MONTH(AW$4),AI63*(1+Macroindicadores!F$7),AV63)))))))))</f>
        <v>1.0335815777265431</v>
      </c>
      <c r="AX63" s="117">
        <f>IF(ISBLANK(V63),"",IF(ISBLANK($O63),AJ63,IF($J63="ANUAL",AJ63*(1+Macroindicadores!G$7),IF(AND($I63="NOVO",MONTH($O63)=MONTH(AX$4)),AJ63*(1+Macroindicadores!G$7),IF(AND($J63="PONTUAL",MONTH($O63)=MONTH(AX$4)),AJ63*(1+Macroindicadores!G$7),IF(AND($J63="PONTUAL",MONTH($O63)&lt;MONTH(AX$4)),MIN($AS63:AW63),IF(AND($I63="NOVO",MONTH($O63)&gt;MONTH(AX$4)),AJ63,IF(MONTH($O63)&gt;MONTH(AX$4),AJ63,IF(MONTH($O63)=MONTH(AX$4),AJ63*(1+Macroindicadores!G$7),AW63)))))))))</f>
        <v>1.0335815777265431</v>
      </c>
      <c r="AY63" s="117">
        <f>IF(ISBLANK(W63),"",IF(ISBLANK($O63),AK63,IF($J63="ANUAL",AK63*(1+Macroindicadores!H$7),IF(AND($I63="NOVO",MONTH($O63)=MONTH(AY$4)),AK63*(1+Macroindicadores!H$7),IF(AND($J63="PONTUAL",MONTH($O63)=MONTH(AY$4)),AK63*(1+Macroindicadores!H$7),IF(AND($J63="PONTUAL",MONTH($O63)&lt;MONTH(AY$4)),MIN($AS63:AX63),IF(AND($I63="NOVO",MONTH($O63)&gt;MONTH(AY$4)),AK63,IF(MONTH($O63)&gt;MONTH(AY$4),AK63,IF(MONTH($O63)=MONTH(AY$4),AK63*(1+Macroindicadores!H$7),AX63)))))))))</f>
        <v>1.0335815777265431</v>
      </c>
      <c r="AZ63" s="117">
        <f>IF(ISBLANK(X63),"",IF(ISBLANK($O63),AL63,IF($J63="ANUAL",AL63*(1+Macroindicadores!I$7),IF(AND($I63="NOVO",MONTH($O63)=MONTH(AZ$4)),AL63*(1+Macroindicadores!I$7),IF(AND($J63="PONTUAL",MONTH($O63)=MONTH(AZ$4)),AL63*(1+Macroindicadores!I$7),IF(AND($J63="PONTUAL",MONTH($O63)&lt;MONTH(AZ$4)),MIN($AS63:AY63),IF(AND($I63="NOVO",MONTH($O63)&gt;MONTH(AZ$4)),AL63,IF(MONTH($O63)&gt;MONTH(AZ$4),AL63,IF(MONTH($O63)=MONTH(AZ$4),AL63*(1+Macroindicadores!I$7),AY63)))))))))</f>
        <v>1.0335815777265431</v>
      </c>
      <c r="BA63" s="117">
        <f>IF(ISBLANK(Y63),"",IF(ISBLANK($O63),AM63,IF($J63="ANUAL",AM63*(1+Macroindicadores!J$7),IF(AND($I63="NOVO",MONTH($O63)=MONTH(BA$4)),AM63*(1+Macroindicadores!J$7),IF(AND($J63="PONTUAL",MONTH($O63)=MONTH(BA$4)),AM63*(1+Macroindicadores!J$7),IF(AND($J63="PONTUAL",MONTH($O63)&lt;MONTH(BA$4)),MIN($AS63:AZ63),IF(AND($I63="NOVO",MONTH($O63)&gt;MONTH(BA$4)),AM63,IF(MONTH($O63)&gt;MONTH(BA$4),AM63,IF(MONTH($O63)=MONTH(BA$4),AM63*(1+Macroindicadores!J$7),AZ63)))))))))</f>
        <v>1.0335815777265431</v>
      </c>
      <c r="BB63" s="117">
        <f>IF(ISBLANK(Z63),"",IF(ISBLANK($O63),AN63,IF($J63="ANUAL",AN63*(1+Macroindicadores!K$7),IF(AND($I63="NOVO",MONTH($O63)=MONTH(BB$4)),AN63*(1+Macroindicadores!K$7),IF(AND($J63="PONTUAL",MONTH($O63)=MONTH(BB$4)),AN63*(1+Macroindicadores!K$7),IF(AND($J63="PONTUAL",MONTH($O63)&lt;MONTH(BB$4)),MIN($AS63:BA63),IF(AND($I63="NOVO",MONTH($O63)&gt;MONTH(BB$4)),AN63,IF(MONTH($O63)&gt;MONTH(BB$4),AN63,IF(MONTH($O63)=MONTH(BB$4),AN63*(1+Macroindicadores!K$7),BA63)))))))))</f>
        <v>1.0335815777265431</v>
      </c>
      <c r="BC63" s="117">
        <f>IF(ISBLANK(AA63),"",IF(ISBLANK($O63),AO63,IF($J63="ANUAL",AO63*(1+Macroindicadores!L$7),IF(AND($I63="NOVO",MONTH($O63)=MONTH(BC$4)),AO63*(1+Macroindicadores!L$7),IF(AND($J63="PONTUAL",MONTH($O63)=MONTH(BC$4)),AO63*(1+Macroindicadores!L$7),IF(AND($J63="PONTUAL",MONTH($O63)&lt;MONTH(BC$4)),MIN($AS63:BB63),IF(AND($I63="NOVO",MONTH($O63)&gt;MONTH(BC$4)),AO63,IF(MONTH($O63)&gt;MONTH(BC$4),AO63,IF(MONTH($O63)=MONTH(BC$4),AO63*(1+Macroindicadores!L$7),BB63)))))))))</f>
        <v>1.0335815777265431</v>
      </c>
      <c r="BD63" s="117">
        <f>IF(ISBLANK(AB63),"",IF(ISBLANK($O63),AP63,IF($J63="ANUAL",AP63*(1+Macroindicadores!M$7),IF(AND($I63="NOVO",MONTH($O63)=MONTH(BD$4)),AP63*(1+Macroindicadores!M$7),IF(AND($J63="PONTUAL",MONTH($O63)=MONTH(BD$4)),AP63*(1+Macroindicadores!M$7),IF(AND($J63="PONTUAL",MONTH($O63)&lt;MONTH(BD$4)),MIN($AS63:BC63),IF(AND($I63="NOVO",MONTH($O63)&gt;MONTH(BD$4)),AP63,IF(MONTH($O63)&gt;MONTH(BD$4),AP63,IF(MONTH($O63)=MONTH(BD$4),AP63*(1+Macroindicadores!M$7),BC63)))))))))</f>
        <v>1.0335815777265431</v>
      </c>
      <c r="BE63" s="118">
        <f t="shared" si="50"/>
        <v>12.40297893271852</v>
      </c>
      <c r="BF63" s="108"/>
      <c r="BG63" s="117">
        <f>IF(ISBLANK(Q63),"",AS63/Macroindicadores!B$2)</f>
        <v>0.17577917988546651</v>
      </c>
      <c r="BH63" s="117">
        <f>IF(ISBLANK(R63),"",AT63/Macroindicadores!C$2)</f>
        <v>0.17577917988546651</v>
      </c>
      <c r="BI63" s="117">
        <f>IF(ISBLANK(S63),"",AU63/Macroindicadores!D$2)</f>
        <v>0.17577917988546651</v>
      </c>
      <c r="BJ63" s="117">
        <f>IF(ISBLANK(T63),"",AV63/Macroindicadores!E$2)</f>
        <v>0.17577917988546651</v>
      </c>
      <c r="BK63" s="117">
        <f>IF(ISBLANK(U63),"",AW63/Macroindicadores!F$2)</f>
        <v>0.17577917988546651</v>
      </c>
      <c r="BL63" s="117">
        <f>IF(ISBLANK(V63),"",AX63/Macroindicadores!G$2)</f>
        <v>0.17577917988546651</v>
      </c>
      <c r="BM63" s="117">
        <f>IF(ISBLANK(W63),"",AY63/Macroindicadores!H$2)</f>
        <v>0.17577917988546651</v>
      </c>
      <c r="BN63" s="117">
        <f>IF(ISBLANK(X63),"",AZ63/Macroindicadores!I$2)</f>
        <v>0.17577917988546651</v>
      </c>
      <c r="BO63" s="117">
        <f>IF(ISBLANK(Y63),"",BA63/Macroindicadores!J$2)</f>
        <v>0.17577917988546651</v>
      </c>
      <c r="BP63" s="117">
        <f>IF(ISBLANK(Z63),"",BB63/Macroindicadores!K$2)</f>
        <v>0.17577917988546651</v>
      </c>
      <c r="BQ63" s="117">
        <f>IF(ISBLANK(AA63),"",BC63/Macroindicadores!L$2)</f>
        <v>0.17577917988546651</v>
      </c>
      <c r="BR63" s="117">
        <f>IF(ISBLANK(AB63),"",BD63/Macroindicadores!M$2)</f>
        <v>0.17577917988546651</v>
      </c>
      <c r="BS63" s="118">
        <f>IF(AND(ISBLANK($Q63),ISBLANK($R63),ISBLANK($S63),ISBLANK($T63),ISBLANK($U63),ISBLANK($V63),ISBLANK($W63),ISBLANK($X63),ISBLANK($Y63),ISBLANK($Z63),ISBLANK($AA63),ISBLANK($AB63)),"",SUM(BG63:BR63))</f>
        <v>2.1093501586255976</v>
      </c>
      <c r="BT63" s="25" t="str">
        <f>IF(ISBLANK($L63),"",_xlfn.XLOOKUP($L63,'CENTRO CUSTO'!$A:$A,'CENTRO CUSTO'!$E:$E,FALSE,0))</f>
        <v>Custo Fixo</v>
      </c>
    </row>
    <row r="64" spans="1:72">
      <c r="A64" s="9" t="str">
        <f t="shared" si="52"/>
        <v>Budget</v>
      </c>
      <c r="B64" s="9">
        <f t="shared" si="49"/>
        <v>2026</v>
      </c>
      <c r="C64" s="111" t="str">
        <f>IF(ISBLANK($L64),"",_xlfn.XLOOKUP($L64,'CENTRO CUSTO'!$A:$A,'CENTRO CUSTO'!F:F,FALSE,0))</f>
        <v>Martini Meat</v>
      </c>
      <c r="D64" s="111" t="str">
        <f>IF(ISBLANK($L64),"",_xlfn.XLOOKUP($L64,'CENTRO CUSTO'!$A:$A,'CENTRO CUSTO'!G:G,FALSE,0))</f>
        <v>Itajaí</v>
      </c>
      <c r="E64" s="111" t="str">
        <f>IF(ISBLANK($L64),"",_xlfn.XLOOKUP($L64,'CENTRO CUSTO'!$A:$A,'CENTRO CUSTO'!H:H,FALSE,0))</f>
        <v>Frigorífico</v>
      </c>
      <c r="F64" s="112" t="s">
        <v>116</v>
      </c>
      <c r="G64" s="112" t="s">
        <v>75</v>
      </c>
      <c r="H64" s="112" t="s">
        <v>117</v>
      </c>
      <c r="I64" s="113" t="s">
        <v>77</v>
      </c>
      <c r="J64" s="113" t="s">
        <v>78</v>
      </c>
      <c r="K64" s="113" t="s">
        <v>79</v>
      </c>
      <c r="L64" s="113" t="s">
        <v>27</v>
      </c>
      <c r="M64" s="111" t="str">
        <f>IF(ISBLANK($L64),"",_xlfn.XLOOKUP($L64,'CENTRO CUSTO'!$A:$A,'CENTRO CUSTO'!D:D,FALSE,0))</f>
        <v>Alexandre Ayabe</v>
      </c>
      <c r="N64" s="113" t="s">
        <v>87</v>
      </c>
      <c r="O64" s="114">
        <v>46023</v>
      </c>
      <c r="P64" s="113" t="s">
        <v>88</v>
      </c>
      <c r="Q64" s="115">
        <f>25000*Rateio!$E$164/12</f>
        <v>312.5</v>
      </c>
      <c r="R64" s="115">
        <f>25000*Rateio!$E$164/12</f>
        <v>312.5</v>
      </c>
      <c r="S64" s="115">
        <f>25000*Rateio!$E$164/12</f>
        <v>312.5</v>
      </c>
      <c r="T64" s="115">
        <f>25000*Rateio!$E$164/12</f>
        <v>312.5</v>
      </c>
      <c r="U64" s="115">
        <f>25000*Rateio!$E$164/12</f>
        <v>312.5</v>
      </c>
      <c r="V64" s="115">
        <f>25000*Rateio!$E$164/12</f>
        <v>312.5</v>
      </c>
      <c r="W64" s="115">
        <f>25000*Rateio!$E$164/12</f>
        <v>312.5</v>
      </c>
      <c r="X64" s="115">
        <f>25000*Rateio!$E$164/12</f>
        <v>312.5</v>
      </c>
      <c r="Y64" s="115">
        <f>25000*Rateio!$E$164/12</f>
        <v>312.5</v>
      </c>
      <c r="Z64" s="115">
        <f>25000*Rateio!$E$164/12</f>
        <v>312.5</v>
      </c>
      <c r="AA64" s="115">
        <f>25000*Rateio!$E$164/12</f>
        <v>312.5</v>
      </c>
      <c r="AB64" s="115">
        <f>25000*Rateio!$E$164/12</f>
        <v>312.5</v>
      </c>
      <c r="AC64" s="116">
        <f t="shared" si="41"/>
        <v>3750</v>
      </c>
      <c r="AD64" s="108"/>
      <c r="AE64" s="117">
        <f>IF(ISBLANK(Q64),"",IF($P64="BRL",Q64,Q64*Macroindicadores!B$2)/1000)</f>
        <v>1.8374999999999999</v>
      </c>
      <c r="AF64" s="117">
        <f>IF(ISBLANK(R64),"",IF($P64="BRL",R64,R64*Macroindicadores!C$2)/1000)</f>
        <v>1.8374999999999999</v>
      </c>
      <c r="AG64" s="117">
        <f>IF(ISBLANK(S64),"",IF($P64="BRL",S64,S64*Macroindicadores!D$2)/1000)</f>
        <v>1.8374999999999999</v>
      </c>
      <c r="AH64" s="117">
        <f>IF(ISBLANK(T64),"",IF($P64="BRL",T64,T64*Macroindicadores!E$2)/1000)</f>
        <v>1.8374999999999999</v>
      </c>
      <c r="AI64" s="117">
        <f>IF(ISBLANK(U64),"",IF($P64="BRL",U64,U64*Macroindicadores!F$2)/1000)</f>
        <v>1.8374999999999999</v>
      </c>
      <c r="AJ64" s="117">
        <f>IF(ISBLANK(V64),"",IF($P64="BRL",V64,V64*Macroindicadores!G$2)/1000)</f>
        <v>1.8374999999999999</v>
      </c>
      <c r="AK64" s="117">
        <f>IF(ISBLANK(W64),"",IF($P64="BRL",W64,W64*Macroindicadores!H$2)/1000)</f>
        <v>1.8374999999999999</v>
      </c>
      <c r="AL64" s="117">
        <f>IF(ISBLANK(X64),"",IF($P64="BRL",X64,X64*Macroindicadores!I$2)/1000)</f>
        <v>1.8374999999999999</v>
      </c>
      <c r="AM64" s="117">
        <f>IF(ISBLANK(Y64),"",IF($P64="BRL",Y64,Y64*Macroindicadores!J$2)/1000)</f>
        <v>1.8374999999999999</v>
      </c>
      <c r="AN64" s="117">
        <f>IF(ISBLANK(Z64),"",IF($P64="BRL",Z64,Z64*Macroindicadores!K$2)/1000)</f>
        <v>1.8374999999999999</v>
      </c>
      <c r="AO64" s="117">
        <f>IF(ISBLANK(AA64),"",IF($P64="BRL",AA64,AA64*Macroindicadores!L$2)/1000)</f>
        <v>1.8374999999999999</v>
      </c>
      <c r="AP64" s="117">
        <f>IF(ISBLANK(AB64),"",IF($P64="BRL",AB64,AB64*Macroindicadores!M$2)/1000)</f>
        <v>1.8374999999999999</v>
      </c>
      <c r="AQ64" s="118">
        <f t="shared" si="51"/>
        <v>22.049999999999997</v>
      </c>
      <c r="AR64" s="108"/>
      <c r="AS64" s="117">
        <f>IF(ISBLANK(Q64),"",IF(ISBLANK($O64),AE64,IF($J64="ANUAL",AE64*(1+Macroindicadores!B$7),IF(AND($I64="NOVO",MONTH($O64)=MONTH(AS$4)),AE64*(1+Macroindicadores!B$7),IF(AND($J64="PONTUAL",MONTH($O64)=MONTH(AS$4)),AE64*(1+Macroindicadores!B$7),IF(AND($J64="PONTUAL",MONTH($O64)&lt;MONTH(AS$4)),MIN(AR64:$AS64),IF(AND($I64="NOVO",MONTH($O64)&gt;MONTH(AS$4)),AE64,IF(MONTH($O64)&gt;MONTH(AS$4),AE64,IF(MONTH($O64)=MONTH(AS$4),AE64*(1+Macroindicadores!B$7),AR64)))))))))</f>
        <v>1.9379654582372685</v>
      </c>
      <c r="AT64" s="117">
        <f>IF(ISBLANK(R64),"",IF(ISBLANK($O64),AF64,IF($J64="ANUAL",AF64*(1+Macroindicadores!C$7),IF(AND($I64="NOVO",MONTH($O64)=MONTH(AT$4)),AF64*(1+Macroindicadores!C$7),IF(AND($J64="PONTUAL",MONTH($O64)=MONTH(AT$4)),AF64*(1+Macroindicadores!C$7),IF(AND($J64="PONTUAL",MONTH($O64)&lt;MONTH(AT$4)),MIN($AS64:AS64),IF(AND($I64="NOVO",MONTH($O64)&gt;MONTH(AT$4)),AF64,IF(MONTH($O64)&gt;MONTH(AT$4),AF64,IF(MONTH($O64)=MONTH(AT$4),AF64*(1+Macroindicadores!C$7),AS64)))))))))</f>
        <v>1.9379654582372685</v>
      </c>
      <c r="AU64" s="117">
        <f>IF(ISBLANK(S64),"",IF(ISBLANK($O64),AG64,IF($J64="ANUAL",AG64*(1+Macroindicadores!D$7),IF(AND($I64="NOVO",MONTH($O64)=MONTH(AU$4)),AG64*(1+Macroindicadores!D$7),IF(AND($J64="PONTUAL",MONTH($O64)=MONTH(AU$4)),AG64*(1+Macroindicadores!D$7),IF(AND($J64="PONTUAL",MONTH($O64)&lt;MONTH(AU$4)),MIN($AS64:AT64),IF(AND($I64="NOVO",MONTH($O64)&gt;MONTH(AU$4)),AG64,IF(MONTH($O64)&gt;MONTH(AU$4),AG64,IF(MONTH($O64)=MONTH(AU$4),AG64*(1+Macroindicadores!D$7),AT64)))))))))</f>
        <v>1.9379654582372685</v>
      </c>
      <c r="AV64" s="117">
        <f>IF(ISBLANK(T64),"",IF(ISBLANK($O64),AH64,IF($J64="ANUAL",AH64*(1+Macroindicadores!E$7),IF(AND($I64="NOVO",MONTH($O64)=MONTH(AV$4)),AH64*(1+Macroindicadores!E$7),IF(AND($J64="PONTUAL",MONTH($O64)=MONTH(AV$4)),AH64*(1+Macroindicadores!E$7),IF(AND($J64="PONTUAL",MONTH($O64)&lt;MONTH(AV$4)),MIN($AS64:AU64),IF(AND($I64="NOVO",MONTH($O64)&gt;MONTH(AV$4)),AH64,IF(MONTH($O64)&gt;MONTH(AV$4),AH64,IF(MONTH($O64)=MONTH(AV$4),AH64*(1+Macroindicadores!E$7),AU64)))))))))</f>
        <v>1.9379654582372685</v>
      </c>
      <c r="AW64" s="117">
        <f>IF(ISBLANK(U64),"",IF(ISBLANK($O64),AI64,IF($J64="ANUAL",AI64*(1+Macroindicadores!F$7),IF(AND($I64="NOVO",MONTH($O64)=MONTH(AW$4)),AI64*(1+Macroindicadores!F$7),IF(AND($J64="PONTUAL",MONTH($O64)=MONTH(AW$4)),AI64*(1+Macroindicadores!F$7),IF(AND($J64="PONTUAL",MONTH($O64)&lt;MONTH(AW$4)),MIN($AS64:AV64),IF(AND($I64="NOVO",MONTH($O64)&gt;MONTH(AW$4)),AI64,IF(MONTH($O64)&gt;MONTH(AW$4),AI64,IF(MONTH($O64)=MONTH(AW$4),AI64*(1+Macroindicadores!F$7),AV64)))))))))</f>
        <v>1.9379654582372685</v>
      </c>
      <c r="AX64" s="117">
        <f>IF(ISBLANK(V64),"",IF(ISBLANK($O64),AJ64,IF($J64="ANUAL",AJ64*(1+Macroindicadores!G$7),IF(AND($I64="NOVO",MONTH($O64)=MONTH(AX$4)),AJ64*(1+Macroindicadores!G$7),IF(AND($J64="PONTUAL",MONTH($O64)=MONTH(AX$4)),AJ64*(1+Macroindicadores!G$7),IF(AND($J64="PONTUAL",MONTH($O64)&lt;MONTH(AX$4)),MIN($AS64:AW64),IF(AND($I64="NOVO",MONTH($O64)&gt;MONTH(AX$4)),AJ64,IF(MONTH($O64)&gt;MONTH(AX$4),AJ64,IF(MONTH($O64)=MONTH(AX$4),AJ64*(1+Macroindicadores!G$7),AW64)))))))))</f>
        <v>1.9379654582372685</v>
      </c>
      <c r="AY64" s="117">
        <f>IF(ISBLANK(W64),"",IF(ISBLANK($O64),AK64,IF($J64="ANUAL",AK64*(1+Macroindicadores!H$7),IF(AND($I64="NOVO",MONTH($O64)=MONTH(AY$4)),AK64*(1+Macroindicadores!H$7),IF(AND($J64="PONTUAL",MONTH($O64)=MONTH(AY$4)),AK64*(1+Macroindicadores!H$7),IF(AND($J64="PONTUAL",MONTH($O64)&lt;MONTH(AY$4)),MIN($AS64:AX64),IF(AND($I64="NOVO",MONTH($O64)&gt;MONTH(AY$4)),AK64,IF(MONTH($O64)&gt;MONTH(AY$4),AK64,IF(MONTH($O64)=MONTH(AY$4),AK64*(1+Macroindicadores!H$7),AX64)))))))))</f>
        <v>1.9379654582372685</v>
      </c>
      <c r="AZ64" s="117">
        <f>IF(ISBLANK(X64),"",IF(ISBLANK($O64),AL64,IF($J64="ANUAL",AL64*(1+Macroindicadores!I$7),IF(AND($I64="NOVO",MONTH($O64)=MONTH(AZ$4)),AL64*(1+Macroindicadores!I$7),IF(AND($J64="PONTUAL",MONTH($O64)=MONTH(AZ$4)),AL64*(1+Macroindicadores!I$7),IF(AND($J64="PONTUAL",MONTH($O64)&lt;MONTH(AZ$4)),MIN($AS64:AY64),IF(AND($I64="NOVO",MONTH($O64)&gt;MONTH(AZ$4)),AL64,IF(MONTH($O64)&gt;MONTH(AZ$4),AL64,IF(MONTH($O64)=MONTH(AZ$4),AL64*(1+Macroindicadores!I$7),AY64)))))))))</f>
        <v>1.9379654582372685</v>
      </c>
      <c r="BA64" s="117">
        <f>IF(ISBLANK(Y64),"",IF(ISBLANK($O64),AM64,IF($J64="ANUAL",AM64*(1+Macroindicadores!J$7),IF(AND($I64="NOVO",MONTH($O64)=MONTH(BA$4)),AM64*(1+Macroindicadores!J$7),IF(AND($J64="PONTUAL",MONTH($O64)=MONTH(BA$4)),AM64*(1+Macroindicadores!J$7),IF(AND($J64="PONTUAL",MONTH($O64)&lt;MONTH(BA$4)),MIN($AS64:AZ64),IF(AND($I64="NOVO",MONTH($O64)&gt;MONTH(BA$4)),AM64,IF(MONTH($O64)&gt;MONTH(BA$4),AM64,IF(MONTH($O64)=MONTH(BA$4),AM64*(1+Macroindicadores!J$7),AZ64)))))))))</f>
        <v>1.9379654582372685</v>
      </c>
      <c r="BB64" s="117">
        <f>IF(ISBLANK(Z64),"",IF(ISBLANK($O64),AN64,IF($J64="ANUAL",AN64*(1+Macroindicadores!K$7),IF(AND($I64="NOVO",MONTH($O64)=MONTH(BB$4)),AN64*(1+Macroindicadores!K$7),IF(AND($J64="PONTUAL",MONTH($O64)=MONTH(BB$4)),AN64*(1+Macroindicadores!K$7),IF(AND($J64="PONTUAL",MONTH($O64)&lt;MONTH(BB$4)),MIN($AS64:BA64),IF(AND($I64="NOVO",MONTH($O64)&gt;MONTH(BB$4)),AN64,IF(MONTH($O64)&gt;MONTH(BB$4),AN64,IF(MONTH($O64)=MONTH(BB$4),AN64*(1+Macroindicadores!K$7),BA64)))))))))</f>
        <v>1.9379654582372685</v>
      </c>
      <c r="BC64" s="117">
        <f>IF(ISBLANK(AA64),"",IF(ISBLANK($O64),AO64,IF($J64="ANUAL",AO64*(1+Macroindicadores!L$7),IF(AND($I64="NOVO",MONTH($O64)=MONTH(BC$4)),AO64*(1+Macroindicadores!L$7),IF(AND($J64="PONTUAL",MONTH($O64)=MONTH(BC$4)),AO64*(1+Macroindicadores!L$7),IF(AND($J64="PONTUAL",MONTH($O64)&lt;MONTH(BC$4)),MIN($AS64:BB64),IF(AND($I64="NOVO",MONTH($O64)&gt;MONTH(BC$4)),AO64,IF(MONTH($O64)&gt;MONTH(BC$4),AO64,IF(MONTH($O64)=MONTH(BC$4),AO64*(1+Macroindicadores!L$7),BB64)))))))))</f>
        <v>1.9379654582372685</v>
      </c>
      <c r="BD64" s="117">
        <f>IF(ISBLANK(AB64),"",IF(ISBLANK($O64),AP64,IF($J64="ANUAL",AP64*(1+Macroindicadores!M$7),IF(AND($I64="NOVO",MONTH($O64)=MONTH(BD$4)),AP64*(1+Macroindicadores!M$7),IF(AND($J64="PONTUAL",MONTH($O64)=MONTH(BD$4)),AP64*(1+Macroindicadores!M$7),IF(AND($J64="PONTUAL",MONTH($O64)&lt;MONTH(BD$4)),MIN($AS64:BC64),IF(AND($I64="NOVO",MONTH($O64)&gt;MONTH(BD$4)),AP64,IF(MONTH($O64)&gt;MONTH(BD$4),AP64,IF(MONTH($O64)=MONTH(BD$4),AP64*(1+Macroindicadores!M$7),BC64)))))))))</f>
        <v>1.9379654582372685</v>
      </c>
      <c r="BE64" s="118">
        <f t="shared" si="50"/>
        <v>23.255585498847221</v>
      </c>
      <c r="BF64" s="108"/>
      <c r="BG64" s="117">
        <f>IF(ISBLANK(Q64),"",AS64/Macroindicadores!B$2)</f>
        <v>0.32958596228524978</v>
      </c>
      <c r="BH64" s="117">
        <f>IF(ISBLANK(R64),"",AT64/Macroindicadores!C$2)</f>
        <v>0.32958596228524978</v>
      </c>
      <c r="BI64" s="117">
        <f>IF(ISBLANK(S64),"",AU64/Macroindicadores!D$2)</f>
        <v>0.32958596228524978</v>
      </c>
      <c r="BJ64" s="117">
        <f>IF(ISBLANK(T64),"",AV64/Macroindicadores!E$2)</f>
        <v>0.32958596228524978</v>
      </c>
      <c r="BK64" s="117">
        <f>IF(ISBLANK(U64),"",AW64/Macroindicadores!F$2)</f>
        <v>0.32958596228524978</v>
      </c>
      <c r="BL64" s="117">
        <f>IF(ISBLANK(V64),"",AX64/Macroindicadores!G$2)</f>
        <v>0.32958596228524978</v>
      </c>
      <c r="BM64" s="117">
        <f>IF(ISBLANK(W64),"",AY64/Macroindicadores!H$2)</f>
        <v>0.32958596228524978</v>
      </c>
      <c r="BN64" s="117">
        <f>IF(ISBLANK(X64),"",AZ64/Macroindicadores!I$2)</f>
        <v>0.32958596228524978</v>
      </c>
      <c r="BO64" s="117">
        <f>IF(ISBLANK(Y64),"",BA64/Macroindicadores!J$2)</f>
        <v>0.32958596228524978</v>
      </c>
      <c r="BP64" s="117">
        <f>IF(ISBLANK(Z64),"",BB64/Macroindicadores!K$2)</f>
        <v>0.32958596228524978</v>
      </c>
      <c r="BQ64" s="117">
        <f>IF(ISBLANK(AA64),"",BC64/Macroindicadores!L$2)</f>
        <v>0.32958596228524978</v>
      </c>
      <c r="BR64" s="117">
        <f>IF(ISBLANK(AB64),"",BD64/Macroindicadores!M$2)</f>
        <v>0.32958596228524978</v>
      </c>
      <c r="BS64" s="118">
        <f>IF(AND(ISBLANK($Q64),ISBLANK($R64),ISBLANK($S64),ISBLANK($T64),ISBLANK($U64),ISBLANK($V64),ISBLANK($W64),ISBLANK($X64),ISBLANK($Y64),ISBLANK($Z64),ISBLANK($AA64),ISBLANK($AB64)),"",SUM(BG64:BR64))</f>
        <v>3.955031547422998</v>
      </c>
      <c r="BT64" s="25" t="str">
        <f>IF(ISBLANK($L64),"",_xlfn.XLOOKUP($L64,'CENTRO CUSTO'!$A:$A,'CENTRO CUSTO'!$E:$E,FALSE,0))</f>
        <v>Custo Fixo</v>
      </c>
    </row>
    <row r="65" spans="1:72">
      <c r="A65" s="9" t="str">
        <f t="shared" si="52"/>
        <v>Budget</v>
      </c>
      <c r="B65" s="9">
        <f t="shared" si="49"/>
        <v>2026</v>
      </c>
      <c r="C65" s="111" t="str">
        <f>IF(ISBLANK($L65),"",_xlfn.XLOOKUP($L65,'CENTRO CUSTO'!$A:$A,'CENTRO CUSTO'!F:F,FALSE,0))</f>
        <v>Martini Meat</v>
      </c>
      <c r="D65" s="111" t="str">
        <f>IF(ISBLANK($L65),"",_xlfn.XLOOKUP($L65,'CENTRO CUSTO'!$A:$A,'CENTRO CUSTO'!G:G,FALSE,0))</f>
        <v>Recife 2</v>
      </c>
      <c r="E65" s="111" t="str">
        <f>IF(ISBLANK($L65),"",_xlfn.XLOOKUP($L65,'CENTRO CUSTO'!$A:$A,'CENTRO CUSTO'!H:H,FALSE,0))</f>
        <v>Frigorífico</v>
      </c>
      <c r="F65" s="112" t="s">
        <v>116</v>
      </c>
      <c r="G65" s="112" t="s">
        <v>75</v>
      </c>
      <c r="H65" s="112" t="s">
        <v>117</v>
      </c>
      <c r="I65" s="113" t="s">
        <v>77</v>
      </c>
      <c r="J65" s="113" t="s">
        <v>78</v>
      </c>
      <c r="K65" s="113" t="s">
        <v>79</v>
      </c>
      <c r="L65" s="113" t="s">
        <v>31</v>
      </c>
      <c r="M65" s="111" t="str">
        <f>IF(ISBLANK($L65),"",_xlfn.XLOOKUP($L65,'CENTRO CUSTO'!$A:$A,'CENTRO CUSTO'!D:D,FALSE,0))</f>
        <v>Alexandre Ayabe</v>
      </c>
      <c r="N65" s="113" t="s">
        <v>87</v>
      </c>
      <c r="O65" s="114">
        <v>46023</v>
      </c>
      <c r="P65" s="113" t="s">
        <v>88</v>
      </c>
      <c r="Q65" s="115">
        <f>25000*Rateio!$E$169/12</f>
        <v>104.16666666666667</v>
      </c>
      <c r="R65" s="115">
        <f>25000*Rateio!$E$169/12</f>
        <v>104.16666666666667</v>
      </c>
      <c r="S65" s="115">
        <f>25000*Rateio!$E$169/12</f>
        <v>104.16666666666667</v>
      </c>
      <c r="T65" s="115">
        <f>25000*Rateio!$E$169/12</f>
        <v>104.16666666666667</v>
      </c>
      <c r="U65" s="115">
        <f>25000*Rateio!$E$169/12</f>
        <v>104.16666666666667</v>
      </c>
      <c r="V65" s="115">
        <f>25000*Rateio!$E$169/12</f>
        <v>104.16666666666667</v>
      </c>
      <c r="W65" s="115">
        <f>25000*Rateio!$E$169/12</f>
        <v>104.16666666666667</v>
      </c>
      <c r="X65" s="115">
        <f>25000*Rateio!$E$169/12</f>
        <v>104.16666666666667</v>
      </c>
      <c r="Y65" s="115">
        <f>25000*Rateio!$E$169/12</f>
        <v>104.16666666666667</v>
      </c>
      <c r="Z65" s="115">
        <f>25000*Rateio!$E$169/12</f>
        <v>104.16666666666667</v>
      </c>
      <c r="AA65" s="115">
        <f>25000*Rateio!$E$169/12</f>
        <v>104.16666666666667</v>
      </c>
      <c r="AB65" s="115">
        <f>25000*Rateio!$E$169/12</f>
        <v>104.16666666666667</v>
      </c>
      <c r="AC65" s="116">
        <f t="shared" si="41"/>
        <v>1250</v>
      </c>
      <c r="AD65" s="108"/>
      <c r="AE65" s="117">
        <f>IF(ISBLANK(Q65),"",IF($P65="BRL",Q65,Q65*Macroindicadores!B$2)/1000)</f>
        <v>0.61250000000000004</v>
      </c>
      <c r="AF65" s="117">
        <f>IF(ISBLANK(R65),"",IF($P65="BRL",R65,R65*Macroindicadores!C$2)/1000)</f>
        <v>0.61250000000000004</v>
      </c>
      <c r="AG65" s="117">
        <f>IF(ISBLANK(S65),"",IF($P65="BRL",S65,S65*Macroindicadores!D$2)/1000)</f>
        <v>0.61250000000000004</v>
      </c>
      <c r="AH65" s="117">
        <f>IF(ISBLANK(T65),"",IF($P65="BRL",T65,T65*Macroindicadores!E$2)/1000)</f>
        <v>0.61250000000000004</v>
      </c>
      <c r="AI65" s="117">
        <f>IF(ISBLANK(U65),"",IF($P65="BRL",U65,U65*Macroindicadores!F$2)/1000)</f>
        <v>0.61250000000000004</v>
      </c>
      <c r="AJ65" s="117">
        <f>IF(ISBLANK(V65),"",IF($P65="BRL",V65,V65*Macroindicadores!G$2)/1000)</f>
        <v>0.61250000000000004</v>
      </c>
      <c r="AK65" s="117">
        <f>IF(ISBLANK(W65),"",IF($P65="BRL",W65,W65*Macroindicadores!H$2)/1000)</f>
        <v>0.61250000000000004</v>
      </c>
      <c r="AL65" s="117">
        <f>IF(ISBLANK(X65),"",IF($P65="BRL",X65,X65*Macroindicadores!I$2)/1000)</f>
        <v>0.61250000000000004</v>
      </c>
      <c r="AM65" s="117">
        <f>IF(ISBLANK(Y65),"",IF($P65="BRL",Y65,Y65*Macroindicadores!J$2)/1000)</f>
        <v>0.61250000000000004</v>
      </c>
      <c r="AN65" s="117">
        <f>IF(ISBLANK(Z65),"",IF($P65="BRL",Z65,Z65*Macroindicadores!K$2)/1000)</f>
        <v>0.61250000000000004</v>
      </c>
      <c r="AO65" s="117">
        <f>IF(ISBLANK(AA65),"",IF($P65="BRL",AA65,AA65*Macroindicadores!L$2)/1000)</f>
        <v>0.61250000000000004</v>
      </c>
      <c r="AP65" s="117">
        <f>IF(ISBLANK(AB65),"",IF($P65="BRL",AB65,AB65*Macroindicadores!M$2)/1000)</f>
        <v>0.61250000000000004</v>
      </c>
      <c r="AQ65" s="118">
        <f t="shared" si="51"/>
        <v>7.3499999999999988</v>
      </c>
      <c r="AR65" s="108"/>
      <c r="AS65" s="117">
        <f>IF(ISBLANK(Q65),"",IF(ISBLANK($O65),AE65,IF($J65="ANUAL",AE65*(1+Macroindicadores!B$7),IF(AND($I65="NOVO",MONTH($O65)=MONTH(AS$4)),AE65*(1+Macroindicadores!B$7),IF(AND($J65="PONTUAL",MONTH($O65)=MONTH(AS$4)),AE65*(1+Macroindicadores!B$7),IF(AND($J65="PONTUAL",MONTH($O65)&lt;MONTH(AS$4)),MIN(AR65:$AS65),IF(AND($I65="NOVO",MONTH($O65)&gt;MONTH(AS$4)),AE65,IF(MONTH($O65)&gt;MONTH(AS$4),AE65,IF(MONTH($O65)=MONTH(AS$4),AE65*(1+Macroindicadores!B$7),AR65)))))))))</f>
        <v>0.64598848607908954</v>
      </c>
      <c r="AT65" s="117">
        <f>IF(ISBLANK(R65),"",IF(ISBLANK($O65),AF65,IF($J65="ANUAL",AF65*(1+Macroindicadores!C$7),IF(AND($I65="NOVO",MONTH($O65)=MONTH(AT$4)),AF65*(1+Macroindicadores!C$7),IF(AND($J65="PONTUAL",MONTH($O65)=MONTH(AT$4)),AF65*(1+Macroindicadores!C$7),IF(AND($J65="PONTUAL",MONTH($O65)&lt;MONTH(AT$4)),MIN($AS65:AS65),IF(AND($I65="NOVO",MONTH($O65)&gt;MONTH(AT$4)),AF65,IF(MONTH($O65)&gt;MONTH(AT$4),AF65,IF(MONTH($O65)=MONTH(AT$4),AF65*(1+Macroindicadores!C$7),AS65)))))))))</f>
        <v>0.64598848607908954</v>
      </c>
      <c r="AU65" s="117">
        <f>IF(ISBLANK(S65),"",IF(ISBLANK($O65),AG65,IF($J65="ANUAL",AG65*(1+Macroindicadores!D$7),IF(AND($I65="NOVO",MONTH($O65)=MONTH(AU$4)),AG65*(1+Macroindicadores!D$7),IF(AND($J65="PONTUAL",MONTH($O65)=MONTH(AU$4)),AG65*(1+Macroindicadores!D$7),IF(AND($J65="PONTUAL",MONTH($O65)&lt;MONTH(AU$4)),MIN($AS65:AT65),IF(AND($I65="NOVO",MONTH($O65)&gt;MONTH(AU$4)),AG65,IF(MONTH($O65)&gt;MONTH(AU$4),AG65,IF(MONTH($O65)=MONTH(AU$4),AG65*(1+Macroindicadores!D$7),AT65)))))))))</f>
        <v>0.64598848607908954</v>
      </c>
      <c r="AV65" s="117">
        <f>IF(ISBLANK(T65),"",IF(ISBLANK($O65),AH65,IF($J65="ANUAL",AH65*(1+Macroindicadores!E$7),IF(AND($I65="NOVO",MONTH($O65)=MONTH(AV$4)),AH65*(1+Macroindicadores!E$7),IF(AND($J65="PONTUAL",MONTH($O65)=MONTH(AV$4)),AH65*(1+Macroindicadores!E$7),IF(AND($J65="PONTUAL",MONTH($O65)&lt;MONTH(AV$4)),MIN($AS65:AU65),IF(AND($I65="NOVO",MONTH($O65)&gt;MONTH(AV$4)),AH65,IF(MONTH($O65)&gt;MONTH(AV$4),AH65,IF(MONTH($O65)=MONTH(AV$4),AH65*(1+Macroindicadores!E$7),AU65)))))))))</f>
        <v>0.64598848607908954</v>
      </c>
      <c r="AW65" s="117">
        <f>IF(ISBLANK(U65),"",IF(ISBLANK($O65),AI65,IF($J65="ANUAL",AI65*(1+Macroindicadores!F$7),IF(AND($I65="NOVO",MONTH($O65)=MONTH(AW$4)),AI65*(1+Macroindicadores!F$7),IF(AND($J65="PONTUAL",MONTH($O65)=MONTH(AW$4)),AI65*(1+Macroindicadores!F$7),IF(AND($J65="PONTUAL",MONTH($O65)&lt;MONTH(AW$4)),MIN($AS65:AV65),IF(AND($I65="NOVO",MONTH($O65)&gt;MONTH(AW$4)),AI65,IF(MONTH($O65)&gt;MONTH(AW$4),AI65,IF(MONTH($O65)=MONTH(AW$4),AI65*(1+Macroindicadores!F$7),AV65)))))))))</f>
        <v>0.64598848607908954</v>
      </c>
      <c r="AX65" s="117">
        <f>IF(ISBLANK(V65),"",IF(ISBLANK($O65),AJ65,IF($J65="ANUAL",AJ65*(1+Macroindicadores!G$7),IF(AND($I65="NOVO",MONTH($O65)=MONTH(AX$4)),AJ65*(1+Macroindicadores!G$7),IF(AND($J65="PONTUAL",MONTH($O65)=MONTH(AX$4)),AJ65*(1+Macroindicadores!G$7),IF(AND($J65="PONTUAL",MONTH($O65)&lt;MONTH(AX$4)),MIN($AS65:AW65),IF(AND($I65="NOVO",MONTH($O65)&gt;MONTH(AX$4)),AJ65,IF(MONTH($O65)&gt;MONTH(AX$4),AJ65,IF(MONTH($O65)=MONTH(AX$4),AJ65*(1+Macroindicadores!G$7),AW65)))))))))</f>
        <v>0.64598848607908954</v>
      </c>
      <c r="AY65" s="117">
        <f>IF(ISBLANK(W65),"",IF(ISBLANK($O65),AK65,IF($J65="ANUAL",AK65*(1+Macroindicadores!H$7),IF(AND($I65="NOVO",MONTH($O65)=MONTH(AY$4)),AK65*(1+Macroindicadores!H$7),IF(AND($J65="PONTUAL",MONTH($O65)=MONTH(AY$4)),AK65*(1+Macroindicadores!H$7),IF(AND($J65="PONTUAL",MONTH($O65)&lt;MONTH(AY$4)),MIN($AS65:AX65),IF(AND($I65="NOVO",MONTH($O65)&gt;MONTH(AY$4)),AK65,IF(MONTH($O65)&gt;MONTH(AY$4),AK65,IF(MONTH($O65)=MONTH(AY$4),AK65*(1+Macroindicadores!H$7),AX65)))))))))</f>
        <v>0.64598848607908954</v>
      </c>
      <c r="AZ65" s="117">
        <f>IF(ISBLANK(X65),"",IF(ISBLANK($O65),AL65,IF($J65="ANUAL",AL65*(1+Macroindicadores!I$7),IF(AND($I65="NOVO",MONTH($O65)=MONTH(AZ$4)),AL65*(1+Macroindicadores!I$7),IF(AND($J65="PONTUAL",MONTH($O65)=MONTH(AZ$4)),AL65*(1+Macroindicadores!I$7),IF(AND($J65="PONTUAL",MONTH($O65)&lt;MONTH(AZ$4)),MIN($AS65:AY65),IF(AND($I65="NOVO",MONTH($O65)&gt;MONTH(AZ$4)),AL65,IF(MONTH($O65)&gt;MONTH(AZ$4),AL65,IF(MONTH($O65)=MONTH(AZ$4),AL65*(1+Macroindicadores!I$7),AY65)))))))))</f>
        <v>0.64598848607908954</v>
      </c>
      <c r="BA65" s="117">
        <f>IF(ISBLANK(Y65),"",IF(ISBLANK($O65),AM65,IF($J65="ANUAL",AM65*(1+Macroindicadores!J$7),IF(AND($I65="NOVO",MONTH($O65)=MONTH(BA$4)),AM65*(1+Macroindicadores!J$7),IF(AND($J65="PONTUAL",MONTH($O65)=MONTH(BA$4)),AM65*(1+Macroindicadores!J$7),IF(AND($J65="PONTUAL",MONTH($O65)&lt;MONTH(BA$4)),MIN($AS65:AZ65),IF(AND($I65="NOVO",MONTH($O65)&gt;MONTH(BA$4)),AM65,IF(MONTH($O65)&gt;MONTH(BA$4),AM65,IF(MONTH($O65)=MONTH(BA$4),AM65*(1+Macroindicadores!J$7),AZ65)))))))))</f>
        <v>0.64598848607908954</v>
      </c>
      <c r="BB65" s="117">
        <f>IF(ISBLANK(Z65),"",IF(ISBLANK($O65),AN65,IF($J65="ANUAL",AN65*(1+Macroindicadores!K$7),IF(AND($I65="NOVO",MONTH($O65)=MONTH(BB$4)),AN65*(1+Macroindicadores!K$7),IF(AND($J65="PONTUAL",MONTH($O65)=MONTH(BB$4)),AN65*(1+Macroindicadores!K$7),IF(AND($J65="PONTUAL",MONTH($O65)&lt;MONTH(BB$4)),MIN($AS65:BA65),IF(AND($I65="NOVO",MONTH($O65)&gt;MONTH(BB$4)),AN65,IF(MONTH($O65)&gt;MONTH(BB$4),AN65,IF(MONTH($O65)=MONTH(BB$4),AN65*(1+Macroindicadores!K$7),BA65)))))))))</f>
        <v>0.64598848607908954</v>
      </c>
      <c r="BC65" s="117">
        <f>IF(ISBLANK(AA65),"",IF(ISBLANK($O65),AO65,IF($J65="ANUAL",AO65*(1+Macroindicadores!L$7),IF(AND($I65="NOVO",MONTH($O65)=MONTH(BC$4)),AO65*(1+Macroindicadores!L$7),IF(AND($J65="PONTUAL",MONTH($O65)=MONTH(BC$4)),AO65*(1+Macroindicadores!L$7),IF(AND($J65="PONTUAL",MONTH($O65)&lt;MONTH(BC$4)),MIN($AS65:BB65),IF(AND($I65="NOVO",MONTH($O65)&gt;MONTH(BC$4)),AO65,IF(MONTH($O65)&gt;MONTH(BC$4),AO65,IF(MONTH($O65)=MONTH(BC$4),AO65*(1+Macroindicadores!L$7),BB65)))))))))</f>
        <v>0.64598848607908954</v>
      </c>
      <c r="BD65" s="117">
        <f>IF(ISBLANK(AB65),"",IF(ISBLANK($O65),AP65,IF($J65="ANUAL",AP65*(1+Macroindicadores!M$7),IF(AND($I65="NOVO",MONTH($O65)=MONTH(BD$4)),AP65*(1+Macroindicadores!M$7),IF(AND($J65="PONTUAL",MONTH($O65)=MONTH(BD$4)),AP65*(1+Macroindicadores!M$7),IF(AND($J65="PONTUAL",MONTH($O65)&lt;MONTH(BD$4)),MIN($AS65:BC65),IF(AND($I65="NOVO",MONTH($O65)&gt;MONTH(BD$4)),AP65,IF(MONTH($O65)&gt;MONTH(BD$4),AP65,IF(MONTH($O65)=MONTH(BD$4),AP65*(1+Macroindicadores!M$7),BC65)))))))))</f>
        <v>0.64598848607908954</v>
      </c>
      <c r="BE65" s="118">
        <f t="shared" si="50"/>
        <v>7.7518618329490758</v>
      </c>
      <c r="BF65" s="108"/>
      <c r="BG65" s="117">
        <f>IF(ISBLANK(Q65),"",AS65/Macroindicadores!B$2)</f>
        <v>0.10986198742841659</v>
      </c>
      <c r="BH65" s="117">
        <f>IF(ISBLANK(R65),"",AT65/Macroindicadores!C$2)</f>
        <v>0.10986198742841659</v>
      </c>
      <c r="BI65" s="117">
        <f>IF(ISBLANK(S65),"",AU65/Macroindicadores!D$2)</f>
        <v>0.10986198742841659</v>
      </c>
      <c r="BJ65" s="117">
        <f>IF(ISBLANK(T65),"",AV65/Macroindicadores!E$2)</f>
        <v>0.10986198742841659</v>
      </c>
      <c r="BK65" s="117">
        <f>IF(ISBLANK(U65),"",AW65/Macroindicadores!F$2)</f>
        <v>0.10986198742841659</v>
      </c>
      <c r="BL65" s="117">
        <f>IF(ISBLANK(V65),"",AX65/Macroindicadores!G$2)</f>
        <v>0.10986198742841659</v>
      </c>
      <c r="BM65" s="117">
        <f>IF(ISBLANK(W65),"",AY65/Macroindicadores!H$2)</f>
        <v>0.10986198742841659</v>
      </c>
      <c r="BN65" s="117">
        <f>IF(ISBLANK(X65),"",AZ65/Macroindicadores!I$2)</f>
        <v>0.10986198742841659</v>
      </c>
      <c r="BO65" s="117">
        <f>IF(ISBLANK(Y65),"",BA65/Macroindicadores!J$2)</f>
        <v>0.10986198742841659</v>
      </c>
      <c r="BP65" s="117">
        <f>IF(ISBLANK(Z65),"",BB65/Macroindicadores!K$2)</f>
        <v>0.10986198742841659</v>
      </c>
      <c r="BQ65" s="117">
        <f>IF(ISBLANK(AA65),"",BC65/Macroindicadores!L$2)</f>
        <v>0.10986198742841659</v>
      </c>
      <c r="BR65" s="117">
        <f>IF(ISBLANK(AB65),"",BD65/Macroindicadores!M$2)</f>
        <v>0.10986198742841659</v>
      </c>
      <c r="BS65" s="118">
        <f>IF(AND(ISBLANK($Q65),ISBLANK($R65),ISBLANK($S65),ISBLANK($T65),ISBLANK($U65),ISBLANK($V65),ISBLANK($W65),ISBLANK($X65),ISBLANK($Y65),ISBLANK($Z65),ISBLANK($AA65),ISBLANK($AB65)),"",SUM(BG65:BR65))</f>
        <v>1.3183438491409991</v>
      </c>
      <c r="BT65" s="25" t="str">
        <f>IF(ISBLANK($L65),"",_xlfn.XLOOKUP($L65,'CENTRO CUSTO'!$A:$A,'CENTRO CUSTO'!$E:$E,FALSE,0))</f>
        <v>Custo Fixo</v>
      </c>
    </row>
    <row r="66" spans="1:72">
      <c r="A66" s="9" t="str">
        <f t="shared" si="52"/>
        <v>Budget</v>
      </c>
      <c r="B66" s="9">
        <f t="shared" si="49"/>
        <v>2026</v>
      </c>
      <c r="C66" s="111" t="str">
        <f>IF(ISBLANK($L66),"",_xlfn.XLOOKUP($L66,'CENTRO CUSTO'!$A:$A,'CENTRO CUSTO'!F:F,FALSE,0))</f>
        <v>MRV</v>
      </c>
      <c r="D66" s="111" t="str">
        <f>IF(ISBLANK($L66),"",_xlfn.XLOOKUP($L66,'CENTRO CUSTO'!$A:$A,'CENTRO CUSTO'!G:G,FALSE,0))</f>
        <v>Passo Fundo</v>
      </c>
      <c r="E66" s="111" t="str">
        <f>IF(ISBLANK($L66),"",_xlfn.XLOOKUP($L66,'CENTRO CUSTO'!$A:$A,'CENTRO CUSTO'!H:H,FALSE,0))</f>
        <v>Frigorífico</v>
      </c>
      <c r="F66" s="112" t="s">
        <v>116</v>
      </c>
      <c r="G66" s="112" t="s">
        <v>75</v>
      </c>
      <c r="H66" s="112" t="s">
        <v>117</v>
      </c>
      <c r="I66" s="113" t="s">
        <v>77</v>
      </c>
      <c r="J66" s="113" t="s">
        <v>78</v>
      </c>
      <c r="K66" s="113" t="s">
        <v>79</v>
      </c>
      <c r="L66" s="113" t="s">
        <v>41</v>
      </c>
      <c r="M66" s="111" t="str">
        <f>IF(ISBLANK($L66),"",_xlfn.XLOOKUP($L66,'CENTRO CUSTO'!$A:$A,'CENTRO CUSTO'!D:D,FALSE,0))</f>
        <v>Alexandre Ayabe</v>
      </c>
      <c r="N66" s="113" t="s">
        <v>87</v>
      </c>
      <c r="O66" s="114">
        <v>46023</v>
      </c>
      <c r="P66" s="113" t="s">
        <v>88</v>
      </c>
      <c r="Q66" s="115">
        <v>0</v>
      </c>
      <c r="R66" s="115">
        <v>0</v>
      </c>
      <c r="S66" s="115">
        <v>0</v>
      </c>
      <c r="T66" s="115">
        <v>0</v>
      </c>
      <c r="U66" s="115">
        <v>0</v>
      </c>
      <c r="V66" s="115">
        <v>0</v>
      </c>
      <c r="W66" s="115">
        <v>0</v>
      </c>
      <c r="X66" s="115">
        <v>0</v>
      </c>
      <c r="Y66" s="115">
        <v>0</v>
      </c>
      <c r="Z66" s="115">
        <v>0</v>
      </c>
      <c r="AA66" s="115">
        <v>0</v>
      </c>
      <c r="AB66" s="115">
        <v>0</v>
      </c>
      <c r="AC66" s="116">
        <f t="shared" si="41"/>
        <v>0</v>
      </c>
      <c r="AD66" s="108"/>
      <c r="AE66" s="117">
        <f>IF(ISBLANK(Q66),"",IF($P66="BRL",Q66,Q66*Macroindicadores!B$2)/1000)</f>
        <v>0</v>
      </c>
      <c r="AF66" s="117">
        <f>IF(ISBLANK(R66),"",IF($P66="BRL",R66,R66*Macroindicadores!C$2)/1000)</f>
        <v>0</v>
      </c>
      <c r="AG66" s="117">
        <f>IF(ISBLANK(S66),"",IF($P66="BRL",S66,S66*Macroindicadores!D$2)/1000)</f>
        <v>0</v>
      </c>
      <c r="AH66" s="117">
        <f>IF(ISBLANK(T66),"",IF($P66="BRL",T66,T66*Macroindicadores!E$2)/1000)</f>
        <v>0</v>
      </c>
      <c r="AI66" s="117">
        <f>IF(ISBLANK(U66),"",IF($P66="BRL",U66,U66*Macroindicadores!F$2)/1000)</f>
        <v>0</v>
      </c>
      <c r="AJ66" s="117">
        <f>IF(ISBLANK(V66),"",IF($P66="BRL",V66,V66*Macroindicadores!G$2)/1000)</f>
        <v>0</v>
      </c>
      <c r="AK66" s="117">
        <f>IF(ISBLANK(W66),"",IF($P66="BRL",W66,W66*Macroindicadores!H$2)/1000)</f>
        <v>0</v>
      </c>
      <c r="AL66" s="117">
        <f>IF(ISBLANK(X66),"",IF($P66="BRL",X66,X66*Macroindicadores!I$2)/1000)</f>
        <v>0</v>
      </c>
      <c r="AM66" s="117">
        <f>IF(ISBLANK(Y66),"",IF($P66="BRL",Y66,Y66*Macroindicadores!J$2)/1000)</f>
        <v>0</v>
      </c>
      <c r="AN66" s="117">
        <f>IF(ISBLANK(Z66),"",IF($P66="BRL",Z66,Z66*Macroindicadores!K$2)/1000)</f>
        <v>0</v>
      </c>
      <c r="AO66" s="117">
        <f>IF(ISBLANK(AA66),"",IF($P66="BRL",AA66,AA66*Macroindicadores!L$2)/1000)</f>
        <v>0</v>
      </c>
      <c r="AP66" s="117">
        <f>IF(ISBLANK(AB66),"",IF($P66="BRL",AB66,AB66*Macroindicadores!M$2)/1000)</f>
        <v>0</v>
      </c>
      <c r="AQ66" s="118">
        <f t="shared" si="51"/>
        <v>0</v>
      </c>
      <c r="AR66" s="108"/>
      <c r="AS66" s="117">
        <f>IF(ISBLANK(Q66),"",IF(ISBLANK($O66),AE66,IF($J66="ANUAL",AE66*(1+Macroindicadores!B$7),IF(AND($I66="NOVO",MONTH($O66)=MONTH(AS$4)),AE66*(1+Macroindicadores!B$7),IF(AND($J66="PONTUAL",MONTH($O66)=MONTH(AS$4)),AE66*(1+Macroindicadores!B$7),IF(AND($J66="PONTUAL",MONTH($O66)&lt;MONTH(AS$4)),MIN(AR66:$AS66),IF(AND($I66="NOVO",MONTH($O66)&gt;MONTH(AS$4)),AE66,IF(MONTH($O66)&gt;MONTH(AS$4),AE66,IF(MONTH($O66)=MONTH(AS$4),AE66*(1+Macroindicadores!B$7),AR66)))))))))</f>
        <v>0</v>
      </c>
      <c r="AT66" s="117">
        <f>IF(ISBLANK(R66),"",IF(ISBLANK($O66),AF66,IF($J66="ANUAL",AF66*(1+Macroindicadores!C$7),IF(AND($I66="NOVO",MONTH($O66)=MONTH(AT$4)),AF66*(1+Macroindicadores!C$7),IF(AND($J66="PONTUAL",MONTH($O66)=MONTH(AT$4)),AF66*(1+Macroindicadores!C$7),IF(AND($J66="PONTUAL",MONTH($O66)&lt;MONTH(AT$4)),MIN($AS66:AS66),IF(AND($I66="NOVO",MONTH($O66)&gt;MONTH(AT$4)),AF66,IF(MONTH($O66)&gt;MONTH(AT$4),AF66,IF(MONTH($O66)=MONTH(AT$4),AF66*(1+Macroindicadores!C$7),AS66)))))))))</f>
        <v>0</v>
      </c>
      <c r="AU66" s="117">
        <f>IF(ISBLANK(S66),"",IF(ISBLANK($O66),AG66,IF($J66="ANUAL",AG66*(1+Macroindicadores!D$7),IF(AND($I66="NOVO",MONTH($O66)=MONTH(AU$4)),AG66*(1+Macroindicadores!D$7),IF(AND($J66="PONTUAL",MONTH($O66)=MONTH(AU$4)),AG66*(1+Macroindicadores!D$7),IF(AND($J66="PONTUAL",MONTH($O66)&lt;MONTH(AU$4)),MIN($AS66:AT66),IF(AND($I66="NOVO",MONTH($O66)&gt;MONTH(AU$4)),AG66,IF(MONTH($O66)&gt;MONTH(AU$4),AG66,IF(MONTH($O66)=MONTH(AU$4),AG66*(1+Macroindicadores!D$7),AT66)))))))))</f>
        <v>0</v>
      </c>
      <c r="AV66" s="117">
        <f>IF(ISBLANK(T66),"",IF(ISBLANK($O66),AH66,IF($J66="ANUAL",AH66*(1+Macroindicadores!E$7),IF(AND($I66="NOVO",MONTH($O66)=MONTH(AV$4)),AH66*(1+Macroindicadores!E$7),IF(AND($J66="PONTUAL",MONTH($O66)=MONTH(AV$4)),AH66*(1+Macroindicadores!E$7),IF(AND($J66="PONTUAL",MONTH($O66)&lt;MONTH(AV$4)),MIN($AS66:AU66),IF(AND($I66="NOVO",MONTH($O66)&gt;MONTH(AV$4)),AH66,IF(MONTH($O66)&gt;MONTH(AV$4),AH66,IF(MONTH($O66)=MONTH(AV$4),AH66*(1+Macroindicadores!E$7),AU66)))))))))</f>
        <v>0</v>
      </c>
      <c r="AW66" s="117">
        <f>IF(ISBLANK(U66),"",IF(ISBLANK($O66),AI66,IF($J66="ANUAL",AI66*(1+Macroindicadores!F$7),IF(AND($I66="NOVO",MONTH($O66)=MONTH(AW$4)),AI66*(1+Macroindicadores!F$7),IF(AND($J66="PONTUAL",MONTH($O66)=MONTH(AW$4)),AI66*(1+Macroindicadores!F$7),IF(AND($J66="PONTUAL",MONTH($O66)&lt;MONTH(AW$4)),MIN($AS66:AV66),IF(AND($I66="NOVO",MONTH($O66)&gt;MONTH(AW$4)),AI66,IF(MONTH($O66)&gt;MONTH(AW$4),AI66,IF(MONTH($O66)=MONTH(AW$4),AI66*(1+Macroindicadores!F$7),AV66)))))))))</f>
        <v>0</v>
      </c>
      <c r="AX66" s="117">
        <f>IF(ISBLANK(V66),"",IF(ISBLANK($O66),AJ66,IF($J66="ANUAL",AJ66*(1+Macroindicadores!G$7),IF(AND($I66="NOVO",MONTH($O66)=MONTH(AX$4)),AJ66*(1+Macroindicadores!G$7),IF(AND($J66="PONTUAL",MONTH($O66)=MONTH(AX$4)),AJ66*(1+Macroindicadores!G$7),IF(AND($J66="PONTUAL",MONTH($O66)&lt;MONTH(AX$4)),MIN($AS66:AW66),IF(AND($I66="NOVO",MONTH($O66)&gt;MONTH(AX$4)),AJ66,IF(MONTH($O66)&gt;MONTH(AX$4),AJ66,IF(MONTH($O66)=MONTH(AX$4),AJ66*(1+Macroindicadores!G$7),AW66)))))))))</f>
        <v>0</v>
      </c>
      <c r="AY66" s="117">
        <f>IF(ISBLANK(W66),"",IF(ISBLANK($O66),AK66,IF($J66="ANUAL",AK66*(1+Macroindicadores!H$7),IF(AND($I66="NOVO",MONTH($O66)=MONTH(AY$4)),AK66*(1+Macroindicadores!H$7),IF(AND($J66="PONTUAL",MONTH($O66)=MONTH(AY$4)),AK66*(1+Macroindicadores!H$7),IF(AND($J66="PONTUAL",MONTH($O66)&lt;MONTH(AY$4)),MIN($AS66:AX66),IF(AND($I66="NOVO",MONTH($O66)&gt;MONTH(AY$4)),AK66,IF(MONTH($O66)&gt;MONTH(AY$4),AK66,IF(MONTH($O66)=MONTH(AY$4),AK66*(1+Macroindicadores!H$7),AX66)))))))))</f>
        <v>0</v>
      </c>
      <c r="AZ66" s="117">
        <f>IF(ISBLANK(X66),"",IF(ISBLANK($O66),AL66,IF($J66="ANUAL",AL66*(1+Macroindicadores!I$7),IF(AND($I66="NOVO",MONTH($O66)=MONTH(AZ$4)),AL66*(1+Macroindicadores!I$7),IF(AND($J66="PONTUAL",MONTH($O66)=MONTH(AZ$4)),AL66*(1+Macroindicadores!I$7),IF(AND($J66="PONTUAL",MONTH($O66)&lt;MONTH(AZ$4)),MIN($AS66:AY66),IF(AND($I66="NOVO",MONTH($O66)&gt;MONTH(AZ$4)),AL66,IF(MONTH($O66)&gt;MONTH(AZ$4),AL66,IF(MONTH($O66)=MONTH(AZ$4),AL66*(1+Macroindicadores!I$7),AY66)))))))))</f>
        <v>0</v>
      </c>
      <c r="BA66" s="117">
        <f>IF(ISBLANK(Y66),"",IF(ISBLANK($O66),AM66,IF($J66="ANUAL",AM66*(1+Macroindicadores!J$7),IF(AND($I66="NOVO",MONTH($O66)=MONTH(BA$4)),AM66*(1+Macroindicadores!J$7),IF(AND($J66="PONTUAL",MONTH($O66)=MONTH(BA$4)),AM66*(1+Macroindicadores!J$7),IF(AND($J66="PONTUAL",MONTH($O66)&lt;MONTH(BA$4)),MIN($AS66:AZ66),IF(AND($I66="NOVO",MONTH($O66)&gt;MONTH(BA$4)),AM66,IF(MONTH($O66)&gt;MONTH(BA$4),AM66,IF(MONTH($O66)=MONTH(BA$4),AM66*(1+Macroindicadores!J$7),AZ66)))))))))</f>
        <v>0</v>
      </c>
      <c r="BB66" s="117">
        <f>IF(ISBLANK(Z66),"",IF(ISBLANK($O66),AN66,IF($J66="ANUAL",AN66*(1+Macroindicadores!K$7),IF(AND($I66="NOVO",MONTH($O66)=MONTH(BB$4)),AN66*(1+Macroindicadores!K$7),IF(AND($J66="PONTUAL",MONTH($O66)=MONTH(BB$4)),AN66*(1+Macroindicadores!K$7),IF(AND($J66="PONTUAL",MONTH($O66)&lt;MONTH(BB$4)),MIN($AS66:BA66),IF(AND($I66="NOVO",MONTH($O66)&gt;MONTH(BB$4)),AN66,IF(MONTH($O66)&gt;MONTH(BB$4),AN66,IF(MONTH($O66)=MONTH(BB$4),AN66*(1+Macroindicadores!K$7),BA66)))))))))</f>
        <v>0</v>
      </c>
      <c r="BC66" s="117">
        <f>IF(ISBLANK(AA66),"",IF(ISBLANK($O66),AO66,IF($J66="ANUAL",AO66*(1+Macroindicadores!L$7),IF(AND($I66="NOVO",MONTH($O66)=MONTH(BC$4)),AO66*(1+Macroindicadores!L$7),IF(AND($J66="PONTUAL",MONTH($O66)=MONTH(BC$4)),AO66*(1+Macroindicadores!L$7),IF(AND($J66="PONTUAL",MONTH($O66)&lt;MONTH(BC$4)),MIN($AS66:BB66),IF(AND($I66="NOVO",MONTH($O66)&gt;MONTH(BC$4)),AO66,IF(MONTH($O66)&gt;MONTH(BC$4),AO66,IF(MONTH($O66)=MONTH(BC$4),AO66*(1+Macroindicadores!L$7),BB66)))))))))</f>
        <v>0</v>
      </c>
      <c r="BD66" s="117">
        <f>IF(ISBLANK(AB66),"",IF(ISBLANK($O66),AP66,IF($J66="ANUAL",AP66*(1+Macroindicadores!M$7),IF(AND($I66="NOVO",MONTH($O66)=MONTH(BD$4)),AP66*(1+Macroindicadores!M$7),IF(AND($J66="PONTUAL",MONTH($O66)=MONTH(BD$4)),AP66*(1+Macroindicadores!M$7),IF(AND($J66="PONTUAL",MONTH($O66)&lt;MONTH(BD$4)),MIN($AS66:BC66),IF(AND($I66="NOVO",MONTH($O66)&gt;MONTH(BD$4)),AP66,IF(MONTH($O66)&gt;MONTH(BD$4),AP66,IF(MONTH($O66)=MONTH(BD$4),AP66*(1+Macroindicadores!M$7),BC66)))))))))</f>
        <v>0</v>
      </c>
      <c r="BE66" s="118">
        <f t="shared" si="50"/>
        <v>0</v>
      </c>
      <c r="BF66" s="108"/>
      <c r="BG66" s="117">
        <f>IF(ISBLANK(Q66),"",AS66/Macroindicadores!B$2)</f>
        <v>0</v>
      </c>
      <c r="BH66" s="117">
        <f>IF(ISBLANK(R66),"",AT66/Macroindicadores!C$2)</f>
        <v>0</v>
      </c>
      <c r="BI66" s="117">
        <f>IF(ISBLANK(S66),"",AU66/Macroindicadores!D$2)</f>
        <v>0</v>
      </c>
      <c r="BJ66" s="117">
        <f>IF(ISBLANK(T66),"",AV66/Macroindicadores!E$2)</f>
        <v>0</v>
      </c>
      <c r="BK66" s="117">
        <f>IF(ISBLANK(U66),"",AW66/Macroindicadores!F$2)</f>
        <v>0</v>
      </c>
      <c r="BL66" s="117">
        <f>IF(ISBLANK(V66),"",AX66/Macroindicadores!G$2)</f>
        <v>0</v>
      </c>
      <c r="BM66" s="117">
        <f>IF(ISBLANK(W66),"",AY66/Macroindicadores!H$2)</f>
        <v>0</v>
      </c>
      <c r="BN66" s="117">
        <f>IF(ISBLANK(X66),"",AZ66/Macroindicadores!I$2)</f>
        <v>0</v>
      </c>
      <c r="BO66" s="117">
        <f>IF(ISBLANK(Y66),"",BA66/Macroindicadores!J$2)</f>
        <v>0</v>
      </c>
      <c r="BP66" s="117">
        <f>IF(ISBLANK(Z66),"",BB66/Macroindicadores!K$2)</f>
        <v>0</v>
      </c>
      <c r="BQ66" s="117">
        <f>IF(ISBLANK(AA66),"",BC66/Macroindicadores!L$2)</f>
        <v>0</v>
      </c>
      <c r="BR66" s="117">
        <f>IF(ISBLANK(AB66),"",BD66/Macroindicadores!M$2)</f>
        <v>0</v>
      </c>
      <c r="BS66" s="118">
        <f>IF(AND(ISBLANK($Q66),ISBLANK($R66),ISBLANK($S66),ISBLANK($T66),ISBLANK($U66),ISBLANK($V66),ISBLANK($W66),ISBLANK($X66),ISBLANK($Y66),ISBLANK($Z66),ISBLANK($AA66),ISBLANK($AB66)),"",SUM(BG66:BR66))</f>
        <v>0</v>
      </c>
      <c r="BT66" s="25" t="str">
        <f>IF(ISBLANK($L66),"",_xlfn.XLOOKUP($L66,'CENTRO CUSTO'!$A:$A,'CENTRO CUSTO'!$E:$E,FALSE,0))</f>
        <v>Custo Fixo</v>
      </c>
    </row>
    <row r="67" spans="1:72">
      <c r="A67" s="9" t="str">
        <f t="shared" si="52"/>
        <v>Budget</v>
      </c>
      <c r="B67" s="9">
        <f t="shared" si="49"/>
        <v>2026</v>
      </c>
      <c r="C67" s="111" t="str">
        <f>IF(ISBLANK($L67),"",_xlfn.XLOOKUP($L67,'CENTRO CUSTO'!$A:$A,'CENTRO CUSTO'!F:F,FALSE,0))</f>
        <v>MRV</v>
      </c>
      <c r="D67" s="111" t="str">
        <f>IF(ISBLANK($L67),"",_xlfn.XLOOKUP($L67,'CENTRO CUSTO'!$A:$A,'CENTRO CUSTO'!G:G,FALSE,0))</f>
        <v>Velopark</v>
      </c>
      <c r="E67" s="111" t="str">
        <f>IF(ISBLANK($L67),"",_xlfn.XLOOKUP($L67,'CENTRO CUSTO'!$A:$A,'CENTRO CUSTO'!H:H,FALSE,0))</f>
        <v>Frigorífico</v>
      </c>
      <c r="F67" s="112" t="s">
        <v>116</v>
      </c>
      <c r="G67" s="112" t="s">
        <v>75</v>
      </c>
      <c r="H67" s="112" t="s">
        <v>117</v>
      </c>
      <c r="I67" s="113" t="s">
        <v>77</v>
      </c>
      <c r="J67" s="113" t="s">
        <v>78</v>
      </c>
      <c r="K67" s="113" t="s">
        <v>79</v>
      </c>
      <c r="L67" s="113" t="s">
        <v>43</v>
      </c>
      <c r="M67" s="111" t="str">
        <f>IF(ISBLANK($L67),"",_xlfn.XLOOKUP($L67,'CENTRO CUSTO'!$A:$A,'CENTRO CUSTO'!D:D,FALSE,0))</f>
        <v>Alexandre Ayabe</v>
      </c>
      <c r="N67" s="113" t="s">
        <v>87</v>
      </c>
      <c r="O67" s="114">
        <v>46023</v>
      </c>
      <c r="P67" s="113" t="s">
        <v>88</v>
      </c>
      <c r="Q67" s="115">
        <f>25000*Rateio!$E$172/12</f>
        <v>333.33333333333331</v>
      </c>
      <c r="R67" s="115">
        <f>25000*Rateio!$E$172/12</f>
        <v>333.33333333333331</v>
      </c>
      <c r="S67" s="115">
        <f>25000*Rateio!$E$172/12</f>
        <v>333.33333333333331</v>
      </c>
      <c r="T67" s="115">
        <f>25000*Rateio!$E$172/12</f>
        <v>333.33333333333331</v>
      </c>
      <c r="U67" s="115">
        <f>25000*Rateio!$E$172/12</f>
        <v>333.33333333333331</v>
      </c>
      <c r="V67" s="115">
        <f>25000*Rateio!$E$172/12</f>
        <v>333.33333333333331</v>
      </c>
      <c r="W67" s="115">
        <f>25000*Rateio!$E$172/12</f>
        <v>333.33333333333331</v>
      </c>
      <c r="X67" s="115">
        <f>25000*Rateio!$E$172/12</f>
        <v>333.33333333333331</v>
      </c>
      <c r="Y67" s="115">
        <f>25000*Rateio!$E$172/12</f>
        <v>333.33333333333331</v>
      </c>
      <c r="Z67" s="115">
        <f>25000*Rateio!$E$172/12</f>
        <v>333.33333333333331</v>
      </c>
      <c r="AA67" s="115">
        <f>25000*Rateio!$E$172/12</f>
        <v>333.33333333333331</v>
      </c>
      <c r="AB67" s="115">
        <f>25000*Rateio!$E$172/12</f>
        <v>333.33333333333331</v>
      </c>
      <c r="AC67" s="116">
        <f t="shared" ref="AC67:AC121" si="53">IF(AND(ISBLANK($Q67),ISBLANK($R67),ISBLANK($S67),ISBLANK($T67),ISBLANK($U67),ISBLANK($V67),ISBLANK($W67),ISBLANK($X67),ISBLANK($Y67),ISBLANK($Z67),ISBLANK($AA67),ISBLANK($AB67)),"",SUM(Q67:AB67))</f>
        <v>4000.0000000000005</v>
      </c>
      <c r="AD67" s="108"/>
      <c r="AE67" s="117">
        <f>IF(ISBLANK(Q67),"",IF($P67="BRL",Q67,Q67*Macroindicadores!B$2)/1000)</f>
        <v>1.9599999999999997</v>
      </c>
      <c r="AF67" s="117">
        <f>IF(ISBLANK(R67),"",IF($P67="BRL",R67,R67*Macroindicadores!C$2)/1000)</f>
        <v>1.9599999999999997</v>
      </c>
      <c r="AG67" s="117">
        <f>IF(ISBLANK(S67),"",IF($P67="BRL",S67,S67*Macroindicadores!D$2)/1000)</f>
        <v>1.9599999999999997</v>
      </c>
      <c r="AH67" s="117">
        <f>IF(ISBLANK(T67),"",IF($P67="BRL",T67,T67*Macroindicadores!E$2)/1000)</f>
        <v>1.9599999999999997</v>
      </c>
      <c r="AI67" s="117">
        <f>IF(ISBLANK(U67),"",IF($P67="BRL",U67,U67*Macroindicadores!F$2)/1000)</f>
        <v>1.9599999999999997</v>
      </c>
      <c r="AJ67" s="117">
        <f>IF(ISBLANK(V67),"",IF($P67="BRL",V67,V67*Macroindicadores!G$2)/1000)</f>
        <v>1.9599999999999997</v>
      </c>
      <c r="AK67" s="117">
        <f>IF(ISBLANK(W67),"",IF($P67="BRL",W67,W67*Macroindicadores!H$2)/1000)</f>
        <v>1.9599999999999997</v>
      </c>
      <c r="AL67" s="117">
        <f>IF(ISBLANK(X67),"",IF($P67="BRL",X67,X67*Macroindicadores!I$2)/1000)</f>
        <v>1.9599999999999997</v>
      </c>
      <c r="AM67" s="117">
        <f>IF(ISBLANK(Y67),"",IF($P67="BRL",Y67,Y67*Macroindicadores!J$2)/1000)</f>
        <v>1.9599999999999997</v>
      </c>
      <c r="AN67" s="117">
        <f>IF(ISBLANK(Z67),"",IF($P67="BRL",Z67,Z67*Macroindicadores!K$2)/1000)</f>
        <v>1.9599999999999997</v>
      </c>
      <c r="AO67" s="117">
        <f>IF(ISBLANK(AA67),"",IF($P67="BRL",AA67,AA67*Macroindicadores!L$2)/1000)</f>
        <v>1.9599999999999997</v>
      </c>
      <c r="AP67" s="117">
        <f>IF(ISBLANK(AB67),"",IF($P67="BRL",AB67,AB67*Macroindicadores!M$2)/1000)</f>
        <v>1.9599999999999997</v>
      </c>
      <c r="AQ67" s="118">
        <f t="shared" si="51"/>
        <v>23.52</v>
      </c>
      <c r="AR67" s="108"/>
      <c r="AS67" s="117">
        <f>IF(ISBLANK(Q67),"",IF(ISBLANK($O67),AE67,IF($J67="ANUAL",AE67*(1+Macroindicadores!B$7),IF(AND($I67="NOVO",MONTH($O67)=MONTH(AS$4)),AE67*(1+Macroindicadores!B$7),IF(AND($J67="PONTUAL",MONTH($O67)=MONTH(AS$4)),AE67*(1+Macroindicadores!B$7),IF(AND($J67="PONTUAL",MONTH($O67)&lt;MONTH(AS$4)),MIN(AR67:$AS67),IF(AND($I67="NOVO",MONTH($O67)&gt;MONTH(AS$4)),AE67,IF(MONTH($O67)&gt;MONTH(AS$4),AE67,IF(MONTH($O67)=MONTH(AS$4),AE67*(1+Macroindicadores!B$7),AR67)))))))))</f>
        <v>2.0671631554530863</v>
      </c>
      <c r="AT67" s="117">
        <f>IF(ISBLANK(R67),"",IF(ISBLANK($O67),AF67,IF($J67="ANUAL",AF67*(1+Macroindicadores!C$7),IF(AND($I67="NOVO",MONTH($O67)=MONTH(AT$4)),AF67*(1+Macroindicadores!C$7),IF(AND($J67="PONTUAL",MONTH($O67)=MONTH(AT$4)),AF67*(1+Macroindicadores!C$7),IF(AND($J67="PONTUAL",MONTH($O67)&lt;MONTH(AT$4)),MIN($AS67:AS67),IF(AND($I67="NOVO",MONTH($O67)&gt;MONTH(AT$4)),AF67,IF(MONTH($O67)&gt;MONTH(AT$4),AF67,IF(MONTH($O67)=MONTH(AT$4),AF67*(1+Macroindicadores!C$7),AS67)))))))))</f>
        <v>2.0671631554530863</v>
      </c>
      <c r="AU67" s="117">
        <f>IF(ISBLANK(S67),"",IF(ISBLANK($O67),AG67,IF($J67="ANUAL",AG67*(1+Macroindicadores!D$7),IF(AND($I67="NOVO",MONTH($O67)=MONTH(AU$4)),AG67*(1+Macroindicadores!D$7),IF(AND($J67="PONTUAL",MONTH($O67)=MONTH(AU$4)),AG67*(1+Macroindicadores!D$7),IF(AND($J67="PONTUAL",MONTH($O67)&lt;MONTH(AU$4)),MIN($AS67:AT67),IF(AND($I67="NOVO",MONTH($O67)&gt;MONTH(AU$4)),AG67,IF(MONTH($O67)&gt;MONTH(AU$4),AG67,IF(MONTH($O67)=MONTH(AU$4),AG67*(1+Macroindicadores!D$7),AT67)))))))))</f>
        <v>2.0671631554530863</v>
      </c>
      <c r="AV67" s="117">
        <f>IF(ISBLANK(T67),"",IF(ISBLANK($O67),AH67,IF($J67="ANUAL",AH67*(1+Macroindicadores!E$7),IF(AND($I67="NOVO",MONTH($O67)=MONTH(AV$4)),AH67*(1+Macroindicadores!E$7),IF(AND($J67="PONTUAL",MONTH($O67)=MONTH(AV$4)),AH67*(1+Macroindicadores!E$7),IF(AND($J67="PONTUAL",MONTH($O67)&lt;MONTH(AV$4)),MIN($AS67:AU67),IF(AND($I67="NOVO",MONTH($O67)&gt;MONTH(AV$4)),AH67,IF(MONTH($O67)&gt;MONTH(AV$4),AH67,IF(MONTH($O67)=MONTH(AV$4),AH67*(1+Macroindicadores!E$7),AU67)))))))))</f>
        <v>2.0671631554530863</v>
      </c>
      <c r="AW67" s="117">
        <f>IF(ISBLANK(U67),"",IF(ISBLANK($O67),AI67,IF($J67="ANUAL",AI67*(1+Macroindicadores!F$7),IF(AND($I67="NOVO",MONTH($O67)=MONTH(AW$4)),AI67*(1+Macroindicadores!F$7),IF(AND($J67="PONTUAL",MONTH($O67)=MONTH(AW$4)),AI67*(1+Macroindicadores!F$7),IF(AND($J67="PONTUAL",MONTH($O67)&lt;MONTH(AW$4)),MIN($AS67:AV67),IF(AND($I67="NOVO",MONTH($O67)&gt;MONTH(AW$4)),AI67,IF(MONTH($O67)&gt;MONTH(AW$4),AI67,IF(MONTH($O67)=MONTH(AW$4),AI67*(1+Macroindicadores!F$7),AV67)))))))))</f>
        <v>2.0671631554530863</v>
      </c>
      <c r="AX67" s="117">
        <f>IF(ISBLANK(V67),"",IF(ISBLANK($O67),AJ67,IF($J67="ANUAL",AJ67*(1+Macroindicadores!G$7),IF(AND($I67="NOVO",MONTH($O67)=MONTH(AX$4)),AJ67*(1+Macroindicadores!G$7),IF(AND($J67="PONTUAL",MONTH($O67)=MONTH(AX$4)),AJ67*(1+Macroindicadores!G$7),IF(AND($J67="PONTUAL",MONTH($O67)&lt;MONTH(AX$4)),MIN($AS67:AW67),IF(AND($I67="NOVO",MONTH($O67)&gt;MONTH(AX$4)),AJ67,IF(MONTH($O67)&gt;MONTH(AX$4),AJ67,IF(MONTH($O67)=MONTH(AX$4),AJ67*(1+Macroindicadores!G$7),AW67)))))))))</f>
        <v>2.0671631554530863</v>
      </c>
      <c r="AY67" s="117">
        <f>IF(ISBLANK(W67),"",IF(ISBLANK($O67),AK67,IF($J67="ANUAL",AK67*(1+Macroindicadores!H$7),IF(AND($I67="NOVO",MONTH($O67)=MONTH(AY$4)),AK67*(1+Macroindicadores!H$7),IF(AND($J67="PONTUAL",MONTH($O67)=MONTH(AY$4)),AK67*(1+Macroindicadores!H$7),IF(AND($J67="PONTUAL",MONTH($O67)&lt;MONTH(AY$4)),MIN($AS67:AX67),IF(AND($I67="NOVO",MONTH($O67)&gt;MONTH(AY$4)),AK67,IF(MONTH($O67)&gt;MONTH(AY$4),AK67,IF(MONTH($O67)=MONTH(AY$4),AK67*(1+Macroindicadores!H$7),AX67)))))))))</f>
        <v>2.0671631554530863</v>
      </c>
      <c r="AZ67" s="117">
        <f>IF(ISBLANK(X67),"",IF(ISBLANK($O67),AL67,IF($J67="ANUAL",AL67*(1+Macroindicadores!I$7),IF(AND($I67="NOVO",MONTH($O67)=MONTH(AZ$4)),AL67*(1+Macroindicadores!I$7),IF(AND($J67="PONTUAL",MONTH($O67)=MONTH(AZ$4)),AL67*(1+Macroindicadores!I$7),IF(AND($J67="PONTUAL",MONTH($O67)&lt;MONTH(AZ$4)),MIN($AS67:AY67),IF(AND($I67="NOVO",MONTH($O67)&gt;MONTH(AZ$4)),AL67,IF(MONTH($O67)&gt;MONTH(AZ$4),AL67,IF(MONTH($O67)=MONTH(AZ$4),AL67*(1+Macroindicadores!I$7),AY67)))))))))</f>
        <v>2.0671631554530863</v>
      </c>
      <c r="BA67" s="117">
        <f>IF(ISBLANK(Y67),"",IF(ISBLANK($O67),AM67,IF($J67="ANUAL",AM67*(1+Macroindicadores!J$7),IF(AND($I67="NOVO",MONTH($O67)=MONTH(BA$4)),AM67*(1+Macroindicadores!J$7),IF(AND($J67="PONTUAL",MONTH($O67)=MONTH(BA$4)),AM67*(1+Macroindicadores!J$7),IF(AND($J67="PONTUAL",MONTH($O67)&lt;MONTH(BA$4)),MIN($AS67:AZ67),IF(AND($I67="NOVO",MONTH($O67)&gt;MONTH(BA$4)),AM67,IF(MONTH($O67)&gt;MONTH(BA$4),AM67,IF(MONTH($O67)=MONTH(BA$4),AM67*(1+Macroindicadores!J$7),AZ67)))))))))</f>
        <v>2.0671631554530863</v>
      </c>
      <c r="BB67" s="117">
        <f>IF(ISBLANK(Z67),"",IF(ISBLANK($O67),AN67,IF($J67="ANUAL",AN67*(1+Macroindicadores!K$7),IF(AND($I67="NOVO",MONTH($O67)=MONTH(BB$4)),AN67*(1+Macroindicadores!K$7),IF(AND($J67="PONTUAL",MONTH($O67)=MONTH(BB$4)),AN67*(1+Macroindicadores!K$7),IF(AND($J67="PONTUAL",MONTH($O67)&lt;MONTH(BB$4)),MIN($AS67:BA67),IF(AND($I67="NOVO",MONTH($O67)&gt;MONTH(BB$4)),AN67,IF(MONTH($O67)&gt;MONTH(BB$4),AN67,IF(MONTH($O67)=MONTH(BB$4),AN67*(1+Macroindicadores!K$7),BA67)))))))))</f>
        <v>2.0671631554530863</v>
      </c>
      <c r="BC67" s="117">
        <f>IF(ISBLANK(AA67),"",IF(ISBLANK($O67),AO67,IF($J67="ANUAL",AO67*(1+Macroindicadores!L$7),IF(AND($I67="NOVO",MONTH($O67)=MONTH(BC$4)),AO67*(1+Macroindicadores!L$7),IF(AND($J67="PONTUAL",MONTH($O67)=MONTH(BC$4)),AO67*(1+Macroindicadores!L$7),IF(AND($J67="PONTUAL",MONTH($O67)&lt;MONTH(BC$4)),MIN($AS67:BB67),IF(AND($I67="NOVO",MONTH($O67)&gt;MONTH(BC$4)),AO67,IF(MONTH($O67)&gt;MONTH(BC$4),AO67,IF(MONTH($O67)=MONTH(BC$4),AO67*(1+Macroindicadores!L$7),BB67)))))))))</f>
        <v>2.0671631554530863</v>
      </c>
      <c r="BD67" s="117">
        <f>IF(ISBLANK(AB67),"",IF(ISBLANK($O67),AP67,IF($J67="ANUAL",AP67*(1+Macroindicadores!M$7),IF(AND($I67="NOVO",MONTH($O67)=MONTH(BD$4)),AP67*(1+Macroindicadores!M$7),IF(AND($J67="PONTUAL",MONTH($O67)=MONTH(BD$4)),AP67*(1+Macroindicadores!M$7),IF(AND($J67="PONTUAL",MONTH($O67)&lt;MONTH(BD$4)),MIN($AS67:BC67),IF(AND($I67="NOVO",MONTH($O67)&gt;MONTH(BD$4)),AP67,IF(MONTH($O67)&gt;MONTH(BD$4),AP67,IF(MONTH($O67)=MONTH(BD$4),AP67*(1+Macroindicadores!M$7),BC67)))))))))</f>
        <v>2.0671631554530863</v>
      </c>
      <c r="BE67" s="118">
        <f t="shared" si="50"/>
        <v>24.805957865437041</v>
      </c>
      <c r="BF67" s="108"/>
      <c r="BG67" s="117">
        <f>IF(ISBLANK(Q67),"",AS67/Macroindicadores!B$2)</f>
        <v>0.35155835977093303</v>
      </c>
      <c r="BH67" s="117">
        <f>IF(ISBLANK(R67),"",AT67/Macroindicadores!C$2)</f>
        <v>0.35155835977093303</v>
      </c>
      <c r="BI67" s="117">
        <f>IF(ISBLANK(S67),"",AU67/Macroindicadores!D$2)</f>
        <v>0.35155835977093303</v>
      </c>
      <c r="BJ67" s="117">
        <f>IF(ISBLANK(T67),"",AV67/Macroindicadores!E$2)</f>
        <v>0.35155835977093303</v>
      </c>
      <c r="BK67" s="117">
        <f>IF(ISBLANK(U67),"",AW67/Macroindicadores!F$2)</f>
        <v>0.35155835977093303</v>
      </c>
      <c r="BL67" s="117">
        <f>IF(ISBLANK(V67),"",AX67/Macroindicadores!G$2)</f>
        <v>0.35155835977093303</v>
      </c>
      <c r="BM67" s="117">
        <f>IF(ISBLANK(W67),"",AY67/Macroindicadores!H$2)</f>
        <v>0.35155835977093303</v>
      </c>
      <c r="BN67" s="117">
        <f>IF(ISBLANK(X67),"",AZ67/Macroindicadores!I$2)</f>
        <v>0.35155835977093303</v>
      </c>
      <c r="BO67" s="117">
        <f>IF(ISBLANK(Y67),"",BA67/Macroindicadores!J$2)</f>
        <v>0.35155835977093303</v>
      </c>
      <c r="BP67" s="117">
        <f>IF(ISBLANK(Z67),"",BB67/Macroindicadores!K$2)</f>
        <v>0.35155835977093303</v>
      </c>
      <c r="BQ67" s="117">
        <f>IF(ISBLANK(AA67),"",BC67/Macroindicadores!L$2)</f>
        <v>0.35155835977093303</v>
      </c>
      <c r="BR67" s="117">
        <f>IF(ISBLANK(AB67),"",BD67/Macroindicadores!M$2)</f>
        <v>0.35155835977093303</v>
      </c>
      <c r="BS67" s="118">
        <f>IF(AND(ISBLANK($Q67),ISBLANK($R67),ISBLANK($S67),ISBLANK($T67),ISBLANK($U67),ISBLANK($V67),ISBLANK($W67),ISBLANK($X67),ISBLANK($Y67),ISBLANK($Z67),ISBLANK($AA67),ISBLANK($AB67)),"",SUM(BG67:BR67))</f>
        <v>4.2187003172511952</v>
      </c>
      <c r="BT67" s="25" t="str">
        <f>IF(ISBLANK($L67),"",_xlfn.XLOOKUP($L67,'CENTRO CUSTO'!$A:$A,'CENTRO CUSTO'!$E:$E,FALSE,0))</f>
        <v>Custo Fixo</v>
      </c>
    </row>
    <row r="68" spans="1:72">
      <c r="A68" s="9" t="str">
        <f t="shared" si="52"/>
        <v>Budget</v>
      </c>
      <c r="B68" s="9">
        <f t="shared" si="49"/>
        <v>2026</v>
      </c>
      <c r="C68" s="111" t="str">
        <f>IF(ISBLANK($L68),"",_xlfn.XLOOKUP($L68,'CENTRO CUSTO'!$A:$A,'CENTRO CUSTO'!F:F,FALSE,0))</f>
        <v>SKM</v>
      </c>
      <c r="D68" s="111" t="str">
        <f>IF(ISBLANK($L68),"",_xlfn.XLOOKUP($L68,'CENTRO CUSTO'!$A:$A,'CENTRO CUSTO'!G:G,FALSE,0))</f>
        <v>G100B</v>
      </c>
      <c r="E68" s="111" t="str">
        <f>IF(ISBLANK($L68),"",_xlfn.XLOOKUP($L68,'CENTRO CUSTO'!$A:$A,'CENTRO CUSTO'!H:H,FALSE,0))</f>
        <v>Frigorífico</v>
      </c>
      <c r="F68" s="112" t="s">
        <v>116</v>
      </c>
      <c r="G68" s="112" t="s">
        <v>75</v>
      </c>
      <c r="H68" s="112" t="s">
        <v>117</v>
      </c>
      <c r="I68" s="113" t="s">
        <v>77</v>
      </c>
      <c r="J68" s="113" t="s">
        <v>78</v>
      </c>
      <c r="K68" s="113" t="s">
        <v>79</v>
      </c>
      <c r="L68" s="113" t="s">
        <v>48</v>
      </c>
      <c r="M68" s="111" t="str">
        <f>IF(ISBLANK($L68),"",_xlfn.XLOOKUP($L68,'CENTRO CUSTO'!$A:$A,'CENTRO CUSTO'!D:D,FALSE,0))</f>
        <v>Alexandre Ayabe</v>
      </c>
      <c r="N68" s="113" t="s">
        <v>87</v>
      </c>
      <c r="O68" s="114">
        <v>46023</v>
      </c>
      <c r="P68" s="113" t="s">
        <v>88</v>
      </c>
      <c r="Q68" s="115">
        <f>25000*Rateio!$E$175/12</f>
        <v>395.83333333333331</v>
      </c>
      <c r="R68" s="115">
        <f>25000*Rateio!$E$175/12</f>
        <v>395.83333333333331</v>
      </c>
      <c r="S68" s="115">
        <f>25000*Rateio!$E$175/12</f>
        <v>395.83333333333331</v>
      </c>
      <c r="T68" s="115">
        <f>25000*Rateio!$E$175/12</f>
        <v>395.83333333333331</v>
      </c>
      <c r="U68" s="115">
        <f>25000*Rateio!$E$175/12</f>
        <v>395.83333333333331</v>
      </c>
      <c r="V68" s="115">
        <f>25000*Rateio!$E$175/12</f>
        <v>395.83333333333331</v>
      </c>
      <c r="W68" s="115">
        <f>25000*Rateio!$E$175/12</f>
        <v>395.83333333333331</v>
      </c>
      <c r="X68" s="115">
        <f>25000*Rateio!$E$175/12</f>
        <v>395.83333333333331</v>
      </c>
      <c r="Y68" s="115">
        <f>25000*Rateio!$E$175/12</f>
        <v>395.83333333333331</v>
      </c>
      <c r="Z68" s="115">
        <f>25000*Rateio!$E$175/12</f>
        <v>395.83333333333331</v>
      </c>
      <c r="AA68" s="115">
        <f>25000*Rateio!$E$175/12</f>
        <v>395.83333333333331</v>
      </c>
      <c r="AB68" s="115">
        <f>25000*Rateio!$E$175/12</f>
        <v>395.83333333333331</v>
      </c>
      <c r="AC68" s="116">
        <f t="shared" si="53"/>
        <v>4750</v>
      </c>
      <c r="AD68" s="108"/>
      <c r="AE68" s="117">
        <f>IF(ISBLANK(Q68),"",IF($P68="BRL",Q68,Q68*Macroindicadores!B$2)/1000)</f>
        <v>2.3275000000000001</v>
      </c>
      <c r="AF68" s="117">
        <f>IF(ISBLANK(R68),"",IF($P68="BRL",R68,R68*Macroindicadores!C$2)/1000)</f>
        <v>2.3275000000000001</v>
      </c>
      <c r="AG68" s="117">
        <f>IF(ISBLANK(S68),"",IF($P68="BRL",S68,S68*Macroindicadores!D$2)/1000)</f>
        <v>2.3275000000000001</v>
      </c>
      <c r="AH68" s="117">
        <f>IF(ISBLANK(T68),"",IF($P68="BRL",T68,T68*Macroindicadores!E$2)/1000)</f>
        <v>2.3275000000000001</v>
      </c>
      <c r="AI68" s="117">
        <f>IF(ISBLANK(U68),"",IF($P68="BRL",U68,U68*Macroindicadores!F$2)/1000)</f>
        <v>2.3275000000000001</v>
      </c>
      <c r="AJ68" s="117">
        <f>IF(ISBLANK(V68),"",IF($P68="BRL",V68,V68*Macroindicadores!G$2)/1000)</f>
        <v>2.3275000000000001</v>
      </c>
      <c r="AK68" s="117">
        <f>IF(ISBLANK(W68),"",IF($P68="BRL",W68,W68*Macroindicadores!H$2)/1000)</f>
        <v>2.3275000000000001</v>
      </c>
      <c r="AL68" s="117">
        <f>IF(ISBLANK(X68),"",IF($P68="BRL",X68,X68*Macroindicadores!I$2)/1000)</f>
        <v>2.3275000000000001</v>
      </c>
      <c r="AM68" s="117">
        <f>IF(ISBLANK(Y68),"",IF($P68="BRL",Y68,Y68*Macroindicadores!J$2)/1000)</f>
        <v>2.3275000000000001</v>
      </c>
      <c r="AN68" s="117">
        <f>IF(ISBLANK(Z68),"",IF($P68="BRL",Z68,Z68*Macroindicadores!K$2)/1000)</f>
        <v>2.3275000000000001</v>
      </c>
      <c r="AO68" s="117">
        <f>IF(ISBLANK(AA68),"",IF($P68="BRL",AA68,AA68*Macroindicadores!L$2)/1000)</f>
        <v>2.3275000000000001</v>
      </c>
      <c r="AP68" s="117">
        <f>IF(ISBLANK(AB68),"",IF($P68="BRL",AB68,AB68*Macroindicadores!M$2)/1000)</f>
        <v>2.3275000000000001</v>
      </c>
      <c r="AQ68" s="118">
        <f t="shared" si="51"/>
        <v>27.930000000000003</v>
      </c>
      <c r="AR68" s="108"/>
      <c r="AS68" s="117">
        <f>IF(ISBLANK(Q68),"",IF(ISBLANK($O68),AE68,IF($J68="ANUAL",AE68*(1+Macroindicadores!B$7),IF(AND($I68="NOVO",MONTH($O68)=MONTH(AS$4)),AE68*(1+Macroindicadores!B$7),IF(AND($J68="PONTUAL",MONTH($O68)=MONTH(AS$4)),AE68*(1+Macroindicadores!B$7),IF(AND($J68="PONTUAL",MONTH($O68)&lt;MONTH(AS$4)),MIN(AR68:$AS68),IF(AND($I68="NOVO",MONTH($O68)&gt;MONTH(AS$4)),AE68,IF(MONTH($O68)&gt;MONTH(AS$4),AE68,IF(MONTH($O68)=MONTH(AS$4),AE68*(1+Macroindicadores!B$7),AR68)))))))))</f>
        <v>2.4547562471005402</v>
      </c>
      <c r="AT68" s="117">
        <f>IF(ISBLANK(R68),"",IF(ISBLANK($O68),AF68,IF($J68="ANUAL",AF68*(1+Macroindicadores!C$7),IF(AND($I68="NOVO",MONTH($O68)=MONTH(AT$4)),AF68*(1+Macroindicadores!C$7),IF(AND($J68="PONTUAL",MONTH($O68)=MONTH(AT$4)),AF68*(1+Macroindicadores!C$7),IF(AND($J68="PONTUAL",MONTH($O68)&lt;MONTH(AT$4)),MIN($AS68:AS68),IF(AND($I68="NOVO",MONTH($O68)&gt;MONTH(AT$4)),AF68,IF(MONTH($O68)&gt;MONTH(AT$4),AF68,IF(MONTH($O68)=MONTH(AT$4),AF68*(1+Macroindicadores!C$7),AS68)))))))))</f>
        <v>2.4547562471005402</v>
      </c>
      <c r="AU68" s="117">
        <f>IF(ISBLANK(S68),"",IF(ISBLANK($O68),AG68,IF($J68="ANUAL",AG68*(1+Macroindicadores!D$7),IF(AND($I68="NOVO",MONTH($O68)=MONTH(AU$4)),AG68*(1+Macroindicadores!D$7),IF(AND($J68="PONTUAL",MONTH($O68)=MONTH(AU$4)),AG68*(1+Macroindicadores!D$7),IF(AND($J68="PONTUAL",MONTH($O68)&lt;MONTH(AU$4)),MIN($AS68:AT68),IF(AND($I68="NOVO",MONTH($O68)&gt;MONTH(AU$4)),AG68,IF(MONTH($O68)&gt;MONTH(AU$4),AG68,IF(MONTH($O68)=MONTH(AU$4),AG68*(1+Macroindicadores!D$7),AT68)))))))))</f>
        <v>2.4547562471005402</v>
      </c>
      <c r="AV68" s="117">
        <f>IF(ISBLANK(T68),"",IF(ISBLANK($O68),AH68,IF($J68="ANUAL",AH68*(1+Macroindicadores!E$7),IF(AND($I68="NOVO",MONTH($O68)=MONTH(AV$4)),AH68*(1+Macroindicadores!E$7),IF(AND($J68="PONTUAL",MONTH($O68)=MONTH(AV$4)),AH68*(1+Macroindicadores!E$7),IF(AND($J68="PONTUAL",MONTH($O68)&lt;MONTH(AV$4)),MIN($AS68:AU68),IF(AND($I68="NOVO",MONTH($O68)&gt;MONTH(AV$4)),AH68,IF(MONTH($O68)&gt;MONTH(AV$4),AH68,IF(MONTH($O68)=MONTH(AV$4),AH68*(1+Macroindicadores!E$7),AU68)))))))))</f>
        <v>2.4547562471005402</v>
      </c>
      <c r="AW68" s="117">
        <f>IF(ISBLANK(U68),"",IF(ISBLANK($O68),AI68,IF($J68="ANUAL",AI68*(1+Macroindicadores!F$7),IF(AND($I68="NOVO",MONTH($O68)=MONTH(AW$4)),AI68*(1+Macroindicadores!F$7),IF(AND($J68="PONTUAL",MONTH($O68)=MONTH(AW$4)),AI68*(1+Macroindicadores!F$7),IF(AND($J68="PONTUAL",MONTH($O68)&lt;MONTH(AW$4)),MIN($AS68:AV68),IF(AND($I68="NOVO",MONTH($O68)&gt;MONTH(AW$4)),AI68,IF(MONTH($O68)&gt;MONTH(AW$4),AI68,IF(MONTH($O68)=MONTH(AW$4),AI68*(1+Macroindicadores!F$7),AV68)))))))))</f>
        <v>2.4547562471005402</v>
      </c>
      <c r="AX68" s="117">
        <f>IF(ISBLANK(V68),"",IF(ISBLANK($O68),AJ68,IF($J68="ANUAL",AJ68*(1+Macroindicadores!G$7),IF(AND($I68="NOVO",MONTH($O68)=MONTH(AX$4)),AJ68*(1+Macroindicadores!G$7),IF(AND($J68="PONTUAL",MONTH($O68)=MONTH(AX$4)),AJ68*(1+Macroindicadores!G$7),IF(AND($J68="PONTUAL",MONTH($O68)&lt;MONTH(AX$4)),MIN($AS68:AW68),IF(AND($I68="NOVO",MONTH($O68)&gt;MONTH(AX$4)),AJ68,IF(MONTH($O68)&gt;MONTH(AX$4),AJ68,IF(MONTH($O68)=MONTH(AX$4),AJ68*(1+Macroindicadores!G$7),AW68)))))))))</f>
        <v>2.4547562471005402</v>
      </c>
      <c r="AY68" s="117">
        <f>IF(ISBLANK(W68),"",IF(ISBLANK($O68),AK68,IF($J68="ANUAL",AK68*(1+Macroindicadores!H$7),IF(AND($I68="NOVO",MONTH($O68)=MONTH(AY$4)),AK68*(1+Macroindicadores!H$7),IF(AND($J68="PONTUAL",MONTH($O68)=MONTH(AY$4)),AK68*(1+Macroindicadores!H$7),IF(AND($J68="PONTUAL",MONTH($O68)&lt;MONTH(AY$4)),MIN($AS68:AX68),IF(AND($I68="NOVO",MONTH($O68)&gt;MONTH(AY$4)),AK68,IF(MONTH($O68)&gt;MONTH(AY$4),AK68,IF(MONTH($O68)=MONTH(AY$4),AK68*(1+Macroindicadores!H$7),AX68)))))))))</f>
        <v>2.4547562471005402</v>
      </c>
      <c r="AZ68" s="117">
        <f>IF(ISBLANK(X68),"",IF(ISBLANK($O68),AL68,IF($J68="ANUAL",AL68*(1+Macroindicadores!I$7),IF(AND($I68="NOVO",MONTH($O68)=MONTH(AZ$4)),AL68*(1+Macroindicadores!I$7),IF(AND($J68="PONTUAL",MONTH($O68)=MONTH(AZ$4)),AL68*(1+Macroindicadores!I$7),IF(AND($J68="PONTUAL",MONTH($O68)&lt;MONTH(AZ$4)),MIN($AS68:AY68),IF(AND($I68="NOVO",MONTH($O68)&gt;MONTH(AZ$4)),AL68,IF(MONTH($O68)&gt;MONTH(AZ$4),AL68,IF(MONTH($O68)=MONTH(AZ$4),AL68*(1+Macroindicadores!I$7),AY68)))))))))</f>
        <v>2.4547562471005402</v>
      </c>
      <c r="BA68" s="117">
        <f>IF(ISBLANK(Y68),"",IF(ISBLANK($O68),AM68,IF($J68="ANUAL",AM68*(1+Macroindicadores!J$7),IF(AND($I68="NOVO",MONTH($O68)=MONTH(BA$4)),AM68*(1+Macroindicadores!J$7),IF(AND($J68="PONTUAL",MONTH($O68)=MONTH(BA$4)),AM68*(1+Macroindicadores!J$7),IF(AND($J68="PONTUAL",MONTH($O68)&lt;MONTH(BA$4)),MIN($AS68:AZ68),IF(AND($I68="NOVO",MONTH($O68)&gt;MONTH(BA$4)),AM68,IF(MONTH($O68)&gt;MONTH(BA$4),AM68,IF(MONTH($O68)=MONTH(BA$4),AM68*(1+Macroindicadores!J$7),AZ68)))))))))</f>
        <v>2.4547562471005402</v>
      </c>
      <c r="BB68" s="117">
        <f>IF(ISBLANK(Z68),"",IF(ISBLANK($O68),AN68,IF($J68="ANUAL",AN68*(1+Macroindicadores!K$7),IF(AND($I68="NOVO",MONTH($O68)=MONTH(BB$4)),AN68*(1+Macroindicadores!K$7),IF(AND($J68="PONTUAL",MONTH($O68)=MONTH(BB$4)),AN68*(1+Macroindicadores!K$7),IF(AND($J68="PONTUAL",MONTH($O68)&lt;MONTH(BB$4)),MIN($AS68:BA68),IF(AND($I68="NOVO",MONTH($O68)&gt;MONTH(BB$4)),AN68,IF(MONTH($O68)&gt;MONTH(BB$4),AN68,IF(MONTH($O68)=MONTH(BB$4),AN68*(1+Macroindicadores!K$7),BA68)))))))))</f>
        <v>2.4547562471005402</v>
      </c>
      <c r="BC68" s="117">
        <f>IF(ISBLANK(AA68),"",IF(ISBLANK($O68),AO68,IF($J68="ANUAL",AO68*(1+Macroindicadores!L$7),IF(AND($I68="NOVO",MONTH($O68)=MONTH(BC$4)),AO68*(1+Macroindicadores!L$7),IF(AND($J68="PONTUAL",MONTH($O68)=MONTH(BC$4)),AO68*(1+Macroindicadores!L$7),IF(AND($J68="PONTUAL",MONTH($O68)&lt;MONTH(BC$4)),MIN($AS68:BB68),IF(AND($I68="NOVO",MONTH($O68)&gt;MONTH(BC$4)),AO68,IF(MONTH($O68)&gt;MONTH(BC$4),AO68,IF(MONTH($O68)=MONTH(BC$4),AO68*(1+Macroindicadores!L$7),BB68)))))))))</f>
        <v>2.4547562471005402</v>
      </c>
      <c r="BD68" s="117">
        <f>IF(ISBLANK(AB68),"",IF(ISBLANK($O68),AP68,IF($J68="ANUAL",AP68*(1+Macroindicadores!M$7),IF(AND($I68="NOVO",MONTH($O68)=MONTH(BD$4)),AP68*(1+Macroindicadores!M$7),IF(AND($J68="PONTUAL",MONTH($O68)=MONTH(BD$4)),AP68*(1+Macroindicadores!M$7),IF(AND($J68="PONTUAL",MONTH($O68)&lt;MONTH(BD$4)),MIN($AS68:BC68),IF(AND($I68="NOVO",MONTH($O68)&gt;MONTH(BD$4)),AP68,IF(MONTH($O68)&gt;MONTH(BD$4),AP68,IF(MONTH($O68)=MONTH(BD$4),AP68*(1+Macroindicadores!M$7),BC68)))))))))</f>
        <v>2.4547562471005402</v>
      </c>
      <c r="BE68" s="118">
        <f t="shared" si="50"/>
        <v>29.457074965206484</v>
      </c>
      <c r="BF68" s="108"/>
      <c r="BG68" s="117">
        <f>IF(ISBLANK(Q68),"",AS68/Macroindicadores!B$2)</f>
        <v>0.41747555222798305</v>
      </c>
      <c r="BH68" s="117">
        <f>IF(ISBLANK(R68),"",AT68/Macroindicadores!C$2)</f>
        <v>0.41747555222798305</v>
      </c>
      <c r="BI68" s="117">
        <f>IF(ISBLANK(S68),"",AU68/Macroindicadores!D$2)</f>
        <v>0.41747555222798305</v>
      </c>
      <c r="BJ68" s="117">
        <f>IF(ISBLANK(T68),"",AV68/Macroindicadores!E$2)</f>
        <v>0.41747555222798305</v>
      </c>
      <c r="BK68" s="117">
        <f>IF(ISBLANK(U68),"",AW68/Macroindicadores!F$2)</f>
        <v>0.41747555222798305</v>
      </c>
      <c r="BL68" s="117">
        <f>IF(ISBLANK(V68),"",AX68/Macroindicadores!G$2)</f>
        <v>0.41747555222798305</v>
      </c>
      <c r="BM68" s="117">
        <f>IF(ISBLANK(W68),"",AY68/Macroindicadores!H$2)</f>
        <v>0.41747555222798305</v>
      </c>
      <c r="BN68" s="117">
        <f>IF(ISBLANK(X68),"",AZ68/Macroindicadores!I$2)</f>
        <v>0.41747555222798305</v>
      </c>
      <c r="BO68" s="117">
        <f>IF(ISBLANK(Y68),"",BA68/Macroindicadores!J$2)</f>
        <v>0.41747555222798305</v>
      </c>
      <c r="BP68" s="117">
        <f>IF(ISBLANK(Z68),"",BB68/Macroindicadores!K$2)</f>
        <v>0.41747555222798305</v>
      </c>
      <c r="BQ68" s="117">
        <f>IF(ISBLANK(AA68),"",BC68/Macroindicadores!L$2)</f>
        <v>0.41747555222798305</v>
      </c>
      <c r="BR68" s="117">
        <f>IF(ISBLANK(AB68),"",BD68/Macroindicadores!M$2)</f>
        <v>0.41747555222798305</v>
      </c>
      <c r="BS68" s="118">
        <f>IF(AND(ISBLANK($Q68),ISBLANK($R68),ISBLANK($S68),ISBLANK($T68),ISBLANK($U68),ISBLANK($V68),ISBLANK($W68),ISBLANK($X68),ISBLANK($Y68),ISBLANK($Z68),ISBLANK($AA68),ISBLANK($AB68)),"",SUM(BG68:BR68))</f>
        <v>5.0097066267357961</v>
      </c>
      <c r="BT68" s="25" t="str">
        <f>IF(ISBLANK($L68),"",_xlfn.XLOOKUP($L68,'CENTRO CUSTO'!$A:$A,'CENTRO CUSTO'!$E:$E,FALSE,0))</f>
        <v>Custo Fixo</v>
      </c>
    </row>
    <row r="69" spans="1:72">
      <c r="A69" s="9" t="str">
        <f t="shared" si="52"/>
        <v>Budget</v>
      </c>
      <c r="B69" s="9">
        <f t="shared" si="49"/>
        <v>2026</v>
      </c>
      <c r="C69" s="111" t="str">
        <f>IF(ISBLANK($L69),"",_xlfn.XLOOKUP($L69,'CENTRO CUSTO'!$A:$A,'CENTRO CUSTO'!F:F,FALSE,0))</f>
        <v>SKM</v>
      </c>
      <c r="D69" s="111" t="str">
        <f>IF(ISBLANK($L69),"",_xlfn.XLOOKUP($L69,'CENTRO CUSTO'!$A:$A,'CENTRO CUSTO'!G:G,FALSE,0))</f>
        <v>BU-SKM</v>
      </c>
      <c r="E69" s="111" t="str">
        <f>IF(ISBLANK($L69),"",_xlfn.XLOOKUP($L69,'CENTRO CUSTO'!$A:$A,'CENTRO CUSTO'!H:H,FALSE,0))</f>
        <v>G&amp;A</v>
      </c>
      <c r="F69" s="112" t="s">
        <v>118</v>
      </c>
      <c r="G69" s="112" t="s">
        <v>75</v>
      </c>
      <c r="H69" s="112" t="s">
        <v>119</v>
      </c>
      <c r="I69" s="113" t="s">
        <v>77</v>
      </c>
      <c r="J69" s="113" t="s">
        <v>120</v>
      </c>
      <c r="K69" s="113" t="s">
        <v>121</v>
      </c>
      <c r="L69" s="113" t="s">
        <v>50</v>
      </c>
      <c r="M69" s="111" t="str">
        <f>IF(ISBLANK($L69),"",_xlfn.XLOOKUP($L69,'CENTRO CUSTO'!$A:$A,'CENTRO CUSTO'!D:D,FALSE,0))</f>
        <v>Alexandre Ayabe</v>
      </c>
      <c r="N69" s="113" t="s">
        <v>87</v>
      </c>
      <c r="O69" s="114"/>
      <c r="P69" s="113" t="s">
        <v>88</v>
      </c>
      <c r="Q69" s="115">
        <f>700/12</f>
        <v>58.333333333333336</v>
      </c>
      <c r="R69" s="115">
        <f t="shared" ref="R69:AB69" si="54">700/12</f>
        <v>58.333333333333336</v>
      </c>
      <c r="S69" s="115">
        <f t="shared" si="54"/>
        <v>58.333333333333336</v>
      </c>
      <c r="T69" s="115">
        <f t="shared" si="54"/>
        <v>58.333333333333336</v>
      </c>
      <c r="U69" s="115">
        <f t="shared" si="54"/>
        <v>58.333333333333336</v>
      </c>
      <c r="V69" s="115">
        <f t="shared" si="54"/>
        <v>58.333333333333336</v>
      </c>
      <c r="W69" s="115">
        <f t="shared" si="54"/>
        <v>58.333333333333336</v>
      </c>
      <c r="X69" s="115">
        <f t="shared" si="54"/>
        <v>58.333333333333336</v>
      </c>
      <c r="Y69" s="115">
        <f t="shared" si="54"/>
        <v>58.333333333333336</v>
      </c>
      <c r="Z69" s="115">
        <f t="shared" si="54"/>
        <v>58.333333333333336</v>
      </c>
      <c r="AA69" s="115">
        <f t="shared" si="54"/>
        <v>58.333333333333336</v>
      </c>
      <c r="AB69" s="115">
        <f t="shared" si="54"/>
        <v>58.333333333333336</v>
      </c>
      <c r="AC69" s="116">
        <f t="shared" si="53"/>
        <v>700.00000000000011</v>
      </c>
      <c r="AD69" s="108"/>
      <c r="AE69" s="117">
        <f>IF(ISBLANK(Q69),"",IF($P69="BRL",Q69,Q69*Macroindicadores!B$2)/1000)</f>
        <v>0.34300000000000003</v>
      </c>
      <c r="AF69" s="117">
        <f>IF(ISBLANK(R69),"",IF($P69="BRL",R69,R69*Macroindicadores!C$2)/1000)</f>
        <v>0.34300000000000003</v>
      </c>
      <c r="AG69" s="117">
        <f>IF(ISBLANK(S69),"",IF($P69="BRL",S69,S69*Macroindicadores!D$2)/1000)</f>
        <v>0.34300000000000003</v>
      </c>
      <c r="AH69" s="117">
        <f>IF(ISBLANK(T69),"",IF($P69="BRL",T69,T69*Macroindicadores!E$2)/1000)</f>
        <v>0.34300000000000003</v>
      </c>
      <c r="AI69" s="117">
        <f>IF(ISBLANK(U69),"",IF($P69="BRL",U69,U69*Macroindicadores!F$2)/1000)</f>
        <v>0.34300000000000003</v>
      </c>
      <c r="AJ69" s="117">
        <f>IF(ISBLANK(V69),"",IF($P69="BRL",V69,V69*Macroindicadores!G$2)/1000)</f>
        <v>0.34300000000000003</v>
      </c>
      <c r="AK69" s="117">
        <f>IF(ISBLANK(W69),"",IF($P69="BRL",W69,W69*Macroindicadores!H$2)/1000)</f>
        <v>0.34300000000000003</v>
      </c>
      <c r="AL69" s="117">
        <f>IF(ISBLANK(X69),"",IF($P69="BRL",X69,X69*Macroindicadores!I$2)/1000)</f>
        <v>0.34300000000000003</v>
      </c>
      <c r="AM69" s="117">
        <f>IF(ISBLANK(Y69),"",IF($P69="BRL",Y69,Y69*Macroindicadores!J$2)/1000)</f>
        <v>0.34300000000000003</v>
      </c>
      <c r="AN69" s="117">
        <f>IF(ISBLANK(Z69),"",IF($P69="BRL",Z69,Z69*Macroindicadores!K$2)/1000)</f>
        <v>0.34300000000000003</v>
      </c>
      <c r="AO69" s="117">
        <f>IF(ISBLANK(AA69),"",IF($P69="BRL",AA69,AA69*Macroindicadores!L$2)/1000)</f>
        <v>0.34300000000000003</v>
      </c>
      <c r="AP69" s="117">
        <f>IF(ISBLANK(AB69),"",IF($P69="BRL",AB69,AB69*Macroindicadores!M$2)/1000)</f>
        <v>0.34300000000000003</v>
      </c>
      <c r="AQ69" s="118">
        <f t="shared" si="51"/>
        <v>4.1160000000000005</v>
      </c>
      <c r="AR69" s="108"/>
      <c r="AS69" s="117">
        <f>IF(ISBLANK(Q69),"",IF(ISBLANK($O69),AE69,IF($J69="ANUAL",AE69*(1+Macroindicadores!B$7),IF(AND($I69="NOVO",MONTH($O69)=MONTH(AS$4)),AE69*(1+Macroindicadores!B$7),IF(AND($J69="PONTUAL",MONTH($O69)=MONTH(AS$4)),AE69*(1+Macroindicadores!B$7),IF(AND($J69="PONTUAL",MONTH($O69)&lt;MONTH(AS$4)),MIN(AR69:$AS69),IF(AND($I69="NOVO",MONTH($O69)&gt;MONTH(AS$4)),AE69,IF(MONTH($O69)&gt;MONTH(AS$4),AE69,IF(MONTH($O69)=MONTH(AS$4),AE69*(1+Macroindicadores!B$7),AR69)))))))))</f>
        <v>0.34300000000000003</v>
      </c>
      <c r="AT69" s="117">
        <f>IF(ISBLANK(R69),"",IF(ISBLANK($O69),AF69,IF($J69="ANUAL",AF69*(1+Macroindicadores!C$7),IF(AND($I69="NOVO",MONTH($O69)=MONTH(AT$4)),AF69*(1+Macroindicadores!C$7),IF(AND($J69="PONTUAL",MONTH($O69)=MONTH(AT$4)),AF69*(1+Macroindicadores!C$7),IF(AND($J69="PONTUAL",MONTH($O69)&lt;MONTH(AT$4)),MIN($AS69:AS69),IF(AND($I69="NOVO",MONTH($O69)&gt;MONTH(AT$4)),AF69,IF(MONTH($O69)&gt;MONTH(AT$4),AF69,IF(MONTH($O69)=MONTH(AT$4),AF69*(1+Macroindicadores!C$7),AS69)))))))))</f>
        <v>0.34300000000000003</v>
      </c>
      <c r="AU69" s="117">
        <f>IF(ISBLANK(S69),"",IF(ISBLANK($O69),AG69,IF($J69="ANUAL",AG69*(1+Macroindicadores!D$7),IF(AND($I69="NOVO",MONTH($O69)=MONTH(AU$4)),AG69*(1+Macroindicadores!D$7),IF(AND($J69="PONTUAL",MONTH($O69)=MONTH(AU$4)),AG69*(1+Macroindicadores!D$7),IF(AND($J69="PONTUAL",MONTH($O69)&lt;MONTH(AU$4)),MIN($AS69:AT69),IF(AND($I69="NOVO",MONTH($O69)&gt;MONTH(AU$4)),AG69,IF(MONTH($O69)&gt;MONTH(AU$4),AG69,IF(MONTH($O69)=MONTH(AU$4),AG69*(1+Macroindicadores!D$7),AT69)))))))))</f>
        <v>0.34300000000000003</v>
      </c>
      <c r="AV69" s="117">
        <f>IF(ISBLANK(T69),"",IF(ISBLANK($O69),AH69,IF($J69="ANUAL",AH69*(1+Macroindicadores!E$7),IF(AND($I69="NOVO",MONTH($O69)=MONTH(AV$4)),AH69*(1+Macroindicadores!E$7),IF(AND($J69="PONTUAL",MONTH($O69)=MONTH(AV$4)),AH69*(1+Macroindicadores!E$7),IF(AND($J69="PONTUAL",MONTH($O69)&lt;MONTH(AV$4)),MIN($AS69:AU69),IF(AND($I69="NOVO",MONTH($O69)&gt;MONTH(AV$4)),AH69,IF(MONTH($O69)&gt;MONTH(AV$4),AH69,IF(MONTH($O69)=MONTH(AV$4),AH69*(1+Macroindicadores!E$7),AU69)))))))))</f>
        <v>0.34300000000000003</v>
      </c>
      <c r="AW69" s="117">
        <f>IF(ISBLANK(U69),"",IF(ISBLANK($O69),AI69,IF($J69="ANUAL",AI69*(1+Macroindicadores!F$7),IF(AND($I69="NOVO",MONTH($O69)=MONTH(AW$4)),AI69*(1+Macroindicadores!F$7),IF(AND($J69="PONTUAL",MONTH($O69)=MONTH(AW$4)),AI69*(1+Macroindicadores!F$7),IF(AND($J69="PONTUAL",MONTH($O69)&lt;MONTH(AW$4)),MIN($AS69:AV69),IF(AND($I69="NOVO",MONTH($O69)&gt;MONTH(AW$4)),AI69,IF(MONTH($O69)&gt;MONTH(AW$4),AI69,IF(MONTH($O69)=MONTH(AW$4),AI69*(1+Macroindicadores!F$7),AV69)))))))))</f>
        <v>0.34300000000000003</v>
      </c>
      <c r="AX69" s="117">
        <f>IF(ISBLANK(V69),"",IF(ISBLANK($O69),AJ69,IF($J69="ANUAL",AJ69*(1+Macroindicadores!G$7),IF(AND($I69="NOVO",MONTH($O69)=MONTH(AX$4)),AJ69*(1+Macroindicadores!G$7),IF(AND($J69="PONTUAL",MONTH($O69)=MONTH(AX$4)),AJ69*(1+Macroindicadores!G$7),IF(AND($J69="PONTUAL",MONTH($O69)&lt;MONTH(AX$4)),MIN($AS69:AW69),IF(AND($I69="NOVO",MONTH($O69)&gt;MONTH(AX$4)),AJ69,IF(MONTH($O69)&gt;MONTH(AX$4),AJ69,IF(MONTH($O69)=MONTH(AX$4),AJ69*(1+Macroindicadores!G$7),AW69)))))))))</f>
        <v>0.34300000000000003</v>
      </c>
      <c r="AY69" s="117">
        <f>IF(ISBLANK(W69),"",IF(ISBLANK($O69),AK69,IF($J69="ANUAL",AK69*(1+Macroindicadores!H$7),IF(AND($I69="NOVO",MONTH($O69)=MONTH(AY$4)),AK69*(1+Macroindicadores!H$7),IF(AND($J69="PONTUAL",MONTH($O69)=MONTH(AY$4)),AK69*(1+Macroindicadores!H$7),IF(AND($J69="PONTUAL",MONTH($O69)&lt;MONTH(AY$4)),MIN($AS69:AX69),IF(AND($I69="NOVO",MONTH($O69)&gt;MONTH(AY$4)),AK69,IF(MONTH($O69)&gt;MONTH(AY$4),AK69,IF(MONTH($O69)=MONTH(AY$4),AK69*(1+Macroindicadores!H$7),AX69)))))))))</f>
        <v>0.34300000000000003</v>
      </c>
      <c r="AZ69" s="117">
        <f>IF(ISBLANK(X69),"",IF(ISBLANK($O69),AL69,IF($J69="ANUAL",AL69*(1+Macroindicadores!I$7),IF(AND($I69="NOVO",MONTH($O69)=MONTH(AZ$4)),AL69*(1+Macroindicadores!I$7),IF(AND($J69="PONTUAL",MONTH($O69)=MONTH(AZ$4)),AL69*(1+Macroindicadores!I$7),IF(AND($J69="PONTUAL",MONTH($O69)&lt;MONTH(AZ$4)),MIN($AS69:AY69),IF(AND($I69="NOVO",MONTH($O69)&gt;MONTH(AZ$4)),AL69,IF(MONTH($O69)&gt;MONTH(AZ$4),AL69,IF(MONTH($O69)=MONTH(AZ$4),AL69*(1+Macroindicadores!I$7),AY69)))))))))</f>
        <v>0.34300000000000003</v>
      </c>
      <c r="BA69" s="117">
        <f>IF(ISBLANK(Y69),"",IF(ISBLANK($O69),AM69,IF($J69="ANUAL",AM69*(1+Macroindicadores!J$7),IF(AND($I69="NOVO",MONTH($O69)=MONTH(BA$4)),AM69*(1+Macroindicadores!J$7),IF(AND($J69="PONTUAL",MONTH($O69)=MONTH(BA$4)),AM69*(1+Macroindicadores!J$7),IF(AND($J69="PONTUAL",MONTH($O69)&lt;MONTH(BA$4)),MIN($AS69:AZ69),IF(AND($I69="NOVO",MONTH($O69)&gt;MONTH(BA$4)),AM69,IF(MONTH($O69)&gt;MONTH(BA$4),AM69,IF(MONTH($O69)=MONTH(BA$4),AM69*(1+Macroindicadores!J$7),AZ69)))))))))</f>
        <v>0.34300000000000003</v>
      </c>
      <c r="BB69" s="117">
        <f>IF(ISBLANK(Z69),"",IF(ISBLANK($O69),AN69,IF($J69="ANUAL",AN69*(1+Macroindicadores!K$7),IF(AND($I69="NOVO",MONTH($O69)=MONTH(BB$4)),AN69*(1+Macroindicadores!K$7),IF(AND($J69="PONTUAL",MONTH($O69)=MONTH(BB$4)),AN69*(1+Macroindicadores!K$7),IF(AND($J69="PONTUAL",MONTH($O69)&lt;MONTH(BB$4)),MIN($AS69:BA69),IF(AND($I69="NOVO",MONTH($O69)&gt;MONTH(BB$4)),AN69,IF(MONTH($O69)&gt;MONTH(BB$4),AN69,IF(MONTH($O69)=MONTH(BB$4),AN69*(1+Macroindicadores!K$7),BA69)))))))))</f>
        <v>0.34300000000000003</v>
      </c>
      <c r="BC69" s="117">
        <f>IF(ISBLANK(AA69),"",IF(ISBLANK($O69),AO69,IF($J69="ANUAL",AO69*(1+Macroindicadores!L$7),IF(AND($I69="NOVO",MONTH($O69)=MONTH(BC$4)),AO69*(1+Macroindicadores!L$7),IF(AND($J69="PONTUAL",MONTH($O69)=MONTH(BC$4)),AO69*(1+Macroindicadores!L$7),IF(AND($J69="PONTUAL",MONTH($O69)&lt;MONTH(BC$4)),MIN($AS69:BB69),IF(AND($I69="NOVO",MONTH($O69)&gt;MONTH(BC$4)),AO69,IF(MONTH($O69)&gt;MONTH(BC$4),AO69,IF(MONTH($O69)=MONTH(BC$4),AO69*(1+Macroindicadores!L$7),BB69)))))))))</f>
        <v>0.34300000000000003</v>
      </c>
      <c r="BD69" s="117">
        <f>IF(ISBLANK(AB69),"",IF(ISBLANK($O69),AP69,IF($J69="ANUAL",AP69*(1+Macroindicadores!M$7),IF(AND($I69="NOVO",MONTH($O69)=MONTH(BD$4)),AP69*(1+Macroindicadores!M$7),IF(AND($J69="PONTUAL",MONTH($O69)=MONTH(BD$4)),AP69*(1+Macroindicadores!M$7),IF(AND($J69="PONTUAL",MONTH($O69)&lt;MONTH(BD$4)),MIN($AS69:BC69),IF(AND($I69="NOVO",MONTH($O69)&gt;MONTH(BD$4)),AP69,IF(MONTH($O69)&gt;MONTH(BD$4),AP69,IF(MONTH($O69)=MONTH(BD$4),AP69*(1+Macroindicadores!M$7),BC69)))))))))</f>
        <v>0.34300000000000003</v>
      </c>
      <c r="BE69" s="118">
        <f t="shared" si="50"/>
        <v>4.1160000000000005</v>
      </c>
      <c r="BF69" s="108"/>
      <c r="BG69" s="117">
        <f>IF(ISBLANK(Q69),"",AS69/Macroindicadores!B$2)</f>
        <v>5.8333333333333341E-2</v>
      </c>
      <c r="BH69" s="117">
        <f>IF(ISBLANK(R69),"",AT69/Macroindicadores!C$2)</f>
        <v>5.8333333333333341E-2</v>
      </c>
      <c r="BI69" s="117">
        <f>IF(ISBLANK(S69),"",AU69/Macroindicadores!D$2)</f>
        <v>5.8333333333333341E-2</v>
      </c>
      <c r="BJ69" s="117">
        <f>IF(ISBLANK(T69),"",AV69/Macroindicadores!E$2)</f>
        <v>5.8333333333333341E-2</v>
      </c>
      <c r="BK69" s="117">
        <f>IF(ISBLANK(U69),"",AW69/Macroindicadores!F$2)</f>
        <v>5.8333333333333341E-2</v>
      </c>
      <c r="BL69" s="117">
        <f>IF(ISBLANK(V69),"",AX69/Macroindicadores!G$2)</f>
        <v>5.8333333333333341E-2</v>
      </c>
      <c r="BM69" s="117">
        <f>IF(ISBLANK(W69),"",AY69/Macroindicadores!H$2)</f>
        <v>5.8333333333333341E-2</v>
      </c>
      <c r="BN69" s="117">
        <f>IF(ISBLANK(X69),"",AZ69/Macroindicadores!I$2)</f>
        <v>5.8333333333333341E-2</v>
      </c>
      <c r="BO69" s="117">
        <f>IF(ISBLANK(Y69),"",BA69/Macroindicadores!J$2)</f>
        <v>5.8333333333333341E-2</v>
      </c>
      <c r="BP69" s="117">
        <f>IF(ISBLANK(Z69),"",BB69/Macroindicadores!K$2)</f>
        <v>5.8333333333333341E-2</v>
      </c>
      <c r="BQ69" s="117">
        <f>IF(ISBLANK(AA69),"",BC69/Macroindicadores!L$2)</f>
        <v>5.8333333333333341E-2</v>
      </c>
      <c r="BR69" s="117">
        <f>IF(ISBLANK(AB69),"",BD69/Macroindicadores!M$2)</f>
        <v>5.8333333333333341E-2</v>
      </c>
      <c r="BS69" s="118">
        <f>IF(AND(ISBLANK($Q69),ISBLANK($R69),ISBLANK($S69),ISBLANK($T69),ISBLANK($U69),ISBLANK($V69),ISBLANK($W69),ISBLANK($X69),ISBLANK($Y69),ISBLANK($Z69),ISBLANK($AA69),ISBLANK($AB69)),"",SUM(BG69:BR69))</f>
        <v>0.70000000000000007</v>
      </c>
      <c r="BT69" s="25" t="str">
        <f>IF(ISBLANK($L69),"",_xlfn.XLOOKUP($L69,'CENTRO CUSTO'!$A:$A,'CENTRO CUSTO'!$E:$E,FALSE,0))</f>
        <v>G&amp;A BU</v>
      </c>
    </row>
    <row r="70" spans="1:72">
      <c r="A70" s="9" t="str">
        <f t="shared" si="52"/>
        <v>Budget</v>
      </c>
      <c r="B70" s="9">
        <f t="shared" si="49"/>
        <v>2026</v>
      </c>
      <c r="C70" s="111" t="str">
        <f>IF(ISBLANK($L70),"",_xlfn.XLOOKUP($L70,'CENTRO CUSTO'!$A:$A,'CENTRO CUSTO'!F:F,FALSE,0))</f>
        <v>SKM</v>
      </c>
      <c r="D70" s="111" t="str">
        <f>IF(ISBLANK($L70),"",_xlfn.XLOOKUP($L70,'CENTRO CUSTO'!$A:$A,'CENTRO CUSTO'!G:G,FALSE,0))</f>
        <v>BU-SKM</v>
      </c>
      <c r="E70" s="111" t="str">
        <f>IF(ISBLANK($L70),"",_xlfn.XLOOKUP($L70,'CENTRO CUSTO'!$A:$A,'CENTRO CUSTO'!H:H,FALSE,0))</f>
        <v>G&amp;A</v>
      </c>
      <c r="F70" s="112" t="s">
        <v>122</v>
      </c>
      <c r="G70" s="112" t="s">
        <v>123</v>
      </c>
      <c r="H70" s="112" t="s">
        <v>124</v>
      </c>
      <c r="I70" s="113" t="s">
        <v>77</v>
      </c>
      <c r="J70" s="113" t="s">
        <v>120</v>
      </c>
      <c r="K70" s="113" t="s">
        <v>121</v>
      </c>
      <c r="L70" s="113" t="s">
        <v>50</v>
      </c>
      <c r="M70" s="111" t="str">
        <f>IF(ISBLANK($L70),"",_xlfn.XLOOKUP($L70,'CENTRO CUSTO'!$A:$A,'CENTRO CUSTO'!D:D,FALSE,0))</f>
        <v>Alexandre Ayabe</v>
      </c>
      <c r="N70" s="113" t="s">
        <v>87</v>
      </c>
      <c r="O70" s="114"/>
      <c r="P70" s="113" t="s">
        <v>88</v>
      </c>
      <c r="Q70" s="115">
        <v>4500</v>
      </c>
      <c r="R70" s="115">
        <v>4500</v>
      </c>
      <c r="S70" s="115">
        <v>4500</v>
      </c>
      <c r="T70" s="115">
        <v>4500</v>
      </c>
      <c r="U70" s="115">
        <v>4500</v>
      </c>
      <c r="V70" s="115">
        <v>4500</v>
      </c>
      <c r="W70" s="115">
        <v>4500</v>
      </c>
      <c r="X70" s="115">
        <v>4500</v>
      </c>
      <c r="Y70" s="115">
        <v>4500</v>
      </c>
      <c r="Z70" s="115">
        <v>5000</v>
      </c>
      <c r="AA70" s="115">
        <v>5000</v>
      </c>
      <c r="AB70" s="115">
        <v>5000</v>
      </c>
      <c r="AC70" s="116">
        <f>IF(AND(ISBLANK($Q70),ISBLANK($R70),ISBLANK($S70),ISBLANK($T70),ISBLANK($U70),ISBLANK($V70),ISBLANK($W70),ISBLANK($X70),ISBLANK($Y70),ISBLANK($Z70),ISBLANK($AA70),ISBLANK($AB70)),"",SUM(Q70:AB70))</f>
        <v>55500</v>
      </c>
      <c r="AD70" s="108"/>
      <c r="AE70" s="117">
        <f>IF(ISBLANK(Q70),"",IF($P70="BRL",Q70,Q70*Macroindicadores!B$2)/1000)</f>
        <v>26.46</v>
      </c>
      <c r="AF70" s="117">
        <f>IF(ISBLANK(R70),"",IF($P70="BRL",R70,R70*Macroindicadores!C$2)/1000)</f>
        <v>26.46</v>
      </c>
      <c r="AG70" s="117">
        <f>IF(ISBLANK(S70),"",IF($P70="BRL",S70,S70*Macroindicadores!D$2)/1000)</f>
        <v>26.46</v>
      </c>
      <c r="AH70" s="117">
        <f>IF(ISBLANK(T70),"",IF($P70="BRL",T70,T70*Macroindicadores!E$2)/1000)</f>
        <v>26.46</v>
      </c>
      <c r="AI70" s="117">
        <f>IF(ISBLANK(U70),"",IF($P70="BRL",U70,U70*Macroindicadores!F$2)/1000)</f>
        <v>26.46</v>
      </c>
      <c r="AJ70" s="117">
        <f>IF(ISBLANK(V70),"",IF($P70="BRL",V70,V70*Macroindicadores!G$2)/1000)</f>
        <v>26.46</v>
      </c>
      <c r="AK70" s="117">
        <f>IF(ISBLANK(W70),"",IF($P70="BRL",W70,W70*Macroindicadores!H$2)/1000)</f>
        <v>26.46</v>
      </c>
      <c r="AL70" s="117">
        <f>IF(ISBLANK(X70),"",IF($P70="BRL",X70,X70*Macroindicadores!I$2)/1000)</f>
        <v>26.46</v>
      </c>
      <c r="AM70" s="117">
        <f>IF(ISBLANK(Y70),"",IF($P70="BRL",Y70,Y70*Macroindicadores!J$2)/1000)</f>
        <v>26.46</v>
      </c>
      <c r="AN70" s="117">
        <f>IF(ISBLANK(Z70),"",IF($P70="BRL",Z70,Z70*Macroindicadores!K$2)/1000)</f>
        <v>29.4</v>
      </c>
      <c r="AO70" s="117">
        <f>IF(ISBLANK(AA70),"",IF($P70="BRL",AA70,AA70*Macroindicadores!L$2)/1000)</f>
        <v>29.4</v>
      </c>
      <c r="AP70" s="117">
        <f>IF(ISBLANK(AB70),"",IF($P70="BRL",AB70,AB70*Macroindicadores!M$2)/1000)</f>
        <v>29.4</v>
      </c>
      <c r="AQ70" s="118">
        <f t="shared" si="51"/>
        <v>326.33999999999997</v>
      </c>
      <c r="AR70" s="108"/>
      <c r="AS70" s="117">
        <f>IF(ISBLANK(Q70),"",IF(ISBLANK($O70),AE70,IF($J70="ANUAL",AE70*(1+Macroindicadores!B$7),IF(AND($I70="NOVO",MONTH($O70)=MONTH(AS$4)),AE70*(1+Macroindicadores!B$7),IF(AND($J70="PONTUAL",MONTH($O70)=MONTH(AS$4)),AE70*(1+Macroindicadores!B$7),IF(AND($J70="PONTUAL",MONTH($O70)&lt;MONTH(AS$4)),MIN(AR70:$AS70),IF(AND($I70="NOVO",MONTH($O70)&gt;MONTH(AS$4)),AE70,IF(MONTH($O70)&gt;MONTH(AS$4),AE70,IF(MONTH($O70)=MONTH(AS$4),AE70*(1+Macroindicadores!B$7),AR70)))))))))</f>
        <v>26.46</v>
      </c>
      <c r="AT70" s="117">
        <f>IF(ISBLANK(R70),"",IF(ISBLANK($O70),AF70,IF($J70="ANUAL",AF70*(1+Macroindicadores!C$7),IF(AND($I70="NOVO",MONTH($O70)=MONTH(AT$4)),AF70*(1+Macroindicadores!C$7),IF(AND($J70="PONTUAL",MONTH($O70)=MONTH(AT$4)),AF70*(1+Macroindicadores!C$7),IF(AND($J70="PONTUAL",MONTH($O70)&lt;MONTH(AT$4)),MIN($AS70:AS70),IF(AND($I70="NOVO",MONTH($O70)&gt;MONTH(AT$4)),AF70,IF(MONTH($O70)&gt;MONTH(AT$4),AF70,IF(MONTH($O70)=MONTH(AT$4),AF70*(1+Macroindicadores!C$7),AS70)))))))))</f>
        <v>26.46</v>
      </c>
      <c r="AU70" s="117">
        <f>IF(ISBLANK(S70),"",IF(ISBLANK($O70),AG70,IF($J70="ANUAL",AG70*(1+Macroindicadores!D$7),IF(AND($I70="NOVO",MONTH($O70)=MONTH(AU$4)),AG70*(1+Macroindicadores!D$7),IF(AND($J70="PONTUAL",MONTH($O70)=MONTH(AU$4)),AG70*(1+Macroindicadores!D$7),IF(AND($J70="PONTUAL",MONTH($O70)&lt;MONTH(AU$4)),MIN($AS70:AT70),IF(AND($I70="NOVO",MONTH($O70)&gt;MONTH(AU$4)),AG70,IF(MONTH($O70)&gt;MONTH(AU$4),AG70,IF(MONTH($O70)=MONTH(AU$4),AG70*(1+Macroindicadores!D$7),AT70)))))))))</f>
        <v>26.46</v>
      </c>
      <c r="AV70" s="117">
        <f>IF(ISBLANK(T70),"",IF(ISBLANK($O70),AH70,IF($J70="ANUAL",AH70*(1+Macroindicadores!E$7),IF(AND($I70="NOVO",MONTH($O70)=MONTH(AV$4)),AH70*(1+Macroindicadores!E$7),IF(AND($J70="PONTUAL",MONTH($O70)=MONTH(AV$4)),AH70*(1+Macroindicadores!E$7),IF(AND($J70="PONTUAL",MONTH($O70)&lt;MONTH(AV$4)),MIN($AS70:AU70),IF(AND($I70="NOVO",MONTH($O70)&gt;MONTH(AV$4)),AH70,IF(MONTH($O70)&gt;MONTH(AV$4),AH70,IF(MONTH($O70)=MONTH(AV$4),AH70*(1+Macroindicadores!E$7),AU70)))))))))</f>
        <v>26.46</v>
      </c>
      <c r="AW70" s="117">
        <f>IF(ISBLANK(U70),"",IF(ISBLANK($O70),AI70,IF($J70="ANUAL",AI70*(1+Macroindicadores!F$7),IF(AND($I70="NOVO",MONTH($O70)=MONTH(AW$4)),AI70*(1+Macroindicadores!F$7),IF(AND($J70="PONTUAL",MONTH($O70)=MONTH(AW$4)),AI70*(1+Macroindicadores!F$7),IF(AND($J70="PONTUAL",MONTH($O70)&lt;MONTH(AW$4)),MIN($AS70:AV70),IF(AND($I70="NOVO",MONTH($O70)&gt;MONTH(AW$4)),AI70,IF(MONTH($O70)&gt;MONTH(AW$4),AI70,IF(MONTH($O70)=MONTH(AW$4),AI70*(1+Macroindicadores!F$7),AV70)))))))))</f>
        <v>26.46</v>
      </c>
      <c r="AX70" s="117">
        <f>IF(ISBLANK(V70),"",IF(ISBLANK($O70),AJ70,IF($J70="ANUAL",AJ70*(1+Macroindicadores!G$7),IF(AND($I70="NOVO",MONTH($O70)=MONTH(AX$4)),AJ70*(1+Macroindicadores!G$7),IF(AND($J70="PONTUAL",MONTH($O70)=MONTH(AX$4)),AJ70*(1+Macroindicadores!G$7),IF(AND($J70="PONTUAL",MONTH($O70)&lt;MONTH(AX$4)),MIN($AS70:AW70),IF(AND($I70="NOVO",MONTH($O70)&gt;MONTH(AX$4)),AJ70,IF(MONTH($O70)&gt;MONTH(AX$4),AJ70,IF(MONTH($O70)=MONTH(AX$4),AJ70*(1+Macroindicadores!G$7),AW70)))))))))</f>
        <v>26.46</v>
      </c>
      <c r="AY70" s="117">
        <f>IF(ISBLANK(W70),"",IF(ISBLANK($O70),AK70,IF($J70="ANUAL",AK70*(1+Macroindicadores!H$7),IF(AND($I70="NOVO",MONTH($O70)=MONTH(AY$4)),AK70*(1+Macroindicadores!H$7),IF(AND($J70="PONTUAL",MONTH($O70)=MONTH(AY$4)),AK70*(1+Macroindicadores!H$7),IF(AND($J70="PONTUAL",MONTH($O70)&lt;MONTH(AY$4)),MIN($AS70:AX70),IF(AND($I70="NOVO",MONTH($O70)&gt;MONTH(AY$4)),AK70,IF(MONTH($O70)&gt;MONTH(AY$4),AK70,IF(MONTH($O70)=MONTH(AY$4),AK70*(1+Macroindicadores!H$7),AX70)))))))))</f>
        <v>26.46</v>
      </c>
      <c r="AZ70" s="117">
        <f>IF(ISBLANK(X70),"",IF(ISBLANK($O70),AL70,IF($J70="ANUAL",AL70*(1+Macroindicadores!I$7),IF(AND($I70="NOVO",MONTH($O70)=MONTH(AZ$4)),AL70*(1+Macroindicadores!I$7),IF(AND($J70="PONTUAL",MONTH($O70)=MONTH(AZ$4)),AL70*(1+Macroindicadores!I$7),IF(AND($J70="PONTUAL",MONTH($O70)&lt;MONTH(AZ$4)),MIN($AS70:AY70),IF(AND($I70="NOVO",MONTH($O70)&gt;MONTH(AZ$4)),AL70,IF(MONTH($O70)&gt;MONTH(AZ$4),AL70,IF(MONTH($O70)=MONTH(AZ$4),AL70*(1+Macroindicadores!I$7),AY70)))))))))</f>
        <v>26.46</v>
      </c>
      <c r="BA70" s="117">
        <f>IF(ISBLANK(Y70),"",IF(ISBLANK($O70),AM70,IF($J70="ANUAL",AM70*(1+Macroindicadores!J$7),IF(AND($I70="NOVO",MONTH($O70)=MONTH(BA$4)),AM70*(1+Macroindicadores!J$7),IF(AND($J70="PONTUAL",MONTH($O70)=MONTH(BA$4)),AM70*(1+Macroindicadores!J$7),IF(AND($J70="PONTUAL",MONTH($O70)&lt;MONTH(BA$4)),MIN($AS70:AZ70),IF(AND($I70="NOVO",MONTH($O70)&gt;MONTH(BA$4)),AM70,IF(MONTH($O70)&gt;MONTH(BA$4),AM70,IF(MONTH($O70)=MONTH(BA$4),AM70*(1+Macroindicadores!J$7),AZ70)))))))))</f>
        <v>26.46</v>
      </c>
      <c r="BB70" s="117">
        <f>IF(ISBLANK(Z70),"",IF(ISBLANK($O70),AN70,IF($J70="ANUAL",AN70*(1+Macroindicadores!K$7),IF(AND($I70="NOVO",MONTH($O70)=MONTH(BB$4)),AN70*(1+Macroindicadores!K$7),IF(AND($J70="PONTUAL",MONTH($O70)=MONTH(BB$4)),AN70*(1+Macroindicadores!K$7),IF(AND($J70="PONTUAL",MONTH($O70)&lt;MONTH(BB$4)),MIN($AS70:BA70),IF(AND($I70="NOVO",MONTH($O70)&gt;MONTH(BB$4)),AN70,IF(MONTH($O70)&gt;MONTH(BB$4),AN70,IF(MONTH($O70)=MONTH(BB$4),AN70*(1+Macroindicadores!K$7),BA70)))))))))</f>
        <v>29.4</v>
      </c>
      <c r="BC70" s="117">
        <f>IF(ISBLANK(AA70),"",IF(ISBLANK($O70),AO70,IF($J70="ANUAL",AO70*(1+Macroindicadores!L$7),IF(AND($I70="NOVO",MONTH($O70)=MONTH(BC$4)),AO70*(1+Macroindicadores!L$7),IF(AND($J70="PONTUAL",MONTH($O70)=MONTH(BC$4)),AO70*(1+Macroindicadores!L$7),IF(AND($J70="PONTUAL",MONTH($O70)&lt;MONTH(BC$4)),MIN($AS70:BB70),IF(AND($I70="NOVO",MONTH($O70)&gt;MONTH(BC$4)),AO70,IF(MONTH($O70)&gt;MONTH(BC$4),AO70,IF(MONTH($O70)=MONTH(BC$4),AO70*(1+Macroindicadores!L$7),BB70)))))))))</f>
        <v>29.4</v>
      </c>
      <c r="BD70" s="117">
        <f>IF(ISBLANK(AB70),"",IF(ISBLANK($O70),AP70,IF($J70="ANUAL",AP70*(1+Macroindicadores!M$7),IF(AND($I70="NOVO",MONTH($O70)=MONTH(BD$4)),AP70*(1+Macroindicadores!M$7),IF(AND($J70="PONTUAL",MONTH($O70)=MONTH(BD$4)),AP70*(1+Macroindicadores!M$7),IF(AND($J70="PONTUAL",MONTH($O70)&lt;MONTH(BD$4)),MIN($AS70:BC70),IF(AND($I70="NOVO",MONTH($O70)&gt;MONTH(BD$4)),AP70,IF(MONTH($O70)&gt;MONTH(BD$4),AP70,IF(MONTH($O70)=MONTH(BD$4),AP70*(1+Macroindicadores!M$7),BC70)))))))))</f>
        <v>29.4</v>
      </c>
      <c r="BE70" s="118">
        <f t="shared" si="50"/>
        <v>326.33999999999997</v>
      </c>
      <c r="BF70" s="108"/>
      <c r="BG70" s="117">
        <f>IF(ISBLANK(Q70),"",AS70/Macroindicadores!B$2)</f>
        <v>4.5</v>
      </c>
      <c r="BH70" s="117">
        <f>IF(ISBLANK(R70),"",AT70/Macroindicadores!C$2)</f>
        <v>4.5</v>
      </c>
      <c r="BI70" s="117">
        <f>IF(ISBLANK(S70),"",AU70/Macroindicadores!D$2)</f>
        <v>4.5</v>
      </c>
      <c r="BJ70" s="117">
        <f>IF(ISBLANK(T70),"",AV70/Macroindicadores!E$2)</f>
        <v>4.5</v>
      </c>
      <c r="BK70" s="117">
        <f>IF(ISBLANK(U70),"",AW70/Macroindicadores!F$2)</f>
        <v>4.5</v>
      </c>
      <c r="BL70" s="117">
        <f>IF(ISBLANK(V70),"",AX70/Macroindicadores!G$2)</f>
        <v>4.5</v>
      </c>
      <c r="BM70" s="117">
        <f>IF(ISBLANK(W70),"",AY70/Macroindicadores!H$2)</f>
        <v>4.5</v>
      </c>
      <c r="BN70" s="117">
        <f>IF(ISBLANK(X70),"",AZ70/Macroindicadores!I$2)</f>
        <v>4.5</v>
      </c>
      <c r="BO70" s="117">
        <f>IF(ISBLANK(Y70),"",BA70/Macroindicadores!J$2)</f>
        <v>4.5</v>
      </c>
      <c r="BP70" s="117">
        <f>IF(ISBLANK(Z70),"",BB70/Macroindicadores!K$2)</f>
        <v>5</v>
      </c>
      <c r="BQ70" s="117">
        <f>IF(ISBLANK(AA70),"",BC70/Macroindicadores!L$2)</f>
        <v>5</v>
      </c>
      <c r="BR70" s="117">
        <f>IF(ISBLANK(AB70),"",BD70/Macroindicadores!M$2)</f>
        <v>5</v>
      </c>
      <c r="BS70" s="118">
        <f>IF(AND(ISBLANK($Q70),ISBLANK($R70),ISBLANK($S70),ISBLANK($T70),ISBLANK($U70),ISBLANK($V70),ISBLANK($W70),ISBLANK($X70),ISBLANK($Y70),ISBLANK($Z70),ISBLANK($AA70),ISBLANK($AB70)),"",SUM(BG70:BR70))</f>
        <v>55.5</v>
      </c>
      <c r="BT70" s="25" t="str">
        <f>IF(ISBLANK($L70),"",_xlfn.XLOOKUP($L70,'CENTRO CUSTO'!$A:$A,'CENTRO CUSTO'!$E:$E,FALSE,0))</f>
        <v>G&amp;A BU</v>
      </c>
    </row>
    <row r="71" spans="1:72">
      <c r="A71" s="9" t="str">
        <f t="shared" si="52"/>
        <v>Budget</v>
      </c>
      <c r="B71" s="9">
        <f t="shared" si="49"/>
        <v>2026</v>
      </c>
      <c r="C71" s="111" t="str">
        <f>IF(ISBLANK($L71),"",_xlfn.XLOOKUP($L71,'CENTRO CUSTO'!$A:$A,'CENTRO CUSTO'!F:F,FALSE,0))</f>
        <v>Transporte</v>
      </c>
      <c r="D71" s="111" t="str">
        <f>IF(ISBLANK($L71),"",_xlfn.XLOOKUP($L71,'CENTRO CUSTO'!$A:$A,'CENTRO CUSTO'!G:G,FALSE,0))</f>
        <v>Transportes</v>
      </c>
      <c r="E71" s="111" t="str">
        <f>IF(ISBLANK($L71),"",_xlfn.XLOOKUP($L71,'CENTRO CUSTO'!$A:$A,'CENTRO CUSTO'!H:H,FALSE,0))</f>
        <v>Transportes</v>
      </c>
      <c r="F71" s="112" t="s">
        <v>125</v>
      </c>
      <c r="G71" s="112" t="s">
        <v>126</v>
      </c>
      <c r="H71" s="112" t="s">
        <v>127</v>
      </c>
      <c r="I71" s="113" t="s">
        <v>77</v>
      </c>
      <c r="J71" s="113" t="s">
        <v>78</v>
      </c>
      <c r="K71" s="113" t="s">
        <v>79</v>
      </c>
      <c r="L71" s="113" t="s">
        <v>111</v>
      </c>
      <c r="M71" s="111" t="str">
        <f>IF(ISBLANK($L71),"",_xlfn.XLOOKUP($L71,'CENTRO CUSTO'!$A:$A,'CENTRO CUSTO'!D:D,FALSE,0))</f>
        <v>Alexandre Ayabe</v>
      </c>
      <c r="N71" s="113" t="s">
        <v>87</v>
      </c>
      <c r="O71" s="114"/>
      <c r="P71" s="113" t="s">
        <v>88</v>
      </c>
      <c r="Q71" s="115">
        <f>5760/12</f>
        <v>480</v>
      </c>
      <c r="R71" s="115">
        <f t="shared" ref="R71:AB71" si="55">5760/12</f>
        <v>480</v>
      </c>
      <c r="S71" s="115">
        <f t="shared" si="55"/>
        <v>480</v>
      </c>
      <c r="T71" s="115">
        <f t="shared" si="55"/>
        <v>480</v>
      </c>
      <c r="U71" s="115">
        <f t="shared" si="55"/>
        <v>480</v>
      </c>
      <c r="V71" s="115">
        <f t="shared" si="55"/>
        <v>480</v>
      </c>
      <c r="W71" s="115">
        <f t="shared" si="55"/>
        <v>480</v>
      </c>
      <c r="X71" s="115">
        <f t="shared" si="55"/>
        <v>480</v>
      </c>
      <c r="Y71" s="115">
        <f t="shared" si="55"/>
        <v>480</v>
      </c>
      <c r="Z71" s="115">
        <f t="shared" si="55"/>
        <v>480</v>
      </c>
      <c r="AA71" s="115">
        <f t="shared" si="55"/>
        <v>480</v>
      </c>
      <c r="AB71" s="115">
        <f t="shared" si="55"/>
        <v>480</v>
      </c>
      <c r="AC71" s="116">
        <f t="shared" si="53"/>
        <v>5760</v>
      </c>
      <c r="AD71" s="108"/>
      <c r="AE71" s="117">
        <f>IF(ISBLANK(Q71),"",IF($P71="BRL",Q71,Q71*Macroindicadores!B$2)/1000)</f>
        <v>2.8224</v>
      </c>
      <c r="AF71" s="117">
        <f>IF(ISBLANK(R71),"",IF($P71="BRL",R71,R71*Macroindicadores!C$2)/1000)</f>
        <v>2.8224</v>
      </c>
      <c r="AG71" s="117">
        <f>IF(ISBLANK(S71),"",IF($P71="BRL",S71,S71*Macroindicadores!D$2)/1000)</f>
        <v>2.8224</v>
      </c>
      <c r="AH71" s="117">
        <f>IF(ISBLANK(T71),"",IF($P71="BRL",T71,T71*Macroindicadores!E$2)/1000)</f>
        <v>2.8224</v>
      </c>
      <c r="AI71" s="117">
        <f>IF(ISBLANK(U71),"",IF($P71="BRL",U71,U71*Macroindicadores!F$2)/1000)</f>
        <v>2.8224</v>
      </c>
      <c r="AJ71" s="117">
        <f>IF(ISBLANK(V71),"",IF($P71="BRL",V71,V71*Macroindicadores!G$2)/1000)</f>
        <v>2.8224</v>
      </c>
      <c r="AK71" s="117">
        <f>IF(ISBLANK(W71),"",IF($P71="BRL",W71,W71*Macroindicadores!H$2)/1000)</f>
        <v>2.8224</v>
      </c>
      <c r="AL71" s="117">
        <f>IF(ISBLANK(X71),"",IF($P71="BRL",X71,X71*Macroindicadores!I$2)/1000)</f>
        <v>2.8224</v>
      </c>
      <c r="AM71" s="117">
        <f>IF(ISBLANK(Y71),"",IF($P71="BRL",Y71,Y71*Macroindicadores!J$2)/1000)</f>
        <v>2.8224</v>
      </c>
      <c r="AN71" s="117">
        <f>IF(ISBLANK(Z71),"",IF($P71="BRL",Z71,Z71*Macroindicadores!K$2)/1000)</f>
        <v>2.8224</v>
      </c>
      <c r="AO71" s="117">
        <f>IF(ISBLANK(AA71),"",IF($P71="BRL",AA71,AA71*Macroindicadores!L$2)/1000)</f>
        <v>2.8224</v>
      </c>
      <c r="AP71" s="117">
        <f>IF(ISBLANK(AB71),"",IF($P71="BRL",AB71,AB71*Macroindicadores!M$2)/1000)</f>
        <v>2.8224</v>
      </c>
      <c r="AQ71" s="118">
        <f t="shared" si="51"/>
        <v>33.868800000000007</v>
      </c>
      <c r="AR71" s="108"/>
      <c r="AS71" s="117">
        <f>IF(ISBLANK(Q71),"",IF(ISBLANK($O71),AE71,IF($J71="ANUAL",AE71*(1+Macroindicadores!B$7),IF(AND($I71="NOVO",MONTH($O71)=MONTH(AS$4)),AE71*(1+Macroindicadores!B$7),IF(AND($J71="PONTUAL",MONTH($O71)=MONTH(AS$4)),AE71*(1+Macroindicadores!B$7),IF(AND($J71="PONTUAL",MONTH($O71)&lt;MONTH(AS$4)),MIN(AR71:$AS71),IF(AND($I71="NOVO",MONTH($O71)&gt;MONTH(AS$4)),AE71,IF(MONTH($O71)&gt;MONTH(AS$4),AE71,IF(MONTH($O71)=MONTH(AS$4),AE71*(1+Macroindicadores!B$7),AR71)))))))))</f>
        <v>2.8224</v>
      </c>
      <c r="AT71" s="117">
        <f>IF(ISBLANK(R71),"",IF(ISBLANK($O71),AF71,IF($J71="ANUAL",AF71*(1+Macroindicadores!C$7),IF(AND($I71="NOVO",MONTH($O71)=MONTH(AT$4)),AF71*(1+Macroindicadores!C$7),IF(AND($J71="PONTUAL",MONTH($O71)=MONTH(AT$4)),AF71*(1+Macroindicadores!C$7),IF(AND($J71="PONTUAL",MONTH($O71)&lt;MONTH(AT$4)),MIN($AS71:AS71),IF(AND($I71="NOVO",MONTH($O71)&gt;MONTH(AT$4)),AF71,IF(MONTH($O71)&gt;MONTH(AT$4),AF71,IF(MONTH($O71)=MONTH(AT$4),AF71*(1+Macroindicadores!C$7),AS71)))))))))</f>
        <v>2.8224</v>
      </c>
      <c r="AU71" s="117">
        <f>IF(ISBLANK(S71),"",IF(ISBLANK($O71),AG71,IF($J71="ANUAL",AG71*(1+Macroindicadores!D$7),IF(AND($I71="NOVO",MONTH($O71)=MONTH(AU$4)),AG71*(1+Macroindicadores!D$7),IF(AND($J71="PONTUAL",MONTH($O71)=MONTH(AU$4)),AG71*(1+Macroindicadores!D$7),IF(AND($J71="PONTUAL",MONTH($O71)&lt;MONTH(AU$4)),MIN($AS71:AT71),IF(AND($I71="NOVO",MONTH($O71)&gt;MONTH(AU$4)),AG71,IF(MONTH($O71)&gt;MONTH(AU$4),AG71,IF(MONTH($O71)=MONTH(AU$4),AG71*(1+Macroindicadores!D$7),AT71)))))))))</f>
        <v>2.8224</v>
      </c>
      <c r="AV71" s="117">
        <f>IF(ISBLANK(T71),"",IF(ISBLANK($O71),AH71,IF($J71="ANUAL",AH71*(1+Macroindicadores!E$7),IF(AND($I71="NOVO",MONTH($O71)=MONTH(AV$4)),AH71*(1+Macroindicadores!E$7),IF(AND($J71="PONTUAL",MONTH($O71)=MONTH(AV$4)),AH71*(1+Macroindicadores!E$7),IF(AND($J71="PONTUAL",MONTH($O71)&lt;MONTH(AV$4)),MIN($AS71:AU71),IF(AND($I71="NOVO",MONTH($O71)&gt;MONTH(AV$4)),AH71,IF(MONTH($O71)&gt;MONTH(AV$4),AH71,IF(MONTH($O71)=MONTH(AV$4),AH71*(1+Macroindicadores!E$7),AU71)))))))))</f>
        <v>2.8224</v>
      </c>
      <c r="AW71" s="117">
        <f>IF(ISBLANK(U71),"",IF(ISBLANK($O71),AI71,IF($J71="ANUAL",AI71*(1+Macroindicadores!F$7),IF(AND($I71="NOVO",MONTH($O71)=MONTH(AW$4)),AI71*(1+Macroindicadores!F$7),IF(AND($J71="PONTUAL",MONTH($O71)=MONTH(AW$4)),AI71*(1+Macroindicadores!F$7),IF(AND($J71="PONTUAL",MONTH($O71)&lt;MONTH(AW$4)),MIN($AS71:AV71),IF(AND($I71="NOVO",MONTH($O71)&gt;MONTH(AW$4)),AI71,IF(MONTH($O71)&gt;MONTH(AW$4),AI71,IF(MONTH($O71)=MONTH(AW$4),AI71*(1+Macroindicadores!F$7),AV71)))))))))</f>
        <v>2.8224</v>
      </c>
      <c r="AX71" s="117">
        <f>IF(ISBLANK(V71),"",IF(ISBLANK($O71),AJ71,IF($J71="ANUAL",AJ71*(1+Macroindicadores!G$7),IF(AND($I71="NOVO",MONTH($O71)=MONTH(AX$4)),AJ71*(1+Macroindicadores!G$7),IF(AND($J71="PONTUAL",MONTH($O71)=MONTH(AX$4)),AJ71*(1+Macroindicadores!G$7),IF(AND($J71="PONTUAL",MONTH($O71)&lt;MONTH(AX$4)),MIN($AS71:AW71),IF(AND($I71="NOVO",MONTH($O71)&gt;MONTH(AX$4)),AJ71,IF(MONTH($O71)&gt;MONTH(AX$4),AJ71,IF(MONTH($O71)=MONTH(AX$4),AJ71*(1+Macroindicadores!G$7),AW71)))))))))</f>
        <v>2.8224</v>
      </c>
      <c r="AY71" s="117">
        <f>IF(ISBLANK(W71),"",IF(ISBLANK($O71),AK71,IF($J71="ANUAL",AK71*(1+Macroindicadores!H$7),IF(AND($I71="NOVO",MONTH($O71)=MONTH(AY$4)),AK71*(1+Macroindicadores!H$7),IF(AND($J71="PONTUAL",MONTH($O71)=MONTH(AY$4)),AK71*(1+Macroindicadores!H$7),IF(AND($J71="PONTUAL",MONTH($O71)&lt;MONTH(AY$4)),MIN($AS71:AX71),IF(AND($I71="NOVO",MONTH($O71)&gt;MONTH(AY$4)),AK71,IF(MONTH($O71)&gt;MONTH(AY$4),AK71,IF(MONTH($O71)=MONTH(AY$4),AK71*(1+Macroindicadores!H$7),AX71)))))))))</f>
        <v>2.8224</v>
      </c>
      <c r="AZ71" s="117">
        <f>IF(ISBLANK(X71),"",IF(ISBLANK($O71),AL71,IF($J71="ANUAL",AL71*(1+Macroindicadores!I$7),IF(AND($I71="NOVO",MONTH($O71)=MONTH(AZ$4)),AL71*(1+Macroindicadores!I$7),IF(AND($J71="PONTUAL",MONTH($O71)=MONTH(AZ$4)),AL71*(1+Macroindicadores!I$7),IF(AND($J71="PONTUAL",MONTH($O71)&lt;MONTH(AZ$4)),MIN($AS71:AY71),IF(AND($I71="NOVO",MONTH($O71)&gt;MONTH(AZ$4)),AL71,IF(MONTH($O71)&gt;MONTH(AZ$4),AL71,IF(MONTH($O71)=MONTH(AZ$4),AL71*(1+Macroindicadores!I$7),AY71)))))))))</f>
        <v>2.8224</v>
      </c>
      <c r="BA71" s="117">
        <f>IF(ISBLANK(Y71),"",IF(ISBLANK($O71),AM71,IF($J71="ANUAL",AM71*(1+Macroindicadores!J$7),IF(AND($I71="NOVO",MONTH($O71)=MONTH(BA$4)),AM71*(1+Macroindicadores!J$7),IF(AND($J71="PONTUAL",MONTH($O71)=MONTH(BA$4)),AM71*(1+Macroindicadores!J$7),IF(AND($J71="PONTUAL",MONTH($O71)&lt;MONTH(BA$4)),MIN($AS71:AZ71),IF(AND($I71="NOVO",MONTH($O71)&gt;MONTH(BA$4)),AM71,IF(MONTH($O71)&gt;MONTH(BA$4),AM71,IF(MONTH($O71)=MONTH(BA$4),AM71*(1+Macroindicadores!J$7),AZ71)))))))))</f>
        <v>2.8224</v>
      </c>
      <c r="BB71" s="117">
        <f>IF(ISBLANK(Z71),"",IF(ISBLANK($O71),AN71,IF($J71="ANUAL",AN71*(1+Macroindicadores!K$7),IF(AND($I71="NOVO",MONTH($O71)=MONTH(BB$4)),AN71*(1+Macroindicadores!K$7),IF(AND($J71="PONTUAL",MONTH($O71)=MONTH(BB$4)),AN71*(1+Macroindicadores!K$7),IF(AND($J71="PONTUAL",MONTH($O71)&lt;MONTH(BB$4)),MIN($AS71:BA71),IF(AND($I71="NOVO",MONTH($O71)&gt;MONTH(BB$4)),AN71,IF(MONTH($O71)&gt;MONTH(BB$4),AN71,IF(MONTH($O71)=MONTH(BB$4),AN71*(1+Macroindicadores!K$7),BA71)))))))))</f>
        <v>2.8224</v>
      </c>
      <c r="BC71" s="117">
        <f>IF(ISBLANK(AA71),"",IF(ISBLANK($O71),AO71,IF($J71="ANUAL",AO71*(1+Macroindicadores!L$7),IF(AND($I71="NOVO",MONTH($O71)=MONTH(BC$4)),AO71*(1+Macroindicadores!L$7),IF(AND($J71="PONTUAL",MONTH($O71)=MONTH(BC$4)),AO71*(1+Macroindicadores!L$7),IF(AND($J71="PONTUAL",MONTH($O71)&lt;MONTH(BC$4)),MIN($AS71:BB71),IF(AND($I71="NOVO",MONTH($O71)&gt;MONTH(BC$4)),AO71,IF(MONTH($O71)&gt;MONTH(BC$4),AO71,IF(MONTH($O71)=MONTH(BC$4),AO71*(1+Macroindicadores!L$7),BB71)))))))))</f>
        <v>2.8224</v>
      </c>
      <c r="BD71" s="117">
        <f>IF(ISBLANK(AB71),"",IF(ISBLANK($O71),AP71,IF($J71="ANUAL",AP71*(1+Macroindicadores!M$7),IF(AND($I71="NOVO",MONTH($O71)=MONTH(BD$4)),AP71*(1+Macroindicadores!M$7),IF(AND($J71="PONTUAL",MONTH($O71)=MONTH(BD$4)),AP71*(1+Macroindicadores!M$7),IF(AND($J71="PONTUAL",MONTH($O71)&lt;MONTH(BD$4)),MIN($AS71:BC71),IF(AND($I71="NOVO",MONTH($O71)&gt;MONTH(BD$4)),AP71,IF(MONTH($O71)&gt;MONTH(BD$4),AP71,IF(MONTH($O71)=MONTH(BD$4),AP71*(1+Macroindicadores!M$7),BC71)))))))))</f>
        <v>2.8224</v>
      </c>
      <c r="BE71" s="118">
        <f t="shared" si="50"/>
        <v>33.868800000000007</v>
      </c>
      <c r="BF71" s="108"/>
      <c r="BG71" s="117">
        <f>IF(ISBLANK(Q71),"",AS71/Macroindicadores!B$2)</f>
        <v>0.48000000000000004</v>
      </c>
      <c r="BH71" s="117">
        <f>IF(ISBLANK(R71),"",AT71/Macroindicadores!C$2)</f>
        <v>0.48000000000000004</v>
      </c>
      <c r="BI71" s="117">
        <f>IF(ISBLANK(S71),"",AU71/Macroindicadores!D$2)</f>
        <v>0.48000000000000004</v>
      </c>
      <c r="BJ71" s="117">
        <f>IF(ISBLANK(T71),"",AV71/Macroindicadores!E$2)</f>
        <v>0.48000000000000004</v>
      </c>
      <c r="BK71" s="117">
        <f>IF(ISBLANK(U71),"",AW71/Macroindicadores!F$2)</f>
        <v>0.48000000000000004</v>
      </c>
      <c r="BL71" s="117">
        <f>IF(ISBLANK(V71),"",AX71/Macroindicadores!G$2)</f>
        <v>0.48000000000000004</v>
      </c>
      <c r="BM71" s="117">
        <f>IF(ISBLANK(W71),"",AY71/Macroindicadores!H$2)</f>
        <v>0.48000000000000004</v>
      </c>
      <c r="BN71" s="117">
        <f>IF(ISBLANK(X71),"",AZ71/Macroindicadores!I$2)</f>
        <v>0.48000000000000004</v>
      </c>
      <c r="BO71" s="117">
        <f>IF(ISBLANK(Y71),"",BA71/Macroindicadores!J$2)</f>
        <v>0.48000000000000004</v>
      </c>
      <c r="BP71" s="117">
        <f>IF(ISBLANK(Z71),"",BB71/Macroindicadores!K$2)</f>
        <v>0.48000000000000004</v>
      </c>
      <c r="BQ71" s="117">
        <f>IF(ISBLANK(AA71),"",BC71/Macroindicadores!L$2)</f>
        <v>0.48000000000000004</v>
      </c>
      <c r="BR71" s="117">
        <f>IF(ISBLANK(AB71),"",BD71/Macroindicadores!M$2)</f>
        <v>0.48000000000000004</v>
      </c>
      <c r="BS71" s="118">
        <f>IF(AND(ISBLANK($Q71),ISBLANK($R71),ISBLANK($S71),ISBLANK($T71),ISBLANK($U71),ISBLANK($V71),ISBLANK($W71),ISBLANK($X71),ISBLANK($Y71),ISBLANK($Z71),ISBLANK($AA71),ISBLANK($AB71)),"",SUM(BG71:BR71))</f>
        <v>5.7600000000000016</v>
      </c>
      <c r="BT71" s="25" t="str">
        <f>IF(ISBLANK($L71),"",_xlfn.XLOOKUP($L71,'CENTRO CUSTO'!$A:$A,'CENTRO CUSTO'!$E:$E,FALSE,0))</f>
        <v>Custo Fixo</v>
      </c>
    </row>
    <row r="72" spans="1:72">
      <c r="A72" s="9" t="str">
        <f t="shared" si="52"/>
        <v>Budget</v>
      </c>
      <c r="B72" s="9">
        <f t="shared" si="49"/>
        <v>2026</v>
      </c>
      <c r="C72" s="111" t="str">
        <f>IF(ISBLANK($L72),"",_xlfn.XLOOKUP($L72,'CENTRO CUSTO'!$A:$A,'CENTRO CUSTO'!F:F,FALSE,0))</f>
        <v>Martini Meat</v>
      </c>
      <c r="D72" s="111" t="str">
        <f>IF(ISBLANK($L72),"",_xlfn.XLOOKUP($L72,'CENTRO CUSTO'!$A:$A,'CENTRO CUSTO'!G:G,FALSE,0))</f>
        <v>Paranaguá</v>
      </c>
      <c r="E72" s="111" t="str">
        <f>IF(ISBLANK($L72),"",_xlfn.XLOOKUP($L72,'CENTRO CUSTO'!$A:$A,'CENTRO CUSTO'!H:H,FALSE,0))</f>
        <v>RATEIO Unidade</v>
      </c>
      <c r="F72" s="112" t="s">
        <v>125</v>
      </c>
      <c r="G72" s="112" t="s">
        <v>126</v>
      </c>
      <c r="H72" s="112" t="s">
        <v>127</v>
      </c>
      <c r="I72" s="113" t="s">
        <v>77</v>
      </c>
      <c r="J72" s="113" t="s">
        <v>78</v>
      </c>
      <c r="K72" s="113" t="s">
        <v>79</v>
      </c>
      <c r="L72" s="113" t="s">
        <v>19</v>
      </c>
      <c r="M72" s="111" t="str">
        <f>IF(ISBLANK($L72),"",_xlfn.XLOOKUP($L72,'CENTRO CUSTO'!$A:$A,'CENTRO CUSTO'!D:D,FALSE,0))</f>
        <v>Alexandre Ayabe</v>
      </c>
      <c r="N72" s="113" t="s">
        <v>87</v>
      </c>
      <c r="O72" s="114"/>
      <c r="P72" s="113" t="s">
        <v>88</v>
      </c>
      <c r="Q72" s="115">
        <f>6400/12</f>
        <v>533.33333333333337</v>
      </c>
      <c r="R72" s="115">
        <f t="shared" ref="R72:AB72" si="56">6400/12</f>
        <v>533.33333333333337</v>
      </c>
      <c r="S72" s="115">
        <f t="shared" si="56"/>
        <v>533.33333333333337</v>
      </c>
      <c r="T72" s="115">
        <f t="shared" si="56"/>
        <v>533.33333333333337</v>
      </c>
      <c r="U72" s="115">
        <f t="shared" si="56"/>
        <v>533.33333333333337</v>
      </c>
      <c r="V72" s="115">
        <f t="shared" si="56"/>
        <v>533.33333333333337</v>
      </c>
      <c r="W72" s="115">
        <f t="shared" si="56"/>
        <v>533.33333333333337</v>
      </c>
      <c r="X72" s="115">
        <f t="shared" si="56"/>
        <v>533.33333333333337</v>
      </c>
      <c r="Y72" s="115">
        <f t="shared" si="56"/>
        <v>533.33333333333337</v>
      </c>
      <c r="Z72" s="115">
        <f t="shared" si="56"/>
        <v>533.33333333333337</v>
      </c>
      <c r="AA72" s="115">
        <f t="shared" si="56"/>
        <v>533.33333333333337</v>
      </c>
      <c r="AB72" s="115">
        <f t="shared" si="56"/>
        <v>533.33333333333337</v>
      </c>
      <c r="AC72" s="116">
        <f t="shared" si="53"/>
        <v>6399.9999999999991</v>
      </c>
      <c r="AD72" s="108"/>
      <c r="AE72" s="117">
        <f>IF(ISBLANK(Q72),"",IF($P72="BRL",Q72,Q72*Macroindicadores!B$2)/1000)</f>
        <v>3.1360000000000001</v>
      </c>
      <c r="AF72" s="117">
        <f>IF(ISBLANK(R72),"",IF($P72="BRL",R72,R72*Macroindicadores!C$2)/1000)</f>
        <v>3.1360000000000001</v>
      </c>
      <c r="AG72" s="117">
        <f>IF(ISBLANK(S72),"",IF($P72="BRL",S72,S72*Macroindicadores!D$2)/1000)</f>
        <v>3.1360000000000001</v>
      </c>
      <c r="AH72" s="117">
        <f>IF(ISBLANK(T72),"",IF($P72="BRL",T72,T72*Macroindicadores!E$2)/1000)</f>
        <v>3.1360000000000001</v>
      </c>
      <c r="AI72" s="117">
        <f>IF(ISBLANK(U72),"",IF($P72="BRL",U72,U72*Macroindicadores!F$2)/1000)</f>
        <v>3.1360000000000001</v>
      </c>
      <c r="AJ72" s="117">
        <f>IF(ISBLANK(V72),"",IF($P72="BRL",V72,V72*Macroindicadores!G$2)/1000)</f>
        <v>3.1360000000000001</v>
      </c>
      <c r="AK72" s="117">
        <f>IF(ISBLANK(W72),"",IF($P72="BRL",W72,W72*Macroindicadores!H$2)/1000)</f>
        <v>3.1360000000000001</v>
      </c>
      <c r="AL72" s="117">
        <f>IF(ISBLANK(X72),"",IF($P72="BRL",X72,X72*Macroindicadores!I$2)/1000)</f>
        <v>3.1360000000000001</v>
      </c>
      <c r="AM72" s="117">
        <f>IF(ISBLANK(Y72),"",IF($P72="BRL",Y72,Y72*Macroindicadores!J$2)/1000)</f>
        <v>3.1360000000000001</v>
      </c>
      <c r="AN72" s="117">
        <f>IF(ISBLANK(Z72),"",IF($P72="BRL",Z72,Z72*Macroindicadores!K$2)/1000)</f>
        <v>3.1360000000000001</v>
      </c>
      <c r="AO72" s="117">
        <f>IF(ISBLANK(AA72),"",IF($P72="BRL",AA72,AA72*Macroindicadores!L$2)/1000)</f>
        <v>3.1360000000000001</v>
      </c>
      <c r="AP72" s="117">
        <f>IF(ISBLANK(AB72),"",IF($P72="BRL",AB72,AB72*Macroindicadores!M$2)/1000)</f>
        <v>3.1360000000000001</v>
      </c>
      <c r="AQ72" s="118">
        <f t="shared" si="51"/>
        <v>37.631999999999998</v>
      </c>
      <c r="AR72" s="108"/>
      <c r="AS72" s="117">
        <f>IF(ISBLANK(Q72),"",IF(ISBLANK($O72),AE72,IF($J72="ANUAL",AE72*(1+Macroindicadores!B$7),IF(AND($I72="NOVO",MONTH($O72)=MONTH(AS$4)),AE72*(1+Macroindicadores!B$7),IF(AND($J72="PONTUAL",MONTH($O72)=MONTH(AS$4)),AE72*(1+Macroindicadores!B$7),IF(AND($J72="PONTUAL",MONTH($O72)&lt;MONTH(AS$4)),MIN(AR72:$AS72),IF(AND($I72="NOVO",MONTH($O72)&gt;MONTH(AS$4)),AE72,IF(MONTH($O72)&gt;MONTH(AS$4),AE72,IF(MONTH($O72)=MONTH(AS$4),AE72*(1+Macroindicadores!B$7),AR72)))))))))</f>
        <v>3.1360000000000001</v>
      </c>
      <c r="AT72" s="117">
        <f>IF(ISBLANK(R72),"",IF(ISBLANK($O72),AF72,IF($J72="ANUAL",AF72*(1+Macroindicadores!C$7),IF(AND($I72="NOVO",MONTH($O72)=MONTH(AT$4)),AF72*(1+Macroindicadores!C$7),IF(AND($J72="PONTUAL",MONTH($O72)=MONTH(AT$4)),AF72*(1+Macroindicadores!C$7),IF(AND($J72="PONTUAL",MONTH($O72)&lt;MONTH(AT$4)),MIN($AS72:AS72),IF(AND($I72="NOVO",MONTH($O72)&gt;MONTH(AT$4)),AF72,IF(MONTH($O72)&gt;MONTH(AT$4),AF72,IF(MONTH($O72)=MONTH(AT$4),AF72*(1+Macroindicadores!C$7),AS72)))))))))</f>
        <v>3.1360000000000001</v>
      </c>
      <c r="AU72" s="117">
        <f>IF(ISBLANK(S72),"",IF(ISBLANK($O72),AG72,IF($J72="ANUAL",AG72*(1+Macroindicadores!D$7),IF(AND($I72="NOVO",MONTH($O72)=MONTH(AU$4)),AG72*(1+Macroindicadores!D$7),IF(AND($J72="PONTUAL",MONTH($O72)=MONTH(AU$4)),AG72*(1+Macroindicadores!D$7),IF(AND($J72="PONTUAL",MONTH($O72)&lt;MONTH(AU$4)),MIN($AS72:AT72),IF(AND($I72="NOVO",MONTH($O72)&gt;MONTH(AU$4)),AG72,IF(MONTH($O72)&gt;MONTH(AU$4),AG72,IF(MONTH($O72)=MONTH(AU$4),AG72*(1+Macroindicadores!D$7),AT72)))))))))</f>
        <v>3.1360000000000001</v>
      </c>
      <c r="AV72" s="117">
        <f>IF(ISBLANK(T72),"",IF(ISBLANK($O72),AH72,IF($J72="ANUAL",AH72*(1+Macroindicadores!E$7),IF(AND($I72="NOVO",MONTH($O72)=MONTH(AV$4)),AH72*(1+Macroindicadores!E$7),IF(AND($J72="PONTUAL",MONTH($O72)=MONTH(AV$4)),AH72*(1+Macroindicadores!E$7),IF(AND($J72="PONTUAL",MONTH($O72)&lt;MONTH(AV$4)),MIN($AS72:AU72),IF(AND($I72="NOVO",MONTH($O72)&gt;MONTH(AV$4)),AH72,IF(MONTH($O72)&gt;MONTH(AV$4),AH72,IF(MONTH($O72)=MONTH(AV$4),AH72*(1+Macroindicadores!E$7),AU72)))))))))</f>
        <v>3.1360000000000001</v>
      </c>
      <c r="AW72" s="117">
        <f>IF(ISBLANK(U72),"",IF(ISBLANK($O72),AI72,IF($J72="ANUAL",AI72*(1+Macroindicadores!F$7),IF(AND($I72="NOVO",MONTH($O72)=MONTH(AW$4)),AI72*(1+Macroindicadores!F$7),IF(AND($J72="PONTUAL",MONTH($O72)=MONTH(AW$4)),AI72*(1+Macroindicadores!F$7),IF(AND($J72="PONTUAL",MONTH($O72)&lt;MONTH(AW$4)),MIN($AS72:AV72),IF(AND($I72="NOVO",MONTH($O72)&gt;MONTH(AW$4)),AI72,IF(MONTH($O72)&gt;MONTH(AW$4),AI72,IF(MONTH($O72)=MONTH(AW$4),AI72*(1+Macroindicadores!F$7),AV72)))))))))</f>
        <v>3.1360000000000001</v>
      </c>
      <c r="AX72" s="117">
        <f>IF(ISBLANK(V72),"",IF(ISBLANK($O72),AJ72,IF($J72="ANUAL",AJ72*(1+Macroindicadores!G$7),IF(AND($I72="NOVO",MONTH($O72)=MONTH(AX$4)),AJ72*(1+Macroindicadores!G$7),IF(AND($J72="PONTUAL",MONTH($O72)=MONTH(AX$4)),AJ72*(1+Macroindicadores!G$7),IF(AND($J72="PONTUAL",MONTH($O72)&lt;MONTH(AX$4)),MIN($AS72:AW72),IF(AND($I72="NOVO",MONTH($O72)&gt;MONTH(AX$4)),AJ72,IF(MONTH($O72)&gt;MONTH(AX$4),AJ72,IF(MONTH($O72)=MONTH(AX$4),AJ72*(1+Macroindicadores!G$7),AW72)))))))))</f>
        <v>3.1360000000000001</v>
      </c>
      <c r="AY72" s="117">
        <f>IF(ISBLANK(W72),"",IF(ISBLANK($O72),AK72,IF($J72="ANUAL",AK72*(1+Macroindicadores!H$7),IF(AND($I72="NOVO",MONTH($O72)=MONTH(AY$4)),AK72*(1+Macroindicadores!H$7),IF(AND($J72="PONTUAL",MONTH($O72)=MONTH(AY$4)),AK72*(1+Macroindicadores!H$7),IF(AND($J72="PONTUAL",MONTH($O72)&lt;MONTH(AY$4)),MIN($AS72:AX72),IF(AND($I72="NOVO",MONTH($O72)&gt;MONTH(AY$4)),AK72,IF(MONTH($O72)&gt;MONTH(AY$4),AK72,IF(MONTH($O72)=MONTH(AY$4),AK72*(1+Macroindicadores!H$7),AX72)))))))))</f>
        <v>3.1360000000000001</v>
      </c>
      <c r="AZ72" s="117">
        <f>IF(ISBLANK(X72),"",IF(ISBLANK($O72),AL72,IF($J72="ANUAL",AL72*(1+Macroindicadores!I$7),IF(AND($I72="NOVO",MONTH($O72)=MONTH(AZ$4)),AL72*(1+Macroindicadores!I$7),IF(AND($J72="PONTUAL",MONTH($O72)=MONTH(AZ$4)),AL72*(1+Macroindicadores!I$7),IF(AND($J72="PONTUAL",MONTH($O72)&lt;MONTH(AZ$4)),MIN($AS72:AY72),IF(AND($I72="NOVO",MONTH($O72)&gt;MONTH(AZ$4)),AL72,IF(MONTH($O72)&gt;MONTH(AZ$4),AL72,IF(MONTH($O72)=MONTH(AZ$4),AL72*(1+Macroindicadores!I$7),AY72)))))))))</f>
        <v>3.1360000000000001</v>
      </c>
      <c r="BA72" s="117">
        <f>IF(ISBLANK(Y72),"",IF(ISBLANK($O72),AM72,IF($J72="ANUAL",AM72*(1+Macroindicadores!J$7),IF(AND($I72="NOVO",MONTH($O72)=MONTH(BA$4)),AM72*(1+Macroindicadores!J$7),IF(AND($J72="PONTUAL",MONTH($O72)=MONTH(BA$4)),AM72*(1+Macroindicadores!J$7),IF(AND($J72="PONTUAL",MONTH($O72)&lt;MONTH(BA$4)),MIN($AS72:AZ72),IF(AND($I72="NOVO",MONTH($O72)&gt;MONTH(BA$4)),AM72,IF(MONTH($O72)&gt;MONTH(BA$4),AM72,IF(MONTH($O72)=MONTH(BA$4),AM72*(1+Macroindicadores!J$7),AZ72)))))))))</f>
        <v>3.1360000000000001</v>
      </c>
      <c r="BB72" s="117">
        <f>IF(ISBLANK(Z72),"",IF(ISBLANK($O72),AN72,IF($J72="ANUAL",AN72*(1+Macroindicadores!K$7),IF(AND($I72="NOVO",MONTH($O72)=MONTH(BB$4)),AN72*(1+Macroindicadores!K$7),IF(AND($J72="PONTUAL",MONTH($O72)=MONTH(BB$4)),AN72*(1+Macroindicadores!K$7),IF(AND($J72="PONTUAL",MONTH($O72)&lt;MONTH(BB$4)),MIN($AS72:BA72),IF(AND($I72="NOVO",MONTH($O72)&gt;MONTH(BB$4)),AN72,IF(MONTH($O72)&gt;MONTH(BB$4),AN72,IF(MONTH($O72)=MONTH(BB$4),AN72*(1+Macroindicadores!K$7),BA72)))))))))</f>
        <v>3.1360000000000001</v>
      </c>
      <c r="BC72" s="117">
        <f>IF(ISBLANK(AA72),"",IF(ISBLANK($O72),AO72,IF($J72="ANUAL",AO72*(1+Macroindicadores!L$7),IF(AND($I72="NOVO",MONTH($O72)=MONTH(BC$4)),AO72*(1+Macroindicadores!L$7),IF(AND($J72="PONTUAL",MONTH($O72)=MONTH(BC$4)),AO72*(1+Macroindicadores!L$7),IF(AND($J72="PONTUAL",MONTH($O72)&lt;MONTH(BC$4)),MIN($AS72:BB72),IF(AND($I72="NOVO",MONTH($O72)&gt;MONTH(BC$4)),AO72,IF(MONTH($O72)&gt;MONTH(BC$4),AO72,IF(MONTH($O72)=MONTH(BC$4),AO72*(1+Macroindicadores!L$7),BB72)))))))))</f>
        <v>3.1360000000000001</v>
      </c>
      <c r="BD72" s="117">
        <f>IF(ISBLANK(AB72),"",IF(ISBLANK($O72),AP72,IF($J72="ANUAL",AP72*(1+Macroindicadores!M$7),IF(AND($I72="NOVO",MONTH($O72)=MONTH(BD$4)),AP72*(1+Macroindicadores!M$7),IF(AND($J72="PONTUAL",MONTH($O72)=MONTH(BD$4)),AP72*(1+Macroindicadores!M$7),IF(AND($J72="PONTUAL",MONTH($O72)&lt;MONTH(BD$4)),MIN($AS72:BC72),IF(AND($I72="NOVO",MONTH($O72)&gt;MONTH(BD$4)),AP72,IF(MONTH($O72)&gt;MONTH(BD$4),AP72,IF(MONTH($O72)=MONTH(BD$4),AP72*(1+Macroindicadores!M$7),BC72)))))))))</f>
        <v>3.1360000000000001</v>
      </c>
      <c r="BE72" s="118">
        <f t="shared" si="50"/>
        <v>37.631999999999998</v>
      </c>
      <c r="BF72" s="108"/>
      <c r="BG72" s="117">
        <f>IF(ISBLANK(Q72),"",AS72/Macroindicadores!B$2)</f>
        <v>0.53333333333333333</v>
      </c>
      <c r="BH72" s="117">
        <f>IF(ISBLANK(R72),"",AT72/Macroindicadores!C$2)</f>
        <v>0.53333333333333333</v>
      </c>
      <c r="BI72" s="117">
        <f>IF(ISBLANK(S72),"",AU72/Macroindicadores!D$2)</f>
        <v>0.53333333333333333</v>
      </c>
      <c r="BJ72" s="117">
        <f>IF(ISBLANK(T72),"",AV72/Macroindicadores!E$2)</f>
        <v>0.53333333333333333</v>
      </c>
      <c r="BK72" s="117">
        <f>IF(ISBLANK(U72),"",AW72/Macroindicadores!F$2)</f>
        <v>0.53333333333333333</v>
      </c>
      <c r="BL72" s="117">
        <f>IF(ISBLANK(V72),"",AX72/Macroindicadores!G$2)</f>
        <v>0.53333333333333333</v>
      </c>
      <c r="BM72" s="117">
        <f>IF(ISBLANK(W72),"",AY72/Macroindicadores!H$2)</f>
        <v>0.53333333333333333</v>
      </c>
      <c r="BN72" s="117">
        <f>IF(ISBLANK(X72),"",AZ72/Macroindicadores!I$2)</f>
        <v>0.53333333333333333</v>
      </c>
      <c r="BO72" s="117">
        <f>IF(ISBLANK(Y72),"",BA72/Macroindicadores!J$2)</f>
        <v>0.53333333333333333</v>
      </c>
      <c r="BP72" s="117">
        <f>IF(ISBLANK(Z72),"",BB72/Macroindicadores!K$2)</f>
        <v>0.53333333333333333</v>
      </c>
      <c r="BQ72" s="117">
        <f>IF(ISBLANK(AA72),"",BC72/Macroindicadores!L$2)</f>
        <v>0.53333333333333333</v>
      </c>
      <c r="BR72" s="117">
        <f>IF(ISBLANK(AB72),"",BD72/Macroindicadores!M$2)</f>
        <v>0.53333333333333333</v>
      </c>
      <c r="BS72" s="118">
        <f>IF(AND(ISBLANK($Q72),ISBLANK($R72),ISBLANK($S72),ISBLANK($T72),ISBLANK($U72),ISBLANK($V72),ISBLANK($W72),ISBLANK($X72),ISBLANK($Y72),ISBLANK($Z72),ISBLANK($AA72),ISBLANK($AB72)),"",SUM(BG72:BR72))</f>
        <v>6.3999999999999995</v>
      </c>
      <c r="BT72" s="25" t="str">
        <f>IF(ISBLANK($L72),"",_xlfn.XLOOKUP($L72,'CENTRO CUSTO'!$A:$A,'CENTRO CUSTO'!$E:$E,FALSE,0))</f>
        <v>Custo Fixo</v>
      </c>
    </row>
    <row r="73" spans="1:72">
      <c r="A73" s="9" t="str">
        <f t="shared" si="52"/>
        <v>Budget</v>
      </c>
      <c r="B73" s="9">
        <f t="shared" si="49"/>
        <v>2026</v>
      </c>
      <c r="C73" s="111" t="str">
        <f>IF(ISBLANK($L73),"",_xlfn.XLOOKUP($L73,'CENTRO CUSTO'!$A:$A,'CENTRO CUSTO'!F:F,FALSE,0))</f>
        <v>Martini Meat</v>
      </c>
      <c r="D73" s="111" t="str">
        <f>IF(ISBLANK($L73),"",_xlfn.XLOOKUP($L73,'CENTRO CUSTO'!$A:$A,'CENTRO CUSTO'!G:G,FALSE,0))</f>
        <v>Itajaí</v>
      </c>
      <c r="E73" s="111" t="str">
        <f>IF(ISBLANK($L73),"",_xlfn.XLOOKUP($L73,'CENTRO CUSTO'!$A:$A,'CENTRO CUSTO'!H:H,FALSE,0))</f>
        <v>RATEIO Unidade</v>
      </c>
      <c r="F73" s="112" t="s">
        <v>125</v>
      </c>
      <c r="G73" s="112" t="s">
        <v>126</v>
      </c>
      <c r="H73" s="112" t="s">
        <v>127</v>
      </c>
      <c r="I73" s="113" t="s">
        <v>77</v>
      </c>
      <c r="J73" s="113" t="s">
        <v>78</v>
      </c>
      <c r="K73" s="113" t="s">
        <v>79</v>
      </c>
      <c r="L73" s="113" t="s">
        <v>29</v>
      </c>
      <c r="M73" s="111" t="str">
        <f>IF(ISBLANK($L73),"",_xlfn.XLOOKUP($L73,'CENTRO CUSTO'!$A:$A,'CENTRO CUSTO'!D:D,FALSE,0))</f>
        <v>Alexandre Ayabe</v>
      </c>
      <c r="N73" s="113" t="s">
        <v>87</v>
      </c>
      <c r="O73" s="114"/>
      <c r="P73" s="113" t="s">
        <v>88</v>
      </c>
      <c r="Q73" s="115">
        <f>5760/12</f>
        <v>480</v>
      </c>
      <c r="R73" s="115">
        <f t="shared" ref="R73:AB73" si="57">5760/12</f>
        <v>480</v>
      </c>
      <c r="S73" s="115">
        <f t="shared" si="57"/>
        <v>480</v>
      </c>
      <c r="T73" s="115">
        <f t="shared" si="57"/>
        <v>480</v>
      </c>
      <c r="U73" s="115">
        <f t="shared" si="57"/>
        <v>480</v>
      </c>
      <c r="V73" s="115">
        <f t="shared" si="57"/>
        <v>480</v>
      </c>
      <c r="W73" s="115">
        <f t="shared" si="57"/>
        <v>480</v>
      </c>
      <c r="X73" s="115">
        <f t="shared" si="57"/>
        <v>480</v>
      </c>
      <c r="Y73" s="115">
        <f t="shared" si="57"/>
        <v>480</v>
      </c>
      <c r="Z73" s="115">
        <f t="shared" si="57"/>
        <v>480</v>
      </c>
      <c r="AA73" s="115">
        <f t="shared" si="57"/>
        <v>480</v>
      </c>
      <c r="AB73" s="115">
        <f t="shared" si="57"/>
        <v>480</v>
      </c>
      <c r="AC73" s="116">
        <f t="shared" si="53"/>
        <v>5760</v>
      </c>
      <c r="AD73" s="108"/>
      <c r="AE73" s="117">
        <f>IF(ISBLANK(Q73),"",IF($P73="BRL",Q73,Q73*Macroindicadores!B$2)/1000)</f>
        <v>2.8224</v>
      </c>
      <c r="AF73" s="117">
        <f>IF(ISBLANK(R73),"",IF($P73="BRL",R73,R73*Macroindicadores!C$2)/1000)</f>
        <v>2.8224</v>
      </c>
      <c r="AG73" s="117">
        <f>IF(ISBLANK(S73),"",IF($P73="BRL",S73,S73*Macroindicadores!D$2)/1000)</f>
        <v>2.8224</v>
      </c>
      <c r="AH73" s="117">
        <f>IF(ISBLANK(T73),"",IF($P73="BRL",T73,T73*Macroindicadores!E$2)/1000)</f>
        <v>2.8224</v>
      </c>
      <c r="AI73" s="117">
        <f>IF(ISBLANK(U73),"",IF($P73="BRL",U73,U73*Macroindicadores!F$2)/1000)</f>
        <v>2.8224</v>
      </c>
      <c r="AJ73" s="117">
        <f>IF(ISBLANK(V73),"",IF($P73="BRL",V73,V73*Macroindicadores!G$2)/1000)</f>
        <v>2.8224</v>
      </c>
      <c r="AK73" s="117">
        <f>IF(ISBLANK(W73),"",IF($P73="BRL",W73,W73*Macroindicadores!H$2)/1000)</f>
        <v>2.8224</v>
      </c>
      <c r="AL73" s="117">
        <f>IF(ISBLANK(X73),"",IF($P73="BRL",X73,X73*Macroindicadores!I$2)/1000)</f>
        <v>2.8224</v>
      </c>
      <c r="AM73" s="117">
        <f>IF(ISBLANK(Y73),"",IF($P73="BRL",Y73,Y73*Macroindicadores!J$2)/1000)</f>
        <v>2.8224</v>
      </c>
      <c r="AN73" s="117">
        <f>IF(ISBLANK(Z73),"",IF($P73="BRL",Z73,Z73*Macroindicadores!K$2)/1000)</f>
        <v>2.8224</v>
      </c>
      <c r="AO73" s="117">
        <f>IF(ISBLANK(AA73),"",IF($P73="BRL",AA73,AA73*Macroindicadores!L$2)/1000)</f>
        <v>2.8224</v>
      </c>
      <c r="AP73" s="117">
        <f>IF(ISBLANK(AB73),"",IF($P73="BRL",AB73,AB73*Macroindicadores!M$2)/1000)</f>
        <v>2.8224</v>
      </c>
      <c r="AQ73" s="118">
        <f t="shared" si="51"/>
        <v>33.868800000000007</v>
      </c>
      <c r="AR73" s="108"/>
      <c r="AS73" s="117">
        <f>IF(ISBLANK(Q73),"",IF(ISBLANK($O73),AE73,IF($J73="ANUAL",AE73*(1+Macroindicadores!B$7),IF(AND($I73="NOVO",MONTH($O73)=MONTH(AS$4)),AE73*(1+Macroindicadores!B$7),IF(AND($J73="PONTUAL",MONTH($O73)=MONTH(AS$4)),AE73*(1+Macroindicadores!B$7),IF(AND($J73="PONTUAL",MONTH($O73)&lt;MONTH(AS$4)),MIN(AR73:$AS73),IF(AND($I73="NOVO",MONTH($O73)&gt;MONTH(AS$4)),AE73,IF(MONTH($O73)&gt;MONTH(AS$4),AE73,IF(MONTH($O73)=MONTH(AS$4),AE73*(1+Macroindicadores!B$7),AR73)))))))))</f>
        <v>2.8224</v>
      </c>
      <c r="AT73" s="117">
        <f>IF(ISBLANK(R73),"",IF(ISBLANK($O73),AF73,IF($J73="ANUAL",AF73*(1+Macroindicadores!C$7),IF(AND($I73="NOVO",MONTH($O73)=MONTH(AT$4)),AF73*(1+Macroindicadores!C$7),IF(AND($J73="PONTUAL",MONTH($O73)=MONTH(AT$4)),AF73*(1+Macroindicadores!C$7),IF(AND($J73="PONTUAL",MONTH($O73)&lt;MONTH(AT$4)),MIN($AS73:AS73),IF(AND($I73="NOVO",MONTH($O73)&gt;MONTH(AT$4)),AF73,IF(MONTH($O73)&gt;MONTH(AT$4),AF73,IF(MONTH($O73)=MONTH(AT$4),AF73*(1+Macroindicadores!C$7),AS73)))))))))</f>
        <v>2.8224</v>
      </c>
      <c r="AU73" s="117">
        <f>IF(ISBLANK(S73),"",IF(ISBLANK($O73),AG73,IF($J73="ANUAL",AG73*(1+Macroindicadores!D$7),IF(AND($I73="NOVO",MONTH($O73)=MONTH(AU$4)),AG73*(1+Macroindicadores!D$7),IF(AND($J73="PONTUAL",MONTH($O73)=MONTH(AU$4)),AG73*(1+Macroindicadores!D$7),IF(AND($J73="PONTUAL",MONTH($O73)&lt;MONTH(AU$4)),MIN($AS73:AT73),IF(AND($I73="NOVO",MONTH($O73)&gt;MONTH(AU$4)),AG73,IF(MONTH($O73)&gt;MONTH(AU$4),AG73,IF(MONTH($O73)=MONTH(AU$4),AG73*(1+Macroindicadores!D$7),AT73)))))))))</f>
        <v>2.8224</v>
      </c>
      <c r="AV73" s="117">
        <f>IF(ISBLANK(T73),"",IF(ISBLANK($O73),AH73,IF($J73="ANUAL",AH73*(1+Macroindicadores!E$7),IF(AND($I73="NOVO",MONTH($O73)=MONTH(AV$4)),AH73*(1+Macroindicadores!E$7),IF(AND($J73="PONTUAL",MONTH($O73)=MONTH(AV$4)),AH73*(1+Macroindicadores!E$7),IF(AND($J73="PONTUAL",MONTH($O73)&lt;MONTH(AV$4)),MIN($AS73:AU73),IF(AND($I73="NOVO",MONTH($O73)&gt;MONTH(AV$4)),AH73,IF(MONTH($O73)&gt;MONTH(AV$4),AH73,IF(MONTH($O73)=MONTH(AV$4),AH73*(1+Macroindicadores!E$7),AU73)))))))))</f>
        <v>2.8224</v>
      </c>
      <c r="AW73" s="117">
        <f>IF(ISBLANK(U73),"",IF(ISBLANK($O73),AI73,IF($J73="ANUAL",AI73*(1+Macroindicadores!F$7),IF(AND($I73="NOVO",MONTH($O73)=MONTH(AW$4)),AI73*(1+Macroindicadores!F$7),IF(AND($J73="PONTUAL",MONTH($O73)=MONTH(AW$4)),AI73*(1+Macroindicadores!F$7),IF(AND($J73="PONTUAL",MONTH($O73)&lt;MONTH(AW$4)),MIN($AS73:AV73),IF(AND($I73="NOVO",MONTH($O73)&gt;MONTH(AW$4)),AI73,IF(MONTH($O73)&gt;MONTH(AW$4),AI73,IF(MONTH($O73)=MONTH(AW$4),AI73*(1+Macroindicadores!F$7),AV73)))))))))</f>
        <v>2.8224</v>
      </c>
      <c r="AX73" s="117">
        <f>IF(ISBLANK(V73),"",IF(ISBLANK($O73),AJ73,IF($J73="ANUAL",AJ73*(1+Macroindicadores!G$7),IF(AND($I73="NOVO",MONTH($O73)=MONTH(AX$4)),AJ73*(1+Macroindicadores!G$7),IF(AND($J73="PONTUAL",MONTH($O73)=MONTH(AX$4)),AJ73*(1+Macroindicadores!G$7),IF(AND($J73="PONTUAL",MONTH($O73)&lt;MONTH(AX$4)),MIN($AS73:AW73),IF(AND($I73="NOVO",MONTH($O73)&gt;MONTH(AX$4)),AJ73,IF(MONTH($O73)&gt;MONTH(AX$4),AJ73,IF(MONTH($O73)=MONTH(AX$4),AJ73*(1+Macroindicadores!G$7),AW73)))))))))</f>
        <v>2.8224</v>
      </c>
      <c r="AY73" s="117">
        <f>IF(ISBLANK(W73),"",IF(ISBLANK($O73),AK73,IF($J73="ANUAL",AK73*(1+Macroindicadores!H$7),IF(AND($I73="NOVO",MONTH($O73)=MONTH(AY$4)),AK73*(1+Macroindicadores!H$7),IF(AND($J73="PONTUAL",MONTH($O73)=MONTH(AY$4)),AK73*(1+Macroindicadores!H$7),IF(AND($J73="PONTUAL",MONTH($O73)&lt;MONTH(AY$4)),MIN($AS73:AX73),IF(AND($I73="NOVO",MONTH($O73)&gt;MONTH(AY$4)),AK73,IF(MONTH($O73)&gt;MONTH(AY$4),AK73,IF(MONTH($O73)=MONTH(AY$4),AK73*(1+Macroindicadores!H$7),AX73)))))))))</f>
        <v>2.8224</v>
      </c>
      <c r="AZ73" s="117">
        <f>IF(ISBLANK(X73),"",IF(ISBLANK($O73),AL73,IF($J73="ANUAL",AL73*(1+Macroindicadores!I$7),IF(AND($I73="NOVO",MONTH($O73)=MONTH(AZ$4)),AL73*(1+Macroindicadores!I$7),IF(AND($J73="PONTUAL",MONTH($O73)=MONTH(AZ$4)),AL73*(1+Macroindicadores!I$7),IF(AND($J73="PONTUAL",MONTH($O73)&lt;MONTH(AZ$4)),MIN($AS73:AY73),IF(AND($I73="NOVO",MONTH($O73)&gt;MONTH(AZ$4)),AL73,IF(MONTH($O73)&gt;MONTH(AZ$4),AL73,IF(MONTH($O73)=MONTH(AZ$4),AL73*(1+Macroindicadores!I$7),AY73)))))))))</f>
        <v>2.8224</v>
      </c>
      <c r="BA73" s="117">
        <f>IF(ISBLANK(Y73),"",IF(ISBLANK($O73),AM73,IF($J73="ANUAL",AM73*(1+Macroindicadores!J$7),IF(AND($I73="NOVO",MONTH($O73)=MONTH(BA$4)),AM73*(1+Macroindicadores!J$7),IF(AND($J73="PONTUAL",MONTH($O73)=MONTH(BA$4)),AM73*(1+Macroindicadores!J$7),IF(AND($J73="PONTUAL",MONTH($O73)&lt;MONTH(BA$4)),MIN($AS73:AZ73),IF(AND($I73="NOVO",MONTH($O73)&gt;MONTH(BA$4)),AM73,IF(MONTH($O73)&gt;MONTH(BA$4),AM73,IF(MONTH($O73)=MONTH(BA$4),AM73*(1+Macroindicadores!J$7),AZ73)))))))))</f>
        <v>2.8224</v>
      </c>
      <c r="BB73" s="117">
        <f>IF(ISBLANK(Z73),"",IF(ISBLANK($O73),AN73,IF($J73="ANUAL",AN73*(1+Macroindicadores!K$7),IF(AND($I73="NOVO",MONTH($O73)=MONTH(BB$4)),AN73*(1+Macroindicadores!K$7),IF(AND($J73="PONTUAL",MONTH($O73)=MONTH(BB$4)),AN73*(1+Macroindicadores!K$7),IF(AND($J73="PONTUAL",MONTH($O73)&lt;MONTH(BB$4)),MIN($AS73:BA73),IF(AND($I73="NOVO",MONTH($O73)&gt;MONTH(BB$4)),AN73,IF(MONTH($O73)&gt;MONTH(BB$4),AN73,IF(MONTH($O73)=MONTH(BB$4),AN73*(1+Macroindicadores!K$7),BA73)))))))))</f>
        <v>2.8224</v>
      </c>
      <c r="BC73" s="117">
        <f>IF(ISBLANK(AA73),"",IF(ISBLANK($O73),AO73,IF($J73="ANUAL",AO73*(1+Macroindicadores!L$7),IF(AND($I73="NOVO",MONTH($O73)=MONTH(BC$4)),AO73*(1+Macroindicadores!L$7),IF(AND($J73="PONTUAL",MONTH($O73)=MONTH(BC$4)),AO73*(1+Macroindicadores!L$7),IF(AND($J73="PONTUAL",MONTH($O73)&lt;MONTH(BC$4)),MIN($AS73:BB73),IF(AND($I73="NOVO",MONTH($O73)&gt;MONTH(BC$4)),AO73,IF(MONTH($O73)&gt;MONTH(BC$4),AO73,IF(MONTH($O73)=MONTH(BC$4),AO73*(1+Macroindicadores!L$7),BB73)))))))))</f>
        <v>2.8224</v>
      </c>
      <c r="BD73" s="117">
        <f>IF(ISBLANK(AB73),"",IF(ISBLANK($O73),AP73,IF($J73="ANUAL",AP73*(1+Macroindicadores!M$7),IF(AND($I73="NOVO",MONTH($O73)=MONTH(BD$4)),AP73*(1+Macroindicadores!M$7),IF(AND($J73="PONTUAL",MONTH($O73)=MONTH(BD$4)),AP73*(1+Macroindicadores!M$7),IF(AND($J73="PONTUAL",MONTH($O73)&lt;MONTH(BD$4)),MIN($AS73:BC73),IF(AND($I73="NOVO",MONTH($O73)&gt;MONTH(BD$4)),AP73,IF(MONTH($O73)&gt;MONTH(BD$4),AP73,IF(MONTH($O73)=MONTH(BD$4),AP73*(1+Macroindicadores!M$7),BC73)))))))))</f>
        <v>2.8224</v>
      </c>
      <c r="BE73" s="118">
        <f t="shared" si="50"/>
        <v>33.868800000000007</v>
      </c>
      <c r="BF73" s="108"/>
      <c r="BG73" s="117">
        <f>IF(ISBLANK(Q73),"",AS73/Macroindicadores!B$2)</f>
        <v>0.48000000000000004</v>
      </c>
      <c r="BH73" s="117">
        <f>IF(ISBLANK(R73),"",AT73/Macroindicadores!C$2)</f>
        <v>0.48000000000000004</v>
      </c>
      <c r="BI73" s="117">
        <f>IF(ISBLANK(S73),"",AU73/Macroindicadores!D$2)</f>
        <v>0.48000000000000004</v>
      </c>
      <c r="BJ73" s="117">
        <f>IF(ISBLANK(T73),"",AV73/Macroindicadores!E$2)</f>
        <v>0.48000000000000004</v>
      </c>
      <c r="BK73" s="117">
        <f>IF(ISBLANK(U73),"",AW73/Macroindicadores!F$2)</f>
        <v>0.48000000000000004</v>
      </c>
      <c r="BL73" s="117">
        <f>IF(ISBLANK(V73),"",AX73/Macroindicadores!G$2)</f>
        <v>0.48000000000000004</v>
      </c>
      <c r="BM73" s="117">
        <f>IF(ISBLANK(W73),"",AY73/Macroindicadores!H$2)</f>
        <v>0.48000000000000004</v>
      </c>
      <c r="BN73" s="117">
        <f>IF(ISBLANK(X73),"",AZ73/Macroindicadores!I$2)</f>
        <v>0.48000000000000004</v>
      </c>
      <c r="BO73" s="117">
        <f>IF(ISBLANK(Y73),"",BA73/Macroindicadores!J$2)</f>
        <v>0.48000000000000004</v>
      </c>
      <c r="BP73" s="117">
        <f>IF(ISBLANK(Z73),"",BB73/Macroindicadores!K$2)</f>
        <v>0.48000000000000004</v>
      </c>
      <c r="BQ73" s="117">
        <f>IF(ISBLANK(AA73),"",BC73/Macroindicadores!L$2)</f>
        <v>0.48000000000000004</v>
      </c>
      <c r="BR73" s="117">
        <f>IF(ISBLANK(AB73),"",BD73/Macroindicadores!M$2)</f>
        <v>0.48000000000000004</v>
      </c>
      <c r="BS73" s="118">
        <f>IF(AND(ISBLANK($Q73),ISBLANK($R73),ISBLANK($S73),ISBLANK($T73),ISBLANK($U73),ISBLANK($V73),ISBLANK($W73),ISBLANK($X73),ISBLANK($Y73),ISBLANK($Z73),ISBLANK($AA73),ISBLANK($AB73)),"",SUM(BG73:BR73))</f>
        <v>5.7600000000000016</v>
      </c>
      <c r="BT73" s="25" t="str">
        <f>IF(ISBLANK($L73),"",_xlfn.XLOOKUP($L73,'CENTRO CUSTO'!$A:$A,'CENTRO CUSTO'!$E:$E,FALSE,0))</f>
        <v>Custo Fixo</v>
      </c>
    </row>
    <row r="74" spans="1:72">
      <c r="A74" s="9" t="str">
        <f t="shared" si="52"/>
        <v>Budget</v>
      </c>
      <c r="B74" s="9">
        <f t="shared" si="49"/>
        <v>2026</v>
      </c>
      <c r="C74" s="111" t="str">
        <f>IF(ISBLANK($L74),"",_xlfn.XLOOKUP($L74,'CENTRO CUSTO'!$A:$A,'CENTRO CUSTO'!F:F,FALSE,0))</f>
        <v>Martini Meat</v>
      </c>
      <c r="D74" s="111" t="str">
        <f>IF(ISBLANK($L74),"",_xlfn.XLOOKUP($L74,'CENTRO CUSTO'!$A:$A,'CENTRO CUSTO'!G:G,FALSE,0))</f>
        <v>Rio Grande</v>
      </c>
      <c r="E74" s="111" t="str">
        <f>IF(ISBLANK($L74),"",_xlfn.XLOOKUP($L74,'CENTRO CUSTO'!$A:$A,'CENTRO CUSTO'!H:H,FALSE,0))</f>
        <v>RATEIO Unidade</v>
      </c>
      <c r="F74" s="112" t="s">
        <v>125</v>
      </c>
      <c r="G74" s="112" t="s">
        <v>126</v>
      </c>
      <c r="H74" s="112" t="s">
        <v>127</v>
      </c>
      <c r="I74" s="113" t="s">
        <v>77</v>
      </c>
      <c r="J74" s="113" t="s">
        <v>78</v>
      </c>
      <c r="K74" s="113" t="s">
        <v>79</v>
      </c>
      <c r="L74" s="113" t="s">
        <v>23</v>
      </c>
      <c r="M74" s="111" t="str">
        <f>IF(ISBLANK($L74),"",_xlfn.XLOOKUP($L74,'CENTRO CUSTO'!$A:$A,'CENTRO CUSTO'!D:D,FALSE,0))</f>
        <v>Alexandre Ayabe</v>
      </c>
      <c r="N74" s="113" t="s">
        <v>87</v>
      </c>
      <c r="O74" s="114"/>
      <c r="P74" s="113" t="s">
        <v>88</v>
      </c>
      <c r="Q74" s="115">
        <f>2560/12</f>
        <v>213.33333333333334</v>
      </c>
      <c r="R74" s="115">
        <f t="shared" ref="R74:AB74" si="58">2560/12</f>
        <v>213.33333333333334</v>
      </c>
      <c r="S74" s="115">
        <f t="shared" si="58"/>
        <v>213.33333333333334</v>
      </c>
      <c r="T74" s="115">
        <f t="shared" si="58"/>
        <v>213.33333333333334</v>
      </c>
      <c r="U74" s="115">
        <f t="shared" si="58"/>
        <v>213.33333333333334</v>
      </c>
      <c r="V74" s="115">
        <f t="shared" si="58"/>
        <v>213.33333333333334</v>
      </c>
      <c r="W74" s="115">
        <f t="shared" si="58"/>
        <v>213.33333333333334</v>
      </c>
      <c r="X74" s="115">
        <f t="shared" si="58"/>
        <v>213.33333333333334</v>
      </c>
      <c r="Y74" s="115">
        <f t="shared" si="58"/>
        <v>213.33333333333334</v>
      </c>
      <c r="Z74" s="115">
        <f t="shared" si="58"/>
        <v>213.33333333333334</v>
      </c>
      <c r="AA74" s="115">
        <f t="shared" si="58"/>
        <v>213.33333333333334</v>
      </c>
      <c r="AB74" s="115">
        <f t="shared" si="58"/>
        <v>213.33333333333334</v>
      </c>
      <c r="AC74" s="116">
        <f t="shared" si="53"/>
        <v>2560</v>
      </c>
      <c r="AD74" s="108"/>
      <c r="AE74" s="117">
        <f>IF(ISBLANK(Q74),"",IF($P74="BRL",Q74,Q74*Macroindicadores!B$2)/1000)</f>
        <v>1.2544000000000002</v>
      </c>
      <c r="AF74" s="117">
        <f>IF(ISBLANK(R74),"",IF($P74="BRL",R74,R74*Macroindicadores!C$2)/1000)</f>
        <v>1.2544000000000002</v>
      </c>
      <c r="AG74" s="117">
        <f>IF(ISBLANK(S74),"",IF($P74="BRL",S74,S74*Macroindicadores!D$2)/1000)</f>
        <v>1.2544000000000002</v>
      </c>
      <c r="AH74" s="117">
        <f>IF(ISBLANK(T74),"",IF($P74="BRL",T74,T74*Macroindicadores!E$2)/1000)</f>
        <v>1.2544000000000002</v>
      </c>
      <c r="AI74" s="117">
        <f>IF(ISBLANK(U74),"",IF($P74="BRL",U74,U74*Macroindicadores!F$2)/1000)</f>
        <v>1.2544000000000002</v>
      </c>
      <c r="AJ74" s="117">
        <f>IF(ISBLANK(V74),"",IF($P74="BRL",V74,V74*Macroindicadores!G$2)/1000)</f>
        <v>1.2544000000000002</v>
      </c>
      <c r="AK74" s="117">
        <f>IF(ISBLANK(W74),"",IF($P74="BRL",W74,W74*Macroindicadores!H$2)/1000)</f>
        <v>1.2544000000000002</v>
      </c>
      <c r="AL74" s="117">
        <f>IF(ISBLANK(X74),"",IF($P74="BRL",X74,X74*Macroindicadores!I$2)/1000)</f>
        <v>1.2544000000000002</v>
      </c>
      <c r="AM74" s="117">
        <f>IF(ISBLANK(Y74),"",IF($P74="BRL",Y74,Y74*Macroindicadores!J$2)/1000)</f>
        <v>1.2544000000000002</v>
      </c>
      <c r="AN74" s="117">
        <f>IF(ISBLANK(Z74),"",IF($P74="BRL",Z74,Z74*Macroindicadores!K$2)/1000)</f>
        <v>1.2544000000000002</v>
      </c>
      <c r="AO74" s="117">
        <f>IF(ISBLANK(AA74),"",IF($P74="BRL",AA74,AA74*Macroindicadores!L$2)/1000)</f>
        <v>1.2544000000000002</v>
      </c>
      <c r="AP74" s="117">
        <f>IF(ISBLANK(AB74),"",IF($P74="BRL",AB74,AB74*Macroindicadores!M$2)/1000)</f>
        <v>1.2544000000000002</v>
      </c>
      <c r="AQ74" s="118">
        <f t="shared" si="51"/>
        <v>15.052800000000003</v>
      </c>
      <c r="AR74" s="108"/>
      <c r="AS74" s="117">
        <f>IF(ISBLANK(Q74),"",IF(ISBLANK($O74),AE74,IF($J74="ANUAL",AE74*(1+Macroindicadores!B$7),IF(AND($I74="NOVO",MONTH($O74)=MONTH(AS$4)),AE74*(1+Macroindicadores!B$7),IF(AND($J74="PONTUAL",MONTH($O74)=MONTH(AS$4)),AE74*(1+Macroindicadores!B$7),IF(AND($J74="PONTUAL",MONTH($O74)&lt;MONTH(AS$4)),MIN(AR74:$AS74),IF(AND($I74="NOVO",MONTH($O74)&gt;MONTH(AS$4)),AE74,IF(MONTH($O74)&gt;MONTH(AS$4),AE74,IF(MONTH($O74)=MONTH(AS$4),AE74*(1+Macroindicadores!B$7),AR74)))))))))</f>
        <v>1.2544000000000002</v>
      </c>
      <c r="AT74" s="117">
        <f>IF(ISBLANK(R74),"",IF(ISBLANK($O74),AF74,IF($J74="ANUAL",AF74*(1+Macroindicadores!C$7),IF(AND($I74="NOVO",MONTH($O74)=MONTH(AT$4)),AF74*(1+Macroindicadores!C$7),IF(AND($J74="PONTUAL",MONTH($O74)=MONTH(AT$4)),AF74*(1+Macroindicadores!C$7),IF(AND($J74="PONTUAL",MONTH($O74)&lt;MONTH(AT$4)),MIN($AS74:AS74),IF(AND($I74="NOVO",MONTH($O74)&gt;MONTH(AT$4)),AF74,IF(MONTH($O74)&gt;MONTH(AT$4),AF74,IF(MONTH($O74)=MONTH(AT$4),AF74*(1+Macroindicadores!C$7),AS74)))))))))</f>
        <v>1.2544000000000002</v>
      </c>
      <c r="AU74" s="117">
        <f>IF(ISBLANK(S74),"",IF(ISBLANK($O74),AG74,IF($J74="ANUAL",AG74*(1+Macroindicadores!D$7),IF(AND($I74="NOVO",MONTH($O74)=MONTH(AU$4)),AG74*(1+Macroindicadores!D$7),IF(AND($J74="PONTUAL",MONTH($O74)=MONTH(AU$4)),AG74*(1+Macroindicadores!D$7),IF(AND($J74="PONTUAL",MONTH($O74)&lt;MONTH(AU$4)),MIN($AS74:AT74),IF(AND($I74="NOVO",MONTH($O74)&gt;MONTH(AU$4)),AG74,IF(MONTH($O74)&gt;MONTH(AU$4),AG74,IF(MONTH($O74)=MONTH(AU$4),AG74*(1+Macroindicadores!D$7),AT74)))))))))</f>
        <v>1.2544000000000002</v>
      </c>
      <c r="AV74" s="117">
        <f>IF(ISBLANK(T74),"",IF(ISBLANK($O74),AH74,IF($J74="ANUAL",AH74*(1+Macroindicadores!E$7),IF(AND($I74="NOVO",MONTH($O74)=MONTH(AV$4)),AH74*(1+Macroindicadores!E$7),IF(AND($J74="PONTUAL",MONTH($O74)=MONTH(AV$4)),AH74*(1+Macroindicadores!E$7),IF(AND($J74="PONTUAL",MONTH($O74)&lt;MONTH(AV$4)),MIN($AS74:AU74),IF(AND($I74="NOVO",MONTH($O74)&gt;MONTH(AV$4)),AH74,IF(MONTH($O74)&gt;MONTH(AV$4),AH74,IF(MONTH($O74)=MONTH(AV$4),AH74*(1+Macroindicadores!E$7),AU74)))))))))</f>
        <v>1.2544000000000002</v>
      </c>
      <c r="AW74" s="117">
        <f>IF(ISBLANK(U74),"",IF(ISBLANK($O74),AI74,IF($J74="ANUAL",AI74*(1+Macroindicadores!F$7),IF(AND($I74="NOVO",MONTH($O74)=MONTH(AW$4)),AI74*(1+Macroindicadores!F$7),IF(AND($J74="PONTUAL",MONTH($O74)=MONTH(AW$4)),AI74*(1+Macroindicadores!F$7),IF(AND($J74="PONTUAL",MONTH($O74)&lt;MONTH(AW$4)),MIN($AS74:AV74),IF(AND($I74="NOVO",MONTH($O74)&gt;MONTH(AW$4)),AI74,IF(MONTH($O74)&gt;MONTH(AW$4),AI74,IF(MONTH($O74)=MONTH(AW$4),AI74*(1+Macroindicadores!F$7),AV74)))))))))</f>
        <v>1.2544000000000002</v>
      </c>
      <c r="AX74" s="117">
        <f>IF(ISBLANK(V74),"",IF(ISBLANK($O74),AJ74,IF($J74="ANUAL",AJ74*(1+Macroindicadores!G$7),IF(AND($I74="NOVO",MONTH($O74)=MONTH(AX$4)),AJ74*(1+Macroindicadores!G$7),IF(AND($J74="PONTUAL",MONTH($O74)=MONTH(AX$4)),AJ74*(1+Macroindicadores!G$7),IF(AND($J74="PONTUAL",MONTH($O74)&lt;MONTH(AX$4)),MIN($AS74:AW74),IF(AND($I74="NOVO",MONTH($O74)&gt;MONTH(AX$4)),AJ74,IF(MONTH($O74)&gt;MONTH(AX$4),AJ74,IF(MONTH($O74)=MONTH(AX$4),AJ74*(1+Macroindicadores!G$7),AW74)))))))))</f>
        <v>1.2544000000000002</v>
      </c>
      <c r="AY74" s="117">
        <f>IF(ISBLANK(W74),"",IF(ISBLANK($O74),AK74,IF($J74="ANUAL",AK74*(1+Macroindicadores!H$7),IF(AND($I74="NOVO",MONTH($O74)=MONTH(AY$4)),AK74*(1+Macroindicadores!H$7),IF(AND($J74="PONTUAL",MONTH($O74)=MONTH(AY$4)),AK74*(1+Macroindicadores!H$7),IF(AND($J74="PONTUAL",MONTH($O74)&lt;MONTH(AY$4)),MIN($AS74:AX74),IF(AND($I74="NOVO",MONTH($O74)&gt;MONTH(AY$4)),AK74,IF(MONTH($O74)&gt;MONTH(AY$4),AK74,IF(MONTH($O74)=MONTH(AY$4),AK74*(1+Macroindicadores!H$7),AX74)))))))))</f>
        <v>1.2544000000000002</v>
      </c>
      <c r="AZ74" s="117">
        <f>IF(ISBLANK(X74),"",IF(ISBLANK($O74),AL74,IF($J74="ANUAL",AL74*(1+Macroindicadores!I$7),IF(AND($I74="NOVO",MONTH($O74)=MONTH(AZ$4)),AL74*(1+Macroindicadores!I$7),IF(AND($J74="PONTUAL",MONTH($O74)=MONTH(AZ$4)),AL74*(1+Macroindicadores!I$7),IF(AND($J74="PONTUAL",MONTH($O74)&lt;MONTH(AZ$4)),MIN($AS74:AY74),IF(AND($I74="NOVO",MONTH($O74)&gt;MONTH(AZ$4)),AL74,IF(MONTH($O74)&gt;MONTH(AZ$4),AL74,IF(MONTH($O74)=MONTH(AZ$4),AL74*(1+Macroindicadores!I$7),AY74)))))))))</f>
        <v>1.2544000000000002</v>
      </c>
      <c r="BA74" s="117">
        <f>IF(ISBLANK(Y74),"",IF(ISBLANK($O74),AM74,IF($J74="ANUAL",AM74*(1+Macroindicadores!J$7),IF(AND($I74="NOVO",MONTH($O74)=MONTH(BA$4)),AM74*(1+Macroindicadores!J$7),IF(AND($J74="PONTUAL",MONTH($O74)=MONTH(BA$4)),AM74*(1+Macroindicadores!J$7),IF(AND($J74="PONTUAL",MONTH($O74)&lt;MONTH(BA$4)),MIN($AS74:AZ74),IF(AND($I74="NOVO",MONTH($O74)&gt;MONTH(BA$4)),AM74,IF(MONTH($O74)&gt;MONTH(BA$4),AM74,IF(MONTH($O74)=MONTH(BA$4),AM74*(1+Macroindicadores!J$7),AZ74)))))))))</f>
        <v>1.2544000000000002</v>
      </c>
      <c r="BB74" s="117">
        <f>IF(ISBLANK(Z74),"",IF(ISBLANK($O74),AN74,IF($J74="ANUAL",AN74*(1+Macroindicadores!K$7),IF(AND($I74="NOVO",MONTH($O74)=MONTH(BB$4)),AN74*(1+Macroindicadores!K$7),IF(AND($J74="PONTUAL",MONTH($O74)=MONTH(BB$4)),AN74*(1+Macroindicadores!K$7),IF(AND($J74="PONTUAL",MONTH($O74)&lt;MONTH(BB$4)),MIN($AS74:BA74),IF(AND($I74="NOVO",MONTH($O74)&gt;MONTH(BB$4)),AN74,IF(MONTH($O74)&gt;MONTH(BB$4),AN74,IF(MONTH($O74)=MONTH(BB$4),AN74*(1+Macroindicadores!K$7),BA74)))))))))</f>
        <v>1.2544000000000002</v>
      </c>
      <c r="BC74" s="117">
        <f>IF(ISBLANK(AA74),"",IF(ISBLANK($O74),AO74,IF($J74="ANUAL",AO74*(1+Macroindicadores!L$7),IF(AND($I74="NOVO",MONTH($O74)=MONTH(BC$4)),AO74*(1+Macroindicadores!L$7),IF(AND($J74="PONTUAL",MONTH($O74)=MONTH(BC$4)),AO74*(1+Macroindicadores!L$7),IF(AND($J74="PONTUAL",MONTH($O74)&lt;MONTH(BC$4)),MIN($AS74:BB74),IF(AND($I74="NOVO",MONTH($O74)&gt;MONTH(BC$4)),AO74,IF(MONTH($O74)&gt;MONTH(BC$4),AO74,IF(MONTH($O74)=MONTH(BC$4),AO74*(1+Macroindicadores!L$7),BB74)))))))))</f>
        <v>1.2544000000000002</v>
      </c>
      <c r="BD74" s="117">
        <f>IF(ISBLANK(AB74),"",IF(ISBLANK($O74),AP74,IF($J74="ANUAL",AP74*(1+Macroindicadores!M$7),IF(AND($I74="NOVO",MONTH($O74)=MONTH(BD$4)),AP74*(1+Macroindicadores!M$7),IF(AND($J74="PONTUAL",MONTH($O74)=MONTH(BD$4)),AP74*(1+Macroindicadores!M$7),IF(AND($J74="PONTUAL",MONTH($O74)&lt;MONTH(BD$4)),MIN($AS74:BC74),IF(AND($I74="NOVO",MONTH($O74)&gt;MONTH(BD$4)),AP74,IF(MONTH($O74)&gt;MONTH(BD$4),AP74,IF(MONTH($O74)=MONTH(BD$4),AP74*(1+Macroindicadores!M$7),BC74)))))))))</f>
        <v>1.2544000000000002</v>
      </c>
      <c r="BE74" s="118">
        <f t="shared" si="50"/>
        <v>15.052800000000003</v>
      </c>
      <c r="BF74" s="108"/>
      <c r="BG74" s="117">
        <f>IF(ISBLANK(Q74),"",AS74/Macroindicadores!B$2)</f>
        <v>0.21333333333333337</v>
      </c>
      <c r="BH74" s="117">
        <f>IF(ISBLANK(R74),"",AT74/Macroindicadores!C$2)</f>
        <v>0.21333333333333337</v>
      </c>
      <c r="BI74" s="117">
        <f>IF(ISBLANK(S74),"",AU74/Macroindicadores!D$2)</f>
        <v>0.21333333333333337</v>
      </c>
      <c r="BJ74" s="117">
        <f>IF(ISBLANK(T74),"",AV74/Macroindicadores!E$2)</f>
        <v>0.21333333333333337</v>
      </c>
      <c r="BK74" s="117">
        <f>IF(ISBLANK(U74),"",AW74/Macroindicadores!F$2)</f>
        <v>0.21333333333333337</v>
      </c>
      <c r="BL74" s="117">
        <f>IF(ISBLANK(V74),"",AX74/Macroindicadores!G$2)</f>
        <v>0.21333333333333337</v>
      </c>
      <c r="BM74" s="117">
        <f>IF(ISBLANK(W74),"",AY74/Macroindicadores!H$2)</f>
        <v>0.21333333333333337</v>
      </c>
      <c r="BN74" s="117">
        <f>IF(ISBLANK(X74),"",AZ74/Macroindicadores!I$2)</f>
        <v>0.21333333333333337</v>
      </c>
      <c r="BO74" s="117">
        <f>IF(ISBLANK(Y74),"",BA74/Macroindicadores!J$2)</f>
        <v>0.21333333333333337</v>
      </c>
      <c r="BP74" s="117">
        <f>IF(ISBLANK(Z74),"",BB74/Macroindicadores!K$2)</f>
        <v>0.21333333333333337</v>
      </c>
      <c r="BQ74" s="117">
        <f>IF(ISBLANK(AA74),"",BC74/Macroindicadores!L$2)</f>
        <v>0.21333333333333337</v>
      </c>
      <c r="BR74" s="117">
        <f>IF(ISBLANK(AB74),"",BD74/Macroindicadores!M$2)</f>
        <v>0.21333333333333337</v>
      </c>
      <c r="BS74" s="118">
        <f>IF(AND(ISBLANK($Q74),ISBLANK($R74),ISBLANK($S74),ISBLANK($T74),ISBLANK($U74),ISBLANK($V74),ISBLANK($W74),ISBLANK($X74),ISBLANK($Y74),ISBLANK($Z74),ISBLANK($AA74),ISBLANK($AB74)),"",SUM(BG74:BR74))</f>
        <v>2.5600000000000005</v>
      </c>
      <c r="BT74" s="25" t="str">
        <f>IF(ISBLANK($L74),"",_xlfn.XLOOKUP($L74,'CENTRO CUSTO'!$A:$A,'CENTRO CUSTO'!$E:$E,FALSE,0))</f>
        <v>Custo Fixo</v>
      </c>
    </row>
    <row r="75" spans="1:72">
      <c r="A75" s="9" t="str">
        <f t="shared" si="52"/>
        <v>Budget</v>
      </c>
      <c r="B75" s="9">
        <f t="shared" si="49"/>
        <v>2026</v>
      </c>
      <c r="C75" s="111" t="str">
        <f>IF(ISBLANK($L75),"",_xlfn.XLOOKUP($L75,'CENTRO CUSTO'!$A:$A,'CENTRO CUSTO'!F:F,FALSE,0))</f>
        <v>Martini Meat</v>
      </c>
      <c r="D75" s="111" t="str">
        <f>IF(ISBLANK($L75),"",_xlfn.XLOOKUP($L75,'CENTRO CUSTO'!$A:$A,'CENTRO CUSTO'!G:G,FALSE,0))</f>
        <v>Ponta Grossa</v>
      </c>
      <c r="E75" s="111" t="str">
        <f>IF(ISBLANK($L75),"",_xlfn.XLOOKUP($L75,'CENTRO CUSTO'!$A:$A,'CENTRO CUSTO'!H:H,FALSE,0))</f>
        <v>Carga Geral</v>
      </c>
      <c r="F75" s="112" t="s">
        <v>125</v>
      </c>
      <c r="G75" s="112" t="s">
        <v>126</v>
      </c>
      <c r="H75" s="112" t="s">
        <v>127</v>
      </c>
      <c r="I75" s="113" t="s">
        <v>77</v>
      </c>
      <c r="J75" s="113" t="s">
        <v>78</v>
      </c>
      <c r="K75" s="113" t="s">
        <v>79</v>
      </c>
      <c r="L75" s="113" t="s">
        <v>25</v>
      </c>
      <c r="M75" s="111" t="str">
        <f>IF(ISBLANK($L75),"",_xlfn.XLOOKUP($L75,'CENTRO CUSTO'!$A:$A,'CENTRO CUSTO'!D:D,FALSE,0))</f>
        <v>Alexandre Ayabe</v>
      </c>
      <c r="N75" s="113" t="s">
        <v>87</v>
      </c>
      <c r="O75" s="114"/>
      <c r="P75" s="113" t="s">
        <v>88</v>
      </c>
      <c r="Q75" s="115">
        <f>1380/12</f>
        <v>115</v>
      </c>
      <c r="R75" s="115">
        <f t="shared" ref="R75:AB75" si="59">1380/12</f>
        <v>115</v>
      </c>
      <c r="S75" s="115">
        <f t="shared" si="59"/>
        <v>115</v>
      </c>
      <c r="T75" s="115">
        <f t="shared" si="59"/>
        <v>115</v>
      </c>
      <c r="U75" s="115">
        <f t="shared" si="59"/>
        <v>115</v>
      </c>
      <c r="V75" s="115">
        <f t="shared" si="59"/>
        <v>115</v>
      </c>
      <c r="W75" s="115">
        <f t="shared" si="59"/>
        <v>115</v>
      </c>
      <c r="X75" s="115">
        <f t="shared" si="59"/>
        <v>115</v>
      </c>
      <c r="Y75" s="115">
        <f t="shared" si="59"/>
        <v>115</v>
      </c>
      <c r="Z75" s="115">
        <f t="shared" si="59"/>
        <v>115</v>
      </c>
      <c r="AA75" s="115">
        <f t="shared" si="59"/>
        <v>115</v>
      </c>
      <c r="AB75" s="115">
        <f t="shared" si="59"/>
        <v>115</v>
      </c>
      <c r="AC75" s="116">
        <f t="shared" si="53"/>
        <v>1380</v>
      </c>
      <c r="AD75" s="108"/>
      <c r="AE75" s="117">
        <f>IF(ISBLANK(Q75),"",IF($P75="BRL",Q75,Q75*Macroindicadores!B$2)/1000)</f>
        <v>0.67619999999999991</v>
      </c>
      <c r="AF75" s="117">
        <f>IF(ISBLANK(R75),"",IF($P75="BRL",R75,R75*Macroindicadores!C$2)/1000)</f>
        <v>0.67619999999999991</v>
      </c>
      <c r="AG75" s="117">
        <f>IF(ISBLANK(S75),"",IF($P75="BRL",S75,S75*Macroindicadores!D$2)/1000)</f>
        <v>0.67619999999999991</v>
      </c>
      <c r="AH75" s="117">
        <f>IF(ISBLANK(T75),"",IF($P75="BRL",T75,T75*Macroindicadores!E$2)/1000)</f>
        <v>0.67619999999999991</v>
      </c>
      <c r="AI75" s="117">
        <f>IF(ISBLANK(U75),"",IF($P75="BRL",U75,U75*Macroindicadores!F$2)/1000)</f>
        <v>0.67619999999999991</v>
      </c>
      <c r="AJ75" s="117">
        <f>IF(ISBLANK(V75),"",IF($P75="BRL",V75,V75*Macroindicadores!G$2)/1000)</f>
        <v>0.67619999999999991</v>
      </c>
      <c r="AK75" s="117">
        <f>IF(ISBLANK(W75),"",IF($P75="BRL",W75,W75*Macroindicadores!H$2)/1000)</f>
        <v>0.67619999999999991</v>
      </c>
      <c r="AL75" s="117">
        <f>IF(ISBLANK(X75),"",IF($P75="BRL",X75,X75*Macroindicadores!I$2)/1000)</f>
        <v>0.67619999999999991</v>
      </c>
      <c r="AM75" s="117">
        <f>IF(ISBLANK(Y75),"",IF($P75="BRL",Y75,Y75*Macroindicadores!J$2)/1000)</f>
        <v>0.67619999999999991</v>
      </c>
      <c r="AN75" s="117">
        <f>IF(ISBLANK(Z75),"",IF($P75="BRL",Z75,Z75*Macroindicadores!K$2)/1000)</f>
        <v>0.67619999999999991</v>
      </c>
      <c r="AO75" s="117">
        <f>IF(ISBLANK(AA75),"",IF($P75="BRL",AA75,AA75*Macroindicadores!L$2)/1000)</f>
        <v>0.67619999999999991</v>
      </c>
      <c r="AP75" s="117">
        <f>IF(ISBLANK(AB75),"",IF($P75="BRL",AB75,AB75*Macroindicadores!M$2)/1000)</f>
        <v>0.67619999999999991</v>
      </c>
      <c r="AQ75" s="118">
        <f t="shared" si="51"/>
        <v>8.1143999999999981</v>
      </c>
      <c r="AR75" s="108"/>
      <c r="AS75" s="117">
        <f>IF(ISBLANK(Q75),"",IF(ISBLANK($O75),AE75,IF($J75="ANUAL",AE75*(1+Macroindicadores!B$7),IF(AND($I75="NOVO",MONTH($O75)=MONTH(AS$4)),AE75*(1+Macroindicadores!B$7),IF(AND($J75="PONTUAL",MONTH($O75)=MONTH(AS$4)),AE75*(1+Macroindicadores!B$7),IF(AND($J75="PONTUAL",MONTH($O75)&lt;MONTH(AS$4)),MIN(AR75:$AS75),IF(AND($I75="NOVO",MONTH($O75)&gt;MONTH(AS$4)),AE75,IF(MONTH($O75)&gt;MONTH(AS$4),AE75,IF(MONTH($O75)=MONTH(AS$4),AE75*(1+Macroindicadores!B$7),AR75)))))))))</f>
        <v>0.67619999999999991</v>
      </c>
      <c r="AT75" s="117">
        <f>IF(ISBLANK(R75),"",IF(ISBLANK($O75),AF75,IF($J75="ANUAL",AF75*(1+Macroindicadores!C$7),IF(AND($I75="NOVO",MONTH($O75)=MONTH(AT$4)),AF75*(1+Macroindicadores!C$7),IF(AND($J75="PONTUAL",MONTH($O75)=MONTH(AT$4)),AF75*(1+Macroindicadores!C$7),IF(AND($J75="PONTUAL",MONTH($O75)&lt;MONTH(AT$4)),MIN($AS75:AS75),IF(AND($I75="NOVO",MONTH($O75)&gt;MONTH(AT$4)),AF75,IF(MONTH($O75)&gt;MONTH(AT$4),AF75,IF(MONTH($O75)=MONTH(AT$4),AF75*(1+Macroindicadores!C$7),AS75)))))))))</f>
        <v>0.67619999999999991</v>
      </c>
      <c r="AU75" s="117">
        <f>IF(ISBLANK(S75),"",IF(ISBLANK($O75),AG75,IF($J75="ANUAL",AG75*(1+Macroindicadores!D$7),IF(AND($I75="NOVO",MONTH($O75)=MONTH(AU$4)),AG75*(1+Macroindicadores!D$7),IF(AND($J75="PONTUAL",MONTH($O75)=MONTH(AU$4)),AG75*(1+Macroindicadores!D$7),IF(AND($J75="PONTUAL",MONTH($O75)&lt;MONTH(AU$4)),MIN($AS75:AT75),IF(AND($I75="NOVO",MONTH($O75)&gt;MONTH(AU$4)),AG75,IF(MONTH($O75)&gt;MONTH(AU$4),AG75,IF(MONTH($O75)=MONTH(AU$4),AG75*(1+Macroindicadores!D$7),AT75)))))))))</f>
        <v>0.67619999999999991</v>
      </c>
      <c r="AV75" s="117">
        <f>IF(ISBLANK(T75),"",IF(ISBLANK($O75),AH75,IF($J75="ANUAL",AH75*(1+Macroindicadores!E$7),IF(AND($I75="NOVO",MONTH($O75)=MONTH(AV$4)),AH75*(1+Macroindicadores!E$7),IF(AND($J75="PONTUAL",MONTH($O75)=MONTH(AV$4)),AH75*(1+Macroindicadores!E$7),IF(AND($J75="PONTUAL",MONTH($O75)&lt;MONTH(AV$4)),MIN($AS75:AU75),IF(AND($I75="NOVO",MONTH($O75)&gt;MONTH(AV$4)),AH75,IF(MONTH($O75)&gt;MONTH(AV$4),AH75,IF(MONTH($O75)=MONTH(AV$4),AH75*(1+Macroindicadores!E$7),AU75)))))))))</f>
        <v>0.67619999999999991</v>
      </c>
      <c r="AW75" s="117">
        <f>IF(ISBLANK(U75),"",IF(ISBLANK($O75),AI75,IF($J75="ANUAL",AI75*(1+Macroindicadores!F$7),IF(AND($I75="NOVO",MONTH($O75)=MONTH(AW$4)),AI75*(1+Macroindicadores!F$7),IF(AND($J75="PONTUAL",MONTH($O75)=MONTH(AW$4)),AI75*(1+Macroindicadores!F$7),IF(AND($J75="PONTUAL",MONTH($O75)&lt;MONTH(AW$4)),MIN($AS75:AV75),IF(AND($I75="NOVO",MONTH($O75)&gt;MONTH(AW$4)),AI75,IF(MONTH($O75)&gt;MONTH(AW$4),AI75,IF(MONTH($O75)=MONTH(AW$4),AI75*(1+Macroindicadores!F$7),AV75)))))))))</f>
        <v>0.67619999999999991</v>
      </c>
      <c r="AX75" s="117">
        <f>IF(ISBLANK(V75),"",IF(ISBLANK($O75),AJ75,IF($J75="ANUAL",AJ75*(1+Macroindicadores!G$7),IF(AND($I75="NOVO",MONTH($O75)=MONTH(AX$4)),AJ75*(1+Macroindicadores!G$7),IF(AND($J75="PONTUAL",MONTH($O75)=MONTH(AX$4)),AJ75*(1+Macroindicadores!G$7),IF(AND($J75="PONTUAL",MONTH($O75)&lt;MONTH(AX$4)),MIN($AS75:AW75),IF(AND($I75="NOVO",MONTH($O75)&gt;MONTH(AX$4)),AJ75,IF(MONTH($O75)&gt;MONTH(AX$4),AJ75,IF(MONTH($O75)=MONTH(AX$4),AJ75*(1+Macroindicadores!G$7),AW75)))))))))</f>
        <v>0.67619999999999991</v>
      </c>
      <c r="AY75" s="117">
        <f>IF(ISBLANK(W75),"",IF(ISBLANK($O75),AK75,IF($J75="ANUAL",AK75*(1+Macroindicadores!H$7),IF(AND($I75="NOVO",MONTH($O75)=MONTH(AY$4)),AK75*(1+Macroindicadores!H$7),IF(AND($J75="PONTUAL",MONTH($O75)=MONTH(AY$4)),AK75*(1+Macroindicadores!H$7),IF(AND($J75="PONTUAL",MONTH($O75)&lt;MONTH(AY$4)),MIN($AS75:AX75),IF(AND($I75="NOVO",MONTH($O75)&gt;MONTH(AY$4)),AK75,IF(MONTH($O75)&gt;MONTH(AY$4),AK75,IF(MONTH($O75)=MONTH(AY$4),AK75*(1+Macroindicadores!H$7),AX75)))))))))</f>
        <v>0.67619999999999991</v>
      </c>
      <c r="AZ75" s="117">
        <f>IF(ISBLANK(X75),"",IF(ISBLANK($O75),AL75,IF($J75="ANUAL",AL75*(1+Macroindicadores!I$7),IF(AND($I75="NOVO",MONTH($O75)=MONTH(AZ$4)),AL75*(1+Macroindicadores!I$7),IF(AND($J75="PONTUAL",MONTH($O75)=MONTH(AZ$4)),AL75*(1+Macroindicadores!I$7),IF(AND($J75="PONTUAL",MONTH($O75)&lt;MONTH(AZ$4)),MIN($AS75:AY75),IF(AND($I75="NOVO",MONTH($O75)&gt;MONTH(AZ$4)),AL75,IF(MONTH($O75)&gt;MONTH(AZ$4),AL75,IF(MONTH($O75)=MONTH(AZ$4),AL75*(1+Macroindicadores!I$7),AY75)))))))))</f>
        <v>0.67619999999999991</v>
      </c>
      <c r="BA75" s="117">
        <f>IF(ISBLANK(Y75),"",IF(ISBLANK($O75),AM75,IF($J75="ANUAL",AM75*(1+Macroindicadores!J$7),IF(AND($I75="NOVO",MONTH($O75)=MONTH(BA$4)),AM75*(1+Macroindicadores!J$7),IF(AND($J75="PONTUAL",MONTH($O75)=MONTH(BA$4)),AM75*(1+Macroindicadores!J$7),IF(AND($J75="PONTUAL",MONTH($O75)&lt;MONTH(BA$4)),MIN($AS75:AZ75),IF(AND($I75="NOVO",MONTH($O75)&gt;MONTH(BA$4)),AM75,IF(MONTH($O75)&gt;MONTH(BA$4),AM75,IF(MONTH($O75)=MONTH(BA$4),AM75*(1+Macroindicadores!J$7),AZ75)))))))))</f>
        <v>0.67619999999999991</v>
      </c>
      <c r="BB75" s="117">
        <f>IF(ISBLANK(Z75),"",IF(ISBLANK($O75),AN75,IF($J75="ANUAL",AN75*(1+Macroindicadores!K$7),IF(AND($I75="NOVO",MONTH($O75)=MONTH(BB$4)),AN75*(1+Macroindicadores!K$7),IF(AND($J75="PONTUAL",MONTH($O75)=MONTH(BB$4)),AN75*(1+Macroindicadores!K$7),IF(AND($J75="PONTUAL",MONTH($O75)&lt;MONTH(BB$4)),MIN($AS75:BA75),IF(AND($I75="NOVO",MONTH($O75)&gt;MONTH(BB$4)),AN75,IF(MONTH($O75)&gt;MONTH(BB$4),AN75,IF(MONTH($O75)=MONTH(BB$4),AN75*(1+Macroindicadores!K$7),BA75)))))))))</f>
        <v>0.67619999999999991</v>
      </c>
      <c r="BC75" s="117">
        <f>IF(ISBLANK(AA75),"",IF(ISBLANK($O75),AO75,IF($J75="ANUAL",AO75*(1+Macroindicadores!L$7),IF(AND($I75="NOVO",MONTH($O75)=MONTH(BC$4)),AO75*(1+Macroindicadores!L$7),IF(AND($J75="PONTUAL",MONTH($O75)=MONTH(BC$4)),AO75*(1+Macroindicadores!L$7),IF(AND($J75="PONTUAL",MONTH($O75)&lt;MONTH(BC$4)),MIN($AS75:BB75),IF(AND($I75="NOVO",MONTH($O75)&gt;MONTH(BC$4)),AO75,IF(MONTH($O75)&gt;MONTH(BC$4),AO75,IF(MONTH($O75)=MONTH(BC$4),AO75*(1+Macroindicadores!L$7),BB75)))))))))</f>
        <v>0.67619999999999991</v>
      </c>
      <c r="BD75" s="117">
        <f>IF(ISBLANK(AB75),"",IF(ISBLANK($O75),AP75,IF($J75="ANUAL",AP75*(1+Macroindicadores!M$7),IF(AND($I75="NOVO",MONTH($O75)=MONTH(BD$4)),AP75*(1+Macroindicadores!M$7),IF(AND($J75="PONTUAL",MONTH($O75)=MONTH(BD$4)),AP75*(1+Macroindicadores!M$7),IF(AND($J75="PONTUAL",MONTH($O75)&lt;MONTH(BD$4)),MIN($AS75:BC75),IF(AND($I75="NOVO",MONTH($O75)&gt;MONTH(BD$4)),AP75,IF(MONTH($O75)&gt;MONTH(BD$4),AP75,IF(MONTH($O75)=MONTH(BD$4),AP75*(1+Macroindicadores!M$7),BC75)))))))))</f>
        <v>0.67619999999999991</v>
      </c>
      <c r="BE75" s="118">
        <f t="shared" si="50"/>
        <v>8.1143999999999981</v>
      </c>
      <c r="BF75" s="108"/>
      <c r="BG75" s="117">
        <f>IF(ISBLANK(Q75),"",AS75/Macroindicadores!B$2)</f>
        <v>0.11499999999999999</v>
      </c>
      <c r="BH75" s="117">
        <f>IF(ISBLANK(R75),"",AT75/Macroindicadores!C$2)</f>
        <v>0.11499999999999999</v>
      </c>
      <c r="BI75" s="117">
        <f>IF(ISBLANK(S75),"",AU75/Macroindicadores!D$2)</f>
        <v>0.11499999999999999</v>
      </c>
      <c r="BJ75" s="117">
        <f>IF(ISBLANK(T75),"",AV75/Macroindicadores!E$2)</f>
        <v>0.11499999999999999</v>
      </c>
      <c r="BK75" s="117">
        <f>IF(ISBLANK(U75),"",AW75/Macroindicadores!F$2)</f>
        <v>0.11499999999999999</v>
      </c>
      <c r="BL75" s="117">
        <f>IF(ISBLANK(V75),"",AX75/Macroindicadores!G$2)</f>
        <v>0.11499999999999999</v>
      </c>
      <c r="BM75" s="117">
        <f>IF(ISBLANK(W75),"",AY75/Macroindicadores!H$2)</f>
        <v>0.11499999999999999</v>
      </c>
      <c r="BN75" s="117">
        <f>IF(ISBLANK(X75),"",AZ75/Macroindicadores!I$2)</f>
        <v>0.11499999999999999</v>
      </c>
      <c r="BO75" s="117">
        <f>IF(ISBLANK(Y75),"",BA75/Macroindicadores!J$2)</f>
        <v>0.11499999999999999</v>
      </c>
      <c r="BP75" s="117">
        <f>IF(ISBLANK(Z75),"",BB75/Macroindicadores!K$2)</f>
        <v>0.11499999999999999</v>
      </c>
      <c r="BQ75" s="117">
        <f>IF(ISBLANK(AA75),"",BC75/Macroindicadores!L$2)</f>
        <v>0.11499999999999999</v>
      </c>
      <c r="BR75" s="117">
        <f>IF(ISBLANK(AB75),"",BD75/Macroindicadores!M$2)</f>
        <v>0.11499999999999999</v>
      </c>
      <c r="BS75" s="118">
        <f>IF(AND(ISBLANK($Q75),ISBLANK($R75),ISBLANK($S75),ISBLANK($T75),ISBLANK($U75),ISBLANK($V75),ISBLANK($W75),ISBLANK($X75),ISBLANK($Y75),ISBLANK($Z75),ISBLANK($AA75),ISBLANK($AB75)),"",SUM(BG75:BR75))</f>
        <v>1.38</v>
      </c>
      <c r="BT75" s="25" t="str">
        <f>IF(ISBLANK($L75),"",_xlfn.XLOOKUP($L75,'CENTRO CUSTO'!$A:$A,'CENTRO CUSTO'!$E:$E,FALSE,0))</f>
        <v>Custo Fixo</v>
      </c>
    </row>
    <row r="76" spans="1:72">
      <c r="A76" s="9" t="str">
        <f t="shared" si="52"/>
        <v>Budget</v>
      </c>
      <c r="B76" s="9">
        <f t="shared" si="49"/>
        <v>2026</v>
      </c>
      <c r="C76" s="111" t="str">
        <f>IF(ISBLANK($L76),"",_xlfn.XLOOKUP($L76,'CENTRO CUSTO'!$A:$A,'CENTRO CUSTO'!F:F,FALSE,0))</f>
        <v>Martini Meat</v>
      </c>
      <c r="D76" s="111" t="str">
        <f>IF(ISBLANK($L76),"",_xlfn.XLOOKUP($L76,'CENTRO CUSTO'!$A:$A,'CENTRO CUSTO'!G:G,FALSE,0))</f>
        <v>Recife 2</v>
      </c>
      <c r="E76" s="111" t="str">
        <f>IF(ISBLANK($L76),"",_xlfn.XLOOKUP($L76,'CENTRO CUSTO'!$A:$A,'CENTRO CUSTO'!H:H,FALSE,0))</f>
        <v>Frigorífico</v>
      </c>
      <c r="F76" s="112" t="s">
        <v>125</v>
      </c>
      <c r="G76" s="112" t="s">
        <v>126</v>
      </c>
      <c r="H76" s="112" t="s">
        <v>127</v>
      </c>
      <c r="I76" s="113" t="s">
        <v>77</v>
      </c>
      <c r="J76" s="113" t="s">
        <v>78</v>
      </c>
      <c r="K76" s="113" t="s">
        <v>79</v>
      </c>
      <c r="L76" s="113" t="s">
        <v>31</v>
      </c>
      <c r="M76" s="111" t="str">
        <f>IF(ISBLANK($L76),"",_xlfn.XLOOKUP($L76,'CENTRO CUSTO'!$A:$A,'CENTRO CUSTO'!D:D,FALSE,0))</f>
        <v>Alexandre Ayabe</v>
      </c>
      <c r="N76" s="113" t="s">
        <v>87</v>
      </c>
      <c r="O76" s="114"/>
      <c r="P76" s="113" t="s">
        <v>88</v>
      </c>
      <c r="Q76" s="115">
        <f>960/12</f>
        <v>80</v>
      </c>
      <c r="R76" s="115">
        <f t="shared" ref="R76:AB76" si="60">960/12</f>
        <v>80</v>
      </c>
      <c r="S76" s="115">
        <f t="shared" si="60"/>
        <v>80</v>
      </c>
      <c r="T76" s="115">
        <f t="shared" si="60"/>
        <v>80</v>
      </c>
      <c r="U76" s="115">
        <f t="shared" si="60"/>
        <v>80</v>
      </c>
      <c r="V76" s="115">
        <f t="shared" si="60"/>
        <v>80</v>
      </c>
      <c r="W76" s="115">
        <f t="shared" si="60"/>
        <v>80</v>
      </c>
      <c r="X76" s="115">
        <f t="shared" si="60"/>
        <v>80</v>
      </c>
      <c r="Y76" s="115">
        <f t="shared" si="60"/>
        <v>80</v>
      </c>
      <c r="Z76" s="115">
        <f t="shared" si="60"/>
        <v>80</v>
      </c>
      <c r="AA76" s="115">
        <f t="shared" si="60"/>
        <v>80</v>
      </c>
      <c r="AB76" s="115">
        <f t="shared" si="60"/>
        <v>80</v>
      </c>
      <c r="AC76" s="116">
        <f t="shared" si="53"/>
        <v>960</v>
      </c>
      <c r="AD76" s="108"/>
      <c r="AE76" s="117">
        <f>IF(ISBLANK(Q76),"",IF($P76="BRL",Q76,Q76*Macroindicadores!B$2)/1000)</f>
        <v>0.47039999999999998</v>
      </c>
      <c r="AF76" s="117">
        <f>IF(ISBLANK(R76),"",IF($P76="BRL",R76,R76*Macroindicadores!C$2)/1000)</f>
        <v>0.47039999999999998</v>
      </c>
      <c r="AG76" s="117">
        <f>IF(ISBLANK(S76),"",IF($P76="BRL",S76,S76*Macroindicadores!D$2)/1000)</f>
        <v>0.47039999999999998</v>
      </c>
      <c r="AH76" s="117">
        <f>IF(ISBLANK(T76),"",IF($P76="BRL",T76,T76*Macroindicadores!E$2)/1000)</f>
        <v>0.47039999999999998</v>
      </c>
      <c r="AI76" s="117">
        <f>IF(ISBLANK(U76),"",IF($P76="BRL",U76,U76*Macroindicadores!F$2)/1000)</f>
        <v>0.47039999999999998</v>
      </c>
      <c r="AJ76" s="117">
        <f>IF(ISBLANK(V76),"",IF($P76="BRL",V76,V76*Macroindicadores!G$2)/1000)</f>
        <v>0.47039999999999998</v>
      </c>
      <c r="AK76" s="117">
        <f>IF(ISBLANK(W76),"",IF($P76="BRL",W76,W76*Macroindicadores!H$2)/1000)</f>
        <v>0.47039999999999998</v>
      </c>
      <c r="AL76" s="117">
        <f>IF(ISBLANK(X76),"",IF($P76="BRL",X76,X76*Macroindicadores!I$2)/1000)</f>
        <v>0.47039999999999998</v>
      </c>
      <c r="AM76" s="117">
        <f>IF(ISBLANK(Y76),"",IF($P76="BRL",Y76,Y76*Macroindicadores!J$2)/1000)</f>
        <v>0.47039999999999998</v>
      </c>
      <c r="AN76" s="117">
        <f>IF(ISBLANK(Z76),"",IF($P76="BRL",Z76,Z76*Macroindicadores!K$2)/1000)</f>
        <v>0.47039999999999998</v>
      </c>
      <c r="AO76" s="117">
        <f>IF(ISBLANK(AA76),"",IF($P76="BRL",AA76,AA76*Macroindicadores!L$2)/1000)</f>
        <v>0.47039999999999998</v>
      </c>
      <c r="AP76" s="117">
        <f>IF(ISBLANK(AB76),"",IF($P76="BRL",AB76,AB76*Macroindicadores!M$2)/1000)</f>
        <v>0.47039999999999998</v>
      </c>
      <c r="AQ76" s="118">
        <f t="shared" si="51"/>
        <v>5.6447999999999992</v>
      </c>
      <c r="AR76" s="108"/>
      <c r="AS76" s="117">
        <f>IF(ISBLANK(Q76),"",IF(ISBLANK($O76),AE76,IF($J76="ANUAL",AE76*(1+Macroindicadores!B$7),IF(AND($I76="NOVO",MONTH($O76)=MONTH(AS$4)),AE76*(1+Macroindicadores!B$7),IF(AND($J76="PONTUAL",MONTH($O76)=MONTH(AS$4)),AE76*(1+Macroindicadores!B$7),IF(AND($J76="PONTUAL",MONTH($O76)&lt;MONTH(AS$4)),MIN(AR76:$AS76),IF(AND($I76="NOVO",MONTH($O76)&gt;MONTH(AS$4)),AE76,IF(MONTH($O76)&gt;MONTH(AS$4),AE76,IF(MONTH($O76)=MONTH(AS$4),AE76*(1+Macroindicadores!B$7),AR76)))))))))</f>
        <v>0.47039999999999998</v>
      </c>
      <c r="AT76" s="117">
        <f>IF(ISBLANK(R76),"",IF(ISBLANK($O76),AF76,IF($J76="ANUAL",AF76*(1+Macroindicadores!C$7),IF(AND($I76="NOVO",MONTH($O76)=MONTH(AT$4)),AF76*(1+Macroindicadores!C$7),IF(AND($J76="PONTUAL",MONTH($O76)=MONTH(AT$4)),AF76*(1+Macroindicadores!C$7),IF(AND($J76="PONTUAL",MONTH($O76)&lt;MONTH(AT$4)),MIN($AS76:AS76),IF(AND($I76="NOVO",MONTH($O76)&gt;MONTH(AT$4)),AF76,IF(MONTH($O76)&gt;MONTH(AT$4),AF76,IF(MONTH($O76)=MONTH(AT$4),AF76*(1+Macroindicadores!C$7),AS76)))))))))</f>
        <v>0.47039999999999998</v>
      </c>
      <c r="AU76" s="117">
        <f>IF(ISBLANK(S76),"",IF(ISBLANK($O76),AG76,IF($J76="ANUAL",AG76*(1+Macroindicadores!D$7),IF(AND($I76="NOVO",MONTH($O76)=MONTH(AU$4)),AG76*(1+Macroindicadores!D$7),IF(AND($J76="PONTUAL",MONTH($O76)=MONTH(AU$4)),AG76*(1+Macroindicadores!D$7),IF(AND($J76="PONTUAL",MONTH($O76)&lt;MONTH(AU$4)),MIN($AS76:AT76),IF(AND($I76="NOVO",MONTH($O76)&gt;MONTH(AU$4)),AG76,IF(MONTH($O76)&gt;MONTH(AU$4),AG76,IF(MONTH($O76)=MONTH(AU$4),AG76*(1+Macroindicadores!D$7),AT76)))))))))</f>
        <v>0.47039999999999998</v>
      </c>
      <c r="AV76" s="117">
        <f>IF(ISBLANK(T76),"",IF(ISBLANK($O76),AH76,IF($J76="ANUAL",AH76*(1+Macroindicadores!E$7),IF(AND($I76="NOVO",MONTH($O76)=MONTH(AV$4)),AH76*(1+Macroindicadores!E$7),IF(AND($J76="PONTUAL",MONTH($O76)=MONTH(AV$4)),AH76*(1+Macroindicadores!E$7),IF(AND($J76="PONTUAL",MONTH($O76)&lt;MONTH(AV$4)),MIN($AS76:AU76),IF(AND($I76="NOVO",MONTH($O76)&gt;MONTH(AV$4)),AH76,IF(MONTH($O76)&gt;MONTH(AV$4),AH76,IF(MONTH($O76)=MONTH(AV$4),AH76*(1+Macroindicadores!E$7),AU76)))))))))</f>
        <v>0.47039999999999998</v>
      </c>
      <c r="AW76" s="117">
        <f>IF(ISBLANK(U76),"",IF(ISBLANK($O76),AI76,IF($J76="ANUAL",AI76*(1+Macroindicadores!F$7),IF(AND($I76="NOVO",MONTH($O76)=MONTH(AW$4)),AI76*(1+Macroindicadores!F$7),IF(AND($J76="PONTUAL",MONTH($O76)=MONTH(AW$4)),AI76*(1+Macroindicadores!F$7),IF(AND($J76="PONTUAL",MONTH($O76)&lt;MONTH(AW$4)),MIN($AS76:AV76),IF(AND($I76="NOVO",MONTH($O76)&gt;MONTH(AW$4)),AI76,IF(MONTH($O76)&gt;MONTH(AW$4),AI76,IF(MONTH($O76)=MONTH(AW$4),AI76*(1+Macroindicadores!F$7),AV76)))))))))</f>
        <v>0.47039999999999998</v>
      </c>
      <c r="AX76" s="117">
        <f>IF(ISBLANK(V76),"",IF(ISBLANK($O76),AJ76,IF($J76="ANUAL",AJ76*(1+Macroindicadores!G$7),IF(AND($I76="NOVO",MONTH($O76)=MONTH(AX$4)),AJ76*(1+Macroindicadores!G$7),IF(AND($J76="PONTUAL",MONTH($O76)=MONTH(AX$4)),AJ76*(1+Macroindicadores!G$7),IF(AND($J76="PONTUAL",MONTH($O76)&lt;MONTH(AX$4)),MIN($AS76:AW76),IF(AND($I76="NOVO",MONTH($O76)&gt;MONTH(AX$4)),AJ76,IF(MONTH($O76)&gt;MONTH(AX$4),AJ76,IF(MONTH($O76)=MONTH(AX$4),AJ76*(1+Macroindicadores!G$7),AW76)))))))))</f>
        <v>0.47039999999999998</v>
      </c>
      <c r="AY76" s="117">
        <f>IF(ISBLANK(W76),"",IF(ISBLANK($O76),AK76,IF($J76="ANUAL",AK76*(1+Macroindicadores!H$7),IF(AND($I76="NOVO",MONTH($O76)=MONTH(AY$4)),AK76*(1+Macroindicadores!H$7),IF(AND($J76="PONTUAL",MONTH($O76)=MONTH(AY$4)),AK76*(1+Macroindicadores!H$7),IF(AND($J76="PONTUAL",MONTH($O76)&lt;MONTH(AY$4)),MIN($AS76:AX76),IF(AND($I76="NOVO",MONTH($O76)&gt;MONTH(AY$4)),AK76,IF(MONTH($O76)&gt;MONTH(AY$4),AK76,IF(MONTH($O76)=MONTH(AY$4),AK76*(1+Macroindicadores!H$7),AX76)))))))))</f>
        <v>0.47039999999999998</v>
      </c>
      <c r="AZ76" s="117">
        <f>IF(ISBLANK(X76),"",IF(ISBLANK($O76),AL76,IF($J76="ANUAL",AL76*(1+Macroindicadores!I$7),IF(AND($I76="NOVO",MONTH($O76)=MONTH(AZ$4)),AL76*(1+Macroindicadores!I$7),IF(AND($J76="PONTUAL",MONTH($O76)=MONTH(AZ$4)),AL76*(1+Macroindicadores!I$7),IF(AND($J76="PONTUAL",MONTH($O76)&lt;MONTH(AZ$4)),MIN($AS76:AY76),IF(AND($I76="NOVO",MONTH($O76)&gt;MONTH(AZ$4)),AL76,IF(MONTH($O76)&gt;MONTH(AZ$4),AL76,IF(MONTH($O76)=MONTH(AZ$4),AL76*(1+Macroindicadores!I$7),AY76)))))))))</f>
        <v>0.47039999999999998</v>
      </c>
      <c r="BA76" s="117">
        <f>IF(ISBLANK(Y76),"",IF(ISBLANK($O76),AM76,IF($J76="ANUAL",AM76*(1+Macroindicadores!J$7),IF(AND($I76="NOVO",MONTH($O76)=MONTH(BA$4)),AM76*(1+Macroindicadores!J$7),IF(AND($J76="PONTUAL",MONTH($O76)=MONTH(BA$4)),AM76*(1+Macroindicadores!J$7),IF(AND($J76="PONTUAL",MONTH($O76)&lt;MONTH(BA$4)),MIN($AS76:AZ76),IF(AND($I76="NOVO",MONTH($O76)&gt;MONTH(BA$4)),AM76,IF(MONTH($O76)&gt;MONTH(BA$4),AM76,IF(MONTH($O76)=MONTH(BA$4),AM76*(1+Macroindicadores!J$7),AZ76)))))))))</f>
        <v>0.47039999999999998</v>
      </c>
      <c r="BB76" s="117">
        <f>IF(ISBLANK(Z76),"",IF(ISBLANK($O76),AN76,IF($J76="ANUAL",AN76*(1+Macroindicadores!K$7),IF(AND($I76="NOVO",MONTH($O76)=MONTH(BB$4)),AN76*(1+Macroindicadores!K$7),IF(AND($J76="PONTUAL",MONTH($O76)=MONTH(BB$4)),AN76*(1+Macroindicadores!K$7),IF(AND($J76="PONTUAL",MONTH($O76)&lt;MONTH(BB$4)),MIN($AS76:BA76),IF(AND($I76="NOVO",MONTH($O76)&gt;MONTH(BB$4)),AN76,IF(MONTH($O76)&gt;MONTH(BB$4),AN76,IF(MONTH($O76)=MONTH(BB$4),AN76*(1+Macroindicadores!K$7),BA76)))))))))</f>
        <v>0.47039999999999998</v>
      </c>
      <c r="BC76" s="117">
        <f>IF(ISBLANK(AA76),"",IF(ISBLANK($O76),AO76,IF($J76="ANUAL",AO76*(1+Macroindicadores!L$7),IF(AND($I76="NOVO",MONTH($O76)=MONTH(BC$4)),AO76*(1+Macroindicadores!L$7),IF(AND($J76="PONTUAL",MONTH($O76)=MONTH(BC$4)),AO76*(1+Macroindicadores!L$7),IF(AND($J76="PONTUAL",MONTH($O76)&lt;MONTH(BC$4)),MIN($AS76:BB76),IF(AND($I76="NOVO",MONTH($O76)&gt;MONTH(BC$4)),AO76,IF(MONTH($O76)&gt;MONTH(BC$4),AO76,IF(MONTH($O76)=MONTH(BC$4),AO76*(1+Macroindicadores!L$7),BB76)))))))))</f>
        <v>0.47039999999999998</v>
      </c>
      <c r="BD76" s="117">
        <f>IF(ISBLANK(AB76),"",IF(ISBLANK($O76),AP76,IF($J76="ANUAL",AP76*(1+Macroindicadores!M$7),IF(AND($I76="NOVO",MONTH($O76)=MONTH(BD$4)),AP76*(1+Macroindicadores!M$7),IF(AND($J76="PONTUAL",MONTH($O76)=MONTH(BD$4)),AP76*(1+Macroindicadores!M$7),IF(AND($J76="PONTUAL",MONTH($O76)&lt;MONTH(BD$4)),MIN($AS76:BC76),IF(AND($I76="NOVO",MONTH($O76)&gt;MONTH(BD$4)),AP76,IF(MONTH($O76)&gt;MONTH(BD$4),AP76,IF(MONTH($O76)=MONTH(BD$4),AP76*(1+Macroindicadores!M$7),BC76)))))))))</f>
        <v>0.47039999999999998</v>
      </c>
      <c r="BE76" s="118">
        <f t="shared" si="50"/>
        <v>5.6447999999999992</v>
      </c>
      <c r="BF76" s="108"/>
      <c r="BG76" s="117">
        <f>IF(ISBLANK(Q76),"",AS76/Macroindicadores!B$2)</f>
        <v>0.08</v>
      </c>
      <c r="BH76" s="117">
        <f>IF(ISBLANK(R76),"",AT76/Macroindicadores!C$2)</f>
        <v>0.08</v>
      </c>
      <c r="BI76" s="117">
        <f>IF(ISBLANK(S76),"",AU76/Macroindicadores!D$2)</f>
        <v>0.08</v>
      </c>
      <c r="BJ76" s="117">
        <f>IF(ISBLANK(T76),"",AV76/Macroindicadores!E$2)</f>
        <v>0.08</v>
      </c>
      <c r="BK76" s="117">
        <f>IF(ISBLANK(U76),"",AW76/Macroindicadores!F$2)</f>
        <v>0.08</v>
      </c>
      <c r="BL76" s="117">
        <f>IF(ISBLANK(V76),"",AX76/Macroindicadores!G$2)</f>
        <v>0.08</v>
      </c>
      <c r="BM76" s="117">
        <f>IF(ISBLANK(W76),"",AY76/Macroindicadores!H$2)</f>
        <v>0.08</v>
      </c>
      <c r="BN76" s="117">
        <f>IF(ISBLANK(X76),"",AZ76/Macroindicadores!I$2)</f>
        <v>0.08</v>
      </c>
      <c r="BO76" s="117">
        <f>IF(ISBLANK(Y76),"",BA76/Macroindicadores!J$2)</f>
        <v>0.08</v>
      </c>
      <c r="BP76" s="117">
        <f>IF(ISBLANK(Z76),"",BB76/Macroindicadores!K$2)</f>
        <v>0.08</v>
      </c>
      <c r="BQ76" s="117">
        <f>IF(ISBLANK(AA76),"",BC76/Macroindicadores!L$2)</f>
        <v>0.08</v>
      </c>
      <c r="BR76" s="117">
        <f>IF(ISBLANK(AB76),"",BD76/Macroindicadores!M$2)</f>
        <v>0.08</v>
      </c>
      <c r="BS76" s="118">
        <f>IF(AND(ISBLANK($Q76),ISBLANK($R76),ISBLANK($S76),ISBLANK($T76),ISBLANK($U76),ISBLANK($V76),ISBLANK($W76),ISBLANK($X76),ISBLANK($Y76),ISBLANK($Z76),ISBLANK($AA76),ISBLANK($AB76)),"",SUM(BG76:BR76))</f>
        <v>0.95999999999999985</v>
      </c>
      <c r="BT76" s="25" t="str">
        <f>IF(ISBLANK($L76),"",_xlfn.XLOOKUP($L76,'CENTRO CUSTO'!$A:$A,'CENTRO CUSTO'!$E:$E,FALSE,0))</f>
        <v>Custo Fixo</v>
      </c>
    </row>
    <row r="77" spans="1:72">
      <c r="A77" s="9" t="str">
        <f t="shared" si="52"/>
        <v>Budget</v>
      </c>
      <c r="B77" s="9">
        <f t="shared" si="49"/>
        <v>2026</v>
      </c>
      <c r="C77" s="111" t="str">
        <f>IF(ISBLANK($L77),"",_xlfn.XLOOKUP($L77,'CENTRO CUSTO'!$A:$A,'CENTRO CUSTO'!F:F,FALSE,0))</f>
        <v>MRV</v>
      </c>
      <c r="D77" s="111" t="str">
        <f>IF(ISBLANK($L77),"",_xlfn.XLOOKUP($L77,'CENTRO CUSTO'!$A:$A,'CENTRO CUSTO'!G:G,FALSE,0))</f>
        <v>Velopark</v>
      </c>
      <c r="E77" s="111" t="str">
        <f>IF(ISBLANK($L77),"",_xlfn.XLOOKUP($L77,'CENTRO CUSTO'!$A:$A,'CENTRO CUSTO'!H:H,FALSE,0))</f>
        <v>Frigorífico</v>
      </c>
      <c r="F77" s="112" t="s">
        <v>125</v>
      </c>
      <c r="G77" s="112" t="s">
        <v>126</v>
      </c>
      <c r="H77" s="112" t="s">
        <v>127</v>
      </c>
      <c r="I77" s="113" t="s">
        <v>77</v>
      </c>
      <c r="J77" s="113" t="s">
        <v>78</v>
      </c>
      <c r="K77" s="113" t="s">
        <v>79</v>
      </c>
      <c r="L77" s="113" t="s">
        <v>43</v>
      </c>
      <c r="M77" s="111" t="str">
        <f>IF(ISBLANK($L77),"",_xlfn.XLOOKUP($L77,'CENTRO CUSTO'!$A:$A,'CENTRO CUSTO'!D:D,FALSE,0))</f>
        <v>Alexandre Ayabe</v>
      </c>
      <c r="N77" s="113" t="s">
        <v>87</v>
      </c>
      <c r="O77" s="114"/>
      <c r="P77" s="113" t="s">
        <v>88</v>
      </c>
      <c r="Q77" s="115">
        <f>800/12</f>
        <v>66.666666666666671</v>
      </c>
      <c r="R77" s="115">
        <f t="shared" ref="R77:AB78" si="61">800/12</f>
        <v>66.666666666666671</v>
      </c>
      <c r="S77" s="115">
        <f t="shared" si="61"/>
        <v>66.666666666666671</v>
      </c>
      <c r="T77" s="115">
        <f t="shared" si="61"/>
        <v>66.666666666666671</v>
      </c>
      <c r="U77" s="115">
        <f t="shared" si="61"/>
        <v>66.666666666666671</v>
      </c>
      <c r="V77" s="115">
        <f t="shared" si="61"/>
        <v>66.666666666666671</v>
      </c>
      <c r="W77" s="115">
        <f t="shared" si="61"/>
        <v>66.666666666666671</v>
      </c>
      <c r="X77" s="115">
        <f t="shared" si="61"/>
        <v>66.666666666666671</v>
      </c>
      <c r="Y77" s="115">
        <f t="shared" si="61"/>
        <v>66.666666666666671</v>
      </c>
      <c r="Z77" s="115">
        <f t="shared" si="61"/>
        <v>66.666666666666671</v>
      </c>
      <c r="AA77" s="115">
        <f t="shared" si="61"/>
        <v>66.666666666666671</v>
      </c>
      <c r="AB77" s="115">
        <f t="shared" si="61"/>
        <v>66.666666666666671</v>
      </c>
      <c r="AC77" s="116">
        <f t="shared" si="53"/>
        <v>799.99999999999989</v>
      </c>
      <c r="AD77" s="108"/>
      <c r="AE77" s="117">
        <f>IF(ISBLANK(Q77),"",IF($P77="BRL",Q77,Q77*Macroindicadores!B$2)/1000)</f>
        <v>0.39200000000000002</v>
      </c>
      <c r="AF77" s="117">
        <f>IF(ISBLANK(R77),"",IF($P77="BRL",R77,R77*Macroindicadores!C$2)/1000)</f>
        <v>0.39200000000000002</v>
      </c>
      <c r="AG77" s="117">
        <f>IF(ISBLANK(S77),"",IF($P77="BRL",S77,S77*Macroindicadores!D$2)/1000)</f>
        <v>0.39200000000000002</v>
      </c>
      <c r="AH77" s="117">
        <f>IF(ISBLANK(T77),"",IF($P77="BRL",T77,T77*Macroindicadores!E$2)/1000)</f>
        <v>0.39200000000000002</v>
      </c>
      <c r="AI77" s="117">
        <f>IF(ISBLANK(U77),"",IF($P77="BRL",U77,U77*Macroindicadores!F$2)/1000)</f>
        <v>0.39200000000000002</v>
      </c>
      <c r="AJ77" s="117">
        <f>IF(ISBLANK(V77),"",IF($P77="BRL",V77,V77*Macroindicadores!G$2)/1000)</f>
        <v>0.39200000000000002</v>
      </c>
      <c r="AK77" s="117">
        <f>IF(ISBLANK(W77),"",IF($P77="BRL",W77,W77*Macroindicadores!H$2)/1000)</f>
        <v>0.39200000000000002</v>
      </c>
      <c r="AL77" s="117">
        <f>IF(ISBLANK(X77),"",IF($P77="BRL",X77,X77*Macroindicadores!I$2)/1000)</f>
        <v>0.39200000000000002</v>
      </c>
      <c r="AM77" s="117">
        <f>IF(ISBLANK(Y77),"",IF($P77="BRL",Y77,Y77*Macroindicadores!J$2)/1000)</f>
        <v>0.39200000000000002</v>
      </c>
      <c r="AN77" s="117">
        <f>IF(ISBLANK(Z77),"",IF($P77="BRL",Z77,Z77*Macroindicadores!K$2)/1000)</f>
        <v>0.39200000000000002</v>
      </c>
      <c r="AO77" s="117">
        <f>IF(ISBLANK(AA77),"",IF($P77="BRL",AA77,AA77*Macroindicadores!L$2)/1000)</f>
        <v>0.39200000000000002</v>
      </c>
      <c r="AP77" s="117">
        <f>IF(ISBLANK(AB77),"",IF($P77="BRL",AB77,AB77*Macroindicadores!M$2)/1000)</f>
        <v>0.39200000000000002</v>
      </c>
      <c r="AQ77" s="118">
        <f t="shared" si="51"/>
        <v>4.7039999999999997</v>
      </c>
      <c r="AR77" s="108"/>
      <c r="AS77" s="117">
        <f>IF(ISBLANK(Q77),"",IF(ISBLANK($O77),AE77,IF($J77="ANUAL",AE77*(1+Macroindicadores!B$7),IF(AND($I77="NOVO",MONTH($O77)=MONTH(AS$4)),AE77*(1+Macroindicadores!B$7),IF(AND($J77="PONTUAL",MONTH($O77)=MONTH(AS$4)),AE77*(1+Macroindicadores!B$7),IF(AND($J77="PONTUAL",MONTH($O77)&lt;MONTH(AS$4)),MIN(AR77:$AS77),IF(AND($I77="NOVO",MONTH($O77)&gt;MONTH(AS$4)),AE77,IF(MONTH($O77)&gt;MONTH(AS$4),AE77,IF(MONTH($O77)=MONTH(AS$4),AE77*(1+Macroindicadores!B$7),AR77)))))))))</f>
        <v>0.39200000000000002</v>
      </c>
      <c r="AT77" s="117">
        <f>IF(ISBLANK(R77),"",IF(ISBLANK($O77),AF77,IF($J77="ANUAL",AF77*(1+Macroindicadores!C$7),IF(AND($I77="NOVO",MONTH($O77)=MONTH(AT$4)),AF77*(1+Macroindicadores!C$7),IF(AND($J77="PONTUAL",MONTH($O77)=MONTH(AT$4)),AF77*(1+Macroindicadores!C$7),IF(AND($J77="PONTUAL",MONTH($O77)&lt;MONTH(AT$4)),MIN($AS77:AS77),IF(AND($I77="NOVO",MONTH($O77)&gt;MONTH(AT$4)),AF77,IF(MONTH($O77)&gt;MONTH(AT$4),AF77,IF(MONTH($O77)=MONTH(AT$4),AF77*(1+Macroindicadores!C$7),AS77)))))))))</f>
        <v>0.39200000000000002</v>
      </c>
      <c r="AU77" s="117">
        <f>IF(ISBLANK(S77),"",IF(ISBLANK($O77),AG77,IF($J77="ANUAL",AG77*(1+Macroindicadores!D$7),IF(AND($I77="NOVO",MONTH($O77)=MONTH(AU$4)),AG77*(1+Macroindicadores!D$7),IF(AND($J77="PONTUAL",MONTH($O77)=MONTH(AU$4)),AG77*(1+Macroindicadores!D$7),IF(AND($J77="PONTUAL",MONTH($O77)&lt;MONTH(AU$4)),MIN($AS77:AT77),IF(AND($I77="NOVO",MONTH($O77)&gt;MONTH(AU$4)),AG77,IF(MONTH($O77)&gt;MONTH(AU$4),AG77,IF(MONTH($O77)=MONTH(AU$4),AG77*(1+Macroindicadores!D$7),AT77)))))))))</f>
        <v>0.39200000000000002</v>
      </c>
      <c r="AV77" s="117">
        <f>IF(ISBLANK(T77),"",IF(ISBLANK($O77),AH77,IF($J77="ANUAL",AH77*(1+Macroindicadores!E$7),IF(AND($I77="NOVO",MONTH($O77)=MONTH(AV$4)),AH77*(1+Macroindicadores!E$7),IF(AND($J77="PONTUAL",MONTH($O77)=MONTH(AV$4)),AH77*(1+Macroindicadores!E$7),IF(AND($J77="PONTUAL",MONTH($O77)&lt;MONTH(AV$4)),MIN($AS77:AU77),IF(AND($I77="NOVO",MONTH($O77)&gt;MONTH(AV$4)),AH77,IF(MONTH($O77)&gt;MONTH(AV$4),AH77,IF(MONTH($O77)=MONTH(AV$4),AH77*(1+Macroindicadores!E$7),AU77)))))))))</f>
        <v>0.39200000000000002</v>
      </c>
      <c r="AW77" s="117">
        <f>IF(ISBLANK(U77),"",IF(ISBLANK($O77),AI77,IF($J77="ANUAL",AI77*(1+Macroindicadores!F$7),IF(AND($I77="NOVO",MONTH($O77)=MONTH(AW$4)),AI77*(1+Macroindicadores!F$7),IF(AND($J77="PONTUAL",MONTH($O77)=MONTH(AW$4)),AI77*(1+Macroindicadores!F$7),IF(AND($J77="PONTUAL",MONTH($O77)&lt;MONTH(AW$4)),MIN($AS77:AV77),IF(AND($I77="NOVO",MONTH($O77)&gt;MONTH(AW$4)),AI77,IF(MONTH($O77)&gt;MONTH(AW$4),AI77,IF(MONTH($O77)=MONTH(AW$4),AI77*(1+Macroindicadores!F$7),AV77)))))))))</f>
        <v>0.39200000000000002</v>
      </c>
      <c r="AX77" s="117">
        <f>IF(ISBLANK(V77),"",IF(ISBLANK($O77),AJ77,IF($J77="ANUAL",AJ77*(1+Macroindicadores!G$7),IF(AND($I77="NOVO",MONTH($O77)=MONTH(AX$4)),AJ77*(1+Macroindicadores!G$7),IF(AND($J77="PONTUAL",MONTH($O77)=MONTH(AX$4)),AJ77*(1+Macroindicadores!G$7),IF(AND($J77="PONTUAL",MONTH($O77)&lt;MONTH(AX$4)),MIN($AS77:AW77),IF(AND($I77="NOVO",MONTH($O77)&gt;MONTH(AX$4)),AJ77,IF(MONTH($O77)&gt;MONTH(AX$4),AJ77,IF(MONTH($O77)=MONTH(AX$4),AJ77*(1+Macroindicadores!G$7),AW77)))))))))</f>
        <v>0.39200000000000002</v>
      </c>
      <c r="AY77" s="117">
        <f>IF(ISBLANK(W77),"",IF(ISBLANK($O77),AK77,IF($J77="ANUAL",AK77*(1+Macroindicadores!H$7),IF(AND($I77="NOVO",MONTH($O77)=MONTH(AY$4)),AK77*(1+Macroindicadores!H$7),IF(AND($J77="PONTUAL",MONTH($O77)=MONTH(AY$4)),AK77*(1+Macroindicadores!H$7),IF(AND($J77="PONTUAL",MONTH($O77)&lt;MONTH(AY$4)),MIN($AS77:AX77),IF(AND($I77="NOVO",MONTH($O77)&gt;MONTH(AY$4)),AK77,IF(MONTH($O77)&gt;MONTH(AY$4),AK77,IF(MONTH($O77)=MONTH(AY$4),AK77*(1+Macroindicadores!H$7),AX77)))))))))</f>
        <v>0.39200000000000002</v>
      </c>
      <c r="AZ77" s="117">
        <f>IF(ISBLANK(X77),"",IF(ISBLANK($O77),AL77,IF($J77="ANUAL",AL77*(1+Macroindicadores!I$7),IF(AND($I77="NOVO",MONTH($O77)=MONTH(AZ$4)),AL77*(1+Macroindicadores!I$7),IF(AND($J77="PONTUAL",MONTH($O77)=MONTH(AZ$4)),AL77*(1+Macroindicadores!I$7),IF(AND($J77="PONTUAL",MONTH($O77)&lt;MONTH(AZ$4)),MIN($AS77:AY77),IF(AND($I77="NOVO",MONTH($O77)&gt;MONTH(AZ$4)),AL77,IF(MONTH($O77)&gt;MONTH(AZ$4),AL77,IF(MONTH($O77)=MONTH(AZ$4),AL77*(1+Macroindicadores!I$7),AY77)))))))))</f>
        <v>0.39200000000000002</v>
      </c>
      <c r="BA77" s="117">
        <f>IF(ISBLANK(Y77),"",IF(ISBLANK($O77),AM77,IF($J77="ANUAL",AM77*(1+Macroindicadores!J$7),IF(AND($I77="NOVO",MONTH($O77)=MONTH(BA$4)),AM77*(1+Macroindicadores!J$7),IF(AND($J77="PONTUAL",MONTH($O77)=MONTH(BA$4)),AM77*(1+Macroindicadores!J$7),IF(AND($J77="PONTUAL",MONTH($O77)&lt;MONTH(BA$4)),MIN($AS77:AZ77),IF(AND($I77="NOVO",MONTH($O77)&gt;MONTH(BA$4)),AM77,IF(MONTH($O77)&gt;MONTH(BA$4),AM77,IF(MONTH($O77)=MONTH(BA$4),AM77*(1+Macroindicadores!J$7),AZ77)))))))))</f>
        <v>0.39200000000000002</v>
      </c>
      <c r="BB77" s="117">
        <f>IF(ISBLANK(Z77),"",IF(ISBLANK($O77),AN77,IF($J77="ANUAL",AN77*(1+Macroindicadores!K$7),IF(AND($I77="NOVO",MONTH($O77)=MONTH(BB$4)),AN77*(1+Macroindicadores!K$7),IF(AND($J77="PONTUAL",MONTH($O77)=MONTH(BB$4)),AN77*(1+Macroindicadores!K$7),IF(AND($J77="PONTUAL",MONTH($O77)&lt;MONTH(BB$4)),MIN($AS77:BA77),IF(AND($I77="NOVO",MONTH($O77)&gt;MONTH(BB$4)),AN77,IF(MONTH($O77)&gt;MONTH(BB$4),AN77,IF(MONTH($O77)=MONTH(BB$4),AN77*(1+Macroindicadores!K$7),BA77)))))))))</f>
        <v>0.39200000000000002</v>
      </c>
      <c r="BC77" s="117">
        <f>IF(ISBLANK(AA77),"",IF(ISBLANK($O77),AO77,IF($J77="ANUAL",AO77*(1+Macroindicadores!L$7),IF(AND($I77="NOVO",MONTH($O77)=MONTH(BC$4)),AO77*(1+Macroindicadores!L$7),IF(AND($J77="PONTUAL",MONTH($O77)=MONTH(BC$4)),AO77*(1+Macroindicadores!L$7),IF(AND($J77="PONTUAL",MONTH($O77)&lt;MONTH(BC$4)),MIN($AS77:BB77),IF(AND($I77="NOVO",MONTH($O77)&gt;MONTH(BC$4)),AO77,IF(MONTH($O77)&gt;MONTH(BC$4),AO77,IF(MONTH($O77)=MONTH(BC$4),AO77*(1+Macroindicadores!L$7),BB77)))))))))</f>
        <v>0.39200000000000002</v>
      </c>
      <c r="BD77" s="117">
        <f>IF(ISBLANK(AB77),"",IF(ISBLANK($O77),AP77,IF($J77="ANUAL",AP77*(1+Macroindicadores!M$7),IF(AND($I77="NOVO",MONTH($O77)=MONTH(BD$4)),AP77*(1+Macroindicadores!M$7),IF(AND($J77="PONTUAL",MONTH($O77)=MONTH(BD$4)),AP77*(1+Macroindicadores!M$7),IF(AND($J77="PONTUAL",MONTH($O77)&lt;MONTH(BD$4)),MIN($AS77:BC77),IF(AND($I77="NOVO",MONTH($O77)&gt;MONTH(BD$4)),AP77,IF(MONTH($O77)&gt;MONTH(BD$4),AP77,IF(MONTH($O77)=MONTH(BD$4),AP77*(1+Macroindicadores!M$7),BC77)))))))))</f>
        <v>0.39200000000000002</v>
      </c>
      <c r="BE77" s="118">
        <f t="shared" si="50"/>
        <v>4.7039999999999997</v>
      </c>
      <c r="BF77" s="108"/>
      <c r="BG77" s="117">
        <f>IF(ISBLANK(Q77),"",AS77/Macroindicadores!B$2)</f>
        <v>6.6666666666666666E-2</v>
      </c>
      <c r="BH77" s="117">
        <f>IF(ISBLANK(R77),"",AT77/Macroindicadores!C$2)</f>
        <v>6.6666666666666666E-2</v>
      </c>
      <c r="BI77" s="117">
        <f>IF(ISBLANK(S77),"",AU77/Macroindicadores!D$2)</f>
        <v>6.6666666666666666E-2</v>
      </c>
      <c r="BJ77" s="117">
        <f>IF(ISBLANK(T77),"",AV77/Macroindicadores!E$2)</f>
        <v>6.6666666666666666E-2</v>
      </c>
      <c r="BK77" s="117">
        <f>IF(ISBLANK(U77),"",AW77/Macroindicadores!F$2)</f>
        <v>6.6666666666666666E-2</v>
      </c>
      <c r="BL77" s="117">
        <f>IF(ISBLANK(V77),"",AX77/Macroindicadores!G$2)</f>
        <v>6.6666666666666666E-2</v>
      </c>
      <c r="BM77" s="117">
        <f>IF(ISBLANK(W77),"",AY77/Macroindicadores!H$2)</f>
        <v>6.6666666666666666E-2</v>
      </c>
      <c r="BN77" s="117">
        <f>IF(ISBLANK(X77),"",AZ77/Macroindicadores!I$2)</f>
        <v>6.6666666666666666E-2</v>
      </c>
      <c r="BO77" s="117">
        <f>IF(ISBLANK(Y77),"",BA77/Macroindicadores!J$2)</f>
        <v>6.6666666666666666E-2</v>
      </c>
      <c r="BP77" s="117">
        <f>IF(ISBLANK(Z77),"",BB77/Macroindicadores!K$2)</f>
        <v>6.6666666666666666E-2</v>
      </c>
      <c r="BQ77" s="117">
        <f>IF(ISBLANK(AA77),"",BC77/Macroindicadores!L$2)</f>
        <v>6.6666666666666666E-2</v>
      </c>
      <c r="BR77" s="117">
        <f>IF(ISBLANK(AB77),"",BD77/Macroindicadores!M$2)</f>
        <v>6.6666666666666666E-2</v>
      </c>
      <c r="BS77" s="118">
        <f>IF(AND(ISBLANK($Q77),ISBLANK($R77),ISBLANK($S77),ISBLANK($T77),ISBLANK($U77),ISBLANK($V77),ISBLANK($W77),ISBLANK($X77),ISBLANK($Y77),ISBLANK($Z77),ISBLANK($AA77),ISBLANK($AB77)),"",SUM(BG77:BR77))</f>
        <v>0.79999999999999993</v>
      </c>
      <c r="BT77" s="25" t="str">
        <f>IF(ISBLANK($L77),"",_xlfn.XLOOKUP($L77,'CENTRO CUSTO'!$A:$A,'CENTRO CUSTO'!$E:$E,FALSE,0))</f>
        <v>Custo Fixo</v>
      </c>
    </row>
    <row r="78" spans="1:72">
      <c r="A78" s="9" t="str">
        <f t="shared" si="52"/>
        <v>Budget</v>
      </c>
      <c r="B78" s="9">
        <f t="shared" si="49"/>
        <v>2026</v>
      </c>
      <c r="C78" s="111" t="str">
        <f>IF(ISBLANK($L78),"",_xlfn.XLOOKUP($L78,'CENTRO CUSTO'!$A:$A,'CENTRO CUSTO'!F:F,FALSE,0))</f>
        <v>MRV</v>
      </c>
      <c r="D78" s="111" t="str">
        <f>IF(ISBLANK($L78),"",_xlfn.XLOOKUP($L78,'CENTRO CUSTO'!$A:$A,'CENTRO CUSTO'!G:G,FALSE,0))</f>
        <v>Passo Fundo</v>
      </c>
      <c r="E78" s="111" t="str">
        <f>IF(ISBLANK($L78),"",_xlfn.XLOOKUP($L78,'CENTRO CUSTO'!$A:$A,'CENTRO CUSTO'!H:H,FALSE,0))</f>
        <v>Frigorífico</v>
      </c>
      <c r="F78" s="112" t="s">
        <v>125</v>
      </c>
      <c r="G78" s="112" t="s">
        <v>126</v>
      </c>
      <c r="H78" s="112" t="s">
        <v>127</v>
      </c>
      <c r="I78" s="113" t="s">
        <v>77</v>
      </c>
      <c r="J78" s="113" t="s">
        <v>78</v>
      </c>
      <c r="K78" s="113" t="s">
        <v>79</v>
      </c>
      <c r="L78" s="113" t="s">
        <v>41</v>
      </c>
      <c r="M78" s="111" t="str">
        <f>IF(ISBLANK($L78),"",_xlfn.XLOOKUP($L78,'CENTRO CUSTO'!$A:$A,'CENTRO CUSTO'!D:D,FALSE,0))</f>
        <v>Alexandre Ayabe</v>
      </c>
      <c r="N78" s="113" t="s">
        <v>87</v>
      </c>
      <c r="O78" s="114"/>
      <c r="P78" s="113" t="s">
        <v>88</v>
      </c>
      <c r="Q78" s="115">
        <f t="shared" ref="Q78" si="62">800/12</f>
        <v>66.666666666666671</v>
      </c>
      <c r="R78" s="115">
        <f t="shared" si="61"/>
        <v>66.666666666666671</v>
      </c>
      <c r="S78" s="115">
        <f t="shared" si="61"/>
        <v>66.666666666666671</v>
      </c>
      <c r="T78" s="115">
        <f t="shared" si="61"/>
        <v>66.666666666666671</v>
      </c>
      <c r="U78" s="115">
        <f t="shared" si="61"/>
        <v>66.666666666666671</v>
      </c>
      <c r="V78" s="115">
        <f t="shared" si="61"/>
        <v>66.666666666666671</v>
      </c>
      <c r="W78" s="115">
        <f t="shared" si="61"/>
        <v>66.666666666666671</v>
      </c>
      <c r="X78" s="115">
        <f t="shared" si="61"/>
        <v>66.666666666666671</v>
      </c>
      <c r="Y78" s="115">
        <f t="shared" si="61"/>
        <v>66.666666666666671</v>
      </c>
      <c r="Z78" s="115">
        <f t="shared" si="61"/>
        <v>66.666666666666671</v>
      </c>
      <c r="AA78" s="115">
        <f t="shared" si="61"/>
        <v>66.666666666666671</v>
      </c>
      <c r="AB78" s="115">
        <f t="shared" si="61"/>
        <v>66.666666666666671</v>
      </c>
      <c r="AC78" s="116">
        <f t="shared" si="53"/>
        <v>799.99999999999989</v>
      </c>
      <c r="AD78" s="108"/>
      <c r="AE78" s="117">
        <f>IF(ISBLANK(Q78),"",IF($P78="BRL",Q78,Q78*Macroindicadores!B$2)/1000)</f>
        <v>0.39200000000000002</v>
      </c>
      <c r="AF78" s="117">
        <f>IF(ISBLANK(R78),"",IF($P78="BRL",R78,R78*Macroindicadores!C$2)/1000)</f>
        <v>0.39200000000000002</v>
      </c>
      <c r="AG78" s="117">
        <f>IF(ISBLANK(S78),"",IF($P78="BRL",S78,S78*Macroindicadores!D$2)/1000)</f>
        <v>0.39200000000000002</v>
      </c>
      <c r="AH78" s="117">
        <f>IF(ISBLANK(T78),"",IF($P78="BRL",T78,T78*Macroindicadores!E$2)/1000)</f>
        <v>0.39200000000000002</v>
      </c>
      <c r="AI78" s="117">
        <f>IF(ISBLANK(U78),"",IF($P78="BRL",U78,U78*Macroindicadores!F$2)/1000)</f>
        <v>0.39200000000000002</v>
      </c>
      <c r="AJ78" s="117">
        <f>IF(ISBLANK(V78),"",IF($P78="BRL",V78,V78*Macroindicadores!G$2)/1000)</f>
        <v>0.39200000000000002</v>
      </c>
      <c r="AK78" s="117">
        <f>IF(ISBLANK(W78),"",IF($P78="BRL",W78,W78*Macroindicadores!H$2)/1000)</f>
        <v>0.39200000000000002</v>
      </c>
      <c r="AL78" s="117">
        <f>IF(ISBLANK(X78),"",IF($P78="BRL",X78,X78*Macroindicadores!I$2)/1000)</f>
        <v>0.39200000000000002</v>
      </c>
      <c r="AM78" s="117">
        <f>IF(ISBLANK(Y78),"",IF($P78="BRL",Y78,Y78*Macroindicadores!J$2)/1000)</f>
        <v>0.39200000000000002</v>
      </c>
      <c r="AN78" s="117">
        <f>IF(ISBLANK(Z78),"",IF($P78="BRL",Z78,Z78*Macroindicadores!K$2)/1000)</f>
        <v>0.39200000000000002</v>
      </c>
      <c r="AO78" s="117">
        <f>IF(ISBLANK(AA78),"",IF($P78="BRL",AA78,AA78*Macroindicadores!L$2)/1000)</f>
        <v>0.39200000000000002</v>
      </c>
      <c r="AP78" s="117">
        <f>IF(ISBLANK(AB78),"",IF($P78="BRL",AB78,AB78*Macroindicadores!M$2)/1000)</f>
        <v>0.39200000000000002</v>
      </c>
      <c r="AQ78" s="118">
        <f t="shared" si="51"/>
        <v>4.7039999999999997</v>
      </c>
      <c r="AR78" s="108"/>
      <c r="AS78" s="117">
        <f>IF(ISBLANK(Q78),"",IF(ISBLANK($O78),AE78,IF($J78="ANUAL",AE78*(1+Macroindicadores!B$7),IF(AND($I78="NOVO",MONTH($O78)=MONTH(AS$4)),AE78*(1+Macroindicadores!B$7),IF(AND($J78="PONTUAL",MONTH($O78)=MONTH(AS$4)),AE78*(1+Macroindicadores!B$7),IF(AND($J78="PONTUAL",MONTH($O78)&lt;MONTH(AS$4)),MIN(AR78:$AS78),IF(AND($I78="NOVO",MONTH($O78)&gt;MONTH(AS$4)),AE78,IF(MONTH($O78)&gt;MONTH(AS$4),AE78,IF(MONTH($O78)=MONTH(AS$4),AE78*(1+Macroindicadores!B$7),AR78)))))))))</f>
        <v>0.39200000000000002</v>
      </c>
      <c r="AT78" s="117">
        <f>IF(ISBLANK(R78),"",IF(ISBLANK($O78),AF78,IF($J78="ANUAL",AF78*(1+Macroindicadores!C$7),IF(AND($I78="NOVO",MONTH($O78)=MONTH(AT$4)),AF78*(1+Macroindicadores!C$7),IF(AND($J78="PONTUAL",MONTH($O78)=MONTH(AT$4)),AF78*(1+Macroindicadores!C$7),IF(AND($J78="PONTUAL",MONTH($O78)&lt;MONTH(AT$4)),MIN($AS78:AS78),IF(AND($I78="NOVO",MONTH($O78)&gt;MONTH(AT$4)),AF78,IF(MONTH($O78)&gt;MONTH(AT$4),AF78,IF(MONTH($O78)=MONTH(AT$4),AF78*(1+Macroindicadores!C$7),AS78)))))))))</f>
        <v>0.39200000000000002</v>
      </c>
      <c r="AU78" s="117">
        <f>IF(ISBLANK(S78),"",IF(ISBLANK($O78),AG78,IF($J78="ANUAL",AG78*(1+Macroindicadores!D$7),IF(AND($I78="NOVO",MONTH($O78)=MONTH(AU$4)),AG78*(1+Macroindicadores!D$7),IF(AND($J78="PONTUAL",MONTH($O78)=MONTH(AU$4)),AG78*(1+Macroindicadores!D$7),IF(AND($J78="PONTUAL",MONTH($O78)&lt;MONTH(AU$4)),MIN($AS78:AT78),IF(AND($I78="NOVO",MONTH($O78)&gt;MONTH(AU$4)),AG78,IF(MONTH($O78)&gt;MONTH(AU$4),AG78,IF(MONTH($O78)=MONTH(AU$4),AG78*(1+Macroindicadores!D$7),AT78)))))))))</f>
        <v>0.39200000000000002</v>
      </c>
      <c r="AV78" s="117">
        <f>IF(ISBLANK(T78),"",IF(ISBLANK($O78),AH78,IF($J78="ANUAL",AH78*(1+Macroindicadores!E$7),IF(AND($I78="NOVO",MONTH($O78)=MONTH(AV$4)),AH78*(1+Macroindicadores!E$7),IF(AND($J78="PONTUAL",MONTH($O78)=MONTH(AV$4)),AH78*(1+Macroindicadores!E$7),IF(AND($J78="PONTUAL",MONTH($O78)&lt;MONTH(AV$4)),MIN($AS78:AU78),IF(AND($I78="NOVO",MONTH($O78)&gt;MONTH(AV$4)),AH78,IF(MONTH($O78)&gt;MONTH(AV$4),AH78,IF(MONTH($O78)=MONTH(AV$4),AH78*(1+Macroindicadores!E$7),AU78)))))))))</f>
        <v>0.39200000000000002</v>
      </c>
      <c r="AW78" s="117">
        <f>IF(ISBLANK(U78),"",IF(ISBLANK($O78),AI78,IF($J78="ANUAL",AI78*(1+Macroindicadores!F$7),IF(AND($I78="NOVO",MONTH($O78)=MONTH(AW$4)),AI78*(1+Macroindicadores!F$7),IF(AND($J78="PONTUAL",MONTH($O78)=MONTH(AW$4)),AI78*(1+Macroindicadores!F$7),IF(AND($J78="PONTUAL",MONTH($O78)&lt;MONTH(AW$4)),MIN($AS78:AV78),IF(AND($I78="NOVO",MONTH($O78)&gt;MONTH(AW$4)),AI78,IF(MONTH($O78)&gt;MONTH(AW$4),AI78,IF(MONTH($O78)=MONTH(AW$4),AI78*(1+Macroindicadores!F$7),AV78)))))))))</f>
        <v>0.39200000000000002</v>
      </c>
      <c r="AX78" s="117">
        <f>IF(ISBLANK(V78),"",IF(ISBLANK($O78),AJ78,IF($J78="ANUAL",AJ78*(1+Macroindicadores!G$7),IF(AND($I78="NOVO",MONTH($O78)=MONTH(AX$4)),AJ78*(1+Macroindicadores!G$7),IF(AND($J78="PONTUAL",MONTH($O78)=MONTH(AX$4)),AJ78*(1+Macroindicadores!G$7),IF(AND($J78="PONTUAL",MONTH($O78)&lt;MONTH(AX$4)),MIN($AS78:AW78),IF(AND($I78="NOVO",MONTH($O78)&gt;MONTH(AX$4)),AJ78,IF(MONTH($O78)&gt;MONTH(AX$4),AJ78,IF(MONTH($O78)=MONTH(AX$4),AJ78*(1+Macroindicadores!G$7),AW78)))))))))</f>
        <v>0.39200000000000002</v>
      </c>
      <c r="AY78" s="117">
        <f>IF(ISBLANK(W78),"",IF(ISBLANK($O78),AK78,IF($J78="ANUAL",AK78*(1+Macroindicadores!H$7),IF(AND($I78="NOVO",MONTH($O78)=MONTH(AY$4)),AK78*(1+Macroindicadores!H$7),IF(AND($J78="PONTUAL",MONTH($O78)=MONTH(AY$4)),AK78*(1+Macroindicadores!H$7),IF(AND($J78="PONTUAL",MONTH($O78)&lt;MONTH(AY$4)),MIN($AS78:AX78),IF(AND($I78="NOVO",MONTH($O78)&gt;MONTH(AY$4)),AK78,IF(MONTH($O78)&gt;MONTH(AY$4),AK78,IF(MONTH($O78)=MONTH(AY$4),AK78*(1+Macroindicadores!H$7),AX78)))))))))</f>
        <v>0.39200000000000002</v>
      </c>
      <c r="AZ78" s="117">
        <f>IF(ISBLANK(X78),"",IF(ISBLANK($O78),AL78,IF($J78="ANUAL",AL78*(1+Macroindicadores!I$7),IF(AND($I78="NOVO",MONTH($O78)=MONTH(AZ$4)),AL78*(1+Macroindicadores!I$7),IF(AND($J78="PONTUAL",MONTH($O78)=MONTH(AZ$4)),AL78*(1+Macroindicadores!I$7),IF(AND($J78="PONTUAL",MONTH($O78)&lt;MONTH(AZ$4)),MIN($AS78:AY78),IF(AND($I78="NOVO",MONTH($O78)&gt;MONTH(AZ$4)),AL78,IF(MONTH($O78)&gt;MONTH(AZ$4),AL78,IF(MONTH($O78)=MONTH(AZ$4),AL78*(1+Macroindicadores!I$7),AY78)))))))))</f>
        <v>0.39200000000000002</v>
      </c>
      <c r="BA78" s="117">
        <f>IF(ISBLANK(Y78),"",IF(ISBLANK($O78),AM78,IF($J78="ANUAL",AM78*(1+Macroindicadores!J$7),IF(AND($I78="NOVO",MONTH($O78)=MONTH(BA$4)),AM78*(1+Macroindicadores!J$7),IF(AND($J78="PONTUAL",MONTH($O78)=MONTH(BA$4)),AM78*(1+Macroindicadores!J$7),IF(AND($J78="PONTUAL",MONTH($O78)&lt;MONTH(BA$4)),MIN($AS78:AZ78),IF(AND($I78="NOVO",MONTH($O78)&gt;MONTH(BA$4)),AM78,IF(MONTH($O78)&gt;MONTH(BA$4),AM78,IF(MONTH($O78)=MONTH(BA$4),AM78*(1+Macroindicadores!J$7),AZ78)))))))))</f>
        <v>0.39200000000000002</v>
      </c>
      <c r="BB78" s="117">
        <f>IF(ISBLANK(Z78),"",IF(ISBLANK($O78),AN78,IF($J78="ANUAL",AN78*(1+Macroindicadores!K$7),IF(AND($I78="NOVO",MONTH($O78)=MONTH(BB$4)),AN78*(1+Macroindicadores!K$7),IF(AND($J78="PONTUAL",MONTH($O78)=MONTH(BB$4)),AN78*(1+Macroindicadores!K$7),IF(AND($J78="PONTUAL",MONTH($O78)&lt;MONTH(BB$4)),MIN($AS78:BA78),IF(AND($I78="NOVO",MONTH($O78)&gt;MONTH(BB$4)),AN78,IF(MONTH($O78)&gt;MONTH(BB$4),AN78,IF(MONTH($O78)=MONTH(BB$4),AN78*(1+Macroindicadores!K$7),BA78)))))))))</f>
        <v>0.39200000000000002</v>
      </c>
      <c r="BC78" s="117">
        <f>IF(ISBLANK(AA78),"",IF(ISBLANK($O78),AO78,IF($J78="ANUAL",AO78*(1+Macroindicadores!L$7),IF(AND($I78="NOVO",MONTH($O78)=MONTH(BC$4)),AO78*(1+Macroindicadores!L$7),IF(AND($J78="PONTUAL",MONTH($O78)=MONTH(BC$4)),AO78*(1+Macroindicadores!L$7),IF(AND($J78="PONTUAL",MONTH($O78)&lt;MONTH(BC$4)),MIN($AS78:BB78),IF(AND($I78="NOVO",MONTH($O78)&gt;MONTH(BC$4)),AO78,IF(MONTH($O78)&gt;MONTH(BC$4),AO78,IF(MONTH($O78)=MONTH(BC$4),AO78*(1+Macroindicadores!L$7),BB78)))))))))</f>
        <v>0.39200000000000002</v>
      </c>
      <c r="BD78" s="117">
        <f>IF(ISBLANK(AB78),"",IF(ISBLANK($O78),AP78,IF($J78="ANUAL",AP78*(1+Macroindicadores!M$7),IF(AND($I78="NOVO",MONTH($O78)=MONTH(BD$4)),AP78*(1+Macroindicadores!M$7),IF(AND($J78="PONTUAL",MONTH($O78)=MONTH(BD$4)),AP78*(1+Macroindicadores!M$7),IF(AND($J78="PONTUAL",MONTH($O78)&lt;MONTH(BD$4)),MIN($AS78:BC78),IF(AND($I78="NOVO",MONTH($O78)&gt;MONTH(BD$4)),AP78,IF(MONTH($O78)&gt;MONTH(BD$4),AP78,IF(MONTH($O78)=MONTH(BD$4),AP78*(1+Macroindicadores!M$7),BC78)))))))))</f>
        <v>0.39200000000000002</v>
      </c>
      <c r="BE78" s="118">
        <f t="shared" si="50"/>
        <v>4.7039999999999997</v>
      </c>
      <c r="BF78" s="108"/>
      <c r="BG78" s="117">
        <f>IF(ISBLANK(Q78),"",AS78/Macroindicadores!B$2)</f>
        <v>6.6666666666666666E-2</v>
      </c>
      <c r="BH78" s="117">
        <f>IF(ISBLANK(R78),"",AT78/Macroindicadores!C$2)</f>
        <v>6.6666666666666666E-2</v>
      </c>
      <c r="BI78" s="117">
        <f>IF(ISBLANK(S78),"",AU78/Macroindicadores!D$2)</f>
        <v>6.6666666666666666E-2</v>
      </c>
      <c r="BJ78" s="117">
        <f>IF(ISBLANK(T78),"",AV78/Macroindicadores!E$2)</f>
        <v>6.6666666666666666E-2</v>
      </c>
      <c r="BK78" s="117">
        <f>IF(ISBLANK(U78),"",AW78/Macroindicadores!F$2)</f>
        <v>6.6666666666666666E-2</v>
      </c>
      <c r="BL78" s="117">
        <f>IF(ISBLANK(V78),"",AX78/Macroindicadores!G$2)</f>
        <v>6.6666666666666666E-2</v>
      </c>
      <c r="BM78" s="117">
        <f>IF(ISBLANK(W78),"",AY78/Macroindicadores!H$2)</f>
        <v>6.6666666666666666E-2</v>
      </c>
      <c r="BN78" s="117">
        <f>IF(ISBLANK(X78),"",AZ78/Macroindicadores!I$2)</f>
        <v>6.6666666666666666E-2</v>
      </c>
      <c r="BO78" s="117">
        <f>IF(ISBLANK(Y78),"",BA78/Macroindicadores!J$2)</f>
        <v>6.6666666666666666E-2</v>
      </c>
      <c r="BP78" s="117">
        <f>IF(ISBLANK(Z78),"",BB78/Macroindicadores!K$2)</f>
        <v>6.6666666666666666E-2</v>
      </c>
      <c r="BQ78" s="117">
        <f>IF(ISBLANK(AA78),"",BC78/Macroindicadores!L$2)</f>
        <v>6.6666666666666666E-2</v>
      </c>
      <c r="BR78" s="117">
        <f>IF(ISBLANK(AB78),"",BD78/Macroindicadores!M$2)</f>
        <v>6.6666666666666666E-2</v>
      </c>
      <c r="BS78" s="118">
        <f>IF(AND(ISBLANK($Q78),ISBLANK($R78),ISBLANK($S78),ISBLANK($T78),ISBLANK($U78),ISBLANK($V78),ISBLANK($W78),ISBLANK($X78),ISBLANK($Y78),ISBLANK($Z78),ISBLANK($AA78),ISBLANK($AB78)),"",SUM(BG78:BR78))</f>
        <v>0.79999999999999993</v>
      </c>
      <c r="BT78" s="25" t="str">
        <f>IF(ISBLANK($L78),"",_xlfn.XLOOKUP($L78,'CENTRO CUSTO'!$A:$A,'CENTRO CUSTO'!$E:$E,FALSE,0))</f>
        <v>Custo Fixo</v>
      </c>
    </row>
    <row r="79" spans="1:72">
      <c r="A79" s="9" t="str">
        <f t="shared" si="52"/>
        <v>Budget</v>
      </c>
      <c r="B79" s="9">
        <f t="shared" si="49"/>
        <v>2026</v>
      </c>
      <c r="C79" s="111" t="str">
        <f>IF(ISBLANK($L79),"",_xlfn.XLOOKUP($L79,'CENTRO CUSTO'!$A:$A,'CENTRO CUSTO'!F:F,FALSE,0))</f>
        <v>SKM</v>
      </c>
      <c r="D79" s="111" t="str">
        <f>IF(ISBLANK($L79),"",_xlfn.XLOOKUP($L79,'CENTRO CUSTO'!$A:$A,'CENTRO CUSTO'!G:G,FALSE,0))</f>
        <v>G100B</v>
      </c>
      <c r="E79" s="111" t="str">
        <f>IF(ISBLANK($L79),"",_xlfn.XLOOKUP($L79,'CENTRO CUSTO'!$A:$A,'CENTRO CUSTO'!H:H,FALSE,0))</f>
        <v>Frigorífico</v>
      </c>
      <c r="F79" s="112" t="s">
        <v>125</v>
      </c>
      <c r="G79" s="112" t="s">
        <v>126</v>
      </c>
      <c r="H79" s="112" t="s">
        <v>127</v>
      </c>
      <c r="I79" s="113" t="s">
        <v>77</v>
      </c>
      <c r="J79" s="113" t="s">
        <v>78</v>
      </c>
      <c r="K79" s="113" t="s">
        <v>79</v>
      </c>
      <c r="L79" s="113" t="s">
        <v>48</v>
      </c>
      <c r="M79" s="111" t="str">
        <f>IF(ISBLANK($L79),"",_xlfn.XLOOKUP($L79,'CENTRO CUSTO'!$A:$A,'CENTRO CUSTO'!D:D,FALSE,0))</f>
        <v>Alexandre Ayabe</v>
      </c>
      <c r="N79" s="113" t="s">
        <v>87</v>
      </c>
      <c r="O79" s="114"/>
      <c r="P79" s="113" t="s">
        <v>88</v>
      </c>
      <c r="Q79" s="115">
        <f>1920/12</f>
        <v>160</v>
      </c>
      <c r="R79" s="115">
        <f t="shared" ref="R79:AB79" si="63">1920/12</f>
        <v>160</v>
      </c>
      <c r="S79" s="115">
        <f t="shared" si="63"/>
        <v>160</v>
      </c>
      <c r="T79" s="115">
        <f t="shared" si="63"/>
        <v>160</v>
      </c>
      <c r="U79" s="115">
        <f t="shared" si="63"/>
        <v>160</v>
      </c>
      <c r="V79" s="115">
        <f t="shared" si="63"/>
        <v>160</v>
      </c>
      <c r="W79" s="115">
        <f t="shared" si="63"/>
        <v>160</v>
      </c>
      <c r="X79" s="115">
        <f t="shared" si="63"/>
        <v>160</v>
      </c>
      <c r="Y79" s="115">
        <f t="shared" si="63"/>
        <v>160</v>
      </c>
      <c r="Z79" s="115">
        <f t="shared" si="63"/>
        <v>160</v>
      </c>
      <c r="AA79" s="115">
        <f t="shared" si="63"/>
        <v>160</v>
      </c>
      <c r="AB79" s="115">
        <f t="shared" si="63"/>
        <v>160</v>
      </c>
      <c r="AC79" s="116">
        <f t="shared" si="53"/>
        <v>1920</v>
      </c>
      <c r="AD79" s="108"/>
      <c r="AE79" s="117">
        <f>IF(ISBLANK(Q79),"",IF($P79="BRL",Q79,Q79*Macroindicadores!B$2)/1000)</f>
        <v>0.94079999999999997</v>
      </c>
      <c r="AF79" s="117">
        <f>IF(ISBLANK(R79),"",IF($P79="BRL",R79,R79*Macroindicadores!C$2)/1000)</f>
        <v>0.94079999999999997</v>
      </c>
      <c r="AG79" s="117">
        <f>IF(ISBLANK(S79),"",IF($P79="BRL",S79,S79*Macroindicadores!D$2)/1000)</f>
        <v>0.94079999999999997</v>
      </c>
      <c r="AH79" s="117">
        <f>IF(ISBLANK(T79),"",IF($P79="BRL",T79,T79*Macroindicadores!E$2)/1000)</f>
        <v>0.94079999999999997</v>
      </c>
      <c r="AI79" s="117">
        <f>IF(ISBLANK(U79),"",IF($P79="BRL",U79,U79*Macroindicadores!F$2)/1000)</f>
        <v>0.94079999999999997</v>
      </c>
      <c r="AJ79" s="117">
        <f>IF(ISBLANK(V79),"",IF($P79="BRL",V79,V79*Macroindicadores!G$2)/1000)</f>
        <v>0.94079999999999997</v>
      </c>
      <c r="AK79" s="117">
        <f>IF(ISBLANK(W79),"",IF($P79="BRL",W79,W79*Macroindicadores!H$2)/1000)</f>
        <v>0.94079999999999997</v>
      </c>
      <c r="AL79" s="117">
        <f>IF(ISBLANK(X79),"",IF($P79="BRL",X79,X79*Macroindicadores!I$2)/1000)</f>
        <v>0.94079999999999997</v>
      </c>
      <c r="AM79" s="117">
        <f>IF(ISBLANK(Y79),"",IF($P79="BRL",Y79,Y79*Macroindicadores!J$2)/1000)</f>
        <v>0.94079999999999997</v>
      </c>
      <c r="AN79" s="117">
        <f>IF(ISBLANK(Z79),"",IF($P79="BRL",Z79,Z79*Macroindicadores!K$2)/1000)</f>
        <v>0.94079999999999997</v>
      </c>
      <c r="AO79" s="117">
        <f>IF(ISBLANK(AA79),"",IF($P79="BRL",AA79,AA79*Macroindicadores!L$2)/1000)</f>
        <v>0.94079999999999997</v>
      </c>
      <c r="AP79" s="117">
        <f>IF(ISBLANK(AB79),"",IF($P79="BRL",AB79,AB79*Macroindicadores!M$2)/1000)</f>
        <v>0.94079999999999997</v>
      </c>
      <c r="AQ79" s="118">
        <f t="shared" si="51"/>
        <v>11.289599999999998</v>
      </c>
      <c r="AR79" s="108"/>
      <c r="AS79" s="117">
        <f>IF(ISBLANK(Q79),"",IF(ISBLANK($O79),AE79,IF($J79="ANUAL",AE79*(1+Macroindicadores!B$7),IF(AND($I79="NOVO",MONTH($O79)=MONTH(AS$4)),AE79*(1+Macroindicadores!B$7),IF(AND($J79="PONTUAL",MONTH($O79)=MONTH(AS$4)),AE79*(1+Macroindicadores!B$7),IF(AND($J79="PONTUAL",MONTH($O79)&lt;MONTH(AS$4)),MIN(AR79:$AS79),IF(AND($I79="NOVO",MONTH($O79)&gt;MONTH(AS$4)),AE79,IF(MONTH($O79)&gt;MONTH(AS$4),AE79,IF(MONTH($O79)=MONTH(AS$4),AE79*(1+Macroindicadores!B$7),AR79)))))))))</f>
        <v>0.94079999999999997</v>
      </c>
      <c r="AT79" s="117">
        <f>IF(ISBLANK(R79),"",IF(ISBLANK($O79),AF79,IF($J79="ANUAL",AF79*(1+Macroindicadores!C$7),IF(AND($I79="NOVO",MONTH($O79)=MONTH(AT$4)),AF79*(1+Macroindicadores!C$7),IF(AND($J79="PONTUAL",MONTH($O79)=MONTH(AT$4)),AF79*(1+Macroindicadores!C$7),IF(AND($J79="PONTUAL",MONTH($O79)&lt;MONTH(AT$4)),MIN($AS79:AS79),IF(AND($I79="NOVO",MONTH($O79)&gt;MONTH(AT$4)),AF79,IF(MONTH($O79)&gt;MONTH(AT$4),AF79,IF(MONTH($O79)=MONTH(AT$4),AF79*(1+Macroindicadores!C$7),AS79)))))))))</f>
        <v>0.94079999999999997</v>
      </c>
      <c r="AU79" s="117">
        <f>IF(ISBLANK(S79),"",IF(ISBLANK($O79),AG79,IF($J79="ANUAL",AG79*(1+Macroindicadores!D$7),IF(AND($I79="NOVO",MONTH($O79)=MONTH(AU$4)),AG79*(1+Macroindicadores!D$7),IF(AND($J79="PONTUAL",MONTH($O79)=MONTH(AU$4)),AG79*(1+Macroindicadores!D$7),IF(AND($J79="PONTUAL",MONTH($O79)&lt;MONTH(AU$4)),MIN($AS79:AT79),IF(AND($I79="NOVO",MONTH($O79)&gt;MONTH(AU$4)),AG79,IF(MONTH($O79)&gt;MONTH(AU$4),AG79,IF(MONTH($O79)=MONTH(AU$4),AG79*(1+Macroindicadores!D$7),AT79)))))))))</f>
        <v>0.94079999999999997</v>
      </c>
      <c r="AV79" s="117">
        <f>IF(ISBLANK(T79),"",IF(ISBLANK($O79),AH79,IF($J79="ANUAL",AH79*(1+Macroindicadores!E$7),IF(AND($I79="NOVO",MONTH($O79)=MONTH(AV$4)),AH79*(1+Macroindicadores!E$7),IF(AND($J79="PONTUAL",MONTH($O79)=MONTH(AV$4)),AH79*(1+Macroindicadores!E$7),IF(AND($J79="PONTUAL",MONTH($O79)&lt;MONTH(AV$4)),MIN($AS79:AU79),IF(AND($I79="NOVO",MONTH($O79)&gt;MONTH(AV$4)),AH79,IF(MONTH($O79)&gt;MONTH(AV$4),AH79,IF(MONTH($O79)=MONTH(AV$4),AH79*(1+Macroindicadores!E$7),AU79)))))))))</f>
        <v>0.94079999999999997</v>
      </c>
      <c r="AW79" s="117">
        <f>IF(ISBLANK(U79),"",IF(ISBLANK($O79),AI79,IF($J79="ANUAL",AI79*(1+Macroindicadores!F$7),IF(AND($I79="NOVO",MONTH($O79)=MONTH(AW$4)),AI79*(1+Macroindicadores!F$7),IF(AND($J79="PONTUAL",MONTH($O79)=MONTH(AW$4)),AI79*(1+Macroindicadores!F$7),IF(AND($J79="PONTUAL",MONTH($O79)&lt;MONTH(AW$4)),MIN($AS79:AV79),IF(AND($I79="NOVO",MONTH($O79)&gt;MONTH(AW$4)),AI79,IF(MONTH($O79)&gt;MONTH(AW$4),AI79,IF(MONTH($O79)=MONTH(AW$4),AI79*(1+Macroindicadores!F$7),AV79)))))))))</f>
        <v>0.94079999999999997</v>
      </c>
      <c r="AX79" s="117">
        <f>IF(ISBLANK(V79),"",IF(ISBLANK($O79),AJ79,IF($J79="ANUAL",AJ79*(1+Macroindicadores!G$7),IF(AND($I79="NOVO",MONTH($O79)=MONTH(AX$4)),AJ79*(1+Macroindicadores!G$7),IF(AND($J79="PONTUAL",MONTH($O79)=MONTH(AX$4)),AJ79*(1+Macroindicadores!G$7),IF(AND($J79="PONTUAL",MONTH($O79)&lt;MONTH(AX$4)),MIN($AS79:AW79),IF(AND($I79="NOVO",MONTH($O79)&gt;MONTH(AX$4)),AJ79,IF(MONTH($O79)&gt;MONTH(AX$4),AJ79,IF(MONTH($O79)=MONTH(AX$4),AJ79*(1+Macroindicadores!G$7),AW79)))))))))</f>
        <v>0.94079999999999997</v>
      </c>
      <c r="AY79" s="117">
        <f>IF(ISBLANK(W79),"",IF(ISBLANK($O79),AK79,IF($J79="ANUAL",AK79*(1+Macroindicadores!H$7),IF(AND($I79="NOVO",MONTH($O79)=MONTH(AY$4)),AK79*(1+Macroindicadores!H$7),IF(AND($J79="PONTUAL",MONTH($O79)=MONTH(AY$4)),AK79*(1+Macroindicadores!H$7),IF(AND($J79="PONTUAL",MONTH($O79)&lt;MONTH(AY$4)),MIN($AS79:AX79),IF(AND($I79="NOVO",MONTH($O79)&gt;MONTH(AY$4)),AK79,IF(MONTH($O79)&gt;MONTH(AY$4),AK79,IF(MONTH($O79)=MONTH(AY$4),AK79*(1+Macroindicadores!H$7),AX79)))))))))</f>
        <v>0.94079999999999997</v>
      </c>
      <c r="AZ79" s="117">
        <f>IF(ISBLANK(X79),"",IF(ISBLANK($O79),AL79,IF($J79="ANUAL",AL79*(1+Macroindicadores!I$7),IF(AND($I79="NOVO",MONTH($O79)=MONTH(AZ$4)),AL79*(1+Macroindicadores!I$7),IF(AND($J79="PONTUAL",MONTH($O79)=MONTH(AZ$4)),AL79*(1+Macroindicadores!I$7),IF(AND($J79="PONTUAL",MONTH($O79)&lt;MONTH(AZ$4)),MIN($AS79:AY79),IF(AND($I79="NOVO",MONTH($O79)&gt;MONTH(AZ$4)),AL79,IF(MONTH($O79)&gt;MONTH(AZ$4),AL79,IF(MONTH($O79)=MONTH(AZ$4),AL79*(1+Macroindicadores!I$7),AY79)))))))))</f>
        <v>0.94079999999999997</v>
      </c>
      <c r="BA79" s="117">
        <f>IF(ISBLANK(Y79),"",IF(ISBLANK($O79),AM79,IF($J79="ANUAL",AM79*(1+Macroindicadores!J$7),IF(AND($I79="NOVO",MONTH($O79)=MONTH(BA$4)),AM79*(1+Macroindicadores!J$7),IF(AND($J79="PONTUAL",MONTH($O79)=MONTH(BA$4)),AM79*(1+Macroindicadores!J$7),IF(AND($J79="PONTUAL",MONTH($O79)&lt;MONTH(BA$4)),MIN($AS79:AZ79),IF(AND($I79="NOVO",MONTH($O79)&gt;MONTH(BA$4)),AM79,IF(MONTH($O79)&gt;MONTH(BA$4),AM79,IF(MONTH($O79)=MONTH(BA$4),AM79*(1+Macroindicadores!J$7),AZ79)))))))))</f>
        <v>0.94079999999999997</v>
      </c>
      <c r="BB79" s="117">
        <f>IF(ISBLANK(Z79),"",IF(ISBLANK($O79),AN79,IF($J79="ANUAL",AN79*(1+Macroindicadores!K$7),IF(AND($I79="NOVO",MONTH($O79)=MONTH(BB$4)),AN79*(1+Macroindicadores!K$7),IF(AND($J79="PONTUAL",MONTH($O79)=MONTH(BB$4)),AN79*(1+Macroindicadores!K$7),IF(AND($J79="PONTUAL",MONTH($O79)&lt;MONTH(BB$4)),MIN($AS79:BA79),IF(AND($I79="NOVO",MONTH($O79)&gt;MONTH(BB$4)),AN79,IF(MONTH($O79)&gt;MONTH(BB$4),AN79,IF(MONTH($O79)=MONTH(BB$4),AN79*(1+Macroindicadores!K$7),BA79)))))))))</f>
        <v>0.94079999999999997</v>
      </c>
      <c r="BC79" s="117">
        <f>IF(ISBLANK(AA79),"",IF(ISBLANK($O79),AO79,IF($J79="ANUAL",AO79*(1+Macroindicadores!L$7),IF(AND($I79="NOVO",MONTH($O79)=MONTH(BC$4)),AO79*(1+Macroindicadores!L$7),IF(AND($J79="PONTUAL",MONTH($O79)=MONTH(BC$4)),AO79*(1+Macroindicadores!L$7),IF(AND($J79="PONTUAL",MONTH($O79)&lt;MONTH(BC$4)),MIN($AS79:BB79),IF(AND($I79="NOVO",MONTH($O79)&gt;MONTH(BC$4)),AO79,IF(MONTH($O79)&gt;MONTH(BC$4),AO79,IF(MONTH($O79)=MONTH(BC$4),AO79*(1+Macroindicadores!L$7),BB79)))))))))</f>
        <v>0.94079999999999997</v>
      </c>
      <c r="BD79" s="117">
        <f>IF(ISBLANK(AB79),"",IF(ISBLANK($O79),AP79,IF($J79="ANUAL",AP79*(1+Macroindicadores!M$7),IF(AND($I79="NOVO",MONTH($O79)=MONTH(BD$4)),AP79*(1+Macroindicadores!M$7),IF(AND($J79="PONTUAL",MONTH($O79)=MONTH(BD$4)),AP79*(1+Macroindicadores!M$7),IF(AND($J79="PONTUAL",MONTH($O79)&lt;MONTH(BD$4)),MIN($AS79:BC79),IF(AND($I79="NOVO",MONTH($O79)&gt;MONTH(BD$4)),AP79,IF(MONTH($O79)&gt;MONTH(BD$4),AP79,IF(MONTH($O79)=MONTH(BD$4),AP79*(1+Macroindicadores!M$7),BC79)))))))))</f>
        <v>0.94079999999999997</v>
      </c>
      <c r="BE79" s="118">
        <f t="shared" si="50"/>
        <v>11.289599999999998</v>
      </c>
      <c r="BF79" s="108"/>
      <c r="BG79" s="117">
        <f>IF(ISBLANK(Q79),"",AS79/Macroindicadores!B$2)</f>
        <v>0.16</v>
      </c>
      <c r="BH79" s="117">
        <f>IF(ISBLANK(R79),"",AT79/Macroindicadores!C$2)</f>
        <v>0.16</v>
      </c>
      <c r="BI79" s="117">
        <f>IF(ISBLANK(S79),"",AU79/Macroindicadores!D$2)</f>
        <v>0.16</v>
      </c>
      <c r="BJ79" s="117">
        <f>IF(ISBLANK(T79),"",AV79/Macroindicadores!E$2)</f>
        <v>0.16</v>
      </c>
      <c r="BK79" s="117">
        <f>IF(ISBLANK(U79),"",AW79/Macroindicadores!F$2)</f>
        <v>0.16</v>
      </c>
      <c r="BL79" s="117">
        <f>IF(ISBLANK(V79),"",AX79/Macroindicadores!G$2)</f>
        <v>0.16</v>
      </c>
      <c r="BM79" s="117">
        <f>IF(ISBLANK(W79),"",AY79/Macroindicadores!H$2)</f>
        <v>0.16</v>
      </c>
      <c r="BN79" s="117">
        <f>IF(ISBLANK(X79),"",AZ79/Macroindicadores!I$2)</f>
        <v>0.16</v>
      </c>
      <c r="BO79" s="117">
        <f>IF(ISBLANK(Y79),"",BA79/Macroindicadores!J$2)</f>
        <v>0.16</v>
      </c>
      <c r="BP79" s="117">
        <f>IF(ISBLANK(Z79),"",BB79/Macroindicadores!K$2)</f>
        <v>0.16</v>
      </c>
      <c r="BQ79" s="117">
        <f>IF(ISBLANK(AA79),"",BC79/Macroindicadores!L$2)</f>
        <v>0.16</v>
      </c>
      <c r="BR79" s="117">
        <f>IF(ISBLANK(AB79),"",BD79/Macroindicadores!M$2)</f>
        <v>0.16</v>
      </c>
      <c r="BS79" s="118">
        <f>IF(AND(ISBLANK($Q79),ISBLANK($R79),ISBLANK($S79),ISBLANK($T79),ISBLANK($U79),ISBLANK($V79),ISBLANK($W79),ISBLANK($X79),ISBLANK($Y79),ISBLANK($Z79),ISBLANK($AA79),ISBLANK($AB79)),"",SUM(BG79:BR79))</f>
        <v>1.9199999999999997</v>
      </c>
      <c r="BT79" s="25" t="str">
        <f>IF(ISBLANK($L79),"",_xlfn.XLOOKUP($L79,'CENTRO CUSTO'!$A:$A,'CENTRO CUSTO'!$E:$E,FALSE,0))</f>
        <v>Custo Fixo</v>
      </c>
    </row>
    <row r="80" spans="1:72">
      <c r="A80" s="9" t="str">
        <f t="shared" si="52"/>
        <v>Budget</v>
      </c>
      <c r="B80" s="9">
        <f t="shared" si="49"/>
        <v>2026</v>
      </c>
      <c r="C80" s="111" t="str">
        <f>IF(ISBLANK($L80),"",_xlfn.XLOOKUP($L80,'CENTRO CUSTO'!$A:$A,'CENTRO CUSTO'!F:F,FALSE,0))</f>
        <v>Cone Sul</v>
      </c>
      <c r="D80" s="111" t="str">
        <f>IF(ISBLANK($L80),"",_xlfn.XLOOKUP($L80,'CENTRO CUSTO'!$A:$A,'CENTRO CUSTO'!G:G,FALSE,0))</f>
        <v>Plataforma</v>
      </c>
      <c r="E80" s="111" t="str">
        <f>IF(ISBLANK($L80),"",_xlfn.XLOOKUP($L80,'CENTRO CUSTO'!$A:$A,'CENTRO CUSTO'!H:H,FALSE,0))</f>
        <v>G&amp;A</v>
      </c>
      <c r="F80" s="112" t="s">
        <v>125</v>
      </c>
      <c r="G80" s="112" t="s">
        <v>126</v>
      </c>
      <c r="H80" s="112" t="s">
        <v>127</v>
      </c>
      <c r="I80" s="113" t="s">
        <v>77</v>
      </c>
      <c r="J80" s="113" t="s">
        <v>78</v>
      </c>
      <c r="K80" s="113" t="s">
        <v>79</v>
      </c>
      <c r="L80" s="113" t="s">
        <v>54</v>
      </c>
      <c r="M80" s="111" t="str">
        <f>IF(ISBLANK($L80),"",_xlfn.XLOOKUP($L80,'CENTRO CUSTO'!$A:$A,'CENTRO CUSTO'!D:D,FALSE,0))</f>
        <v>Alexandre Ayabe</v>
      </c>
      <c r="N80" s="113" t="s">
        <v>87</v>
      </c>
      <c r="O80" s="114"/>
      <c r="P80" s="113" t="s">
        <v>88</v>
      </c>
      <c r="Q80" s="115">
        <f>5120/12</f>
        <v>426.66666666666669</v>
      </c>
      <c r="R80" s="115">
        <f t="shared" ref="R80:AB80" si="64">5120/12</f>
        <v>426.66666666666669</v>
      </c>
      <c r="S80" s="115">
        <f t="shared" si="64"/>
        <v>426.66666666666669</v>
      </c>
      <c r="T80" s="115">
        <f t="shared" si="64"/>
        <v>426.66666666666669</v>
      </c>
      <c r="U80" s="115">
        <f t="shared" si="64"/>
        <v>426.66666666666669</v>
      </c>
      <c r="V80" s="115">
        <f t="shared" si="64"/>
        <v>426.66666666666669</v>
      </c>
      <c r="W80" s="115">
        <f t="shared" si="64"/>
        <v>426.66666666666669</v>
      </c>
      <c r="X80" s="115">
        <f t="shared" si="64"/>
        <v>426.66666666666669</v>
      </c>
      <c r="Y80" s="115">
        <f t="shared" si="64"/>
        <v>426.66666666666669</v>
      </c>
      <c r="Z80" s="115">
        <f t="shared" si="64"/>
        <v>426.66666666666669</v>
      </c>
      <c r="AA80" s="115">
        <f t="shared" si="64"/>
        <v>426.66666666666669</v>
      </c>
      <c r="AB80" s="115">
        <f t="shared" si="64"/>
        <v>426.66666666666669</v>
      </c>
      <c r="AC80" s="116">
        <f t="shared" si="53"/>
        <v>5120</v>
      </c>
      <c r="AD80" s="108"/>
      <c r="AE80" s="117">
        <f>IF(ISBLANK(Q80),"",IF($P80="BRL",Q80,Q80*Macroindicadores!B$2)/1000)</f>
        <v>2.5088000000000004</v>
      </c>
      <c r="AF80" s="117">
        <f>IF(ISBLANK(R80),"",IF($P80="BRL",R80,R80*Macroindicadores!C$2)/1000)</f>
        <v>2.5088000000000004</v>
      </c>
      <c r="AG80" s="117">
        <f>IF(ISBLANK(S80),"",IF($P80="BRL",S80,S80*Macroindicadores!D$2)/1000)</f>
        <v>2.5088000000000004</v>
      </c>
      <c r="AH80" s="117">
        <f>IF(ISBLANK(T80),"",IF($P80="BRL",T80,T80*Macroindicadores!E$2)/1000)</f>
        <v>2.5088000000000004</v>
      </c>
      <c r="AI80" s="117">
        <f>IF(ISBLANK(U80),"",IF($P80="BRL",U80,U80*Macroindicadores!F$2)/1000)</f>
        <v>2.5088000000000004</v>
      </c>
      <c r="AJ80" s="117">
        <f>IF(ISBLANK(V80),"",IF($P80="BRL",V80,V80*Macroindicadores!G$2)/1000)</f>
        <v>2.5088000000000004</v>
      </c>
      <c r="AK80" s="117">
        <f>IF(ISBLANK(W80),"",IF($P80="BRL",W80,W80*Macroindicadores!H$2)/1000)</f>
        <v>2.5088000000000004</v>
      </c>
      <c r="AL80" s="117">
        <f>IF(ISBLANK(X80),"",IF($P80="BRL",X80,X80*Macroindicadores!I$2)/1000)</f>
        <v>2.5088000000000004</v>
      </c>
      <c r="AM80" s="117">
        <f>IF(ISBLANK(Y80),"",IF($P80="BRL",Y80,Y80*Macroindicadores!J$2)/1000)</f>
        <v>2.5088000000000004</v>
      </c>
      <c r="AN80" s="117">
        <f>IF(ISBLANK(Z80),"",IF($P80="BRL",Z80,Z80*Macroindicadores!K$2)/1000)</f>
        <v>2.5088000000000004</v>
      </c>
      <c r="AO80" s="117">
        <f>IF(ISBLANK(AA80),"",IF($P80="BRL",AA80,AA80*Macroindicadores!L$2)/1000)</f>
        <v>2.5088000000000004</v>
      </c>
      <c r="AP80" s="117">
        <f>IF(ISBLANK(AB80),"",IF($P80="BRL",AB80,AB80*Macroindicadores!M$2)/1000)</f>
        <v>2.5088000000000004</v>
      </c>
      <c r="AQ80" s="118">
        <f t="shared" si="51"/>
        <v>30.105600000000006</v>
      </c>
      <c r="AR80" s="108"/>
      <c r="AS80" s="117">
        <f>IF(ISBLANK(Q80),"",IF(ISBLANK($O80),AE80,IF($J80="ANUAL",AE80*(1+Macroindicadores!B$7),IF(AND($I80="NOVO",MONTH($O80)=MONTH(AS$4)),AE80*(1+Macroindicadores!B$7),IF(AND($J80="PONTUAL",MONTH($O80)=MONTH(AS$4)),AE80*(1+Macroindicadores!B$7),IF(AND($J80="PONTUAL",MONTH($O80)&lt;MONTH(AS$4)),MIN(AR80:$AS80),IF(AND($I80="NOVO",MONTH($O80)&gt;MONTH(AS$4)),AE80,IF(MONTH($O80)&gt;MONTH(AS$4),AE80,IF(MONTH($O80)=MONTH(AS$4),AE80*(1+Macroindicadores!B$7),AR80)))))))))</f>
        <v>2.5088000000000004</v>
      </c>
      <c r="AT80" s="117">
        <f>IF(ISBLANK(R80),"",IF(ISBLANK($O80),AF80,IF($J80="ANUAL",AF80*(1+Macroindicadores!C$7),IF(AND($I80="NOVO",MONTH($O80)=MONTH(AT$4)),AF80*(1+Macroindicadores!C$7),IF(AND($J80="PONTUAL",MONTH($O80)=MONTH(AT$4)),AF80*(1+Macroindicadores!C$7),IF(AND($J80="PONTUAL",MONTH($O80)&lt;MONTH(AT$4)),MIN($AS80:AS80),IF(AND($I80="NOVO",MONTH($O80)&gt;MONTH(AT$4)),AF80,IF(MONTH($O80)&gt;MONTH(AT$4),AF80,IF(MONTH($O80)=MONTH(AT$4),AF80*(1+Macroindicadores!C$7),AS80)))))))))</f>
        <v>2.5088000000000004</v>
      </c>
      <c r="AU80" s="117">
        <f>IF(ISBLANK(S80),"",IF(ISBLANK($O80),AG80,IF($J80="ANUAL",AG80*(1+Macroindicadores!D$7),IF(AND($I80="NOVO",MONTH($O80)=MONTH(AU$4)),AG80*(1+Macroindicadores!D$7),IF(AND($J80="PONTUAL",MONTH($O80)=MONTH(AU$4)),AG80*(1+Macroindicadores!D$7),IF(AND($J80="PONTUAL",MONTH($O80)&lt;MONTH(AU$4)),MIN($AS80:AT80),IF(AND($I80="NOVO",MONTH($O80)&gt;MONTH(AU$4)),AG80,IF(MONTH($O80)&gt;MONTH(AU$4),AG80,IF(MONTH($O80)=MONTH(AU$4),AG80*(1+Macroindicadores!D$7),AT80)))))))))</f>
        <v>2.5088000000000004</v>
      </c>
      <c r="AV80" s="117">
        <f>IF(ISBLANK(T80),"",IF(ISBLANK($O80),AH80,IF($J80="ANUAL",AH80*(1+Macroindicadores!E$7),IF(AND($I80="NOVO",MONTH($O80)=MONTH(AV$4)),AH80*(1+Macroindicadores!E$7),IF(AND($J80="PONTUAL",MONTH($O80)=MONTH(AV$4)),AH80*(1+Macroindicadores!E$7),IF(AND($J80="PONTUAL",MONTH($O80)&lt;MONTH(AV$4)),MIN($AS80:AU80),IF(AND($I80="NOVO",MONTH($O80)&gt;MONTH(AV$4)),AH80,IF(MONTH($O80)&gt;MONTH(AV$4),AH80,IF(MONTH($O80)=MONTH(AV$4),AH80*(1+Macroindicadores!E$7),AU80)))))))))</f>
        <v>2.5088000000000004</v>
      </c>
      <c r="AW80" s="117">
        <f>IF(ISBLANK(U80),"",IF(ISBLANK($O80),AI80,IF($J80="ANUAL",AI80*(1+Macroindicadores!F$7),IF(AND($I80="NOVO",MONTH($O80)=MONTH(AW$4)),AI80*(1+Macroindicadores!F$7),IF(AND($J80="PONTUAL",MONTH($O80)=MONTH(AW$4)),AI80*(1+Macroindicadores!F$7),IF(AND($J80="PONTUAL",MONTH($O80)&lt;MONTH(AW$4)),MIN($AS80:AV80),IF(AND($I80="NOVO",MONTH($O80)&gt;MONTH(AW$4)),AI80,IF(MONTH($O80)&gt;MONTH(AW$4),AI80,IF(MONTH($O80)=MONTH(AW$4),AI80*(1+Macroindicadores!F$7),AV80)))))))))</f>
        <v>2.5088000000000004</v>
      </c>
      <c r="AX80" s="117">
        <f>IF(ISBLANK(V80),"",IF(ISBLANK($O80),AJ80,IF($J80="ANUAL",AJ80*(1+Macroindicadores!G$7),IF(AND($I80="NOVO",MONTH($O80)=MONTH(AX$4)),AJ80*(1+Macroindicadores!G$7),IF(AND($J80="PONTUAL",MONTH($O80)=MONTH(AX$4)),AJ80*(1+Macroindicadores!G$7),IF(AND($J80="PONTUAL",MONTH($O80)&lt;MONTH(AX$4)),MIN($AS80:AW80),IF(AND($I80="NOVO",MONTH($O80)&gt;MONTH(AX$4)),AJ80,IF(MONTH($O80)&gt;MONTH(AX$4),AJ80,IF(MONTH($O80)=MONTH(AX$4),AJ80*(1+Macroindicadores!G$7),AW80)))))))))</f>
        <v>2.5088000000000004</v>
      </c>
      <c r="AY80" s="117">
        <f>IF(ISBLANK(W80),"",IF(ISBLANK($O80),AK80,IF($J80="ANUAL",AK80*(1+Macroindicadores!H$7),IF(AND($I80="NOVO",MONTH($O80)=MONTH(AY$4)),AK80*(1+Macroindicadores!H$7),IF(AND($J80="PONTUAL",MONTH($O80)=MONTH(AY$4)),AK80*(1+Macroindicadores!H$7),IF(AND($J80="PONTUAL",MONTH($O80)&lt;MONTH(AY$4)),MIN($AS80:AX80),IF(AND($I80="NOVO",MONTH($O80)&gt;MONTH(AY$4)),AK80,IF(MONTH($O80)&gt;MONTH(AY$4),AK80,IF(MONTH($O80)=MONTH(AY$4),AK80*(1+Macroindicadores!H$7),AX80)))))))))</f>
        <v>2.5088000000000004</v>
      </c>
      <c r="AZ80" s="117">
        <f>IF(ISBLANK(X80),"",IF(ISBLANK($O80),AL80,IF($J80="ANUAL",AL80*(1+Macroindicadores!I$7),IF(AND($I80="NOVO",MONTH($O80)=MONTH(AZ$4)),AL80*(1+Macroindicadores!I$7),IF(AND($J80="PONTUAL",MONTH($O80)=MONTH(AZ$4)),AL80*(1+Macroindicadores!I$7),IF(AND($J80="PONTUAL",MONTH($O80)&lt;MONTH(AZ$4)),MIN($AS80:AY80),IF(AND($I80="NOVO",MONTH($O80)&gt;MONTH(AZ$4)),AL80,IF(MONTH($O80)&gt;MONTH(AZ$4),AL80,IF(MONTH($O80)=MONTH(AZ$4),AL80*(1+Macroindicadores!I$7),AY80)))))))))</f>
        <v>2.5088000000000004</v>
      </c>
      <c r="BA80" s="117">
        <f>IF(ISBLANK(Y80),"",IF(ISBLANK($O80),AM80,IF($J80="ANUAL",AM80*(1+Macroindicadores!J$7),IF(AND($I80="NOVO",MONTH($O80)=MONTH(BA$4)),AM80*(1+Macroindicadores!J$7),IF(AND($J80="PONTUAL",MONTH($O80)=MONTH(BA$4)),AM80*(1+Macroindicadores!J$7),IF(AND($J80="PONTUAL",MONTH($O80)&lt;MONTH(BA$4)),MIN($AS80:AZ80),IF(AND($I80="NOVO",MONTH($O80)&gt;MONTH(BA$4)),AM80,IF(MONTH($O80)&gt;MONTH(BA$4),AM80,IF(MONTH($O80)=MONTH(BA$4),AM80*(1+Macroindicadores!J$7),AZ80)))))))))</f>
        <v>2.5088000000000004</v>
      </c>
      <c r="BB80" s="117">
        <f>IF(ISBLANK(Z80),"",IF(ISBLANK($O80),AN80,IF($J80="ANUAL",AN80*(1+Macroindicadores!K$7),IF(AND($I80="NOVO",MONTH($O80)=MONTH(BB$4)),AN80*(1+Macroindicadores!K$7),IF(AND($J80="PONTUAL",MONTH($O80)=MONTH(BB$4)),AN80*(1+Macroindicadores!K$7),IF(AND($J80="PONTUAL",MONTH($O80)&lt;MONTH(BB$4)),MIN($AS80:BA80),IF(AND($I80="NOVO",MONTH($O80)&gt;MONTH(BB$4)),AN80,IF(MONTH($O80)&gt;MONTH(BB$4),AN80,IF(MONTH($O80)=MONTH(BB$4),AN80*(1+Macroindicadores!K$7),BA80)))))))))</f>
        <v>2.5088000000000004</v>
      </c>
      <c r="BC80" s="117">
        <f>IF(ISBLANK(AA80),"",IF(ISBLANK($O80),AO80,IF($J80="ANUAL",AO80*(1+Macroindicadores!L$7),IF(AND($I80="NOVO",MONTH($O80)=MONTH(BC$4)),AO80*(1+Macroindicadores!L$7),IF(AND($J80="PONTUAL",MONTH($O80)=MONTH(BC$4)),AO80*(1+Macroindicadores!L$7),IF(AND($J80="PONTUAL",MONTH($O80)&lt;MONTH(BC$4)),MIN($AS80:BB80),IF(AND($I80="NOVO",MONTH($O80)&gt;MONTH(BC$4)),AO80,IF(MONTH($O80)&gt;MONTH(BC$4),AO80,IF(MONTH($O80)=MONTH(BC$4),AO80*(1+Macroindicadores!L$7),BB80)))))))))</f>
        <v>2.5088000000000004</v>
      </c>
      <c r="BD80" s="117">
        <f>IF(ISBLANK(AB80),"",IF(ISBLANK($O80),AP80,IF($J80="ANUAL",AP80*(1+Macroindicadores!M$7),IF(AND($I80="NOVO",MONTH($O80)=MONTH(BD$4)),AP80*(1+Macroindicadores!M$7),IF(AND($J80="PONTUAL",MONTH($O80)=MONTH(BD$4)),AP80*(1+Macroindicadores!M$7),IF(AND($J80="PONTUAL",MONTH($O80)&lt;MONTH(BD$4)),MIN($AS80:BC80),IF(AND($I80="NOVO",MONTH($O80)&gt;MONTH(BD$4)),AP80,IF(MONTH($O80)&gt;MONTH(BD$4),AP80,IF(MONTH($O80)=MONTH(BD$4),AP80*(1+Macroindicadores!M$7),BC80)))))))))</f>
        <v>2.5088000000000004</v>
      </c>
      <c r="BE80" s="118">
        <f t="shared" si="50"/>
        <v>30.105600000000006</v>
      </c>
      <c r="BF80" s="108"/>
      <c r="BG80" s="117">
        <f>IF(ISBLANK(Q80),"",AS80/Macroindicadores!B$2)</f>
        <v>0.42666666666666675</v>
      </c>
      <c r="BH80" s="117">
        <f>IF(ISBLANK(R80),"",AT80/Macroindicadores!C$2)</f>
        <v>0.42666666666666675</v>
      </c>
      <c r="BI80" s="117">
        <f>IF(ISBLANK(S80),"",AU80/Macroindicadores!D$2)</f>
        <v>0.42666666666666675</v>
      </c>
      <c r="BJ80" s="117">
        <f>IF(ISBLANK(T80),"",AV80/Macroindicadores!E$2)</f>
        <v>0.42666666666666675</v>
      </c>
      <c r="BK80" s="117">
        <f>IF(ISBLANK(U80),"",AW80/Macroindicadores!F$2)</f>
        <v>0.42666666666666675</v>
      </c>
      <c r="BL80" s="117">
        <f>IF(ISBLANK(V80),"",AX80/Macroindicadores!G$2)</f>
        <v>0.42666666666666675</v>
      </c>
      <c r="BM80" s="117">
        <f>IF(ISBLANK(W80),"",AY80/Macroindicadores!H$2)</f>
        <v>0.42666666666666675</v>
      </c>
      <c r="BN80" s="117">
        <f>IF(ISBLANK(X80),"",AZ80/Macroindicadores!I$2)</f>
        <v>0.42666666666666675</v>
      </c>
      <c r="BO80" s="117">
        <f>IF(ISBLANK(Y80),"",BA80/Macroindicadores!J$2)</f>
        <v>0.42666666666666675</v>
      </c>
      <c r="BP80" s="117">
        <f>IF(ISBLANK(Z80),"",BB80/Macroindicadores!K$2)</f>
        <v>0.42666666666666675</v>
      </c>
      <c r="BQ80" s="117">
        <f>IF(ISBLANK(AA80),"",BC80/Macroindicadores!L$2)</f>
        <v>0.42666666666666675</v>
      </c>
      <c r="BR80" s="117">
        <f>IF(ISBLANK(AB80),"",BD80/Macroindicadores!M$2)</f>
        <v>0.42666666666666675</v>
      </c>
      <c r="BS80" s="118">
        <f>IF(AND(ISBLANK($Q80),ISBLANK($R80),ISBLANK($S80),ISBLANK($T80),ISBLANK($U80),ISBLANK($V80),ISBLANK($W80),ISBLANK($X80),ISBLANK($Y80),ISBLANK($Z80),ISBLANK($AA80),ISBLANK($AB80)),"",SUM(BG80:BR80))</f>
        <v>5.120000000000001</v>
      </c>
      <c r="BT80" s="25" t="str">
        <f>IF(ISBLANK($L80),"",_xlfn.XLOOKUP($L80,'CENTRO CUSTO'!$A:$A,'CENTRO CUSTO'!$E:$E,FALSE,0))</f>
        <v>G&amp;A PL</v>
      </c>
    </row>
    <row r="81" spans="1:72">
      <c r="A81" s="9" t="str">
        <f t="shared" si="52"/>
        <v>Budget</v>
      </c>
      <c r="B81" s="9">
        <f t="shared" si="49"/>
        <v>2026</v>
      </c>
      <c r="C81" s="111" t="str">
        <f>IF(ISBLANK($L81),"",_xlfn.XLOOKUP($L81,'CENTRO CUSTO'!$A:$A,'CENTRO CUSTO'!F:F,FALSE,0))</f>
        <v>LATAM</v>
      </c>
      <c r="D81" s="111" t="str">
        <f>IF(ISBLANK($L81),"",_xlfn.XLOOKUP($L81,'CENTRO CUSTO'!$A:$A,'CENTRO CUSTO'!G:G,FALSE,0))</f>
        <v>Corporativo</v>
      </c>
      <c r="E81" s="111" t="str">
        <f>IF(ISBLANK($L81),"",_xlfn.XLOOKUP($L81,'CENTRO CUSTO'!$A:$A,'CENTRO CUSTO'!H:H,FALSE,0))</f>
        <v>G&amp;A</v>
      </c>
      <c r="F81" s="112" t="s">
        <v>125</v>
      </c>
      <c r="G81" s="112" t="s">
        <v>126</v>
      </c>
      <c r="H81" s="112" t="s">
        <v>127</v>
      </c>
      <c r="I81" s="113" t="s">
        <v>77</v>
      </c>
      <c r="J81" s="113" t="s">
        <v>78</v>
      </c>
      <c r="K81" s="113" t="s">
        <v>79</v>
      </c>
      <c r="L81" s="113" t="s">
        <v>96</v>
      </c>
      <c r="M81" s="111" t="str">
        <f>IF(ISBLANK($L81),"",_xlfn.XLOOKUP($L81,'CENTRO CUSTO'!$A:$A,'CENTRO CUSTO'!D:D,FALSE,0))</f>
        <v>Jimmy Espinosa</v>
      </c>
      <c r="N81" s="113" t="s">
        <v>87</v>
      </c>
      <c r="O81" s="114"/>
      <c r="P81" s="113" t="s">
        <v>88</v>
      </c>
      <c r="Q81" s="115">
        <f>1600/12</f>
        <v>133.33333333333334</v>
      </c>
      <c r="R81" s="115">
        <f t="shared" ref="R81:AB81" si="65">1600/12</f>
        <v>133.33333333333334</v>
      </c>
      <c r="S81" s="115">
        <f t="shared" si="65"/>
        <v>133.33333333333334</v>
      </c>
      <c r="T81" s="115">
        <f t="shared" si="65"/>
        <v>133.33333333333334</v>
      </c>
      <c r="U81" s="115">
        <f t="shared" si="65"/>
        <v>133.33333333333334</v>
      </c>
      <c r="V81" s="115">
        <f t="shared" si="65"/>
        <v>133.33333333333334</v>
      </c>
      <c r="W81" s="115">
        <f t="shared" si="65"/>
        <v>133.33333333333334</v>
      </c>
      <c r="X81" s="115">
        <f t="shared" si="65"/>
        <v>133.33333333333334</v>
      </c>
      <c r="Y81" s="115">
        <f t="shared" si="65"/>
        <v>133.33333333333334</v>
      </c>
      <c r="Z81" s="115">
        <f t="shared" si="65"/>
        <v>133.33333333333334</v>
      </c>
      <c r="AA81" s="115">
        <f t="shared" si="65"/>
        <v>133.33333333333334</v>
      </c>
      <c r="AB81" s="115">
        <f t="shared" si="65"/>
        <v>133.33333333333334</v>
      </c>
      <c r="AC81" s="116">
        <f t="shared" si="53"/>
        <v>1599.9999999999998</v>
      </c>
      <c r="AD81" s="108"/>
      <c r="AE81" s="117">
        <f>IF(ISBLANK(Q81),"",IF($P81="BRL",Q81,Q81*Macroindicadores!B$2)/1000)</f>
        <v>0.78400000000000003</v>
      </c>
      <c r="AF81" s="117">
        <f>IF(ISBLANK(R81),"",IF($P81="BRL",R81,R81*Macroindicadores!C$2)/1000)</f>
        <v>0.78400000000000003</v>
      </c>
      <c r="AG81" s="117">
        <f>IF(ISBLANK(S81),"",IF($P81="BRL",S81,S81*Macroindicadores!D$2)/1000)</f>
        <v>0.78400000000000003</v>
      </c>
      <c r="AH81" s="117">
        <f>IF(ISBLANK(T81),"",IF($P81="BRL",T81,T81*Macroindicadores!E$2)/1000)</f>
        <v>0.78400000000000003</v>
      </c>
      <c r="AI81" s="117">
        <f>IF(ISBLANK(U81),"",IF($P81="BRL",U81,U81*Macroindicadores!F$2)/1000)</f>
        <v>0.78400000000000003</v>
      </c>
      <c r="AJ81" s="117">
        <f>IF(ISBLANK(V81),"",IF($P81="BRL",V81,V81*Macroindicadores!G$2)/1000)</f>
        <v>0.78400000000000003</v>
      </c>
      <c r="AK81" s="117">
        <f>IF(ISBLANK(W81),"",IF($P81="BRL",W81,W81*Macroindicadores!H$2)/1000)</f>
        <v>0.78400000000000003</v>
      </c>
      <c r="AL81" s="117">
        <f>IF(ISBLANK(X81),"",IF($P81="BRL",X81,X81*Macroindicadores!I$2)/1000)</f>
        <v>0.78400000000000003</v>
      </c>
      <c r="AM81" s="117">
        <f>IF(ISBLANK(Y81),"",IF($P81="BRL",Y81,Y81*Macroindicadores!J$2)/1000)</f>
        <v>0.78400000000000003</v>
      </c>
      <c r="AN81" s="117">
        <f>IF(ISBLANK(Z81),"",IF($P81="BRL",Z81,Z81*Macroindicadores!K$2)/1000)</f>
        <v>0.78400000000000003</v>
      </c>
      <c r="AO81" s="117">
        <f>IF(ISBLANK(AA81),"",IF($P81="BRL",AA81,AA81*Macroindicadores!L$2)/1000)</f>
        <v>0.78400000000000003</v>
      </c>
      <c r="AP81" s="117">
        <f>IF(ISBLANK(AB81),"",IF($P81="BRL",AB81,AB81*Macroindicadores!M$2)/1000)</f>
        <v>0.78400000000000003</v>
      </c>
      <c r="AQ81" s="118">
        <f t="shared" si="51"/>
        <v>9.4079999999999995</v>
      </c>
      <c r="AR81" s="108"/>
      <c r="AS81" s="117">
        <f>IF(ISBLANK(Q81),"",IF(ISBLANK($O81),AE81,IF($J81="ANUAL",AE81*(1+Macroindicadores!B$7),IF(AND($I81="NOVO",MONTH($O81)=MONTH(AS$4)),AE81*(1+Macroindicadores!B$7),IF(AND($J81="PONTUAL",MONTH($O81)=MONTH(AS$4)),AE81*(1+Macroindicadores!B$7),IF(AND($J81="PONTUAL",MONTH($O81)&lt;MONTH(AS$4)),MIN(AR81:$AS81),IF(AND($I81="NOVO",MONTH($O81)&gt;MONTH(AS$4)),AE81,IF(MONTH($O81)&gt;MONTH(AS$4),AE81,IF(MONTH($O81)=MONTH(AS$4),AE81*(1+Macroindicadores!B$7),AR81)))))))))</f>
        <v>0.78400000000000003</v>
      </c>
      <c r="AT81" s="117">
        <f>IF(ISBLANK(R81),"",IF(ISBLANK($O81),AF81,IF($J81="ANUAL",AF81*(1+Macroindicadores!C$7),IF(AND($I81="NOVO",MONTH($O81)=MONTH(AT$4)),AF81*(1+Macroindicadores!C$7),IF(AND($J81="PONTUAL",MONTH($O81)=MONTH(AT$4)),AF81*(1+Macroindicadores!C$7),IF(AND($J81="PONTUAL",MONTH($O81)&lt;MONTH(AT$4)),MIN($AS81:AS81),IF(AND($I81="NOVO",MONTH($O81)&gt;MONTH(AT$4)),AF81,IF(MONTH($O81)&gt;MONTH(AT$4),AF81,IF(MONTH($O81)=MONTH(AT$4),AF81*(1+Macroindicadores!C$7),AS81)))))))))</f>
        <v>0.78400000000000003</v>
      </c>
      <c r="AU81" s="117">
        <f>IF(ISBLANK(S81),"",IF(ISBLANK($O81),AG81,IF($J81="ANUAL",AG81*(1+Macroindicadores!D$7),IF(AND($I81="NOVO",MONTH($O81)=MONTH(AU$4)),AG81*(1+Macroindicadores!D$7),IF(AND($J81="PONTUAL",MONTH($O81)=MONTH(AU$4)),AG81*(1+Macroindicadores!D$7),IF(AND($J81="PONTUAL",MONTH($O81)&lt;MONTH(AU$4)),MIN($AS81:AT81),IF(AND($I81="NOVO",MONTH($O81)&gt;MONTH(AU$4)),AG81,IF(MONTH($O81)&gt;MONTH(AU$4),AG81,IF(MONTH($O81)=MONTH(AU$4),AG81*(1+Macroindicadores!D$7),AT81)))))))))</f>
        <v>0.78400000000000003</v>
      </c>
      <c r="AV81" s="117">
        <f>IF(ISBLANK(T81),"",IF(ISBLANK($O81),AH81,IF($J81="ANUAL",AH81*(1+Macroindicadores!E$7),IF(AND($I81="NOVO",MONTH($O81)=MONTH(AV$4)),AH81*(1+Macroindicadores!E$7),IF(AND($J81="PONTUAL",MONTH($O81)=MONTH(AV$4)),AH81*(1+Macroindicadores!E$7),IF(AND($J81="PONTUAL",MONTH($O81)&lt;MONTH(AV$4)),MIN($AS81:AU81),IF(AND($I81="NOVO",MONTH($O81)&gt;MONTH(AV$4)),AH81,IF(MONTH($O81)&gt;MONTH(AV$4),AH81,IF(MONTH($O81)=MONTH(AV$4),AH81*(1+Macroindicadores!E$7),AU81)))))))))</f>
        <v>0.78400000000000003</v>
      </c>
      <c r="AW81" s="117">
        <f>IF(ISBLANK(U81),"",IF(ISBLANK($O81),AI81,IF($J81="ANUAL",AI81*(1+Macroindicadores!F$7),IF(AND($I81="NOVO",MONTH($O81)=MONTH(AW$4)),AI81*(1+Macroindicadores!F$7),IF(AND($J81="PONTUAL",MONTH($O81)=MONTH(AW$4)),AI81*(1+Macroindicadores!F$7),IF(AND($J81="PONTUAL",MONTH($O81)&lt;MONTH(AW$4)),MIN($AS81:AV81),IF(AND($I81="NOVO",MONTH($O81)&gt;MONTH(AW$4)),AI81,IF(MONTH($O81)&gt;MONTH(AW$4),AI81,IF(MONTH($O81)=MONTH(AW$4),AI81*(1+Macroindicadores!F$7),AV81)))))))))</f>
        <v>0.78400000000000003</v>
      </c>
      <c r="AX81" s="117">
        <f>IF(ISBLANK(V81),"",IF(ISBLANK($O81),AJ81,IF($J81="ANUAL",AJ81*(1+Macroindicadores!G$7),IF(AND($I81="NOVO",MONTH($O81)=MONTH(AX$4)),AJ81*(1+Macroindicadores!G$7),IF(AND($J81="PONTUAL",MONTH($O81)=MONTH(AX$4)),AJ81*(1+Macroindicadores!G$7),IF(AND($J81="PONTUAL",MONTH($O81)&lt;MONTH(AX$4)),MIN($AS81:AW81),IF(AND($I81="NOVO",MONTH($O81)&gt;MONTH(AX$4)),AJ81,IF(MONTH($O81)&gt;MONTH(AX$4),AJ81,IF(MONTH($O81)=MONTH(AX$4),AJ81*(1+Macroindicadores!G$7),AW81)))))))))</f>
        <v>0.78400000000000003</v>
      </c>
      <c r="AY81" s="117">
        <f>IF(ISBLANK(W81),"",IF(ISBLANK($O81),AK81,IF($J81="ANUAL",AK81*(1+Macroindicadores!H$7),IF(AND($I81="NOVO",MONTH($O81)=MONTH(AY$4)),AK81*(1+Macroindicadores!H$7),IF(AND($J81="PONTUAL",MONTH($O81)=MONTH(AY$4)),AK81*(1+Macroindicadores!H$7),IF(AND($J81="PONTUAL",MONTH($O81)&lt;MONTH(AY$4)),MIN($AS81:AX81),IF(AND($I81="NOVO",MONTH($O81)&gt;MONTH(AY$4)),AK81,IF(MONTH($O81)&gt;MONTH(AY$4),AK81,IF(MONTH($O81)=MONTH(AY$4),AK81*(1+Macroindicadores!H$7),AX81)))))))))</f>
        <v>0.78400000000000003</v>
      </c>
      <c r="AZ81" s="117">
        <f>IF(ISBLANK(X81),"",IF(ISBLANK($O81),AL81,IF($J81="ANUAL",AL81*(1+Macroindicadores!I$7),IF(AND($I81="NOVO",MONTH($O81)=MONTH(AZ$4)),AL81*(1+Macroindicadores!I$7),IF(AND($J81="PONTUAL",MONTH($O81)=MONTH(AZ$4)),AL81*(1+Macroindicadores!I$7),IF(AND($J81="PONTUAL",MONTH($O81)&lt;MONTH(AZ$4)),MIN($AS81:AY81),IF(AND($I81="NOVO",MONTH($O81)&gt;MONTH(AZ$4)),AL81,IF(MONTH($O81)&gt;MONTH(AZ$4),AL81,IF(MONTH($O81)=MONTH(AZ$4),AL81*(1+Macroindicadores!I$7),AY81)))))))))</f>
        <v>0.78400000000000003</v>
      </c>
      <c r="BA81" s="117">
        <f>IF(ISBLANK(Y81),"",IF(ISBLANK($O81),AM81,IF($J81="ANUAL",AM81*(1+Macroindicadores!J$7),IF(AND($I81="NOVO",MONTH($O81)=MONTH(BA$4)),AM81*(1+Macroindicadores!J$7),IF(AND($J81="PONTUAL",MONTH($O81)=MONTH(BA$4)),AM81*(1+Macroindicadores!J$7),IF(AND($J81="PONTUAL",MONTH($O81)&lt;MONTH(BA$4)),MIN($AS81:AZ81),IF(AND($I81="NOVO",MONTH($O81)&gt;MONTH(BA$4)),AM81,IF(MONTH($O81)&gt;MONTH(BA$4),AM81,IF(MONTH($O81)=MONTH(BA$4),AM81*(1+Macroindicadores!J$7),AZ81)))))))))</f>
        <v>0.78400000000000003</v>
      </c>
      <c r="BB81" s="117">
        <f>IF(ISBLANK(Z81),"",IF(ISBLANK($O81),AN81,IF($J81="ANUAL",AN81*(1+Macroindicadores!K$7),IF(AND($I81="NOVO",MONTH($O81)=MONTH(BB$4)),AN81*(1+Macroindicadores!K$7),IF(AND($J81="PONTUAL",MONTH($O81)=MONTH(BB$4)),AN81*(1+Macroindicadores!K$7),IF(AND($J81="PONTUAL",MONTH($O81)&lt;MONTH(BB$4)),MIN($AS81:BA81),IF(AND($I81="NOVO",MONTH($O81)&gt;MONTH(BB$4)),AN81,IF(MONTH($O81)&gt;MONTH(BB$4),AN81,IF(MONTH($O81)=MONTH(BB$4),AN81*(1+Macroindicadores!K$7),BA81)))))))))</f>
        <v>0.78400000000000003</v>
      </c>
      <c r="BC81" s="117">
        <f>IF(ISBLANK(AA81),"",IF(ISBLANK($O81),AO81,IF($J81="ANUAL",AO81*(1+Macroindicadores!L$7),IF(AND($I81="NOVO",MONTH($O81)=MONTH(BC$4)),AO81*(1+Macroindicadores!L$7),IF(AND($J81="PONTUAL",MONTH($O81)=MONTH(BC$4)),AO81*(1+Macroindicadores!L$7),IF(AND($J81="PONTUAL",MONTH($O81)&lt;MONTH(BC$4)),MIN($AS81:BB81),IF(AND($I81="NOVO",MONTH($O81)&gt;MONTH(BC$4)),AO81,IF(MONTH($O81)&gt;MONTH(BC$4),AO81,IF(MONTH($O81)=MONTH(BC$4),AO81*(1+Macroindicadores!L$7),BB81)))))))))</f>
        <v>0.78400000000000003</v>
      </c>
      <c r="BD81" s="117">
        <f>IF(ISBLANK(AB81),"",IF(ISBLANK($O81),AP81,IF($J81="ANUAL",AP81*(1+Macroindicadores!M$7),IF(AND($I81="NOVO",MONTH($O81)=MONTH(BD$4)),AP81*(1+Macroindicadores!M$7),IF(AND($J81="PONTUAL",MONTH($O81)=MONTH(BD$4)),AP81*(1+Macroindicadores!M$7),IF(AND($J81="PONTUAL",MONTH($O81)&lt;MONTH(BD$4)),MIN($AS81:BC81),IF(AND($I81="NOVO",MONTH($O81)&gt;MONTH(BD$4)),AP81,IF(MONTH($O81)&gt;MONTH(BD$4),AP81,IF(MONTH($O81)=MONTH(BD$4),AP81*(1+Macroindicadores!M$7),BC81)))))))))</f>
        <v>0.78400000000000003</v>
      </c>
      <c r="BE81" s="118">
        <f t="shared" si="50"/>
        <v>9.4079999999999995</v>
      </c>
      <c r="BF81" s="108"/>
      <c r="BG81" s="117">
        <f>IF(ISBLANK(Q81),"",AS81/Macroindicadores!B$2)</f>
        <v>0.13333333333333333</v>
      </c>
      <c r="BH81" s="117">
        <f>IF(ISBLANK(R81),"",AT81/Macroindicadores!C$2)</f>
        <v>0.13333333333333333</v>
      </c>
      <c r="BI81" s="117">
        <f>IF(ISBLANK(S81),"",AU81/Macroindicadores!D$2)</f>
        <v>0.13333333333333333</v>
      </c>
      <c r="BJ81" s="117">
        <f>IF(ISBLANK(T81),"",AV81/Macroindicadores!E$2)</f>
        <v>0.13333333333333333</v>
      </c>
      <c r="BK81" s="117">
        <f>IF(ISBLANK(U81),"",AW81/Macroindicadores!F$2)</f>
        <v>0.13333333333333333</v>
      </c>
      <c r="BL81" s="117">
        <f>IF(ISBLANK(V81),"",AX81/Macroindicadores!G$2)</f>
        <v>0.13333333333333333</v>
      </c>
      <c r="BM81" s="117">
        <f>IF(ISBLANK(W81),"",AY81/Macroindicadores!H$2)</f>
        <v>0.13333333333333333</v>
      </c>
      <c r="BN81" s="117">
        <f>IF(ISBLANK(X81),"",AZ81/Macroindicadores!I$2)</f>
        <v>0.13333333333333333</v>
      </c>
      <c r="BO81" s="117">
        <f>IF(ISBLANK(Y81),"",BA81/Macroindicadores!J$2)</f>
        <v>0.13333333333333333</v>
      </c>
      <c r="BP81" s="117">
        <f>IF(ISBLANK(Z81),"",BB81/Macroindicadores!K$2)</f>
        <v>0.13333333333333333</v>
      </c>
      <c r="BQ81" s="117">
        <f>IF(ISBLANK(AA81),"",BC81/Macroindicadores!L$2)</f>
        <v>0.13333333333333333</v>
      </c>
      <c r="BR81" s="117">
        <f>IF(ISBLANK(AB81),"",BD81/Macroindicadores!M$2)</f>
        <v>0.13333333333333333</v>
      </c>
      <c r="BS81" s="118">
        <f>IF(AND(ISBLANK($Q81),ISBLANK($R81),ISBLANK($S81),ISBLANK($T81),ISBLANK($U81),ISBLANK($V81),ISBLANK($W81),ISBLANK($X81),ISBLANK($Y81),ISBLANK($Z81),ISBLANK($AA81),ISBLANK($AB81)),"",SUM(BG81:BR81))</f>
        <v>1.5999999999999999</v>
      </c>
      <c r="BT81" s="25" t="str">
        <f>IF(ISBLANK($L81),"",_xlfn.XLOOKUP($L81,'CENTRO CUSTO'!$A:$A,'CENTRO CUSTO'!$E:$E,FALSE,0))</f>
        <v>G&amp;A CP</v>
      </c>
    </row>
    <row r="82" spans="1:72">
      <c r="A82" s="9" t="str">
        <f t="shared" si="52"/>
        <v>Budget</v>
      </c>
      <c r="B82" s="9">
        <f t="shared" si="49"/>
        <v>2026</v>
      </c>
      <c r="C82" s="111" t="str">
        <f>IF(ISBLANK($L82),"",_xlfn.XLOOKUP($L82,'CENTRO CUSTO'!$A:$A,'CENTRO CUSTO'!F:F,FALSE,0))</f>
        <v>Transporte</v>
      </c>
      <c r="D82" s="111" t="str">
        <f>IF(ISBLANK($L82),"",_xlfn.XLOOKUP($L82,'CENTRO CUSTO'!$A:$A,'CENTRO CUSTO'!G:G,FALSE,0))</f>
        <v>BU-TR</v>
      </c>
      <c r="E82" s="111" t="str">
        <f>IF(ISBLANK($L82),"",_xlfn.XLOOKUP($L82,'CENTRO CUSTO'!$A:$A,'CENTRO CUSTO'!H:H,FALSE,0))</f>
        <v>G&amp;A</v>
      </c>
      <c r="F82" s="112" t="s">
        <v>128</v>
      </c>
      <c r="G82" s="112" t="s">
        <v>75</v>
      </c>
      <c r="H82" s="112" t="s">
        <v>129</v>
      </c>
      <c r="I82" s="113" t="s">
        <v>77</v>
      </c>
      <c r="J82" s="113" t="s">
        <v>78</v>
      </c>
      <c r="K82" s="113" t="s">
        <v>79</v>
      </c>
      <c r="L82" s="113" t="s">
        <v>38</v>
      </c>
      <c r="M82" s="111" t="str">
        <f>IF(ISBLANK($L82),"",_xlfn.XLOOKUP($L82,'CENTRO CUSTO'!$A:$A,'CENTRO CUSTO'!D:D,FALSE,0))</f>
        <v>Alexandre Ayabe</v>
      </c>
      <c r="N82" s="113" t="s">
        <v>87</v>
      </c>
      <c r="O82" s="114"/>
      <c r="P82" s="113" t="s">
        <v>81</v>
      </c>
      <c r="Q82" s="115">
        <f>456000*Rateio!$E$333/12</f>
        <v>6840</v>
      </c>
      <c r="R82" s="115">
        <f>456000*Rateio!$E$333/12</f>
        <v>6840</v>
      </c>
      <c r="S82" s="115">
        <f>456000*Rateio!$E$333/12</f>
        <v>6840</v>
      </c>
      <c r="T82" s="115">
        <f>456000*Rateio!$E$333/12</f>
        <v>6840</v>
      </c>
      <c r="U82" s="115">
        <f>456000*Rateio!$E$333/12</f>
        <v>6840</v>
      </c>
      <c r="V82" s="115">
        <f>456000*Rateio!$E$333/12</f>
        <v>6840</v>
      </c>
      <c r="W82" s="115">
        <f>456000*Rateio!$E$333/12</f>
        <v>6840</v>
      </c>
      <c r="X82" s="115">
        <f>456000*Rateio!$E$333/12</f>
        <v>6840</v>
      </c>
      <c r="Y82" s="115">
        <f>456000*Rateio!$E$333/12</f>
        <v>6840</v>
      </c>
      <c r="Z82" s="115">
        <f>456000*Rateio!$E$333/12</f>
        <v>6840</v>
      </c>
      <c r="AA82" s="115">
        <f>456000*Rateio!$E$333/12</f>
        <v>6840</v>
      </c>
      <c r="AB82" s="115">
        <f>456000*Rateio!$E$333/12</f>
        <v>6840</v>
      </c>
      <c r="AC82" s="116">
        <f t="shared" si="53"/>
        <v>82080</v>
      </c>
      <c r="AD82" s="108"/>
      <c r="AE82" s="117">
        <f>IF(ISBLANK(Q82),"",IF($P82="BRL",Q82,Q82*Macroindicadores!B$2)/1000)</f>
        <v>6.84</v>
      </c>
      <c r="AF82" s="117">
        <f>IF(ISBLANK(R82),"",IF($P82="BRL",R82,R82*Macroindicadores!C$2)/1000)</f>
        <v>6.84</v>
      </c>
      <c r="AG82" s="117">
        <f>IF(ISBLANK(S82),"",IF($P82="BRL",S82,S82*Macroindicadores!D$2)/1000)</f>
        <v>6.84</v>
      </c>
      <c r="AH82" s="117">
        <f>IF(ISBLANK(T82),"",IF($P82="BRL",T82,T82*Macroindicadores!E$2)/1000)</f>
        <v>6.84</v>
      </c>
      <c r="AI82" s="117">
        <f>IF(ISBLANK(U82),"",IF($P82="BRL",U82,U82*Macroindicadores!F$2)/1000)</f>
        <v>6.84</v>
      </c>
      <c r="AJ82" s="117">
        <f>IF(ISBLANK(V82),"",IF($P82="BRL",V82,V82*Macroindicadores!G$2)/1000)</f>
        <v>6.84</v>
      </c>
      <c r="AK82" s="117">
        <f>IF(ISBLANK(W82),"",IF($P82="BRL",W82,W82*Macroindicadores!H$2)/1000)</f>
        <v>6.84</v>
      </c>
      <c r="AL82" s="117">
        <f>IF(ISBLANK(X82),"",IF($P82="BRL",X82,X82*Macroindicadores!I$2)/1000)</f>
        <v>6.84</v>
      </c>
      <c r="AM82" s="117">
        <f>IF(ISBLANK(Y82),"",IF($P82="BRL",Y82,Y82*Macroindicadores!J$2)/1000)</f>
        <v>6.84</v>
      </c>
      <c r="AN82" s="117">
        <f>IF(ISBLANK(Z82),"",IF($P82="BRL",Z82,Z82*Macroindicadores!K$2)/1000)</f>
        <v>6.84</v>
      </c>
      <c r="AO82" s="117">
        <f>IF(ISBLANK(AA82),"",IF($P82="BRL",AA82,AA82*Macroindicadores!L$2)/1000)</f>
        <v>6.84</v>
      </c>
      <c r="AP82" s="117">
        <f>IF(ISBLANK(AB82),"",IF($P82="BRL",AB82,AB82*Macroindicadores!M$2)/1000)</f>
        <v>6.84</v>
      </c>
      <c r="AQ82" s="118">
        <f t="shared" si="51"/>
        <v>82.080000000000027</v>
      </c>
      <c r="AR82" s="108"/>
      <c r="AS82" s="117">
        <f>IF(ISBLANK(Q82),"",IF(ISBLANK($O82),AE82,IF($J82="ANUAL",AE82*(1+Macroindicadores!B$7),IF(AND($I82="NOVO",MONTH($O82)=MONTH(AS$4)),AE82*(1+Macroindicadores!B$7),IF(AND($J82="PONTUAL",MONTH($O82)=MONTH(AS$4)),AE82*(1+Macroindicadores!B$7),IF(AND($J82="PONTUAL",MONTH($O82)&lt;MONTH(AS$4)),MIN(AR82:$AS82),IF(AND($I82="NOVO",MONTH($O82)&gt;MONTH(AS$4)),AE82,IF(MONTH($O82)&gt;MONTH(AS$4),AE82,IF(MONTH($O82)=MONTH(AS$4),AE82*(1+Macroindicadores!B$7),AR82)))))))))</f>
        <v>6.84</v>
      </c>
      <c r="AT82" s="117">
        <f>IF(ISBLANK(R82),"",IF(ISBLANK($O82),AF82,IF($J82="ANUAL",AF82*(1+Macroindicadores!C$7),IF(AND($I82="NOVO",MONTH($O82)=MONTH(AT$4)),AF82*(1+Macroindicadores!C$7),IF(AND($J82="PONTUAL",MONTH($O82)=MONTH(AT$4)),AF82*(1+Macroindicadores!C$7),IF(AND($J82="PONTUAL",MONTH($O82)&lt;MONTH(AT$4)),MIN($AS82:AS82),IF(AND($I82="NOVO",MONTH($O82)&gt;MONTH(AT$4)),AF82,IF(MONTH($O82)&gt;MONTH(AT$4),AF82,IF(MONTH($O82)=MONTH(AT$4),AF82*(1+Macroindicadores!C$7),AS82)))))))))</f>
        <v>6.84</v>
      </c>
      <c r="AU82" s="117">
        <f>IF(ISBLANK(S82),"",IF(ISBLANK($O82),AG82,IF($J82="ANUAL",AG82*(1+Macroindicadores!D$7),IF(AND($I82="NOVO",MONTH($O82)=MONTH(AU$4)),AG82*(1+Macroindicadores!D$7),IF(AND($J82="PONTUAL",MONTH($O82)=MONTH(AU$4)),AG82*(1+Macroindicadores!D$7),IF(AND($J82="PONTUAL",MONTH($O82)&lt;MONTH(AU$4)),MIN($AS82:AT82),IF(AND($I82="NOVO",MONTH($O82)&gt;MONTH(AU$4)),AG82,IF(MONTH($O82)&gt;MONTH(AU$4),AG82,IF(MONTH($O82)=MONTH(AU$4),AG82*(1+Macroindicadores!D$7),AT82)))))))))</f>
        <v>6.84</v>
      </c>
      <c r="AV82" s="117">
        <f>IF(ISBLANK(T82),"",IF(ISBLANK($O82),AH82,IF($J82="ANUAL",AH82*(1+Macroindicadores!E$7),IF(AND($I82="NOVO",MONTH($O82)=MONTH(AV$4)),AH82*(1+Macroindicadores!E$7),IF(AND($J82="PONTUAL",MONTH($O82)=MONTH(AV$4)),AH82*(1+Macroindicadores!E$7),IF(AND($J82="PONTUAL",MONTH($O82)&lt;MONTH(AV$4)),MIN($AS82:AU82),IF(AND($I82="NOVO",MONTH($O82)&gt;MONTH(AV$4)),AH82,IF(MONTH($O82)&gt;MONTH(AV$4),AH82,IF(MONTH($O82)=MONTH(AV$4),AH82*(1+Macroindicadores!E$7),AU82)))))))))</f>
        <v>6.84</v>
      </c>
      <c r="AW82" s="117">
        <f>IF(ISBLANK(U82),"",IF(ISBLANK($O82),AI82,IF($J82="ANUAL",AI82*(1+Macroindicadores!F$7),IF(AND($I82="NOVO",MONTH($O82)=MONTH(AW$4)),AI82*(1+Macroindicadores!F$7),IF(AND($J82="PONTUAL",MONTH($O82)=MONTH(AW$4)),AI82*(1+Macroindicadores!F$7),IF(AND($J82="PONTUAL",MONTH($O82)&lt;MONTH(AW$4)),MIN($AS82:AV82),IF(AND($I82="NOVO",MONTH($O82)&gt;MONTH(AW$4)),AI82,IF(MONTH($O82)&gt;MONTH(AW$4),AI82,IF(MONTH($O82)=MONTH(AW$4),AI82*(1+Macroindicadores!F$7),AV82)))))))))</f>
        <v>6.84</v>
      </c>
      <c r="AX82" s="117">
        <f>IF(ISBLANK(V82),"",IF(ISBLANK($O82),AJ82,IF($J82="ANUAL",AJ82*(1+Macroindicadores!G$7),IF(AND($I82="NOVO",MONTH($O82)=MONTH(AX$4)),AJ82*(1+Macroindicadores!G$7),IF(AND($J82="PONTUAL",MONTH($O82)=MONTH(AX$4)),AJ82*(1+Macroindicadores!G$7),IF(AND($J82="PONTUAL",MONTH($O82)&lt;MONTH(AX$4)),MIN($AS82:AW82),IF(AND($I82="NOVO",MONTH($O82)&gt;MONTH(AX$4)),AJ82,IF(MONTH($O82)&gt;MONTH(AX$4),AJ82,IF(MONTH($O82)=MONTH(AX$4),AJ82*(1+Macroindicadores!G$7),AW82)))))))))</f>
        <v>6.84</v>
      </c>
      <c r="AY82" s="117">
        <f>IF(ISBLANK(W82),"",IF(ISBLANK($O82),AK82,IF($J82="ANUAL",AK82*(1+Macroindicadores!H$7),IF(AND($I82="NOVO",MONTH($O82)=MONTH(AY$4)),AK82*(1+Macroindicadores!H$7),IF(AND($J82="PONTUAL",MONTH($O82)=MONTH(AY$4)),AK82*(1+Macroindicadores!H$7),IF(AND($J82="PONTUAL",MONTH($O82)&lt;MONTH(AY$4)),MIN($AS82:AX82),IF(AND($I82="NOVO",MONTH($O82)&gt;MONTH(AY$4)),AK82,IF(MONTH($O82)&gt;MONTH(AY$4),AK82,IF(MONTH($O82)=MONTH(AY$4),AK82*(1+Macroindicadores!H$7),AX82)))))))))</f>
        <v>6.84</v>
      </c>
      <c r="AZ82" s="117">
        <f>IF(ISBLANK(X82),"",IF(ISBLANK($O82),AL82,IF($J82="ANUAL",AL82*(1+Macroindicadores!I$7),IF(AND($I82="NOVO",MONTH($O82)=MONTH(AZ$4)),AL82*(1+Macroindicadores!I$7),IF(AND($J82="PONTUAL",MONTH($O82)=MONTH(AZ$4)),AL82*(1+Macroindicadores!I$7),IF(AND($J82="PONTUAL",MONTH($O82)&lt;MONTH(AZ$4)),MIN($AS82:AY82),IF(AND($I82="NOVO",MONTH($O82)&gt;MONTH(AZ$4)),AL82,IF(MONTH($O82)&gt;MONTH(AZ$4),AL82,IF(MONTH($O82)=MONTH(AZ$4),AL82*(1+Macroindicadores!I$7),AY82)))))))))</f>
        <v>6.84</v>
      </c>
      <c r="BA82" s="117">
        <f>IF(ISBLANK(Y82),"",IF(ISBLANK($O82),AM82,IF($J82="ANUAL",AM82*(1+Macroindicadores!J$7),IF(AND($I82="NOVO",MONTH($O82)=MONTH(BA$4)),AM82*(1+Macroindicadores!J$7),IF(AND($J82="PONTUAL",MONTH($O82)=MONTH(BA$4)),AM82*(1+Macroindicadores!J$7),IF(AND($J82="PONTUAL",MONTH($O82)&lt;MONTH(BA$4)),MIN($AS82:AZ82),IF(AND($I82="NOVO",MONTH($O82)&gt;MONTH(BA$4)),AM82,IF(MONTH($O82)&gt;MONTH(BA$4),AM82,IF(MONTH($O82)=MONTH(BA$4),AM82*(1+Macroindicadores!J$7),AZ82)))))))))</f>
        <v>6.84</v>
      </c>
      <c r="BB82" s="117">
        <f>IF(ISBLANK(Z82),"",IF(ISBLANK($O82),AN82,IF($J82="ANUAL",AN82*(1+Macroindicadores!K$7),IF(AND($I82="NOVO",MONTH($O82)=MONTH(BB$4)),AN82*(1+Macroindicadores!K$7),IF(AND($J82="PONTUAL",MONTH($O82)=MONTH(BB$4)),AN82*(1+Macroindicadores!K$7),IF(AND($J82="PONTUAL",MONTH($O82)&lt;MONTH(BB$4)),MIN($AS82:BA82),IF(AND($I82="NOVO",MONTH($O82)&gt;MONTH(BB$4)),AN82,IF(MONTH($O82)&gt;MONTH(BB$4),AN82,IF(MONTH($O82)=MONTH(BB$4),AN82*(1+Macroindicadores!K$7),BA82)))))))))</f>
        <v>6.84</v>
      </c>
      <c r="BC82" s="117">
        <f>IF(ISBLANK(AA82),"",IF(ISBLANK($O82),AO82,IF($J82="ANUAL",AO82*(1+Macroindicadores!L$7),IF(AND($I82="NOVO",MONTH($O82)=MONTH(BC$4)),AO82*(1+Macroindicadores!L$7),IF(AND($J82="PONTUAL",MONTH($O82)=MONTH(BC$4)),AO82*(1+Macroindicadores!L$7),IF(AND($J82="PONTUAL",MONTH($O82)&lt;MONTH(BC$4)),MIN($AS82:BB82),IF(AND($I82="NOVO",MONTH($O82)&gt;MONTH(BC$4)),AO82,IF(MONTH($O82)&gt;MONTH(BC$4),AO82,IF(MONTH($O82)=MONTH(BC$4),AO82*(1+Macroindicadores!L$7),BB82)))))))))</f>
        <v>6.84</v>
      </c>
      <c r="BD82" s="117">
        <f>IF(ISBLANK(AB82),"",IF(ISBLANK($O82),AP82,IF($J82="ANUAL",AP82*(1+Macroindicadores!M$7),IF(AND($I82="NOVO",MONTH($O82)=MONTH(BD$4)),AP82*(1+Macroindicadores!M$7),IF(AND($J82="PONTUAL",MONTH($O82)=MONTH(BD$4)),AP82*(1+Macroindicadores!M$7),IF(AND($J82="PONTUAL",MONTH($O82)&lt;MONTH(BD$4)),MIN($AS82:BC82),IF(AND($I82="NOVO",MONTH($O82)&gt;MONTH(BD$4)),AP82,IF(MONTH($O82)&gt;MONTH(BD$4),AP82,IF(MONTH($O82)=MONTH(BD$4),AP82*(1+Macroindicadores!M$7),BC82)))))))))</f>
        <v>6.84</v>
      </c>
      <c r="BE82" s="118">
        <f t="shared" si="50"/>
        <v>82.080000000000027</v>
      </c>
      <c r="BF82" s="108"/>
      <c r="BG82" s="117">
        <f>IF(ISBLANK(Q82),"",AS82/Macroindicadores!B$2)</f>
        <v>1.1632653061224489</v>
      </c>
      <c r="BH82" s="117">
        <f>IF(ISBLANK(R82),"",AT82/Macroindicadores!C$2)</f>
        <v>1.1632653061224489</v>
      </c>
      <c r="BI82" s="117">
        <f>IF(ISBLANK(S82),"",AU82/Macroindicadores!D$2)</f>
        <v>1.1632653061224489</v>
      </c>
      <c r="BJ82" s="117">
        <f>IF(ISBLANK(T82),"",AV82/Macroindicadores!E$2)</f>
        <v>1.1632653061224489</v>
      </c>
      <c r="BK82" s="117">
        <f>IF(ISBLANK(U82),"",AW82/Macroindicadores!F$2)</f>
        <v>1.1632653061224489</v>
      </c>
      <c r="BL82" s="117">
        <f>IF(ISBLANK(V82),"",AX82/Macroindicadores!G$2)</f>
        <v>1.1632653061224489</v>
      </c>
      <c r="BM82" s="117">
        <f>IF(ISBLANK(W82),"",AY82/Macroindicadores!H$2)</f>
        <v>1.1632653061224489</v>
      </c>
      <c r="BN82" s="117">
        <f>IF(ISBLANK(X82),"",AZ82/Macroindicadores!I$2)</f>
        <v>1.1632653061224489</v>
      </c>
      <c r="BO82" s="117">
        <f>IF(ISBLANK(Y82),"",BA82/Macroindicadores!J$2)</f>
        <v>1.1632653061224489</v>
      </c>
      <c r="BP82" s="117">
        <f>IF(ISBLANK(Z82),"",BB82/Macroindicadores!K$2)</f>
        <v>1.1632653061224489</v>
      </c>
      <c r="BQ82" s="117">
        <f>IF(ISBLANK(AA82),"",BC82/Macroindicadores!L$2)</f>
        <v>1.1632653061224489</v>
      </c>
      <c r="BR82" s="117">
        <f>IF(ISBLANK(AB82),"",BD82/Macroindicadores!M$2)</f>
        <v>1.1632653061224489</v>
      </c>
      <c r="BS82" s="118">
        <f>IF(AND(ISBLANK($Q82),ISBLANK($R82),ISBLANK($S82),ISBLANK($T82),ISBLANK($U82),ISBLANK($V82),ISBLANK($W82),ISBLANK($X82),ISBLANK($Y82),ISBLANK($Z82),ISBLANK($AA82),ISBLANK($AB82)),"",SUM(BG82:BR82))</f>
        <v>13.959183673469388</v>
      </c>
      <c r="BT82" s="25" t="str">
        <f>IF(ISBLANK($L82),"",_xlfn.XLOOKUP($L82,'CENTRO CUSTO'!$A:$A,'CENTRO CUSTO'!$E:$E,FALSE,0))</f>
        <v>G&amp;A BU</v>
      </c>
    </row>
    <row r="83" spans="1:72">
      <c r="A83" s="9" t="str">
        <f t="shared" si="52"/>
        <v>Budget</v>
      </c>
      <c r="B83" s="9">
        <f t="shared" si="49"/>
        <v>2026</v>
      </c>
      <c r="C83" s="111" t="str">
        <f>IF(ISBLANK($L83),"",_xlfn.XLOOKUP($L83,'CENTRO CUSTO'!$A:$A,'CENTRO CUSTO'!F:F,FALSE,0))</f>
        <v>Martini Meat</v>
      </c>
      <c r="D83" s="111" t="str">
        <f>IF(ISBLANK($L83),"",_xlfn.XLOOKUP($L83,'CENTRO CUSTO'!$A:$A,'CENTRO CUSTO'!G:G,FALSE,0))</f>
        <v>BU-MMAZ</v>
      </c>
      <c r="E83" s="111" t="str">
        <f>IF(ISBLANK($L83),"",_xlfn.XLOOKUP($L83,'CENTRO CUSTO'!$A:$A,'CENTRO CUSTO'!H:H,FALSE,0))</f>
        <v>G&amp;A</v>
      </c>
      <c r="F83" s="112" t="s">
        <v>128</v>
      </c>
      <c r="G83" s="112" t="s">
        <v>75</v>
      </c>
      <c r="H83" s="112" t="s">
        <v>129</v>
      </c>
      <c r="I83" s="113" t="s">
        <v>77</v>
      </c>
      <c r="J83" s="113" t="s">
        <v>78</v>
      </c>
      <c r="K83" s="113" t="s">
        <v>79</v>
      </c>
      <c r="L83" s="113" t="s">
        <v>35</v>
      </c>
      <c r="M83" s="111" t="str">
        <f>IF(ISBLANK($L83),"",_xlfn.XLOOKUP($L83,'CENTRO CUSTO'!$A:$A,'CENTRO CUSTO'!D:D,FALSE,0))</f>
        <v>Alexandre Ayabe</v>
      </c>
      <c r="N83" s="113" t="s">
        <v>87</v>
      </c>
      <c r="O83" s="114"/>
      <c r="P83" s="113" t="s">
        <v>81</v>
      </c>
      <c r="Q83" s="115">
        <f>456000*Rateio!$E$334/12</f>
        <v>19000</v>
      </c>
      <c r="R83" s="115">
        <f>456000*Rateio!$E$334/12</f>
        <v>19000</v>
      </c>
      <c r="S83" s="115">
        <f>456000*Rateio!$E$334/12</f>
        <v>19000</v>
      </c>
      <c r="T83" s="115">
        <f>456000*Rateio!$E$334/12</f>
        <v>19000</v>
      </c>
      <c r="U83" s="115">
        <f>456000*Rateio!$E$334/12</f>
        <v>19000</v>
      </c>
      <c r="V83" s="115">
        <f>456000*Rateio!$E$334/12</f>
        <v>19000</v>
      </c>
      <c r="W83" s="115">
        <f>456000*Rateio!$E$334/12</f>
        <v>19000</v>
      </c>
      <c r="X83" s="115">
        <f>456000*Rateio!$E$334/12</f>
        <v>19000</v>
      </c>
      <c r="Y83" s="115">
        <f>456000*Rateio!$E$334/12</f>
        <v>19000</v>
      </c>
      <c r="Z83" s="115">
        <f>456000*Rateio!$E$334/12</f>
        <v>19000</v>
      </c>
      <c r="AA83" s="115">
        <f>456000*Rateio!$E$334/12</f>
        <v>19000</v>
      </c>
      <c r="AB83" s="115">
        <f>456000*Rateio!$E$334/12</f>
        <v>19000</v>
      </c>
      <c r="AC83" s="116">
        <f t="shared" si="53"/>
        <v>228000</v>
      </c>
      <c r="AD83" s="108"/>
      <c r="AE83" s="117">
        <f>IF(ISBLANK(Q83),"",IF($P83="BRL",Q83,Q83*Macroindicadores!B$2)/1000)</f>
        <v>19</v>
      </c>
      <c r="AF83" s="117">
        <f>IF(ISBLANK(R83),"",IF($P83="BRL",R83,R83*Macroindicadores!C$2)/1000)</f>
        <v>19</v>
      </c>
      <c r="AG83" s="117">
        <f>IF(ISBLANK(S83),"",IF($P83="BRL",S83,S83*Macroindicadores!D$2)/1000)</f>
        <v>19</v>
      </c>
      <c r="AH83" s="117">
        <f>IF(ISBLANK(T83),"",IF($P83="BRL",T83,T83*Macroindicadores!E$2)/1000)</f>
        <v>19</v>
      </c>
      <c r="AI83" s="117">
        <f>IF(ISBLANK(U83),"",IF($P83="BRL",U83,U83*Macroindicadores!F$2)/1000)</f>
        <v>19</v>
      </c>
      <c r="AJ83" s="117">
        <f>IF(ISBLANK(V83),"",IF($P83="BRL",V83,V83*Macroindicadores!G$2)/1000)</f>
        <v>19</v>
      </c>
      <c r="AK83" s="117">
        <f>IF(ISBLANK(W83),"",IF($P83="BRL",W83,W83*Macroindicadores!H$2)/1000)</f>
        <v>19</v>
      </c>
      <c r="AL83" s="117">
        <f>IF(ISBLANK(X83),"",IF($P83="BRL",X83,X83*Macroindicadores!I$2)/1000)</f>
        <v>19</v>
      </c>
      <c r="AM83" s="117">
        <f>IF(ISBLANK(Y83),"",IF($P83="BRL",Y83,Y83*Macroindicadores!J$2)/1000)</f>
        <v>19</v>
      </c>
      <c r="AN83" s="117">
        <f>IF(ISBLANK(Z83),"",IF($P83="BRL",Z83,Z83*Macroindicadores!K$2)/1000)</f>
        <v>19</v>
      </c>
      <c r="AO83" s="117">
        <f>IF(ISBLANK(AA83),"",IF($P83="BRL",AA83,AA83*Macroindicadores!L$2)/1000)</f>
        <v>19</v>
      </c>
      <c r="AP83" s="117">
        <f>IF(ISBLANK(AB83),"",IF($P83="BRL",AB83,AB83*Macroindicadores!M$2)/1000)</f>
        <v>19</v>
      </c>
      <c r="AQ83" s="118">
        <f t="shared" si="51"/>
        <v>228</v>
      </c>
      <c r="AR83" s="108"/>
      <c r="AS83" s="117">
        <f>IF(ISBLANK(Q83),"",IF(ISBLANK($O83),AE83,IF($J83="ANUAL",AE83*(1+Macroindicadores!B$7),IF(AND($I83="NOVO",MONTH($O83)=MONTH(AS$4)),AE83*(1+Macroindicadores!B$7),IF(AND($J83="PONTUAL",MONTH($O83)=MONTH(AS$4)),AE83*(1+Macroindicadores!B$7),IF(AND($J83="PONTUAL",MONTH($O83)&lt;MONTH(AS$4)),MIN(AR83:$AS83),IF(AND($I83="NOVO",MONTH($O83)&gt;MONTH(AS$4)),AE83,IF(MONTH($O83)&gt;MONTH(AS$4),AE83,IF(MONTH($O83)=MONTH(AS$4),AE83*(1+Macroindicadores!B$7),AR83)))))))))</f>
        <v>19</v>
      </c>
      <c r="AT83" s="117">
        <f>IF(ISBLANK(R83),"",IF(ISBLANK($O83),AF83,IF($J83="ANUAL",AF83*(1+Macroindicadores!C$7),IF(AND($I83="NOVO",MONTH($O83)=MONTH(AT$4)),AF83*(1+Macroindicadores!C$7),IF(AND($J83="PONTUAL",MONTH($O83)=MONTH(AT$4)),AF83*(1+Macroindicadores!C$7),IF(AND($J83="PONTUAL",MONTH($O83)&lt;MONTH(AT$4)),MIN($AS83:AS83),IF(AND($I83="NOVO",MONTH($O83)&gt;MONTH(AT$4)),AF83,IF(MONTH($O83)&gt;MONTH(AT$4),AF83,IF(MONTH($O83)=MONTH(AT$4),AF83*(1+Macroindicadores!C$7),AS83)))))))))</f>
        <v>19</v>
      </c>
      <c r="AU83" s="117">
        <f>IF(ISBLANK(S83),"",IF(ISBLANK($O83),AG83,IF($J83="ANUAL",AG83*(1+Macroindicadores!D$7),IF(AND($I83="NOVO",MONTH($O83)=MONTH(AU$4)),AG83*(1+Macroindicadores!D$7),IF(AND($J83="PONTUAL",MONTH($O83)=MONTH(AU$4)),AG83*(1+Macroindicadores!D$7),IF(AND($J83="PONTUAL",MONTH($O83)&lt;MONTH(AU$4)),MIN($AS83:AT83),IF(AND($I83="NOVO",MONTH($O83)&gt;MONTH(AU$4)),AG83,IF(MONTH($O83)&gt;MONTH(AU$4),AG83,IF(MONTH($O83)=MONTH(AU$4),AG83*(1+Macroindicadores!D$7),AT83)))))))))</f>
        <v>19</v>
      </c>
      <c r="AV83" s="117">
        <f>IF(ISBLANK(T83),"",IF(ISBLANK($O83),AH83,IF($J83="ANUAL",AH83*(1+Macroindicadores!E$7),IF(AND($I83="NOVO",MONTH($O83)=MONTH(AV$4)),AH83*(1+Macroindicadores!E$7),IF(AND($J83="PONTUAL",MONTH($O83)=MONTH(AV$4)),AH83*(1+Macroindicadores!E$7),IF(AND($J83="PONTUAL",MONTH($O83)&lt;MONTH(AV$4)),MIN($AS83:AU83),IF(AND($I83="NOVO",MONTH($O83)&gt;MONTH(AV$4)),AH83,IF(MONTH($O83)&gt;MONTH(AV$4),AH83,IF(MONTH($O83)=MONTH(AV$4),AH83*(1+Macroindicadores!E$7),AU83)))))))))</f>
        <v>19</v>
      </c>
      <c r="AW83" s="117">
        <f>IF(ISBLANK(U83),"",IF(ISBLANK($O83),AI83,IF($J83="ANUAL",AI83*(1+Macroindicadores!F$7),IF(AND($I83="NOVO",MONTH($O83)=MONTH(AW$4)),AI83*(1+Macroindicadores!F$7),IF(AND($J83="PONTUAL",MONTH($O83)=MONTH(AW$4)),AI83*(1+Macroindicadores!F$7),IF(AND($J83="PONTUAL",MONTH($O83)&lt;MONTH(AW$4)),MIN($AS83:AV83),IF(AND($I83="NOVO",MONTH($O83)&gt;MONTH(AW$4)),AI83,IF(MONTH($O83)&gt;MONTH(AW$4),AI83,IF(MONTH($O83)=MONTH(AW$4),AI83*(1+Macroindicadores!F$7),AV83)))))))))</f>
        <v>19</v>
      </c>
      <c r="AX83" s="117">
        <f>IF(ISBLANK(V83),"",IF(ISBLANK($O83),AJ83,IF($J83="ANUAL",AJ83*(1+Macroindicadores!G$7),IF(AND($I83="NOVO",MONTH($O83)=MONTH(AX$4)),AJ83*(1+Macroindicadores!G$7),IF(AND($J83="PONTUAL",MONTH($O83)=MONTH(AX$4)),AJ83*(1+Macroindicadores!G$7),IF(AND($J83="PONTUAL",MONTH($O83)&lt;MONTH(AX$4)),MIN($AS83:AW83),IF(AND($I83="NOVO",MONTH($O83)&gt;MONTH(AX$4)),AJ83,IF(MONTH($O83)&gt;MONTH(AX$4),AJ83,IF(MONTH($O83)=MONTH(AX$4),AJ83*(1+Macroindicadores!G$7),AW83)))))))))</f>
        <v>19</v>
      </c>
      <c r="AY83" s="117">
        <f>IF(ISBLANK(W83),"",IF(ISBLANK($O83),AK83,IF($J83="ANUAL",AK83*(1+Macroindicadores!H$7),IF(AND($I83="NOVO",MONTH($O83)=MONTH(AY$4)),AK83*(1+Macroindicadores!H$7),IF(AND($J83="PONTUAL",MONTH($O83)=MONTH(AY$4)),AK83*(1+Macroindicadores!H$7),IF(AND($J83="PONTUAL",MONTH($O83)&lt;MONTH(AY$4)),MIN($AS83:AX83),IF(AND($I83="NOVO",MONTH($O83)&gt;MONTH(AY$4)),AK83,IF(MONTH($O83)&gt;MONTH(AY$4),AK83,IF(MONTH($O83)=MONTH(AY$4),AK83*(1+Macroindicadores!H$7),AX83)))))))))</f>
        <v>19</v>
      </c>
      <c r="AZ83" s="117">
        <f>IF(ISBLANK(X83),"",IF(ISBLANK($O83),AL83,IF($J83="ANUAL",AL83*(1+Macroindicadores!I$7),IF(AND($I83="NOVO",MONTH($O83)=MONTH(AZ$4)),AL83*(1+Macroindicadores!I$7),IF(AND($J83="PONTUAL",MONTH($O83)=MONTH(AZ$4)),AL83*(1+Macroindicadores!I$7),IF(AND($J83="PONTUAL",MONTH($O83)&lt;MONTH(AZ$4)),MIN($AS83:AY83),IF(AND($I83="NOVO",MONTH($O83)&gt;MONTH(AZ$4)),AL83,IF(MONTH($O83)&gt;MONTH(AZ$4),AL83,IF(MONTH($O83)=MONTH(AZ$4),AL83*(1+Macroindicadores!I$7),AY83)))))))))</f>
        <v>19</v>
      </c>
      <c r="BA83" s="117">
        <f>IF(ISBLANK(Y83),"",IF(ISBLANK($O83),AM83,IF($J83="ANUAL",AM83*(1+Macroindicadores!J$7),IF(AND($I83="NOVO",MONTH($O83)=MONTH(BA$4)),AM83*(1+Macroindicadores!J$7),IF(AND($J83="PONTUAL",MONTH($O83)=MONTH(BA$4)),AM83*(1+Macroindicadores!J$7),IF(AND($J83="PONTUAL",MONTH($O83)&lt;MONTH(BA$4)),MIN($AS83:AZ83),IF(AND($I83="NOVO",MONTH($O83)&gt;MONTH(BA$4)),AM83,IF(MONTH($O83)&gt;MONTH(BA$4),AM83,IF(MONTH($O83)=MONTH(BA$4),AM83*(1+Macroindicadores!J$7),AZ83)))))))))</f>
        <v>19</v>
      </c>
      <c r="BB83" s="117">
        <f>IF(ISBLANK(Z83),"",IF(ISBLANK($O83),AN83,IF($J83="ANUAL",AN83*(1+Macroindicadores!K$7),IF(AND($I83="NOVO",MONTH($O83)=MONTH(BB$4)),AN83*(1+Macroindicadores!K$7),IF(AND($J83="PONTUAL",MONTH($O83)=MONTH(BB$4)),AN83*(1+Macroindicadores!K$7),IF(AND($J83="PONTUAL",MONTH($O83)&lt;MONTH(BB$4)),MIN($AS83:BA83),IF(AND($I83="NOVO",MONTH($O83)&gt;MONTH(BB$4)),AN83,IF(MONTH($O83)&gt;MONTH(BB$4),AN83,IF(MONTH($O83)=MONTH(BB$4),AN83*(1+Macroindicadores!K$7),BA83)))))))))</f>
        <v>19</v>
      </c>
      <c r="BC83" s="117">
        <f>IF(ISBLANK(AA83),"",IF(ISBLANK($O83),AO83,IF($J83="ANUAL",AO83*(1+Macroindicadores!L$7),IF(AND($I83="NOVO",MONTH($O83)=MONTH(BC$4)),AO83*(1+Macroindicadores!L$7),IF(AND($J83="PONTUAL",MONTH($O83)=MONTH(BC$4)),AO83*(1+Macroindicadores!L$7),IF(AND($J83="PONTUAL",MONTH($O83)&lt;MONTH(BC$4)),MIN($AS83:BB83),IF(AND($I83="NOVO",MONTH($O83)&gt;MONTH(BC$4)),AO83,IF(MONTH($O83)&gt;MONTH(BC$4),AO83,IF(MONTH($O83)=MONTH(BC$4),AO83*(1+Macroindicadores!L$7),BB83)))))))))</f>
        <v>19</v>
      </c>
      <c r="BD83" s="117">
        <f>IF(ISBLANK(AB83),"",IF(ISBLANK($O83),AP83,IF($J83="ANUAL",AP83*(1+Macroindicadores!M$7),IF(AND($I83="NOVO",MONTH($O83)=MONTH(BD$4)),AP83*(1+Macroindicadores!M$7),IF(AND($J83="PONTUAL",MONTH($O83)=MONTH(BD$4)),AP83*(1+Macroindicadores!M$7),IF(AND($J83="PONTUAL",MONTH($O83)&lt;MONTH(BD$4)),MIN($AS83:BC83),IF(AND($I83="NOVO",MONTH($O83)&gt;MONTH(BD$4)),AP83,IF(MONTH($O83)&gt;MONTH(BD$4),AP83,IF(MONTH($O83)=MONTH(BD$4),AP83*(1+Macroindicadores!M$7),BC83)))))))))</f>
        <v>19</v>
      </c>
      <c r="BE83" s="118">
        <f t="shared" si="50"/>
        <v>228</v>
      </c>
      <c r="BF83" s="108"/>
      <c r="BG83" s="117">
        <f>IF(ISBLANK(Q83),"",AS83/Macroindicadores!B$2)</f>
        <v>3.231292517006803</v>
      </c>
      <c r="BH83" s="117">
        <f>IF(ISBLANK(R83),"",AT83/Macroindicadores!C$2)</f>
        <v>3.231292517006803</v>
      </c>
      <c r="BI83" s="117">
        <f>IF(ISBLANK(S83),"",AU83/Macroindicadores!D$2)</f>
        <v>3.231292517006803</v>
      </c>
      <c r="BJ83" s="117">
        <f>IF(ISBLANK(T83),"",AV83/Macroindicadores!E$2)</f>
        <v>3.231292517006803</v>
      </c>
      <c r="BK83" s="117">
        <f>IF(ISBLANK(U83),"",AW83/Macroindicadores!F$2)</f>
        <v>3.231292517006803</v>
      </c>
      <c r="BL83" s="117">
        <f>IF(ISBLANK(V83),"",AX83/Macroindicadores!G$2)</f>
        <v>3.231292517006803</v>
      </c>
      <c r="BM83" s="117">
        <f>IF(ISBLANK(W83),"",AY83/Macroindicadores!H$2)</f>
        <v>3.231292517006803</v>
      </c>
      <c r="BN83" s="117">
        <f>IF(ISBLANK(X83),"",AZ83/Macroindicadores!I$2)</f>
        <v>3.231292517006803</v>
      </c>
      <c r="BO83" s="117">
        <f>IF(ISBLANK(Y83),"",BA83/Macroindicadores!J$2)</f>
        <v>3.231292517006803</v>
      </c>
      <c r="BP83" s="117">
        <f>IF(ISBLANK(Z83),"",BB83/Macroindicadores!K$2)</f>
        <v>3.231292517006803</v>
      </c>
      <c r="BQ83" s="117">
        <f>IF(ISBLANK(AA83),"",BC83/Macroindicadores!L$2)</f>
        <v>3.231292517006803</v>
      </c>
      <c r="BR83" s="117">
        <f>IF(ISBLANK(AB83),"",BD83/Macroindicadores!M$2)</f>
        <v>3.231292517006803</v>
      </c>
      <c r="BS83" s="118">
        <f>IF(AND(ISBLANK($Q83),ISBLANK($R83),ISBLANK($S83),ISBLANK($T83),ISBLANK($U83),ISBLANK($V83),ISBLANK($W83),ISBLANK($X83),ISBLANK($Y83),ISBLANK($Z83),ISBLANK($AA83),ISBLANK($AB83)),"",SUM(BG83:BR83))</f>
        <v>38.775510204081627</v>
      </c>
      <c r="BT83" s="25" t="str">
        <f>IF(ISBLANK($L83),"",_xlfn.XLOOKUP($L83,'CENTRO CUSTO'!$A:$A,'CENTRO CUSTO'!$E:$E,FALSE,0))</f>
        <v>G&amp;A BU</v>
      </c>
    </row>
    <row r="84" spans="1:72">
      <c r="A84" s="9" t="str">
        <f t="shared" si="52"/>
        <v>Budget</v>
      </c>
      <c r="B84" s="9">
        <f t="shared" si="49"/>
        <v>2026</v>
      </c>
      <c r="C84" s="111" t="str">
        <f>IF(ISBLANK($L84),"",_xlfn.XLOOKUP($L84,'CENTRO CUSTO'!$A:$A,'CENTRO CUSTO'!F:F,FALSE,0))</f>
        <v>MRV</v>
      </c>
      <c r="D84" s="111" t="str">
        <f>IF(ISBLANK($L84),"",_xlfn.XLOOKUP($L84,'CENTRO CUSTO'!$A:$A,'CENTRO CUSTO'!G:G,FALSE,0))</f>
        <v>BU-MRV</v>
      </c>
      <c r="E84" s="111" t="str">
        <f>IF(ISBLANK($L84),"",_xlfn.XLOOKUP($L84,'CENTRO CUSTO'!$A:$A,'CENTRO CUSTO'!H:H,FALSE,0))</f>
        <v>G&amp;A</v>
      </c>
      <c r="F84" s="112" t="s">
        <v>128</v>
      </c>
      <c r="G84" s="112" t="s">
        <v>75</v>
      </c>
      <c r="H84" s="112" t="s">
        <v>129</v>
      </c>
      <c r="I84" s="113" t="s">
        <v>77</v>
      </c>
      <c r="J84" s="113" t="s">
        <v>78</v>
      </c>
      <c r="K84" s="113" t="s">
        <v>79</v>
      </c>
      <c r="L84" s="113" t="s">
        <v>45</v>
      </c>
      <c r="M84" s="111" t="str">
        <f>IF(ISBLANK($L84),"",_xlfn.XLOOKUP($L84,'CENTRO CUSTO'!$A:$A,'CENTRO CUSTO'!D:D,FALSE,0))</f>
        <v>Alexandre Ayabe</v>
      </c>
      <c r="N84" s="113" t="s">
        <v>87</v>
      </c>
      <c r="O84" s="114"/>
      <c r="P84" s="113" t="s">
        <v>81</v>
      </c>
      <c r="Q84" s="115">
        <f>456000*Rateio!$E$350/12</f>
        <v>1900</v>
      </c>
      <c r="R84" s="115">
        <f>456000*Rateio!$E$350/12</f>
        <v>1900</v>
      </c>
      <c r="S84" s="115">
        <f>456000*Rateio!$E$350/12</f>
        <v>1900</v>
      </c>
      <c r="T84" s="115">
        <f>456000*Rateio!$E$350/12</f>
        <v>1900</v>
      </c>
      <c r="U84" s="115">
        <f>456000*Rateio!$E$350/12</f>
        <v>1900</v>
      </c>
      <c r="V84" s="115">
        <f>456000*Rateio!$E$350/12</f>
        <v>1900</v>
      </c>
      <c r="W84" s="115">
        <f>456000*Rateio!$E$350/12</f>
        <v>1900</v>
      </c>
      <c r="X84" s="115">
        <f>456000*Rateio!$E$350/12</f>
        <v>1900</v>
      </c>
      <c r="Y84" s="115">
        <f>456000*Rateio!$E$350/12</f>
        <v>1900</v>
      </c>
      <c r="Z84" s="115">
        <f>456000*Rateio!$E$350/12</f>
        <v>1900</v>
      </c>
      <c r="AA84" s="115">
        <f>456000*Rateio!$E$350/12</f>
        <v>1900</v>
      </c>
      <c r="AB84" s="115">
        <f>456000*Rateio!$E$350/12</f>
        <v>1900</v>
      </c>
      <c r="AC84" s="116">
        <f t="shared" si="53"/>
        <v>22800</v>
      </c>
      <c r="AD84" s="108"/>
      <c r="AE84" s="117">
        <f>IF(ISBLANK(Q84),"",IF($P84="BRL",Q84,Q84*Macroindicadores!B$2)/1000)</f>
        <v>1.9</v>
      </c>
      <c r="AF84" s="117">
        <f>IF(ISBLANK(R84),"",IF($P84="BRL",R84,R84*Macroindicadores!C$2)/1000)</f>
        <v>1.9</v>
      </c>
      <c r="AG84" s="117">
        <f>IF(ISBLANK(S84),"",IF($P84="BRL",S84,S84*Macroindicadores!D$2)/1000)</f>
        <v>1.9</v>
      </c>
      <c r="AH84" s="117">
        <f>IF(ISBLANK(T84),"",IF($P84="BRL",T84,T84*Macroindicadores!E$2)/1000)</f>
        <v>1.9</v>
      </c>
      <c r="AI84" s="117">
        <f>IF(ISBLANK(U84),"",IF($P84="BRL",U84,U84*Macroindicadores!F$2)/1000)</f>
        <v>1.9</v>
      </c>
      <c r="AJ84" s="117">
        <f>IF(ISBLANK(V84),"",IF($P84="BRL",V84,V84*Macroindicadores!G$2)/1000)</f>
        <v>1.9</v>
      </c>
      <c r="AK84" s="117">
        <f>IF(ISBLANK(W84),"",IF($P84="BRL",W84,W84*Macroindicadores!H$2)/1000)</f>
        <v>1.9</v>
      </c>
      <c r="AL84" s="117">
        <f>IF(ISBLANK(X84),"",IF($P84="BRL",X84,X84*Macroindicadores!I$2)/1000)</f>
        <v>1.9</v>
      </c>
      <c r="AM84" s="117">
        <f>IF(ISBLANK(Y84),"",IF($P84="BRL",Y84,Y84*Macroindicadores!J$2)/1000)</f>
        <v>1.9</v>
      </c>
      <c r="AN84" s="117">
        <f>IF(ISBLANK(Z84),"",IF($P84="BRL",Z84,Z84*Macroindicadores!K$2)/1000)</f>
        <v>1.9</v>
      </c>
      <c r="AO84" s="117">
        <f>IF(ISBLANK(AA84),"",IF($P84="BRL",AA84,AA84*Macroindicadores!L$2)/1000)</f>
        <v>1.9</v>
      </c>
      <c r="AP84" s="117">
        <f>IF(ISBLANK(AB84),"",IF($P84="BRL",AB84,AB84*Macroindicadores!M$2)/1000)</f>
        <v>1.9</v>
      </c>
      <c r="AQ84" s="118">
        <f t="shared" si="51"/>
        <v>22.799999999999997</v>
      </c>
      <c r="AR84" s="108"/>
      <c r="AS84" s="117">
        <f>IF(ISBLANK(Q84),"",IF(ISBLANK($O84),AE84,IF($J84="ANUAL",AE84*(1+Macroindicadores!B$7),IF(AND($I84="NOVO",MONTH($O84)=MONTH(AS$4)),AE84*(1+Macroindicadores!B$7),IF(AND($J84="PONTUAL",MONTH($O84)=MONTH(AS$4)),AE84*(1+Macroindicadores!B$7),IF(AND($J84="PONTUAL",MONTH($O84)&lt;MONTH(AS$4)),MIN(AR84:$AS84),IF(AND($I84="NOVO",MONTH($O84)&gt;MONTH(AS$4)),AE84,IF(MONTH($O84)&gt;MONTH(AS$4),AE84,IF(MONTH($O84)=MONTH(AS$4),AE84*(1+Macroindicadores!B$7),AR84)))))))))</f>
        <v>1.9</v>
      </c>
      <c r="AT84" s="117">
        <f>IF(ISBLANK(R84),"",IF(ISBLANK($O84),AF84,IF($J84="ANUAL",AF84*(1+Macroindicadores!C$7),IF(AND($I84="NOVO",MONTH($O84)=MONTH(AT$4)),AF84*(1+Macroindicadores!C$7),IF(AND($J84="PONTUAL",MONTH($O84)=MONTH(AT$4)),AF84*(1+Macroindicadores!C$7),IF(AND($J84="PONTUAL",MONTH($O84)&lt;MONTH(AT$4)),MIN($AS84:AS84),IF(AND($I84="NOVO",MONTH($O84)&gt;MONTH(AT$4)),AF84,IF(MONTH($O84)&gt;MONTH(AT$4),AF84,IF(MONTH($O84)=MONTH(AT$4),AF84*(1+Macroindicadores!C$7),AS84)))))))))</f>
        <v>1.9</v>
      </c>
      <c r="AU84" s="117">
        <f>IF(ISBLANK(S84),"",IF(ISBLANK($O84),AG84,IF($J84="ANUAL",AG84*(1+Macroindicadores!D$7),IF(AND($I84="NOVO",MONTH($O84)=MONTH(AU$4)),AG84*(1+Macroindicadores!D$7),IF(AND($J84="PONTUAL",MONTH($O84)=MONTH(AU$4)),AG84*(1+Macroindicadores!D$7),IF(AND($J84="PONTUAL",MONTH($O84)&lt;MONTH(AU$4)),MIN($AS84:AT84),IF(AND($I84="NOVO",MONTH($O84)&gt;MONTH(AU$4)),AG84,IF(MONTH($O84)&gt;MONTH(AU$4),AG84,IF(MONTH($O84)=MONTH(AU$4),AG84*(1+Macroindicadores!D$7),AT84)))))))))</f>
        <v>1.9</v>
      </c>
      <c r="AV84" s="117">
        <f>IF(ISBLANK(T84),"",IF(ISBLANK($O84),AH84,IF($J84="ANUAL",AH84*(1+Macroindicadores!E$7),IF(AND($I84="NOVO",MONTH($O84)=MONTH(AV$4)),AH84*(1+Macroindicadores!E$7),IF(AND($J84="PONTUAL",MONTH($O84)=MONTH(AV$4)),AH84*(1+Macroindicadores!E$7),IF(AND($J84="PONTUAL",MONTH($O84)&lt;MONTH(AV$4)),MIN($AS84:AU84),IF(AND($I84="NOVO",MONTH($O84)&gt;MONTH(AV$4)),AH84,IF(MONTH($O84)&gt;MONTH(AV$4),AH84,IF(MONTH($O84)=MONTH(AV$4),AH84*(1+Macroindicadores!E$7),AU84)))))))))</f>
        <v>1.9</v>
      </c>
      <c r="AW84" s="117">
        <f>IF(ISBLANK(U84),"",IF(ISBLANK($O84),AI84,IF($J84="ANUAL",AI84*(1+Macroindicadores!F$7),IF(AND($I84="NOVO",MONTH($O84)=MONTH(AW$4)),AI84*(1+Macroindicadores!F$7),IF(AND($J84="PONTUAL",MONTH($O84)=MONTH(AW$4)),AI84*(1+Macroindicadores!F$7),IF(AND($J84="PONTUAL",MONTH($O84)&lt;MONTH(AW$4)),MIN($AS84:AV84),IF(AND($I84="NOVO",MONTH($O84)&gt;MONTH(AW$4)),AI84,IF(MONTH($O84)&gt;MONTH(AW$4),AI84,IF(MONTH($O84)=MONTH(AW$4),AI84*(1+Macroindicadores!F$7),AV84)))))))))</f>
        <v>1.9</v>
      </c>
      <c r="AX84" s="117">
        <f>IF(ISBLANK(V84),"",IF(ISBLANK($O84),AJ84,IF($J84="ANUAL",AJ84*(1+Macroindicadores!G$7),IF(AND($I84="NOVO",MONTH($O84)=MONTH(AX$4)),AJ84*(1+Macroindicadores!G$7),IF(AND($J84="PONTUAL",MONTH($O84)=MONTH(AX$4)),AJ84*(1+Macroindicadores!G$7),IF(AND($J84="PONTUAL",MONTH($O84)&lt;MONTH(AX$4)),MIN($AS84:AW84),IF(AND($I84="NOVO",MONTH($O84)&gt;MONTH(AX$4)),AJ84,IF(MONTH($O84)&gt;MONTH(AX$4),AJ84,IF(MONTH($O84)=MONTH(AX$4),AJ84*(1+Macroindicadores!G$7),AW84)))))))))</f>
        <v>1.9</v>
      </c>
      <c r="AY84" s="117">
        <f>IF(ISBLANK(W84),"",IF(ISBLANK($O84),AK84,IF($J84="ANUAL",AK84*(1+Macroindicadores!H$7),IF(AND($I84="NOVO",MONTH($O84)=MONTH(AY$4)),AK84*(1+Macroindicadores!H$7),IF(AND($J84="PONTUAL",MONTH($O84)=MONTH(AY$4)),AK84*(1+Macroindicadores!H$7),IF(AND($J84="PONTUAL",MONTH($O84)&lt;MONTH(AY$4)),MIN($AS84:AX84),IF(AND($I84="NOVO",MONTH($O84)&gt;MONTH(AY$4)),AK84,IF(MONTH($O84)&gt;MONTH(AY$4),AK84,IF(MONTH($O84)=MONTH(AY$4),AK84*(1+Macroindicadores!H$7),AX84)))))))))</f>
        <v>1.9</v>
      </c>
      <c r="AZ84" s="117">
        <f>IF(ISBLANK(X84),"",IF(ISBLANK($O84),AL84,IF($J84="ANUAL",AL84*(1+Macroindicadores!I$7),IF(AND($I84="NOVO",MONTH($O84)=MONTH(AZ$4)),AL84*(1+Macroindicadores!I$7),IF(AND($J84="PONTUAL",MONTH($O84)=MONTH(AZ$4)),AL84*(1+Macroindicadores!I$7),IF(AND($J84="PONTUAL",MONTH($O84)&lt;MONTH(AZ$4)),MIN($AS84:AY84),IF(AND($I84="NOVO",MONTH($O84)&gt;MONTH(AZ$4)),AL84,IF(MONTH($O84)&gt;MONTH(AZ$4),AL84,IF(MONTH($O84)=MONTH(AZ$4),AL84*(1+Macroindicadores!I$7),AY84)))))))))</f>
        <v>1.9</v>
      </c>
      <c r="BA84" s="117">
        <f>IF(ISBLANK(Y84),"",IF(ISBLANK($O84),AM84,IF($J84="ANUAL",AM84*(1+Macroindicadores!J$7),IF(AND($I84="NOVO",MONTH($O84)=MONTH(BA$4)),AM84*(1+Macroindicadores!J$7),IF(AND($J84="PONTUAL",MONTH($O84)=MONTH(BA$4)),AM84*(1+Macroindicadores!J$7),IF(AND($J84="PONTUAL",MONTH($O84)&lt;MONTH(BA$4)),MIN($AS84:AZ84),IF(AND($I84="NOVO",MONTH($O84)&gt;MONTH(BA$4)),AM84,IF(MONTH($O84)&gt;MONTH(BA$4),AM84,IF(MONTH($O84)=MONTH(BA$4),AM84*(1+Macroindicadores!J$7),AZ84)))))))))</f>
        <v>1.9</v>
      </c>
      <c r="BB84" s="117">
        <f>IF(ISBLANK(Z84),"",IF(ISBLANK($O84),AN84,IF($J84="ANUAL",AN84*(1+Macroindicadores!K$7),IF(AND($I84="NOVO",MONTH($O84)=MONTH(BB$4)),AN84*(1+Macroindicadores!K$7),IF(AND($J84="PONTUAL",MONTH($O84)=MONTH(BB$4)),AN84*(1+Macroindicadores!K$7),IF(AND($J84="PONTUAL",MONTH($O84)&lt;MONTH(BB$4)),MIN($AS84:BA84),IF(AND($I84="NOVO",MONTH($O84)&gt;MONTH(BB$4)),AN84,IF(MONTH($O84)&gt;MONTH(BB$4),AN84,IF(MONTH($O84)=MONTH(BB$4),AN84*(1+Macroindicadores!K$7),BA84)))))))))</f>
        <v>1.9</v>
      </c>
      <c r="BC84" s="117">
        <f>IF(ISBLANK(AA84),"",IF(ISBLANK($O84),AO84,IF($J84="ANUAL",AO84*(1+Macroindicadores!L$7),IF(AND($I84="NOVO",MONTH($O84)=MONTH(BC$4)),AO84*(1+Macroindicadores!L$7),IF(AND($J84="PONTUAL",MONTH($O84)=MONTH(BC$4)),AO84*(1+Macroindicadores!L$7),IF(AND($J84="PONTUAL",MONTH($O84)&lt;MONTH(BC$4)),MIN($AS84:BB84),IF(AND($I84="NOVO",MONTH($O84)&gt;MONTH(BC$4)),AO84,IF(MONTH($O84)&gt;MONTH(BC$4),AO84,IF(MONTH($O84)=MONTH(BC$4),AO84*(1+Macroindicadores!L$7),BB84)))))))))</f>
        <v>1.9</v>
      </c>
      <c r="BD84" s="117">
        <f>IF(ISBLANK(AB84),"",IF(ISBLANK($O84),AP84,IF($J84="ANUAL",AP84*(1+Macroindicadores!M$7),IF(AND($I84="NOVO",MONTH($O84)=MONTH(BD$4)),AP84*(1+Macroindicadores!M$7),IF(AND($J84="PONTUAL",MONTH($O84)=MONTH(BD$4)),AP84*(1+Macroindicadores!M$7),IF(AND($J84="PONTUAL",MONTH($O84)&lt;MONTH(BD$4)),MIN($AS84:BC84),IF(AND($I84="NOVO",MONTH($O84)&gt;MONTH(BD$4)),AP84,IF(MONTH($O84)&gt;MONTH(BD$4),AP84,IF(MONTH($O84)=MONTH(BD$4),AP84*(1+Macroindicadores!M$7),BC84)))))))))</f>
        <v>1.9</v>
      </c>
      <c r="BE84" s="118">
        <f t="shared" si="50"/>
        <v>22.799999999999997</v>
      </c>
      <c r="BF84" s="108"/>
      <c r="BG84" s="117">
        <f>IF(ISBLANK(Q84),"",AS84/Macroindicadores!B$2)</f>
        <v>0.32312925170068024</v>
      </c>
      <c r="BH84" s="117">
        <f>IF(ISBLANK(R84),"",AT84/Macroindicadores!C$2)</f>
        <v>0.32312925170068024</v>
      </c>
      <c r="BI84" s="117">
        <f>IF(ISBLANK(S84),"",AU84/Macroindicadores!D$2)</f>
        <v>0.32312925170068024</v>
      </c>
      <c r="BJ84" s="117">
        <f>IF(ISBLANK(T84),"",AV84/Macroindicadores!E$2)</f>
        <v>0.32312925170068024</v>
      </c>
      <c r="BK84" s="117">
        <f>IF(ISBLANK(U84),"",AW84/Macroindicadores!F$2)</f>
        <v>0.32312925170068024</v>
      </c>
      <c r="BL84" s="117">
        <f>IF(ISBLANK(V84),"",AX84/Macroindicadores!G$2)</f>
        <v>0.32312925170068024</v>
      </c>
      <c r="BM84" s="117">
        <f>IF(ISBLANK(W84),"",AY84/Macroindicadores!H$2)</f>
        <v>0.32312925170068024</v>
      </c>
      <c r="BN84" s="117">
        <f>IF(ISBLANK(X84),"",AZ84/Macroindicadores!I$2)</f>
        <v>0.32312925170068024</v>
      </c>
      <c r="BO84" s="117">
        <f>IF(ISBLANK(Y84),"",BA84/Macroindicadores!J$2)</f>
        <v>0.32312925170068024</v>
      </c>
      <c r="BP84" s="117">
        <f>IF(ISBLANK(Z84),"",BB84/Macroindicadores!K$2)</f>
        <v>0.32312925170068024</v>
      </c>
      <c r="BQ84" s="117">
        <f>IF(ISBLANK(AA84),"",BC84/Macroindicadores!L$2)</f>
        <v>0.32312925170068024</v>
      </c>
      <c r="BR84" s="117">
        <f>IF(ISBLANK(AB84),"",BD84/Macroindicadores!M$2)</f>
        <v>0.32312925170068024</v>
      </c>
      <c r="BS84" s="118">
        <f>IF(AND(ISBLANK($Q84),ISBLANK($R84),ISBLANK($S84),ISBLANK($T84),ISBLANK($U84),ISBLANK($V84),ISBLANK($W84),ISBLANK($X84),ISBLANK($Y84),ISBLANK($Z84),ISBLANK($AA84),ISBLANK($AB84)),"",SUM(BG84:BR84))</f>
        <v>3.8775510204081622</v>
      </c>
      <c r="BT84" s="25" t="str">
        <f>IF(ISBLANK($L84),"",_xlfn.XLOOKUP($L84,'CENTRO CUSTO'!$A:$A,'CENTRO CUSTO'!$E:$E,FALSE,0))</f>
        <v>G&amp;A BU</v>
      </c>
    </row>
    <row r="85" spans="1:72">
      <c r="A85" s="9" t="str">
        <f t="shared" si="52"/>
        <v>Budget</v>
      </c>
      <c r="B85" s="9">
        <f t="shared" si="49"/>
        <v>2026</v>
      </c>
      <c r="C85" s="111" t="str">
        <f>IF(ISBLANK($L85),"",_xlfn.XLOOKUP($L85,'CENTRO CUSTO'!$A:$A,'CENTRO CUSTO'!F:F,FALSE,0))</f>
        <v>SKM</v>
      </c>
      <c r="D85" s="111" t="str">
        <f>IF(ISBLANK($L85),"",_xlfn.XLOOKUP($L85,'CENTRO CUSTO'!$A:$A,'CENTRO CUSTO'!G:G,FALSE,0))</f>
        <v>BU-SKM</v>
      </c>
      <c r="E85" s="111" t="str">
        <f>IF(ISBLANK($L85),"",_xlfn.XLOOKUP($L85,'CENTRO CUSTO'!$A:$A,'CENTRO CUSTO'!H:H,FALSE,0))</f>
        <v>G&amp;A</v>
      </c>
      <c r="F85" s="112" t="s">
        <v>128</v>
      </c>
      <c r="G85" s="112" t="s">
        <v>75</v>
      </c>
      <c r="H85" s="112" t="s">
        <v>129</v>
      </c>
      <c r="I85" s="113" t="s">
        <v>77</v>
      </c>
      <c r="J85" s="113" t="s">
        <v>78</v>
      </c>
      <c r="K85" s="113" t="s">
        <v>79</v>
      </c>
      <c r="L85" s="113" t="s">
        <v>50</v>
      </c>
      <c r="M85" s="111" t="str">
        <f>IF(ISBLANK($L85),"",_xlfn.XLOOKUP($L85,'CENTRO CUSTO'!$A:$A,'CENTRO CUSTO'!D:D,FALSE,0))</f>
        <v>Alexandre Ayabe</v>
      </c>
      <c r="N85" s="113" t="s">
        <v>87</v>
      </c>
      <c r="O85" s="114"/>
      <c r="P85" s="113" t="s">
        <v>81</v>
      </c>
      <c r="Q85" s="115">
        <f>456000*Rateio!$E$353/12</f>
        <v>2280</v>
      </c>
      <c r="R85" s="115">
        <f>456000*Rateio!$E$353/12</f>
        <v>2280</v>
      </c>
      <c r="S85" s="115">
        <f>456000*Rateio!$E$353/12</f>
        <v>2280</v>
      </c>
      <c r="T85" s="115">
        <f>456000*Rateio!$E$353/12</f>
        <v>2280</v>
      </c>
      <c r="U85" s="115">
        <f>456000*Rateio!$E$353/12</f>
        <v>2280</v>
      </c>
      <c r="V85" s="115">
        <f>456000*Rateio!$E$353/12</f>
        <v>2280</v>
      </c>
      <c r="W85" s="115">
        <f>456000*Rateio!$E$353/12</f>
        <v>2280</v>
      </c>
      <c r="X85" s="115">
        <f>456000*Rateio!$E$353/12</f>
        <v>2280</v>
      </c>
      <c r="Y85" s="115">
        <f>456000*Rateio!$E$353/12</f>
        <v>2280</v>
      </c>
      <c r="Z85" s="115">
        <f>456000*Rateio!$E$353/12</f>
        <v>2280</v>
      </c>
      <c r="AA85" s="115">
        <f>456000*Rateio!$E$353/12</f>
        <v>2280</v>
      </c>
      <c r="AB85" s="115">
        <f>456000*Rateio!$E$353/12</f>
        <v>2280</v>
      </c>
      <c r="AC85" s="116">
        <f t="shared" si="53"/>
        <v>27360</v>
      </c>
      <c r="AD85" s="108"/>
      <c r="AE85" s="117">
        <f>IF(ISBLANK(Q85),"",IF($P85="BRL",Q85,Q85*Macroindicadores!B$2)/1000)</f>
        <v>2.2799999999999998</v>
      </c>
      <c r="AF85" s="117">
        <f>IF(ISBLANK(R85),"",IF($P85="BRL",R85,R85*Macroindicadores!C$2)/1000)</f>
        <v>2.2799999999999998</v>
      </c>
      <c r="AG85" s="117">
        <f>IF(ISBLANK(S85),"",IF($P85="BRL",S85,S85*Macroindicadores!D$2)/1000)</f>
        <v>2.2799999999999998</v>
      </c>
      <c r="AH85" s="117">
        <f>IF(ISBLANK(T85),"",IF($P85="BRL",T85,T85*Macroindicadores!E$2)/1000)</f>
        <v>2.2799999999999998</v>
      </c>
      <c r="AI85" s="117">
        <f>IF(ISBLANK(U85),"",IF($P85="BRL",U85,U85*Macroindicadores!F$2)/1000)</f>
        <v>2.2799999999999998</v>
      </c>
      <c r="AJ85" s="117">
        <f>IF(ISBLANK(V85),"",IF($P85="BRL",V85,V85*Macroindicadores!G$2)/1000)</f>
        <v>2.2799999999999998</v>
      </c>
      <c r="AK85" s="117">
        <f>IF(ISBLANK(W85),"",IF($P85="BRL",W85,W85*Macroindicadores!H$2)/1000)</f>
        <v>2.2799999999999998</v>
      </c>
      <c r="AL85" s="117">
        <f>IF(ISBLANK(X85),"",IF($P85="BRL",X85,X85*Macroindicadores!I$2)/1000)</f>
        <v>2.2799999999999998</v>
      </c>
      <c r="AM85" s="117">
        <f>IF(ISBLANK(Y85),"",IF($P85="BRL",Y85,Y85*Macroindicadores!J$2)/1000)</f>
        <v>2.2799999999999998</v>
      </c>
      <c r="AN85" s="117">
        <f>IF(ISBLANK(Z85),"",IF($P85="BRL",Z85,Z85*Macroindicadores!K$2)/1000)</f>
        <v>2.2799999999999998</v>
      </c>
      <c r="AO85" s="117">
        <f>IF(ISBLANK(AA85),"",IF($P85="BRL",AA85,AA85*Macroindicadores!L$2)/1000)</f>
        <v>2.2799999999999998</v>
      </c>
      <c r="AP85" s="117">
        <f>IF(ISBLANK(AB85),"",IF($P85="BRL",AB85,AB85*Macroindicadores!M$2)/1000)</f>
        <v>2.2799999999999998</v>
      </c>
      <c r="AQ85" s="118">
        <f t="shared" si="51"/>
        <v>27.360000000000003</v>
      </c>
      <c r="AR85" s="108"/>
      <c r="AS85" s="117">
        <f>IF(ISBLANK(Q85),"",IF(ISBLANK($O85),AE85,IF($J85="ANUAL",AE85*(1+Macroindicadores!B$7),IF(AND($I85="NOVO",MONTH($O85)=MONTH(AS$4)),AE85*(1+Macroindicadores!B$7),IF(AND($J85="PONTUAL",MONTH($O85)=MONTH(AS$4)),AE85*(1+Macroindicadores!B$7),IF(AND($J85="PONTUAL",MONTH($O85)&lt;MONTH(AS$4)),MIN(AR85:$AS85),IF(AND($I85="NOVO",MONTH($O85)&gt;MONTH(AS$4)),AE85,IF(MONTH($O85)&gt;MONTH(AS$4),AE85,IF(MONTH($O85)=MONTH(AS$4),AE85*(1+Macroindicadores!B$7),AR85)))))))))</f>
        <v>2.2799999999999998</v>
      </c>
      <c r="AT85" s="117">
        <f>IF(ISBLANK(R85),"",IF(ISBLANK($O85),AF85,IF($J85="ANUAL",AF85*(1+Macroindicadores!C$7),IF(AND($I85="NOVO",MONTH($O85)=MONTH(AT$4)),AF85*(1+Macroindicadores!C$7),IF(AND($J85="PONTUAL",MONTH($O85)=MONTH(AT$4)),AF85*(1+Macroindicadores!C$7),IF(AND($J85="PONTUAL",MONTH($O85)&lt;MONTH(AT$4)),MIN($AS85:AS85),IF(AND($I85="NOVO",MONTH($O85)&gt;MONTH(AT$4)),AF85,IF(MONTH($O85)&gt;MONTH(AT$4),AF85,IF(MONTH($O85)=MONTH(AT$4),AF85*(1+Macroindicadores!C$7),AS85)))))))))</f>
        <v>2.2799999999999998</v>
      </c>
      <c r="AU85" s="117">
        <f>IF(ISBLANK(S85),"",IF(ISBLANK($O85),AG85,IF($J85="ANUAL",AG85*(1+Macroindicadores!D$7),IF(AND($I85="NOVO",MONTH($O85)=MONTH(AU$4)),AG85*(1+Macroindicadores!D$7),IF(AND($J85="PONTUAL",MONTH($O85)=MONTH(AU$4)),AG85*(1+Macroindicadores!D$7),IF(AND($J85="PONTUAL",MONTH($O85)&lt;MONTH(AU$4)),MIN($AS85:AT85),IF(AND($I85="NOVO",MONTH($O85)&gt;MONTH(AU$4)),AG85,IF(MONTH($O85)&gt;MONTH(AU$4),AG85,IF(MONTH($O85)=MONTH(AU$4),AG85*(1+Macroindicadores!D$7),AT85)))))))))</f>
        <v>2.2799999999999998</v>
      </c>
      <c r="AV85" s="117">
        <f>IF(ISBLANK(T85),"",IF(ISBLANK($O85),AH85,IF($J85="ANUAL",AH85*(1+Macroindicadores!E$7),IF(AND($I85="NOVO",MONTH($O85)=MONTH(AV$4)),AH85*(1+Macroindicadores!E$7),IF(AND($J85="PONTUAL",MONTH($O85)=MONTH(AV$4)),AH85*(1+Macroindicadores!E$7),IF(AND($J85="PONTUAL",MONTH($O85)&lt;MONTH(AV$4)),MIN($AS85:AU85),IF(AND($I85="NOVO",MONTH($O85)&gt;MONTH(AV$4)),AH85,IF(MONTH($O85)&gt;MONTH(AV$4),AH85,IF(MONTH($O85)=MONTH(AV$4),AH85*(1+Macroindicadores!E$7),AU85)))))))))</f>
        <v>2.2799999999999998</v>
      </c>
      <c r="AW85" s="117">
        <f>IF(ISBLANK(U85),"",IF(ISBLANK($O85),AI85,IF($J85="ANUAL",AI85*(1+Macroindicadores!F$7),IF(AND($I85="NOVO",MONTH($O85)=MONTH(AW$4)),AI85*(1+Macroindicadores!F$7),IF(AND($J85="PONTUAL",MONTH($O85)=MONTH(AW$4)),AI85*(1+Macroindicadores!F$7),IF(AND($J85="PONTUAL",MONTH($O85)&lt;MONTH(AW$4)),MIN($AS85:AV85),IF(AND($I85="NOVO",MONTH($O85)&gt;MONTH(AW$4)),AI85,IF(MONTH($O85)&gt;MONTH(AW$4),AI85,IF(MONTH($O85)=MONTH(AW$4),AI85*(1+Macroindicadores!F$7),AV85)))))))))</f>
        <v>2.2799999999999998</v>
      </c>
      <c r="AX85" s="117">
        <f>IF(ISBLANK(V85),"",IF(ISBLANK($O85),AJ85,IF($J85="ANUAL",AJ85*(1+Macroindicadores!G$7),IF(AND($I85="NOVO",MONTH($O85)=MONTH(AX$4)),AJ85*(1+Macroindicadores!G$7),IF(AND($J85="PONTUAL",MONTH($O85)=MONTH(AX$4)),AJ85*(1+Macroindicadores!G$7),IF(AND($J85="PONTUAL",MONTH($O85)&lt;MONTH(AX$4)),MIN($AS85:AW85),IF(AND($I85="NOVO",MONTH($O85)&gt;MONTH(AX$4)),AJ85,IF(MONTH($O85)&gt;MONTH(AX$4),AJ85,IF(MONTH($O85)=MONTH(AX$4),AJ85*(1+Macroindicadores!G$7),AW85)))))))))</f>
        <v>2.2799999999999998</v>
      </c>
      <c r="AY85" s="117">
        <f>IF(ISBLANK(W85),"",IF(ISBLANK($O85),AK85,IF($J85="ANUAL",AK85*(1+Macroindicadores!H$7),IF(AND($I85="NOVO",MONTH($O85)=MONTH(AY$4)),AK85*(1+Macroindicadores!H$7),IF(AND($J85="PONTUAL",MONTH($O85)=MONTH(AY$4)),AK85*(1+Macroindicadores!H$7),IF(AND($J85="PONTUAL",MONTH($O85)&lt;MONTH(AY$4)),MIN($AS85:AX85),IF(AND($I85="NOVO",MONTH($O85)&gt;MONTH(AY$4)),AK85,IF(MONTH($O85)&gt;MONTH(AY$4),AK85,IF(MONTH($O85)=MONTH(AY$4),AK85*(1+Macroindicadores!H$7),AX85)))))))))</f>
        <v>2.2799999999999998</v>
      </c>
      <c r="AZ85" s="117">
        <f>IF(ISBLANK(X85),"",IF(ISBLANK($O85),AL85,IF($J85="ANUAL",AL85*(1+Macroindicadores!I$7),IF(AND($I85="NOVO",MONTH($O85)=MONTH(AZ$4)),AL85*(1+Macroindicadores!I$7),IF(AND($J85="PONTUAL",MONTH($O85)=MONTH(AZ$4)),AL85*(1+Macroindicadores!I$7),IF(AND($J85="PONTUAL",MONTH($O85)&lt;MONTH(AZ$4)),MIN($AS85:AY85),IF(AND($I85="NOVO",MONTH($O85)&gt;MONTH(AZ$4)),AL85,IF(MONTH($O85)&gt;MONTH(AZ$4),AL85,IF(MONTH($O85)=MONTH(AZ$4),AL85*(1+Macroindicadores!I$7),AY85)))))))))</f>
        <v>2.2799999999999998</v>
      </c>
      <c r="BA85" s="117">
        <f>IF(ISBLANK(Y85),"",IF(ISBLANK($O85),AM85,IF($J85="ANUAL",AM85*(1+Macroindicadores!J$7),IF(AND($I85="NOVO",MONTH($O85)=MONTH(BA$4)),AM85*(1+Macroindicadores!J$7),IF(AND($J85="PONTUAL",MONTH($O85)=MONTH(BA$4)),AM85*(1+Macroindicadores!J$7),IF(AND($J85="PONTUAL",MONTH($O85)&lt;MONTH(BA$4)),MIN($AS85:AZ85),IF(AND($I85="NOVO",MONTH($O85)&gt;MONTH(BA$4)),AM85,IF(MONTH($O85)&gt;MONTH(BA$4),AM85,IF(MONTH($O85)=MONTH(BA$4),AM85*(1+Macroindicadores!J$7),AZ85)))))))))</f>
        <v>2.2799999999999998</v>
      </c>
      <c r="BB85" s="117">
        <f>IF(ISBLANK(Z85),"",IF(ISBLANK($O85),AN85,IF($J85="ANUAL",AN85*(1+Macroindicadores!K$7),IF(AND($I85="NOVO",MONTH($O85)=MONTH(BB$4)),AN85*(1+Macroindicadores!K$7),IF(AND($J85="PONTUAL",MONTH($O85)=MONTH(BB$4)),AN85*(1+Macroindicadores!K$7),IF(AND($J85="PONTUAL",MONTH($O85)&lt;MONTH(BB$4)),MIN($AS85:BA85),IF(AND($I85="NOVO",MONTH($O85)&gt;MONTH(BB$4)),AN85,IF(MONTH($O85)&gt;MONTH(BB$4),AN85,IF(MONTH($O85)=MONTH(BB$4),AN85*(1+Macroindicadores!K$7),BA85)))))))))</f>
        <v>2.2799999999999998</v>
      </c>
      <c r="BC85" s="117">
        <f>IF(ISBLANK(AA85),"",IF(ISBLANK($O85),AO85,IF($J85="ANUAL",AO85*(1+Macroindicadores!L$7),IF(AND($I85="NOVO",MONTH($O85)=MONTH(BC$4)),AO85*(1+Macroindicadores!L$7),IF(AND($J85="PONTUAL",MONTH($O85)=MONTH(BC$4)),AO85*(1+Macroindicadores!L$7),IF(AND($J85="PONTUAL",MONTH($O85)&lt;MONTH(BC$4)),MIN($AS85:BB85),IF(AND($I85="NOVO",MONTH($O85)&gt;MONTH(BC$4)),AO85,IF(MONTH($O85)&gt;MONTH(BC$4),AO85,IF(MONTH($O85)=MONTH(BC$4),AO85*(1+Macroindicadores!L$7),BB85)))))))))</f>
        <v>2.2799999999999998</v>
      </c>
      <c r="BD85" s="117">
        <f>IF(ISBLANK(AB85),"",IF(ISBLANK($O85),AP85,IF($J85="ANUAL",AP85*(1+Macroindicadores!M$7),IF(AND($I85="NOVO",MONTH($O85)=MONTH(BD$4)),AP85*(1+Macroindicadores!M$7),IF(AND($J85="PONTUAL",MONTH($O85)=MONTH(BD$4)),AP85*(1+Macroindicadores!M$7),IF(AND($J85="PONTUAL",MONTH($O85)&lt;MONTH(BD$4)),MIN($AS85:BC85),IF(AND($I85="NOVO",MONTH($O85)&gt;MONTH(BD$4)),AP85,IF(MONTH($O85)&gt;MONTH(BD$4),AP85,IF(MONTH($O85)=MONTH(BD$4),AP85*(1+Macroindicadores!M$7),BC85)))))))))</f>
        <v>2.2799999999999998</v>
      </c>
      <c r="BE85" s="118">
        <f t="shared" si="50"/>
        <v>27.360000000000003</v>
      </c>
      <c r="BF85" s="108"/>
      <c r="BG85" s="117">
        <f>IF(ISBLANK(Q85),"",AS85/Macroindicadores!B$2)</f>
        <v>0.38775510204081631</v>
      </c>
      <c r="BH85" s="117">
        <f>IF(ISBLANK(R85),"",AT85/Macroindicadores!C$2)</f>
        <v>0.38775510204081631</v>
      </c>
      <c r="BI85" s="117">
        <f>IF(ISBLANK(S85),"",AU85/Macroindicadores!D$2)</f>
        <v>0.38775510204081631</v>
      </c>
      <c r="BJ85" s="117">
        <f>IF(ISBLANK(T85),"",AV85/Macroindicadores!E$2)</f>
        <v>0.38775510204081631</v>
      </c>
      <c r="BK85" s="117">
        <f>IF(ISBLANK(U85),"",AW85/Macroindicadores!F$2)</f>
        <v>0.38775510204081631</v>
      </c>
      <c r="BL85" s="117">
        <f>IF(ISBLANK(V85),"",AX85/Macroindicadores!G$2)</f>
        <v>0.38775510204081631</v>
      </c>
      <c r="BM85" s="117">
        <f>IF(ISBLANK(W85),"",AY85/Macroindicadores!H$2)</f>
        <v>0.38775510204081631</v>
      </c>
      <c r="BN85" s="117">
        <f>IF(ISBLANK(X85),"",AZ85/Macroindicadores!I$2)</f>
        <v>0.38775510204081631</v>
      </c>
      <c r="BO85" s="117">
        <f>IF(ISBLANK(Y85),"",BA85/Macroindicadores!J$2)</f>
        <v>0.38775510204081631</v>
      </c>
      <c r="BP85" s="117">
        <f>IF(ISBLANK(Z85),"",BB85/Macroindicadores!K$2)</f>
        <v>0.38775510204081631</v>
      </c>
      <c r="BQ85" s="117">
        <f>IF(ISBLANK(AA85),"",BC85/Macroindicadores!L$2)</f>
        <v>0.38775510204081631</v>
      </c>
      <c r="BR85" s="117">
        <f>IF(ISBLANK(AB85),"",BD85/Macroindicadores!M$2)</f>
        <v>0.38775510204081631</v>
      </c>
      <c r="BS85" s="118">
        <f>IF(AND(ISBLANK($Q85),ISBLANK($R85),ISBLANK($S85),ISBLANK($T85),ISBLANK($U85),ISBLANK($V85),ISBLANK($W85),ISBLANK($X85),ISBLANK($Y85),ISBLANK($Z85),ISBLANK($AA85),ISBLANK($AB85)),"",SUM(BG85:BR85))</f>
        <v>4.6530612244897949</v>
      </c>
      <c r="BT85" s="25" t="str">
        <f>IF(ISBLANK($L85),"",_xlfn.XLOOKUP($L85,'CENTRO CUSTO'!$A:$A,'CENTRO CUSTO'!$E:$E,FALSE,0))</f>
        <v>G&amp;A BU</v>
      </c>
    </row>
    <row r="86" spans="1:72">
      <c r="A86" s="9" t="str">
        <f t="shared" si="52"/>
        <v>Budget</v>
      </c>
      <c r="B86" s="9">
        <f t="shared" si="49"/>
        <v>2026</v>
      </c>
      <c r="C86" s="111" t="str">
        <f>IF(ISBLANK($L86),"",_xlfn.XLOOKUP($L86,'CENTRO CUSTO'!$A:$A,'CENTRO CUSTO'!F:F,FALSE,0))</f>
        <v>Cone Sul</v>
      </c>
      <c r="D86" s="111" t="str">
        <f>IF(ISBLANK($L86),"",_xlfn.XLOOKUP($L86,'CENTRO CUSTO'!$A:$A,'CENTRO CUSTO'!G:G,FALSE,0))</f>
        <v>Plataforma</v>
      </c>
      <c r="E86" s="111" t="str">
        <f>IF(ISBLANK($L86),"",_xlfn.XLOOKUP($L86,'CENTRO CUSTO'!$A:$A,'CENTRO CUSTO'!H:H,FALSE,0))</f>
        <v>G&amp;A</v>
      </c>
      <c r="F86" s="112" t="s">
        <v>128</v>
      </c>
      <c r="G86" s="112" t="s">
        <v>75</v>
      </c>
      <c r="H86" s="112" t="s">
        <v>129</v>
      </c>
      <c r="I86" s="113" t="s">
        <v>77</v>
      </c>
      <c r="J86" s="113" t="s">
        <v>78</v>
      </c>
      <c r="K86" s="113" t="s">
        <v>79</v>
      </c>
      <c r="L86" s="113" t="s">
        <v>54</v>
      </c>
      <c r="M86" s="111" t="str">
        <f>IF(ISBLANK($L86),"",_xlfn.XLOOKUP($L86,'CENTRO CUSTO'!$A:$A,'CENTRO CUSTO'!D:D,FALSE,0))</f>
        <v>Alexandre Ayabe</v>
      </c>
      <c r="N86" s="113" t="s">
        <v>87</v>
      </c>
      <c r="O86" s="114"/>
      <c r="P86" s="113" t="s">
        <v>81</v>
      </c>
      <c r="Q86" s="115">
        <f>456000*Rateio!$E$358/12</f>
        <v>6080</v>
      </c>
      <c r="R86" s="115">
        <f>456000*Rateio!$E$358/12</f>
        <v>6080</v>
      </c>
      <c r="S86" s="115">
        <f>456000*Rateio!$E$358/12</f>
        <v>6080</v>
      </c>
      <c r="T86" s="115">
        <f>456000*Rateio!$E$358/12</f>
        <v>6080</v>
      </c>
      <c r="U86" s="115">
        <f>456000*Rateio!$E$358/12</f>
        <v>6080</v>
      </c>
      <c r="V86" s="115">
        <f>456000*Rateio!$E$358/12</f>
        <v>6080</v>
      </c>
      <c r="W86" s="115">
        <f>456000*Rateio!$E$358/12</f>
        <v>6080</v>
      </c>
      <c r="X86" s="115">
        <f>456000*Rateio!$E$358/12</f>
        <v>6080</v>
      </c>
      <c r="Y86" s="115">
        <f>456000*Rateio!$E$358/12</f>
        <v>6080</v>
      </c>
      <c r="Z86" s="115">
        <f>456000*Rateio!$E$358/12</f>
        <v>6080</v>
      </c>
      <c r="AA86" s="115">
        <f>456000*Rateio!$E$358/12</f>
        <v>6080</v>
      </c>
      <c r="AB86" s="115">
        <f>456000*Rateio!$E$358/12</f>
        <v>6080</v>
      </c>
      <c r="AC86" s="116">
        <f t="shared" si="53"/>
        <v>72960</v>
      </c>
      <c r="AD86" s="108"/>
      <c r="AE86" s="117">
        <f>IF(ISBLANK(Q86),"",IF($P86="BRL",Q86,Q86*Macroindicadores!B$2)/1000)</f>
        <v>6.08</v>
      </c>
      <c r="AF86" s="117">
        <f>IF(ISBLANK(R86),"",IF($P86="BRL",R86,R86*Macroindicadores!C$2)/1000)</f>
        <v>6.08</v>
      </c>
      <c r="AG86" s="117">
        <f>IF(ISBLANK(S86),"",IF($P86="BRL",S86,S86*Macroindicadores!D$2)/1000)</f>
        <v>6.08</v>
      </c>
      <c r="AH86" s="117">
        <f>IF(ISBLANK(T86),"",IF($P86="BRL",T86,T86*Macroindicadores!E$2)/1000)</f>
        <v>6.08</v>
      </c>
      <c r="AI86" s="117">
        <f>IF(ISBLANK(U86),"",IF($P86="BRL",U86,U86*Macroindicadores!F$2)/1000)</f>
        <v>6.08</v>
      </c>
      <c r="AJ86" s="117">
        <f>IF(ISBLANK(V86),"",IF($P86="BRL",V86,V86*Macroindicadores!G$2)/1000)</f>
        <v>6.08</v>
      </c>
      <c r="AK86" s="117">
        <f>IF(ISBLANK(W86),"",IF($P86="BRL",W86,W86*Macroindicadores!H$2)/1000)</f>
        <v>6.08</v>
      </c>
      <c r="AL86" s="117">
        <f>IF(ISBLANK(X86),"",IF($P86="BRL",X86,X86*Macroindicadores!I$2)/1000)</f>
        <v>6.08</v>
      </c>
      <c r="AM86" s="117">
        <f>IF(ISBLANK(Y86),"",IF($P86="BRL",Y86,Y86*Macroindicadores!J$2)/1000)</f>
        <v>6.08</v>
      </c>
      <c r="AN86" s="117">
        <f>IF(ISBLANK(Z86),"",IF($P86="BRL",Z86,Z86*Macroindicadores!K$2)/1000)</f>
        <v>6.08</v>
      </c>
      <c r="AO86" s="117">
        <f>IF(ISBLANK(AA86),"",IF($P86="BRL",AA86,AA86*Macroindicadores!L$2)/1000)</f>
        <v>6.08</v>
      </c>
      <c r="AP86" s="117">
        <f>IF(ISBLANK(AB86),"",IF($P86="BRL",AB86,AB86*Macroindicadores!M$2)/1000)</f>
        <v>6.08</v>
      </c>
      <c r="AQ86" s="118">
        <f t="shared" si="51"/>
        <v>72.959999999999994</v>
      </c>
      <c r="AR86" s="108"/>
      <c r="AS86" s="117">
        <f>IF(ISBLANK(Q86),"",IF(ISBLANK($O86),AE86,IF($J86="ANUAL",AE86*(1+Macroindicadores!B$7),IF(AND($I86="NOVO",MONTH($O86)=MONTH(AS$4)),AE86*(1+Macroindicadores!B$7),IF(AND($J86="PONTUAL",MONTH($O86)=MONTH(AS$4)),AE86*(1+Macroindicadores!B$7),IF(AND($J86="PONTUAL",MONTH($O86)&lt;MONTH(AS$4)),MIN(AR86:$AS86),IF(AND($I86="NOVO",MONTH($O86)&gt;MONTH(AS$4)),AE86,IF(MONTH($O86)&gt;MONTH(AS$4),AE86,IF(MONTH($O86)=MONTH(AS$4),AE86*(1+Macroindicadores!B$7),AR86)))))))))</f>
        <v>6.08</v>
      </c>
      <c r="AT86" s="117">
        <f>IF(ISBLANK(R86),"",IF(ISBLANK($O86),AF86,IF($J86="ANUAL",AF86*(1+Macroindicadores!C$7),IF(AND($I86="NOVO",MONTH($O86)=MONTH(AT$4)),AF86*(1+Macroindicadores!C$7),IF(AND($J86="PONTUAL",MONTH($O86)=MONTH(AT$4)),AF86*(1+Macroindicadores!C$7),IF(AND($J86="PONTUAL",MONTH($O86)&lt;MONTH(AT$4)),MIN($AS86:AS86),IF(AND($I86="NOVO",MONTH($O86)&gt;MONTH(AT$4)),AF86,IF(MONTH($O86)&gt;MONTH(AT$4),AF86,IF(MONTH($O86)=MONTH(AT$4),AF86*(1+Macroindicadores!C$7),AS86)))))))))</f>
        <v>6.08</v>
      </c>
      <c r="AU86" s="117">
        <f>IF(ISBLANK(S86),"",IF(ISBLANK($O86),AG86,IF($J86="ANUAL",AG86*(1+Macroindicadores!D$7),IF(AND($I86="NOVO",MONTH($O86)=MONTH(AU$4)),AG86*(1+Macroindicadores!D$7),IF(AND($J86="PONTUAL",MONTH($O86)=MONTH(AU$4)),AG86*(1+Macroindicadores!D$7),IF(AND($J86="PONTUAL",MONTH($O86)&lt;MONTH(AU$4)),MIN($AS86:AT86),IF(AND($I86="NOVO",MONTH($O86)&gt;MONTH(AU$4)),AG86,IF(MONTH($O86)&gt;MONTH(AU$4),AG86,IF(MONTH($O86)=MONTH(AU$4),AG86*(1+Macroindicadores!D$7),AT86)))))))))</f>
        <v>6.08</v>
      </c>
      <c r="AV86" s="117">
        <f>IF(ISBLANK(T86),"",IF(ISBLANK($O86),AH86,IF($J86="ANUAL",AH86*(1+Macroindicadores!E$7),IF(AND($I86="NOVO",MONTH($O86)=MONTH(AV$4)),AH86*(1+Macroindicadores!E$7),IF(AND($J86="PONTUAL",MONTH($O86)=MONTH(AV$4)),AH86*(1+Macroindicadores!E$7),IF(AND($J86="PONTUAL",MONTH($O86)&lt;MONTH(AV$4)),MIN($AS86:AU86),IF(AND($I86="NOVO",MONTH($O86)&gt;MONTH(AV$4)),AH86,IF(MONTH($O86)&gt;MONTH(AV$4),AH86,IF(MONTH($O86)=MONTH(AV$4),AH86*(1+Macroindicadores!E$7),AU86)))))))))</f>
        <v>6.08</v>
      </c>
      <c r="AW86" s="117">
        <f>IF(ISBLANK(U86),"",IF(ISBLANK($O86),AI86,IF($J86="ANUAL",AI86*(1+Macroindicadores!F$7),IF(AND($I86="NOVO",MONTH($O86)=MONTH(AW$4)),AI86*(1+Macroindicadores!F$7),IF(AND($J86="PONTUAL",MONTH($O86)=MONTH(AW$4)),AI86*(1+Macroindicadores!F$7),IF(AND($J86="PONTUAL",MONTH($O86)&lt;MONTH(AW$4)),MIN($AS86:AV86),IF(AND($I86="NOVO",MONTH($O86)&gt;MONTH(AW$4)),AI86,IF(MONTH($O86)&gt;MONTH(AW$4),AI86,IF(MONTH($O86)=MONTH(AW$4),AI86*(1+Macroindicadores!F$7),AV86)))))))))</f>
        <v>6.08</v>
      </c>
      <c r="AX86" s="117">
        <f>IF(ISBLANK(V86),"",IF(ISBLANK($O86),AJ86,IF($J86="ANUAL",AJ86*(1+Macroindicadores!G$7),IF(AND($I86="NOVO",MONTH($O86)=MONTH(AX$4)),AJ86*(1+Macroindicadores!G$7),IF(AND($J86="PONTUAL",MONTH($O86)=MONTH(AX$4)),AJ86*(1+Macroindicadores!G$7),IF(AND($J86="PONTUAL",MONTH($O86)&lt;MONTH(AX$4)),MIN($AS86:AW86),IF(AND($I86="NOVO",MONTH($O86)&gt;MONTH(AX$4)),AJ86,IF(MONTH($O86)&gt;MONTH(AX$4),AJ86,IF(MONTH($O86)=MONTH(AX$4),AJ86*(1+Macroindicadores!G$7),AW86)))))))))</f>
        <v>6.08</v>
      </c>
      <c r="AY86" s="117">
        <f>IF(ISBLANK(W86),"",IF(ISBLANK($O86),AK86,IF($J86="ANUAL",AK86*(1+Macroindicadores!H$7),IF(AND($I86="NOVO",MONTH($O86)=MONTH(AY$4)),AK86*(1+Macroindicadores!H$7),IF(AND($J86="PONTUAL",MONTH($O86)=MONTH(AY$4)),AK86*(1+Macroindicadores!H$7),IF(AND($J86="PONTUAL",MONTH($O86)&lt;MONTH(AY$4)),MIN($AS86:AX86),IF(AND($I86="NOVO",MONTH($O86)&gt;MONTH(AY$4)),AK86,IF(MONTH($O86)&gt;MONTH(AY$4),AK86,IF(MONTH($O86)=MONTH(AY$4),AK86*(1+Macroindicadores!H$7),AX86)))))))))</f>
        <v>6.08</v>
      </c>
      <c r="AZ86" s="117">
        <f>IF(ISBLANK(X86),"",IF(ISBLANK($O86),AL86,IF($J86="ANUAL",AL86*(1+Macroindicadores!I$7),IF(AND($I86="NOVO",MONTH($O86)=MONTH(AZ$4)),AL86*(1+Macroindicadores!I$7),IF(AND($J86="PONTUAL",MONTH($O86)=MONTH(AZ$4)),AL86*(1+Macroindicadores!I$7),IF(AND($J86="PONTUAL",MONTH($O86)&lt;MONTH(AZ$4)),MIN($AS86:AY86),IF(AND($I86="NOVO",MONTH($O86)&gt;MONTH(AZ$4)),AL86,IF(MONTH($O86)&gt;MONTH(AZ$4),AL86,IF(MONTH($O86)=MONTH(AZ$4),AL86*(1+Macroindicadores!I$7),AY86)))))))))</f>
        <v>6.08</v>
      </c>
      <c r="BA86" s="117">
        <f>IF(ISBLANK(Y86),"",IF(ISBLANK($O86),AM86,IF($J86="ANUAL",AM86*(1+Macroindicadores!J$7),IF(AND($I86="NOVO",MONTH($O86)=MONTH(BA$4)),AM86*(1+Macroindicadores!J$7),IF(AND($J86="PONTUAL",MONTH($O86)=MONTH(BA$4)),AM86*(1+Macroindicadores!J$7),IF(AND($J86="PONTUAL",MONTH($O86)&lt;MONTH(BA$4)),MIN($AS86:AZ86),IF(AND($I86="NOVO",MONTH($O86)&gt;MONTH(BA$4)),AM86,IF(MONTH($O86)&gt;MONTH(BA$4),AM86,IF(MONTH($O86)=MONTH(BA$4),AM86*(1+Macroindicadores!J$7),AZ86)))))))))</f>
        <v>6.08</v>
      </c>
      <c r="BB86" s="117">
        <f>IF(ISBLANK(Z86),"",IF(ISBLANK($O86),AN86,IF($J86="ANUAL",AN86*(1+Macroindicadores!K$7),IF(AND($I86="NOVO",MONTH($O86)=MONTH(BB$4)),AN86*(1+Macroindicadores!K$7),IF(AND($J86="PONTUAL",MONTH($O86)=MONTH(BB$4)),AN86*(1+Macroindicadores!K$7),IF(AND($J86="PONTUAL",MONTH($O86)&lt;MONTH(BB$4)),MIN($AS86:BA86),IF(AND($I86="NOVO",MONTH($O86)&gt;MONTH(BB$4)),AN86,IF(MONTH($O86)&gt;MONTH(BB$4),AN86,IF(MONTH($O86)=MONTH(BB$4),AN86*(1+Macroindicadores!K$7),BA86)))))))))</f>
        <v>6.08</v>
      </c>
      <c r="BC86" s="117">
        <f>IF(ISBLANK(AA86),"",IF(ISBLANK($O86),AO86,IF($J86="ANUAL",AO86*(1+Macroindicadores!L$7),IF(AND($I86="NOVO",MONTH($O86)=MONTH(BC$4)),AO86*(1+Macroindicadores!L$7),IF(AND($J86="PONTUAL",MONTH($O86)=MONTH(BC$4)),AO86*(1+Macroindicadores!L$7),IF(AND($J86="PONTUAL",MONTH($O86)&lt;MONTH(BC$4)),MIN($AS86:BB86),IF(AND($I86="NOVO",MONTH($O86)&gt;MONTH(BC$4)),AO86,IF(MONTH($O86)&gt;MONTH(BC$4),AO86,IF(MONTH($O86)=MONTH(BC$4),AO86*(1+Macroindicadores!L$7),BB86)))))))))</f>
        <v>6.08</v>
      </c>
      <c r="BD86" s="117">
        <f>IF(ISBLANK(AB86),"",IF(ISBLANK($O86),AP86,IF($J86="ANUAL",AP86*(1+Macroindicadores!M$7),IF(AND($I86="NOVO",MONTH($O86)=MONTH(BD$4)),AP86*(1+Macroindicadores!M$7),IF(AND($J86="PONTUAL",MONTH($O86)=MONTH(BD$4)),AP86*(1+Macroindicadores!M$7),IF(AND($J86="PONTUAL",MONTH($O86)&lt;MONTH(BD$4)),MIN($AS86:BC86),IF(AND($I86="NOVO",MONTH($O86)&gt;MONTH(BD$4)),AP86,IF(MONTH($O86)&gt;MONTH(BD$4),AP86,IF(MONTH($O86)=MONTH(BD$4),AP86*(1+Macroindicadores!M$7),BC86)))))))))</f>
        <v>6.08</v>
      </c>
      <c r="BE86" s="118">
        <f t="shared" si="50"/>
        <v>72.959999999999994</v>
      </c>
      <c r="BF86" s="108"/>
      <c r="BG86" s="117">
        <f>IF(ISBLANK(Q86),"",AS86/Macroindicadores!B$2)</f>
        <v>1.0340136054421769</v>
      </c>
      <c r="BH86" s="117">
        <f>IF(ISBLANK(R86),"",AT86/Macroindicadores!C$2)</f>
        <v>1.0340136054421769</v>
      </c>
      <c r="BI86" s="117">
        <f>IF(ISBLANK(S86),"",AU86/Macroindicadores!D$2)</f>
        <v>1.0340136054421769</v>
      </c>
      <c r="BJ86" s="117">
        <f>IF(ISBLANK(T86),"",AV86/Macroindicadores!E$2)</f>
        <v>1.0340136054421769</v>
      </c>
      <c r="BK86" s="117">
        <f>IF(ISBLANK(U86),"",AW86/Macroindicadores!F$2)</f>
        <v>1.0340136054421769</v>
      </c>
      <c r="BL86" s="117">
        <f>IF(ISBLANK(V86),"",AX86/Macroindicadores!G$2)</f>
        <v>1.0340136054421769</v>
      </c>
      <c r="BM86" s="117">
        <f>IF(ISBLANK(W86),"",AY86/Macroindicadores!H$2)</f>
        <v>1.0340136054421769</v>
      </c>
      <c r="BN86" s="117">
        <f>IF(ISBLANK(X86),"",AZ86/Macroindicadores!I$2)</f>
        <v>1.0340136054421769</v>
      </c>
      <c r="BO86" s="117">
        <f>IF(ISBLANK(Y86),"",BA86/Macroindicadores!J$2)</f>
        <v>1.0340136054421769</v>
      </c>
      <c r="BP86" s="117">
        <f>IF(ISBLANK(Z86),"",BB86/Macroindicadores!K$2)</f>
        <v>1.0340136054421769</v>
      </c>
      <c r="BQ86" s="117">
        <f>IF(ISBLANK(AA86),"",BC86/Macroindicadores!L$2)</f>
        <v>1.0340136054421769</v>
      </c>
      <c r="BR86" s="117">
        <f>IF(ISBLANK(AB86),"",BD86/Macroindicadores!M$2)</f>
        <v>1.0340136054421769</v>
      </c>
      <c r="BS86" s="118">
        <f>IF(AND(ISBLANK($Q86),ISBLANK($R86),ISBLANK($S86),ISBLANK($T86),ISBLANK($U86),ISBLANK($V86),ISBLANK($W86),ISBLANK($X86),ISBLANK($Y86),ISBLANK($Z86),ISBLANK($AA86),ISBLANK($AB86)),"",SUM(BG86:BR86))</f>
        <v>12.40816326530612</v>
      </c>
      <c r="BT86" s="25" t="str">
        <f>IF(ISBLANK($L86),"",_xlfn.XLOOKUP($L86,'CENTRO CUSTO'!$A:$A,'CENTRO CUSTO'!$E:$E,FALSE,0))</f>
        <v>G&amp;A PL</v>
      </c>
    </row>
    <row r="87" spans="1:72">
      <c r="A87" s="9" t="str">
        <f t="shared" si="52"/>
        <v>Budget</v>
      </c>
      <c r="B87" s="9">
        <f t="shared" ref="B87:B114" si="66">IF(ISBLANK($F87),"",$F$1)</f>
        <v>2026</v>
      </c>
      <c r="C87" s="111" t="str">
        <f>IF(ISBLANK($L87),"",_xlfn.XLOOKUP($L87,'CENTRO CUSTO'!$A:$A,'CENTRO CUSTO'!F:F,FALSE,0))</f>
        <v>LATAM</v>
      </c>
      <c r="D87" s="111" t="str">
        <f>IF(ISBLANK($L87),"",_xlfn.XLOOKUP($L87,'CENTRO CUSTO'!$A:$A,'CENTRO CUSTO'!G:G,FALSE,0))</f>
        <v>Corporativo</v>
      </c>
      <c r="E87" s="111" t="str">
        <f>IF(ISBLANK($L87),"",_xlfn.XLOOKUP($L87,'CENTRO CUSTO'!$A:$A,'CENTRO CUSTO'!H:H,FALSE,0))</f>
        <v>G&amp;A</v>
      </c>
      <c r="F87" s="112" t="s">
        <v>128</v>
      </c>
      <c r="G87" s="112" t="s">
        <v>75</v>
      </c>
      <c r="H87" s="112" t="s">
        <v>129</v>
      </c>
      <c r="I87" s="113" t="s">
        <v>77</v>
      </c>
      <c r="J87" s="113" t="s">
        <v>78</v>
      </c>
      <c r="K87" s="113" t="s">
        <v>79</v>
      </c>
      <c r="L87" s="113" t="s">
        <v>96</v>
      </c>
      <c r="M87" s="111" t="str">
        <f>IF(ISBLANK($L87),"",_xlfn.XLOOKUP($L87,'CENTRO CUSTO'!$A:$A,'CENTRO CUSTO'!D:D,FALSE,0))</f>
        <v>Jimmy Espinosa</v>
      </c>
      <c r="N87" s="113" t="s">
        <v>106</v>
      </c>
      <c r="O87" s="114"/>
      <c r="P87" s="113" t="s">
        <v>81</v>
      </c>
      <c r="Q87" s="115">
        <f>456000*Rateio!$E$359/12</f>
        <v>1900</v>
      </c>
      <c r="R87" s="115">
        <f>456000*Rateio!$E$359/12</f>
        <v>1900</v>
      </c>
      <c r="S87" s="115">
        <f>456000*Rateio!$E$359/12</f>
        <v>1900</v>
      </c>
      <c r="T87" s="115">
        <f>456000*Rateio!$E$359/12</f>
        <v>1900</v>
      </c>
      <c r="U87" s="115">
        <f>456000*Rateio!$E$359/12</f>
        <v>1900</v>
      </c>
      <c r="V87" s="115">
        <f>456000*Rateio!$E$359/12</f>
        <v>1900</v>
      </c>
      <c r="W87" s="115">
        <f>456000*Rateio!$E$359/12</f>
        <v>1900</v>
      </c>
      <c r="X87" s="115">
        <f>456000*Rateio!$E$359/12</f>
        <v>1900</v>
      </c>
      <c r="Y87" s="115">
        <f>456000*Rateio!$E$359/12</f>
        <v>1900</v>
      </c>
      <c r="Z87" s="115">
        <f>456000*Rateio!$E$359/12</f>
        <v>1900</v>
      </c>
      <c r="AA87" s="115">
        <f>456000*Rateio!$E$359/12</f>
        <v>1900</v>
      </c>
      <c r="AB87" s="115">
        <f>456000*Rateio!$E$359/12</f>
        <v>1900</v>
      </c>
      <c r="AC87" s="116">
        <f t="shared" si="53"/>
        <v>22800</v>
      </c>
      <c r="AD87" s="108"/>
      <c r="AE87" s="117">
        <f>IF(ISBLANK(Q87),"",IF($P87="BRL",Q87,Q87*Macroindicadores!B$2)/1000)</f>
        <v>1.9</v>
      </c>
      <c r="AF87" s="117">
        <f>IF(ISBLANK(R87),"",IF($P87="BRL",R87,R87*Macroindicadores!C$2)/1000)</f>
        <v>1.9</v>
      </c>
      <c r="AG87" s="117">
        <f>IF(ISBLANK(S87),"",IF($P87="BRL",S87,S87*Macroindicadores!D$2)/1000)</f>
        <v>1.9</v>
      </c>
      <c r="AH87" s="117">
        <f>IF(ISBLANK(T87),"",IF($P87="BRL",T87,T87*Macroindicadores!E$2)/1000)</f>
        <v>1.9</v>
      </c>
      <c r="AI87" s="117">
        <f>IF(ISBLANK(U87),"",IF($P87="BRL",U87,U87*Macroindicadores!F$2)/1000)</f>
        <v>1.9</v>
      </c>
      <c r="AJ87" s="117">
        <f>IF(ISBLANK(V87),"",IF($P87="BRL",V87,V87*Macroindicadores!G$2)/1000)</f>
        <v>1.9</v>
      </c>
      <c r="AK87" s="117">
        <f>IF(ISBLANK(W87),"",IF($P87="BRL",W87,W87*Macroindicadores!H$2)/1000)</f>
        <v>1.9</v>
      </c>
      <c r="AL87" s="117">
        <f>IF(ISBLANK(X87),"",IF($P87="BRL",X87,X87*Macroindicadores!I$2)/1000)</f>
        <v>1.9</v>
      </c>
      <c r="AM87" s="117">
        <f>IF(ISBLANK(Y87),"",IF($P87="BRL",Y87,Y87*Macroindicadores!J$2)/1000)</f>
        <v>1.9</v>
      </c>
      <c r="AN87" s="117">
        <f>IF(ISBLANK(Z87),"",IF($P87="BRL",Z87,Z87*Macroindicadores!K$2)/1000)</f>
        <v>1.9</v>
      </c>
      <c r="AO87" s="117">
        <f>IF(ISBLANK(AA87),"",IF($P87="BRL",AA87,AA87*Macroindicadores!L$2)/1000)</f>
        <v>1.9</v>
      </c>
      <c r="AP87" s="117">
        <f>IF(ISBLANK(AB87),"",IF($P87="BRL",AB87,AB87*Macroindicadores!M$2)/1000)</f>
        <v>1.9</v>
      </c>
      <c r="AQ87" s="118">
        <f t="shared" si="51"/>
        <v>22.799999999999997</v>
      </c>
      <c r="AR87" s="108"/>
      <c r="AS87" s="117">
        <f>IF(ISBLANK(Q87),"",IF(ISBLANK($O87),AE87,IF($J87="ANUAL",AE87*(1+Macroindicadores!B$7),IF(AND($I87="NOVO",MONTH($O87)=MONTH(AS$4)),AE87*(1+Macroindicadores!B$7),IF(AND($J87="PONTUAL",MONTH($O87)=MONTH(AS$4)),AE87*(1+Macroindicadores!B$7),IF(AND($J87="PONTUAL",MONTH($O87)&lt;MONTH(AS$4)),MIN(AR87:$AS87),IF(AND($I87="NOVO",MONTH($O87)&gt;MONTH(AS$4)),AE87,IF(MONTH($O87)&gt;MONTH(AS$4),AE87,IF(MONTH($O87)=MONTH(AS$4),AE87*(1+Macroindicadores!B$7),AR87)))))))))</f>
        <v>1.9</v>
      </c>
      <c r="AT87" s="117">
        <f>IF(ISBLANK(R87),"",IF(ISBLANK($O87),AF87,IF($J87="ANUAL",AF87*(1+Macroindicadores!C$7),IF(AND($I87="NOVO",MONTH($O87)=MONTH(AT$4)),AF87*(1+Macroindicadores!C$7),IF(AND($J87="PONTUAL",MONTH($O87)=MONTH(AT$4)),AF87*(1+Macroindicadores!C$7),IF(AND($J87="PONTUAL",MONTH($O87)&lt;MONTH(AT$4)),MIN($AS87:AS87),IF(AND($I87="NOVO",MONTH($O87)&gt;MONTH(AT$4)),AF87,IF(MONTH($O87)&gt;MONTH(AT$4),AF87,IF(MONTH($O87)=MONTH(AT$4),AF87*(1+Macroindicadores!C$7),AS87)))))))))</f>
        <v>1.9</v>
      </c>
      <c r="AU87" s="117">
        <f>IF(ISBLANK(S87),"",IF(ISBLANK($O87),AG87,IF($J87="ANUAL",AG87*(1+Macroindicadores!D$7),IF(AND($I87="NOVO",MONTH($O87)=MONTH(AU$4)),AG87*(1+Macroindicadores!D$7),IF(AND($J87="PONTUAL",MONTH($O87)=MONTH(AU$4)),AG87*(1+Macroindicadores!D$7),IF(AND($J87="PONTUAL",MONTH($O87)&lt;MONTH(AU$4)),MIN($AS87:AT87),IF(AND($I87="NOVO",MONTH($O87)&gt;MONTH(AU$4)),AG87,IF(MONTH($O87)&gt;MONTH(AU$4),AG87,IF(MONTH($O87)=MONTH(AU$4),AG87*(1+Macroindicadores!D$7),AT87)))))))))</f>
        <v>1.9</v>
      </c>
      <c r="AV87" s="117">
        <f>IF(ISBLANK(T87),"",IF(ISBLANK($O87),AH87,IF($J87="ANUAL",AH87*(1+Macroindicadores!E$7),IF(AND($I87="NOVO",MONTH($O87)=MONTH(AV$4)),AH87*(1+Macroindicadores!E$7),IF(AND($J87="PONTUAL",MONTH($O87)=MONTH(AV$4)),AH87*(1+Macroindicadores!E$7),IF(AND($J87="PONTUAL",MONTH($O87)&lt;MONTH(AV$4)),MIN($AS87:AU87),IF(AND($I87="NOVO",MONTH($O87)&gt;MONTH(AV$4)),AH87,IF(MONTH($O87)&gt;MONTH(AV$4),AH87,IF(MONTH($O87)=MONTH(AV$4),AH87*(1+Macroindicadores!E$7),AU87)))))))))</f>
        <v>1.9</v>
      </c>
      <c r="AW87" s="117">
        <f>IF(ISBLANK(U87),"",IF(ISBLANK($O87),AI87,IF($J87="ANUAL",AI87*(1+Macroindicadores!F$7),IF(AND($I87="NOVO",MONTH($O87)=MONTH(AW$4)),AI87*(1+Macroindicadores!F$7),IF(AND($J87="PONTUAL",MONTH($O87)=MONTH(AW$4)),AI87*(1+Macroindicadores!F$7),IF(AND($J87="PONTUAL",MONTH($O87)&lt;MONTH(AW$4)),MIN($AS87:AV87),IF(AND($I87="NOVO",MONTH($O87)&gt;MONTH(AW$4)),AI87,IF(MONTH($O87)&gt;MONTH(AW$4),AI87,IF(MONTH($O87)=MONTH(AW$4),AI87*(1+Macroindicadores!F$7),AV87)))))))))</f>
        <v>1.9</v>
      </c>
      <c r="AX87" s="117">
        <f>IF(ISBLANK(V87),"",IF(ISBLANK($O87),AJ87,IF($J87="ANUAL",AJ87*(1+Macroindicadores!G$7),IF(AND($I87="NOVO",MONTH($O87)=MONTH(AX$4)),AJ87*(1+Macroindicadores!G$7),IF(AND($J87="PONTUAL",MONTH($O87)=MONTH(AX$4)),AJ87*(1+Macroindicadores!G$7),IF(AND($J87="PONTUAL",MONTH($O87)&lt;MONTH(AX$4)),MIN($AS87:AW87),IF(AND($I87="NOVO",MONTH($O87)&gt;MONTH(AX$4)),AJ87,IF(MONTH($O87)&gt;MONTH(AX$4),AJ87,IF(MONTH($O87)=MONTH(AX$4),AJ87*(1+Macroindicadores!G$7),AW87)))))))))</f>
        <v>1.9</v>
      </c>
      <c r="AY87" s="117">
        <f>IF(ISBLANK(W87),"",IF(ISBLANK($O87),AK87,IF($J87="ANUAL",AK87*(1+Macroindicadores!H$7),IF(AND($I87="NOVO",MONTH($O87)=MONTH(AY$4)),AK87*(1+Macroindicadores!H$7),IF(AND($J87="PONTUAL",MONTH($O87)=MONTH(AY$4)),AK87*(1+Macroindicadores!H$7),IF(AND($J87="PONTUAL",MONTH($O87)&lt;MONTH(AY$4)),MIN($AS87:AX87),IF(AND($I87="NOVO",MONTH($O87)&gt;MONTH(AY$4)),AK87,IF(MONTH($O87)&gt;MONTH(AY$4),AK87,IF(MONTH($O87)=MONTH(AY$4),AK87*(1+Macroindicadores!H$7),AX87)))))))))</f>
        <v>1.9</v>
      </c>
      <c r="AZ87" s="117">
        <f>IF(ISBLANK(X87),"",IF(ISBLANK($O87),AL87,IF($J87="ANUAL",AL87*(1+Macroindicadores!I$7),IF(AND($I87="NOVO",MONTH($O87)=MONTH(AZ$4)),AL87*(1+Macroindicadores!I$7),IF(AND($J87="PONTUAL",MONTH($O87)=MONTH(AZ$4)),AL87*(1+Macroindicadores!I$7),IF(AND($J87="PONTUAL",MONTH($O87)&lt;MONTH(AZ$4)),MIN($AS87:AY87),IF(AND($I87="NOVO",MONTH($O87)&gt;MONTH(AZ$4)),AL87,IF(MONTH($O87)&gt;MONTH(AZ$4),AL87,IF(MONTH($O87)=MONTH(AZ$4),AL87*(1+Macroindicadores!I$7),AY87)))))))))</f>
        <v>1.9</v>
      </c>
      <c r="BA87" s="117">
        <f>IF(ISBLANK(Y87),"",IF(ISBLANK($O87),AM87,IF($J87="ANUAL",AM87*(1+Macroindicadores!J$7),IF(AND($I87="NOVO",MONTH($O87)=MONTH(BA$4)),AM87*(1+Macroindicadores!J$7),IF(AND($J87="PONTUAL",MONTH($O87)=MONTH(BA$4)),AM87*(1+Macroindicadores!J$7),IF(AND($J87="PONTUAL",MONTH($O87)&lt;MONTH(BA$4)),MIN($AS87:AZ87),IF(AND($I87="NOVO",MONTH($O87)&gt;MONTH(BA$4)),AM87,IF(MONTH($O87)&gt;MONTH(BA$4),AM87,IF(MONTH($O87)=MONTH(BA$4),AM87*(1+Macroindicadores!J$7),AZ87)))))))))</f>
        <v>1.9</v>
      </c>
      <c r="BB87" s="117">
        <f>IF(ISBLANK(Z87),"",IF(ISBLANK($O87),AN87,IF($J87="ANUAL",AN87*(1+Macroindicadores!K$7),IF(AND($I87="NOVO",MONTH($O87)=MONTH(BB$4)),AN87*(1+Macroindicadores!K$7),IF(AND($J87="PONTUAL",MONTH($O87)=MONTH(BB$4)),AN87*(1+Macroindicadores!K$7),IF(AND($J87="PONTUAL",MONTH($O87)&lt;MONTH(BB$4)),MIN($AS87:BA87),IF(AND($I87="NOVO",MONTH($O87)&gt;MONTH(BB$4)),AN87,IF(MONTH($O87)&gt;MONTH(BB$4),AN87,IF(MONTH($O87)=MONTH(BB$4),AN87*(1+Macroindicadores!K$7),BA87)))))))))</f>
        <v>1.9</v>
      </c>
      <c r="BC87" s="117">
        <f>IF(ISBLANK(AA87),"",IF(ISBLANK($O87),AO87,IF($J87="ANUAL",AO87*(1+Macroindicadores!L$7),IF(AND($I87="NOVO",MONTH($O87)=MONTH(BC$4)),AO87*(1+Macroindicadores!L$7),IF(AND($J87="PONTUAL",MONTH($O87)=MONTH(BC$4)),AO87*(1+Macroindicadores!L$7),IF(AND($J87="PONTUAL",MONTH($O87)&lt;MONTH(BC$4)),MIN($AS87:BB87),IF(AND($I87="NOVO",MONTH($O87)&gt;MONTH(BC$4)),AO87,IF(MONTH($O87)&gt;MONTH(BC$4),AO87,IF(MONTH($O87)=MONTH(BC$4),AO87*(1+Macroindicadores!L$7),BB87)))))))))</f>
        <v>1.9</v>
      </c>
      <c r="BD87" s="117">
        <f>IF(ISBLANK(AB87),"",IF(ISBLANK($O87),AP87,IF($J87="ANUAL",AP87*(1+Macroindicadores!M$7),IF(AND($I87="NOVO",MONTH($O87)=MONTH(BD$4)),AP87*(1+Macroindicadores!M$7),IF(AND($J87="PONTUAL",MONTH($O87)=MONTH(BD$4)),AP87*(1+Macroindicadores!M$7),IF(AND($J87="PONTUAL",MONTH($O87)&lt;MONTH(BD$4)),MIN($AS87:BC87),IF(AND($I87="NOVO",MONTH($O87)&gt;MONTH(BD$4)),AP87,IF(MONTH($O87)&gt;MONTH(BD$4),AP87,IF(MONTH($O87)=MONTH(BD$4),AP87*(1+Macroindicadores!M$7),BC87)))))))))</f>
        <v>1.9</v>
      </c>
      <c r="BE87" s="118">
        <f t="shared" si="50"/>
        <v>22.799999999999997</v>
      </c>
      <c r="BF87" s="108"/>
      <c r="BG87" s="117">
        <f>IF(ISBLANK(Q87),"",AS87/Macroindicadores!B$2)</f>
        <v>0.32312925170068024</v>
      </c>
      <c r="BH87" s="117">
        <f>IF(ISBLANK(R87),"",AT87/Macroindicadores!C$2)</f>
        <v>0.32312925170068024</v>
      </c>
      <c r="BI87" s="117">
        <f>IF(ISBLANK(S87),"",AU87/Macroindicadores!D$2)</f>
        <v>0.32312925170068024</v>
      </c>
      <c r="BJ87" s="117">
        <f>IF(ISBLANK(T87),"",AV87/Macroindicadores!E$2)</f>
        <v>0.32312925170068024</v>
      </c>
      <c r="BK87" s="117">
        <f>IF(ISBLANK(U87),"",AW87/Macroindicadores!F$2)</f>
        <v>0.32312925170068024</v>
      </c>
      <c r="BL87" s="117">
        <f>IF(ISBLANK(V87),"",AX87/Macroindicadores!G$2)</f>
        <v>0.32312925170068024</v>
      </c>
      <c r="BM87" s="117">
        <f>IF(ISBLANK(W87),"",AY87/Macroindicadores!H$2)</f>
        <v>0.32312925170068024</v>
      </c>
      <c r="BN87" s="117">
        <f>IF(ISBLANK(X87),"",AZ87/Macroindicadores!I$2)</f>
        <v>0.32312925170068024</v>
      </c>
      <c r="BO87" s="117">
        <f>IF(ISBLANK(Y87),"",BA87/Macroindicadores!J$2)</f>
        <v>0.32312925170068024</v>
      </c>
      <c r="BP87" s="117">
        <f>IF(ISBLANK(Z87),"",BB87/Macroindicadores!K$2)</f>
        <v>0.32312925170068024</v>
      </c>
      <c r="BQ87" s="117">
        <f>IF(ISBLANK(AA87),"",BC87/Macroindicadores!L$2)</f>
        <v>0.32312925170068024</v>
      </c>
      <c r="BR87" s="117">
        <f>IF(ISBLANK(AB87),"",BD87/Macroindicadores!M$2)</f>
        <v>0.32312925170068024</v>
      </c>
      <c r="BS87" s="118">
        <f>IF(AND(ISBLANK($Q87),ISBLANK($R87),ISBLANK($S87),ISBLANK($T87),ISBLANK($U87),ISBLANK($V87),ISBLANK($W87),ISBLANK($X87),ISBLANK($Y87),ISBLANK($Z87),ISBLANK($AA87),ISBLANK($AB87)),"",SUM(BG87:BR87))</f>
        <v>3.8775510204081622</v>
      </c>
      <c r="BT87" s="25" t="str">
        <f>IF(ISBLANK($L87),"",_xlfn.XLOOKUP($L87,'CENTRO CUSTO'!$A:$A,'CENTRO CUSTO'!$E:$E,FALSE,0))</f>
        <v>G&amp;A CP</v>
      </c>
    </row>
    <row r="88" spans="1:72">
      <c r="A88" s="9" t="str">
        <f t="shared" si="52"/>
        <v>Budget</v>
      </c>
      <c r="B88" s="9">
        <f t="shared" si="66"/>
        <v>2026</v>
      </c>
      <c r="C88" s="111" t="str">
        <f>IF(ISBLANK($L88),"",_xlfn.XLOOKUP($L88,'CENTRO CUSTO'!$A:$A,'CENTRO CUSTO'!F:F,FALSE,0))</f>
        <v>Martini Meat</v>
      </c>
      <c r="D88" s="111" t="str">
        <f>IF(ISBLANK($L88),"",_xlfn.XLOOKUP($L88,'CENTRO CUSTO'!$A:$A,'CENTRO CUSTO'!G:G,FALSE,0))</f>
        <v>Rio Grande</v>
      </c>
      <c r="E88" s="111" t="str">
        <f>IF(ISBLANK($L88),"",_xlfn.XLOOKUP($L88,'CENTRO CUSTO'!$A:$A,'CENTRO CUSTO'!H:H,FALSE,0))</f>
        <v>RATEIO Unidade</v>
      </c>
      <c r="F88" s="112" t="s">
        <v>130</v>
      </c>
      <c r="G88" s="112" t="s">
        <v>123</v>
      </c>
      <c r="H88" s="112" t="s">
        <v>131</v>
      </c>
      <c r="I88" s="113" t="s">
        <v>77</v>
      </c>
      <c r="J88" s="113" t="s">
        <v>78</v>
      </c>
      <c r="K88" s="113" t="s">
        <v>79</v>
      </c>
      <c r="L88" s="113" t="s">
        <v>23</v>
      </c>
      <c r="M88" s="111" t="str">
        <f>IF(ISBLANK($L88),"",_xlfn.XLOOKUP($L88,'CENTRO CUSTO'!$A:$A,'CENTRO CUSTO'!D:D,FALSE,0))</f>
        <v>Alexandre Ayabe</v>
      </c>
      <c r="N88" s="113" t="s">
        <v>132</v>
      </c>
      <c r="O88" s="114"/>
      <c r="P88" s="113" t="s">
        <v>81</v>
      </c>
      <c r="Q88" s="115">
        <v>2000</v>
      </c>
      <c r="R88" s="115">
        <v>2000</v>
      </c>
      <c r="S88" s="115">
        <v>2000</v>
      </c>
      <c r="T88" s="115">
        <v>2000</v>
      </c>
      <c r="U88" s="115">
        <v>2000</v>
      </c>
      <c r="V88" s="115">
        <v>2000</v>
      </c>
      <c r="W88" s="115">
        <v>2000</v>
      </c>
      <c r="X88" s="115">
        <v>2000</v>
      </c>
      <c r="Y88" s="115">
        <v>2000</v>
      </c>
      <c r="Z88" s="115">
        <v>2000</v>
      </c>
      <c r="AA88" s="115">
        <v>2000</v>
      </c>
      <c r="AB88" s="115">
        <v>2000</v>
      </c>
      <c r="AC88" s="116">
        <f t="shared" si="53"/>
        <v>24000</v>
      </c>
      <c r="AD88" s="108"/>
      <c r="AE88" s="117">
        <f>IF(ISBLANK(Q88),"",IF($P88="BRL",Q88,Q88*Macroindicadores!B$2)/1000)</f>
        <v>2</v>
      </c>
      <c r="AF88" s="117">
        <f>IF(ISBLANK(R88),"",IF($P88="BRL",R88,R88*Macroindicadores!C$2)/1000)</f>
        <v>2</v>
      </c>
      <c r="AG88" s="117">
        <f>IF(ISBLANK(S88),"",IF($P88="BRL",S88,S88*Macroindicadores!D$2)/1000)</f>
        <v>2</v>
      </c>
      <c r="AH88" s="117">
        <f>IF(ISBLANK(T88),"",IF($P88="BRL",T88,T88*Macroindicadores!E$2)/1000)</f>
        <v>2</v>
      </c>
      <c r="AI88" s="117">
        <f>IF(ISBLANK(U88),"",IF($P88="BRL",U88,U88*Macroindicadores!F$2)/1000)</f>
        <v>2</v>
      </c>
      <c r="AJ88" s="117">
        <f>IF(ISBLANK(V88),"",IF($P88="BRL",V88,V88*Macroindicadores!G$2)/1000)</f>
        <v>2</v>
      </c>
      <c r="AK88" s="117">
        <f>IF(ISBLANK(W88),"",IF($P88="BRL",W88,W88*Macroindicadores!H$2)/1000)</f>
        <v>2</v>
      </c>
      <c r="AL88" s="117">
        <f>IF(ISBLANK(X88),"",IF($P88="BRL",X88,X88*Macroindicadores!I$2)/1000)</f>
        <v>2</v>
      </c>
      <c r="AM88" s="117">
        <f>IF(ISBLANK(Y88),"",IF($P88="BRL",Y88,Y88*Macroindicadores!J$2)/1000)</f>
        <v>2</v>
      </c>
      <c r="AN88" s="117">
        <f>IF(ISBLANK(Z88),"",IF($P88="BRL",Z88,Z88*Macroindicadores!K$2)/1000)</f>
        <v>2</v>
      </c>
      <c r="AO88" s="117">
        <f>IF(ISBLANK(AA88),"",IF($P88="BRL",AA88,AA88*Macroindicadores!L$2)/1000)</f>
        <v>2</v>
      </c>
      <c r="AP88" s="117">
        <f>IF(ISBLANK(AB88),"",IF($P88="BRL",AB88,AB88*Macroindicadores!M$2)/1000)</f>
        <v>2</v>
      </c>
      <c r="AQ88" s="118">
        <f t="shared" si="51"/>
        <v>24</v>
      </c>
      <c r="AR88" s="108"/>
      <c r="AS88" s="117">
        <f>IF(ISBLANK(Q88),"",IF(ISBLANK($O88),AE88,IF($J88="ANUAL",AE88*(1+Macroindicadores!B$7),IF(AND($I88="NOVO",MONTH($O88)=MONTH(AS$4)),AE88*(1+Macroindicadores!B$7),IF(AND($J88="PONTUAL",MONTH($O88)=MONTH(AS$4)),AE88*(1+Macroindicadores!B$7),IF(AND($J88="PONTUAL",MONTH($O88)&lt;MONTH(AS$4)),MIN(AR88:$AS88),IF(AND($I88="NOVO",MONTH($O88)&gt;MONTH(AS$4)),AE88,IF(MONTH($O88)&gt;MONTH(AS$4),AE88,IF(MONTH($O88)=MONTH(AS$4),AE88*(1+Macroindicadores!B$7),AR88)))))))))</f>
        <v>2</v>
      </c>
      <c r="AT88" s="117">
        <f>IF(ISBLANK(R88),"",IF(ISBLANK($O88),AF88,IF($J88="ANUAL",AF88*(1+Macroindicadores!C$7),IF(AND($I88="NOVO",MONTH($O88)=MONTH(AT$4)),AF88*(1+Macroindicadores!C$7),IF(AND($J88="PONTUAL",MONTH($O88)=MONTH(AT$4)),AF88*(1+Macroindicadores!C$7),IF(AND($J88="PONTUAL",MONTH($O88)&lt;MONTH(AT$4)),MIN($AS88:AS88),IF(AND($I88="NOVO",MONTH($O88)&gt;MONTH(AT$4)),AF88,IF(MONTH($O88)&gt;MONTH(AT$4),AF88,IF(MONTH($O88)=MONTH(AT$4),AF88*(1+Macroindicadores!C$7),AS88)))))))))</f>
        <v>2</v>
      </c>
      <c r="AU88" s="117">
        <f>IF(ISBLANK(S88),"",IF(ISBLANK($O88),AG88,IF($J88="ANUAL",AG88*(1+Macroindicadores!D$7),IF(AND($I88="NOVO",MONTH($O88)=MONTH(AU$4)),AG88*(1+Macroindicadores!D$7),IF(AND($J88="PONTUAL",MONTH($O88)=MONTH(AU$4)),AG88*(1+Macroindicadores!D$7),IF(AND($J88="PONTUAL",MONTH($O88)&lt;MONTH(AU$4)),MIN($AS88:AT88),IF(AND($I88="NOVO",MONTH($O88)&gt;MONTH(AU$4)),AG88,IF(MONTH($O88)&gt;MONTH(AU$4),AG88,IF(MONTH($O88)=MONTH(AU$4),AG88*(1+Macroindicadores!D$7),AT88)))))))))</f>
        <v>2</v>
      </c>
      <c r="AV88" s="117">
        <f>IF(ISBLANK(T88),"",IF(ISBLANK($O88),AH88,IF($J88="ANUAL",AH88*(1+Macroindicadores!E$7),IF(AND($I88="NOVO",MONTH($O88)=MONTH(AV$4)),AH88*(1+Macroindicadores!E$7),IF(AND($J88="PONTUAL",MONTH($O88)=MONTH(AV$4)),AH88*(1+Macroindicadores!E$7),IF(AND($J88="PONTUAL",MONTH($O88)&lt;MONTH(AV$4)),MIN($AS88:AU88),IF(AND($I88="NOVO",MONTH($O88)&gt;MONTH(AV$4)),AH88,IF(MONTH($O88)&gt;MONTH(AV$4),AH88,IF(MONTH($O88)=MONTH(AV$4),AH88*(1+Macroindicadores!E$7),AU88)))))))))</f>
        <v>2</v>
      </c>
      <c r="AW88" s="117">
        <f>IF(ISBLANK(U88),"",IF(ISBLANK($O88),AI88,IF($J88="ANUAL",AI88*(1+Macroindicadores!F$7),IF(AND($I88="NOVO",MONTH($O88)=MONTH(AW$4)),AI88*(1+Macroindicadores!F$7),IF(AND($J88="PONTUAL",MONTH($O88)=MONTH(AW$4)),AI88*(1+Macroindicadores!F$7),IF(AND($J88="PONTUAL",MONTH($O88)&lt;MONTH(AW$4)),MIN($AS88:AV88),IF(AND($I88="NOVO",MONTH($O88)&gt;MONTH(AW$4)),AI88,IF(MONTH($O88)&gt;MONTH(AW$4),AI88,IF(MONTH($O88)=MONTH(AW$4),AI88*(1+Macroindicadores!F$7),AV88)))))))))</f>
        <v>2</v>
      </c>
      <c r="AX88" s="117">
        <f>IF(ISBLANK(V88),"",IF(ISBLANK($O88),AJ88,IF($J88="ANUAL",AJ88*(1+Macroindicadores!G$7),IF(AND($I88="NOVO",MONTH($O88)=MONTH(AX$4)),AJ88*(1+Macroindicadores!G$7),IF(AND($J88="PONTUAL",MONTH($O88)=MONTH(AX$4)),AJ88*(1+Macroindicadores!G$7),IF(AND($J88="PONTUAL",MONTH($O88)&lt;MONTH(AX$4)),MIN($AS88:AW88),IF(AND($I88="NOVO",MONTH($O88)&gt;MONTH(AX$4)),AJ88,IF(MONTH($O88)&gt;MONTH(AX$4),AJ88,IF(MONTH($O88)=MONTH(AX$4),AJ88*(1+Macroindicadores!G$7),AW88)))))))))</f>
        <v>2</v>
      </c>
      <c r="AY88" s="117">
        <f>IF(ISBLANK(W88),"",IF(ISBLANK($O88),AK88,IF($J88="ANUAL",AK88*(1+Macroindicadores!H$7),IF(AND($I88="NOVO",MONTH($O88)=MONTH(AY$4)),AK88*(1+Macroindicadores!H$7),IF(AND($J88="PONTUAL",MONTH($O88)=MONTH(AY$4)),AK88*(1+Macroindicadores!H$7),IF(AND($J88="PONTUAL",MONTH($O88)&lt;MONTH(AY$4)),MIN($AS88:AX88),IF(AND($I88="NOVO",MONTH($O88)&gt;MONTH(AY$4)),AK88,IF(MONTH($O88)&gt;MONTH(AY$4),AK88,IF(MONTH($O88)=MONTH(AY$4),AK88*(1+Macroindicadores!H$7),AX88)))))))))</f>
        <v>2</v>
      </c>
      <c r="AZ88" s="117">
        <f>IF(ISBLANK(X88),"",IF(ISBLANK($O88),AL88,IF($J88="ANUAL",AL88*(1+Macroindicadores!I$7),IF(AND($I88="NOVO",MONTH($O88)=MONTH(AZ$4)),AL88*(1+Macroindicadores!I$7),IF(AND($J88="PONTUAL",MONTH($O88)=MONTH(AZ$4)),AL88*(1+Macroindicadores!I$7),IF(AND($J88="PONTUAL",MONTH($O88)&lt;MONTH(AZ$4)),MIN($AS88:AY88),IF(AND($I88="NOVO",MONTH($O88)&gt;MONTH(AZ$4)),AL88,IF(MONTH($O88)&gt;MONTH(AZ$4),AL88,IF(MONTH($O88)=MONTH(AZ$4),AL88*(1+Macroindicadores!I$7),AY88)))))))))</f>
        <v>2</v>
      </c>
      <c r="BA88" s="117">
        <f>IF(ISBLANK(Y88),"",IF(ISBLANK($O88),AM88,IF($J88="ANUAL",AM88*(1+Macroindicadores!J$7),IF(AND($I88="NOVO",MONTH($O88)=MONTH(BA$4)),AM88*(1+Macroindicadores!J$7),IF(AND($J88="PONTUAL",MONTH($O88)=MONTH(BA$4)),AM88*(1+Macroindicadores!J$7),IF(AND($J88="PONTUAL",MONTH($O88)&lt;MONTH(BA$4)),MIN($AS88:AZ88),IF(AND($I88="NOVO",MONTH($O88)&gt;MONTH(BA$4)),AM88,IF(MONTH($O88)&gt;MONTH(BA$4),AM88,IF(MONTH($O88)=MONTH(BA$4),AM88*(1+Macroindicadores!J$7),AZ88)))))))))</f>
        <v>2</v>
      </c>
      <c r="BB88" s="117">
        <f>IF(ISBLANK(Z88),"",IF(ISBLANK($O88),AN88,IF($J88="ANUAL",AN88*(1+Macroindicadores!K$7),IF(AND($I88="NOVO",MONTH($O88)=MONTH(BB$4)),AN88*(1+Macroindicadores!K$7),IF(AND($J88="PONTUAL",MONTH($O88)=MONTH(BB$4)),AN88*(1+Macroindicadores!K$7),IF(AND($J88="PONTUAL",MONTH($O88)&lt;MONTH(BB$4)),MIN($AS88:BA88),IF(AND($I88="NOVO",MONTH($O88)&gt;MONTH(BB$4)),AN88,IF(MONTH($O88)&gt;MONTH(BB$4),AN88,IF(MONTH($O88)=MONTH(BB$4),AN88*(1+Macroindicadores!K$7),BA88)))))))))</f>
        <v>2</v>
      </c>
      <c r="BC88" s="117">
        <f>IF(ISBLANK(AA88),"",IF(ISBLANK($O88),AO88,IF($J88="ANUAL",AO88*(1+Macroindicadores!L$7),IF(AND($I88="NOVO",MONTH($O88)=MONTH(BC$4)),AO88*(1+Macroindicadores!L$7),IF(AND($J88="PONTUAL",MONTH($O88)=MONTH(BC$4)),AO88*(1+Macroindicadores!L$7),IF(AND($J88="PONTUAL",MONTH($O88)&lt;MONTH(BC$4)),MIN($AS88:BB88),IF(AND($I88="NOVO",MONTH($O88)&gt;MONTH(BC$4)),AO88,IF(MONTH($O88)&gt;MONTH(BC$4),AO88,IF(MONTH($O88)=MONTH(BC$4),AO88*(1+Macroindicadores!L$7),BB88)))))))))</f>
        <v>2</v>
      </c>
      <c r="BD88" s="117">
        <f>IF(ISBLANK(AB88),"",IF(ISBLANK($O88),AP88,IF($J88="ANUAL",AP88*(1+Macroindicadores!M$7),IF(AND($I88="NOVO",MONTH($O88)=MONTH(BD$4)),AP88*(1+Macroindicadores!M$7),IF(AND($J88="PONTUAL",MONTH($O88)=MONTH(BD$4)),AP88*(1+Macroindicadores!M$7),IF(AND($J88="PONTUAL",MONTH($O88)&lt;MONTH(BD$4)),MIN($AS88:BC88),IF(AND($I88="NOVO",MONTH($O88)&gt;MONTH(BD$4)),AP88,IF(MONTH($O88)&gt;MONTH(BD$4),AP88,IF(MONTH($O88)=MONTH(BD$4),AP88*(1+Macroindicadores!M$7),BC88)))))))))</f>
        <v>2</v>
      </c>
      <c r="BE88" s="118">
        <f t="shared" si="50"/>
        <v>24</v>
      </c>
      <c r="BF88" s="108"/>
      <c r="BG88" s="117">
        <f>IF(ISBLANK(Q88),"",AS88/Macroindicadores!B$2)</f>
        <v>0.3401360544217687</v>
      </c>
      <c r="BH88" s="117">
        <f>IF(ISBLANK(R88),"",AT88/Macroindicadores!C$2)</f>
        <v>0.3401360544217687</v>
      </c>
      <c r="BI88" s="117">
        <f>IF(ISBLANK(S88),"",AU88/Macroindicadores!D$2)</f>
        <v>0.3401360544217687</v>
      </c>
      <c r="BJ88" s="117">
        <f>IF(ISBLANK(T88),"",AV88/Macroindicadores!E$2)</f>
        <v>0.3401360544217687</v>
      </c>
      <c r="BK88" s="117">
        <f>IF(ISBLANK(U88),"",AW88/Macroindicadores!F$2)</f>
        <v>0.3401360544217687</v>
      </c>
      <c r="BL88" s="117">
        <f>IF(ISBLANK(V88),"",AX88/Macroindicadores!G$2)</f>
        <v>0.3401360544217687</v>
      </c>
      <c r="BM88" s="117">
        <f>IF(ISBLANK(W88),"",AY88/Macroindicadores!H$2)</f>
        <v>0.3401360544217687</v>
      </c>
      <c r="BN88" s="117">
        <f>IF(ISBLANK(X88),"",AZ88/Macroindicadores!I$2)</f>
        <v>0.3401360544217687</v>
      </c>
      <c r="BO88" s="117">
        <f>IF(ISBLANK(Y88),"",BA88/Macroindicadores!J$2)</f>
        <v>0.3401360544217687</v>
      </c>
      <c r="BP88" s="117">
        <f>IF(ISBLANK(Z88),"",BB88/Macroindicadores!K$2)</f>
        <v>0.3401360544217687</v>
      </c>
      <c r="BQ88" s="117">
        <f>IF(ISBLANK(AA88),"",BC88/Macroindicadores!L$2)</f>
        <v>0.3401360544217687</v>
      </c>
      <c r="BR88" s="117">
        <f>IF(ISBLANK(AB88),"",BD88/Macroindicadores!M$2)</f>
        <v>0.3401360544217687</v>
      </c>
      <c r="BS88" s="118">
        <f>IF(AND(ISBLANK($Q88),ISBLANK($R88),ISBLANK($S88),ISBLANK($T88),ISBLANK($U88),ISBLANK($V88),ISBLANK($W88),ISBLANK($X88),ISBLANK($Y88),ISBLANK($Z88),ISBLANK($AA88),ISBLANK($AB88)),"",SUM(BG88:BR88))</f>
        <v>4.0816326530612246</v>
      </c>
      <c r="BT88" s="25" t="str">
        <f>IF(ISBLANK($L88),"",_xlfn.XLOOKUP($L88,'CENTRO CUSTO'!$A:$A,'CENTRO CUSTO'!$E:$E,FALSE,0))</f>
        <v>Custo Fixo</v>
      </c>
    </row>
    <row r="89" spans="1:72">
      <c r="A89" s="9" t="str">
        <f t="shared" si="52"/>
        <v>Budget</v>
      </c>
      <c r="B89" s="9">
        <f t="shared" si="66"/>
        <v>2026</v>
      </c>
      <c r="C89" s="111" t="str">
        <f>IF(ISBLANK($L89),"",_xlfn.XLOOKUP($L89,'CENTRO CUSTO'!$A:$A,'CENTRO CUSTO'!F:F,FALSE,0))</f>
        <v>Martini Meat</v>
      </c>
      <c r="D89" s="111" t="str">
        <f>IF(ISBLANK($L89),"",_xlfn.XLOOKUP($L89,'CENTRO CUSTO'!$A:$A,'CENTRO CUSTO'!G:G,FALSE,0))</f>
        <v>Paranaguá</v>
      </c>
      <c r="E89" s="111" t="str">
        <f>IF(ISBLANK($L89),"",_xlfn.XLOOKUP($L89,'CENTRO CUSTO'!$A:$A,'CENTRO CUSTO'!H:H,FALSE,0))</f>
        <v>RATEIO Unidade</v>
      </c>
      <c r="F89" s="112" t="s">
        <v>133</v>
      </c>
      <c r="G89" s="112" t="s">
        <v>123</v>
      </c>
      <c r="H89" s="112" t="s">
        <v>131</v>
      </c>
      <c r="I89" s="113" t="s">
        <v>77</v>
      </c>
      <c r="J89" s="113" t="s">
        <v>78</v>
      </c>
      <c r="K89" s="113" t="s">
        <v>79</v>
      </c>
      <c r="L89" s="113" t="s">
        <v>19</v>
      </c>
      <c r="M89" s="111" t="str">
        <f>IF(ISBLANK($L89),"",_xlfn.XLOOKUP($L89,'CENTRO CUSTO'!$A:$A,'CENTRO CUSTO'!D:D,FALSE,0))</f>
        <v>Alexandre Ayabe</v>
      </c>
      <c r="N89" s="113" t="s">
        <v>132</v>
      </c>
      <c r="O89" s="114"/>
      <c r="P89" s="113" t="s">
        <v>81</v>
      </c>
      <c r="Q89" s="115">
        <f>1500/2</f>
        <v>750</v>
      </c>
      <c r="R89" s="115">
        <f t="shared" ref="R89:AB90" si="67">1500/2</f>
        <v>750</v>
      </c>
      <c r="S89" s="115">
        <f t="shared" si="67"/>
        <v>750</v>
      </c>
      <c r="T89" s="115">
        <f t="shared" si="67"/>
        <v>750</v>
      </c>
      <c r="U89" s="115">
        <f t="shared" si="67"/>
        <v>750</v>
      </c>
      <c r="V89" s="115">
        <f t="shared" si="67"/>
        <v>750</v>
      </c>
      <c r="W89" s="115">
        <f t="shared" si="67"/>
        <v>750</v>
      </c>
      <c r="X89" s="115">
        <f t="shared" si="67"/>
        <v>750</v>
      </c>
      <c r="Y89" s="115">
        <f t="shared" si="67"/>
        <v>750</v>
      </c>
      <c r="Z89" s="115">
        <f t="shared" si="67"/>
        <v>750</v>
      </c>
      <c r="AA89" s="115">
        <f t="shared" si="67"/>
        <v>750</v>
      </c>
      <c r="AB89" s="115">
        <f t="shared" si="67"/>
        <v>750</v>
      </c>
      <c r="AC89" s="116">
        <f t="shared" si="53"/>
        <v>9000</v>
      </c>
      <c r="AD89" s="108"/>
      <c r="AE89" s="117">
        <f>IF(ISBLANK(Q89),"",IF($P89="BRL",Q89,Q89*Macroindicadores!B$2)/1000)</f>
        <v>0.75</v>
      </c>
      <c r="AF89" s="117">
        <f>IF(ISBLANK(R89),"",IF($P89="BRL",R89,R89*Macroindicadores!C$2)/1000)</f>
        <v>0.75</v>
      </c>
      <c r="AG89" s="117">
        <f>IF(ISBLANK(S89),"",IF($P89="BRL",S89,S89*Macroindicadores!D$2)/1000)</f>
        <v>0.75</v>
      </c>
      <c r="AH89" s="117">
        <f>IF(ISBLANK(T89),"",IF($P89="BRL",T89,T89*Macroindicadores!E$2)/1000)</f>
        <v>0.75</v>
      </c>
      <c r="AI89" s="117">
        <f>IF(ISBLANK(U89),"",IF($P89="BRL",U89,U89*Macroindicadores!F$2)/1000)</f>
        <v>0.75</v>
      </c>
      <c r="AJ89" s="117">
        <f>IF(ISBLANK(V89),"",IF($P89="BRL",V89,V89*Macroindicadores!G$2)/1000)</f>
        <v>0.75</v>
      </c>
      <c r="AK89" s="117">
        <f>IF(ISBLANK(W89),"",IF($P89="BRL",W89,W89*Macroindicadores!H$2)/1000)</f>
        <v>0.75</v>
      </c>
      <c r="AL89" s="117">
        <f>IF(ISBLANK(X89),"",IF($P89="BRL",X89,X89*Macroindicadores!I$2)/1000)</f>
        <v>0.75</v>
      </c>
      <c r="AM89" s="117">
        <f>IF(ISBLANK(Y89),"",IF($P89="BRL",Y89,Y89*Macroindicadores!J$2)/1000)</f>
        <v>0.75</v>
      </c>
      <c r="AN89" s="117">
        <f>IF(ISBLANK(Z89),"",IF($P89="BRL",Z89,Z89*Macroindicadores!K$2)/1000)</f>
        <v>0.75</v>
      </c>
      <c r="AO89" s="117">
        <f>IF(ISBLANK(AA89),"",IF($P89="BRL",AA89,AA89*Macroindicadores!L$2)/1000)</f>
        <v>0.75</v>
      </c>
      <c r="AP89" s="117">
        <f>IF(ISBLANK(AB89),"",IF($P89="BRL",AB89,AB89*Macroindicadores!M$2)/1000)</f>
        <v>0.75</v>
      </c>
      <c r="AQ89" s="118">
        <f t="shared" si="51"/>
        <v>9</v>
      </c>
      <c r="AR89" s="108"/>
      <c r="AS89" s="117">
        <f>IF(ISBLANK(Q89),"",IF(ISBLANK($O89),AE89,IF($J89="ANUAL",AE89*(1+Macroindicadores!B$7),IF(AND($I89="NOVO",MONTH($O89)=MONTH(AS$4)),AE89*(1+Macroindicadores!B$7),IF(AND($J89="PONTUAL",MONTH($O89)=MONTH(AS$4)),AE89*(1+Macroindicadores!B$7),IF(AND($J89="PONTUAL",MONTH($O89)&lt;MONTH(AS$4)),MIN(AR89:$AS89),IF(AND($I89="NOVO",MONTH($O89)&gt;MONTH(AS$4)),AE89,IF(MONTH($O89)&gt;MONTH(AS$4),AE89,IF(MONTH($O89)=MONTH(AS$4),AE89*(1+Macroindicadores!B$7),AR89)))))))))</f>
        <v>0.75</v>
      </c>
      <c r="AT89" s="117">
        <f>IF(ISBLANK(R89),"",IF(ISBLANK($O89),AF89,IF($J89="ANUAL",AF89*(1+Macroindicadores!C$7),IF(AND($I89="NOVO",MONTH($O89)=MONTH(AT$4)),AF89*(1+Macroindicadores!C$7),IF(AND($J89="PONTUAL",MONTH($O89)=MONTH(AT$4)),AF89*(1+Macroindicadores!C$7),IF(AND($J89="PONTUAL",MONTH($O89)&lt;MONTH(AT$4)),MIN($AS89:AS89),IF(AND($I89="NOVO",MONTH($O89)&gt;MONTH(AT$4)),AF89,IF(MONTH($O89)&gt;MONTH(AT$4),AF89,IF(MONTH($O89)=MONTH(AT$4),AF89*(1+Macroindicadores!C$7),AS89)))))))))</f>
        <v>0.75</v>
      </c>
      <c r="AU89" s="117">
        <f>IF(ISBLANK(S89),"",IF(ISBLANK($O89),AG89,IF($J89="ANUAL",AG89*(1+Macroindicadores!D$7),IF(AND($I89="NOVO",MONTH($O89)=MONTH(AU$4)),AG89*(1+Macroindicadores!D$7),IF(AND($J89="PONTUAL",MONTH($O89)=MONTH(AU$4)),AG89*(1+Macroindicadores!D$7),IF(AND($J89="PONTUAL",MONTH($O89)&lt;MONTH(AU$4)),MIN($AS89:AT89),IF(AND($I89="NOVO",MONTH($O89)&gt;MONTH(AU$4)),AG89,IF(MONTH($O89)&gt;MONTH(AU$4),AG89,IF(MONTH($O89)=MONTH(AU$4),AG89*(1+Macroindicadores!D$7),AT89)))))))))</f>
        <v>0.75</v>
      </c>
      <c r="AV89" s="117">
        <f>IF(ISBLANK(T89),"",IF(ISBLANK($O89),AH89,IF($J89="ANUAL",AH89*(1+Macroindicadores!E$7),IF(AND($I89="NOVO",MONTH($O89)=MONTH(AV$4)),AH89*(1+Macroindicadores!E$7),IF(AND($J89="PONTUAL",MONTH($O89)=MONTH(AV$4)),AH89*(1+Macroindicadores!E$7),IF(AND($J89="PONTUAL",MONTH($O89)&lt;MONTH(AV$4)),MIN($AS89:AU89),IF(AND($I89="NOVO",MONTH($O89)&gt;MONTH(AV$4)),AH89,IF(MONTH($O89)&gt;MONTH(AV$4),AH89,IF(MONTH($O89)=MONTH(AV$4),AH89*(1+Macroindicadores!E$7),AU89)))))))))</f>
        <v>0.75</v>
      </c>
      <c r="AW89" s="117">
        <f>IF(ISBLANK(U89),"",IF(ISBLANK($O89),AI89,IF($J89="ANUAL",AI89*(1+Macroindicadores!F$7),IF(AND($I89="NOVO",MONTH($O89)=MONTH(AW$4)),AI89*(1+Macroindicadores!F$7),IF(AND($J89="PONTUAL",MONTH($O89)=MONTH(AW$4)),AI89*(1+Macroindicadores!F$7),IF(AND($J89="PONTUAL",MONTH($O89)&lt;MONTH(AW$4)),MIN($AS89:AV89),IF(AND($I89="NOVO",MONTH($O89)&gt;MONTH(AW$4)),AI89,IF(MONTH($O89)&gt;MONTH(AW$4),AI89,IF(MONTH($O89)=MONTH(AW$4),AI89*(1+Macroindicadores!F$7),AV89)))))))))</f>
        <v>0.75</v>
      </c>
      <c r="AX89" s="117">
        <f>IF(ISBLANK(V89),"",IF(ISBLANK($O89),AJ89,IF($J89="ANUAL",AJ89*(1+Macroindicadores!G$7),IF(AND($I89="NOVO",MONTH($O89)=MONTH(AX$4)),AJ89*(1+Macroindicadores!G$7),IF(AND($J89="PONTUAL",MONTH($O89)=MONTH(AX$4)),AJ89*(1+Macroindicadores!G$7),IF(AND($J89="PONTUAL",MONTH($O89)&lt;MONTH(AX$4)),MIN($AS89:AW89),IF(AND($I89="NOVO",MONTH($O89)&gt;MONTH(AX$4)),AJ89,IF(MONTH($O89)&gt;MONTH(AX$4),AJ89,IF(MONTH($O89)=MONTH(AX$4),AJ89*(1+Macroindicadores!G$7),AW89)))))))))</f>
        <v>0.75</v>
      </c>
      <c r="AY89" s="117">
        <f>IF(ISBLANK(W89),"",IF(ISBLANK($O89),AK89,IF($J89="ANUAL",AK89*(1+Macroindicadores!H$7),IF(AND($I89="NOVO",MONTH($O89)=MONTH(AY$4)),AK89*(1+Macroindicadores!H$7),IF(AND($J89="PONTUAL",MONTH($O89)=MONTH(AY$4)),AK89*(1+Macroindicadores!H$7),IF(AND($J89="PONTUAL",MONTH($O89)&lt;MONTH(AY$4)),MIN($AS89:AX89),IF(AND($I89="NOVO",MONTH($O89)&gt;MONTH(AY$4)),AK89,IF(MONTH($O89)&gt;MONTH(AY$4),AK89,IF(MONTH($O89)=MONTH(AY$4),AK89*(1+Macroindicadores!H$7),AX89)))))))))</f>
        <v>0.75</v>
      </c>
      <c r="AZ89" s="117">
        <f>IF(ISBLANK(X89),"",IF(ISBLANK($O89),AL89,IF($J89="ANUAL",AL89*(1+Macroindicadores!I$7),IF(AND($I89="NOVO",MONTH($O89)=MONTH(AZ$4)),AL89*(1+Macroindicadores!I$7),IF(AND($J89="PONTUAL",MONTH($O89)=MONTH(AZ$4)),AL89*(1+Macroindicadores!I$7),IF(AND($J89="PONTUAL",MONTH($O89)&lt;MONTH(AZ$4)),MIN($AS89:AY89),IF(AND($I89="NOVO",MONTH($O89)&gt;MONTH(AZ$4)),AL89,IF(MONTH($O89)&gt;MONTH(AZ$4),AL89,IF(MONTH($O89)=MONTH(AZ$4),AL89*(1+Macroindicadores!I$7),AY89)))))))))</f>
        <v>0.75</v>
      </c>
      <c r="BA89" s="117">
        <f>IF(ISBLANK(Y89),"",IF(ISBLANK($O89),AM89,IF($J89="ANUAL",AM89*(1+Macroindicadores!J$7),IF(AND($I89="NOVO",MONTH($O89)=MONTH(BA$4)),AM89*(1+Macroindicadores!J$7),IF(AND($J89="PONTUAL",MONTH($O89)=MONTH(BA$4)),AM89*(1+Macroindicadores!J$7),IF(AND($J89="PONTUAL",MONTH($O89)&lt;MONTH(BA$4)),MIN($AS89:AZ89),IF(AND($I89="NOVO",MONTH($O89)&gt;MONTH(BA$4)),AM89,IF(MONTH($O89)&gt;MONTH(BA$4),AM89,IF(MONTH($O89)=MONTH(BA$4),AM89*(1+Macroindicadores!J$7),AZ89)))))))))</f>
        <v>0.75</v>
      </c>
      <c r="BB89" s="117">
        <f>IF(ISBLANK(Z89),"",IF(ISBLANK($O89),AN89,IF($J89="ANUAL",AN89*(1+Macroindicadores!K$7),IF(AND($I89="NOVO",MONTH($O89)=MONTH(BB$4)),AN89*(1+Macroindicadores!K$7),IF(AND($J89="PONTUAL",MONTH($O89)=MONTH(BB$4)),AN89*(1+Macroindicadores!K$7),IF(AND($J89="PONTUAL",MONTH($O89)&lt;MONTH(BB$4)),MIN($AS89:BA89),IF(AND($I89="NOVO",MONTH($O89)&gt;MONTH(BB$4)),AN89,IF(MONTH($O89)&gt;MONTH(BB$4),AN89,IF(MONTH($O89)=MONTH(BB$4),AN89*(1+Macroindicadores!K$7),BA89)))))))))</f>
        <v>0.75</v>
      </c>
      <c r="BC89" s="117">
        <f>IF(ISBLANK(AA89),"",IF(ISBLANK($O89),AO89,IF($J89="ANUAL",AO89*(1+Macroindicadores!L$7),IF(AND($I89="NOVO",MONTH($O89)=MONTH(BC$4)),AO89*(1+Macroindicadores!L$7),IF(AND($J89="PONTUAL",MONTH($O89)=MONTH(BC$4)),AO89*(1+Macroindicadores!L$7),IF(AND($J89="PONTUAL",MONTH($O89)&lt;MONTH(BC$4)),MIN($AS89:BB89),IF(AND($I89="NOVO",MONTH($O89)&gt;MONTH(BC$4)),AO89,IF(MONTH($O89)&gt;MONTH(BC$4),AO89,IF(MONTH($O89)=MONTH(BC$4),AO89*(1+Macroindicadores!L$7),BB89)))))))))</f>
        <v>0.75</v>
      </c>
      <c r="BD89" s="117">
        <f>IF(ISBLANK(AB89),"",IF(ISBLANK($O89),AP89,IF($J89="ANUAL",AP89*(1+Macroindicadores!M$7),IF(AND($I89="NOVO",MONTH($O89)=MONTH(BD$4)),AP89*(1+Macroindicadores!M$7),IF(AND($J89="PONTUAL",MONTH($O89)=MONTH(BD$4)),AP89*(1+Macroindicadores!M$7),IF(AND($J89="PONTUAL",MONTH($O89)&lt;MONTH(BD$4)),MIN($AS89:BC89),IF(AND($I89="NOVO",MONTH($O89)&gt;MONTH(BD$4)),AP89,IF(MONTH($O89)&gt;MONTH(BD$4),AP89,IF(MONTH($O89)=MONTH(BD$4),AP89*(1+Macroindicadores!M$7),BC89)))))))))</f>
        <v>0.75</v>
      </c>
      <c r="BE89" s="118">
        <f t="shared" si="50"/>
        <v>9</v>
      </c>
      <c r="BF89" s="108"/>
      <c r="BG89" s="117">
        <f>IF(ISBLANK(Q89),"",AS89/Macroindicadores!B$2)</f>
        <v>0.12755102040816327</v>
      </c>
      <c r="BH89" s="117">
        <f>IF(ISBLANK(R89),"",AT89/Macroindicadores!C$2)</f>
        <v>0.12755102040816327</v>
      </c>
      <c r="BI89" s="117">
        <f>IF(ISBLANK(S89),"",AU89/Macroindicadores!D$2)</f>
        <v>0.12755102040816327</v>
      </c>
      <c r="BJ89" s="117">
        <f>IF(ISBLANK(T89),"",AV89/Macroindicadores!E$2)</f>
        <v>0.12755102040816327</v>
      </c>
      <c r="BK89" s="117">
        <f>IF(ISBLANK(U89),"",AW89/Macroindicadores!F$2)</f>
        <v>0.12755102040816327</v>
      </c>
      <c r="BL89" s="117">
        <f>IF(ISBLANK(V89),"",AX89/Macroindicadores!G$2)</f>
        <v>0.12755102040816327</v>
      </c>
      <c r="BM89" s="117">
        <f>IF(ISBLANK(W89),"",AY89/Macroindicadores!H$2)</f>
        <v>0.12755102040816327</v>
      </c>
      <c r="BN89" s="117">
        <f>IF(ISBLANK(X89),"",AZ89/Macroindicadores!I$2)</f>
        <v>0.12755102040816327</v>
      </c>
      <c r="BO89" s="117">
        <f>IF(ISBLANK(Y89),"",BA89/Macroindicadores!J$2)</f>
        <v>0.12755102040816327</v>
      </c>
      <c r="BP89" s="117">
        <f>IF(ISBLANK(Z89),"",BB89/Macroindicadores!K$2)</f>
        <v>0.12755102040816327</v>
      </c>
      <c r="BQ89" s="117">
        <f>IF(ISBLANK(AA89),"",BC89/Macroindicadores!L$2)</f>
        <v>0.12755102040816327</v>
      </c>
      <c r="BR89" s="117">
        <f>IF(ISBLANK(AB89),"",BD89/Macroindicadores!M$2)</f>
        <v>0.12755102040816327</v>
      </c>
      <c r="BS89" s="118">
        <f>IF(AND(ISBLANK($Q89),ISBLANK($R89),ISBLANK($S89),ISBLANK($T89),ISBLANK($U89),ISBLANK($V89),ISBLANK($W89),ISBLANK($X89),ISBLANK($Y89),ISBLANK($Z89),ISBLANK($AA89),ISBLANK($AB89)),"",SUM(BG89:BR89))</f>
        <v>1.5306122448979596</v>
      </c>
      <c r="BT89" s="25" t="str">
        <f>IF(ISBLANK($L89),"",_xlfn.XLOOKUP($L89,'CENTRO CUSTO'!$A:$A,'CENTRO CUSTO'!$E:$E,FALSE,0))</f>
        <v>Custo Fixo</v>
      </c>
    </row>
    <row r="90" spans="1:72">
      <c r="A90" s="9" t="str">
        <f t="shared" si="52"/>
        <v>Budget</v>
      </c>
      <c r="B90" s="9">
        <f t="shared" si="66"/>
        <v>2026</v>
      </c>
      <c r="C90" s="111" t="str">
        <f>IF(ISBLANK($L90),"",_xlfn.XLOOKUP($L90,'CENTRO CUSTO'!$A:$A,'CENTRO CUSTO'!F:F,FALSE,0))</f>
        <v>Martini Meat</v>
      </c>
      <c r="D90" s="111" t="str">
        <f>IF(ISBLANK($L90),"",_xlfn.XLOOKUP($L90,'CENTRO CUSTO'!$A:$A,'CENTRO CUSTO'!G:G,FALSE,0))</f>
        <v>Paranaguá</v>
      </c>
      <c r="E90" s="111" t="str">
        <f>IF(ISBLANK($L90),"",_xlfn.XLOOKUP($L90,'CENTRO CUSTO'!$A:$A,'CENTRO CUSTO'!H:H,FALSE,0))</f>
        <v>Carga Geral</v>
      </c>
      <c r="F90" s="112" t="s">
        <v>133</v>
      </c>
      <c r="G90" s="112" t="s">
        <v>123</v>
      </c>
      <c r="H90" s="112" t="s">
        <v>131</v>
      </c>
      <c r="I90" s="113" t="s">
        <v>77</v>
      </c>
      <c r="J90" s="113" t="s">
        <v>78</v>
      </c>
      <c r="K90" s="113" t="s">
        <v>79</v>
      </c>
      <c r="L90" s="113" t="s">
        <v>12</v>
      </c>
      <c r="M90" s="111" t="str">
        <f>IF(ISBLANK($L90),"",_xlfn.XLOOKUP($L90,'CENTRO CUSTO'!$A:$A,'CENTRO CUSTO'!D:D,FALSE,0))</f>
        <v>Alexandre Ayabe</v>
      </c>
      <c r="N90" s="113" t="s">
        <v>132</v>
      </c>
      <c r="O90" s="114"/>
      <c r="P90" s="113" t="s">
        <v>81</v>
      </c>
      <c r="Q90" s="115">
        <f t="shared" ref="Q90" si="68">1500/2</f>
        <v>750</v>
      </c>
      <c r="R90" s="115">
        <f t="shared" si="67"/>
        <v>750</v>
      </c>
      <c r="S90" s="115">
        <f t="shared" si="67"/>
        <v>750</v>
      </c>
      <c r="T90" s="115">
        <f t="shared" si="67"/>
        <v>750</v>
      </c>
      <c r="U90" s="115">
        <f t="shared" si="67"/>
        <v>750</v>
      </c>
      <c r="V90" s="115">
        <f t="shared" si="67"/>
        <v>750</v>
      </c>
      <c r="W90" s="115">
        <f t="shared" si="67"/>
        <v>750</v>
      </c>
      <c r="X90" s="115">
        <f t="shared" si="67"/>
        <v>750</v>
      </c>
      <c r="Y90" s="115">
        <f t="shared" si="67"/>
        <v>750</v>
      </c>
      <c r="Z90" s="115">
        <f t="shared" si="67"/>
        <v>750</v>
      </c>
      <c r="AA90" s="115">
        <f t="shared" si="67"/>
        <v>750</v>
      </c>
      <c r="AB90" s="115">
        <f t="shared" si="67"/>
        <v>750</v>
      </c>
      <c r="AC90" s="116">
        <f t="shared" si="53"/>
        <v>9000</v>
      </c>
      <c r="AD90" s="108"/>
      <c r="AE90" s="117">
        <f>IF(ISBLANK(Q90),"",IF($P90="BRL",Q90,Q90*Macroindicadores!B$2)/1000)</f>
        <v>0.75</v>
      </c>
      <c r="AF90" s="117">
        <f>IF(ISBLANK(R90),"",IF($P90="BRL",R90,R90*Macroindicadores!C$2)/1000)</f>
        <v>0.75</v>
      </c>
      <c r="AG90" s="117">
        <f>IF(ISBLANK(S90),"",IF($P90="BRL",S90,S90*Macroindicadores!D$2)/1000)</f>
        <v>0.75</v>
      </c>
      <c r="AH90" s="117">
        <f>IF(ISBLANK(T90),"",IF($P90="BRL",T90,T90*Macroindicadores!E$2)/1000)</f>
        <v>0.75</v>
      </c>
      <c r="AI90" s="117">
        <f>IF(ISBLANK(U90),"",IF($P90="BRL",U90,U90*Macroindicadores!F$2)/1000)</f>
        <v>0.75</v>
      </c>
      <c r="AJ90" s="117">
        <f>IF(ISBLANK(V90),"",IF($P90="BRL",V90,V90*Macroindicadores!G$2)/1000)</f>
        <v>0.75</v>
      </c>
      <c r="AK90" s="117">
        <f>IF(ISBLANK(W90),"",IF($P90="BRL",W90,W90*Macroindicadores!H$2)/1000)</f>
        <v>0.75</v>
      </c>
      <c r="AL90" s="117">
        <f>IF(ISBLANK(X90),"",IF($P90="BRL",X90,X90*Macroindicadores!I$2)/1000)</f>
        <v>0.75</v>
      </c>
      <c r="AM90" s="117">
        <f>IF(ISBLANK(Y90),"",IF($P90="BRL",Y90,Y90*Macroindicadores!J$2)/1000)</f>
        <v>0.75</v>
      </c>
      <c r="AN90" s="117">
        <f>IF(ISBLANK(Z90),"",IF($P90="BRL",Z90,Z90*Macroindicadores!K$2)/1000)</f>
        <v>0.75</v>
      </c>
      <c r="AO90" s="117">
        <f>IF(ISBLANK(AA90),"",IF($P90="BRL",AA90,AA90*Macroindicadores!L$2)/1000)</f>
        <v>0.75</v>
      </c>
      <c r="AP90" s="117">
        <f>IF(ISBLANK(AB90),"",IF($P90="BRL",AB90,AB90*Macroindicadores!M$2)/1000)</f>
        <v>0.75</v>
      </c>
      <c r="AQ90" s="118">
        <f t="shared" si="51"/>
        <v>9</v>
      </c>
      <c r="AR90" s="108"/>
      <c r="AS90" s="117">
        <f>IF(ISBLANK(Q90),"",IF(ISBLANK($O90),AE90,IF($J90="ANUAL",AE90*(1+Macroindicadores!B$7),IF(AND($I90="NOVO",MONTH($O90)=MONTH(AS$4)),AE90*(1+Macroindicadores!B$7),IF(AND($J90="PONTUAL",MONTH($O90)=MONTH(AS$4)),AE90*(1+Macroindicadores!B$7),IF(AND($J90="PONTUAL",MONTH($O90)&lt;MONTH(AS$4)),MIN(AR90:$AS90),IF(AND($I90="NOVO",MONTH($O90)&gt;MONTH(AS$4)),AE90,IF(MONTH($O90)&gt;MONTH(AS$4),AE90,IF(MONTH($O90)=MONTH(AS$4),AE90*(1+Macroindicadores!B$7),AR90)))))))))</f>
        <v>0.75</v>
      </c>
      <c r="AT90" s="117">
        <f>IF(ISBLANK(R90),"",IF(ISBLANK($O90),AF90,IF($J90="ANUAL",AF90*(1+Macroindicadores!C$7),IF(AND($I90="NOVO",MONTH($O90)=MONTH(AT$4)),AF90*(1+Macroindicadores!C$7),IF(AND($J90="PONTUAL",MONTH($O90)=MONTH(AT$4)),AF90*(1+Macroindicadores!C$7),IF(AND($J90="PONTUAL",MONTH($O90)&lt;MONTH(AT$4)),MIN($AS90:AS90),IF(AND($I90="NOVO",MONTH($O90)&gt;MONTH(AT$4)),AF90,IF(MONTH($O90)&gt;MONTH(AT$4),AF90,IF(MONTH($O90)=MONTH(AT$4),AF90*(1+Macroindicadores!C$7),AS90)))))))))</f>
        <v>0.75</v>
      </c>
      <c r="AU90" s="117">
        <f>IF(ISBLANK(S90),"",IF(ISBLANK($O90),AG90,IF($J90="ANUAL",AG90*(1+Macroindicadores!D$7),IF(AND($I90="NOVO",MONTH($O90)=MONTH(AU$4)),AG90*(1+Macroindicadores!D$7),IF(AND($J90="PONTUAL",MONTH($O90)=MONTH(AU$4)),AG90*(1+Macroindicadores!D$7),IF(AND($J90="PONTUAL",MONTH($O90)&lt;MONTH(AU$4)),MIN($AS90:AT90),IF(AND($I90="NOVO",MONTH($O90)&gt;MONTH(AU$4)),AG90,IF(MONTH($O90)&gt;MONTH(AU$4),AG90,IF(MONTH($O90)=MONTH(AU$4),AG90*(1+Macroindicadores!D$7),AT90)))))))))</f>
        <v>0.75</v>
      </c>
      <c r="AV90" s="117">
        <f>IF(ISBLANK(T90),"",IF(ISBLANK($O90),AH90,IF($J90="ANUAL",AH90*(1+Macroindicadores!E$7),IF(AND($I90="NOVO",MONTH($O90)=MONTH(AV$4)),AH90*(1+Macroindicadores!E$7),IF(AND($J90="PONTUAL",MONTH($O90)=MONTH(AV$4)),AH90*(1+Macroindicadores!E$7),IF(AND($J90="PONTUAL",MONTH($O90)&lt;MONTH(AV$4)),MIN($AS90:AU90),IF(AND($I90="NOVO",MONTH($O90)&gt;MONTH(AV$4)),AH90,IF(MONTH($O90)&gt;MONTH(AV$4),AH90,IF(MONTH($O90)=MONTH(AV$4),AH90*(1+Macroindicadores!E$7),AU90)))))))))</f>
        <v>0.75</v>
      </c>
      <c r="AW90" s="117">
        <f>IF(ISBLANK(U90),"",IF(ISBLANK($O90),AI90,IF($J90="ANUAL",AI90*(1+Macroindicadores!F$7),IF(AND($I90="NOVO",MONTH($O90)=MONTH(AW$4)),AI90*(1+Macroindicadores!F$7),IF(AND($J90="PONTUAL",MONTH($O90)=MONTH(AW$4)),AI90*(1+Macroindicadores!F$7),IF(AND($J90="PONTUAL",MONTH($O90)&lt;MONTH(AW$4)),MIN($AS90:AV90),IF(AND($I90="NOVO",MONTH($O90)&gt;MONTH(AW$4)),AI90,IF(MONTH($O90)&gt;MONTH(AW$4),AI90,IF(MONTH($O90)=MONTH(AW$4),AI90*(1+Macroindicadores!F$7),AV90)))))))))</f>
        <v>0.75</v>
      </c>
      <c r="AX90" s="117">
        <f>IF(ISBLANK(V90),"",IF(ISBLANK($O90),AJ90,IF($J90="ANUAL",AJ90*(1+Macroindicadores!G$7),IF(AND($I90="NOVO",MONTH($O90)=MONTH(AX$4)),AJ90*(1+Macroindicadores!G$7),IF(AND($J90="PONTUAL",MONTH($O90)=MONTH(AX$4)),AJ90*(1+Macroindicadores!G$7),IF(AND($J90="PONTUAL",MONTH($O90)&lt;MONTH(AX$4)),MIN($AS90:AW90),IF(AND($I90="NOVO",MONTH($O90)&gt;MONTH(AX$4)),AJ90,IF(MONTH($O90)&gt;MONTH(AX$4),AJ90,IF(MONTH($O90)=MONTH(AX$4),AJ90*(1+Macroindicadores!G$7),AW90)))))))))</f>
        <v>0.75</v>
      </c>
      <c r="AY90" s="117">
        <f>IF(ISBLANK(W90),"",IF(ISBLANK($O90),AK90,IF($J90="ANUAL",AK90*(1+Macroindicadores!H$7),IF(AND($I90="NOVO",MONTH($O90)=MONTH(AY$4)),AK90*(1+Macroindicadores!H$7),IF(AND($J90="PONTUAL",MONTH($O90)=MONTH(AY$4)),AK90*(1+Macroindicadores!H$7),IF(AND($J90="PONTUAL",MONTH($O90)&lt;MONTH(AY$4)),MIN($AS90:AX90),IF(AND($I90="NOVO",MONTH($O90)&gt;MONTH(AY$4)),AK90,IF(MONTH($O90)&gt;MONTH(AY$4),AK90,IF(MONTH($O90)=MONTH(AY$4),AK90*(1+Macroindicadores!H$7),AX90)))))))))</f>
        <v>0.75</v>
      </c>
      <c r="AZ90" s="117">
        <f>IF(ISBLANK(X90),"",IF(ISBLANK($O90),AL90,IF($J90="ANUAL",AL90*(1+Macroindicadores!I$7),IF(AND($I90="NOVO",MONTH($O90)=MONTH(AZ$4)),AL90*(1+Macroindicadores!I$7),IF(AND($J90="PONTUAL",MONTH($O90)=MONTH(AZ$4)),AL90*(1+Macroindicadores!I$7),IF(AND($J90="PONTUAL",MONTH($O90)&lt;MONTH(AZ$4)),MIN($AS90:AY90),IF(AND($I90="NOVO",MONTH($O90)&gt;MONTH(AZ$4)),AL90,IF(MONTH($O90)&gt;MONTH(AZ$4),AL90,IF(MONTH($O90)=MONTH(AZ$4),AL90*(1+Macroindicadores!I$7),AY90)))))))))</f>
        <v>0.75</v>
      </c>
      <c r="BA90" s="117">
        <f>IF(ISBLANK(Y90),"",IF(ISBLANK($O90),AM90,IF($J90="ANUAL",AM90*(1+Macroindicadores!J$7),IF(AND($I90="NOVO",MONTH($O90)=MONTH(BA$4)),AM90*(1+Macroindicadores!J$7),IF(AND($J90="PONTUAL",MONTH($O90)=MONTH(BA$4)),AM90*(1+Macroindicadores!J$7),IF(AND($J90="PONTUAL",MONTH($O90)&lt;MONTH(BA$4)),MIN($AS90:AZ90),IF(AND($I90="NOVO",MONTH($O90)&gt;MONTH(BA$4)),AM90,IF(MONTH($O90)&gt;MONTH(BA$4),AM90,IF(MONTH($O90)=MONTH(BA$4),AM90*(1+Macroindicadores!J$7),AZ90)))))))))</f>
        <v>0.75</v>
      </c>
      <c r="BB90" s="117">
        <f>IF(ISBLANK(Z90),"",IF(ISBLANK($O90),AN90,IF($J90="ANUAL",AN90*(1+Macroindicadores!K$7),IF(AND($I90="NOVO",MONTH($O90)=MONTH(BB$4)),AN90*(1+Macroindicadores!K$7),IF(AND($J90="PONTUAL",MONTH($O90)=MONTH(BB$4)),AN90*(1+Macroindicadores!K$7),IF(AND($J90="PONTUAL",MONTH($O90)&lt;MONTH(BB$4)),MIN($AS90:BA90),IF(AND($I90="NOVO",MONTH($O90)&gt;MONTH(BB$4)),AN90,IF(MONTH($O90)&gt;MONTH(BB$4),AN90,IF(MONTH($O90)=MONTH(BB$4),AN90*(1+Macroindicadores!K$7),BA90)))))))))</f>
        <v>0.75</v>
      </c>
      <c r="BC90" s="117">
        <f>IF(ISBLANK(AA90),"",IF(ISBLANK($O90),AO90,IF($J90="ANUAL",AO90*(1+Macroindicadores!L$7),IF(AND($I90="NOVO",MONTH($O90)=MONTH(BC$4)),AO90*(1+Macroindicadores!L$7),IF(AND($J90="PONTUAL",MONTH($O90)=MONTH(BC$4)),AO90*(1+Macroindicadores!L$7),IF(AND($J90="PONTUAL",MONTH($O90)&lt;MONTH(BC$4)),MIN($AS90:BB90),IF(AND($I90="NOVO",MONTH($O90)&gt;MONTH(BC$4)),AO90,IF(MONTH($O90)&gt;MONTH(BC$4),AO90,IF(MONTH($O90)=MONTH(BC$4),AO90*(1+Macroindicadores!L$7),BB90)))))))))</f>
        <v>0.75</v>
      </c>
      <c r="BD90" s="117">
        <f>IF(ISBLANK(AB90),"",IF(ISBLANK($O90),AP90,IF($J90="ANUAL",AP90*(1+Macroindicadores!M$7),IF(AND($I90="NOVO",MONTH($O90)=MONTH(BD$4)),AP90*(1+Macroindicadores!M$7),IF(AND($J90="PONTUAL",MONTH($O90)=MONTH(BD$4)),AP90*(1+Macroindicadores!M$7),IF(AND($J90="PONTUAL",MONTH($O90)&lt;MONTH(BD$4)),MIN($AS90:BC90),IF(AND($I90="NOVO",MONTH($O90)&gt;MONTH(BD$4)),AP90,IF(MONTH($O90)&gt;MONTH(BD$4),AP90,IF(MONTH($O90)=MONTH(BD$4),AP90*(1+Macroindicadores!M$7),BC90)))))))))</f>
        <v>0.75</v>
      </c>
      <c r="BE90" s="118">
        <f t="shared" si="50"/>
        <v>9</v>
      </c>
      <c r="BF90" s="108"/>
      <c r="BG90" s="117">
        <f>IF(ISBLANK(Q90),"",AS90/Macroindicadores!B$2)</f>
        <v>0.12755102040816327</v>
      </c>
      <c r="BH90" s="117">
        <f>IF(ISBLANK(R90),"",AT90/Macroindicadores!C$2)</f>
        <v>0.12755102040816327</v>
      </c>
      <c r="BI90" s="117">
        <f>IF(ISBLANK(S90),"",AU90/Macroindicadores!D$2)</f>
        <v>0.12755102040816327</v>
      </c>
      <c r="BJ90" s="117">
        <f>IF(ISBLANK(T90),"",AV90/Macroindicadores!E$2)</f>
        <v>0.12755102040816327</v>
      </c>
      <c r="BK90" s="117">
        <f>IF(ISBLANK(U90),"",AW90/Macroindicadores!F$2)</f>
        <v>0.12755102040816327</v>
      </c>
      <c r="BL90" s="117">
        <f>IF(ISBLANK(V90),"",AX90/Macroindicadores!G$2)</f>
        <v>0.12755102040816327</v>
      </c>
      <c r="BM90" s="117">
        <f>IF(ISBLANK(W90),"",AY90/Macroindicadores!H$2)</f>
        <v>0.12755102040816327</v>
      </c>
      <c r="BN90" s="117">
        <f>IF(ISBLANK(X90),"",AZ90/Macroindicadores!I$2)</f>
        <v>0.12755102040816327</v>
      </c>
      <c r="BO90" s="117">
        <f>IF(ISBLANK(Y90),"",BA90/Macroindicadores!J$2)</f>
        <v>0.12755102040816327</v>
      </c>
      <c r="BP90" s="117">
        <f>IF(ISBLANK(Z90),"",BB90/Macroindicadores!K$2)</f>
        <v>0.12755102040816327</v>
      </c>
      <c r="BQ90" s="117">
        <f>IF(ISBLANK(AA90),"",BC90/Macroindicadores!L$2)</f>
        <v>0.12755102040816327</v>
      </c>
      <c r="BR90" s="117">
        <f>IF(ISBLANK(AB90),"",BD90/Macroindicadores!M$2)</f>
        <v>0.12755102040816327</v>
      </c>
      <c r="BS90" s="118">
        <f>IF(AND(ISBLANK($Q90),ISBLANK($R90),ISBLANK($S90),ISBLANK($T90),ISBLANK($U90),ISBLANK($V90),ISBLANK($W90),ISBLANK($X90),ISBLANK($Y90),ISBLANK($Z90),ISBLANK($AA90),ISBLANK($AB90)),"",SUM(BG90:BR90))</f>
        <v>1.5306122448979596</v>
      </c>
      <c r="BT90" s="25" t="str">
        <f>IF(ISBLANK($L90),"",_xlfn.XLOOKUP($L90,'CENTRO CUSTO'!$A:$A,'CENTRO CUSTO'!$E:$E,FALSE,0))</f>
        <v>Custo Fixo</v>
      </c>
    </row>
    <row r="91" spans="1:72">
      <c r="A91" s="9" t="str">
        <f t="shared" si="52"/>
        <v>Budget</v>
      </c>
      <c r="B91" s="9">
        <f t="shared" si="66"/>
        <v>2026</v>
      </c>
      <c r="C91" s="111" t="str">
        <f>IF(ISBLANK($L91),"",_xlfn.XLOOKUP($L91,'CENTRO CUSTO'!$A:$A,'CENTRO CUSTO'!F:F,FALSE,0))</f>
        <v>Martini Meat</v>
      </c>
      <c r="D91" s="111" t="str">
        <f>IF(ISBLANK($L91),"",_xlfn.XLOOKUP($L91,'CENTRO CUSTO'!$A:$A,'CENTRO CUSTO'!G:G,FALSE,0))</f>
        <v>Itajaí</v>
      </c>
      <c r="E91" s="111" t="str">
        <f>IF(ISBLANK($L91),"",_xlfn.XLOOKUP($L91,'CENTRO CUSTO'!$A:$A,'CENTRO CUSTO'!H:H,FALSE,0))</f>
        <v>RATEIO Unidade</v>
      </c>
      <c r="F91" s="112" t="s">
        <v>133</v>
      </c>
      <c r="G91" s="112" t="s">
        <v>123</v>
      </c>
      <c r="H91" s="112" t="s">
        <v>131</v>
      </c>
      <c r="I91" s="113" t="s">
        <v>77</v>
      </c>
      <c r="J91" s="113" t="s">
        <v>78</v>
      </c>
      <c r="K91" s="113" t="s">
        <v>79</v>
      </c>
      <c r="L91" s="113" t="s">
        <v>29</v>
      </c>
      <c r="M91" s="111" t="str">
        <f>IF(ISBLANK($L91),"",_xlfn.XLOOKUP($L91,'CENTRO CUSTO'!$A:$A,'CENTRO CUSTO'!D:D,FALSE,0))</f>
        <v>Alexandre Ayabe</v>
      </c>
      <c r="N91" s="113" t="s">
        <v>132</v>
      </c>
      <c r="O91" s="114"/>
      <c r="P91" s="113" t="s">
        <v>81</v>
      </c>
      <c r="Q91" s="115">
        <v>1500</v>
      </c>
      <c r="R91" s="115">
        <v>1500</v>
      </c>
      <c r="S91" s="115">
        <v>1500</v>
      </c>
      <c r="T91" s="115">
        <v>1500</v>
      </c>
      <c r="U91" s="115">
        <v>1500</v>
      </c>
      <c r="V91" s="115">
        <v>1500</v>
      </c>
      <c r="W91" s="115">
        <v>1500</v>
      </c>
      <c r="X91" s="115">
        <v>1500</v>
      </c>
      <c r="Y91" s="115">
        <v>1500</v>
      </c>
      <c r="Z91" s="115">
        <v>1500</v>
      </c>
      <c r="AA91" s="115">
        <v>1500</v>
      </c>
      <c r="AB91" s="115">
        <v>1500</v>
      </c>
      <c r="AC91" s="116">
        <f t="shared" si="53"/>
        <v>18000</v>
      </c>
      <c r="AD91" s="108"/>
      <c r="AE91" s="117">
        <f>IF(ISBLANK(Q91),"",IF($P91="BRL",Q91,Q91*Macroindicadores!B$2)/1000)</f>
        <v>1.5</v>
      </c>
      <c r="AF91" s="117">
        <f>IF(ISBLANK(R91),"",IF($P91="BRL",R91,R91*Macroindicadores!C$2)/1000)</f>
        <v>1.5</v>
      </c>
      <c r="AG91" s="117">
        <f>IF(ISBLANK(S91),"",IF($P91="BRL",S91,S91*Macroindicadores!D$2)/1000)</f>
        <v>1.5</v>
      </c>
      <c r="AH91" s="117">
        <f>IF(ISBLANK(T91),"",IF($P91="BRL",T91,T91*Macroindicadores!E$2)/1000)</f>
        <v>1.5</v>
      </c>
      <c r="AI91" s="117">
        <f>IF(ISBLANK(U91),"",IF($P91="BRL",U91,U91*Macroindicadores!F$2)/1000)</f>
        <v>1.5</v>
      </c>
      <c r="AJ91" s="117">
        <f>IF(ISBLANK(V91),"",IF($P91="BRL",V91,V91*Macroindicadores!G$2)/1000)</f>
        <v>1.5</v>
      </c>
      <c r="AK91" s="117">
        <f>IF(ISBLANK(W91),"",IF($P91="BRL",W91,W91*Macroindicadores!H$2)/1000)</f>
        <v>1.5</v>
      </c>
      <c r="AL91" s="117">
        <f>IF(ISBLANK(X91),"",IF($P91="BRL",X91,X91*Macroindicadores!I$2)/1000)</f>
        <v>1.5</v>
      </c>
      <c r="AM91" s="117">
        <f>IF(ISBLANK(Y91),"",IF($P91="BRL",Y91,Y91*Macroindicadores!J$2)/1000)</f>
        <v>1.5</v>
      </c>
      <c r="AN91" s="117">
        <f>IF(ISBLANK(Z91),"",IF($P91="BRL",Z91,Z91*Macroindicadores!K$2)/1000)</f>
        <v>1.5</v>
      </c>
      <c r="AO91" s="117">
        <f>IF(ISBLANK(AA91),"",IF($P91="BRL",AA91,AA91*Macroindicadores!L$2)/1000)</f>
        <v>1.5</v>
      </c>
      <c r="AP91" s="117">
        <f>IF(ISBLANK(AB91),"",IF($P91="BRL",AB91,AB91*Macroindicadores!M$2)/1000)</f>
        <v>1.5</v>
      </c>
      <c r="AQ91" s="118">
        <f t="shared" si="51"/>
        <v>18</v>
      </c>
      <c r="AR91" s="108"/>
      <c r="AS91" s="117">
        <f>IF(ISBLANK(Q91),"",IF(ISBLANK($O91),AE91,IF($J91="ANUAL",AE91*(1+Macroindicadores!B$7),IF(AND($I91="NOVO",MONTH($O91)=MONTH(AS$4)),AE91*(1+Macroindicadores!B$7),IF(AND($J91="PONTUAL",MONTH($O91)=MONTH(AS$4)),AE91*(1+Macroindicadores!B$7),IF(AND($J91="PONTUAL",MONTH($O91)&lt;MONTH(AS$4)),MIN(AR91:$AS91),IF(AND($I91="NOVO",MONTH($O91)&gt;MONTH(AS$4)),AE91,IF(MONTH($O91)&gt;MONTH(AS$4),AE91,IF(MONTH($O91)=MONTH(AS$4),AE91*(1+Macroindicadores!B$7),AR91)))))))))</f>
        <v>1.5</v>
      </c>
      <c r="AT91" s="117">
        <f>IF(ISBLANK(R91),"",IF(ISBLANK($O91),AF91,IF($J91="ANUAL",AF91*(1+Macroindicadores!C$7),IF(AND($I91="NOVO",MONTH($O91)=MONTH(AT$4)),AF91*(1+Macroindicadores!C$7),IF(AND($J91="PONTUAL",MONTH($O91)=MONTH(AT$4)),AF91*(1+Macroindicadores!C$7),IF(AND($J91="PONTUAL",MONTH($O91)&lt;MONTH(AT$4)),MIN($AS91:AS91),IF(AND($I91="NOVO",MONTH($O91)&gt;MONTH(AT$4)),AF91,IF(MONTH($O91)&gt;MONTH(AT$4),AF91,IF(MONTH($O91)=MONTH(AT$4),AF91*(1+Macroindicadores!C$7),AS91)))))))))</f>
        <v>1.5</v>
      </c>
      <c r="AU91" s="117">
        <f>IF(ISBLANK(S91),"",IF(ISBLANK($O91),AG91,IF($J91="ANUAL",AG91*(1+Macroindicadores!D$7),IF(AND($I91="NOVO",MONTH($O91)=MONTH(AU$4)),AG91*(1+Macroindicadores!D$7),IF(AND($J91="PONTUAL",MONTH($O91)=MONTH(AU$4)),AG91*(1+Macroindicadores!D$7),IF(AND($J91="PONTUAL",MONTH($O91)&lt;MONTH(AU$4)),MIN($AS91:AT91),IF(AND($I91="NOVO",MONTH($O91)&gt;MONTH(AU$4)),AG91,IF(MONTH($O91)&gt;MONTH(AU$4),AG91,IF(MONTH($O91)=MONTH(AU$4),AG91*(1+Macroindicadores!D$7),AT91)))))))))</f>
        <v>1.5</v>
      </c>
      <c r="AV91" s="117">
        <f>IF(ISBLANK(T91),"",IF(ISBLANK($O91),AH91,IF($J91="ANUAL",AH91*(1+Macroindicadores!E$7),IF(AND($I91="NOVO",MONTH($O91)=MONTH(AV$4)),AH91*(1+Macroindicadores!E$7),IF(AND($J91="PONTUAL",MONTH($O91)=MONTH(AV$4)),AH91*(1+Macroindicadores!E$7),IF(AND($J91="PONTUAL",MONTH($O91)&lt;MONTH(AV$4)),MIN($AS91:AU91),IF(AND($I91="NOVO",MONTH($O91)&gt;MONTH(AV$4)),AH91,IF(MONTH($O91)&gt;MONTH(AV$4),AH91,IF(MONTH($O91)=MONTH(AV$4),AH91*(1+Macroindicadores!E$7),AU91)))))))))</f>
        <v>1.5</v>
      </c>
      <c r="AW91" s="117">
        <f>IF(ISBLANK(U91),"",IF(ISBLANK($O91),AI91,IF($J91="ANUAL",AI91*(1+Macroindicadores!F$7),IF(AND($I91="NOVO",MONTH($O91)=MONTH(AW$4)),AI91*(1+Macroindicadores!F$7),IF(AND($J91="PONTUAL",MONTH($O91)=MONTH(AW$4)),AI91*(1+Macroindicadores!F$7),IF(AND($J91="PONTUAL",MONTH($O91)&lt;MONTH(AW$4)),MIN($AS91:AV91),IF(AND($I91="NOVO",MONTH($O91)&gt;MONTH(AW$4)),AI91,IF(MONTH($O91)&gt;MONTH(AW$4),AI91,IF(MONTH($O91)=MONTH(AW$4),AI91*(1+Macroindicadores!F$7),AV91)))))))))</f>
        <v>1.5</v>
      </c>
      <c r="AX91" s="117">
        <f>IF(ISBLANK(V91),"",IF(ISBLANK($O91),AJ91,IF($J91="ANUAL",AJ91*(1+Macroindicadores!G$7),IF(AND($I91="NOVO",MONTH($O91)=MONTH(AX$4)),AJ91*(1+Macroindicadores!G$7),IF(AND($J91="PONTUAL",MONTH($O91)=MONTH(AX$4)),AJ91*(1+Macroindicadores!G$7),IF(AND($J91="PONTUAL",MONTH($O91)&lt;MONTH(AX$4)),MIN($AS91:AW91),IF(AND($I91="NOVO",MONTH($O91)&gt;MONTH(AX$4)),AJ91,IF(MONTH($O91)&gt;MONTH(AX$4),AJ91,IF(MONTH($O91)=MONTH(AX$4),AJ91*(1+Macroindicadores!G$7),AW91)))))))))</f>
        <v>1.5</v>
      </c>
      <c r="AY91" s="117">
        <f>IF(ISBLANK(W91),"",IF(ISBLANK($O91),AK91,IF($J91="ANUAL",AK91*(1+Macroindicadores!H$7),IF(AND($I91="NOVO",MONTH($O91)=MONTH(AY$4)),AK91*(1+Macroindicadores!H$7),IF(AND($J91="PONTUAL",MONTH($O91)=MONTH(AY$4)),AK91*(1+Macroindicadores!H$7),IF(AND($J91="PONTUAL",MONTH($O91)&lt;MONTH(AY$4)),MIN($AS91:AX91),IF(AND($I91="NOVO",MONTH($O91)&gt;MONTH(AY$4)),AK91,IF(MONTH($O91)&gt;MONTH(AY$4),AK91,IF(MONTH($O91)=MONTH(AY$4),AK91*(1+Macroindicadores!H$7),AX91)))))))))</f>
        <v>1.5</v>
      </c>
      <c r="AZ91" s="117">
        <f>IF(ISBLANK(X91),"",IF(ISBLANK($O91),AL91,IF($J91="ANUAL",AL91*(1+Macroindicadores!I$7),IF(AND($I91="NOVO",MONTH($O91)=MONTH(AZ$4)),AL91*(1+Macroindicadores!I$7),IF(AND($J91="PONTUAL",MONTH($O91)=MONTH(AZ$4)),AL91*(1+Macroindicadores!I$7),IF(AND($J91="PONTUAL",MONTH($O91)&lt;MONTH(AZ$4)),MIN($AS91:AY91),IF(AND($I91="NOVO",MONTH($O91)&gt;MONTH(AZ$4)),AL91,IF(MONTH($O91)&gt;MONTH(AZ$4),AL91,IF(MONTH($O91)=MONTH(AZ$4),AL91*(1+Macroindicadores!I$7),AY91)))))))))</f>
        <v>1.5</v>
      </c>
      <c r="BA91" s="117">
        <f>IF(ISBLANK(Y91),"",IF(ISBLANK($O91),AM91,IF($J91="ANUAL",AM91*(1+Macroindicadores!J$7),IF(AND($I91="NOVO",MONTH($O91)=MONTH(BA$4)),AM91*(1+Macroindicadores!J$7),IF(AND($J91="PONTUAL",MONTH($O91)=MONTH(BA$4)),AM91*(1+Macroindicadores!J$7),IF(AND($J91="PONTUAL",MONTH($O91)&lt;MONTH(BA$4)),MIN($AS91:AZ91),IF(AND($I91="NOVO",MONTH($O91)&gt;MONTH(BA$4)),AM91,IF(MONTH($O91)&gt;MONTH(BA$4),AM91,IF(MONTH($O91)=MONTH(BA$4),AM91*(1+Macroindicadores!J$7),AZ91)))))))))</f>
        <v>1.5</v>
      </c>
      <c r="BB91" s="117">
        <f>IF(ISBLANK(Z91),"",IF(ISBLANK($O91),AN91,IF($J91="ANUAL",AN91*(1+Macroindicadores!K$7),IF(AND($I91="NOVO",MONTH($O91)=MONTH(BB$4)),AN91*(1+Macroindicadores!K$7),IF(AND($J91="PONTUAL",MONTH($O91)=MONTH(BB$4)),AN91*(1+Macroindicadores!K$7),IF(AND($J91="PONTUAL",MONTH($O91)&lt;MONTH(BB$4)),MIN($AS91:BA91),IF(AND($I91="NOVO",MONTH($O91)&gt;MONTH(BB$4)),AN91,IF(MONTH($O91)&gt;MONTH(BB$4),AN91,IF(MONTH($O91)=MONTH(BB$4),AN91*(1+Macroindicadores!K$7),BA91)))))))))</f>
        <v>1.5</v>
      </c>
      <c r="BC91" s="117">
        <f>IF(ISBLANK(AA91),"",IF(ISBLANK($O91),AO91,IF($J91="ANUAL",AO91*(1+Macroindicadores!L$7),IF(AND($I91="NOVO",MONTH($O91)=MONTH(BC$4)),AO91*(1+Macroindicadores!L$7),IF(AND($J91="PONTUAL",MONTH($O91)=MONTH(BC$4)),AO91*(1+Macroindicadores!L$7),IF(AND($J91="PONTUAL",MONTH($O91)&lt;MONTH(BC$4)),MIN($AS91:BB91),IF(AND($I91="NOVO",MONTH($O91)&gt;MONTH(BC$4)),AO91,IF(MONTH($O91)&gt;MONTH(BC$4),AO91,IF(MONTH($O91)=MONTH(BC$4),AO91*(1+Macroindicadores!L$7),BB91)))))))))</f>
        <v>1.5</v>
      </c>
      <c r="BD91" s="117">
        <f>IF(ISBLANK(AB91),"",IF(ISBLANK($O91),AP91,IF($J91="ANUAL",AP91*(1+Macroindicadores!M$7),IF(AND($I91="NOVO",MONTH($O91)=MONTH(BD$4)),AP91*(1+Macroindicadores!M$7),IF(AND($J91="PONTUAL",MONTH($O91)=MONTH(BD$4)),AP91*(1+Macroindicadores!M$7),IF(AND($J91="PONTUAL",MONTH($O91)&lt;MONTH(BD$4)),MIN($AS91:BC91),IF(AND($I91="NOVO",MONTH($O91)&gt;MONTH(BD$4)),AP91,IF(MONTH($O91)&gt;MONTH(BD$4),AP91,IF(MONTH($O91)=MONTH(BD$4),AP91*(1+Macroindicadores!M$7),BC91)))))))))</f>
        <v>1.5</v>
      </c>
      <c r="BE91" s="118">
        <f t="shared" si="50"/>
        <v>18</v>
      </c>
      <c r="BF91" s="108"/>
      <c r="BG91" s="117">
        <f>IF(ISBLANK(Q91),"",AS91/Macroindicadores!B$2)</f>
        <v>0.25510204081632654</v>
      </c>
      <c r="BH91" s="117">
        <f>IF(ISBLANK(R91),"",AT91/Macroindicadores!C$2)</f>
        <v>0.25510204081632654</v>
      </c>
      <c r="BI91" s="117">
        <f>IF(ISBLANK(S91),"",AU91/Macroindicadores!D$2)</f>
        <v>0.25510204081632654</v>
      </c>
      <c r="BJ91" s="117">
        <f>IF(ISBLANK(T91),"",AV91/Macroindicadores!E$2)</f>
        <v>0.25510204081632654</v>
      </c>
      <c r="BK91" s="117">
        <f>IF(ISBLANK(U91),"",AW91/Macroindicadores!F$2)</f>
        <v>0.25510204081632654</v>
      </c>
      <c r="BL91" s="117">
        <f>IF(ISBLANK(V91),"",AX91/Macroindicadores!G$2)</f>
        <v>0.25510204081632654</v>
      </c>
      <c r="BM91" s="117">
        <f>IF(ISBLANK(W91),"",AY91/Macroindicadores!H$2)</f>
        <v>0.25510204081632654</v>
      </c>
      <c r="BN91" s="117">
        <f>IF(ISBLANK(X91),"",AZ91/Macroindicadores!I$2)</f>
        <v>0.25510204081632654</v>
      </c>
      <c r="BO91" s="117">
        <f>IF(ISBLANK(Y91),"",BA91/Macroindicadores!J$2)</f>
        <v>0.25510204081632654</v>
      </c>
      <c r="BP91" s="117">
        <f>IF(ISBLANK(Z91),"",BB91/Macroindicadores!K$2)</f>
        <v>0.25510204081632654</v>
      </c>
      <c r="BQ91" s="117">
        <f>IF(ISBLANK(AA91),"",BC91/Macroindicadores!L$2)</f>
        <v>0.25510204081632654</v>
      </c>
      <c r="BR91" s="117">
        <f>IF(ISBLANK(AB91),"",BD91/Macroindicadores!M$2)</f>
        <v>0.25510204081632654</v>
      </c>
      <c r="BS91" s="118">
        <f>IF(AND(ISBLANK($Q91),ISBLANK($R91),ISBLANK($S91),ISBLANK($T91),ISBLANK($U91),ISBLANK($V91),ISBLANK($W91),ISBLANK($X91),ISBLANK($Y91),ISBLANK($Z91),ISBLANK($AA91),ISBLANK($AB91)),"",SUM(BG91:BR91))</f>
        <v>3.0612244897959191</v>
      </c>
      <c r="BT91" s="25" t="str">
        <f>IF(ISBLANK($L91),"",_xlfn.XLOOKUP($L91,'CENTRO CUSTO'!$A:$A,'CENTRO CUSTO'!$E:$E,FALSE,0))</f>
        <v>Custo Fixo</v>
      </c>
    </row>
    <row r="92" spans="1:72">
      <c r="A92" s="9" t="str">
        <f t="shared" si="52"/>
        <v>Budget</v>
      </c>
      <c r="B92" s="9">
        <f t="shared" si="66"/>
        <v>2026</v>
      </c>
      <c r="C92" s="111" t="str">
        <f>IF(ISBLANK($L92),"",_xlfn.XLOOKUP($L92,'CENTRO CUSTO'!$A:$A,'CENTRO CUSTO'!F:F,FALSE,0))</f>
        <v>Martini Meat</v>
      </c>
      <c r="D92" s="111" t="str">
        <f>IF(ISBLANK($L92),"",_xlfn.XLOOKUP($L92,'CENTRO CUSTO'!$A:$A,'CENTRO CUSTO'!G:G,FALSE,0))</f>
        <v>Recife 2</v>
      </c>
      <c r="E92" s="111" t="str">
        <f>IF(ISBLANK($L92),"",_xlfn.XLOOKUP($L92,'CENTRO CUSTO'!$A:$A,'CENTRO CUSTO'!H:H,FALSE,0))</f>
        <v>Frigorífico</v>
      </c>
      <c r="F92" s="112" t="s">
        <v>133</v>
      </c>
      <c r="G92" s="112" t="s">
        <v>123</v>
      </c>
      <c r="H92" s="112" t="s">
        <v>131</v>
      </c>
      <c r="I92" s="113" t="s">
        <v>77</v>
      </c>
      <c r="J92" s="113" t="s">
        <v>78</v>
      </c>
      <c r="K92" s="113" t="s">
        <v>79</v>
      </c>
      <c r="L92" s="113" t="s">
        <v>31</v>
      </c>
      <c r="M92" s="111" t="str">
        <f>IF(ISBLANK($L92),"",_xlfn.XLOOKUP($L92,'CENTRO CUSTO'!$A:$A,'CENTRO CUSTO'!D:D,FALSE,0))</f>
        <v>Alexandre Ayabe</v>
      </c>
      <c r="N92" s="113" t="s">
        <v>132</v>
      </c>
      <c r="O92" s="114"/>
      <c r="P92" s="113" t="s">
        <v>81</v>
      </c>
      <c r="Q92" s="115">
        <v>0</v>
      </c>
      <c r="R92" s="115">
        <v>0</v>
      </c>
      <c r="S92" s="115">
        <v>0</v>
      </c>
      <c r="T92" s="115">
        <v>0</v>
      </c>
      <c r="U92" s="115">
        <v>0</v>
      </c>
      <c r="V92" s="115">
        <v>0</v>
      </c>
      <c r="W92" s="115">
        <v>0</v>
      </c>
      <c r="X92" s="115">
        <v>0</v>
      </c>
      <c r="Y92" s="115">
        <v>0</v>
      </c>
      <c r="Z92" s="115">
        <v>0</v>
      </c>
      <c r="AA92" s="115">
        <v>0</v>
      </c>
      <c r="AB92" s="115">
        <v>0</v>
      </c>
      <c r="AC92" s="116">
        <f t="shared" si="53"/>
        <v>0</v>
      </c>
      <c r="AD92" s="108"/>
      <c r="AE92" s="117">
        <f>IF(ISBLANK(Q92),"",IF($P92="BRL",Q92,Q92*Macroindicadores!B$2)/1000)</f>
        <v>0</v>
      </c>
      <c r="AF92" s="117">
        <f>IF(ISBLANK(R92),"",IF($P92="BRL",R92,R92*Macroindicadores!C$2)/1000)</f>
        <v>0</v>
      </c>
      <c r="AG92" s="117">
        <f>IF(ISBLANK(S92),"",IF($P92="BRL",S92,S92*Macroindicadores!D$2)/1000)</f>
        <v>0</v>
      </c>
      <c r="AH92" s="117">
        <f>IF(ISBLANK(T92),"",IF($P92="BRL",T92,T92*Macroindicadores!E$2)/1000)</f>
        <v>0</v>
      </c>
      <c r="AI92" s="117">
        <f>IF(ISBLANK(U92),"",IF($P92="BRL",U92,U92*Macroindicadores!F$2)/1000)</f>
        <v>0</v>
      </c>
      <c r="AJ92" s="117">
        <f>IF(ISBLANK(V92),"",IF($P92="BRL",V92,V92*Macroindicadores!G$2)/1000)</f>
        <v>0</v>
      </c>
      <c r="AK92" s="117">
        <f>IF(ISBLANK(W92),"",IF($P92="BRL",W92,W92*Macroindicadores!H$2)/1000)</f>
        <v>0</v>
      </c>
      <c r="AL92" s="117">
        <f>IF(ISBLANK(X92),"",IF($P92="BRL",X92,X92*Macroindicadores!I$2)/1000)</f>
        <v>0</v>
      </c>
      <c r="AM92" s="117">
        <f>IF(ISBLANK(Y92),"",IF($P92="BRL",Y92,Y92*Macroindicadores!J$2)/1000)</f>
        <v>0</v>
      </c>
      <c r="AN92" s="117">
        <f>IF(ISBLANK(Z92),"",IF($P92="BRL",Z92,Z92*Macroindicadores!K$2)/1000)</f>
        <v>0</v>
      </c>
      <c r="AO92" s="117">
        <f>IF(ISBLANK(AA92),"",IF($P92="BRL",AA92,AA92*Macroindicadores!L$2)/1000)</f>
        <v>0</v>
      </c>
      <c r="AP92" s="117">
        <f>IF(ISBLANK(AB92),"",IF($P92="BRL",AB92,AB92*Macroindicadores!M$2)/1000)</f>
        <v>0</v>
      </c>
      <c r="AQ92" s="118">
        <f t="shared" si="51"/>
        <v>0</v>
      </c>
      <c r="AR92" s="108"/>
      <c r="AS92" s="117">
        <f>IF(ISBLANK(Q92),"",IF(ISBLANK($O92),AE92,IF($J92="ANUAL",AE92*(1+Macroindicadores!B$7),IF(AND($I92="NOVO",MONTH($O92)=MONTH(AS$4)),AE92*(1+Macroindicadores!B$7),IF(AND($J92="PONTUAL",MONTH($O92)=MONTH(AS$4)),AE92*(1+Macroindicadores!B$7),IF(AND($J92="PONTUAL",MONTH($O92)&lt;MONTH(AS$4)),MIN(AR92:$AS92),IF(AND($I92="NOVO",MONTH($O92)&gt;MONTH(AS$4)),AE92,IF(MONTH($O92)&gt;MONTH(AS$4),AE92,IF(MONTH($O92)=MONTH(AS$4),AE92*(1+Macroindicadores!B$7),AR92)))))))))</f>
        <v>0</v>
      </c>
      <c r="AT92" s="117">
        <f>IF(ISBLANK(R92),"",IF(ISBLANK($O92),AF92,IF($J92="ANUAL",AF92*(1+Macroindicadores!C$7),IF(AND($I92="NOVO",MONTH($O92)=MONTH(AT$4)),AF92*(1+Macroindicadores!C$7),IF(AND($J92="PONTUAL",MONTH($O92)=MONTH(AT$4)),AF92*(1+Macroindicadores!C$7),IF(AND($J92="PONTUAL",MONTH($O92)&lt;MONTH(AT$4)),MIN($AS92:AS92),IF(AND($I92="NOVO",MONTH($O92)&gt;MONTH(AT$4)),AF92,IF(MONTH($O92)&gt;MONTH(AT$4),AF92,IF(MONTH($O92)=MONTH(AT$4),AF92*(1+Macroindicadores!C$7),AS92)))))))))</f>
        <v>0</v>
      </c>
      <c r="AU92" s="117">
        <f>IF(ISBLANK(S92),"",IF(ISBLANK($O92),AG92,IF($J92="ANUAL",AG92*(1+Macroindicadores!D$7),IF(AND($I92="NOVO",MONTH($O92)=MONTH(AU$4)),AG92*(1+Macroindicadores!D$7),IF(AND($J92="PONTUAL",MONTH($O92)=MONTH(AU$4)),AG92*(1+Macroindicadores!D$7),IF(AND($J92="PONTUAL",MONTH($O92)&lt;MONTH(AU$4)),MIN($AS92:AT92),IF(AND($I92="NOVO",MONTH($O92)&gt;MONTH(AU$4)),AG92,IF(MONTH($O92)&gt;MONTH(AU$4),AG92,IF(MONTH($O92)=MONTH(AU$4),AG92*(1+Macroindicadores!D$7),AT92)))))))))</f>
        <v>0</v>
      </c>
      <c r="AV92" s="117">
        <f>IF(ISBLANK(T92),"",IF(ISBLANK($O92),AH92,IF($J92="ANUAL",AH92*(1+Macroindicadores!E$7),IF(AND($I92="NOVO",MONTH($O92)=MONTH(AV$4)),AH92*(1+Macroindicadores!E$7),IF(AND($J92="PONTUAL",MONTH($O92)=MONTH(AV$4)),AH92*(1+Macroindicadores!E$7),IF(AND($J92="PONTUAL",MONTH($O92)&lt;MONTH(AV$4)),MIN($AS92:AU92),IF(AND($I92="NOVO",MONTH($O92)&gt;MONTH(AV$4)),AH92,IF(MONTH($O92)&gt;MONTH(AV$4),AH92,IF(MONTH($O92)=MONTH(AV$4),AH92*(1+Macroindicadores!E$7),AU92)))))))))</f>
        <v>0</v>
      </c>
      <c r="AW92" s="117">
        <f>IF(ISBLANK(U92),"",IF(ISBLANK($O92),AI92,IF($J92="ANUAL",AI92*(1+Macroindicadores!F$7),IF(AND($I92="NOVO",MONTH($O92)=MONTH(AW$4)),AI92*(1+Macroindicadores!F$7),IF(AND($J92="PONTUAL",MONTH($O92)=MONTH(AW$4)),AI92*(1+Macroindicadores!F$7),IF(AND($J92="PONTUAL",MONTH($O92)&lt;MONTH(AW$4)),MIN($AS92:AV92),IF(AND($I92="NOVO",MONTH($O92)&gt;MONTH(AW$4)),AI92,IF(MONTH($O92)&gt;MONTH(AW$4),AI92,IF(MONTH($O92)=MONTH(AW$4),AI92*(1+Macroindicadores!F$7),AV92)))))))))</f>
        <v>0</v>
      </c>
      <c r="AX92" s="117">
        <f>IF(ISBLANK(V92),"",IF(ISBLANK($O92),AJ92,IF($J92="ANUAL",AJ92*(1+Macroindicadores!G$7),IF(AND($I92="NOVO",MONTH($O92)=MONTH(AX$4)),AJ92*(1+Macroindicadores!G$7),IF(AND($J92="PONTUAL",MONTH($O92)=MONTH(AX$4)),AJ92*(1+Macroindicadores!G$7),IF(AND($J92="PONTUAL",MONTH($O92)&lt;MONTH(AX$4)),MIN($AS92:AW92),IF(AND($I92="NOVO",MONTH($O92)&gt;MONTH(AX$4)),AJ92,IF(MONTH($O92)&gt;MONTH(AX$4),AJ92,IF(MONTH($O92)=MONTH(AX$4),AJ92*(1+Macroindicadores!G$7),AW92)))))))))</f>
        <v>0</v>
      </c>
      <c r="AY92" s="117">
        <f>IF(ISBLANK(W92),"",IF(ISBLANK($O92),AK92,IF($J92="ANUAL",AK92*(1+Macroindicadores!H$7),IF(AND($I92="NOVO",MONTH($O92)=MONTH(AY$4)),AK92*(1+Macroindicadores!H$7),IF(AND($J92="PONTUAL",MONTH($O92)=MONTH(AY$4)),AK92*(1+Macroindicadores!H$7),IF(AND($J92="PONTUAL",MONTH($O92)&lt;MONTH(AY$4)),MIN($AS92:AX92),IF(AND($I92="NOVO",MONTH($O92)&gt;MONTH(AY$4)),AK92,IF(MONTH($O92)&gt;MONTH(AY$4),AK92,IF(MONTH($O92)=MONTH(AY$4),AK92*(1+Macroindicadores!H$7),AX92)))))))))</f>
        <v>0</v>
      </c>
      <c r="AZ92" s="117">
        <f>IF(ISBLANK(X92),"",IF(ISBLANK($O92),AL92,IF($J92="ANUAL",AL92*(1+Macroindicadores!I$7),IF(AND($I92="NOVO",MONTH($O92)=MONTH(AZ$4)),AL92*(1+Macroindicadores!I$7),IF(AND($J92="PONTUAL",MONTH($O92)=MONTH(AZ$4)),AL92*(1+Macroindicadores!I$7),IF(AND($J92="PONTUAL",MONTH($O92)&lt;MONTH(AZ$4)),MIN($AS92:AY92),IF(AND($I92="NOVO",MONTH($O92)&gt;MONTH(AZ$4)),AL92,IF(MONTH($O92)&gt;MONTH(AZ$4),AL92,IF(MONTH($O92)=MONTH(AZ$4),AL92*(1+Macroindicadores!I$7),AY92)))))))))</f>
        <v>0</v>
      </c>
      <c r="BA92" s="117">
        <f>IF(ISBLANK(Y92),"",IF(ISBLANK($O92),AM92,IF($J92="ANUAL",AM92*(1+Macroindicadores!J$7),IF(AND($I92="NOVO",MONTH($O92)=MONTH(BA$4)),AM92*(1+Macroindicadores!J$7),IF(AND($J92="PONTUAL",MONTH($O92)=MONTH(BA$4)),AM92*(1+Macroindicadores!J$7),IF(AND($J92="PONTUAL",MONTH($O92)&lt;MONTH(BA$4)),MIN($AS92:AZ92),IF(AND($I92="NOVO",MONTH($O92)&gt;MONTH(BA$4)),AM92,IF(MONTH($O92)&gt;MONTH(BA$4),AM92,IF(MONTH($O92)=MONTH(BA$4),AM92*(1+Macroindicadores!J$7),AZ92)))))))))</f>
        <v>0</v>
      </c>
      <c r="BB92" s="117">
        <f>IF(ISBLANK(Z92),"",IF(ISBLANK($O92),AN92,IF($J92="ANUAL",AN92*(1+Macroindicadores!K$7),IF(AND($I92="NOVO",MONTH($O92)=MONTH(BB$4)),AN92*(1+Macroindicadores!K$7),IF(AND($J92="PONTUAL",MONTH($O92)=MONTH(BB$4)),AN92*(1+Macroindicadores!K$7),IF(AND($J92="PONTUAL",MONTH($O92)&lt;MONTH(BB$4)),MIN($AS92:BA92),IF(AND($I92="NOVO",MONTH($O92)&gt;MONTH(BB$4)),AN92,IF(MONTH($O92)&gt;MONTH(BB$4),AN92,IF(MONTH($O92)=MONTH(BB$4),AN92*(1+Macroindicadores!K$7),BA92)))))))))</f>
        <v>0</v>
      </c>
      <c r="BC92" s="117">
        <f>IF(ISBLANK(AA92),"",IF(ISBLANK($O92),AO92,IF($J92="ANUAL",AO92*(1+Macroindicadores!L$7),IF(AND($I92="NOVO",MONTH($O92)=MONTH(BC$4)),AO92*(1+Macroindicadores!L$7),IF(AND($J92="PONTUAL",MONTH($O92)=MONTH(BC$4)),AO92*(1+Macroindicadores!L$7),IF(AND($J92="PONTUAL",MONTH($O92)&lt;MONTH(BC$4)),MIN($AS92:BB92),IF(AND($I92="NOVO",MONTH($O92)&gt;MONTH(BC$4)),AO92,IF(MONTH($O92)&gt;MONTH(BC$4),AO92,IF(MONTH($O92)=MONTH(BC$4),AO92*(1+Macroindicadores!L$7),BB92)))))))))</f>
        <v>0</v>
      </c>
      <c r="BD92" s="117">
        <f>IF(ISBLANK(AB92),"",IF(ISBLANK($O92),AP92,IF($J92="ANUAL",AP92*(1+Macroindicadores!M$7),IF(AND($I92="NOVO",MONTH($O92)=MONTH(BD$4)),AP92*(1+Macroindicadores!M$7),IF(AND($J92="PONTUAL",MONTH($O92)=MONTH(BD$4)),AP92*(1+Macroindicadores!M$7),IF(AND($J92="PONTUAL",MONTH($O92)&lt;MONTH(BD$4)),MIN($AS92:BC92),IF(AND($I92="NOVO",MONTH($O92)&gt;MONTH(BD$4)),AP92,IF(MONTH($O92)&gt;MONTH(BD$4),AP92,IF(MONTH($O92)=MONTH(BD$4),AP92*(1+Macroindicadores!M$7),BC92)))))))))</f>
        <v>0</v>
      </c>
      <c r="BE92" s="118">
        <f t="shared" si="50"/>
        <v>0</v>
      </c>
      <c r="BF92" s="108"/>
      <c r="BG92" s="117">
        <f>IF(ISBLANK(Q92),"",AS92/Macroindicadores!B$2)</f>
        <v>0</v>
      </c>
      <c r="BH92" s="117">
        <f>IF(ISBLANK(R92),"",AT92/Macroindicadores!C$2)</f>
        <v>0</v>
      </c>
      <c r="BI92" s="117">
        <f>IF(ISBLANK(S92),"",AU92/Macroindicadores!D$2)</f>
        <v>0</v>
      </c>
      <c r="BJ92" s="117">
        <f>IF(ISBLANK(T92),"",AV92/Macroindicadores!E$2)</f>
        <v>0</v>
      </c>
      <c r="BK92" s="117">
        <f>IF(ISBLANK(U92),"",AW92/Macroindicadores!F$2)</f>
        <v>0</v>
      </c>
      <c r="BL92" s="117">
        <f>IF(ISBLANK(V92),"",AX92/Macroindicadores!G$2)</f>
        <v>0</v>
      </c>
      <c r="BM92" s="117">
        <f>IF(ISBLANK(W92),"",AY92/Macroindicadores!H$2)</f>
        <v>0</v>
      </c>
      <c r="BN92" s="117">
        <f>IF(ISBLANK(X92),"",AZ92/Macroindicadores!I$2)</f>
        <v>0</v>
      </c>
      <c r="BO92" s="117">
        <f>IF(ISBLANK(Y92),"",BA92/Macroindicadores!J$2)</f>
        <v>0</v>
      </c>
      <c r="BP92" s="117">
        <f>IF(ISBLANK(Z92),"",BB92/Macroindicadores!K$2)</f>
        <v>0</v>
      </c>
      <c r="BQ92" s="117">
        <f>IF(ISBLANK(AA92),"",BC92/Macroindicadores!L$2)</f>
        <v>0</v>
      </c>
      <c r="BR92" s="117">
        <f>IF(ISBLANK(AB92),"",BD92/Macroindicadores!M$2)</f>
        <v>0</v>
      </c>
      <c r="BS92" s="118">
        <f>IF(AND(ISBLANK($Q92),ISBLANK($R92),ISBLANK($S92),ISBLANK($T92),ISBLANK($U92),ISBLANK($V92),ISBLANK($W92),ISBLANK($X92),ISBLANK($Y92),ISBLANK($Z92),ISBLANK($AA92),ISBLANK($AB92)),"",SUM(BG92:BR92))</f>
        <v>0</v>
      </c>
      <c r="BT92" s="25" t="str">
        <f>IF(ISBLANK($L92),"",_xlfn.XLOOKUP($L92,'CENTRO CUSTO'!$A:$A,'CENTRO CUSTO'!$E:$E,FALSE,0))</f>
        <v>Custo Fixo</v>
      </c>
    </row>
    <row r="93" spans="1:72">
      <c r="A93" s="9" t="str">
        <f t="shared" si="52"/>
        <v>Budget</v>
      </c>
      <c r="B93" s="9">
        <f t="shared" si="66"/>
        <v>2026</v>
      </c>
      <c r="C93" s="111" t="str">
        <f>IF(ISBLANK($L93),"",_xlfn.XLOOKUP($L93,'CENTRO CUSTO'!$A:$A,'CENTRO CUSTO'!F:F,FALSE,0))</f>
        <v>MRV</v>
      </c>
      <c r="D93" s="111" t="str">
        <f>IF(ISBLANK($L93),"",_xlfn.XLOOKUP($L93,'CENTRO CUSTO'!$A:$A,'CENTRO CUSTO'!G:G,FALSE,0))</f>
        <v>Velopark</v>
      </c>
      <c r="E93" s="111" t="str">
        <f>IF(ISBLANK($L93),"",_xlfn.XLOOKUP($L93,'CENTRO CUSTO'!$A:$A,'CENTRO CUSTO'!H:H,FALSE,0))</f>
        <v>Frigorífico</v>
      </c>
      <c r="F93" s="112" t="s">
        <v>133</v>
      </c>
      <c r="G93" s="112" t="s">
        <v>123</v>
      </c>
      <c r="H93" s="112" t="s">
        <v>131</v>
      </c>
      <c r="I93" s="113" t="s">
        <v>77</v>
      </c>
      <c r="J93" s="113" t="s">
        <v>78</v>
      </c>
      <c r="K93" s="113" t="s">
        <v>79</v>
      </c>
      <c r="L93" s="113" t="s">
        <v>43</v>
      </c>
      <c r="M93" s="111" t="str">
        <f>IF(ISBLANK($L93),"",_xlfn.XLOOKUP($L93,'CENTRO CUSTO'!$A:$A,'CENTRO CUSTO'!D:D,FALSE,0))</f>
        <v>Alexandre Ayabe</v>
      </c>
      <c r="N93" s="113" t="s">
        <v>132</v>
      </c>
      <c r="O93" s="114"/>
      <c r="P93" s="113" t="s">
        <v>81</v>
      </c>
      <c r="Q93" s="115">
        <v>0</v>
      </c>
      <c r="R93" s="115">
        <v>0</v>
      </c>
      <c r="S93" s="115">
        <v>0</v>
      </c>
      <c r="T93" s="115">
        <v>0</v>
      </c>
      <c r="U93" s="115">
        <v>0</v>
      </c>
      <c r="V93" s="115">
        <v>0</v>
      </c>
      <c r="W93" s="115">
        <v>0</v>
      </c>
      <c r="X93" s="115">
        <v>0</v>
      </c>
      <c r="Y93" s="115">
        <v>0</v>
      </c>
      <c r="Z93" s="115">
        <v>0</v>
      </c>
      <c r="AA93" s="115">
        <v>0</v>
      </c>
      <c r="AB93" s="115">
        <v>0</v>
      </c>
      <c r="AC93" s="116">
        <f t="shared" si="53"/>
        <v>0</v>
      </c>
      <c r="AD93" s="108"/>
      <c r="AE93" s="117">
        <f>IF(ISBLANK(Q93),"",IF($P93="BRL",Q93,Q93*Macroindicadores!B$2)/1000)</f>
        <v>0</v>
      </c>
      <c r="AF93" s="117">
        <f>IF(ISBLANK(R93),"",IF($P93="BRL",R93,R93*Macroindicadores!C$2)/1000)</f>
        <v>0</v>
      </c>
      <c r="AG93" s="117">
        <f>IF(ISBLANK(S93),"",IF($P93="BRL",S93,S93*Macroindicadores!D$2)/1000)</f>
        <v>0</v>
      </c>
      <c r="AH93" s="117">
        <f>IF(ISBLANK(T93),"",IF($P93="BRL",T93,T93*Macroindicadores!E$2)/1000)</f>
        <v>0</v>
      </c>
      <c r="AI93" s="117">
        <f>IF(ISBLANK(U93),"",IF($P93="BRL",U93,U93*Macroindicadores!F$2)/1000)</f>
        <v>0</v>
      </c>
      <c r="AJ93" s="117">
        <f>IF(ISBLANK(V93),"",IF($P93="BRL",V93,V93*Macroindicadores!G$2)/1000)</f>
        <v>0</v>
      </c>
      <c r="AK93" s="117">
        <f>IF(ISBLANK(W93),"",IF($P93="BRL",W93,W93*Macroindicadores!H$2)/1000)</f>
        <v>0</v>
      </c>
      <c r="AL93" s="117">
        <f>IF(ISBLANK(X93),"",IF($P93="BRL",X93,X93*Macroindicadores!I$2)/1000)</f>
        <v>0</v>
      </c>
      <c r="AM93" s="117">
        <f>IF(ISBLANK(Y93),"",IF($P93="BRL",Y93,Y93*Macroindicadores!J$2)/1000)</f>
        <v>0</v>
      </c>
      <c r="AN93" s="117">
        <f>IF(ISBLANK(Z93),"",IF($P93="BRL",Z93,Z93*Macroindicadores!K$2)/1000)</f>
        <v>0</v>
      </c>
      <c r="AO93" s="117">
        <f>IF(ISBLANK(AA93),"",IF($P93="BRL",AA93,AA93*Macroindicadores!L$2)/1000)</f>
        <v>0</v>
      </c>
      <c r="AP93" s="117">
        <f>IF(ISBLANK(AB93),"",IF($P93="BRL",AB93,AB93*Macroindicadores!M$2)/1000)</f>
        <v>0</v>
      </c>
      <c r="AQ93" s="118">
        <f t="shared" si="51"/>
        <v>0</v>
      </c>
      <c r="AR93" s="108"/>
      <c r="AS93" s="117">
        <f>IF(ISBLANK(Q93),"",IF(ISBLANK($O93),AE93,IF($J93="ANUAL",AE93*(1+Macroindicadores!B$7),IF(AND($I93="NOVO",MONTH($O93)=MONTH(AS$4)),AE93*(1+Macroindicadores!B$7),IF(AND($J93="PONTUAL",MONTH($O93)=MONTH(AS$4)),AE93*(1+Macroindicadores!B$7),IF(AND($J93="PONTUAL",MONTH($O93)&lt;MONTH(AS$4)),MIN(AR93:$AS93),IF(AND($I93="NOVO",MONTH($O93)&gt;MONTH(AS$4)),AE93,IF(MONTH($O93)&gt;MONTH(AS$4),AE93,IF(MONTH($O93)=MONTH(AS$4),AE93*(1+Macroindicadores!B$7),AR93)))))))))</f>
        <v>0</v>
      </c>
      <c r="AT93" s="117">
        <f>IF(ISBLANK(R93),"",IF(ISBLANK($O93),AF93,IF($J93="ANUAL",AF93*(1+Macroindicadores!C$7),IF(AND($I93="NOVO",MONTH($O93)=MONTH(AT$4)),AF93*(1+Macroindicadores!C$7),IF(AND($J93="PONTUAL",MONTH($O93)=MONTH(AT$4)),AF93*(1+Macroindicadores!C$7),IF(AND($J93="PONTUAL",MONTH($O93)&lt;MONTH(AT$4)),MIN($AS93:AS93),IF(AND($I93="NOVO",MONTH($O93)&gt;MONTH(AT$4)),AF93,IF(MONTH($O93)&gt;MONTH(AT$4),AF93,IF(MONTH($O93)=MONTH(AT$4),AF93*(1+Macroindicadores!C$7),AS93)))))))))</f>
        <v>0</v>
      </c>
      <c r="AU93" s="117">
        <f>IF(ISBLANK(S93),"",IF(ISBLANK($O93),AG93,IF($J93="ANUAL",AG93*(1+Macroindicadores!D$7),IF(AND($I93="NOVO",MONTH($O93)=MONTH(AU$4)),AG93*(1+Macroindicadores!D$7),IF(AND($J93="PONTUAL",MONTH($O93)=MONTH(AU$4)),AG93*(1+Macroindicadores!D$7),IF(AND($J93="PONTUAL",MONTH($O93)&lt;MONTH(AU$4)),MIN($AS93:AT93),IF(AND($I93="NOVO",MONTH($O93)&gt;MONTH(AU$4)),AG93,IF(MONTH($O93)&gt;MONTH(AU$4),AG93,IF(MONTH($O93)=MONTH(AU$4),AG93*(1+Macroindicadores!D$7),AT93)))))))))</f>
        <v>0</v>
      </c>
      <c r="AV93" s="117">
        <f>IF(ISBLANK(T93),"",IF(ISBLANK($O93),AH93,IF($J93="ANUAL",AH93*(1+Macroindicadores!E$7),IF(AND($I93="NOVO",MONTH($O93)=MONTH(AV$4)),AH93*(1+Macroindicadores!E$7),IF(AND($J93="PONTUAL",MONTH($O93)=MONTH(AV$4)),AH93*(1+Macroindicadores!E$7),IF(AND($J93="PONTUAL",MONTH($O93)&lt;MONTH(AV$4)),MIN($AS93:AU93),IF(AND($I93="NOVO",MONTH($O93)&gt;MONTH(AV$4)),AH93,IF(MONTH($O93)&gt;MONTH(AV$4),AH93,IF(MONTH($O93)=MONTH(AV$4),AH93*(1+Macroindicadores!E$7),AU93)))))))))</f>
        <v>0</v>
      </c>
      <c r="AW93" s="117">
        <f>IF(ISBLANK(U93),"",IF(ISBLANK($O93),AI93,IF($J93="ANUAL",AI93*(1+Macroindicadores!F$7),IF(AND($I93="NOVO",MONTH($O93)=MONTH(AW$4)),AI93*(1+Macroindicadores!F$7),IF(AND($J93="PONTUAL",MONTH($O93)=MONTH(AW$4)),AI93*(1+Macroindicadores!F$7),IF(AND($J93="PONTUAL",MONTH($O93)&lt;MONTH(AW$4)),MIN($AS93:AV93),IF(AND($I93="NOVO",MONTH($O93)&gt;MONTH(AW$4)),AI93,IF(MONTH($O93)&gt;MONTH(AW$4),AI93,IF(MONTH($O93)=MONTH(AW$4),AI93*(1+Macroindicadores!F$7),AV93)))))))))</f>
        <v>0</v>
      </c>
      <c r="AX93" s="117">
        <f>IF(ISBLANK(V93),"",IF(ISBLANK($O93),AJ93,IF($J93="ANUAL",AJ93*(1+Macroindicadores!G$7),IF(AND($I93="NOVO",MONTH($O93)=MONTH(AX$4)),AJ93*(1+Macroindicadores!G$7),IF(AND($J93="PONTUAL",MONTH($O93)=MONTH(AX$4)),AJ93*(1+Macroindicadores!G$7),IF(AND($J93="PONTUAL",MONTH($O93)&lt;MONTH(AX$4)),MIN($AS93:AW93),IF(AND($I93="NOVO",MONTH($O93)&gt;MONTH(AX$4)),AJ93,IF(MONTH($O93)&gt;MONTH(AX$4),AJ93,IF(MONTH($O93)=MONTH(AX$4),AJ93*(1+Macroindicadores!G$7),AW93)))))))))</f>
        <v>0</v>
      </c>
      <c r="AY93" s="117">
        <f>IF(ISBLANK(W93),"",IF(ISBLANK($O93),AK93,IF($J93="ANUAL",AK93*(1+Macroindicadores!H$7),IF(AND($I93="NOVO",MONTH($O93)=MONTH(AY$4)),AK93*(1+Macroindicadores!H$7),IF(AND($J93="PONTUAL",MONTH($O93)=MONTH(AY$4)),AK93*(1+Macroindicadores!H$7),IF(AND($J93="PONTUAL",MONTH($O93)&lt;MONTH(AY$4)),MIN($AS93:AX93),IF(AND($I93="NOVO",MONTH($O93)&gt;MONTH(AY$4)),AK93,IF(MONTH($O93)&gt;MONTH(AY$4),AK93,IF(MONTH($O93)=MONTH(AY$4),AK93*(1+Macroindicadores!H$7),AX93)))))))))</f>
        <v>0</v>
      </c>
      <c r="AZ93" s="117">
        <f>IF(ISBLANK(X93),"",IF(ISBLANK($O93),AL93,IF($J93="ANUAL",AL93*(1+Macroindicadores!I$7),IF(AND($I93="NOVO",MONTH($O93)=MONTH(AZ$4)),AL93*(1+Macroindicadores!I$7),IF(AND($J93="PONTUAL",MONTH($O93)=MONTH(AZ$4)),AL93*(1+Macroindicadores!I$7),IF(AND($J93="PONTUAL",MONTH($O93)&lt;MONTH(AZ$4)),MIN($AS93:AY93),IF(AND($I93="NOVO",MONTH($O93)&gt;MONTH(AZ$4)),AL93,IF(MONTH($O93)&gt;MONTH(AZ$4),AL93,IF(MONTH($O93)=MONTH(AZ$4),AL93*(1+Macroindicadores!I$7),AY93)))))))))</f>
        <v>0</v>
      </c>
      <c r="BA93" s="117">
        <f>IF(ISBLANK(Y93),"",IF(ISBLANK($O93),AM93,IF($J93="ANUAL",AM93*(1+Macroindicadores!J$7),IF(AND($I93="NOVO",MONTH($O93)=MONTH(BA$4)),AM93*(1+Macroindicadores!J$7),IF(AND($J93="PONTUAL",MONTH($O93)=MONTH(BA$4)),AM93*(1+Macroindicadores!J$7),IF(AND($J93="PONTUAL",MONTH($O93)&lt;MONTH(BA$4)),MIN($AS93:AZ93),IF(AND($I93="NOVO",MONTH($O93)&gt;MONTH(BA$4)),AM93,IF(MONTH($O93)&gt;MONTH(BA$4),AM93,IF(MONTH($O93)=MONTH(BA$4),AM93*(1+Macroindicadores!J$7),AZ93)))))))))</f>
        <v>0</v>
      </c>
      <c r="BB93" s="117">
        <f>IF(ISBLANK(Z93),"",IF(ISBLANK($O93),AN93,IF($J93="ANUAL",AN93*(1+Macroindicadores!K$7),IF(AND($I93="NOVO",MONTH($O93)=MONTH(BB$4)),AN93*(1+Macroindicadores!K$7),IF(AND($J93="PONTUAL",MONTH($O93)=MONTH(BB$4)),AN93*(1+Macroindicadores!K$7),IF(AND($J93="PONTUAL",MONTH($O93)&lt;MONTH(BB$4)),MIN($AS93:BA93),IF(AND($I93="NOVO",MONTH($O93)&gt;MONTH(BB$4)),AN93,IF(MONTH($O93)&gt;MONTH(BB$4),AN93,IF(MONTH($O93)=MONTH(BB$4),AN93*(1+Macroindicadores!K$7),BA93)))))))))</f>
        <v>0</v>
      </c>
      <c r="BC93" s="117">
        <f>IF(ISBLANK(AA93),"",IF(ISBLANK($O93),AO93,IF($J93="ANUAL",AO93*(1+Macroindicadores!L$7),IF(AND($I93="NOVO",MONTH($O93)=MONTH(BC$4)),AO93*(1+Macroindicadores!L$7),IF(AND($J93="PONTUAL",MONTH($O93)=MONTH(BC$4)),AO93*(1+Macroindicadores!L$7),IF(AND($J93="PONTUAL",MONTH($O93)&lt;MONTH(BC$4)),MIN($AS93:BB93),IF(AND($I93="NOVO",MONTH($O93)&gt;MONTH(BC$4)),AO93,IF(MONTH($O93)&gt;MONTH(BC$4),AO93,IF(MONTH($O93)=MONTH(BC$4),AO93*(1+Macroindicadores!L$7),BB93)))))))))</f>
        <v>0</v>
      </c>
      <c r="BD93" s="117">
        <f>IF(ISBLANK(AB93),"",IF(ISBLANK($O93),AP93,IF($J93="ANUAL",AP93*(1+Macroindicadores!M$7),IF(AND($I93="NOVO",MONTH($O93)=MONTH(BD$4)),AP93*(1+Macroindicadores!M$7),IF(AND($J93="PONTUAL",MONTH($O93)=MONTH(BD$4)),AP93*(1+Macroindicadores!M$7),IF(AND($J93="PONTUAL",MONTH($O93)&lt;MONTH(BD$4)),MIN($AS93:BC93),IF(AND($I93="NOVO",MONTH($O93)&gt;MONTH(BD$4)),AP93,IF(MONTH($O93)&gt;MONTH(BD$4),AP93,IF(MONTH($O93)=MONTH(BD$4),AP93*(1+Macroindicadores!M$7),BC93)))))))))</f>
        <v>0</v>
      </c>
      <c r="BE93" s="118">
        <f t="shared" si="50"/>
        <v>0</v>
      </c>
      <c r="BF93" s="108"/>
      <c r="BG93" s="117">
        <f>IF(ISBLANK(Q93),"",AS93/Macroindicadores!B$2)</f>
        <v>0</v>
      </c>
      <c r="BH93" s="117">
        <f>IF(ISBLANK(R93),"",AT93/Macroindicadores!C$2)</f>
        <v>0</v>
      </c>
      <c r="BI93" s="117">
        <f>IF(ISBLANK(S93),"",AU93/Macroindicadores!D$2)</f>
        <v>0</v>
      </c>
      <c r="BJ93" s="117">
        <f>IF(ISBLANK(T93),"",AV93/Macroindicadores!E$2)</f>
        <v>0</v>
      </c>
      <c r="BK93" s="117">
        <f>IF(ISBLANK(U93),"",AW93/Macroindicadores!F$2)</f>
        <v>0</v>
      </c>
      <c r="BL93" s="117">
        <f>IF(ISBLANK(V93),"",AX93/Macroindicadores!G$2)</f>
        <v>0</v>
      </c>
      <c r="BM93" s="117">
        <f>IF(ISBLANK(W93),"",AY93/Macroindicadores!H$2)</f>
        <v>0</v>
      </c>
      <c r="BN93" s="117">
        <f>IF(ISBLANK(X93),"",AZ93/Macroindicadores!I$2)</f>
        <v>0</v>
      </c>
      <c r="BO93" s="117">
        <f>IF(ISBLANK(Y93),"",BA93/Macroindicadores!J$2)</f>
        <v>0</v>
      </c>
      <c r="BP93" s="117">
        <f>IF(ISBLANK(Z93),"",BB93/Macroindicadores!K$2)</f>
        <v>0</v>
      </c>
      <c r="BQ93" s="117">
        <f>IF(ISBLANK(AA93),"",BC93/Macroindicadores!L$2)</f>
        <v>0</v>
      </c>
      <c r="BR93" s="117">
        <f>IF(ISBLANK(AB93),"",BD93/Macroindicadores!M$2)</f>
        <v>0</v>
      </c>
      <c r="BS93" s="118">
        <f>IF(AND(ISBLANK($Q93),ISBLANK($R93),ISBLANK($S93),ISBLANK($T93),ISBLANK($U93),ISBLANK($V93),ISBLANK($W93),ISBLANK($X93),ISBLANK($Y93),ISBLANK($Z93),ISBLANK($AA93),ISBLANK($AB93)),"",SUM(BG93:BR93))</f>
        <v>0</v>
      </c>
      <c r="BT93" s="25" t="str">
        <f>IF(ISBLANK($L93),"",_xlfn.XLOOKUP($L93,'CENTRO CUSTO'!$A:$A,'CENTRO CUSTO'!$E:$E,FALSE,0))</f>
        <v>Custo Fixo</v>
      </c>
    </row>
    <row r="94" spans="1:72">
      <c r="A94" s="9" t="str">
        <f t="shared" si="52"/>
        <v>Budget</v>
      </c>
      <c r="B94" s="9">
        <f t="shared" si="66"/>
        <v>2026</v>
      </c>
      <c r="C94" s="111" t="str">
        <f>IF(ISBLANK($L94),"",_xlfn.XLOOKUP($L94,'CENTRO CUSTO'!$A:$A,'CENTRO CUSTO'!F:F,FALSE,0))</f>
        <v>Martini Meat</v>
      </c>
      <c r="D94" s="111" t="str">
        <f>IF(ISBLANK($L94),"",_xlfn.XLOOKUP($L94,'CENTRO CUSTO'!$A:$A,'CENTRO CUSTO'!G:G,FALSE,0))</f>
        <v>Paranaguá</v>
      </c>
      <c r="E94" s="111" t="str">
        <f>IF(ISBLANK($L94),"",_xlfn.XLOOKUP($L94,'CENTRO CUSTO'!$A:$A,'CENTRO CUSTO'!H:H,FALSE,0))</f>
        <v>RATEIO Unidade</v>
      </c>
      <c r="F94" s="112" t="s">
        <v>134</v>
      </c>
      <c r="G94" s="112" t="s">
        <v>123</v>
      </c>
      <c r="H94" s="112" t="s">
        <v>135</v>
      </c>
      <c r="I94" s="113" t="s">
        <v>77</v>
      </c>
      <c r="J94" s="113" t="s">
        <v>78</v>
      </c>
      <c r="K94" s="113" t="s">
        <v>79</v>
      </c>
      <c r="L94" s="113" t="s">
        <v>19</v>
      </c>
      <c r="M94" s="111" t="str">
        <f>IF(ISBLANK($L94),"",_xlfn.XLOOKUP($L94,'CENTRO CUSTO'!$A:$A,'CENTRO CUSTO'!D:D,FALSE,0))</f>
        <v>Alexandre Ayabe</v>
      </c>
      <c r="N94" s="113" t="s">
        <v>132</v>
      </c>
      <c r="O94" s="114">
        <v>46023</v>
      </c>
      <c r="P94" s="113" t="s">
        <v>81</v>
      </c>
      <c r="Q94" s="115">
        <f>780000*Rateio!$E$368/12</f>
        <v>14950</v>
      </c>
      <c r="R94" s="115">
        <f>780000*Rateio!$E$368/12</f>
        <v>14950</v>
      </c>
      <c r="S94" s="115">
        <f>780000*Rateio!$E$368/12</f>
        <v>14950</v>
      </c>
      <c r="T94" s="115">
        <f>780000*Rateio!$E$368/12</f>
        <v>14950</v>
      </c>
      <c r="U94" s="115">
        <f>780000*Rateio!$E$368/12</f>
        <v>14950</v>
      </c>
      <c r="V94" s="115">
        <f>780000*Rateio!$E$368/12</f>
        <v>14950</v>
      </c>
      <c r="W94" s="115">
        <f>780000*Rateio!$E$368/12</f>
        <v>14950</v>
      </c>
      <c r="X94" s="115">
        <f>780000*Rateio!$E$368/12</f>
        <v>14950</v>
      </c>
      <c r="Y94" s="115">
        <f>780000*Rateio!$E$368/12</f>
        <v>14950</v>
      </c>
      <c r="Z94" s="115">
        <f>780000*Rateio!$E$368/12</f>
        <v>14950</v>
      </c>
      <c r="AA94" s="115">
        <f>780000*Rateio!$E$368/12</f>
        <v>14950</v>
      </c>
      <c r="AB94" s="115">
        <f>780000*Rateio!$E$368/12</f>
        <v>14950</v>
      </c>
      <c r="AC94" s="116">
        <f t="shared" si="53"/>
        <v>179400</v>
      </c>
      <c r="AD94" s="108"/>
      <c r="AE94" s="117">
        <f>IF(ISBLANK(Q94),"",IF($P94="BRL",Q94,Q94*Macroindicadores!B$2)/1000)</f>
        <v>14.95</v>
      </c>
      <c r="AF94" s="117">
        <f>IF(ISBLANK(R94),"",IF($P94="BRL",R94,R94*Macroindicadores!C$2)/1000)</f>
        <v>14.95</v>
      </c>
      <c r="AG94" s="117">
        <f>IF(ISBLANK(S94),"",IF($P94="BRL",S94,S94*Macroindicadores!D$2)/1000)</f>
        <v>14.95</v>
      </c>
      <c r="AH94" s="117">
        <f>IF(ISBLANK(T94),"",IF($P94="BRL",T94,T94*Macroindicadores!E$2)/1000)</f>
        <v>14.95</v>
      </c>
      <c r="AI94" s="117">
        <f>IF(ISBLANK(U94),"",IF($P94="BRL",U94,U94*Macroindicadores!F$2)/1000)</f>
        <v>14.95</v>
      </c>
      <c r="AJ94" s="117">
        <f>IF(ISBLANK(V94),"",IF($P94="BRL",V94,V94*Macroindicadores!G$2)/1000)</f>
        <v>14.95</v>
      </c>
      <c r="AK94" s="117">
        <f>IF(ISBLANK(W94),"",IF($P94="BRL",W94,W94*Macroindicadores!H$2)/1000)</f>
        <v>14.95</v>
      </c>
      <c r="AL94" s="117">
        <f>IF(ISBLANK(X94),"",IF($P94="BRL",X94,X94*Macroindicadores!I$2)/1000)</f>
        <v>14.95</v>
      </c>
      <c r="AM94" s="117">
        <f>IF(ISBLANK(Y94),"",IF($P94="BRL",Y94,Y94*Macroindicadores!J$2)/1000)</f>
        <v>14.95</v>
      </c>
      <c r="AN94" s="117">
        <f>IF(ISBLANK(Z94),"",IF($P94="BRL",Z94,Z94*Macroindicadores!K$2)/1000)</f>
        <v>14.95</v>
      </c>
      <c r="AO94" s="117">
        <f>IF(ISBLANK(AA94),"",IF($P94="BRL",AA94,AA94*Macroindicadores!L$2)/1000)</f>
        <v>14.95</v>
      </c>
      <c r="AP94" s="117">
        <f>IF(ISBLANK(AB94),"",IF($P94="BRL",AB94,AB94*Macroindicadores!M$2)/1000)</f>
        <v>14.95</v>
      </c>
      <c r="AQ94" s="118">
        <f t="shared" si="51"/>
        <v>179.39999999999998</v>
      </c>
      <c r="AR94" s="108"/>
      <c r="AS94" s="117">
        <f>IF(ISBLANK(Q94),"",IF(ISBLANK($O94),AE94,IF($J94="ANUAL",AE94*(1+Macroindicadores!B$7),IF(AND($I94="NOVO",MONTH($O94)=MONTH(AS$4)),AE94*(1+Macroindicadores!B$7),IF(AND($J94="PONTUAL",MONTH($O94)=MONTH(AS$4)),AE94*(1+Macroindicadores!B$7),IF(AND($J94="PONTUAL",MONTH($O94)&lt;MONTH(AS$4)),MIN(AR94:$AS94),IF(AND($I94="NOVO",MONTH($O94)&gt;MONTH(AS$4)),AE94,IF(MONTH($O94)&gt;MONTH(AS$4),AE94,IF(MONTH($O94)=MONTH(AS$4),AE94*(1+Macroindicadores!B$7),AR94)))))))))</f>
        <v>15.767392435726348</v>
      </c>
      <c r="AT94" s="117">
        <f>IF(ISBLANK(R94),"",IF(ISBLANK($O94),AF94,IF($J94="ANUAL",AF94*(1+Macroindicadores!C$7),IF(AND($I94="NOVO",MONTH($O94)=MONTH(AT$4)),AF94*(1+Macroindicadores!C$7),IF(AND($J94="PONTUAL",MONTH($O94)=MONTH(AT$4)),AF94*(1+Macroindicadores!C$7),IF(AND($J94="PONTUAL",MONTH($O94)&lt;MONTH(AT$4)),MIN($AS94:AS94),IF(AND($I94="NOVO",MONTH($O94)&gt;MONTH(AT$4)),AF94,IF(MONTH($O94)&gt;MONTH(AT$4),AF94,IF(MONTH($O94)=MONTH(AT$4),AF94*(1+Macroindicadores!C$7),AS94)))))))))</f>
        <v>15.767392435726348</v>
      </c>
      <c r="AU94" s="117">
        <f>IF(ISBLANK(S94),"",IF(ISBLANK($O94),AG94,IF($J94="ANUAL",AG94*(1+Macroindicadores!D$7),IF(AND($I94="NOVO",MONTH($O94)=MONTH(AU$4)),AG94*(1+Macroindicadores!D$7),IF(AND($J94="PONTUAL",MONTH($O94)=MONTH(AU$4)),AG94*(1+Macroindicadores!D$7),IF(AND($J94="PONTUAL",MONTH($O94)&lt;MONTH(AU$4)),MIN($AS94:AT94),IF(AND($I94="NOVO",MONTH($O94)&gt;MONTH(AU$4)),AG94,IF(MONTH($O94)&gt;MONTH(AU$4),AG94,IF(MONTH($O94)=MONTH(AU$4),AG94*(1+Macroindicadores!D$7),AT94)))))))))</f>
        <v>15.767392435726348</v>
      </c>
      <c r="AV94" s="117">
        <f>IF(ISBLANK(T94),"",IF(ISBLANK($O94),AH94,IF($J94="ANUAL",AH94*(1+Macroindicadores!E$7),IF(AND($I94="NOVO",MONTH($O94)=MONTH(AV$4)),AH94*(1+Macroindicadores!E$7),IF(AND($J94="PONTUAL",MONTH($O94)=MONTH(AV$4)),AH94*(1+Macroindicadores!E$7),IF(AND($J94="PONTUAL",MONTH($O94)&lt;MONTH(AV$4)),MIN($AS94:AU94),IF(AND($I94="NOVO",MONTH($O94)&gt;MONTH(AV$4)),AH94,IF(MONTH($O94)&gt;MONTH(AV$4),AH94,IF(MONTH($O94)=MONTH(AV$4),AH94*(1+Macroindicadores!E$7),AU94)))))))))</f>
        <v>15.767392435726348</v>
      </c>
      <c r="AW94" s="117">
        <f>IF(ISBLANK(U94),"",IF(ISBLANK($O94),AI94,IF($J94="ANUAL",AI94*(1+Macroindicadores!F$7),IF(AND($I94="NOVO",MONTH($O94)=MONTH(AW$4)),AI94*(1+Macroindicadores!F$7),IF(AND($J94="PONTUAL",MONTH($O94)=MONTH(AW$4)),AI94*(1+Macroindicadores!F$7),IF(AND($J94="PONTUAL",MONTH($O94)&lt;MONTH(AW$4)),MIN($AS94:AV94),IF(AND($I94="NOVO",MONTH($O94)&gt;MONTH(AW$4)),AI94,IF(MONTH($O94)&gt;MONTH(AW$4),AI94,IF(MONTH($O94)=MONTH(AW$4),AI94*(1+Macroindicadores!F$7),AV94)))))))))</f>
        <v>15.767392435726348</v>
      </c>
      <c r="AX94" s="117">
        <f>IF(ISBLANK(V94),"",IF(ISBLANK($O94),AJ94,IF($J94="ANUAL",AJ94*(1+Macroindicadores!G$7),IF(AND($I94="NOVO",MONTH($O94)=MONTH(AX$4)),AJ94*(1+Macroindicadores!G$7),IF(AND($J94="PONTUAL",MONTH($O94)=MONTH(AX$4)),AJ94*(1+Macroindicadores!G$7),IF(AND($J94="PONTUAL",MONTH($O94)&lt;MONTH(AX$4)),MIN($AS94:AW94),IF(AND($I94="NOVO",MONTH($O94)&gt;MONTH(AX$4)),AJ94,IF(MONTH($O94)&gt;MONTH(AX$4),AJ94,IF(MONTH($O94)=MONTH(AX$4),AJ94*(1+Macroindicadores!G$7),AW94)))))))))</f>
        <v>15.767392435726348</v>
      </c>
      <c r="AY94" s="117">
        <f>IF(ISBLANK(W94),"",IF(ISBLANK($O94),AK94,IF($J94="ANUAL",AK94*(1+Macroindicadores!H$7),IF(AND($I94="NOVO",MONTH($O94)=MONTH(AY$4)),AK94*(1+Macroindicadores!H$7),IF(AND($J94="PONTUAL",MONTH($O94)=MONTH(AY$4)),AK94*(1+Macroindicadores!H$7),IF(AND($J94="PONTUAL",MONTH($O94)&lt;MONTH(AY$4)),MIN($AS94:AX94),IF(AND($I94="NOVO",MONTH($O94)&gt;MONTH(AY$4)),AK94,IF(MONTH($O94)&gt;MONTH(AY$4),AK94,IF(MONTH($O94)=MONTH(AY$4),AK94*(1+Macroindicadores!H$7),AX94)))))))))</f>
        <v>15.767392435726348</v>
      </c>
      <c r="AZ94" s="117">
        <f>IF(ISBLANK(X94),"",IF(ISBLANK($O94),AL94,IF($J94="ANUAL",AL94*(1+Macroindicadores!I$7),IF(AND($I94="NOVO",MONTH($O94)=MONTH(AZ$4)),AL94*(1+Macroindicadores!I$7),IF(AND($J94="PONTUAL",MONTH($O94)=MONTH(AZ$4)),AL94*(1+Macroindicadores!I$7),IF(AND($J94="PONTUAL",MONTH($O94)&lt;MONTH(AZ$4)),MIN($AS94:AY94),IF(AND($I94="NOVO",MONTH($O94)&gt;MONTH(AZ$4)),AL94,IF(MONTH($O94)&gt;MONTH(AZ$4),AL94,IF(MONTH($O94)=MONTH(AZ$4),AL94*(1+Macroindicadores!I$7),AY94)))))))))</f>
        <v>15.767392435726348</v>
      </c>
      <c r="BA94" s="117">
        <f>IF(ISBLANK(Y94),"",IF(ISBLANK($O94),AM94,IF($J94="ANUAL",AM94*(1+Macroindicadores!J$7),IF(AND($I94="NOVO",MONTH($O94)=MONTH(BA$4)),AM94*(1+Macroindicadores!J$7),IF(AND($J94="PONTUAL",MONTH($O94)=MONTH(BA$4)),AM94*(1+Macroindicadores!J$7),IF(AND($J94="PONTUAL",MONTH($O94)&lt;MONTH(BA$4)),MIN($AS94:AZ94),IF(AND($I94="NOVO",MONTH($O94)&gt;MONTH(BA$4)),AM94,IF(MONTH($O94)&gt;MONTH(BA$4),AM94,IF(MONTH($O94)=MONTH(BA$4),AM94*(1+Macroindicadores!J$7),AZ94)))))))))</f>
        <v>15.767392435726348</v>
      </c>
      <c r="BB94" s="117">
        <f>IF(ISBLANK(Z94),"",IF(ISBLANK($O94),AN94,IF($J94="ANUAL",AN94*(1+Macroindicadores!K$7),IF(AND($I94="NOVO",MONTH($O94)=MONTH(BB$4)),AN94*(1+Macroindicadores!K$7),IF(AND($J94="PONTUAL",MONTH($O94)=MONTH(BB$4)),AN94*(1+Macroindicadores!K$7),IF(AND($J94="PONTUAL",MONTH($O94)&lt;MONTH(BB$4)),MIN($AS94:BA94),IF(AND($I94="NOVO",MONTH($O94)&gt;MONTH(BB$4)),AN94,IF(MONTH($O94)&gt;MONTH(BB$4),AN94,IF(MONTH($O94)=MONTH(BB$4),AN94*(1+Macroindicadores!K$7),BA94)))))))))</f>
        <v>15.767392435726348</v>
      </c>
      <c r="BC94" s="117">
        <f>IF(ISBLANK(AA94),"",IF(ISBLANK($O94),AO94,IF($J94="ANUAL",AO94*(1+Macroindicadores!L$7),IF(AND($I94="NOVO",MONTH($O94)=MONTH(BC$4)),AO94*(1+Macroindicadores!L$7),IF(AND($J94="PONTUAL",MONTH($O94)=MONTH(BC$4)),AO94*(1+Macroindicadores!L$7),IF(AND($J94="PONTUAL",MONTH($O94)&lt;MONTH(BC$4)),MIN($AS94:BB94),IF(AND($I94="NOVO",MONTH($O94)&gt;MONTH(BC$4)),AO94,IF(MONTH($O94)&gt;MONTH(BC$4),AO94,IF(MONTH($O94)=MONTH(BC$4),AO94*(1+Macroindicadores!L$7),BB94)))))))))</f>
        <v>15.767392435726348</v>
      </c>
      <c r="BD94" s="117">
        <f>IF(ISBLANK(AB94),"",IF(ISBLANK($O94),AP94,IF($J94="ANUAL",AP94*(1+Macroindicadores!M$7),IF(AND($I94="NOVO",MONTH($O94)=MONTH(BD$4)),AP94*(1+Macroindicadores!M$7),IF(AND($J94="PONTUAL",MONTH($O94)=MONTH(BD$4)),AP94*(1+Macroindicadores!M$7),IF(AND($J94="PONTUAL",MONTH($O94)&lt;MONTH(BD$4)),MIN($AS94:BC94),IF(AND($I94="NOVO",MONTH($O94)&gt;MONTH(BD$4)),AP94,IF(MONTH($O94)&gt;MONTH(BD$4),AP94,IF(MONTH($O94)=MONTH(BD$4),AP94*(1+Macroindicadores!M$7),BC94)))))))))</f>
        <v>15.767392435726348</v>
      </c>
      <c r="BE94" s="118">
        <f t="shared" si="50"/>
        <v>189.20870922871617</v>
      </c>
      <c r="BF94" s="108"/>
      <c r="BG94" s="117">
        <f>IF(ISBLANK(Q94),"",AS94/Macroindicadores!B$2)</f>
        <v>2.6815293258038007</v>
      </c>
      <c r="BH94" s="117">
        <f>IF(ISBLANK(R94),"",AT94/Macroindicadores!C$2)</f>
        <v>2.6815293258038007</v>
      </c>
      <c r="BI94" s="117">
        <f>IF(ISBLANK(S94),"",AU94/Macroindicadores!D$2)</f>
        <v>2.6815293258038007</v>
      </c>
      <c r="BJ94" s="117">
        <f>IF(ISBLANK(T94),"",AV94/Macroindicadores!E$2)</f>
        <v>2.6815293258038007</v>
      </c>
      <c r="BK94" s="117">
        <f>IF(ISBLANK(U94),"",AW94/Macroindicadores!F$2)</f>
        <v>2.6815293258038007</v>
      </c>
      <c r="BL94" s="117">
        <f>IF(ISBLANK(V94),"",AX94/Macroindicadores!G$2)</f>
        <v>2.6815293258038007</v>
      </c>
      <c r="BM94" s="117">
        <f>IF(ISBLANK(W94),"",AY94/Macroindicadores!H$2)</f>
        <v>2.6815293258038007</v>
      </c>
      <c r="BN94" s="117">
        <f>IF(ISBLANK(X94),"",AZ94/Macroindicadores!I$2)</f>
        <v>2.6815293258038007</v>
      </c>
      <c r="BO94" s="117">
        <f>IF(ISBLANK(Y94),"",BA94/Macroindicadores!J$2)</f>
        <v>2.6815293258038007</v>
      </c>
      <c r="BP94" s="117">
        <f>IF(ISBLANK(Z94),"",BB94/Macroindicadores!K$2)</f>
        <v>2.6815293258038007</v>
      </c>
      <c r="BQ94" s="117">
        <f>IF(ISBLANK(AA94),"",BC94/Macroindicadores!L$2)</f>
        <v>2.6815293258038007</v>
      </c>
      <c r="BR94" s="117">
        <f>IF(ISBLANK(AB94),"",BD94/Macroindicadores!M$2)</f>
        <v>2.6815293258038007</v>
      </c>
      <c r="BS94" s="118">
        <f>IF(AND(ISBLANK($Q94),ISBLANK($R94),ISBLANK($S94),ISBLANK($T94),ISBLANK($U94),ISBLANK($V94),ISBLANK($W94),ISBLANK($X94),ISBLANK($Y94),ISBLANK($Z94),ISBLANK($AA94),ISBLANK($AB94)),"",SUM(BG94:BR94))</f>
        <v>32.178351909645606</v>
      </c>
      <c r="BT94" s="25" t="str">
        <f>IF(ISBLANK($L94),"",_xlfn.XLOOKUP($L94,'CENTRO CUSTO'!$A:$A,'CENTRO CUSTO'!$E:$E,FALSE,0))</f>
        <v>Custo Fixo</v>
      </c>
    </row>
    <row r="95" spans="1:72">
      <c r="A95" s="9" t="str">
        <f t="shared" si="52"/>
        <v>Budget</v>
      </c>
      <c r="B95" s="9">
        <f t="shared" si="66"/>
        <v>2026</v>
      </c>
      <c r="C95" s="111" t="str">
        <f>IF(ISBLANK($L95),"",_xlfn.XLOOKUP($L95,'CENTRO CUSTO'!$A:$A,'CENTRO CUSTO'!F:F,FALSE,0))</f>
        <v>Martini Meat</v>
      </c>
      <c r="D95" s="111" t="str">
        <f>IF(ISBLANK($L95),"",_xlfn.XLOOKUP($L95,'CENTRO CUSTO'!$A:$A,'CENTRO CUSTO'!G:G,FALSE,0))</f>
        <v>Paranaguá</v>
      </c>
      <c r="E95" s="111" t="str">
        <f>IF(ISBLANK($L95),"",_xlfn.XLOOKUP($L95,'CENTRO CUSTO'!$A:$A,'CENTRO CUSTO'!H:H,FALSE,0))</f>
        <v>Carga Geral</v>
      </c>
      <c r="F95" s="112" t="s">
        <v>134</v>
      </c>
      <c r="G95" s="112" t="s">
        <v>123</v>
      </c>
      <c r="H95" s="112" t="s">
        <v>135</v>
      </c>
      <c r="I95" s="113" t="s">
        <v>77</v>
      </c>
      <c r="J95" s="113" t="s">
        <v>78</v>
      </c>
      <c r="K95" s="113" t="s">
        <v>79</v>
      </c>
      <c r="L95" s="113" t="s">
        <v>12</v>
      </c>
      <c r="M95" s="111" t="str">
        <f>IF(ISBLANK($L95),"",_xlfn.XLOOKUP($L95,'CENTRO CUSTO'!$A:$A,'CENTRO CUSTO'!D:D,FALSE,0))</f>
        <v>Alexandre Ayabe</v>
      </c>
      <c r="N95" s="113" t="s">
        <v>132</v>
      </c>
      <c r="O95" s="114">
        <v>46023</v>
      </c>
      <c r="P95" s="113" t="s">
        <v>81</v>
      </c>
      <c r="Q95" s="115">
        <f>780000*Rateio!$E$365/12</f>
        <v>3250</v>
      </c>
      <c r="R95" s="115">
        <f>780000*Rateio!$E$365/12</f>
        <v>3250</v>
      </c>
      <c r="S95" s="115">
        <f>780000*Rateio!$E$365/12</f>
        <v>3250</v>
      </c>
      <c r="T95" s="115">
        <f>780000*Rateio!$E$365/12</f>
        <v>3250</v>
      </c>
      <c r="U95" s="115">
        <f>780000*Rateio!$E$365/12</f>
        <v>3250</v>
      </c>
      <c r="V95" s="115">
        <f>780000*Rateio!$E$365/12</f>
        <v>3250</v>
      </c>
      <c r="W95" s="115">
        <f>780000*Rateio!$E$365/12</f>
        <v>3250</v>
      </c>
      <c r="X95" s="115">
        <f>780000*Rateio!$E$365/12</f>
        <v>3250</v>
      </c>
      <c r="Y95" s="115">
        <f>780000*Rateio!$E$365/12</f>
        <v>3250</v>
      </c>
      <c r="Z95" s="115">
        <f>780000*Rateio!$E$365/12</f>
        <v>3250</v>
      </c>
      <c r="AA95" s="115">
        <f>780000*Rateio!$E$365/12</f>
        <v>3250</v>
      </c>
      <c r="AB95" s="115">
        <f>780000*Rateio!$E$365/12</f>
        <v>3250</v>
      </c>
      <c r="AC95" s="116">
        <f t="shared" si="53"/>
        <v>39000</v>
      </c>
      <c r="AD95" s="108"/>
      <c r="AE95" s="117">
        <f>IF(ISBLANK(Q95),"",IF($P95="BRL",Q95,Q95*Macroindicadores!B$2)/1000)</f>
        <v>3.25</v>
      </c>
      <c r="AF95" s="117">
        <f>IF(ISBLANK(R95),"",IF($P95="BRL",R95,R95*Macroindicadores!C$2)/1000)</f>
        <v>3.25</v>
      </c>
      <c r="AG95" s="117">
        <f>IF(ISBLANK(S95),"",IF($P95="BRL",S95,S95*Macroindicadores!D$2)/1000)</f>
        <v>3.25</v>
      </c>
      <c r="AH95" s="117">
        <f>IF(ISBLANK(T95),"",IF($P95="BRL",T95,T95*Macroindicadores!E$2)/1000)</f>
        <v>3.25</v>
      </c>
      <c r="AI95" s="117">
        <f>IF(ISBLANK(U95),"",IF($P95="BRL",U95,U95*Macroindicadores!F$2)/1000)</f>
        <v>3.25</v>
      </c>
      <c r="AJ95" s="117">
        <f>IF(ISBLANK(V95),"",IF($P95="BRL",V95,V95*Macroindicadores!G$2)/1000)</f>
        <v>3.25</v>
      </c>
      <c r="AK95" s="117">
        <f>IF(ISBLANK(W95),"",IF($P95="BRL",W95,W95*Macroindicadores!H$2)/1000)</f>
        <v>3.25</v>
      </c>
      <c r="AL95" s="117">
        <f>IF(ISBLANK(X95),"",IF($P95="BRL",X95,X95*Macroindicadores!I$2)/1000)</f>
        <v>3.25</v>
      </c>
      <c r="AM95" s="117">
        <f>IF(ISBLANK(Y95),"",IF($P95="BRL",Y95,Y95*Macroindicadores!J$2)/1000)</f>
        <v>3.25</v>
      </c>
      <c r="AN95" s="117">
        <f>IF(ISBLANK(Z95),"",IF($P95="BRL",Z95,Z95*Macroindicadores!K$2)/1000)</f>
        <v>3.25</v>
      </c>
      <c r="AO95" s="117">
        <f>IF(ISBLANK(AA95),"",IF($P95="BRL",AA95,AA95*Macroindicadores!L$2)/1000)</f>
        <v>3.25</v>
      </c>
      <c r="AP95" s="117">
        <f>IF(ISBLANK(AB95),"",IF($P95="BRL",AB95,AB95*Macroindicadores!M$2)/1000)</f>
        <v>3.25</v>
      </c>
      <c r="AQ95" s="118">
        <f t="shared" si="51"/>
        <v>39</v>
      </c>
      <c r="AR95" s="108"/>
      <c r="AS95" s="117">
        <f>IF(ISBLANK(Q95),"",IF(ISBLANK($O95),AE95,IF($J95="ANUAL",AE95*(1+Macroindicadores!B$7),IF(AND($I95="NOVO",MONTH($O95)=MONTH(AS$4)),AE95*(1+Macroindicadores!B$7),IF(AND($J95="PONTUAL",MONTH($O95)=MONTH(AS$4)),AE95*(1+Macroindicadores!B$7),IF(AND($J95="PONTUAL",MONTH($O95)&lt;MONTH(AS$4)),MIN(AR95:$AS95),IF(AND($I95="NOVO",MONTH($O95)&gt;MONTH(AS$4)),AE95,IF(MONTH($O95)&gt;MONTH(AS$4),AE95,IF(MONTH($O95)=MONTH(AS$4),AE95*(1+Macroindicadores!B$7),AR95)))))))))</f>
        <v>3.4276940077665974</v>
      </c>
      <c r="AT95" s="117">
        <f>IF(ISBLANK(R95),"",IF(ISBLANK($O95),AF95,IF($J95="ANUAL",AF95*(1+Macroindicadores!C$7),IF(AND($I95="NOVO",MONTH($O95)=MONTH(AT$4)),AF95*(1+Macroindicadores!C$7),IF(AND($J95="PONTUAL",MONTH($O95)=MONTH(AT$4)),AF95*(1+Macroindicadores!C$7),IF(AND($J95="PONTUAL",MONTH($O95)&lt;MONTH(AT$4)),MIN($AS95:AS95),IF(AND($I95="NOVO",MONTH($O95)&gt;MONTH(AT$4)),AF95,IF(MONTH($O95)&gt;MONTH(AT$4),AF95,IF(MONTH($O95)=MONTH(AT$4),AF95*(1+Macroindicadores!C$7),AS95)))))))))</f>
        <v>3.4276940077665974</v>
      </c>
      <c r="AU95" s="117">
        <f>IF(ISBLANK(S95),"",IF(ISBLANK($O95),AG95,IF($J95="ANUAL",AG95*(1+Macroindicadores!D$7),IF(AND($I95="NOVO",MONTH($O95)=MONTH(AU$4)),AG95*(1+Macroindicadores!D$7),IF(AND($J95="PONTUAL",MONTH($O95)=MONTH(AU$4)),AG95*(1+Macroindicadores!D$7),IF(AND($J95="PONTUAL",MONTH($O95)&lt;MONTH(AU$4)),MIN($AS95:AT95),IF(AND($I95="NOVO",MONTH($O95)&gt;MONTH(AU$4)),AG95,IF(MONTH($O95)&gt;MONTH(AU$4),AG95,IF(MONTH($O95)=MONTH(AU$4),AG95*(1+Macroindicadores!D$7),AT95)))))))))</f>
        <v>3.4276940077665974</v>
      </c>
      <c r="AV95" s="117">
        <f>IF(ISBLANK(T95),"",IF(ISBLANK($O95),AH95,IF($J95="ANUAL",AH95*(1+Macroindicadores!E$7),IF(AND($I95="NOVO",MONTH($O95)=MONTH(AV$4)),AH95*(1+Macroindicadores!E$7),IF(AND($J95="PONTUAL",MONTH($O95)=MONTH(AV$4)),AH95*(1+Macroindicadores!E$7),IF(AND($J95="PONTUAL",MONTH($O95)&lt;MONTH(AV$4)),MIN($AS95:AU95),IF(AND($I95="NOVO",MONTH($O95)&gt;MONTH(AV$4)),AH95,IF(MONTH($O95)&gt;MONTH(AV$4),AH95,IF(MONTH($O95)=MONTH(AV$4),AH95*(1+Macroindicadores!E$7),AU95)))))))))</f>
        <v>3.4276940077665974</v>
      </c>
      <c r="AW95" s="117">
        <f>IF(ISBLANK(U95),"",IF(ISBLANK($O95),AI95,IF($J95="ANUAL",AI95*(1+Macroindicadores!F$7),IF(AND($I95="NOVO",MONTH($O95)=MONTH(AW$4)),AI95*(1+Macroindicadores!F$7),IF(AND($J95="PONTUAL",MONTH($O95)=MONTH(AW$4)),AI95*(1+Macroindicadores!F$7),IF(AND($J95="PONTUAL",MONTH($O95)&lt;MONTH(AW$4)),MIN($AS95:AV95),IF(AND($I95="NOVO",MONTH($O95)&gt;MONTH(AW$4)),AI95,IF(MONTH($O95)&gt;MONTH(AW$4),AI95,IF(MONTH($O95)=MONTH(AW$4),AI95*(1+Macroindicadores!F$7),AV95)))))))))</f>
        <v>3.4276940077665974</v>
      </c>
      <c r="AX95" s="117">
        <f>IF(ISBLANK(V95),"",IF(ISBLANK($O95),AJ95,IF($J95="ANUAL",AJ95*(1+Macroindicadores!G$7),IF(AND($I95="NOVO",MONTH($O95)=MONTH(AX$4)),AJ95*(1+Macroindicadores!G$7),IF(AND($J95="PONTUAL",MONTH($O95)=MONTH(AX$4)),AJ95*(1+Macroindicadores!G$7),IF(AND($J95="PONTUAL",MONTH($O95)&lt;MONTH(AX$4)),MIN($AS95:AW95),IF(AND($I95="NOVO",MONTH($O95)&gt;MONTH(AX$4)),AJ95,IF(MONTH($O95)&gt;MONTH(AX$4),AJ95,IF(MONTH($O95)=MONTH(AX$4),AJ95*(1+Macroindicadores!G$7),AW95)))))))))</f>
        <v>3.4276940077665974</v>
      </c>
      <c r="AY95" s="117">
        <f>IF(ISBLANK(W95),"",IF(ISBLANK($O95),AK95,IF($J95="ANUAL",AK95*(1+Macroindicadores!H$7),IF(AND($I95="NOVO",MONTH($O95)=MONTH(AY$4)),AK95*(1+Macroindicadores!H$7),IF(AND($J95="PONTUAL",MONTH($O95)=MONTH(AY$4)),AK95*(1+Macroindicadores!H$7),IF(AND($J95="PONTUAL",MONTH($O95)&lt;MONTH(AY$4)),MIN($AS95:AX95),IF(AND($I95="NOVO",MONTH($O95)&gt;MONTH(AY$4)),AK95,IF(MONTH($O95)&gt;MONTH(AY$4),AK95,IF(MONTH($O95)=MONTH(AY$4),AK95*(1+Macroindicadores!H$7),AX95)))))))))</f>
        <v>3.4276940077665974</v>
      </c>
      <c r="AZ95" s="117">
        <f>IF(ISBLANK(X95),"",IF(ISBLANK($O95),AL95,IF($J95="ANUAL",AL95*(1+Macroindicadores!I$7),IF(AND($I95="NOVO",MONTH($O95)=MONTH(AZ$4)),AL95*(1+Macroindicadores!I$7),IF(AND($J95="PONTUAL",MONTH($O95)=MONTH(AZ$4)),AL95*(1+Macroindicadores!I$7),IF(AND($J95="PONTUAL",MONTH($O95)&lt;MONTH(AZ$4)),MIN($AS95:AY95),IF(AND($I95="NOVO",MONTH($O95)&gt;MONTH(AZ$4)),AL95,IF(MONTH($O95)&gt;MONTH(AZ$4),AL95,IF(MONTH($O95)=MONTH(AZ$4),AL95*(1+Macroindicadores!I$7),AY95)))))))))</f>
        <v>3.4276940077665974</v>
      </c>
      <c r="BA95" s="117">
        <f>IF(ISBLANK(Y95),"",IF(ISBLANK($O95),AM95,IF($J95="ANUAL",AM95*(1+Macroindicadores!J$7),IF(AND($I95="NOVO",MONTH($O95)=MONTH(BA$4)),AM95*(1+Macroindicadores!J$7),IF(AND($J95="PONTUAL",MONTH($O95)=MONTH(BA$4)),AM95*(1+Macroindicadores!J$7),IF(AND($J95="PONTUAL",MONTH($O95)&lt;MONTH(BA$4)),MIN($AS95:AZ95),IF(AND($I95="NOVO",MONTH($O95)&gt;MONTH(BA$4)),AM95,IF(MONTH($O95)&gt;MONTH(BA$4),AM95,IF(MONTH($O95)=MONTH(BA$4),AM95*(1+Macroindicadores!J$7),AZ95)))))))))</f>
        <v>3.4276940077665974</v>
      </c>
      <c r="BB95" s="117">
        <f>IF(ISBLANK(Z95),"",IF(ISBLANK($O95),AN95,IF($J95="ANUAL",AN95*(1+Macroindicadores!K$7),IF(AND($I95="NOVO",MONTH($O95)=MONTH(BB$4)),AN95*(1+Macroindicadores!K$7),IF(AND($J95="PONTUAL",MONTH($O95)=MONTH(BB$4)),AN95*(1+Macroindicadores!K$7),IF(AND($J95="PONTUAL",MONTH($O95)&lt;MONTH(BB$4)),MIN($AS95:BA95),IF(AND($I95="NOVO",MONTH($O95)&gt;MONTH(BB$4)),AN95,IF(MONTH($O95)&gt;MONTH(BB$4),AN95,IF(MONTH($O95)=MONTH(BB$4),AN95*(1+Macroindicadores!K$7),BA95)))))))))</f>
        <v>3.4276940077665974</v>
      </c>
      <c r="BC95" s="117">
        <f>IF(ISBLANK(AA95),"",IF(ISBLANK($O95),AO95,IF($J95="ANUAL",AO95*(1+Macroindicadores!L$7),IF(AND($I95="NOVO",MONTH($O95)=MONTH(BC$4)),AO95*(1+Macroindicadores!L$7),IF(AND($J95="PONTUAL",MONTH($O95)=MONTH(BC$4)),AO95*(1+Macroindicadores!L$7),IF(AND($J95="PONTUAL",MONTH($O95)&lt;MONTH(BC$4)),MIN($AS95:BB95),IF(AND($I95="NOVO",MONTH($O95)&gt;MONTH(BC$4)),AO95,IF(MONTH($O95)&gt;MONTH(BC$4),AO95,IF(MONTH($O95)=MONTH(BC$4),AO95*(1+Macroindicadores!L$7),BB95)))))))))</f>
        <v>3.4276940077665974</v>
      </c>
      <c r="BD95" s="117">
        <f>IF(ISBLANK(AB95),"",IF(ISBLANK($O95),AP95,IF($J95="ANUAL",AP95*(1+Macroindicadores!M$7),IF(AND($I95="NOVO",MONTH($O95)=MONTH(BD$4)),AP95*(1+Macroindicadores!M$7),IF(AND($J95="PONTUAL",MONTH($O95)=MONTH(BD$4)),AP95*(1+Macroindicadores!M$7),IF(AND($J95="PONTUAL",MONTH($O95)&lt;MONTH(BD$4)),MIN($AS95:BC95),IF(AND($I95="NOVO",MONTH($O95)&gt;MONTH(BD$4)),AP95,IF(MONTH($O95)&gt;MONTH(BD$4),AP95,IF(MONTH($O95)=MONTH(BD$4),AP95*(1+Macroindicadores!M$7),BC95)))))))))</f>
        <v>3.4276940077665974</v>
      </c>
      <c r="BE95" s="118">
        <f t="shared" si="50"/>
        <v>41.13232809319917</v>
      </c>
      <c r="BF95" s="108"/>
      <c r="BG95" s="117">
        <f>IF(ISBLANK(Q95),"",AS95/Macroindicadores!B$2)</f>
        <v>0.58294115778343492</v>
      </c>
      <c r="BH95" s="117">
        <f>IF(ISBLANK(R95),"",AT95/Macroindicadores!C$2)</f>
        <v>0.58294115778343492</v>
      </c>
      <c r="BI95" s="117">
        <f>IF(ISBLANK(S95),"",AU95/Macroindicadores!D$2)</f>
        <v>0.58294115778343492</v>
      </c>
      <c r="BJ95" s="117">
        <f>IF(ISBLANK(T95),"",AV95/Macroindicadores!E$2)</f>
        <v>0.58294115778343492</v>
      </c>
      <c r="BK95" s="117">
        <f>IF(ISBLANK(U95),"",AW95/Macroindicadores!F$2)</f>
        <v>0.58294115778343492</v>
      </c>
      <c r="BL95" s="117">
        <f>IF(ISBLANK(V95),"",AX95/Macroindicadores!G$2)</f>
        <v>0.58294115778343492</v>
      </c>
      <c r="BM95" s="117">
        <f>IF(ISBLANK(W95),"",AY95/Macroindicadores!H$2)</f>
        <v>0.58294115778343492</v>
      </c>
      <c r="BN95" s="117">
        <f>IF(ISBLANK(X95),"",AZ95/Macroindicadores!I$2)</f>
        <v>0.58294115778343492</v>
      </c>
      <c r="BO95" s="117">
        <f>IF(ISBLANK(Y95),"",BA95/Macroindicadores!J$2)</f>
        <v>0.58294115778343492</v>
      </c>
      <c r="BP95" s="117">
        <f>IF(ISBLANK(Z95),"",BB95/Macroindicadores!K$2)</f>
        <v>0.58294115778343492</v>
      </c>
      <c r="BQ95" s="117">
        <f>IF(ISBLANK(AA95),"",BC95/Macroindicadores!L$2)</f>
        <v>0.58294115778343492</v>
      </c>
      <c r="BR95" s="117">
        <f>IF(ISBLANK(AB95),"",BD95/Macroindicadores!M$2)</f>
        <v>0.58294115778343492</v>
      </c>
      <c r="BS95" s="118">
        <f>IF(AND(ISBLANK($Q95),ISBLANK($R95),ISBLANK($S95),ISBLANK($T95),ISBLANK($U95),ISBLANK($V95),ISBLANK($W95),ISBLANK($X95),ISBLANK($Y95),ISBLANK($Z95),ISBLANK($AA95),ISBLANK($AB95)),"",SUM(BG95:BR95))</f>
        <v>6.9952938934012208</v>
      </c>
      <c r="BT95" s="25" t="str">
        <f>IF(ISBLANK($L95),"",_xlfn.XLOOKUP($L95,'CENTRO CUSTO'!$A:$A,'CENTRO CUSTO'!$E:$E,FALSE,0))</f>
        <v>Custo Fixo</v>
      </c>
    </row>
    <row r="96" spans="1:72">
      <c r="A96" s="9" t="str">
        <f t="shared" si="52"/>
        <v>Budget</v>
      </c>
      <c r="B96" s="9">
        <f t="shared" si="66"/>
        <v>2026</v>
      </c>
      <c r="C96" s="111" t="str">
        <f>IF(ISBLANK($L96),"",_xlfn.XLOOKUP($L96,'CENTRO CUSTO'!$A:$A,'CENTRO CUSTO'!F:F,FALSE,0))</f>
        <v>Martini Meat</v>
      </c>
      <c r="D96" s="111" t="str">
        <f>IF(ISBLANK($L96),"",_xlfn.XLOOKUP($L96,'CENTRO CUSTO'!$A:$A,'CENTRO CUSTO'!G:G,FALSE,0))</f>
        <v>Itajaí</v>
      </c>
      <c r="E96" s="111" t="str">
        <f>IF(ISBLANK($L96),"",_xlfn.XLOOKUP($L96,'CENTRO CUSTO'!$A:$A,'CENTRO CUSTO'!H:H,FALSE,0))</f>
        <v>RATEIO Unidade</v>
      </c>
      <c r="F96" s="112" t="s">
        <v>134</v>
      </c>
      <c r="G96" s="112" t="s">
        <v>123</v>
      </c>
      <c r="H96" s="112" t="s">
        <v>135</v>
      </c>
      <c r="I96" s="113" t="s">
        <v>77</v>
      </c>
      <c r="J96" s="113" t="s">
        <v>78</v>
      </c>
      <c r="K96" s="113" t="s">
        <v>79</v>
      </c>
      <c r="L96" s="113" t="s">
        <v>29</v>
      </c>
      <c r="M96" s="111" t="str">
        <f>IF(ISBLANK($L96),"",_xlfn.XLOOKUP($L96,'CENTRO CUSTO'!$A:$A,'CENTRO CUSTO'!D:D,FALSE,0))</f>
        <v>Alexandre Ayabe</v>
      </c>
      <c r="N96" s="113" t="s">
        <v>132</v>
      </c>
      <c r="O96" s="114">
        <v>46023</v>
      </c>
      <c r="P96" s="113" t="s">
        <v>81</v>
      </c>
      <c r="Q96" s="115">
        <f>780000*Rateio!$E$376/12</f>
        <v>9100.0000000000018</v>
      </c>
      <c r="R96" s="115">
        <f>780000*Rateio!$E$376/12</f>
        <v>9100.0000000000018</v>
      </c>
      <c r="S96" s="115">
        <f>780000*Rateio!$E$376/12</f>
        <v>9100.0000000000018</v>
      </c>
      <c r="T96" s="115">
        <f>780000*Rateio!$E$376/12</f>
        <v>9100.0000000000018</v>
      </c>
      <c r="U96" s="115">
        <f>780000*Rateio!$E$376/12</f>
        <v>9100.0000000000018</v>
      </c>
      <c r="V96" s="115">
        <f>780000*Rateio!$E$376/12</f>
        <v>9100.0000000000018</v>
      </c>
      <c r="W96" s="115">
        <f>780000*Rateio!$E$376/12</f>
        <v>9100.0000000000018</v>
      </c>
      <c r="X96" s="115">
        <f>780000*Rateio!$E$376/12</f>
        <v>9100.0000000000018</v>
      </c>
      <c r="Y96" s="115">
        <f>780000*Rateio!$E$376/12</f>
        <v>9100.0000000000018</v>
      </c>
      <c r="Z96" s="115">
        <f>780000*Rateio!$E$376/12</f>
        <v>9100.0000000000018</v>
      </c>
      <c r="AA96" s="115">
        <f>780000*Rateio!$E$376/12</f>
        <v>9100.0000000000018</v>
      </c>
      <c r="AB96" s="115">
        <f>780000*Rateio!$E$376/12</f>
        <v>9100.0000000000018</v>
      </c>
      <c r="AC96" s="116">
        <f t="shared" si="53"/>
        <v>109200.00000000001</v>
      </c>
      <c r="AD96" s="108"/>
      <c r="AE96" s="117">
        <f>IF(ISBLANK(Q96),"",IF($P96="BRL",Q96,Q96*Macroindicadores!B$2)/1000)</f>
        <v>9.1000000000000014</v>
      </c>
      <c r="AF96" s="117">
        <f>IF(ISBLANK(R96),"",IF($P96="BRL",R96,R96*Macroindicadores!C$2)/1000)</f>
        <v>9.1000000000000014</v>
      </c>
      <c r="AG96" s="117">
        <f>IF(ISBLANK(S96),"",IF($P96="BRL",S96,S96*Macroindicadores!D$2)/1000)</f>
        <v>9.1000000000000014</v>
      </c>
      <c r="AH96" s="117">
        <f>IF(ISBLANK(T96),"",IF($P96="BRL",T96,T96*Macroindicadores!E$2)/1000)</f>
        <v>9.1000000000000014</v>
      </c>
      <c r="AI96" s="117">
        <f>IF(ISBLANK(U96),"",IF($P96="BRL",U96,U96*Macroindicadores!F$2)/1000)</f>
        <v>9.1000000000000014</v>
      </c>
      <c r="AJ96" s="117">
        <f>IF(ISBLANK(V96),"",IF($P96="BRL",V96,V96*Macroindicadores!G$2)/1000)</f>
        <v>9.1000000000000014</v>
      </c>
      <c r="AK96" s="117">
        <f>IF(ISBLANK(W96),"",IF($P96="BRL",W96,W96*Macroindicadores!H$2)/1000)</f>
        <v>9.1000000000000014</v>
      </c>
      <c r="AL96" s="117">
        <f>IF(ISBLANK(X96),"",IF($P96="BRL",X96,X96*Macroindicadores!I$2)/1000)</f>
        <v>9.1000000000000014</v>
      </c>
      <c r="AM96" s="117">
        <f>IF(ISBLANK(Y96),"",IF($P96="BRL",Y96,Y96*Macroindicadores!J$2)/1000)</f>
        <v>9.1000000000000014</v>
      </c>
      <c r="AN96" s="117">
        <f>IF(ISBLANK(Z96),"",IF($P96="BRL",Z96,Z96*Macroindicadores!K$2)/1000)</f>
        <v>9.1000000000000014</v>
      </c>
      <c r="AO96" s="117">
        <f>IF(ISBLANK(AA96),"",IF($P96="BRL",AA96,AA96*Macroindicadores!L$2)/1000)</f>
        <v>9.1000000000000014</v>
      </c>
      <c r="AP96" s="117">
        <f>IF(ISBLANK(AB96),"",IF($P96="BRL",AB96,AB96*Macroindicadores!M$2)/1000)</f>
        <v>9.1000000000000014</v>
      </c>
      <c r="AQ96" s="118">
        <f t="shared" si="51"/>
        <v>109.19999999999999</v>
      </c>
      <c r="AR96" s="108"/>
      <c r="AS96" s="117">
        <f>IF(ISBLANK(Q96),"",IF(ISBLANK($O96),AE96,IF($J96="ANUAL",AE96*(1+Macroindicadores!B$7),IF(AND($I96="NOVO",MONTH($O96)=MONTH(AS$4)),AE96*(1+Macroindicadores!B$7),IF(AND($J96="PONTUAL",MONTH($O96)=MONTH(AS$4)),AE96*(1+Macroindicadores!B$7),IF(AND($J96="PONTUAL",MONTH($O96)&lt;MONTH(AS$4)),MIN(AR96:$AS96),IF(AND($I96="NOVO",MONTH($O96)&gt;MONTH(AS$4)),AE96,IF(MONTH($O96)&gt;MONTH(AS$4),AE96,IF(MONTH($O96)=MONTH(AS$4),AE96*(1+Macroindicadores!B$7),AR96)))))))))</f>
        <v>9.5975432217464753</v>
      </c>
      <c r="AT96" s="117">
        <f>IF(ISBLANK(R96),"",IF(ISBLANK($O96),AF96,IF($J96="ANUAL",AF96*(1+Macroindicadores!C$7),IF(AND($I96="NOVO",MONTH($O96)=MONTH(AT$4)),AF96*(1+Macroindicadores!C$7),IF(AND($J96="PONTUAL",MONTH($O96)=MONTH(AT$4)),AF96*(1+Macroindicadores!C$7),IF(AND($J96="PONTUAL",MONTH($O96)&lt;MONTH(AT$4)),MIN($AS96:AS96),IF(AND($I96="NOVO",MONTH($O96)&gt;MONTH(AT$4)),AF96,IF(MONTH($O96)&gt;MONTH(AT$4),AF96,IF(MONTH($O96)=MONTH(AT$4),AF96*(1+Macroindicadores!C$7),AS96)))))))))</f>
        <v>9.5975432217464753</v>
      </c>
      <c r="AU96" s="117">
        <f>IF(ISBLANK(S96),"",IF(ISBLANK($O96),AG96,IF($J96="ANUAL",AG96*(1+Macroindicadores!D$7),IF(AND($I96="NOVO",MONTH($O96)=MONTH(AU$4)),AG96*(1+Macroindicadores!D$7),IF(AND($J96="PONTUAL",MONTH($O96)=MONTH(AU$4)),AG96*(1+Macroindicadores!D$7),IF(AND($J96="PONTUAL",MONTH($O96)&lt;MONTH(AU$4)),MIN($AS96:AT96),IF(AND($I96="NOVO",MONTH($O96)&gt;MONTH(AU$4)),AG96,IF(MONTH($O96)&gt;MONTH(AU$4),AG96,IF(MONTH($O96)=MONTH(AU$4),AG96*(1+Macroindicadores!D$7),AT96)))))))))</f>
        <v>9.5975432217464753</v>
      </c>
      <c r="AV96" s="117">
        <f>IF(ISBLANK(T96),"",IF(ISBLANK($O96),AH96,IF($J96="ANUAL",AH96*(1+Macroindicadores!E$7),IF(AND($I96="NOVO",MONTH($O96)=MONTH(AV$4)),AH96*(1+Macroindicadores!E$7),IF(AND($J96="PONTUAL",MONTH($O96)=MONTH(AV$4)),AH96*(1+Macroindicadores!E$7),IF(AND($J96="PONTUAL",MONTH($O96)&lt;MONTH(AV$4)),MIN($AS96:AU96),IF(AND($I96="NOVO",MONTH($O96)&gt;MONTH(AV$4)),AH96,IF(MONTH($O96)&gt;MONTH(AV$4),AH96,IF(MONTH($O96)=MONTH(AV$4),AH96*(1+Macroindicadores!E$7),AU96)))))))))</f>
        <v>9.5975432217464753</v>
      </c>
      <c r="AW96" s="117">
        <f>IF(ISBLANK(U96),"",IF(ISBLANK($O96),AI96,IF($J96="ANUAL",AI96*(1+Macroindicadores!F$7),IF(AND($I96="NOVO",MONTH($O96)=MONTH(AW$4)),AI96*(1+Macroindicadores!F$7),IF(AND($J96="PONTUAL",MONTH($O96)=MONTH(AW$4)),AI96*(1+Macroindicadores!F$7),IF(AND($J96="PONTUAL",MONTH($O96)&lt;MONTH(AW$4)),MIN($AS96:AV96),IF(AND($I96="NOVO",MONTH($O96)&gt;MONTH(AW$4)),AI96,IF(MONTH($O96)&gt;MONTH(AW$4),AI96,IF(MONTH($O96)=MONTH(AW$4),AI96*(1+Macroindicadores!F$7),AV96)))))))))</f>
        <v>9.5975432217464753</v>
      </c>
      <c r="AX96" s="117">
        <f>IF(ISBLANK(V96),"",IF(ISBLANK($O96),AJ96,IF($J96="ANUAL",AJ96*(1+Macroindicadores!G$7),IF(AND($I96="NOVO",MONTH($O96)=MONTH(AX$4)),AJ96*(1+Macroindicadores!G$7),IF(AND($J96="PONTUAL",MONTH($O96)=MONTH(AX$4)),AJ96*(1+Macroindicadores!G$7),IF(AND($J96="PONTUAL",MONTH($O96)&lt;MONTH(AX$4)),MIN($AS96:AW96),IF(AND($I96="NOVO",MONTH($O96)&gt;MONTH(AX$4)),AJ96,IF(MONTH($O96)&gt;MONTH(AX$4),AJ96,IF(MONTH($O96)=MONTH(AX$4),AJ96*(1+Macroindicadores!G$7),AW96)))))))))</f>
        <v>9.5975432217464753</v>
      </c>
      <c r="AY96" s="117">
        <f>IF(ISBLANK(W96),"",IF(ISBLANK($O96),AK96,IF($J96="ANUAL",AK96*(1+Macroindicadores!H$7),IF(AND($I96="NOVO",MONTH($O96)=MONTH(AY$4)),AK96*(1+Macroindicadores!H$7),IF(AND($J96="PONTUAL",MONTH($O96)=MONTH(AY$4)),AK96*(1+Macroindicadores!H$7),IF(AND($J96="PONTUAL",MONTH($O96)&lt;MONTH(AY$4)),MIN($AS96:AX96),IF(AND($I96="NOVO",MONTH($O96)&gt;MONTH(AY$4)),AK96,IF(MONTH($O96)&gt;MONTH(AY$4),AK96,IF(MONTH($O96)=MONTH(AY$4),AK96*(1+Macroindicadores!H$7),AX96)))))))))</f>
        <v>9.5975432217464753</v>
      </c>
      <c r="AZ96" s="117">
        <f>IF(ISBLANK(X96),"",IF(ISBLANK($O96),AL96,IF($J96="ANUAL",AL96*(1+Macroindicadores!I$7),IF(AND($I96="NOVO",MONTH($O96)=MONTH(AZ$4)),AL96*(1+Macroindicadores!I$7),IF(AND($J96="PONTUAL",MONTH($O96)=MONTH(AZ$4)),AL96*(1+Macroindicadores!I$7),IF(AND($J96="PONTUAL",MONTH($O96)&lt;MONTH(AZ$4)),MIN($AS96:AY96),IF(AND($I96="NOVO",MONTH($O96)&gt;MONTH(AZ$4)),AL96,IF(MONTH($O96)&gt;MONTH(AZ$4),AL96,IF(MONTH($O96)=MONTH(AZ$4),AL96*(1+Macroindicadores!I$7),AY96)))))))))</f>
        <v>9.5975432217464753</v>
      </c>
      <c r="BA96" s="117">
        <f>IF(ISBLANK(Y96),"",IF(ISBLANK($O96),AM96,IF($J96="ANUAL",AM96*(1+Macroindicadores!J$7),IF(AND($I96="NOVO",MONTH($O96)=MONTH(BA$4)),AM96*(1+Macroindicadores!J$7),IF(AND($J96="PONTUAL",MONTH($O96)=MONTH(BA$4)),AM96*(1+Macroindicadores!J$7),IF(AND($J96="PONTUAL",MONTH($O96)&lt;MONTH(BA$4)),MIN($AS96:AZ96),IF(AND($I96="NOVO",MONTH($O96)&gt;MONTH(BA$4)),AM96,IF(MONTH($O96)&gt;MONTH(BA$4),AM96,IF(MONTH($O96)=MONTH(BA$4),AM96*(1+Macroindicadores!J$7),AZ96)))))))))</f>
        <v>9.5975432217464753</v>
      </c>
      <c r="BB96" s="117">
        <f>IF(ISBLANK(Z96),"",IF(ISBLANK($O96),AN96,IF($J96="ANUAL",AN96*(1+Macroindicadores!K$7),IF(AND($I96="NOVO",MONTH($O96)=MONTH(BB$4)),AN96*(1+Macroindicadores!K$7),IF(AND($J96="PONTUAL",MONTH($O96)=MONTH(BB$4)),AN96*(1+Macroindicadores!K$7),IF(AND($J96="PONTUAL",MONTH($O96)&lt;MONTH(BB$4)),MIN($AS96:BA96),IF(AND($I96="NOVO",MONTH($O96)&gt;MONTH(BB$4)),AN96,IF(MONTH($O96)&gt;MONTH(BB$4),AN96,IF(MONTH($O96)=MONTH(BB$4),AN96*(1+Macroindicadores!K$7),BA96)))))))))</f>
        <v>9.5975432217464753</v>
      </c>
      <c r="BC96" s="117">
        <f>IF(ISBLANK(AA96),"",IF(ISBLANK($O96),AO96,IF($J96="ANUAL",AO96*(1+Macroindicadores!L$7),IF(AND($I96="NOVO",MONTH($O96)=MONTH(BC$4)),AO96*(1+Macroindicadores!L$7),IF(AND($J96="PONTUAL",MONTH($O96)=MONTH(BC$4)),AO96*(1+Macroindicadores!L$7),IF(AND($J96="PONTUAL",MONTH($O96)&lt;MONTH(BC$4)),MIN($AS96:BB96),IF(AND($I96="NOVO",MONTH($O96)&gt;MONTH(BC$4)),AO96,IF(MONTH($O96)&gt;MONTH(BC$4),AO96,IF(MONTH($O96)=MONTH(BC$4),AO96*(1+Macroindicadores!L$7),BB96)))))))))</f>
        <v>9.5975432217464753</v>
      </c>
      <c r="BD96" s="117">
        <f>IF(ISBLANK(AB96),"",IF(ISBLANK($O96),AP96,IF($J96="ANUAL",AP96*(1+Macroindicadores!M$7),IF(AND($I96="NOVO",MONTH($O96)=MONTH(BD$4)),AP96*(1+Macroindicadores!M$7),IF(AND($J96="PONTUAL",MONTH($O96)=MONTH(BD$4)),AP96*(1+Macroindicadores!M$7),IF(AND($J96="PONTUAL",MONTH($O96)&lt;MONTH(BD$4)),MIN($AS96:BC96),IF(AND($I96="NOVO",MONTH($O96)&gt;MONTH(BD$4)),AP96,IF(MONTH($O96)&gt;MONTH(BD$4),AP96,IF(MONTH($O96)=MONTH(BD$4),AP96*(1+Macroindicadores!M$7),BC96)))))))))</f>
        <v>9.5975432217464753</v>
      </c>
      <c r="BE96" s="118">
        <f t="shared" si="50"/>
        <v>115.17051866095771</v>
      </c>
      <c r="BF96" s="108"/>
      <c r="BG96" s="117">
        <f>IF(ISBLANK(Q96),"",AS96/Macroindicadores!B$2)</f>
        <v>1.6322352417936183</v>
      </c>
      <c r="BH96" s="117">
        <f>IF(ISBLANK(R96),"",AT96/Macroindicadores!C$2)</f>
        <v>1.6322352417936183</v>
      </c>
      <c r="BI96" s="117">
        <f>IF(ISBLANK(S96),"",AU96/Macroindicadores!D$2)</f>
        <v>1.6322352417936183</v>
      </c>
      <c r="BJ96" s="117">
        <f>IF(ISBLANK(T96),"",AV96/Macroindicadores!E$2)</f>
        <v>1.6322352417936183</v>
      </c>
      <c r="BK96" s="117">
        <f>IF(ISBLANK(U96),"",AW96/Macroindicadores!F$2)</f>
        <v>1.6322352417936183</v>
      </c>
      <c r="BL96" s="117">
        <f>IF(ISBLANK(V96),"",AX96/Macroindicadores!G$2)</f>
        <v>1.6322352417936183</v>
      </c>
      <c r="BM96" s="117">
        <f>IF(ISBLANK(W96),"",AY96/Macroindicadores!H$2)</f>
        <v>1.6322352417936183</v>
      </c>
      <c r="BN96" s="117">
        <f>IF(ISBLANK(X96),"",AZ96/Macroindicadores!I$2)</f>
        <v>1.6322352417936183</v>
      </c>
      <c r="BO96" s="117">
        <f>IF(ISBLANK(Y96),"",BA96/Macroindicadores!J$2)</f>
        <v>1.6322352417936183</v>
      </c>
      <c r="BP96" s="117">
        <f>IF(ISBLANK(Z96),"",BB96/Macroindicadores!K$2)</f>
        <v>1.6322352417936183</v>
      </c>
      <c r="BQ96" s="117">
        <f>IF(ISBLANK(AA96),"",BC96/Macroindicadores!L$2)</f>
        <v>1.6322352417936183</v>
      </c>
      <c r="BR96" s="117">
        <f>IF(ISBLANK(AB96),"",BD96/Macroindicadores!M$2)</f>
        <v>1.6322352417936183</v>
      </c>
      <c r="BS96" s="118">
        <f>IF(AND(ISBLANK($Q96),ISBLANK($R96),ISBLANK($S96),ISBLANK($T96),ISBLANK($U96),ISBLANK($V96),ISBLANK($W96),ISBLANK($X96),ISBLANK($Y96),ISBLANK($Z96),ISBLANK($AA96),ISBLANK($AB96)),"",SUM(BG96:BR96))</f>
        <v>19.586822901523419</v>
      </c>
      <c r="BT96" s="25" t="str">
        <f>IF(ISBLANK($L96),"",_xlfn.XLOOKUP($L96,'CENTRO CUSTO'!$A:$A,'CENTRO CUSTO'!$E:$E,FALSE,0))</f>
        <v>Custo Fixo</v>
      </c>
    </row>
    <row r="97" spans="1:72">
      <c r="A97" s="9" t="str">
        <f t="shared" si="52"/>
        <v>Budget</v>
      </c>
      <c r="B97" s="9">
        <f t="shared" si="66"/>
        <v>2026</v>
      </c>
      <c r="C97" s="111" t="str">
        <f>IF(ISBLANK($L97),"",_xlfn.XLOOKUP($L97,'CENTRO CUSTO'!$A:$A,'CENTRO CUSTO'!F:F,FALSE,0))</f>
        <v>Martini Meat</v>
      </c>
      <c r="D97" s="111" t="str">
        <f>IF(ISBLANK($L97),"",_xlfn.XLOOKUP($L97,'CENTRO CUSTO'!$A:$A,'CENTRO CUSTO'!G:G,FALSE,0))</f>
        <v>Rio Grande</v>
      </c>
      <c r="E97" s="111" t="str">
        <f>IF(ISBLANK($L97),"",_xlfn.XLOOKUP($L97,'CENTRO CUSTO'!$A:$A,'CENTRO CUSTO'!H:H,FALSE,0))</f>
        <v>RATEIO Unidade</v>
      </c>
      <c r="F97" s="112" t="s">
        <v>134</v>
      </c>
      <c r="G97" s="112" t="s">
        <v>123</v>
      </c>
      <c r="H97" s="112" t="s">
        <v>135</v>
      </c>
      <c r="I97" s="113" t="s">
        <v>77</v>
      </c>
      <c r="J97" s="113" t="s">
        <v>78</v>
      </c>
      <c r="K97" s="113" t="s">
        <v>79</v>
      </c>
      <c r="L97" s="113" t="s">
        <v>23</v>
      </c>
      <c r="M97" s="111" t="str">
        <f>IF(ISBLANK($L97),"",_xlfn.XLOOKUP($L97,'CENTRO CUSTO'!$A:$A,'CENTRO CUSTO'!D:D,FALSE,0))</f>
        <v>Alexandre Ayabe</v>
      </c>
      <c r="N97" s="113" t="s">
        <v>132</v>
      </c>
      <c r="O97" s="114">
        <v>46023</v>
      </c>
      <c r="P97" s="113" t="s">
        <v>81</v>
      </c>
      <c r="Q97" s="115">
        <f>780000*Rateio!$E$371/12</f>
        <v>5850</v>
      </c>
      <c r="R97" s="115">
        <f>780000*Rateio!$E$371/12</f>
        <v>5850</v>
      </c>
      <c r="S97" s="115">
        <f>780000*Rateio!$E$371/12</f>
        <v>5850</v>
      </c>
      <c r="T97" s="115">
        <f>780000*Rateio!$E$371/12</f>
        <v>5850</v>
      </c>
      <c r="U97" s="115">
        <f>780000*Rateio!$E$371/12</f>
        <v>5850</v>
      </c>
      <c r="V97" s="115">
        <f>780000*Rateio!$E$371/12</f>
        <v>5850</v>
      </c>
      <c r="W97" s="115">
        <f>780000*Rateio!$E$371/12</f>
        <v>5850</v>
      </c>
      <c r="X97" s="115">
        <f>780000*Rateio!$E$371/12</f>
        <v>5850</v>
      </c>
      <c r="Y97" s="115">
        <f>780000*Rateio!$E$371/12</f>
        <v>5850</v>
      </c>
      <c r="Z97" s="115">
        <f>780000*Rateio!$E$371/12</f>
        <v>5850</v>
      </c>
      <c r="AA97" s="115">
        <f>780000*Rateio!$E$371/12</f>
        <v>5850</v>
      </c>
      <c r="AB97" s="115">
        <f>780000*Rateio!$E$371/12</f>
        <v>5850</v>
      </c>
      <c r="AC97" s="116">
        <f t="shared" si="53"/>
        <v>70200</v>
      </c>
      <c r="AD97" s="108"/>
      <c r="AE97" s="117">
        <f>IF(ISBLANK(Q97),"",IF($P97="BRL",Q97,Q97*Macroindicadores!B$2)/1000)</f>
        <v>5.85</v>
      </c>
      <c r="AF97" s="117">
        <f>IF(ISBLANK(R97),"",IF($P97="BRL",R97,R97*Macroindicadores!C$2)/1000)</f>
        <v>5.85</v>
      </c>
      <c r="AG97" s="117">
        <f>IF(ISBLANK(S97),"",IF($P97="BRL",S97,S97*Macroindicadores!D$2)/1000)</f>
        <v>5.85</v>
      </c>
      <c r="AH97" s="117">
        <f>IF(ISBLANK(T97),"",IF($P97="BRL",T97,T97*Macroindicadores!E$2)/1000)</f>
        <v>5.85</v>
      </c>
      <c r="AI97" s="117">
        <f>IF(ISBLANK(U97),"",IF($P97="BRL",U97,U97*Macroindicadores!F$2)/1000)</f>
        <v>5.85</v>
      </c>
      <c r="AJ97" s="117">
        <f>IF(ISBLANK(V97),"",IF($P97="BRL",V97,V97*Macroindicadores!G$2)/1000)</f>
        <v>5.85</v>
      </c>
      <c r="AK97" s="117">
        <f>IF(ISBLANK(W97),"",IF($P97="BRL",W97,W97*Macroindicadores!H$2)/1000)</f>
        <v>5.85</v>
      </c>
      <c r="AL97" s="117">
        <f>IF(ISBLANK(X97),"",IF($P97="BRL",X97,X97*Macroindicadores!I$2)/1000)</f>
        <v>5.85</v>
      </c>
      <c r="AM97" s="117">
        <f>IF(ISBLANK(Y97),"",IF($P97="BRL",Y97,Y97*Macroindicadores!J$2)/1000)</f>
        <v>5.85</v>
      </c>
      <c r="AN97" s="117">
        <f>IF(ISBLANK(Z97),"",IF($P97="BRL",Z97,Z97*Macroindicadores!K$2)/1000)</f>
        <v>5.85</v>
      </c>
      <c r="AO97" s="117">
        <f>IF(ISBLANK(AA97),"",IF($P97="BRL",AA97,AA97*Macroindicadores!L$2)/1000)</f>
        <v>5.85</v>
      </c>
      <c r="AP97" s="117">
        <f>IF(ISBLANK(AB97),"",IF($P97="BRL",AB97,AB97*Macroindicadores!M$2)/1000)</f>
        <v>5.85</v>
      </c>
      <c r="AQ97" s="118">
        <f t="shared" si="51"/>
        <v>70.2</v>
      </c>
      <c r="AR97" s="108"/>
      <c r="AS97" s="117">
        <f>IF(ISBLANK(Q97),"",IF(ISBLANK($O97),AE97,IF($J97="ANUAL",AE97*(1+Macroindicadores!B$7),IF(AND($I97="NOVO",MONTH($O97)=MONTH(AS$4)),AE97*(1+Macroindicadores!B$7),IF(AND($J97="PONTUAL",MONTH($O97)=MONTH(AS$4)),AE97*(1+Macroindicadores!B$7),IF(AND($J97="PONTUAL",MONTH($O97)&lt;MONTH(AS$4)),MIN(AR97:$AS97),IF(AND($I97="NOVO",MONTH($O97)&gt;MONTH(AS$4)),AE97,IF(MONTH($O97)&gt;MONTH(AS$4),AE97,IF(MONTH($O97)=MONTH(AS$4),AE97*(1+Macroindicadores!B$7),AR97)))))))))</f>
        <v>6.1698492139798748</v>
      </c>
      <c r="AT97" s="117">
        <f>IF(ISBLANK(R97),"",IF(ISBLANK($O97),AF97,IF($J97="ANUAL",AF97*(1+Macroindicadores!C$7),IF(AND($I97="NOVO",MONTH($O97)=MONTH(AT$4)),AF97*(1+Macroindicadores!C$7),IF(AND($J97="PONTUAL",MONTH($O97)=MONTH(AT$4)),AF97*(1+Macroindicadores!C$7),IF(AND($J97="PONTUAL",MONTH($O97)&lt;MONTH(AT$4)),MIN($AS97:AS97),IF(AND($I97="NOVO",MONTH($O97)&gt;MONTH(AT$4)),AF97,IF(MONTH($O97)&gt;MONTH(AT$4),AF97,IF(MONTH($O97)=MONTH(AT$4),AF97*(1+Macroindicadores!C$7),AS97)))))))))</f>
        <v>6.1698492139798748</v>
      </c>
      <c r="AU97" s="117">
        <f>IF(ISBLANK(S97),"",IF(ISBLANK($O97),AG97,IF($J97="ANUAL",AG97*(1+Macroindicadores!D$7),IF(AND($I97="NOVO",MONTH($O97)=MONTH(AU$4)),AG97*(1+Macroindicadores!D$7),IF(AND($J97="PONTUAL",MONTH($O97)=MONTH(AU$4)),AG97*(1+Macroindicadores!D$7),IF(AND($J97="PONTUAL",MONTH($O97)&lt;MONTH(AU$4)),MIN($AS97:AT97),IF(AND($I97="NOVO",MONTH($O97)&gt;MONTH(AU$4)),AG97,IF(MONTH($O97)&gt;MONTH(AU$4),AG97,IF(MONTH($O97)=MONTH(AU$4),AG97*(1+Macroindicadores!D$7),AT97)))))))))</f>
        <v>6.1698492139798748</v>
      </c>
      <c r="AV97" s="117">
        <f>IF(ISBLANK(T97),"",IF(ISBLANK($O97),AH97,IF($J97="ANUAL",AH97*(1+Macroindicadores!E$7),IF(AND($I97="NOVO",MONTH($O97)=MONTH(AV$4)),AH97*(1+Macroindicadores!E$7),IF(AND($J97="PONTUAL",MONTH($O97)=MONTH(AV$4)),AH97*(1+Macroindicadores!E$7),IF(AND($J97="PONTUAL",MONTH($O97)&lt;MONTH(AV$4)),MIN($AS97:AU97),IF(AND($I97="NOVO",MONTH($O97)&gt;MONTH(AV$4)),AH97,IF(MONTH($O97)&gt;MONTH(AV$4),AH97,IF(MONTH($O97)=MONTH(AV$4),AH97*(1+Macroindicadores!E$7),AU97)))))))))</f>
        <v>6.1698492139798748</v>
      </c>
      <c r="AW97" s="117">
        <f>IF(ISBLANK(U97),"",IF(ISBLANK($O97),AI97,IF($J97="ANUAL",AI97*(1+Macroindicadores!F$7),IF(AND($I97="NOVO",MONTH($O97)=MONTH(AW$4)),AI97*(1+Macroindicadores!F$7),IF(AND($J97="PONTUAL",MONTH($O97)=MONTH(AW$4)),AI97*(1+Macroindicadores!F$7),IF(AND($J97="PONTUAL",MONTH($O97)&lt;MONTH(AW$4)),MIN($AS97:AV97),IF(AND($I97="NOVO",MONTH($O97)&gt;MONTH(AW$4)),AI97,IF(MONTH($O97)&gt;MONTH(AW$4),AI97,IF(MONTH($O97)=MONTH(AW$4),AI97*(1+Macroindicadores!F$7),AV97)))))))))</f>
        <v>6.1698492139798748</v>
      </c>
      <c r="AX97" s="117">
        <f>IF(ISBLANK(V97),"",IF(ISBLANK($O97),AJ97,IF($J97="ANUAL",AJ97*(1+Macroindicadores!G$7),IF(AND($I97="NOVO",MONTH($O97)=MONTH(AX$4)),AJ97*(1+Macroindicadores!G$7),IF(AND($J97="PONTUAL",MONTH($O97)=MONTH(AX$4)),AJ97*(1+Macroindicadores!G$7),IF(AND($J97="PONTUAL",MONTH($O97)&lt;MONTH(AX$4)),MIN($AS97:AW97),IF(AND($I97="NOVO",MONTH($O97)&gt;MONTH(AX$4)),AJ97,IF(MONTH($O97)&gt;MONTH(AX$4),AJ97,IF(MONTH($O97)=MONTH(AX$4),AJ97*(1+Macroindicadores!G$7),AW97)))))))))</f>
        <v>6.1698492139798748</v>
      </c>
      <c r="AY97" s="117">
        <f>IF(ISBLANK(W97),"",IF(ISBLANK($O97),AK97,IF($J97="ANUAL",AK97*(1+Macroindicadores!H$7),IF(AND($I97="NOVO",MONTH($O97)=MONTH(AY$4)),AK97*(1+Macroindicadores!H$7),IF(AND($J97="PONTUAL",MONTH($O97)=MONTH(AY$4)),AK97*(1+Macroindicadores!H$7),IF(AND($J97="PONTUAL",MONTH($O97)&lt;MONTH(AY$4)),MIN($AS97:AX97),IF(AND($I97="NOVO",MONTH($O97)&gt;MONTH(AY$4)),AK97,IF(MONTH($O97)&gt;MONTH(AY$4),AK97,IF(MONTH($O97)=MONTH(AY$4),AK97*(1+Macroindicadores!H$7),AX97)))))))))</f>
        <v>6.1698492139798748</v>
      </c>
      <c r="AZ97" s="117">
        <f>IF(ISBLANK(X97),"",IF(ISBLANK($O97),AL97,IF($J97="ANUAL",AL97*(1+Macroindicadores!I$7),IF(AND($I97="NOVO",MONTH($O97)=MONTH(AZ$4)),AL97*(1+Macroindicadores!I$7),IF(AND($J97="PONTUAL",MONTH($O97)=MONTH(AZ$4)),AL97*(1+Macroindicadores!I$7),IF(AND($J97="PONTUAL",MONTH($O97)&lt;MONTH(AZ$4)),MIN($AS97:AY97),IF(AND($I97="NOVO",MONTH($O97)&gt;MONTH(AZ$4)),AL97,IF(MONTH($O97)&gt;MONTH(AZ$4),AL97,IF(MONTH($O97)=MONTH(AZ$4),AL97*(1+Macroindicadores!I$7),AY97)))))))))</f>
        <v>6.1698492139798748</v>
      </c>
      <c r="BA97" s="117">
        <f>IF(ISBLANK(Y97),"",IF(ISBLANK($O97),AM97,IF($J97="ANUAL",AM97*(1+Macroindicadores!J$7),IF(AND($I97="NOVO",MONTH($O97)=MONTH(BA$4)),AM97*(1+Macroindicadores!J$7),IF(AND($J97="PONTUAL",MONTH($O97)=MONTH(BA$4)),AM97*(1+Macroindicadores!J$7),IF(AND($J97="PONTUAL",MONTH($O97)&lt;MONTH(BA$4)),MIN($AS97:AZ97),IF(AND($I97="NOVO",MONTH($O97)&gt;MONTH(BA$4)),AM97,IF(MONTH($O97)&gt;MONTH(BA$4),AM97,IF(MONTH($O97)=MONTH(BA$4),AM97*(1+Macroindicadores!J$7),AZ97)))))))))</f>
        <v>6.1698492139798748</v>
      </c>
      <c r="BB97" s="117">
        <f>IF(ISBLANK(Z97),"",IF(ISBLANK($O97),AN97,IF($J97="ANUAL",AN97*(1+Macroindicadores!K$7),IF(AND($I97="NOVO",MONTH($O97)=MONTH(BB$4)),AN97*(1+Macroindicadores!K$7),IF(AND($J97="PONTUAL",MONTH($O97)=MONTH(BB$4)),AN97*(1+Macroindicadores!K$7),IF(AND($J97="PONTUAL",MONTH($O97)&lt;MONTH(BB$4)),MIN($AS97:BA97),IF(AND($I97="NOVO",MONTH($O97)&gt;MONTH(BB$4)),AN97,IF(MONTH($O97)&gt;MONTH(BB$4),AN97,IF(MONTH($O97)=MONTH(BB$4),AN97*(1+Macroindicadores!K$7),BA97)))))))))</f>
        <v>6.1698492139798748</v>
      </c>
      <c r="BC97" s="117">
        <f>IF(ISBLANK(AA97),"",IF(ISBLANK($O97),AO97,IF($J97="ANUAL",AO97*(1+Macroindicadores!L$7),IF(AND($I97="NOVO",MONTH($O97)=MONTH(BC$4)),AO97*(1+Macroindicadores!L$7),IF(AND($J97="PONTUAL",MONTH($O97)=MONTH(BC$4)),AO97*(1+Macroindicadores!L$7),IF(AND($J97="PONTUAL",MONTH($O97)&lt;MONTH(BC$4)),MIN($AS97:BB97),IF(AND($I97="NOVO",MONTH($O97)&gt;MONTH(BC$4)),AO97,IF(MONTH($O97)&gt;MONTH(BC$4),AO97,IF(MONTH($O97)=MONTH(BC$4),AO97*(1+Macroindicadores!L$7),BB97)))))))))</f>
        <v>6.1698492139798748</v>
      </c>
      <c r="BD97" s="117">
        <f>IF(ISBLANK(AB97),"",IF(ISBLANK($O97),AP97,IF($J97="ANUAL",AP97*(1+Macroindicadores!M$7),IF(AND($I97="NOVO",MONTH($O97)=MONTH(BD$4)),AP97*(1+Macroindicadores!M$7),IF(AND($J97="PONTUAL",MONTH($O97)=MONTH(BD$4)),AP97*(1+Macroindicadores!M$7),IF(AND($J97="PONTUAL",MONTH($O97)&lt;MONTH(BD$4)),MIN($AS97:BC97),IF(AND($I97="NOVO",MONTH($O97)&gt;MONTH(BD$4)),AP97,IF(MONTH($O97)&gt;MONTH(BD$4),AP97,IF(MONTH($O97)=MONTH(BD$4),AP97*(1+Macroindicadores!M$7),BC97)))))))))</f>
        <v>6.1698492139798748</v>
      </c>
      <c r="BE97" s="118">
        <f t="shared" si="50"/>
        <v>74.038190567758491</v>
      </c>
      <c r="BF97" s="108"/>
      <c r="BG97" s="117">
        <f>IF(ISBLANK(Q97),"",AS97/Macroindicadores!B$2)</f>
        <v>1.0492940840101828</v>
      </c>
      <c r="BH97" s="117">
        <f>IF(ISBLANK(R97),"",AT97/Macroindicadores!C$2)</f>
        <v>1.0492940840101828</v>
      </c>
      <c r="BI97" s="117">
        <f>IF(ISBLANK(S97),"",AU97/Macroindicadores!D$2)</f>
        <v>1.0492940840101828</v>
      </c>
      <c r="BJ97" s="117">
        <f>IF(ISBLANK(T97),"",AV97/Macroindicadores!E$2)</f>
        <v>1.0492940840101828</v>
      </c>
      <c r="BK97" s="117">
        <f>IF(ISBLANK(U97),"",AW97/Macroindicadores!F$2)</f>
        <v>1.0492940840101828</v>
      </c>
      <c r="BL97" s="117">
        <f>IF(ISBLANK(V97),"",AX97/Macroindicadores!G$2)</f>
        <v>1.0492940840101828</v>
      </c>
      <c r="BM97" s="117">
        <f>IF(ISBLANK(W97),"",AY97/Macroindicadores!H$2)</f>
        <v>1.0492940840101828</v>
      </c>
      <c r="BN97" s="117">
        <f>IF(ISBLANK(X97),"",AZ97/Macroindicadores!I$2)</f>
        <v>1.0492940840101828</v>
      </c>
      <c r="BO97" s="117">
        <f>IF(ISBLANK(Y97),"",BA97/Macroindicadores!J$2)</f>
        <v>1.0492940840101828</v>
      </c>
      <c r="BP97" s="117">
        <f>IF(ISBLANK(Z97),"",BB97/Macroindicadores!K$2)</f>
        <v>1.0492940840101828</v>
      </c>
      <c r="BQ97" s="117">
        <f>IF(ISBLANK(AA97),"",BC97/Macroindicadores!L$2)</f>
        <v>1.0492940840101828</v>
      </c>
      <c r="BR97" s="117">
        <f>IF(ISBLANK(AB97),"",BD97/Macroindicadores!M$2)</f>
        <v>1.0492940840101828</v>
      </c>
      <c r="BS97" s="118">
        <f>IF(AND(ISBLANK($Q97),ISBLANK($R97),ISBLANK($S97),ISBLANK($T97),ISBLANK($U97),ISBLANK($V97),ISBLANK($W97),ISBLANK($X97),ISBLANK($Y97),ISBLANK($Z97),ISBLANK($AA97),ISBLANK($AB97)),"",SUM(BG97:BR97))</f>
        <v>12.591529008122196</v>
      </c>
      <c r="BT97" s="25" t="str">
        <f>IF(ISBLANK($L97),"",_xlfn.XLOOKUP($L97,'CENTRO CUSTO'!$A:$A,'CENTRO CUSTO'!$E:$E,FALSE,0))</f>
        <v>Custo Fixo</v>
      </c>
    </row>
    <row r="98" spans="1:72">
      <c r="A98" s="9" t="str">
        <f t="shared" si="52"/>
        <v>Budget</v>
      </c>
      <c r="B98" s="9">
        <f t="shared" si="66"/>
        <v>2026</v>
      </c>
      <c r="C98" s="111" t="str">
        <f>IF(ISBLANK($L98),"",_xlfn.XLOOKUP($L98,'CENTRO CUSTO'!$A:$A,'CENTRO CUSTO'!F:F,FALSE,0))</f>
        <v>Martini Meat</v>
      </c>
      <c r="D98" s="111" t="str">
        <f>IF(ISBLANK($L98),"",_xlfn.XLOOKUP($L98,'CENTRO CUSTO'!$A:$A,'CENTRO CUSTO'!G:G,FALSE,0))</f>
        <v>Ponta Grossa</v>
      </c>
      <c r="E98" s="111" t="str">
        <f>IF(ISBLANK($L98),"",_xlfn.XLOOKUP($L98,'CENTRO CUSTO'!$A:$A,'CENTRO CUSTO'!H:H,FALSE,0))</f>
        <v>Carga Geral</v>
      </c>
      <c r="F98" s="112" t="s">
        <v>134</v>
      </c>
      <c r="G98" s="112" t="s">
        <v>123</v>
      </c>
      <c r="H98" s="112" t="s">
        <v>135</v>
      </c>
      <c r="I98" s="113" t="s">
        <v>77</v>
      </c>
      <c r="J98" s="113" t="s">
        <v>78</v>
      </c>
      <c r="K98" s="113" t="s">
        <v>79</v>
      </c>
      <c r="L98" s="113" t="s">
        <v>25</v>
      </c>
      <c r="M98" s="111" t="str">
        <f>IF(ISBLANK($L98),"",_xlfn.XLOOKUP($L98,'CENTRO CUSTO'!$A:$A,'CENTRO CUSTO'!D:D,FALSE,0))</f>
        <v>Alexandre Ayabe</v>
      </c>
      <c r="N98" s="113" t="s">
        <v>132</v>
      </c>
      <c r="O98" s="114">
        <v>46023</v>
      </c>
      <c r="P98" s="113" t="s">
        <v>81</v>
      </c>
      <c r="Q98" s="115">
        <f>780000*Rateio!$E$372/12</f>
        <v>3250</v>
      </c>
      <c r="R98" s="115">
        <f>780000*Rateio!$E$372/12</f>
        <v>3250</v>
      </c>
      <c r="S98" s="115">
        <f>780000*Rateio!$E$372/12</f>
        <v>3250</v>
      </c>
      <c r="T98" s="115">
        <f>780000*Rateio!$E$372/12</f>
        <v>3250</v>
      </c>
      <c r="U98" s="115">
        <f>780000*Rateio!$E$372/12</f>
        <v>3250</v>
      </c>
      <c r="V98" s="115">
        <f>780000*Rateio!$E$372/12</f>
        <v>3250</v>
      </c>
      <c r="W98" s="115">
        <f>780000*Rateio!$E$372/12</f>
        <v>3250</v>
      </c>
      <c r="X98" s="115">
        <f>780000*Rateio!$E$372/12</f>
        <v>3250</v>
      </c>
      <c r="Y98" s="115">
        <f>780000*Rateio!$E$372/12</f>
        <v>3250</v>
      </c>
      <c r="Z98" s="115">
        <f>780000*Rateio!$E$372/12</f>
        <v>3250</v>
      </c>
      <c r="AA98" s="115">
        <f>780000*Rateio!$E$372/12</f>
        <v>3250</v>
      </c>
      <c r="AB98" s="115">
        <f>780000*Rateio!$E$372/12</f>
        <v>3250</v>
      </c>
      <c r="AC98" s="116">
        <f t="shared" si="53"/>
        <v>39000</v>
      </c>
      <c r="AD98" s="108"/>
      <c r="AE98" s="117">
        <f>IF(ISBLANK(Q98),"",IF($P98="BRL",Q98,Q98*Macroindicadores!B$2)/1000)</f>
        <v>3.25</v>
      </c>
      <c r="AF98" s="117">
        <f>IF(ISBLANK(R98),"",IF($P98="BRL",R98,R98*Macroindicadores!C$2)/1000)</f>
        <v>3.25</v>
      </c>
      <c r="AG98" s="117">
        <f>IF(ISBLANK(S98),"",IF($P98="BRL",S98,S98*Macroindicadores!D$2)/1000)</f>
        <v>3.25</v>
      </c>
      <c r="AH98" s="117">
        <f>IF(ISBLANK(T98),"",IF($P98="BRL",T98,T98*Macroindicadores!E$2)/1000)</f>
        <v>3.25</v>
      </c>
      <c r="AI98" s="117">
        <f>IF(ISBLANK(U98),"",IF($P98="BRL",U98,U98*Macroindicadores!F$2)/1000)</f>
        <v>3.25</v>
      </c>
      <c r="AJ98" s="117">
        <f>IF(ISBLANK(V98),"",IF($P98="BRL",V98,V98*Macroindicadores!G$2)/1000)</f>
        <v>3.25</v>
      </c>
      <c r="AK98" s="117">
        <f>IF(ISBLANK(W98),"",IF($P98="BRL",W98,W98*Macroindicadores!H$2)/1000)</f>
        <v>3.25</v>
      </c>
      <c r="AL98" s="117">
        <f>IF(ISBLANK(X98),"",IF($P98="BRL",X98,X98*Macroindicadores!I$2)/1000)</f>
        <v>3.25</v>
      </c>
      <c r="AM98" s="117">
        <f>IF(ISBLANK(Y98),"",IF($P98="BRL",Y98,Y98*Macroindicadores!J$2)/1000)</f>
        <v>3.25</v>
      </c>
      <c r="AN98" s="117">
        <f>IF(ISBLANK(Z98),"",IF($P98="BRL",Z98,Z98*Macroindicadores!K$2)/1000)</f>
        <v>3.25</v>
      </c>
      <c r="AO98" s="117">
        <f>IF(ISBLANK(AA98),"",IF($P98="BRL",AA98,AA98*Macroindicadores!L$2)/1000)</f>
        <v>3.25</v>
      </c>
      <c r="AP98" s="117">
        <f>IF(ISBLANK(AB98),"",IF($P98="BRL",AB98,AB98*Macroindicadores!M$2)/1000)</f>
        <v>3.25</v>
      </c>
      <c r="AQ98" s="118">
        <f t="shared" si="51"/>
        <v>39</v>
      </c>
      <c r="AR98" s="108"/>
      <c r="AS98" s="117">
        <f>IF(ISBLANK(Q98),"",IF(ISBLANK($O98),AE98,IF($J98="ANUAL",AE98*(1+Macroindicadores!B$7),IF(AND($I98="NOVO",MONTH($O98)=MONTH(AS$4)),AE98*(1+Macroindicadores!B$7),IF(AND($J98="PONTUAL",MONTH($O98)=MONTH(AS$4)),AE98*(1+Macroindicadores!B$7),IF(AND($J98="PONTUAL",MONTH($O98)&lt;MONTH(AS$4)),MIN(AR98:$AS98),IF(AND($I98="NOVO",MONTH($O98)&gt;MONTH(AS$4)),AE98,IF(MONTH($O98)&gt;MONTH(AS$4),AE98,IF(MONTH($O98)=MONTH(AS$4),AE98*(1+Macroindicadores!B$7),AR98)))))))))</f>
        <v>3.4276940077665974</v>
      </c>
      <c r="AT98" s="117">
        <f>IF(ISBLANK(R98),"",IF(ISBLANK($O98),AF98,IF($J98="ANUAL",AF98*(1+Macroindicadores!C$7),IF(AND($I98="NOVO",MONTH($O98)=MONTH(AT$4)),AF98*(1+Macroindicadores!C$7),IF(AND($J98="PONTUAL",MONTH($O98)=MONTH(AT$4)),AF98*(1+Macroindicadores!C$7),IF(AND($J98="PONTUAL",MONTH($O98)&lt;MONTH(AT$4)),MIN($AS98:AS98),IF(AND($I98="NOVO",MONTH($O98)&gt;MONTH(AT$4)),AF98,IF(MONTH($O98)&gt;MONTH(AT$4),AF98,IF(MONTH($O98)=MONTH(AT$4),AF98*(1+Macroindicadores!C$7),AS98)))))))))</f>
        <v>3.4276940077665974</v>
      </c>
      <c r="AU98" s="117">
        <f>IF(ISBLANK(S98),"",IF(ISBLANK($O98),AG98,IF($J98="ANUAL",AG98*(1+Macroindicadores!D$7),IF(AND($I98="NOVO",MONTH($O98)=MONTH(AU$4)),AG98*(1+Macroindicadores!D$7),IF(AND($J98="PONTUAL",MONTH($O98)=MONTH(AU$4)),AG98*(1+Macroindicadores!D$7),IF(AND($J98="PONTUAL",MONTH($O98)&lt;MONTH(AU$4)),MIN($AS98:AT98),IF(AND($I98="NOVO",MONTH($O98)&gt;MONTH(AU$4)),AG98,IF(MONTH($O98)&gt;MONTH(AU$4),AG98,IF(MONTH($O98)=MONTH(AU$4),AG98*(1+Macroindicadores!D$7),AT98)))))))))</f>
        <v>3.4276940077665974</v>
      </c>
      <c r="AV98" s="117">
        <f>IF(ISBLANK(T98),"",IF(ISBLANK($O98),AH98,IF($J98="ANUAL",AH98*(1+Macroindicadores!E$7),IF(AND($I98="NOVO",MONTH($O98)=MONTH(AV$4)),AH98*(1+Macroindicadores!E$7),IF(AND($J98="PONTUAL",MONTH($O98)=MONTH(AV$4)),AH98*(1+Macroindicadores!E$7),IF(AND($J98="PONTUAL",MONTH($O98)&lt;MONTH(AV$4)),MIN($AS98:AU98),IF(AND($I98="NOVO",MONTH($O98)&gt;MONTH(AV$4)),AH98,IF(MONTH($O98)&gt;MONTH(AV$4),AH98,IF(MONTH($O98)=MONTH(AV$4),AH98*(1+Macroindicadores!E$7),AU98)))))))))</f>
        <v>3.4276940077665974</v>
      </c>
      <c r="AW98" s="117">
        <f>IF(ISBLANK(U98),"",IF(ISBLANK($O98),AI98,IF($J98="ANUAL",AI98*(1+Macroindicadores!F$7),IF(AND($I98="NOVO",MONTH($O98)=MONTH(AW$4)),AI98*(1+Macroindicadores!F$7),IF(AND($J98="PONTUAL",MONTH($O98)=MONTH(AW$4)),AI98*(1+Macroindicadores!F$7),IF(AND($J98="PONTUAL",MONTH($O98)&lt;MONTH(AW$4)),MIN($AS98:AV98),IF(AND($I98="NOVO",MONTH($O98)&gt;MONTH(AW$4)),AI98,IF(MONTH($O98)&gt;MONTH(AW$4),AI98,IF(MONTH($O98)=MONTH(AW$4),AI98*(1+Macroindicadores!F$7),AV98)))))))))</f>
        <v>3.4276940077665974</v>
      </c>
      <c r="AX98" s="117">
        <f>IF(ISBLANK(V98),"",IF(ISBLANK($O98),AJ98,IF($J98="ANUAL",AJ98*(1+Macroindicadores!G$7),IF(AND($I98="NOVO",MONTH($O98)=MONTH(AX$4)),AJ98*(1+Macroindicadores!G$7),IF(AND($J98="PONTUAL",MONTH($O98)=MONTH(AX$4)),AJ98*(1+Macroindicadores!G$7),IF(AND($J98="PONTUAL",MONTH($O98)&lt;MONTH(AX$4)),MIN($AS98:AW98),IF(AND($I98="NOVO",MONTH($O98)&gt;MONTH(AX$4)),AJ98,IF(MONTH($O98)&gt;MONTH(AX$4),AJ98,IF(MONTH($O98)=MONTH(AX$4),AJ98*(1+Macroindicadores!G$7),AW98)))))))))</f>
        <v>3.4276940077665974</v>
      </c>
      <c r="AY98" s="117">
        <f>IF(ISBLANK(W98),"",IF(ISBLANK($O98),AK98,IF($J98="ANUAL",AK98*(1+Macroindicadores!H$7),IF(AND($I98="NOVO",MONTH($O98)=MONTH(AY$4)),AK98*(1+Macroindicadores!H$7),IF(AND($J98="PONTUAL",MONTH($O98)=MONTH(AY$4)),AK98*(1+Macroindicadores!H$7),IF(AND($J98="PONTUAL",MONTH($O98)&lt;MONTH(AY$4)),MIN($AS98:AX98),IF(AND($I98="NOVO",MONTH($O98)&gt;MONTH(AY$4)),AK98,IF(MONTH($O98)&gt;MONTH(AY$4),AK98,IF(MONTH($O98)=MONTH(AY$4),AK98*(1+Macroindicadores!H$7),AX98)))))))))</f>
        <v>3.4276940077665974</v>
      </c>
      <c r="AZ98" s="117">
        <f>IF(ISBLANK(X98),"",IF(ISBLANK($O98),AL98,IF($J98="ANUAL",AL98*(1+Macroindicadores!I$7),IF(AND($I98="NOVO",MONTH($O98)=MONTH(AZ$4)),AL98*(1+Macroindicadores!I$7),IF(AND($J98="PONTUAL",MONTH($O98)=MONTH(AZ$4)),AL98*(1+Macroindicadores!I$7),IF(AND($J98="PONTUAL",MONTH($O98)&lt;MONTH(AZ$4)),MIN($AS98:AY98),IF(AND($I98="NOVO",MONTH($O98)&gt;MONTH(AZ$4)),AL98,IF(MONTH($O98)&gt;MONTH(AZ$4),AL98,IF(MONTH($O98)=MONTH(AZ$4),AL98*(1+Macroindicadores!I$7),AY98)))))))))</f>
        <v>3.4276940077665974</v>
      </c>
      <c r="BA98" s="117">
        <f>IF(ISBLANK(Y98),"",IF(ISBLANK($O98),AM98,IF($J98="ANUAL",AM98*(1+Macroindicadores!J$7),IF(AND($I98="NOVO",MONTH($O98)=MONTH(BA$4)),AM98*(1+Macroindicadores!J$7),IF(AND($J98="PONTUAL",MONTH($O98)=MONTH(BA$4)),AM98*(1+Macroindicadores!J$7),IF(AND($J98="PONTUAL",MONTH($O98)&lt;MONTH(BA$4)),MIN($AS98:AZ98),IF(AND($I98="NOVO",MONTH($O98)&gt;MONTH(BA$4)),AM98,IF(MONTH($O98)&gt;MONTH(BA$4),AM98,IF(MONTH($O98)=MONTH(BA$4),AM98*(1+Macroindicadores!J$7),AZ98)))))))))</f>
        <v>3.4276940077665974</v>
      </c>
      <c r="BB98" s="117">
        <f>IF(ISBLANK(Z98),"",IF(ISBLANK($O98),AN98,IF($J98="ANUAL",AN98*(1+Macroindicadores!K$7),IF(AND($I98="NOVO",MONTH($O98)=MONTH(BB$4)),AN98*(1+Macroindicadores!K$7),IF(AND($J98="PONTUAL",MONTH($O98)=MONTH(BB$4)),AN98*(1+Macroindicadores!K$7),IF(AND($J98="PONTUAL",MONTH($O98)&lt;MONTH(BB$4)),MIN($AS98:BA98),IF(AND($I98="NOVO",MONTH($O98)&gt;MONTH(BB$4)),AN98,IF(MONTH($O98)&gt;MONTH(BB$4),AN98,IF(MONTH($O98)=MONTH(BB$4),AN98*(1+Macroindicadores!K$7),BA98)))))))))</f>
        <v>3.4276940077665974</v>
      </c>
      <c r="BC98" s="117">
        <f>IF(ISBLANK(AA98),"",IF(ISBLANK($O98),AO98,IF($J98="ANUAL",AO98*(1+Macroindicadores!L$7),IF(AND($I98="NOVO",MONTH($O98)=MONTH(BC$4)),AO98*(1+Macroindicadores!L$7),IF(AND($J98="PONTUAL",MONTH($O98)=MONTH(BC$4)),AO98*(1+Macroindicadores!L$7),IF(AND($J98="PONTUAL",MONTH($O98)&lt;MONTH(BC$4)),MIN($AS98:BB98),IF(AND($I98="NOVO",MONTH($O98)&gt;MONTH(BC$4)),AO98,IF(MONTH($O98)&gt;MONTH(BC$4),AO98,IF(MONTH($O98)=MONTH(BC$4),AO98*(1+Macroindicadores!L$7),BB98)))))))))</f>
        <v>3.4276940077665974</v>
      </c>
      <c r="BD98" s="117">
        <f>IF(ISBLANK(AB98),"",IF(ISBLANK($O98),AP98,IF($J98="ANUAL",AP98*(1+Macroindicadores!M$7),IF(AND($I98="NOVO",MONTH($O98)=MONTH(BD$4)),AP98*(1+Macroindicadores!M$7),IF(AND($J98="PONTUAL",MONTH($O98)=MONTH(BD$4)),AP98*(1+Macroindicadores!M$7),IF(AND($J98="PONTUAL",MONTH($O98)&lt;MONTH(BD$4)),MIN($AS98:BC98),IF(AND($I98="NOVO",MONTH($O98)&gt;MONTH(BD$4)),AP98,IF(MONTH($O98)&gt;MONTH(BD$4),AP98,IF(MONTH($O98)=MONTH(BD$4),AP98*(1+Macroindicadores!M$7),BC98)))))))))</f>
        <v>3.4276940077665974</v>
      </c>
      <c r="BE98" s="118">
        <f t="shared" si="50"/>
        <v>41.13232809319917</v>
      </c>
      <c r="BF98" s="108"/>
      <c r="BG98" s="117">
        <f>IF(ISBLANK(Q98),"",AS98/Macroindicadores!B$2)</f>
        <v>0.58294115778343492</v>
      </c>
      <c r="BH98" s="117">
        <f>IF(ISBLANK(R98),"",AT98/Macroindicadores!C$2)</f>
        <v>0.58294115778343492</v>
      </c>
      <c r="BI98" s="117">
        <f>IF(ISBLANK(S98),"",AU98/Macroindicadores!D$2)</f>
        <v>0.58294115778343492</v>
      </c>
      <c r="BJ98" s="117">
        <f>IF(ISBLANK(T98),"",AV98/Macroindicadores!E$2)</f>
        <v>0.58294115778343492</v>
      </c>
      <c r="BK98" s="117">
        <f>IF(ISBLANK(U98),"",AW98/Macroindicadores!F$2)</f>
        <v>0.58294115778343492</v>
      </c>
      <c r="BL98" s="117">
        <f>IF(ISBLANK(V98),"",AX98/Macroindicadores!G$2)</f>
        <v>0.58294115778343492</v>
      </c>
      <c r="BM98" s="117">
        <f>IF(ISBLANK(W98),"",AY98/Macroindicadores!H$2)</f>
        <v>0.58294115778343492</v>
      </c>
      <c r="BN98" s="117">
        <f>IF(ISBLANK(X98),"",AZ98/Macroindicadores!I$2)</f>
        <v>0.58294115778343492</v>
      </c>
      <c r="BO98" s="117">
        <f>IF(ISBLANK(Y98),"",BA98/Macroindicadores!J$2)</f>
        <v>0.58294115778343492</v>
      </c>
      <c r="BP98" s="117">
        <f>IF(ISBLANK(Z98),"",BB98/Macroindicadores!K$2)</f>
        <v>0.58294115778343492</v>
      </c>
      <c r="BQ98" s="117">
        <f>IF(ISBLANK(AA98),"",BC98/Macroindicadores!L$2)</f>
        <v>0.58294115778343492</v>
      </c>
      <c r="BR98" s="117">
        <f>IF(ISBLANK(AB98),"",BD98/Macroindicadores!M$2)</f>
        <v>0.58294115778343492</v>
      </c>
      <c r="BS98" s="118">
        <f>IF(AND(ISBLANK($Q98),ISBLANK($R98),ISBLANK($S98),ISBLANK($T98),ISBLANK($U98),ISBLANK($V98),ISBLANK($W98),ISBLANK($X98),ISBLANK($Y98),ISBLANK($Z98),ISBLANK($AA98),ISBLANK($AB98)),"",SUM(BG98:BR98))</f>
        <v>6.9952938934012208</v>
      </c>
      <c r="BT98" s="25" t="str">
        <f>IF(ISBLANK($L98),"",_xlfn.XLOOKUP($L98,'CENTRO CUSTO'!$A:$A,'CENTRO CUSTO'!$E:$E,FALSE,0))</f>
        <v>Custo Fixo</v>
      </c>
    </row>
    <row r="99" spans="1:72">
      <c r="A99" s="9" t="str">
        <f t="shared" si="52"/>
        <v>Budget</v>
      </c>
      <c r="B99" s="9">
        <f t="shared" si="66"/>
        <v>2026</v>
      </c>
      <c r="C99" s="111" t="str">
        <f>IF(ISBLANK($L99),"",_xlfn.XLOOKUP($L99,'CENTRO CUSTO'!$A:$A,'CENTRO CUSTO'!F:F,FALSE,0))</f>
        <v>Martini Meat</v>
      </c>
      <c r="D99" s="111" t="str">
        <f>IF(ISBLANK($L99),"",_xlfn.XLOOKUP($L99,'CENTRO CUSTO'!$A:$A,'CENTRO CUSTO'!G:G,FALSE,0))</f>
        <v>Recife 2</v>
      </c>
      <c r="E99" s="111" t="str">
        <f>IF(ISBLANK($L99),"",_xlfn.XLOOKUP($L99,'CENTRO CUSTO'!$A:$A,'CENTRO CUSTO'!H:H,FALSE,0))</f>
        <v>Frigorífico</v>
      </c>
      <c r="F99" s="112" t="s">
        <v>134</v>
      </c>
      <c r="G99" s="112" t="s">
        <v>123</v>
      </c>
      <c r="H99" s="112" t="s">
        <v>135</v>
      </c>
      <c r="I99" s="113" t="s">
        <v>77</v>
      </c>
      <c r="J99" s="113" t="s">
        <v>78</v>
      </c>
      <c r="K99" s="113" t="s">
        <v>79</v>
      </c>
      <c r="L99" s="113" t="s">
        <v>31</v>
      </c>
      <c r="M99" s="111" t="str">
        <f>IF(ISBLANK($L99),"",_xlfn.XLOOKUP($L99,'CENTRO CUSTO'!$A:$A,'CENTRO CUSTO'!D:D,FALSE,0))</f>
        <v>Alexandre Ayabe</v>
      </c>
      <c r="N99" s="113" t="s">
        <v>132</v>
      </c>
      <c r="O99" s="114">
        <v>46023</v>
      </c>
      <c r="P99" s="113" t="s">
        <v>81</v>
      </c>
      <c r="Q99" s="115">
        <f>780000*Rateio!$E$379/12</f>
        <v>3250</v>
      </c>
      <c r="R99" s="115">
        <f>780000*Rateio!$E$379/12</f>
        <v>3250</v>
      </c>
      <c r="S99" s="115">
        <f>780000*Rateio!$E$379/12</f>
        <v>3250</v>
      </c>
      <c r="T99" s="115">
        <f>780000*Rateio!$E$379/12</f>
        <v>3250</v>
      </c>
      <c r="U99" s="115">
        <f>780000*Rateio!$E$379/12</f>
        <v>3250</v>
      </c>
      <c r="V99" s="115">
        <f>780000*Rateio!$E$379/12</f>
        <v>3250</v>
      </c>
      <c r="W99" s="115">
        <f>780000*Rateio!$E$379/12</f>
        <v>3250</v>
      </c>
      <c r="X99" s="115">
        <f>780000*Rateio!$E$379/12</f>
        <v>3250</v>
      </c>
      <c r="Y99" s="115">
        <f>780000*Rateio!$E$379/12</f>
        <v>3250</v>
      </c>
      <c r="Z99" s="115">
        <f>780000*Rateio!$E$379/12</f>
        <v>3250</v>
      </c>
      <c r="AA99" s="115">
        <f>780000*Rateio!$E$379/12</f>
        <v>3250</v>
      </c>
      <c r="AB99" s="115">
        <f>780000*Rateio!$E$379/12</f>
        <v>3250</v>
      </c>
      <c r="AC99" s="116">
        <f t="shared" si="53"/>
        <v>39000</v>
      </c>
      <c r="AD99" s="108"/>
      <c r="AE99" s="117">
        <f>IF(ISBLANK(Q99),"",IF($P99="BRL",Q99,Q99*Macroindicadores!B$2)/1000)</f>
        <v>3.25</v>
      </c>
      <c r="AF99" s="117">
        <f>IF(ISBLANK(R99),"",IF($P99="BRL",R99,R99*Macroindicadores!C$2)/1000)</f>
        <v>3.25</v>
      </c>
      <c r="AG99" s="117">
        <f>IF(ISBLANK(S99),"",IF($P99="BRL",S99,S99*Macroindicadores!D$2)/1000)</f>
        <v>3.25</v>
      </c>
      <c r="AH99" s="117">
        <f>IF(ISBLANK(T99),"",IF($P99="BRL",T99,T99*Macroindicadores!E$2)/1000)</f>
        <v>3.25</v>
      </c>
      <c r="AI99" s="117">
        <f>IF(ISBLANK(U99),"",IF($P99="BRL",U99,U99*Macroindicadores!F$2)/1000)</f>
        <v>3.25</v>
      </c>
      <c r="AJ99" s="117">
        <f>IF(ISBLANK(V99),"",IF($P99="BRL",V99,V99*Macroindicadores!G$2)/1000)</f>
        <v>3.25</v>
      </c>
      <c r="AK99" s="117">
        <f>IF(ISBLANK(W99),"",IF($P99="BRL",W99,W99*Macroindicadores!H$2)/1000)</f>
        <v>3.25</v>
      </c>
      <c r="AL99" s="117">
        <f>IF(ISBLANK(X99),"",IF($P99="BRL",X99,X99*Macroindicadores!I$2)/1000)</f>
        <v>3.25</v>
      </c>
      <c r="AM99" s="117">
        <f>IF(ISBLANK(Y99),"",IF($P99="BRL",Y99,Y99*Macroindicadores!J$2)/1000)</f>
        <v>3.25</v>
      </c>
      <c r="AN99" s="117">
        <f>IF(ISBLANK(Z99),"",IF($P99="BRL",Z99,Z99*Macroindicadores!K$2)/1000)</f>
        <v>3.25</v>
      </c>
      <c r="AO99" s="117">
        <f>IF(ISBLANK(AA99),"",IF($P99="BRL",AA99,AA99*Macroindicadores!L$2)/1000)</f>
        <v>3.25</v>
      </c>
      <c r="AP99" s="117">
        <f>IF(ISBLANK(AB99),"",IF($P99="BRL",AB99,AB99*Macroindicadores!M$2)/1000)</f>
        <v>3.25</v>
      </c>
      <c r="AQ99" s="118">
        <f t="shared" si="51"/>
        <v>39</v>
      </c>
      <c r="AR99" s="108"/>
      <c r="AS99" s="117">
        <f>IF(ISBLANK(Q99),"",IF(ISBLANK($O99),AE99,IF($J99="ANUAL",AE99*(1+Macroindicadores!B$7),IF(AND($I99="NOVO",MONTH($O99)=MONTH(AS$4)),AE99*(1+Macroindicadores!B$7),IF(AND($J99="PONTUAL",MONTH($O99)=MONTH(AS$4)),AE99*(1+Macroindicadores!B$7),IF(AND($J99="PONTUAL",MONTH($O99)&lt;MONTH(AS$4)),MIN(AR99:$AS99),IF(AND($I99="NOVO",MONTH($O99)&gt;MONTH(AS$4)),AE99,IF(MONTH($O99)&gt;MONTH(AS$4),AE99,IF(MONTH($O99)=MONTH(AS$4),AE99*(1+Macroindicadores!B$7),AR99)))))))))</f>
        <v>3.4276940077665974</v>
      </c>
      <c r="AT99" s="117">
        <f>IF(ISBLANK(R99),"",IF(ISBLANK($O99),AF99,IF($J99="ANUAL",AF99*(1+Macroindicadores!C$7),IF(AND($I99="NOVO",MONTH($O99)=MONTH(AT$4)),AF99*(1+Macroindicadores!C$7),IF(AND($J99="PONTUAL",MONTH($O99)=MONTH(AT$4)),AF99*(1+Macroindicadores!C$7),IF(AND($J99="PONTUAL",MONTH($O99)&lt;MONTH(AT$4)),MIN($AS99:AS99),IF(AND($I99="NOVO",MONTH($O99)&gt;MONTH(AT$4)),AF99,IF(MONTH($O99)&gt;MONTH(AT$4),AF99,IF(MONTH($O99)=MONTH(AT$4),AF99*(1+Macroindicadores!C$7),AS99)))))))))</f>
        <v>3.4276940077665974</v>
      </c>
      <c r="AU99" s="117">
        <f>IF(ISBLANK(S99),"",IF(ISBLANK($O99),AG99,IF($J99="ANUAL",AG99*(1+Macroindicadores!D$7),IF(AND($I99="NOVO",MONTH($O99)=MONTH(AU$4)),AG99*(1+Macroindicadores!D$7),IF(AND($J99="PONTUAL",MONTH($O99)=MONTH(AU$4)),AG99*(1+Macroindicadores!D$7),IF(AND($J99="PONTUAL",MONTH($O99)&lt;MONTH(AU$4)),MIN($AS99:AT99),IF(AND($I99="NOVO",MONTH($O99)&gt;MONTH(AU$4)),AG99,IF(MONTH($O99)&gt;MONTH(AU$4),AG99,IF(MONTH($O99)=MONTH(AU$4),AG99*(1+Macroindicadores!D$7),AT99)))))))))</f>
        <v>3.4276940077665974</v>
      </c>
      <c r="AV99" s="117">
        <f>IF(ISBLANK(T99),"",IF(ISBLANK($O99),AH99,IF($J99="ANUAL",AH99*(1+Macroindicadores!E$7),IF(AND($I99="NOVO",MONTH($O99)=MONTH(AV$4)),AH99*(1+Macroindicadores!E$7),IF(AND($J99="PONTUAL",MONTH($O99)=MONTH(AV$4)),AH99*(1+Macroindicadores!E$7),IF(AND($J99="PONTUAL",MONTH($O99)&lt;MONTH(AV$4)),MIN($AS99:AU99),IF(AND($I99="NOVO",MONTH($O99)&gt;MONTH(AV$4)),AH99,IF(MONTH($O99)&gt;MONTH(AV$4),AH99,IF(MONTH($O99)=MONTH(AV$4),AH99*(1+Macroindicadores!E$7),AU99)))))))))</f>
        <v>3.4276940077665974</v>
      </c>
      <c r="AW99" s="117">
        <f>IF(ISBLANK(U99),"",IF(ISBLANK($O99),AI99,IF($J99="ANUAL",AI99*(1+Macroindicadores!F$7),IF(AND($I99="NOVO",MONTH($O99)=MONTH(AW$4)),AI99*(1+Macroindicadores!F$7),IF(AND($J99="PONTUAL",MONTH($O99)=MONTH(AW$4)),AI99*(1+Macroindicadores!F$7),IF(AND($J99="PONTUAL",MONTH($O99)&lt;MONTH(AW$4)),MIN($AS99:AV99),IF(AND($I99="NOVO",MONTH($O99)&gt;MONTH(AW$4)),AI99,IF(MONTH($O99)&gt;MONTH(AW$4),AI99,IF(MONTH($O99)=MONTH(AW$4),AI99*(1+Macroindicadores!F$7),AV99)))))))))</f>
        <v>3.4276940077665974</v>
      </c>
      <c r="AX99" s="117">
        <f>IF(ISBLANK(V99),"",IF(ISBLANK($O99),AJ99,IF($J99="ANUAL",AJ99*(1+Macroindicadores!G$7),IF(AND($I99="NOVO",MONTH($O99)=MONTH(AX$4)),AJ99*(1+Macroindicadores!G$7),IF(AND($J99="PONTUAL",MONTH($O99)=MONTH(AX$4)),AJ99*(1+Macroindicadores!G$7),IF(AND($J99="PONTUAL",MONTH($O99)&lt;MONTH(AX$4)),MIN($AS99:AW99),IF(AND($I99="NOVO",MONTH($O99)&gt;MONTH(AX$4)),AJ99,IF(MONTH($O99)&gt;MONTH(AX$4),AJ99,IF(MONTH($O99)=MONTH(AX$4),AJ99*(1+Macroindicadores!G$7),AW99)))))))))</f>
        <v>3.4276940077665974</v>
      </c>
      <c r="AY99" s="117">
        <f>IF(ISBLANK(W99),"",IF(ISBLANK($O99),AK99,IF($J99="ANUAL",AK99*(1+Macroindicadores!H$7),IF(AND($I99="NOVO",MONTH($O99)=MONTH(AY$4)),AK99*(1+Macroindicadores!H$7),IF(AND($J99="PONTUAL",MONTH($O99)=MONTH(AY$4)),AK99*(1+Macroindicadores!H$7),IF(AND($J99="PONTUAL",MONTH($O99)&lt;MONTH(AY$4)),MIN($AS99:AX99),IF(AND($I99="NOVO",MONTH($O99)&gt;MONTH(AY$4)),AK99,IF(MONTH($O99)&gt;MONTH(AY$4),AK99,IF(MONTH($O99)=MONTH(AY$4),AK99*(1+Macroindicadores!H$7),AX99)))))))))</f>
        <v>3.4276940077665974</v>
      </c>
      <c r="AZ99" s="117">
        <f>IF(ISBLANK(X99),"",IF(ISBLANK($O99),AL99,IF($J99="ANUAL",AL99*(1+Macroindicadores!I$7),IF(AND($I99="NOVO",MONTH($O99)=MONTH(AZ$4)),AL99*(1+Macroindicadores!I$7),IF(AND($J99="PONTUAL",MONTH($O99)=MONTH(AZ$4)),AL99*(1+Macroindicadores!I$7),IF(AND($J99="PONTUAL",MONTH($O99)&lt;MONTH(AZ$4)),MIN($AS99:AY99),IF(AND($I99="NOVO",MONTH($O99)&gt;MONTH(AZ$4)),AL99,IF(MONTH($O99)&gt;MONTH(AZ$4),AL99,IF(MONTH($O99)=MONTH(AZ$4),AL99*(1+Macroindicadores!I$7),AY99)))))))))</f>
        <v>3.4276940077665974</v>
      </c>
      <c r="BA99" s="117">
        <f>IF(ISBLANK(Y99),"",IF(ISBLANK($O99),AM99,IF($J99="ANUAL",AM99*(1+Macroindicadores!J$7),IF(AND($I99="NOVO",MONTH($O99)=MONTH(BA$4)),AM99*(1+Macroindicadores!J$7),IF(AND($J99="PONTUAL",MONTH($O99)=MONTH(BA$4)),AM99*(1+Macroindicadores!J$7),IF(AND($J99="PONTUAL",MONTH($O99)&lt;MONTH(BA$4)),MIN($AS99:AZ99),IF(AND($I99="NOVO",MONTH($O99)&gt;MONTH(BA$4)),AM99,IF(MONTH($O99)&gt;MONTH(BA$4),AM99,IF(MONTH($O99)=MONTH(BA$4),AM99*(1+Macroindicadores!J$7),AZ99)))))))))</f>
        <v>3.4276940077665974</v>
      </c>
      <c r="BB99" s="117">
        <f>IF(ISBLANK(Z99),"",IF(ISBLANK($O99),AN99,IF($J99="ANUAL",AN99*(1+Macroindicadores!K$7),IF(AND($I99="NOVO",MONTH($O99)=MONTH(BB$4)),AN99*(1+Macroindicadores!K$7),IF(AND($J99="PONTUAL",MONTH($O99)=MONTH(BB$4)),AN99*(1+Macroindicadores!K$7),IF(AND($J99="PONTUAL",MONTH($O99)&lt;MONTH(BB$4)),MIN($AS99:BA99),IF(AND($I99="NOVO",MONTH($O99)&gt;MONTH(BB$4)),AN99,IF(MONTH($O99)&gt;MONTH(BB$4),AN99,IF(MONTH($O99)=MONTH(BB$4),AN99*(1+Macroindicadores!K$7),BA99)))))))))</f>
        <v>3.4276940077665974</v>
      </c>
      <c r="BC99" s="117">
        <f>IF(ISBLANK(AA99),"",IF(ISBLANK($O99),AO99,IF($J99="ANUAL",AO99*(1+Macroindicadores!L$7),IF(AND($I99="NOVO",MONTH($O99)=MONTH(BC$4)),AO99*(1+Macroindicadores!L$7),IF(AND($J99="PONTUAL",MONTH($O99)=MONTH(BC$4)),AO99*(1+Macroindicadores!L$7),IF(AND($J99="PONTUAL",MONTH($O99)&lt;MONTH(BC$4)),MIN($AS99:BB99),IF(AND($I99="NOVO",MONTH($O99)&gt;MONTH(BC$4)),AO99,IF(MONTH($O99)&gt;MONTH(BC$4),AO99,IF(MONTH($O99)=MONTH(BC$4),AO99*(1+Macroindicadores!L$7),BB99)))))))))</f>
        <v>3.4276940077665974</v>
      </c>
      <c r="BD99" s="117">
        <f>IF(ISBLANK(AB99),"",IF(ISBLANK($O99),AP99,IF($J99="ANUAL",AP99*(1+Macroindicadores!M$7),IF(AND($I99="NOVO",MONTH($O99)=MONTH(BD$4)),AP99*(1+Macroindicadores!M$7),IF(AND($J99="PONTUAL",MONTH($O99)=MONTH(BD$4)),AP99*(1+Macroindicadores!M$7),IF(AND($J99="PONTUAL",MONTH($O99)&lt;MONTH(BD$4)),MIN($AS99:BC99),IF(AND($I99="NOVO",MONTH($O99)&gt;MONTH(BD$4)),AP99,IF(MONTH($O99)&gt;MONTH(BD$4),AP99,IF(MONTH($O99)=MONTH(BD$4),AP99*(1+Macroindicadores!M$7),BC99)))))))))</f>
        <v>3.4276940077665974</v>
      </c>
      <c r="BE99" s="118">
        <f t="shared" si="50"/>
        <v>41.13232809319917</v>
      </c>
      <c r="BF99" s="108"/>
      <c r="BG99" s="117">
        <f>IF(ISBLANK(Q99),"",AS99/Macroindicadores!B$2)</f>
        <v>0.58294115778343492</v>
      </c>
      <c r="BH99" s="117">
        <f>IF(ISBLANK(R99),"",AT99/Macroindicadores!C$2)</f>
        <v>0.58294115778343492</v>
      </c>
      <c r="BI99" s="117">
        <f>IF(ISBLANK(S99),"",AU99/Macroindicadores!D$2)</f>
        <v>0.58294115778343492</v>
      </c>
      <c r="BJ99" s="117">
        <f>IF(ISBLANK(T99),"",AV99/Macroindicadores!E$2)</f>
        <v>0.58294115778343492</v>
      </c>
      <c r="BK99" s="117">
        <f>IF(ISBLANK(U99),"",AW99/Macroindicadores!F$2)</f>
        <v>0.58294115778343492</v>
      </c>
      <c r="BL99" s="117">
        <f>IF(ISBLANK(V99),"",AX99/Macroindicadores!G$2)</f>
        <v>0.58294115778343492</v>
      </c>
      <c r="BM99" s="117">
        <f>IF(ISBLANK(W99),"",AY99/Macroindicadores!H$2)</f>
        <v>0.58294115778343492</v>
      </c>
      <c r="BN99" s="117">
        <f>IF(ISBLANK(X99),"",AZ99/Macroindicadores!I$2)</f>
        <v>0.58294115778343492</v>
      </c>
      <c r="BO99" s="117">
        <f>IF(ISBLANK(Y99),"",BA99/Macroindicadores!J$2)</f>
        <v>0.58294115778343492</v>
      </c>
      <c r="BP99" s="117">
        <f>IF(ISBLANK(Z99),"",BB99/Macroindicadores!K$2)</f>
        <v>0.58294115778343492</v>
      </c>
      <c r="BQ99" s="117">
        <f>IF(ISBLANK(AA99),"",BC99/Macroindicadores!L$2)</f>
        <v>0.58294115778343492</v>
      </c>
      <c r="BR99" s="117">
        <f>IF(ISBLANK(AB99),"",BD99/Macroindicadores!M$2)</f>
        <v>0.58294115778343492</v>
      </c>
      <c r="BS99" s="118">
        <f>IF(AND(ISBLANK($Q99),ISBLANK($R99),ISBLANK($S99),ISBLANK($T99),ISBLANK($U99),ISBLANK($V99),ISBLANK($W99),ISBLANK($X99),ISBLANK($Y99),ISBLANK($Z99),ISBLANK($AA99),ISBLANK($AB99)),"",SUM(BG99:BR99))</f>
        <v>6.9952938934012208</v>
      </c>
      <c r="BT99" s="25" t="str">
        <f>IF(ISBLANK($L99),"",_xlfn.XLOOKUP($L99,'CENTRO CUSTO'!$A:$A,'CENTRO CUSTO'!$E:$E,FALSE,0))</f>
        <v>Custo Fixo</v>
      </c>
    </row>
    <row r="100" spans="1:72">
      <c r="A100" s="9" t="str">
        <f t="shared" si="52"/>
        <v>Budget</v>
      </c>
      <c r="B100" s="9">
        <f t="shared" si="66"/>
        <v>2026</v>
      </c>
      <c r="C100" s="111" t="str">
        <f>IF(ISBLANK($L100),"",_xlfn.XLOOKUP($L100,'CENTRO CUSTO'!$A:$A,'CENTRO CUSTO'!F:F,FALSE,0))</f>
        <v>SKM</v>
      </c>
      <c r="D100" s="111" t="str">
        <f>IF(ISBLANK($L100),"",_xlfn.XLOOKUP($L100,'CENTRO CUSTO'!$A:$A,'CENTRO CUSTO'!G:G,FALSE,0))</f>
        <v>G100B</v>
      </c>
      <c r="E100" s="111" t="str">
        <f>IF(ISBLANK($L100),"",_xlfn.XLOOKUP($L100,'CENTRO CUSTO'!$A:$A,'CENTRO CUSTO'!H:H,FALSE,0))</f>
        <v>Frigorífico</v>
      </c>
      <c r="F100" s="112" t="s">
        <v>134</v>
      </c>
      <c r="G100" s="112" t="s">
        <v>123</v>
      </c>
      <c r="H100" s="112" t="s">
        <v>135</v>
      </c>
      <c r="I100" s="113" t="s">
        <v>77</v>
      </c>
      <c r="J100" s="113" t="s">
        <v>78</v>
      </c>
      <c r="K100" s="113" t="s">
        <v>79</v>
      </c>
      <c r="L100" s="113" t="s">
        <v>48</v>
      </c>
      <c r="M100" s="111" t="str">
        <f>IF(ISBLANK($L100),"",_xlfn.XLOOKUP($L100,'CENTRO CUSTO'!$A:$A,'CENTRO CUSTO'!D:D,FALSE,0))</f>
        <v>Alexandre Ayabe</v>
      </c>
      <c r="N100" s="113" t="s">
        <v>132</v>
      </c>
      <c r="O100" s="114">
        <v>46023</v>
      </c>
      <c r="P100" s="113" t="s">
        <v>81</v>
      </c>
      <c r="Q100" s="115">
        <f>780000*Rateio!$E$385/12</f>
        <v>10400</v>
      </c>
      <c r="R100" s="115">
        <f>780000*Rateio!$E$385/12</f>
        <v>10400</v>
      </c>
      <c r="S100" s="115">
        <f>780000*Rateio!$E$385/12</f>
        <v>10400</v>
      </c>
      <c r="T100" s="115">
        <f>780000*Rateio!$E$385/12</f>
        <v>10400</v>
      </c>
      <c r="U100" s="115">
        <f>780000*Rateio!$E$385/12</f>
        <v>10400</v>
      </c>
      <c r="V100" s="115">
        <f>780000*Rateio!$E$385/12</f>
        <v>10400</v>
      </c>
      <c r="W100" s="115">
        <f>780000*Rateio!$E$385/12</f>
        <v>10400</v>
      </c>
      <c r="X100" s="115">
        <f>780000*Rateio!$E$385/12</f>
        <v>10400</v>
      </c>
      <c r="Y100" s="115">
        <f>780000*Rateio!$E$385/12</f>
        <v>10400</v>
      </c>
      <c r="Z100" s="115">
        <f>780000*Rateio!$E$385/12</f>
        <v>10400</v>
      </c>
      <c r="AA100" s="115">
        <f>780000*Rateio!$E$385/12</f>
        <v>10400</v>
      </c>
      <c r="AB100" s="115">
        <f>780000*Rateio!$E$385/12</f>
        <v>10400</v>
      </c>
      <c r="AC100" s="116">
        <f t="shared" si="53"/>
        <v>124800</v>
      </c>
      <c r="AD100" s="108"/>
      <c r="AE100" s="117">
        <f>IF(ISBLANK(Q100),"",IF($P100="BRL",Q100,Q100*Macroindicadores!B$2)/1000)</f>
        <v>10.4</v>
      </c>
      <c r="AF100" s="117">
        <f>IF(ISBLANK(R100),"",IF($P100="BRL",R100,R100*Macroindicadores!C$2)/1000)</f>
        <v>10.4</v>
      </c>
      <c r="AG100" s="117">
        <f>IF(ISBLANK(S100),"",IF($P100="BRL",S100,S100*Macroindicadores!D$2)/1000)</f>
        <v>10.4</v>
      </c>
      <c r="AH100" s="117">
        <f>IF(ISBLANK(T100),"",IF($P100="BRL",T100,T100*Macroindicadores!E$2)/1000)</f>
        <v>10.4</v>
      </c>
      <c r="AI100" s="117">
        <f>IF(ISBLANK(U100),"",IF($P100="BRL",U100,U100*Macroindicadores!F$2)/1000)</f>
        <v>10.4</v>
      </c>
      <c r="AJ100" s="117">
        <f>IF(ISBLANK(V100),"",IF($P100="BRL",V100,V100*Macroindicadores!G$2)/1000)</f>
        <v>10.4</v>
      </c>
      <c r="AK100" s="117">
        <f>IF(ISBLANK(W100),"",IF($P100="BRL",W100,W100*Macroindicadores!H$2)/1000)</f>
        <v>10.4</v>
      </c>
      <c r="AL100" s="117">
        <f>IF(ISBLANK(X100),"",IF($P100="BRL",X100,X100*Macroindicadores!I$2)/1000)</f>
        <v>10.4</v>
      </c>
      <c r="AM100" s="117">
        <f>IF(ISBLANK(Y100),"",IF($P100="BRL",Y100,Y100*Macroindicadores!J$2)/1000)</f>
        <v>10.4</v>
      </c>
      <c r="AN100" s="117">
        <f>IF(ISBLANK(Z100),"",IF($P100="BRL",Z100,Z100*Macroindicadores!K$2)/1000)</f>
        <v>10.4</v>
      </c>
      <c r="AO100" s="117">
        <f>IF(ISBLANK(AA100),"",IF($P100="BRL",AA100,AA100*Macroindicadores!L$2)/1000)</f>
        <v>10.4</v>
      </c>
      <c r="AP100" s="117">
        <f>IF(ISBLANK(AB100),"",IF($P100="BRL",AB100,AB100*Macroindicadores!M$2)/1000)</f>
        <v>10.4</v>
      </c>
      <c r="AQ100" s="118">
        <f t="shared" si="51"/>
        <v>124.80000000000003</v>
      </c>
      <c r="AR100" s="108"/>
      <c r="AS100" s="117">
        <f>IF(ISBLANK(Q100),"",IF(ISBLANK($O100),AE100,IF($J100="ANUAL",AE100*(1+Macroindicadores!B$7),IF(AND($I100="NOVO",MONTH($O100)=MONTH(AS$4)),AE100*(1+Macroindicadores!B$7),IF(AND($J100="PONTUAL",MONTH($O100)=MONTH(AS$4)),AE100*(1+Macroindicadores!B$7),IF(AND($J100="PONTUAL",MONTH($O100)&lt;MONTH(AS$4)),MIN(AR100:$AS100),IF(AND($I100="NOVO",MONTH($O100)&gt;MONTH(AS$4)),AE100,IF(MONTH($O100)&gt;MONTH(AS$4),AE100,IF(MONTH($O100)=MONTH(AS$4),AE100*(1+Macroindicadores!B$7),AR100)))))))))</f>
        <v>10.968620824853113</v>
      </c>
      <c r="AT100" s="117">
        <f>IF(ISBLANK(R100),"",IF(ISBLANK($O100),AF100,IF($J100="ANUAL",AF100*(1+Macroindicadores!C$7),IF(AND($I100="NOVO",MONTH($O100)=MONTH(AT$4)),AF100*(1+Macroindicadores!C$7),IF(AND($J100="PONTUAL",MONTH($O100)=MONTH(AT$4)),AF100*(1+Macroindicadores!C$7),IF(AND($J100="PONTUAL",MONTH($O100)&lt;MONTH(AT$4)),MIN($AS100:AS100),IF(AND($I100="NOVO",MONTH($O100)&gt;MONTH(AT$4)),AF100,IF(MONTH($O100)&gt;MONTH(AT$4),AF100,IF(MONTH($O100)=MONTH(AT$4),AF100*(1+Macroindicadores!C$7),AS100)))))))))</f>
        <v>10.968620824853113</v>
      </c>
      <c r="AU100" s="117">
        <f>IF(ISBLANK(S100),"",IF(ISBLANK($O100),AG100,IF($J100="ANUAL",AG100*(1+Macroindicadores!D$7),IF(AND($I100="NOVO",MONTH($O100)=MONTH(AU$4)),AG100*(1+Macroindicadores!D$7),IF(AND($J100="PONTUAL",MONTH($O100)=MONTH(AU$4)),AG100*(1+Macroindicadores!D$7),IF(AND($J100="PONTUAL",MONTH($O100)&lt;MONTH(AU$4)),MIN($AS100:AT100),IF(AND($I100="NOVO",MONTH($O100)&gt;MONTH(AU$4)),AG100,IF(MONTH($O100)&gt;MONTH(AU$4),AG100,IF(MONTH($O100)=MONTH(AU$4),AG100*(1+Macroindicadores!D$7),AT100)))))))))</f>
        <v>10.968620824853113</v>
      </c>
      <c r="AV100" s="117">
        <f>IF(ISBLANK(T100),"",IF(ISBLANK($O100),AH100,IF($J100="ANUAL",AH100*(1+Macroindicadores!E$7),IF(AND($I100="NOVO",MONTH($O100)=MONTH(AV$4)),AH100*(1+Macroindicadores!E$7),IF(AND($J100="PONTUAL",MONTH($O100)=MONTH(AV$4)),AH100*(1+Macroindicadores!E$7),IF(AND($J100="PONTUAL",MONTH($O100)&lt;MONTH(AV$4)),MIN($AS100:AU100),IF(AND($I100="NOVO",MONTH($O100)&gt;MONTH(AV$4)),AH100,IF(MONTH($O100)&gt;MONTH(AV$4),AH100,IF(MONTH($O100)=MONTH(AV$4),AH100*(1+Macroindicadores!E$7),AU100)))))))))</f>
        <v>10.968620824853113</v>
      </c>
      <c r="AW100" s="117">
        <f>IF(ISBLANK(U100),"",IF(ISBLANK($O100),AI100,IF($J100="ANUAL",AI100*(1+Macroindicadores!F$7),IF(AND($I100="NOVO",MONTH($O100)=MONTH(AW$4)),AI100*(1+Macroindicadores!F$7),IF(AND($J100="PONTUAL",MONTH($O100)=MONTH(AW$4)),AI100*(1+Macroindicadores!F$7),IF(AND($J100="PONTUAL",MONTH($O100)&lt;MONTH(AW$4)),MIN($AS100:AV100),IF(AND($I100="NOVO",MONTH($O100)&gt;MONTH(AW$4)),AI100,IF(MONTH($O100)&gt;MONTH(AW$4),AI100,IF(MONTH($O100)=MONTH(AW$4),AI100*(1+Macroindicadores!F$7),AV100)))))))))</f>
        <v>10.968620824853113</v>
      </c>
      <c r="AX100" s="117">
        <f>IF(ISBLANK(V100),"",IF(ISBLANK($O100),AJ100,IF($J100="ANUAL",AJ100*(1+Macroindicadores!G$7),IF(AND($I100="NOVO",MONTH($O100)=MONTH(AX$4)),AJ100*(1+Macroindicadores!G$7),IF(AND($J100="PONTUAL",MONTH($O100)=MONTH(AX$4)),AJ100*(1+Macroindicadores!G$7),IF(AND($J100="PONTUAL",MONTH($O100)&lt;MONTH(AX$4)),MIN($AS100:AW100),IF(AND($I100="NOVO",MONTH($O100)&gt;MONTH(AX$4)),AJ100,IF(MONTH($O100)&gt;MONTH(AX$4),AJ100,IF(MONTH($O100)=MONTH(AX$4),AJ100*(1+Macroindicadores!G$7),AW100)))))))))</f>
        <v>10.968620824853113</v>
      </c>
      <c r="AY100" s="117">
        <f>IF(ISBLANK(W100),"",IF(ISBLANK($O100),AK100,IF($J100="ANUAL",AK100*(1+Macroindicadores!H$7),IF(AND($I100="NOVO",MONTH($O100)=MONTH(AY$4)),AK100*(1+Macroindicadores!H$7),IF(AND($J100="PONTUAL",MONTH($O100)=MONTH(AY$4)),AK100*(1+Macroindicadores!H$7),IF(AND($J100="PONTUAL",MONTH($O100)&lt;MONTH(AY$4)),MIN($AS100:AX100),IF(AND($I100="NOVO",MONTH($O100)&gt;MONTH(AY$4)),AK100,IF(MONTH($O100)&gt;MONTH(AY$4),AK100,IF(MONTH($O100)=MONTH(AY$4),AK100*(1+Macroindicadores!H$7),AX100)))))))))</f>
        <v>10.968620824853113</v>
      </c>
      <c r="AZ100" s="117">
        <f>IF(ISBLANK(X100),"",IF(ISBLANK($O100),AL100,IF($J100="ANUAL",AL100*(1+Macroindicadores!I$7),IF(AND($I100="NOVO",MONTH($O100)=MONTH(AZ$4)),AL100*(1+Macroindicadores!I$7),IF(AND($J100="PONTUAL",MONTH($O100)=MONTH(AZ$4)),AL100*(1+Macroindicadores!I$7),IF(AND($J100="PONTUAL",MONTH($O100)&lt;MONTH(AZ$4)),MIN($AS100:AY100),IF(AND($I100="NOVO",MONTH($O100)&gt;MONTH(AZ$4)),AL100,IF(MONTH($O100)&gt;MONTH(AZ$4),AL100,IF(MONTH($O100)=MONTH(AZ$4),AL100*(1+Macroindicadores!I$7),AY100)))))))))</f>
        <v>10.968620824853113</v>
      </c>
      <c r="BA100" s="117">
        <f>IF(ISBLANK(Y100),"",IF(ISBLANK($O100),AM100,IF($J100="ANUAL",AM100*(1+Macroindicadores!J$7),IF(AND($I100="NOVO",MONTH($O100)=MONTH(BA$4)),AM100*(1+Macroindicadores!J$7),IF(AND($J100="PONTUAL",MONTH($O100)=MONTH(BA$4)),AM100*(1+Macroindicadores!J$7),IF(AND($J100="PONTUAL",MONTH($O100)&lt;MONTH(BA$4)),MIN($AS100:AZ100),IF(AND($I100="NOVO",MONTH($O100)&gt;MONTH(BA$4)),AM100,IF(MONTH($O100)&gt;MONTH(BA$4),AM100,IF(MONTH($O100)=MONTH(BA$4),AM100*(1+Macroindicadores!J$7),AZ100)))))))))</f>
        <v>10.968620824853113</v>
      </c>
      <c r="BB100" s="117">
        <f>IF(ISBLANK(Z100),"",IF(ISBLANK($O100),AN100,IF($J100="ANUAL",AN100*(1+Macroindicadores!K$7),IF(AND($I100="NOVO",MONTH($O100)=MONTH(BB$4)),AN100*(1+Macroindicadores!K$7),IF(AND($J100="PONTUAL",MONTH($O100)=MONTH(BB$4)),AN100*(1+Macroindicadores!K$7),IF(AND($J100="PONTUAL",MONTH($O100)&lt;MONTH(BB$4)),MIN($AS100:BA100),IF(AND($I100="NOVO",MONTH($O100)&gt;MONTH(BB$4)),AN100,IF(MONTH($O100)&gt;MONTH(BB$4),AN100,IF(MONTH($O100)=MONTH(BB$4),AN100*(1+Macroindicadores!K$7),BA100)))))))))</f>
        <v>10.968620824853113</v>
      </c>
      <c r="BC100" s="117">
        <f>IF(ISBLANK(AA100),"",IF(ISBLANK($O100),AO100,IF($J100="ANUAL",AO100*(1+Macroindicadores!L$7),IF(AND($I100="NOVO",MONTH($O100)=MONTH(BC$4)),AO100*(1+Macroindicadores!L$7),IF(AND($J100="PONTUAL",MONTH($O100)=MONTH(BC$4)),AO100*(1+Macroindicadores!L$7),IF(AND($J100="PONTUAL",MONTH($O100)&lt;MONTH(BC$4)),MIN($AS100:BB100),IF(AND($I100="NOVO",MONTH($O100)&gt;MONTH(BC$4)),AO100,IF(MONTH($O100)&gt;MONTH(BC$4),AO100,IF(MONTH($O100)=MONTH(BC$4),AO100*(1+Macroindicadores!L$7),BB100)))))))))</f>
        <v>10.968620824853113</v>
      </c>
      <c r="BD100" s="117">
        <f>IF(ISBLANK(AB100),"",IF(ISBLANK($O100),AP100,IF($J100="ANUAL",AP100*(1+Macroindicadores!M$7),IF(AND($I100="NOVO",MONTH($O100)=MONTH(BD$4)),AP100*(1+Macroindicadores!M$7),IF(AND($J100="PONTUAL",MONTH($O100)=MONTH(BD$4)),AP100*(1+Macroindicadores!M$7),IF(AND($J100="PONTUAL",MONTH($O100)&lt;MONTH(BD$4)),MIN($AS100:BC100),IF(AND($I100="NOVO",MONTH($O100)&gt;MONTH(BD$4)),AP100,IF(MONTH($O100)&gt;MONTH(BD$4),AP100,IF(MONTH($O100)=MONTH(BD$4),AP100*(1+Macroindicadores!M$7),BC100)))))))))</f>
        <v>10.968620824853113</v>
      </c>
      <c r="BE100" s="118">
        <f t="shared" si="50"/>
        <v>131.6234498982374</v>
      </c>
      <c r="BF100" s="108"/>
      <c r="BG100" s="117">
        <f>IF(ISBLANK(Q100),"",AS100/Macroindicadores!B$2)</f>
        <v>1.865411704906992</v>
      </c>
      <c r="BH100" s="117">
        <f>IF(ISBLANK(R100),"",AT100/Macroindicadores!C$2)</f>
        <v>1.865411704906992</v>
      </c>
      <c r="BI100" s="117">
        <f>IF(ISBLANK(S100),"",AU100/Macroindicadores!D$2)</f>
        <v>1.865411704906992</v>
      </c>
      <c r="BJ100" s="117">
        <f>IF(ISBLANK(T100),"",AV100/Macroindicadores!E$2)</f>
        <v>1.865411704906992</v>
      </c>
      <c r="BK100" s="117">
        <f>IF(ISBLANK(U100),"",AW100/Macroindicadores!F$2)</f>
        <v>1.865411704906992</v>
      </c>
      <c r="BL100" s="117">
        <f>IF(ISBLANK(V100),"",AX100/Macroindicadores!G$2)</f>
        <v>1.865411704906992</v>
      </c>
      <c r="BM100" s="117">
        <f>IF(ISBLANK(W100),"",AY100/Macroindicadores!H$2)</f>
        <v>1.865411704906992</v>
      </c>
      <c r="BN100" s="117">
        <f>IF(ISBLANK(X100),"",AZ100/Macroindicadores!I$2)</f>
        <v>1.865411704906992</v>
      </c>
      <c r="BO100" s="117">
        <f>IF(ISBLANK(Y100),"",BA100/Macroindicadores!J$2)</f>
        <v>1.865411704906992</v>
      </c>
      <c r="BP100" s="117">
        <f>IF(ISBLANK(Z100),"",BB100/Macroindicadores!K$2)</f>
        <v>1.865411704906992</v>
      </c>
      <c r="BQ100" s="117">
        <f>IF(ISBLANK(AA100),"",BC100/Macroindicadores!L$2)</f>
        <v>1.865411704906992</v>
      </c>
      <c r="BR100" s="117">
        <f>IF(ISBLANK(AB100),"",BD100/Macroindicadores!M$2)</f>
        <v>1.865411704906992</v>
      </c>
      <c r="BS100" s="118">
        <f>IF(AND(ISBLANK($Q100),ISBLANK($R100),ISBLANK($S100),ISBLANK($T100),ISBLANK($U100),ISBLANK($V100),ISBLANK($W100),ISBLANK($X100),ISBLANK($Y100),ISBLANK($Z100),ISBLANK($AA100),ISBLANK($AB100)),"",SUM(BG100:BR100))</f>
        <v>22.384940458883907</v>
      </c>
      <c r="BT100" s="25" t="str">
        <f>IF(ISBLANK($L100),"",_xlfn.XLOOKUP($L100,'CENTRO CUSTO'!$A:$A,'CENTRO CUSTO'!$E:$E,FALSE,0))</f>
        <v>Custo Fixo</v>
      </c>
    </row>
    <row r="101" spans="1:72">
      <c r="A101" s="9" t="str">
        <f t="shared" si="52"/>
        <v>Budget</v>
      </c>
      <c r="B101" s="9">
        <f t="shared" si="66"/>
        <v>2026</v>
      </c>
      <c r="C101" s="111" t="str">
        <f>IF(ISBLANK($L101),"",_xlfn.XLOOKUP($L101,'CENTRO CUSTO'!$A:$A,'CENTRO CUSTO'!F:F,FALSE,0))</f>
        <v>MRV</v>
      </c>
      <c r="D101" s="111" t="str">
        <f>IF(ISBLANK($L101),"",_xlfn.XLOOKUP($L101,'CENTRO CUSTO'!$A:$A,'CENTRO CUSTO'!G:G,FALSE,0))</f>
        <v>Velopark</v>
      </c>
      <c r="E101" s="111" t="str">
        <f>IF(ISBLANK($L101),"",_xlfn.XLOOKUP($L101,'CENTRO CUSTO'!$A:$A,'CENTRO CUSTO'!H:H,FALSE,0))</f>
        <v>Frigorífico</v>
      </c>
      <c r="F101" s="112" t="s">
        <v>134</v>
      </c>
      <c r="G101" s="112" t="s">
        <v>123</v>
      </c>
      <c r="H101" s="112" t="s">
        <v>135</v>
      </c>
      <c r="I101" s="113" t="s">
        <v>77</v>
      </c>
      <c r="J101" s="113" t="s">
        <v>78</v>
      </c>
      <c r="K101" s="113" t="s">
        <v>79</v>
      </c>
      <c r="L101" s="113" t="s">
        <v>43</v>
      </c>
      <c r="M101" s="111" t="str">
        <f>IF(ISBLANK($L101),"",_xlfn.XLOOKUP($L101,'CENTRO CUSTO'!$A:$A,'CENTRO CUSTO'!D:D,FALSE,0))</f>
        <v>Alexandre Ayabe</v>
      </c>
      <c r="N101" s="113" t="s">
        <v>132</v>
      </c>
      <c r="O101" s="114">
        <v>46023</v>
      </c>
      <c r="P101" s="113" t="s">
        <v>81</v>
      </c>
      <c r="Q101" s="115">
        <f>780000*Rateio!$E$382/12</f>
        <v>9750</v>
      </c>
      <c r="R101" s="115">
        <f>780000*Rateio!$E$382/12</f>
        <v>9750</v>
      </c>
      <c r="S101" s="115">
        <f>780000*Rateio!$E$382/12</f>
        <v>9750</v>
      </c>
      <c r="T101" s="115">
        <f>780000*Rateio!$E$382/12</f>
        <v>9750</v>
      </c>
      <c r="U101" s="115">
        <f>780000*Rateio!$E$382/12</f>
        <v>9750</v>
      </c>
      <c r="V101" s="115">
        <f>780000*Rateio!$E$382/12</f>
        <v>9750</v>
      </c>
      <c r="W101" s="115">
        <f>780000*Rateio!$E$382/12</f>
        <v>9750</v>
      </c>
      <c r="X101" s="115">
        <f>780000*Rateio!$E$382/12</f>
        <v>9750</v>
      </c>
      <c r="Y101" s="115">
        <f>780000*Rateio!$E$382/12</f>
        <v>9750</v>
      </c>
      <c r="Z101" s="115">
        <f>780000*Rateio!$E$382/12</f>
        <v>9750</v>
      </c>
      <c r="AA101" s="115">
        <f>780000*Rateio!$E$382/12</f>
        <v>9750</v>
      </c>
      <c r="AB101" s="115">
        <f>780000*Rateio!$E$382/12</f>
        <v>9750</v>
      </c>
      <c r="AC101" s="116">
        <f t="shared" si="53"/>
        <v>117000</v>
      </c>
      <c r="AD101" s="108"/>
      <c r="AE101" s="117">
        <f>IF(ISBLANK(Q101),"",IF($P101="BRL",Q101,Q101*Macroindicadores!B$2)/1000)</f>
        <v>9.75</v>
      </c>
      <c r="AF101" s="117">
        <f>IF(ISBLANK(R101),"",IF($P101="BRL",R101,R101*Macroindicadores!C$2)/1000)</f>
        <v>9.75</v>
      </c>
      <c r="AG101" s="117">
        <f>IF(ISBLANK(S101),"",IF($P101="BRL",S101,S101*Macroindicadores!D$2)/1000)</f>
        <v>9.75</v>
      </c>
      <c r="AH101" s="117">
        <f>IF(ISBLANK(T101),"",IF($P101="BRL",T101,T101*Macroindicadores!E$2)/1000)</f>
        <v>9.75</v>
      </c>
      <c r="AI101" s="117">
        <f>IF(ISBLANK(U101),"",IF($P101="BRL",U101,U101*Macroindicadores!F$2)/1000)</f>
        <v>9.75</v>
      </c>
      <c r="AJ101" s="117">
        <f>IF(ISBLANK(V101),"",IF($P101="BRL",V101,V101*Macroindicadores!G$2)/1000)</f>
        <v>9.75</v>
      </c>
      <c r="AK101" s="117">
        <f>IF(ISBLANK(W101),"",IF($P101="BRL",W101,W101*Macroindicadores!H$2)/1000)</f>
        <v>9.75</v>
      </c>
      <c r="AL101" s="117">
        <f>IF(ISBLANK(X101),"",IF($P101="BRL",X101,X101*Macroindicadores!I$2)/1000)</f>
        <v>9.75</v>
      </c>
      <c r="AM101" s="117">
        <f>IF(ISBLANK(Y101),"",IF($P101="BRL",Y101,Y101*Macroindicadores!J$2)/1000)</f>
        <v>9.75</v>
      </c>
      <c r="AN101" s="117">
        <f>IF(ISBLANK(Z101),"",IF($P101="BRL",Z101,Z101*Macroindicadores!K$2)/1000)</f>
        <v>9.75</v>
      </c>
      <c r="AO101" s="117">
        <f>IF(ISBLANK(AA101),"",IF($P101="BRL",AA101,AA101*Macroindicadores!L$2)/1000)</f>
        <v>9.75</v>
      </c>
      <c r="AP101" s="117">
        <f>IF(ISBLANK(AB101),"",IF($P101="BRL",AB101,AB101*Macroindicadores!M$2)/1000)</f>
        <v>9.75</v>
      </c>
      <c r="AQ101" s="118">
        <f t="shared" si="51"/>
        <v>117</v>
      </c>
      <c r="AR101" s="108"/>
      <c r="AS101" s="117">
        <f>IF(ISBLANK(Q101),"",IF(ISBLANK($O101),AE101,IF($J101="ANUAL",AE101*(1+Macroindicadores!B$7),IF(AND($I101="NOVO",MONTH($O101)=MONTH(AS$4)),AE101*(1+Macroindicadores!B$7),IF(AND($J101="PONTUAL",MONTH($O101)=MONTH(AS$4)),AE101*(1+Macroindicadores!B$7),IF(AND($J101="PONTUAL",MONTH($O101)&lt;MONTH(AS$4)),MIN(AR101:$AS101),IF(AND($I101="NOVO",MONTH($O101)&gt;MONTH(AS$4)),AE101,IF(MONTH($O101)&gt;MONTH(AS$4),AE101,IF(MONTH($O101)=MONTH(AS$4),AE101*(1+Macroindicadores!B$7),AR101)))))))))</f>
        <v>10.283082023299793</v>
      </c>
      <c r="AT101" s="117">
        <f>IF(ISBLANK(R101),"",IF(ISBLANK($O101),AF101,IF($J101="ANUAL",AF101*(1+Macroindicadores!C$7),IF(AND($I101="NOVO",MONTH($O101)=MONTH(AT$4)),AF101*(1+Macroindicadores!C$7),IF(AND($J101="PONTUAL",MONTH($O101)=MONTH(AT$4)),AF101*(1+Macroindicadores!C$7),IF(AND($J101="PONTUAL",MONTH($O101)&lt;MONTH(AT$4)),MIN($AS101:AS101),IF(AND($I101="NOVO",MONTH($O101)&gt;MONTH(AT$4)),AF101,IF(MONTH($O101)&gt;MONTH(AT$4),AF101,IF(MONTH($O101)=MONTH(AT$4),AF101*(1+Macroindicadores!C$7),AS101)))))))))</f>
        <v>10.283082023299793</v>
      </c>
      <c r="AU101" s="117">
        <f>IF(ISBLANK(S101),"",IF(ISBLANK($O101),AG101,IF($J101="ANUAL",AG101*(1+Macroindicadores!D$7),IF(AND($I101="NOVO",MONTH($O101)=MONTH(AU$4)),AG101*(1+Macroindicadores!D$7),IF(AND($J101="PONTUAL",MONTH($O101)=MONTH(AU$4)),AG101*(1+Macroindicadores!D$7),IF(AND($J101="PONTUAL",MONTH($O101)&lt;MONTH(AU$4)),MIN($AS101:AT101),IF(AND($I101="NOVO",MONTH($O101)&gt;MONTH(AU$4)),AG101,IF(MONTH($O101)&gt;MONTH(AU$4),AG101,IF(MONTH($O101)=MONTH(AU$4),AG101*(1+Macroindicadores!D$7),AT101)))))))))</f>
        <v>10.283082023299793</v>
      </c>
      <c r="AV101" s="117">
        <f>IF(ISBLANK(T101),"",IF(ISBLANK($O101),AH101,IF($J101="ANUAL",AH101*(1+Macroindicadores!E$7),IF(AND($I101="NOVO",MONTH($O101)=MONTH(AV$4)),AH101*(1+Macroindicadores!E$7),IF(AND($J101="PONTUAL",MONTH($O101)=MONTH(AV$4)),AH101*(1+Macroindicadores!E$7),IF(AND($J101="PONTUAL",MONTH($O101)&lt;MONTH(AV$4)),MIN($AS101:AU101),IF(AND($I101="NOVO",MONTH($O101)&gt;MONTH(AV$4)),AH101,IF(MONTH($O101)&gt;MONTH(AV$4),AH101,IF(MONTH($O101)=MONTH(AV$4),AH101*(1+Macroindicadores!E$7),AU101)))))))))</f>
        <v>10.283082023299793</v>
      </c>
      <c r="AW101" s="117">
        <f>IF(ISBLANK(U101),"",IF(ISBLANK($O101),AI101,IF($J101="ANUAL",AI101*(1+Macroindicadores!F$7),IF(AND($I101="NOVO",MONTH($O101)=MONTH(AW$4)),AI101*(1+Macroindicadores!F$7),IF(AND($J101="PONTUAL",MONTH($O101)=MONTH(AW$4)),AI101*(1+Macroindicadores!F$7),IF(AND($J101="PONTUAL",MONTH($O101)&lt;MONTH(AW$4)),MIN($AS101:AV101),IF(AND($I101="NOVO",MONTH($O101)&gt;MONTH(AW$4)),AI101,IF(MONTH($O101)&gt;MONTH(AW$4),AI101,IF(MONTH($O101)=MONTH(AW$4),AI101*(1+Macroindicadores!F$7),AV101)))))))))</f>
        <v>10.283082023299793</v>
      </c>
      <c r="AX101" s="117">
        <f>IF(ISBLANK(V101),"",IF(ISBLANK($O101),AJ101,IF($J101="ANUAL",AJ101*(1+Macroindicadores!G$7),IF(AND($I101="NOVO",MONTH($O101)=MONTH(AX$4)),AJ101*(1+Macroindicadores!G$7),IF(AND($J101="PONTUAL",MONTH($O101)=MONTH(AX$4)),AJ101*(1+Macroindicadores!G$7),IF(AND($J101="PONTUAL",MONTH($O101)&lt;MONTH(AX$4)),MIN($AS101:AW101),IF(AND($I101="NOVO",MONTH($O101)&gt;MONTH(AX$4)),AJ101,IF(MONTH($O101)&gt;MONTH(AX$4),AJ101,IF(MONTH($O101)=MONTH(AX$4),AJ101*(1+Macroindicadores!G$7),AW101)))))))))</f>
        <v>10.283082023299793</v>
      </c>
      <c r="AY101" s="117">
        <f>IF(ISBLANK(W101),"",IF(ISBLANK($O101),AK101,IF($J101="ANUAL",AK101*(1+Macroindicadores!H$7),IF(AND($I101="NOVO",MONTH($O101)=MONTH(AY$4)),AK101*(1+Macroindicadores!H$7),IF(AND($J101="PONTUAL",MONTH($O101)=MONTH(AY$4)),AK101*(1+Macroindicadores!H$7),IF(AND($J101="PONTUAL",MONTH($O101)&lt;MONTH(AY$4)),MIN($AS101:AX101),IF(AND($I101="NOVO",MONTH($O101)&gt;MONTH(AY$4)),AK101,IF(MONTH($O101)&gt;MONTH(AY$4),AK101,IF(MONTH($O101)=MONTH(AY$4),AK101*(1+Macroindicadores!H$7),AX101)))))))))</f>
        <v>10.283082023299793</v>
      </c>
      <c r="AZ101" s="117">
        <f>IF(ISBLANK(X101),"",IF(ISBLANK($O101),AL101,IF($J101="ANUAL",AL101*(1+Macroindicadores!I$7),IF(AND($I101="NOVO",MONTH($O101)=MONTH(AZ$4)),AL101*(1+Macroindicadores!I$7),IF(AND($J101="PONTUAL",MONTH($O101)=MONTH(AZ$4)),AL101*(1+Macroindicadores!I$7),IF(AND($J101="PONTUAL",MONTH($O101)&lt;MONTH(AZ$4)),MIN($AS101:AY101),IF(AND($I101="NOVO",MONTH($O101)&gt;MONTH(AZ$4)),AL101,IF(MONTH($O101)&gt;MONTH(AZ$4),AL101,IF(MONTH($O101)=MONTH(AZ$4),AL101*(1+Macroindicadores!I$7),AY101)))))))))</f>
        <v>10.283082023299793</v>
      </c>
      <c r="BA101" s="117">
        <f>IF(ISBLANK(Y101),"",IF(ISBLANK($O101),AM101,IF($J101="ANUAL",AM101*(1+Macroindicadores!J$7),IF(AND($I101="NOVO",MONTH($O101)=MONTH(BA$4)),AM101*(1+Macroindicadores!J$7),IF(AND($J101="PONTUAL",MONTH($O101)=MONTH(BA$4)),AM101*(1+Macroindicadores!J$7),IF(AND($J101="PONTUAL",MONTH($O101)&lt;MONTH(BA$4)),MIN($AS101:AZ101),IF(AND($I101="NOVO",MONTH($O101)&gt;MONTH(BA$4)),AM101,IF(MONTH($O101)&gt;MONTH(BA$4),AM101,IF(MONTH($O101)=MONTH(BA$4),AM101*(1+Macroindicadores!J$7),AZ101)))))))))</f>
        <v>10.283082023299793</v>
      </c>
      <c r="BB101" s="117">
        <f>IF(ISBLANK(Z101),"",IF(ISBLANK($O101),AN101,IF($J101="ANUAL",AN101*(1+Macroindicadores!K$7),IF(AND($I101="NOVO",MONTH($O101)=MONTH(BB$4)),AN101*(1+Macroindicadores!K$7),IF(AND($J101="PONTUAL",MONTH($O101)=MONTH(BB$4)),AN101*(1+Macroindicadores!K$7),IF(AND($J101="PONTUAL",MONTH($O101)&lt;MONTH(BB$4)),MIN($AS101:BA101),IF(AND($I101="NOVO",MONTH($O101)&gt;MONTH(BB$4)),AN101,IF(MONTH($O101)&gt;MONTH(BB$4),AN101,IF(MONTH($O101)=MONTH(BB$4),AN101*(1+Macroindicadores!K$7),BA101)))))))))</f>
        <v>10.283082023299793</v>
      </c>
      <c r="BC101" s="117">
        <f>IF(ISBLANK(AA101),"",IF(ISBLANK($O101),AO101,IF($J101="ANUAL",AO101*(1+Macroindicadores!L$7),IF(AND($I101="NOVO",MONTH($O101)=MONTH(BC$4)),AO101*(1+Macroindicadores!L$7),IF(AND($J101="PONTUAL",MONTH($O101)=MONTH(BC$4)),AO101*(1+Macroindicadores!L$7),IF(AND($J101="PONTUAL",MONTH($O101)&lt;MONTH(BC$4)),MIN($AS101:BB101),IF(AND($I101="NOVO",MONTH($O101)&gt;MONTH(BC$4)),AO101,IF(MONTH($O101)&gt;MONTH(BC$4),AO101,IF(MONTH($O101)=MONTH(BC$4),AO101*(1+Macroindicadores!L$7),BB101)))))))))</f>
        <v>10.283082023299793</v>
      </c>
      <c r="BD101" s="117">
        <f>IF(ISBLANK(AB101),"",IF(ISBLANK($O101),AP101,IF($J101="ANUAL",AP101*(1+Macroindicadores!M$7),IF(AND($I101="NOVO",MONTH($O101)=MONTH(BD$4)),AP101*(1+Macroindicadores!M$7),IF(AND($J101="PONTUAL",MONTH($O101)=MONTH(BD$4)),AP101*(1+Macroindicadores!M$7),IF(AND($J101="PONTUAL",MONTH($O101)&lt;MONTH(BD$4)),MIN($AS101:BC101),IF(AND($I101="NOVO",MONTH($O101)&gt;MONTH(BD$4)),AP101,IF(MONTH($O101)&gt;MONTH(BD$4),AP101,IF(MONTH($O101)=MONTH(BD$4),AP101*(1+Macroindicadores!M$7),BC101)))))))))</f>
        <v>10.283082023299793</v>
      </c>
      <c r="BE101" s="118">
        <f t="shared" si="50"/>
        <v>123.39698427959753</v>
      </c>
      <c r="BF101" s="108"/>
      <c r="BG101" s="117">
        <f>IF(ISBLANK(Q101),"",AS101/Macroindicadores!B$2)</f>
        <v>1.748823473350305</v>
      </c>
      <c r="BH101" s="117">
        <f>IF(ISBLANK(R101),"",AT101/Macroindicadores!C$2)</f>
        <v>1.748823473350305</v>
      </c>
      <c r="BI101" s="117">
        <f>IF(ISBLANK(S101),"",AU101/Macroindicadores!D$2)</f>
        <v>1.748823473350305</v>
      </c>
      <c r="BJ101" s="117">
        <f>IF(ISBLANK(T101),"",AV101/Macroindicadores!E$2)</f>
        <v>1.748823473350305</v>
      </c>
      <c r="BK101" s="117">
        <f>IF(ISBLANK(U101),"",AW101/Macroindicadores!F$2)</f>
        <v>1.748823473350305</v>
      </c>
      <c r="BL101" s="117">
        <f>IF(ISBLANK(V101),"",AX101/Macroindicadores!G$2)</f>
        <v>1.748823473350305</v>
      </c>
      <c r="BM101" s="117">
        <f>IF(ISBLANK(W101),"",AY101/Macroindicadores!H$2)</f>
        <v>1.748823473350305</v>
      </c>
      <c r="BN101" s="117">
        <f>IF(ISBLANK(X101),"",AZ101/Macroindicadores!I$2)</f>
        <v>1.748823473350305</v>
      </c>
      <c r="BO101" s="117">
        <f>IF(ISBLANK(Y101),"",BA101/Macroindicadores!J$2)</f>
        <v>1.748823473350305</v>
      </c>
      <c r="BP101" s="117">
        <f>IF(ISBLANK(Z101),"",BB101/Macroindicadores!K$2)</f>
        <v>1.748823473350305</v>
      </c>
      <c r="BQ101" s="117">
        <f>IF(ISBLANK(AA101),"",BC101/Macroindicadores!L$2)</f>
        <v>1.748823473350305</v>
      </c>
      <c r="BR101" s="117">
        <f>IF(ISBLANK(AB101),"",BD101/Macroindicadores!M$2)</f>
        <v>1.748823473350305</v>
      </c>
      <c r="BS101" s="118">
        <f>IF(AND(ISBLANK($Q101),ISBLANK($R101),ISBLANK($S101),ISBLANK($T101),ISBLANK($U101),ISBLANK($V101),ISBLANK($W101),ISBLANK($X101),ISBLANK($Y101),ISBLANK($Z101),ISBLANK($AA101),ISBLANK($AB101)),"",SUM(BG101:BR101))</f>
        <v>20.985881680203661</v>
      </c>
      <c r="BT101" s="25" t="str">
        <f>IF(ISBLANK($L101),"",_xlfn.XLOOKUP($L101,'CENTRO CUSTO'!$A:$A,'CENTRO CUSTO'!$E:$E,FALSE,0))</f>
        <v>Custo Fixo</v>
      </c>
    </row>
    <row r="102" spans="1:72">
      <c r="A102" s="9" t="str">
        <f t="shared" si="52"/>
        <v>Budget</v>
      </c>
      <c r="B102" s="9">
        <f t="shared" si="66"/>
        <v>2026</v>
      </c>
      <c r="C102" s="111" t="str">
        <f>IF(ISBLANK($L102),"",_xlfn.XLOOKUP($L102,'CENTRO CUSTO'!$A:$A,'CENTRO CUSTO'!F:F,FALSE,0))</f>
        <v>MRV</v>
      </c>
      <c r="D102" s="111" t="str">
        <f>IF(ISBLANK($L102),"",_xlfn.XLOOKUP($L102,'CENTRO CUSTO'!$A:$A,'CENTRO CUSTO'!G:G,FALSE,0))</f>
        <v>Passo Fundo</v>
      </c>
      <c r="E102" s="111" t="str">
        <f>IF(ISBLANK($L102),"",_xlfn.XLOOKUP($L102,'CENTRO CUSTO'!$A:$A,'CENTRO CUSTO'!H:H,FALSE,0))</f>
        <v>Frigorífico</v>
      </c>
      <c r="F102" s="112" t="s">
        <v>134</v>
      </c>
      <c r="G102" s="112" t="s">
        <v>123</v>
      </c>
      <c r="H102" s="112" t="s">
        <v>135</v>
      </c>
      <c r="I102" s="113" t="s">
        <v>77</v>
      </c>
      <c r="J102" s="113" t="s">
        <v>78</v>
      </c>
      <c r="K102" s="113" t="s">
        <v>79</v>
      </c>
      <c r="L102" s="113" t="s">
        <v>41</v>
      </c>
      <c r="M102" s="111" t="str">
        <f>IF(ISBLANK($L102),"",_xlfn.XLOOKUP($L102,'CENTRO CUSTO'!$A:$A,'CENTRO CUSTO'!D:D,FALSE,0))</f>
        <v>Alexandre Ayabe</v>
      </c>
      <c r="N102" s="113" t="s">
        <v>132</v>
      </c>
      <c r="O102" s="114">
        <v>46023</v>
      </c>
      <c r="P102" s="113" t="s">
        <v>81</v>
      </c>
      <c r="Q102" s="115">
        <v>0</v>
      </c>
      <c r="R102" s="115">
        <v>0</v>
      </c>
      <c r="S102" s="115">
        <v>0</v>
      </c>
      <c r="T102" s="115">
        <v>0</v>
      </c>
      <c r="U102" s="115">
        <v>0</v>
      </c>
      <c r="V102" s="115">
        <v>0</v>
      </c>
      <c r="W102" s="115">
        <v>0</v>
      </c>
      <c r="X102" s="115">
        <v>0</v>
      </c>
      <c r="Y102" s="115">
        <v>0</v>
      </c>
      <c r="Z102" s="115">
        <v>0</v>
      </c>
      <c r="AA102" s="115">
        <v>0</v>
      </c>
      <c r="AB102" s="115">
        <v>0</v>
      </c>
      <c r="AC102" s="116">
        <f t="shared" si="53"/>
        <v>0</v>
      </c>
      <c r="AD102" s="108"/>
      <c r="AE102" s="117">
        <f>IF(ISBLANK(Q102),"",IF($P102="BRL",Q102,Q102*Macroindicadores!B$2)/1000)</f>
        <v>0</v>
      </c>
      <c r="AF102" s="117">
        <f>IF(ISBLANK(R102),"",IF($P102="BRL",R102,R102*Macroindicadores!C$2)/1000)</f>
        <v>0</v>
      </c>
      <c r="AG102" s="117">
        <f>IF(ISBLANK(S102),"",IF($P102="BRL",S102,S102*Macroindicadores!D$2)/1000)</f>
        <v>0</v>
      </c>
      <c r="AH102" s="117">
        <f>IF(ISBLANK(T102),"",IF($P102="BRL",T102,T102*Macroindicadores!E$2)/1000)</f>
        <v>0</v>
      </c>
      <c r="AI102" s="117">
        <f>IF(ISBLANK(U102),"",IF($P102="BRL",U102,U102*Macroindicadores!F$2)/1000)</f>
        <v>0</v>
      </c>
      <c r="AJ102" s="117">
        <f>IF(ISBLANK(V102),"",IF($P102="BRL",V102,V102*Macroindicadores!G$2)/1000)</f>
        <v>0</v>
      </c>
      <c r="AK102" s="117">
        <f>IF(ISBLANK(W102),"",IF($P102="BRL",W102,W102*Macroindicadores!H$2)/1000)</f>
        <v>0</v>
      </c>
      <c r="AL102" s="117">
        <f>IF(ISBLANK(X102),"",IF($P102="BRL",X102,X102*Macroindicadores!I$2)/1000)</f>
        <v>0</v>
      </c>
      <c r="AM102" s="117">
        <f>IF(ISBLANK(Y102),"",IF($P102="BRL",Y102,Y102*Macroindicadores!J$2)/1000)</f>
        <v>0</v>
      </c>
      <c r="AN102" s="117">
        <f>IF(ISBLANK(Z102),"",IF($P102="BRL",Z102,Z102*Macroindicadores!K$2)/1000)</f>
        <v>0</v>
      </c>
      <c r="AO102" s="117">
        <f>IF(ISBLANK(AA102),"",IF($P102="BRL",AA102,AA102*Macroindicadores!L$2)/1000)</f>
        <v>0</v>
      </c>
      <c r="AP102" s="117">
        <f>IF(ISBLANK(AB102),"",IF($P102="BRL",AB102,AB102*Macroindicadores!M$2)/1000)</f>
        <v>0</v>
      </c>
      <c r="AQ102" s="118">
        <f t="shared" si="51"/>
        <v>0</v>
      </c>
      <c r="AR102" s="108"/>
      <c r="AS102" s="117">
        <f>IF(ISBLANK(Q102),"",IF(ISBLANK($O102),AE102,IF($J102="ANUAL",AE102*(1+Macroindicadores!B$7),IF(AND($I102="NOVO",MONTH($O102)=MONTH(AS$4)),AE102*(1+Macroindicadores!B$7),IF(AND($J102="PONTUAL",MONTH($O102)=MONTH(AS$4)),AE102*(1+Macroindicadores!B$7),IF(AND($J102="PONTUAL",MONTH($O102)&lt;MONTH(AS$4)),MIN(AR102:$AS102),IF(AND($I102="NOVO",MONTH($O102)&gt;MONTH(AS$4)),AE102,IF(MONTH($O102)&gt;MONTH(AS$4),AE102,IF(MONTH($O102)=MONTH(AS$4),AE102*(1+Macroindicadores!B$7),AR102)))))))))</f>
        <v>0</v>
      </c>
      <c r="AT102" s="117">
        <f>IF(ISBLANK(R102),"",IF(ISBLANK($O102),AF102,IF($J102="ANUAL",AF102*(1+Macroindicadores!C$7),IF(AND($I102="NOVO",MONTH($O102)=MONTH(AT$4)),AF102*(1+Macroindicadores!C$7),IF(AND($J102="PONTUAL",MONTH($O102)=MONTH(AT$4)),AF102*(1+Macroindicadores!C$7),IF(AND($J102="PONTUAL",MONTH($O102)&lt;MONTH(AT$4)),MIN($AS102:AS102),IF(AND($I102="NOVO",MONTH($O102)&gt;MONTH(AT$4)),AF102,IF(MONTH($O102)&gt;MONTH(AT$4),AF102,IF(MONTH($O102)=MONTH(AT$4),AF102*(1+Macroindicadores!C$7),AS102)))))))))</f>
        <v>0</v>
      </c>
      <c r="AU102" s="117">
        <f>IF(ISBLANK(S102),"",IF(ISBLANK($O102),AG102,IF($J102="ANUAL",AG102*(1+Macroindicadores!D$7),IF(AND($I102="NOVO",MONTH($O102)=MONTH(AU$4)),AG102*(1+Macroindicadores!D$7),IF(AND($J102="PONTUAL",MONTH($O102)=MONTH(AU$4)),AG102*(1+Macroindicadores!D$7),IF(AND($J102="PONTUAL",MONTH($O102)&lt;MONTH(AU$4)),MIN($AS102:AT102),IF(AND($I102="NOVO",MONTH($O102)&gt;MONTH(AU$4)),AG102,IF(MONTH($O102)&gt;MONTH(AU$4),AG102,IF(MONTH($O102)=MONTH(AU$4),AG102*(1+Macroindicadores!D$7),AT102)))))))))</f>
        <v>0</v>
      </c>
      <c r="AV102" s="117">
        <f>IF(ISBLANK(T102),"",IF(ISBLANK($O102),AH102,IF($J102="ANUAL",AH102*(1+Macroindicadores!E$7),IF(AND($I102="NOVO",MONTH($O102)=MONTH(AV$4)),AH102*(1+Macroindicadores!E$7),IF(AND($J102="PONTUAL",MONTH($O102)=MONTH(AV$4)),AH102*(1+Macroindicadores!E$7),IF(AND($J102="PONTUAL",MONTH($O102)&lt;MONTH(AV$4)),MIN($AS102:AU102),IF(AND($I102="NOVO",MONTH($O102)&gt;MONTH(AV$4)),AH102,IF(MONTH($O102)&gt;MONTH(AV$4),AH102,IF(MONTH($O102)=MONTH(AV$4),AH102*(1+Macroindicadores!E$7),AU102)))))))))</f>
        <v>0</v>
      </c>
      <c r="AW102" s="117">
        <f>IF(ISBLANK(U102),"",IF(ISBLANK($O102),AI102,IF($J102="ANUAL",AI102*(1+Macroindicadores!F$7),IF(AND($I102="NOVO",MONTH($O102)=MONTH(AW$4)),AI102*(1+Macroindicadores!F$7),IF(AND($J102="PONTUAL",MONTH($O102)=MONTH(AW$4)),AI102*(1+Macroindicadores!F$7),IF(AND($J102="PONTUAL",MONTH($O102)&lt;MONTH(AW$4)),MIN($AS102:AV102),IF(AND($I102="NOVO",MONTH($O102)&gt;MONTH(AW$4)),AI102,IF(MONTH($O102)&gt;MONTH(AW$4),AI102,IF(MONTH($O102)=MONTH(AW$4),AI102*(1+Macroindicadores!F$7),AV102)))))))))</f>
        <v>0</v>
      </c>
      <c r="AX102" s="117">
        <f>IF(ISBLANK(V102),"",IF(ISBLANK($O102),AJ102,IF($J102="ANUAL",AJ102*(1+Macroindicadores!G$7),IF(AND($I102="NOVO",MONTH($O102)=MONTH(AX$4)),AJ102*(1+Macroindicadores!G$7),IF(AND($J102="PONTUAL",MONTH($O102)=MONTH(AX$4)),AJ102*(1+Macroindicadores!G$7),IF(AND($J102="PONTUAL",MONTH($O102)&lt;MONTH(AX$4)),MIN($AS102:AW102),IF(AND($I102="NOVO",MONTH($O102)&gt;MONTH(AX$4)),AJ102,IF(MONTH($O102)&gt;MONTH(AX$4),AJ102,IF(MONTH($O102)=MONTH(AX$4),AJ102*(1+Macroindicadores!G$7),AW102)))))))))</f>
        <v>0</v>
      </c>
      <c r="AY102" s="117">
        <f>IF(ISBLANK(W102),"",IF(ISBLANK($O102),AK102,IF($J102="ANUAL",AK102*(1+Macroindicadores!H$7),IF(AND($I102="NOVO",MONTH($O102)=MONTH(AY$4)),AK102*(1+Macroindicadores!H$7),IF(AND($J102="PONTUAL",MONTH($O102)=MONTH(AY$4)),AK102*(1+Macroindicadores!H$7),IF(AND($J102="PONTUAL",MONTH($O102)&lt;MONTH(AY$4)),MIN($AS102:AX102),IF(AND($I102="NOVO",MONTH($O102)&gt;MONTH(AY$4)),AK102,IF(MONTH($O102)&gt;MONTH(AY$4),AK102,IF(MONTH($O102)=MONTH(AY$4),AK102*(1+Macroindicadores!H$7),AX102)))))))))</f>
        <v>0</v>
      </c>
      <c r="AZ102" s="117">
        <f>IF(ISBLANK(X102),"",IF(ISBLANK($O102),AL102,IF($J102="ANUAL",AL102*(1+Macroindicadores!I$7),IF(AND($I102="NOVO",MONTH($O102)=MONTH(AZ$4)),AL102*(1+Macroindicadores!I$7),IF(AND($J102="PONTUAL",MONTH($O102)=MONTH(AZ$4)),AL102*(1+Macroindicadores!I$7),IF(AND($J102="PONTUAL",MONTH($O102)&lt;MONTH(AZ$4)),MIN($AS102:AY102),IF(AND($I102="NOVO",MONTH($O102)&gt;MONTH(AZ$4)),AL102,IF(MONTH($O102)&gt;MONTH(AZ$4),AL102,IF(MONTH($O102)=MONTH(AZ$4),AL102*(1+Macroindicadores!I$7),AY102)))))))))</f>
        <v>0</v>
      </c>
      <c r="BA102" s="117">
        <f>IF(ISBLANK(Y102),"",IF(ISBLANK($O102),AM102,IF($J102="ANUAL",AM102*(1+Macroindicadores!J$7),IF(AND($I102="NOVO",MONTH($O102)=MONTH(BA$4)),AM102*(1+Macroindicadores!J$7),IF(AND($J102="PONTUAL",MONTH($O102)=MONTH(BA$4)),AM102*(1+Macroindicadores!J$7),IF(AND($J102="PONTUAL",MONTH($O102)&lt;MONTH(BA$4)),MIN($AS102:AZ102),IF(AND($I102="NOVO",MONTH($O102)&gt;MONTH(BA$4)),AM102,IF(MONTH($O102)&gt;MONTH(BA$4),AM102,IF(MONTH($O102)=MONTH(BA$4),AM102*(1+Macroindicadores!J$7),AZ102)))))))))</f>
        <v>0</v>
      </c>
      <c r="BB102" s="117">
        <f>IF(ISBLANK(Z102),"",IF(ISBLANK($O102),AN102,IF($J102="ANUAL",AN102*(1+Macroindicadores!K$7),IF(AND($I102="NOVO",MONTH($O102)=MONTH(BB$4)),AN102*(1+Macroindicadores!K$7),IF(AND($J102="PONTUAL",MONTH($O102)=MONTH(BB$4)),AN102*(1+Macroindicadores!K$7),IF(AND($J102="PONTUAL",MONTH($O102)&lt;MONTH(BB$4)),MIN($AS102:BA102),IF(AND($I102="NOVO",MONTH($O102)&gt;MONTH(BB$4)),AN102,IF(MONTH($O102)&gt;MONTH(BB$4),AN102,IF(MONTH($O102)=MONTH(BB$4),AN102*(1+Macroindicadores!K$7),BA102)))))))))</f>
        <v>0</v>
      </c>
      <c r="BC102" s="117">
        <f>IF(ISBLANK(AA102),"",IF(ISBLANK($O102),AO102,IF($J102="ANUAL",AO102*(1+Macroindicadores!L$7),IF(AND($I102="NOVO",MONTH($O102)=MONTH(BC$4)),AO102*(1+Macroindicadores!L$7),IF(AND($J102="PONTUAL",MONTH($O102)=MONTH(BC$4)),AO102*(1+Macroindicadores!L$7),IF(AND($J102="PONTUAL",MONTH($O102)&lt;MONTH(BC$4)),MIN($AS102:BB102),IF(AND($I102="NOVO",MONTH($O102)&gt;MONTH(BC$4)),AO102,IF(MONTH($O102)&gt;MONTH(BC$4),AO102,IF(MONTH($O102)=MONTH(BC$4),AO102*(1+Macroindicadores!L$7),BB102)))))))))</f>
        <v>0</v>
      </c>
      <c r="BD102" s="117">
        <f>IF(ISBLANK(AB102),"",IF(ISBLANK($O102),AP102,IF($J102="ANUAL",AP102*(1+Macroindicadores!M$7),IF(AND($I102="NOVO",MONTH($O102)=MONTH(BD$4)),AP102*(1+Macroindicadores!M$7),IF(AND($J102="PONTUAL",MONTH($O102)=MONTH(BD$4)),AP102*(1+Macroindicadores!M$7),IF(AND($J102="PONTUAL",MONTH($O102)&lt;MONTH(BD$4)),MIN($AS102:BC102),IF(AND($I102="NOVO",MONTH($O102)&gt;MONTH(BD$4)),AP102,IF(MONTH($O102)&gt;MONTH(BD$4),AP102,IF(MONTH($O102)=MONTH(BD$4),AP102*(1+Macroindicadores!M$7),BC102)))))))))</f>
        <v>0</v>
      </c>
      <c r="BE102" s="118">
        <f t="shared" si="50"/>
        <v>0</v>
      </c>
      <c r="BF102" s="108"/>
      <c r="BG102" s="117">
        <f>IF(ISBLANK(Q102),"",AS102/Macroindicadores!B$2)</f>
        <v>0</v>
      </c>
      <c r="BH102" s="117">
        <f>IF(ISBLANK(R102),"",AT102/Macroindicadores!C$2)</f>
        <v>0</v>
      </c>
      <c r="BI102" s="117">
        <f>IF(ISBLANK(S102),"",AU102/Macroindicadores!D$2)</f>
        <v>0</v>
      </c>
      <c r="BJ102" s="117">
        <f>IF(ISBLANK(T102),"",AV102/Macroindicadores!E$2)</f>
        <v>0</v>
      </c>
      <c r="BK102" s="117">
        <f>IF(ISBLANK(U102),"",AW102/Macroindicadores!F$2)</f>
        <v>0</v>
      </c>
      <c r="BL102" s="117">
        <f>IF(ISBLANK(V102),"",AX102/Macroindicadores!G$2)</f>
        <v>0</v>
      </c>
      <c r="BM102" s="117">
        <f>IF(ISBLANK(W102),"",AY102/Macroindicadores!H$2)</f>
        <v>0</v>
      </c>
      <c r="BN102" s="117">
        <f>IF(ISBLANK(X102),"",AZ102/Macroindicadores!I$2)</f>
        <v>0</v>
      </c>
      <c r="BO102" s="117">
        <f>IF(ISBLANK(Y102),"",BA102/Macroindicadores!J$2)</f>
        <v>0</v>
      </c>
      <c r="BP102" s="117">
        <f>IF(ISBLANK(Z102),"",BB102/Macroindicadores!K$2)</f>
        <v>0</v>
      </c>
      <c r="BQ102" s="117">
        <f>IF(ISBLANK(AA102),"",BC102/Macroindicadores!L$2)</f>
        <v>0</v>
      </c>
      <c r="BR102" s="117">
        <f>IF(ISBLANK(AB102),"",BD102/Macroindicadores!M$2)</f>
        <v>0</v>
      </c>
      <c r="BS102" s="118">
        <f>IF(AND(ISBLANK($Q102),ISBLANK($R102),ISBLANK($S102),ISBLANK($T102),ISBLANK($U102),ISBLANK($V102),ISBLANK($W102),ISBLANK($X102),ISBLANK($Y102),ISBLANK($Z102),ISBLANK($AA102),ISBLANK($AB102)),"",SUM(BG102:BR102))</f>
        <v>0</v>
      </c>
      <c r="BT102" s="25" t="str">
        <f>IF(ISBLANK($L102),"",_xlfn.XLOOKUP($L102,'CENTRO CUSTO'!$A:$A,'CENTRO CUSTO'!$E:$E,FALSE,0))</f>
        <v>Custo Fixo</v>
      </c>
    </row>
    <row r="103" spans="1:72">
      <c r="A103" s="9" t="str">
        <f t="shared" si="52"/>
        <v>Budget</v>
      </c>
      <c r="B103" s="9">
        <f t="shared" si="66"/>
        <v>2026</v>
      </c>
      <c r="C103" s="111" t="str">
        <f>IF(ISBLANK($L103),"",_xlfn.XLOOKUP($L103,'CENTRO CUSTO'!$A:$A,'CENTRO CUSTO'!F:F,FALSE,0))</f>
        <v>Cone Sul</v>
      </c>
      <c r="D103" s="111" t="str">
        <f>IF(ISBLANK($L103),"",_xlfn.XLOOKUP($L103,'CENTRO CUSTO'!$A:$A,'CENTRO CUSTO'!G:G,FALSE,0))</f>
        <v>Plataforma</v>
      </c>
      <c r="E103" s="111" t="str">
        <f>IF(ISBLANK($L103),"",_xlfn.XLOOKUP($L103,'CENTRO CUSTO'!$A:$A,'CENTRO CUSTO'!H:H,FALSE,0))</f>
        <v>G&amp;A</v>
      </c>
      <c r="F103" s="112" t="s">
        <v>134</v>
      </c>
      <c r="G103" s="112" t="s">
        <v>123</v>
      </c>
      <c r="H103" s="112" t="s">
        <v>135</v>
      </c>
      <c r="I103" s="113" t="s">
        <v>77</v>
      </c>
      <c r="J103" s="113" t="s">
        <v>78</v>
      </c>
      <c r="K103" s="113" t="s">
        <v>79</v>
      </c>
      <c r="L103" s="113" t="s">
        <v>54</v>
      </c>
      <c r="M103" s="111" t="str">
        <f>IF(ISBLANK($L103),"",_xlfn.XLOOKUP($L103,'CENTRO CUSTO'!$A:$A,'CENTRO CUSTO'!D:D,FALSE,0))</f>
        <v>Alexandre Ayabe</v>
      </c>
      <c r="N103" s="113" t="s">
        <v>132</v>
      </c>
      <c r="O103" s="114">
        <v>46023</v>
      </c>
      <c r="P103" s="113" t="s">
        <v>81</v>
      </c>
      <c r="Q103" s="115">
        <f>780000*Rateio!$E$388/12</f>
        <v>2600</v>
      </c>
      <c r="R103" s="115">
        <f>780000*Rateio!$E$388/12</f>
        <v>2600</v>
      </c>
      <c r="S103" s="115">
        <f>780000*Rateio!$E$388/12</f>
        <v>2600</v>
      </c>
      <c r="T103" s="115">
        <f>780000*Rateio!$E$388/12</f>
        <v>2600</v>
      </c>
      <c r="U103" s="115">
        <f>780000*Rateio!$E$388/12</f>
        <v>2600</v>
      </c>
      <c r="V103" s="115">
        <f>780000*Rateio!$E$388/12</f>
        <v>2600</v>
      </c>
      <c r="W103" s="115">
        <f>780000*Rateio!$E$388/12</f>
        <v>2600</v>
      </c>
      <c r="X103" s="115">
        <f>780000*Rateio!$E$388/12</f>
        <v>2600</v>
      </c>
      <c r="Y103" s="115">
        <f>780000*Rateio!$E$388/12</f>
        <v>2600</v>
      </c>
      <c r="Z103" s="115">
        <f>780000*Rateio!$E$388/12</f>
        <v>2600</v>
      </c>
      <c r="AA103" s="115">
        <f>780000*Rateio!$E$388/12</f>
        <v>2600</v>
      </c>
      <c r="AB103" s="115">
        <f>780000*Rateio!$E$388/12</f>
        <v>2600</v>
      </c>
      <c r="AC103" s="116">
        <f t="shared" si="53"/>
        <v>31200</v>
      </c>
      <c r="AD103" s="108"/>
      <c r="AE103" s="117">
        <f>IF(ISBLANK(Q103),"",IF($P103="BRL",Q103,Q103*Macroindicadores!B$2)/1000)</f>
        <v>2.6</v>
      </c>
      <c r="AF103" s="117">
        <f>IF(ISBLANK(R103),"",IF($P103="BRL",R103,R103*Macroindicadores!C$2)/1000)</f>
        <v>2.6</v>
      </c>
      <c r="AG103" s="117">
        <f>IF(ISBLANK(S103),"",IF($P103="BRL",S103,S103*Macroindicadores!D$2)/1000)</f>
        <v>2.6</v>
      </c>
      <c r="AH103" s="117">
        <f>IF(ISBLANK(T103),"",IF($P103="BRL",T103,T103*Macroindicadores!E$2)/1000)</f>
        <v>2.6</v>
      </c>
      <c r="AI103" s="117">
        <f>IF(ISBLANK(U103),"",IF($P103="BRL",U103,U103*Macroindicadores!F$2)/1000)</f>
        <v>2.6</v>
      </c>
      <c r="AJ103" s="117">
        <f>IF(ISBLANK(V103),"",IF($P103="BRL",V103,V103*Macroindicadores!G$2)/1000)</f>
        <v>2.6</v>
      </c>
      <c r="AK103" s="117">
        <f>IF(ISBLANK(W103),"",IF($P103="BRL",W103,W103*Macroindicadores!H$2)/1000)</f>
        <v>2.6</v>
      </c>
      <c r="AL103" s="117">
        <f>IF(ISBLANK(X103),"",IF($P103="BRL",X103,X103*Macroindicadores!I$2)/1000)</f>
        <v>2.6</v>
      </c>
      <c r="AM103" s="117">
        <f>IF(ISBLANK(Y103),"",IF($P103="BRL",Y103,Y103*Macroindicadores!J$2)/1000)</f>
        <v>2.6</v>
      </c>
      <c r="AN103" s="117">
        <f>IF(ISBLANK(Z103),"",IF($P103="BRL",Z103,Z103*Macroindicadores!K$2)/1000)</f>
        <v>2.6</v>
      </c>
      <c r="AO103" s="117">
        <f>IF(ISBLANK(AA103),"",IF($P103="BRL",AA103,AA103*Macroindicadores!L$2)/1000)</f>
        <v>2.6</v>
      </c>
      <c r="AP103" s="117">
        <f>IF(ISBLANK(AB103),"",IF($P103="BRL",AB103,AB103*Macroindicadores!M$2)/1000)</f>
        <v>2.6</v>
      </c>
      <c r="AQ103" s="118">
        <f t="shared" si="51"/>
        <v>31.200000000000006</v>
      </c>
      <c r="AR103" s="108"/>
      <c r="AS103" s="117">
        <f>IF(ISBLANK(Q103),"",IF(ISBLANK($O103),AE103,IF($J103="ANUAL",AE103*(1+Macroindicadores!B$7),IF(AND($I103="NOVO",MONTH($O103)=MONTH(AS$4)),AE103*(1+Macroindicadores!B$7),IF(AND($J103="PONTUAL",MONTH($O103)=MONTH(AS$4)),AE103*(1+Macroindicadores!B$7),IF(AND($J103="PONTUAL",MONTH($O103)&lt;MONTH(AS$4)),MIN(AR103:$AS103),IF(AND($I103="NOVO",MONTH($O103)&gt;MONTH(AS$4)),AE103,IF(MONTH($O103)&gt;MONTH(AS$4),AE103,IF(MONTH($O103)=MONTH(AS$4),AE103*(1+Macroindicadores!B$7),AR103)))))))))</f>
        <v>2.7421552062132784</v>
      </c>
      <c r="AT103" s="117">
        <f>IF(ISBLANK(R103),"",IF(ISBLANK($O103),AF103,IF($J103="ANUAL",AF103*(1+Macroindicadores!C$7),IF(AND($I103="NOVO",MONTH($O103)=MONTH(AT$4)),AF103*(1+Macroindicadores!C$7),IF(AND($J103="PONTUAL",MONTH($O103)=MONTH(AT$4)),AF103*(1+Macroindicadores!C$7),IF(AND($J103="PONTUAL",MONTH($O103)&lt;MONTH(AT$4)),MIN($AS103:AS103),IF(AND($I103="NOVO",MONTH($O103)&gt;MONTH(AT$4)),AF103,IF(MONTH($O103)&gt;MONTH(AT$4),AF103,IF(MONTH($O103)=MONTH(AT$4),AF103*(1+Macroindicadores!C$7),AS103)))))))))</f>
        <v>2.7421552062132784</v>
      </c>
      <c r="AU103" s="117">
        <f>IF(ISBLANK(S103),"",IF(ISBLANK($O103),AG103,IF($J103="ANUAL",AG103*(1+Macroindicadores!D$7),IF(AND($I103="NOVO",MONTH($O103)=MONTH(AU$4)),AG103*(1+Macroindicadores!D$7),IF(AND($J103="PONTUAL",MONTH($O103)=MONTH(AU$4)),AG103*(1+Macroindicadores!D$7),IF(AND($J103="PONTUAL",MONTH($O103)&lt;MONTH(AU$4)),MIN($AS103:AT103),IF(AND($I103="NOVO",MONTH($O103)&gt;MONTH(AU$4)),AG103,IF(MONTH($O103)&gt;MONTH(AU$4),AG103,IF(MONTH($O103)=MONTH(AU$4),AG103*(1+Macroindicadores!D$7),AT103)))))))))</f>
        <v>2.7421552062132784</v>
      </c>
      <c r="AV103" s="117">
        <f>IF(ISBLANK(T103),"",IF(ISBLANK($O103),AH103,IF($J103="ANUAL",AH103*(1+Macroindicadores!E$7),IF(AND($I103="NOVO",MONTH($O103)=MONTH(AV$4)),AH103*(1+Macroindicadores!E$7),IF(AND($J103="PONTUAL",MONTH($O103)=MONTH(AV$4)),AH103*(1+Macroindicadores!E$7),IF(AND($J103="PONTUAL",MONTH($O103)&lt;MONTH(AV$4)),MIN($AS103:AU103),IF(AND($I103="NOVO",MONTH($O103)&gt;MONTH(AV$4)),AH103,IF(MONTH($O103)&gt;MONTH(AV$4),AH103,IF(MONTH($O103)=MONTH(AV$4),AH103*(1+Macroindicadores!E$7),AU103)))))))))</f>
        <v>2.7421552062132784</v>
      </c>
      <c r="AW103" s="117">
        <f>IF(ISBLANK(U103),"",IF(ISBLANK($O103),AI103,IF($J103="ANUAL",AI103*(1+Macroindicadores!F$7),IF(AND($I103="NOVO",MONTH($O103)=MONTH(AW$4)),AI103*(1+Macroindicadores!F$7),IF(AND($J103="PONTUAL",MONTH($O103)=MONTH(AW$4)),AI103*(1+Macroindicadores!F$7),IF(AND($J103="PONTUAL",MONTH($O103)&lt;MONTH(AW$4)),MIN($AS103:AV103),IF(AND($I103="NOVO",MONTH($O103)&gt;MONTH(AW$4)),AI103,IF(MONTH($O103)&gt;MONTH(AW$4),AI103,IF(MONTH($O103)=MONTH(AW$4),AI103*(1+Macroindicadores!F$7),AV103)))))))))</f>
        <v>2.7421552062132784</v>
      </c>
      <c r="AX103" s="117">
        <f>IF(ISBLANK(V103),"",IF(ISBLANK($O103),AJ103,IF($J103="ANUAL",AJ103*(1+Macroindicadores!G$7),IF(AND($I103="NOVO",MONTH($O103)=MONTH(AX$4)),AJ103*(1+Macroindicadores!G$7),IF(AND($J103="PONTUAL",MONTH($O103)=MONTH(AX$4)),AJ103*(1+Macroindicadores!G$7),IF(AND($J103="PONTUAL",MONTH($O103)&lt;MONTH(AX$4)),MIN($AS103:AW103),IF(AND($I103="NOVO",MONTH($O103)&gt;MONTH(AX$4)),AJ103,IF(MONTH($O103)&gt;MONTH(AX$4),AJ103,IF(MONTH($O103)=MONTH(AX$4),AJ103*(1+Macroindicadores!G$7),AW103)))))))))</f>
        <v>2.7421552062132784</v>
      </c>
      <c r="AY103" s="117">
        <f>IF(ISBLANK(W103),"",IF(ISBLANK($O103),AK103,IF($J103="ANUAL",AK103*(1+Macroindicadores!H$7),IF(AND($I103="NOVO",MONTH($O103)=MONTH(AY$4)),AK103*(1+Macroindicadores!H$7),IF(AND($J103="PONTUAL",MONTH($O103)=MONTH(AY$4)),AK103*(1+Macroindicadores!H$7),IF(AND($J103="PONTUAL",MONTH($O103)&lt;MONTH(AY$4)),MIN($AS103:AX103),IF(AND($I103="NOVO",MONTH($O103)&gt;MONTH(AY$4)),AK103,IF(MONTH($O103)&gt;MONTH(AY$4),AK103,IF(MONTH($O103)=MONTH(AY$4),AK103*(1+Macroindicadores!H$7),AX103)))))))))</f>
        <v>2.7421552062132784</v>
      </c>
      <c r="AZ103" s="117">
        <f>IF(ISBLANK(X103),"",IF(ISBLANK($O103),AL103,IF($J103="ANUAL",AL103*(1+Macroindicadores!I$7),IF(AND($I103="NOVO",MONTH($O103)=MONTH(AZ$4)),AL103*(1+Macroindicadores!I$7),IF(AND($J103="PONTUAL",MONTH($O103)=MONTH(AZ$4)),AL103*(1+Macroindicadores!I$7),IF(AND($J103="PONTUAL",MONTH($O103)&lt;MONTH(AZ$4)),MIN($AS103:AY103),IF(AND($I103="NOVO",MONTH($O103)&gt;MONTH(AZ$4)),AL103,IF(MONTH($O103)&gt;MONTH(AZ$4),AL103,IF(MONTH($O103)=MONTH(AZ$4),AL103*(1+Macroindicadores!I$7),AY103)))))))))</f>
        <v>2.7421552062132784</v>
      </c>
      <c r="BA103" s="117">
        <f>IF(ISBLANK(Y103),"",IF(ISBLANK($O103),AM103,IF($J103="ANUAL",AM103*(1+Macroindicadores!J$7),IF(AND($I103="NOVO",MONTH($O103)=MONTH(BA$4)),AM103*(1+Macroindicadores!J$7),IF(AND($J103="PONTUAL",MONTH($O103)=MONTH(BA$4)),AM103*(1+Macroindicadores!J$7),IF(AND($J103="PONTUAL",MONTH($O103)&lt;MONTH(BA$4)),MIN($AS103:AZ103),IF(AND($I103="NOVO",MONTH($O103)&gt;MONTH(BA$4)),AM103,IF(MONTH($O103)&gt;MONTH(BA$4),AM103,IF(MONTH($O103)=MONTH(BA$4),AM103*(1+Macroindicadores!J$7),AZ103)))))))))</f>
        <v>2.7421552062132784</v>
      </c>
      <c r="BB103" s="117">
        <f>IF(ISBLANK(Z103),"",IF(ISBLANK($O103),AN103,IF($J103="ANUAL",AN103*(1+Macroindicadores!K$7),IF(AND($I103="NOVO",MONTH($O103)=MONTH(BB$4)),AN103*(1+Macroindicadores!K$7),IF(AND($J103="PONTUAL",MONTH($O103)=MONTH(BB$4)),AN103*(1+Macroindicadores!K$7),IF(AND($J103="PONTUAL",MONTH($O103)&lt;MONTH(BB$4)),MIN($AS103:BA103),IF(AND($I103="NOVO",MONTH($O103)&gt;MONTH(BB$4)),AN103,IF(MONTH($O103)&gt;MONTH(BB$4),AN103,IF(MONTH($O103)=MONTH(BB$4),AN103*(1+Macroindicadores!K$7),BA103)))))))))</f>
        <v>2.7421552062132784</v>
      </c>
      <c r="BC103" s="117">
        <f>IF(ISBLANK(AA103),"",IF(ISBLANK($O103),AO103,IF($J103="ANUAL",AO103*(1+Macroindicadores!L$7),IF(AND($I103="NOVO",MONTH($O103)=MONTH(BC$4)),AO103*(1+Macroindicadores!L$7),IF(AND($J103="PONTUAL",MONTH($O103)=MONTH(BC$4)),AO103*(1+Macroindicadores!L$7),IF(AND($J103="PONTUAL",MONTH($O103)&lt;MONTH(BC$4)),MIN($AS103:BB103),IF(AND($I103="NOVO",MONTH($O103)&gt;MONTH(BC$4)),AO103,IF(MONTH($O103)&gt;MONTH(BC$4),AO103,IF(MONTH($O103)=MONTH(BC$4),AO103*(1+Macroindicadores!L$7),BB103)))))))))</f>
        <v>2.7421552062132784</v>
      </c>
      <c r="BD103" s="117">
        <f>IF(ISBLANK(AB103),"",IF(ISBLANK($O103),AP103,IF($J103="ANUAL",AP103*(1+Macroindicadores!M$7),IF(AND($I103="NOVO",MONTH($O103)=MONTH(BD$4)),AP103*(1+Macroindicadores!M$7),IF(AND($J103="PONTUAL",MONTH($O103)=MONTH(BD$4)),AP103*(1+Macroindicadores!M$7),IF(AND($J103="PONTUAL",MONTH($O103)&lt;MONTH(BD$4)),MIN($AS103:BC103),IF(AND($I103="NOVO",MONTH($O103)&gt;MONTH(BD$4)),AP103,IF(MONTH($O103)&gt;MONTH(BD$4),AP103,IF(MONTH($O103)=MONTH(BD$4),AP103*(1+Macroindicadores!M$7),BC103)))))))))</f>
        <v>2.7421552062132784</v>
      </c>
      <c r="BE103" s="118">
        <f t="shared" si="50"/>
        <v>32.905862474559349</v>
      </c>
      <c r="BF103" s="108"/>
      <c r="BG103" s="117">
        <f>IF(ISBLANK(Q103),"",AS103/Macroindicadores!B$2)</f>
        <v>0.46635292622674801</v>
      </c>
      <c r="BH103" s="117">
        <f>IF(ISBLANK(R103),"",AT103/Macroindicadores!C$2)</f>
        <v>0.46635292622674801</v>
      </c>
      <c r="BI103" s="117">
        <f>IF(ISBLANK(S103),"",AU103/Macroindicadores!D$2)</f>
        <v>0.46635292622674801</v>
      </c>
      <c r="BJ103" s="117">
        <f>IF(ISBLANK(T103),"",AV103/Macroindicadores!E$2)</f>
        <v>0.46635292622674801</v>
      </c>
      <c r="BK103" s="117">
        <f>IF(ISBLANK(U103),"",AW103/Macroindicadores!F$2)</f>
        <v>0.46635292622674801</v>
      </c>
      <c r="BL103" s="117">
        <f>IF(ISBLANK(V103),"",AX103/Macroindicadores!G$2)</f>
        <v>0.46635292622674801</v>
      </c>
      <c r="BM103" s="117">
        <f>IF(ISBLANK(W103),"",AY103/Macroindicadores!H$2)</f>
        <v>0.46635292622674801</v>
      </c>
      <c r="BN103" s="117">
        <f>IF(ISBLANK(X103),"",AZ103/Macroindicadores!I$2)</f>
        <v>0.46635292622674801</v>
      </c>
      <c r="BO103" s="117">
        <f>IF(ISBLANK(Y103),"",BA103/Macroindicadores!J$2)</f>
        <v>0.46635292622674801</v>
      </c>
      <c r="BP103" s="117">
        <f>IF(ISBLANK(Z103),"",BB103/Macroindicadores!K$2)</f>
        <v>0.46635292622674801</v>
      </c>
      <c r="BQ103" s="117">
        <f>IF(ISBLANK(AA103),"",BC103/Macroindicadores!L$2)</f>
        <v>0.46635292622674801</v>
      </c>
      <c r="BR103" s="117">
        <f>IF(ISBLANK(AB103),"",BD103/Macroindicadores!M$2)</f>
        <v>0.46635292622674801</v>
      </c>
      <c r="BS103" s="118">
        <f>IF(AND(ISBLANK($Q103),ISBLANK($R103),ISBLANK($S103),ISBLANK($T103),ISBLANK($U103),ISBLANK($V103),ISBLANK($W103),ISBLANK($X103),ISBLANK($Y103),ISBLANK($Z103),ISBLANK($AA103),ISBLANK($AB103)),"",SUM(BG103:BR103))</f>
        <v>5.5962351147209768</v>
      </c>
      <c r="BT103" s="25" t="str">
        <f>IF(ISBLANK($L103),"",_xlfn.XLOOKUP($L103,'CENTRO CUSTO'!$A:$A,'CENTRO CUSTO'!$E:$E,FALSE,0))</f>
        <v>G&amp;A PL</v>
      </c>
    </row>
    <row r="104" spans="1:72">
      <c r="A104" s="9" t="str">
        <f t="shared" si="52"/>
        <v>Budget</v>
      </c>
      <c r="B104" s="9">
        <f t="shared" si="66"/>
        <v>2026</v>
      </c>
      <c r="C104" s="111" t="str">
        <f>IF(ISBLANK($L104),"",_xlfn.XLOOKUP($L104,'CENTRO CUSTO'!$A:$A,'CENTRO CUSTO'!F:F,FALSE,0))</f>
        <v>LATAM</v>
      </c>
      <c r="D104" s="111" t="str">
        <f>IF(ISBLANK($L104),"",_xlfn.XLOOKUP($L104,'CENTRO CUSTO'!$A:$A,'CENTRO CUSTO'!G:G,FALSE,0))</f>
        <v>Corporativo</v>
      </c>
      <c r="E104" s="111" t="str">
        <f>IF(ISBLANK($L104),"",_xlfn.XLOOKUP($L104,'CENTRO CUSTO'!$A:$A,'CENTRO CUSTO'!H:H,FALSE,0))</f>
        <v>G&amp;A</v>
      </c>
      <c r="F104" s="112" t="s">
        <v>134</v>
      </c>
      <c r="G104" s="112" t="s">
        <v>123</v>
      </c>
      <c r="H104" s="112" t="s">
        <v>135</v>
      </c>
      <c r="I104" s="113" t="s">
        <v>77</v>
      </c>
      <c r="J104" s="113" t="s">
        <v>78</v>
      </c>
      <c r="K104" s="113" t="s">
        <v>79</v>
      </c>
      <c r="L104" s="113" t="s">
        <v>96</v>
      </c>
      <c r="M104" s="111" t="str">
        <f>IF(ISBLANK($L104),"",_xlfn.XLOOKUP($L104,'CENTRO CUSTO'!$A:$A,'CENTRO CUSTO'!D:D,FALSE,0))</f>
        <v>Jimmy Espinosa</v>
      </c>
      <c r="N104" s="113" t="s">
        <v>132</v>
      </c>
      <c r="O104" s="114">
        <v>46023</v>
      </c>
      <c r="P104" s="113" t="s">
        <v>81</v>
      </c>
      <c r="Q104" s="115">
        <f>780000*Rateio!$E$389/12</f>
        <v>2600</v>
      </c>
      <c r="R104" s="115">
        <f>780000*Rateio!$E$389/12</f>
        <v>2600</v>
      </c>
      <c r="S104" s="115">
        <f>780000*Rateio!$E$389/12</f>
        <v>2600</v>
      </c>
      <c r="T104" s="115">
        <f>780000*Rateio!$E$389/12</f>
        <v>2600</v>
      </c>
      <c r="U104" s="115">
        <f>780000*Rateio!$E$389/12</f>
        <v>2600</v>
      </c>
      <c r="V104" s="115">
        <f>780000*Rateio!$E$389/12</f>
        <v>2600</v>
      </c>
      <c r="W104" s="115">
        <f>780000*Rateio!$E$389/12</f>
        <v>2600</v>
      </c>
      <c r="X104" s="115">
        <f>780000*Rateio!$E$389/12</f>
        <v>2600</v>
      </c>
      <c r="Y104" s="115">
        <f>780000*Rateio!$E$389/12</f>
        <v>2600</v>
      </c>
      <c r="Z104" s="115">
        <f>780000*Rateio!$E$389/12</f>
        <v>2600</v>
      </c>
      <c r="AA104" s="115">
        <f>780000*Rateio!$E$389/12</f>
        <v>2600</v>
      </c>
      <c r="AB104" s="115">
        <f>780000*Rateio!$E$389/12</f>
        <v>2600</v>
      </c>
      <c r="AC104" s="116">
        <f t="shared" si="53"/>
        <v>31200</v>
      </c>
      <c r="AD104" s="108"/>
      <c r="AE104" s="117">
        <f>IF(ISBLANK(Q104),"",IF($P104="BRL",Q104,Q104*Macroindicadores!B$2)/1000)</f>
        <v>2.6</v>
      </c>
      <c r="AF104" s="117">
        <f>IF(ISBLANK(R104),"",IF($P104="BRL",R104,R104*Macroindicadores!C$2)/1000)</f>
        <v>2.6</v>
      </c>
      <c r="AG104" s="117">
        <f>IF(ISBLANK(S104),"",IF($P104="BRL",S104,S104*Macroindicadores!D$2)/1000)</f>
        <v>2.6</v>
      </c>
      <c r="AH104" s="117">
        <f>IF(ISBLANK(T104),"",IF($P104="BRL",T104,T104*Macroindicadores!E$2)/1000)</f>
        <v>2.6</v>
      </c>
      <c r="AI104" s="117">
        <f>IF(ISBLANK(U104),"",IF($P104="BRL",U104,U104*Macroindicadores!F$2)/1000)</f>
        <v>2.6</v>
      </c>
      <c r="AJ104" s="117">
        <f>IF(ISBLANK(V104),"",IF($P104="BRL",V104,V104*Macroindicadores!G$2)/1000)</f>
        <v>2.6</v>
      </c>
      <c r="AK104" s="117">
        <f>IF(ISBLANK(W104),"",IF($P104="BRL",W104,W104*Macroindicadores!H$2)/1000)</f>
        <v>2.6</v>
      </c>
      <c r="AL104" s="117">
        <f>IF(ISBLANK(X104),"",IF($P104="BRL",X104,X104*Macroindicadores!I$2)/1000)</f>
        <v>2.6</v>
      </c>
      <c r="AM104" s="117">
        <f>IF(ISBLANK(Y104),"",IF($P104="BRL",Y104,Y104*Macroindicadores!J$2)/1000)</f>
        <v>2.6</v>
      </c>
      <c r="AN104" s="117">
        <f>IF(ISBLANK(Z104),"",IF($P104="BRL",Z104,Z104*Macroindicadores!K$2)/1000)</f>
        <v>2.6</v>
      </c>
      <c r="AO104" s="117">
        <f>IF(ISBLANK(AA104),"",IF($P104="BRL",AA104,AA104*Macroindicadores!L$2)/1000)</f>
        <v>2.6</v>
      </c>
      <c r="AP104" s="117">
        <f>IF(ISBLANK(AB104),"",IF($P104="BRL",AB104,AB104*Macroindicadores!M$2)/1000)</f>
        <v>2.6</v>
      </c>
      <c r="AQ104" s="118">
        <f t="shared" si="51"/>
        <v>31.200000000000006</v>
      </c>
      <c r="AR104" s="108"/>
      <c r="AS104" s="117">
        <f>IF(ISBLANK(Q104),"",IF(ISBLANK($O104),AE104,IF($J104="ANUAL",AE104*(1+Macroindicadores!B$7),IF(AND($I104="NOVO",MONTH($O104)=MONTH(AS$4)),AE104*(1+Macroindicadores!B$7),IF(AND($J104="PONTUAL",MONTH($O104)=MONTH(AS$4)),AE104*(1+Macroindicadores!B$7),IF(AND($J104="PONTUAL",MONTH($O104)&lt;MONTH(AS$4)),MIN(AR104:$AS104),IF(AND($I104="NOVO",MONTH($O104)&gt;MONTH(AS$4)),AE104,IF(MONTH($O104)&gt;MONTH(AS$4),AE104,IF(MONTH($O104)=MONTH(AS$4),AE104*(1+Macroindicadores!B$7),AR104)))))))))</f>
        <v>2.7421552062132784</v>
      </c>
      <c r="AT104" s="117">
        <f>IF(ISBLANK(R104),"",IF(ISBLANK($O104),AF104,IF($J104="ANUAL",AF104*(1+Macroindicadores!C$7),IF(AND($I104="NOVO",MONTH($O104)=MONTH(AT$4)),AF104*(1+Macroindicadores!C$7),IF(AND($J104="PONTUAL",MONTH($O104)=MONTH(AT$4)),AF104*(1+Macroindicadores!C$7),IF(AND($J104="PONTUAL",MONTH($O104)&lt;MONTH(AT$4)),MIN($AS104:AS104),IF(AND($I104="NOVO",MONTH($O104)&gt;MONTH(AT$4)),AF104,IF(MONTH($O104)&gt;MONTH(AT$4),AF104,IF(MONTH($O104)=MONTH(AT$4),AF104*(1+Macroindicadores!C$7),AS104)))))))))</f>
        <v>2.7421552062132784</v>
      </c>
      <c r="AU104" s="117">
        <f>IF(ISBLANK(S104),"",IF(ISBLANK($O104),AG104,IF($J104="ANUAL",AG104*(1+Macroindicadores!D$7),IF(AND($I104="NOVO",MONTH($O104)=MONTH(AU$4)),AG104*(1+Macroindicadores!D$7),IF(AND($J104="PONTUAL",MONTH($O104)=MONTH(AU$4)),AG104*(1+Macroindicadores!D$7),IF(AND($J104="PONTUAL",MONTH($O104)&lt;MONTH(AU$4)),MIN($AS104:AT104),IF(AND($I104="NOVO",MONTH($O104)&gt;MONTH(AU$4)),AG104,IF(MONTH($O104)&gt;MONTH(AU$4),AG104,IF(MONTH($O104)=MONTH(AU$4),AG104*(1+Macroindicadores!D$7),AT104)))))))))</f>
        <v>2.7421552062132784</v>
      </c>
      <c r="AV104" s="117">
        <f>IF(ISBLANK(T104),"",IF(ISBLANK($O104),AH104,IF($J104="ANUAL",AH104*(1+Macroindicadores!E$7),IF(AND($I104="NOVO",MONTH($O104)=MONTH(AV$4)),AH104*(1+Macroindicadores!E$7),IF(AND($J104="PONTUAL",MONTH($O104)=MONTH(AV$4)),AH104*(1+Macroindicadores!E$7),IF(AND($J104="PONTUAL",MONTH($O104)&lt;MONTH(AV$4)),MIN($AS104:AU104),IF(AND($I104="NOVO",MONTH($O104)&gt;MONTH(AV$4)),AH104,IF(MONTH($O104)&gt;MONTH(AV$4),AH104,IF(MONTH($O104)=MONTH(AV$4),AH104*(1+Macroindicadores!E$7),AU104)))))))))</f>
        <v>2.7421552062132784</v>
      </c>
      <c r="AW104" s="117">
        <f>IF(ISBLANK(U104),"",IF(ISBLANK($O104),AI104,IF($J104="ANUAL",AI104*(1+Macroindicadores!F$7),IF(AND($I104="NOVO",MONTH($O104)=MONTH(AW$4)),AI104*(1+Macroindicadores!F$7),IF(AND($J104="PONTUAL",MONTH($O104)=MONTH(AW$4)),AI104*(1+Macroindicadores!F$7),IF(AND($J104="PONTUAL",MONTH($O104)&lt;MONTH(AW$4)),MIN($AS104:AV104),IF(AND($I104="NOVO",MONTH($O104)&gt;MONTH(AW$4)),AI104,IF(MONTH($O104)&gt;MONTH(AW$4),AI104,IF(MONTH($O104)=MONTH(AW$4),AI104*(1+Macroindicadores!F$7),AV104)))))))))</f>
        <v>2.7421552062132784</v>
      </c>
      <c r="AX104" s="117">
        <f>IF(ISBLANK(V104),"",IF(ISBLANK($O104),AJ104,IF($J104="ANUAL",AJ104*(1+Macroindicadores!G$7),IF(AND($I104="NOVO",MONTH($O104)=MONTH(AX$4)),AJ104*(1+Macroindicadores!G$7),IF(AND($J104="PONTUAL",MONTH($O104)=MONTH(AX$4)),AJ104*(1+Macroindicadores!G$7),IF(AND($J104="PONTUAL",MONTH($O104)&lt;MONTH(AX$4)),MIN($AS104:AW104),IF(AND($I104="NOVO",MONTH($O104)&gt;MONTH(AX$4)),AJ104,IF(MONTH($O104)&gt;MONTH(AX$4),AJ104,IF(MONTH($O104)=MONTH(AX$4),AJ104*(1+Macroindicadores!G$7),AW104)))))))))</f>
        <v>2.7421552062132784</v>
      </c>
      <c r="AY104" s="117">
        <f>IF(ISBLANK(W104),"",IF(ISBLANK($O104),AK104,IF($J104="ANUAL",AK104*(1+Macroindicadores!H$7),IF(AND($I104="NOVO",MONTH($O104)=MONTH(AY$4)),AK104*(1+Macroindicadores!H$7),IF(AND($J104="PONTUAL",MONTH($O104)=MONTH(AY$4)),AK104*(1+Macroindicadores!H$7),IF(AND($J104="PONTUAL",MONTH($O104)&lt;MONTH(AY$4)),MIN($AS104:AX104),IF(AND($I104="NOVO",MONTH($O104)&gt;MONTH(AY$4)),AK104,IF(MONTH($O104)&gt;MONTH(AY$4),AK104,IF(MONTH($O104)=MONTH(AY$4),AK104*(1+Macroindicadores!H$7),AX104)))))))))</f>
        <v>2.7421552062132784</v>
      </c>
      <c r="AZ104" s="117">
        <f>IF(ISBLANK(X104),"",IF(ISBLANK($O104),AL104,IF($J104="ANUAL",AL104*(1+Macroindicadores!I$7),IF(AND($I104="NOVO",MONTH($O104)=MONTH(AZ$4)),AL104*(1+Macroindicadores!I$7),IF(AND($J104="PONTUAL",MONTH($O104)=MONTH(AZ$4)),AL104*(1+Macroindicadores!I$7),IF(AND($J104="PONTUAL",MONTH($O104)&lt;MONTH(AZ$4)),MIN($AS104:AY104),IF(AND($I104="NOVO",MONTH($O104)&gt;MONTH(AZ$4)),AL104,IF(MONTH($O104)&gt;MONTH(AZ$4),AL104,IF(MONTH($O104)=MONTH(AZ$4),AL104*(1+Macroindicadores!I$7),AY104)))))))))</f>
        <v>2.7421552062132784</v>
      </c>
      <c r="BA104" s="117">
        <f>IF(ISBLANK(Y104),"",IF(ISBLANK($O104),AM104,IF($J104="ANUAL",AM104*(1+Macroindicadores!J$7),IF(AND($I104="NOVO",MONTH($O104)=MONTH(BA$4)),AM104*(1+Macroindicadores!J$7),IF(AND($J104="PONTUAL",MONTH($O104)=MONTH(BA$4)),AM104*(1+Macroindicadores!J$7),IF(AND($J104="PONTUAL",MONTH($O104)&lt;MONTH(BA$4)),MIN($AS104:AZ104),IF(AND($I104="NOVO",MONTH($O104)&gt;MONTH(BA$4)),AM104,IF(MONTH($O104)&gt;MONTH(BA$4),AM104,IF(MONTH($O104)=MONTH(BA$4),AM104*(1+Macroindicadores!J$7),AZ104)))))))))</f>
        <v>2.7421552062132784</v>
      </c>
      <c r="BB104" s="117">
        <f>IF(ISBLANK(Z104),"",IF(ISBLANK($O104),AN104,IF($J104="ANUAL",AN104*(1+Macroindicadores!K$7),IF(AND($I104="NOVO",MONTH($O104)=MONTH(BB$4)),AN104*(1+Macroindicadores!K$7),IF(AND($J104="PONTUAL",MONTH($O104)=MONTH(BB$4)),AN104*(1+Macroindicadores!K$7),IF(AND($J104="PONTUAL",MONTH($O104)&lt;MONTH(BB$4)),MIN($AS104:BA104),IF(AND($I104="NOVO",MONTH($O104)&gt;MONTH(BB$4)),AN104,IF(MONTH($O104)&gt;MONTH(BB$4),AN104,IF(MONTH($O104)=MONTH(BB$4),AN104*(1+Macroindicadores!K$7),BA104)))))))))</f>
        <v>2.7421552062132784</v>
      </c>
      <c r="BC104" s="117">
        <f>IF(ISBLANK(AA104),"",IF(ISBLANK($O104),AO104,IF($J104="ANUAL",AO104*(1+Macroindicadores!L$7),IF(AND($I104="NOVO",MONTH($O104)=MONTH(BC$4)),AO104*(1+Macroindicadores!L$7),IF(AND($J104="PONTUAL",MONTH($O104)=MONTH(BC$4)),AO104*(1+Macroindicadores!L$7),IF(AND($J104="PONTUAL",MONTH($O104)&lt;MONTH(BC$4)),MIN($AS104:BB104),IF(AND($I104="NOVO",MONTH($O104)&gt;MONTH(BC$4)),AO104,IF(MONTH($O104)&gt;MONTH(BC$4),AO104,IF(MONTH($O104)=MONTH(BC$4),AO104*(1+Macroindicadores!L$7),BB104)))))))))</f>
        <v>2.7421552062132784</v>
      </c>
      <c r="BD104" s="117">
        <f>IF(ISBLANK(AB104),"",IF(ISBLANK($O104),AP104,IF($J104="ANUAL",AP104*(1+Macroindicadores!M$7),IF(AND($I104="NOVO",MONTH($O104)=MONTH(BD$4)),AP104*(1+Macroindicadores!M$7),IF(AND($J104="PONTUAL",MONTH($O104)=MONTH(BD$4)),AP104*(1+Macroindicadores!M$7),IF(AND($J104="PONTUAL",MONTH($O104)&lt;MONTH(BD$4)),MIN($AS104:BC104),IF(AND($I104="NOVO",MONTH($O104)&gt;MONTH(BD$4)),AP104,IF(MONTH($O104)&gt;MONTH(BD$4),AP104,IF(MONTH($O104)=MONTH(BD$4),AP104*(1+Macroindicadores!M$7),BC104)))))))))</f>
        <v>2.7421552062132784</v>
      </c>
      <c r="BE104" s="118">
        <f t="shared" si="50"/>
        <v>32.905862474559349</v>
      </c>
      <c r="BF104" s="108"/>
      <c r="BG104" s="117">
        <f>IF(ISBLANK(Q104),"",AS104/Macroindicadores!B$2)</f>
        <v>0.46635292622674801</v>
      </c>
      <c r="BH104" s="117">
        <f>IF(ISBLANK(R104),"",AT104/Macroindicadores!C$2)</f>
        <v>0.46635292622674801</v>
      </c>
      <c r="BI104" s="117">
        <f>IF(ISBLANK(S104),"",AU104/Macroindicadores!D$2)</f>
        <v>0.46635292622674801</v>
      </c>
      <c r="BJ104" s="117">
        <f>IF(ISBLANK(T104),"",AV104/Macroindicadores!E$2)</f>
        <v>0.46635292622674801</v>
      </c>
      <c r="BK104" s="117">
        <f>IF(ISBLANK(U104),"",AW104/Macroindicadores!F$2)</f>
        <v>0.46635292622674801</v>
      </c>
      <c r="BL104" s="117">
        <f>IF(ISBLANK(V104),"",AX104/Macroindicadores!G$2)</f>
        <v>0.46635292622674801</v>
      </c>
      <c r="BM104" s="117">
        <f>IF(ISBLANK(W104),"",AY104/Macroindicadores!H$2)</f>
        <v>0.46635292622674801</v>
      </c>
      <c r="BN104" s="117">
        <f>IF(ISBLANK(X104),"",AZ104/Macroindicadores!I$2)</f>
        <v>0.46635292622674801</v>
      </c>
      <c r="BO104" s="117">
        <f>IF(ISBLANK(Y104),"",BA104/Macroindicadores!J$2)</f>
        <v>0.46635292622674801</v>
      </c>
      <c r="BP104" s="117">
        <f>IF(ISBLANK(Z104),"",BB104/Macroindicadores!K$2)</f>
        <v>0.46635292622674801</v>
      </c>
      <c r="BQ104" s="117">
        <f>IF(ISBLANK(AA104),"",BC104/Macroindicadores!L$2)</f>
        <v>0.46635292622674801</v>
      </c>
      <c r="BR104" s="117">
        <f>IF(ISBLANK(AB104),"",BD104/Macroindicadores!M$2)</f>
        <v>0.46635292622674801</v>
      </c>
      <c r="BS104" s="118">
        <f>IF(AND(ISBLANK($Q104),ISBLANK($R104),ISBLANK($S104),ISBLANK($T104),ISBLANK($U104),ISBLANK($V104),ISBLANK($W104),ISBLANK($X104),ISBLANK($Y104),ISBLANK($Z104),ISBLANK($AA104),ISBLANK($AB104)),"",SUM(BG104:BR104))</f>
        <v>5.5962351147209768</v>
      </c>
      <c r="BT104" s="25" t="str">
        <f>IF(ISBLANK($L104),"",_xlfn.XLOOKUP($L104,'CENTRO CUSTO'!$A:$A,'CENTRO CUSTO'!$E:$E,FALSE,0))</f>
        <v>G&amp;A CP</v>
      </c>
    </row>
    <row r="105" spans="1:72">
      <c r="A105" s="9" t="str">
        <f t="shared" si="52"/>
        <v>Budget</v>
      </c>
      <c r="B105" s="9">
        <f t="shared" si="66"/>
        <v>2026</v>
      </c>
      <c r="C105" s="111" t="str">
        <f>IF(ISBLANK($L105),"",_xlfn.XLOOKUP($L105,'CENTRO CUSTO'!$A:$A,'CENTRO CUSTO'!F:F,FALSE,0))</f>
        <v>Transporte</v>
      </c>
      <c r="D105" s="111" t="str">
        <f>IF(ISBLANK($L105),"",_xlfn.XLOOKUP($L105,'CENTRO CUSTO'!$A:$A,'CENTRO CUSTO'!G:G,FALSE,0))</f>
        <v>BU-TR</v>
      </c>
      <c r="E105" s="111" t="str">
        <f>IF(ISBLANK($L105),"",_xlfn.XLOOKUP($L105,'CENTRO CUSTO'!$A:$A,'CENTRO CUSTO'!H:H,FALSE,0))</f>
        <v>G&amp;A</v>
      </c>
      <c r="F105" s="112" t="s">
        <v>136</v>
      </c>
      <c r="G105" s="112" t="s">
        <v>123</v>
      </c>
      <c r="H105" s="112" t="s">
        <v>137</v>
      </c>
      <c r="I105" s="113" t="s">
        <v>77</v>
      </c>
      <c r="J105" s="113" t="s">
        <v>78</v>
      </c>
      <c r="K105" s="113" t="s">
        <v>79</v>
      </c>
      <c r="L105" s="113" t="s">
        <v>38</v>
      </c>
      <c r="M105" s="111" t="str">
        <f>IF(ISBLANK($L105),"",_xlfn.XLOOKUP($L105,'CENTRO CUSTO'!$A:$A,'CENTRO CUSTO'!D:D,FALSE,0))</f>
        <v>Alexandre Ayabe</v>
      </c>
      <c r="N105" s="113" t="s">
        <v>132</v>
      </c>
      <c r="O105" s="114">
        <v>46024</v>
      </c>
      <c r="P105" s="113" t="s">
        <v>81</v>
      </c>
      <c r="Q105" s="115">
        <v>400</v>
      </c>
      <c r="R105" s="115">
        <v>400</v>
      </c>
      <c r="S105" s="115">
        <v>400</v>
      </c>
      <c r="T105" s="115">
        <v>400</v>
      </c>
      <c r="U105" s="115">
        <v>400</v>
      </c>
      <c r="V105" s="115">
        <v>400</v>
      </c>
      <c r="W105" s="115">
        <v>400</v>
      </c>
      <c r="X105" s="115">
        <v>400</v>
      </c>
      <c r="Y105" s="115">
        <v>400</v>
      </c>
      <c r="Z105" s="115">
        <v>400</v>
      </c>
      <c r="AA105" s="115">
        <v>400</v>
      </c>
      <c r="AB105" s="115">
        <v>400</v>
      </c>
      <c r="AC105" s="116">
        <f t="shared" si="53"/>
        <v>4800</v>
      </c>
      <c r="AD105" s="108"/>
      <c r="AE105" s="117">
        <f>IF(ISBLANK(Q105),"",IF($P105="BRL",Q105,Q105*Macroindicadores!B$2)/1000)</f>
        <v>0.4</v>
      </c>
      <c r="AF105" s="117">
        <f>IF(ISBLANK(R105),"",IF($P105="BRL",R105,R105*Macroindicadores!C$2)/1000)</f>
        <v>0.4</v>
      </c>
      <c r="AG105" s="117">
        <f>IF(ISBLANK(S105),"",IF($P105="BRL",S105,S105*Macroindicadores!D$2)/1000)</f>
        <v>0.4</v>
      </c>
      <c r="AH105" s="117">
        <f>IF(ISBLANK(T105),"",IF($P105="BRL",T105,T105*Macroindicadores!E$2)/1000)</f>
        <v>0.4</v>
      </c>
      <c r="AI105" s="117">
        <f>IF(ISBLANK(U105),"",IF($P105="BRL",U105,U105*Macroindicadores!F$2)/1000)</f>
        <v>0.4</v>
      </c>
      <c r="AJ105" s="117">
        <f>IF(ISBLANK(V105),"",IF($P105="BRL",V105,V105*Macroindicadores!G$2)/1000)</f>
        <v>0.4</v>
      </c>
      <c r="AK105" s="117">
        <f>IF(ISBLANK(W105),"",IF($P105="BRL",W105,W105*Macroindicadores!H$2)/1000)</f>
        <v>0.4</v>
      </c>
      <c r="AL105" s="117">
        <f>IF(ISBLANK(X105),"",IF($P105="BRL",X105,X105*Macroindicadores!I$2)/1000)</f>
        <v>0.4</v>
      </c>
      <c r="AM105" s="117">
        <f>IF(ISBLANK(Y105),"",IF($P105="BRL",Y105,Y105*Macroindicadores!J$2)/1000)</f>
        <v>0.4</v>
      </c>
      <c r="AN105" s="117">
        <f>IF(ISBLANK(Z105),"",IF($P105="BRL",Z105,Z105*Macroindicadores!K$2)/1000)</f>
        <v>0.4</v>
      </c>
      <c r="AO105" s="117">
        <f>IF(ISBLANK(AA105),"",IF($P105="BRL",AA105,AA105*Macroindicadores!L$2)/1000)</f>
        <v>0.4</v>
      </c>
      <c r="AP105" s="117">
        <f>IF(ISBLANK(AB105),"",IF($P105="BRL",AB105,AB105*Macroindicadores!M$2)/1000)</f>
        <v>0.4</v>
      </c>
      <c r="AQ105" s="118">
        <f t="shared" si="51"/>
        <v>4.8</v>
      </c>
      <c r="AR105" s="108"/>
      <c r="AS105" s="117">
        <f>IF(ISBLANK(Q105),"",IF(ISBLANK($O105),AE105,IF($J105="ANUAL",AE105*(1+Macroindicadores!B$7),IF(AND($I105="NOVO",MONTH($O105)=MONTH(AS$4)),AE105*(1+Macroindicadores!B$7),IF(AND($J105="PONTUAL",MONTH($O105)=MONTH(AS$4)),AE105*(1+Macroindicadores!B$7),IF(AND($J105="PONTUAL",MONTH($O105)&lt;MONTH(AS$4)),MIN(AR105:$AS105),IF(AND($I105="NOVO",MONTH($O105)&gt;MONTH(AS$4)),AE105,IF(MONTH($O105)&gt;MONTH(AS$4),AE105,IF(MONTH($O105)=MONTH(AS$4),AE105*(1+Macroindicadores!B$7),AR105)))))))))</f>
        <v>0.42187003172511972</v>
      </c>
      <c r="AT105" s="117">
        <f>IF(ISBLANK(R105),"",IF(ISBLANK($O105),AF105,IF($J105="ANUAL",AF105*(1+Macroindicadores!C$7),IF(AND($I105="NOVO",MONTH($O105)=MONTH(AT$4)),AF105*(1+Macroindicadores!C$7),IF(AND($J105="PONTUAL",MONTH($O105)=MONTH(AT$4)),AF105*(1+Macroindicadores!C$7),IF(AND($J105="PONTUAL",MONTH($O105)&lt;MONTH(AT$4)),MIN($AS105:AS105),IF(AND($I105="NOVO",MONTH($O105)&gt;MONTH(AT$4)),AF105,IF(MONTH($O105)&gt;MONTH(AT$4),AF105,IF(MONTH($O105)=MONTH(AT$4),AF105*(1+Macroindicadores!C$7),AS105)))))))))</f>
        <v>0.42187003172511972</v>
      </c>
      <c r="AU105" s="117">
        <f>IF(ISBLANK(S105),"",IF(ISBLANK($O105),AG105,IF($J105="ANUAL",AG105*(1+Macroindicadores!D$7),IF(AND($I105="NOVO",MONTH($O105)=MONTH(AU$4)),AG105*(1+Macroindicadores!D$7),IF(AND($J105="PONTUAL",MONTH($O105)=MONTH(AU$4)),AG105*(1+Macroindicadores!D$7),IF(AND($J105="PONTUAL",MONTH($O105)&lt;MONTH(AU$4)),MIN($AS105:AT105),IF(AND($I105="NOVO",MONTH($O105)&gt;MONTH(AU$4)),AG105,IF(MONTH($O105)&gt;MONTH(AU$4),AG105,IF(MONTH($O105)=MONTH(AU$4),AG105*(1+Macroindicadores!D$7),AT105)))))))))</f>
        <v>0.42187003172511972</v>
      </c>
      <c r="AV105" s="117">
        <f>IF(ISBLANK(T105),"",IF(ISBLANK($O105),AH105,IF($J105="ANUAL",AH105*(1+Macroindicadores!E$7),IF(AND($I105="NOVO",MONTH($O105)=MONTH(AV$4)),AH105*(1+Macroindicadores!E$7),IF(AND($J105="PONTUAL",MONTH($O105)=MONTH(AV$4)),AH105*(1+Macroindicadores!E$7),IF(AND($J105="PONTUAL",MONTH($O105)&lt;MONTH(AV$4)),MIN($AS105:AU105),IF(AND($I105="NOVO",MONTH($O105)&gt;MONTH(AV$4)),AH105,IF(MONTH($O105)&gt;MONTH(AV$4),AH105,IF(MONTH($O105)=MONTH(AV$4),AH105*(1+Macroindicadores!E$7),AU105)))))))))</f>
        <v>0.42187003172511972</v>
      </c>
      <c r="AW105" s="117">
        <f>IF(ISBLANK(U105),"",IF(ISBLANK($O105),AI105,IF($J105="ANUAL",AI105*(1+Macroindicadores!F$7),IF(AND($I105="NOVO",MONTH($O105)=MONTH(AW$4)),AI105*(1+Macroindicadores!F$7),IF(AND($J105="PONTUAL",MONTH($O105)=MONTH(AW$4)),AI105*(1+Macroindicadores!F$7),IF(AND($J105="PONTUAL",MONTH($O105)&lt;MONTH(AW$4)),MIN($AS105:AV105),IF(AND($I105="NOVO",MONTH($O105)&gt;MONTH(AW$4)),AI105,IF(MONTH($O105)&gt;MONTH(AW$4),AI105,IF(MONTH($O105)=MONTH(AW$4),AI105*(1+Macroindicadores!F$7),AV105)))))))))</f>
        <v>0.42187003172511972</v>
      </c>
      <c r="AX105" s="117">
        <f>IF(ISBLANK(V105),"",IF(ISBLANK($O105),AJ105,IF($J105="ANUAL",AJ105*(1+Macroindicadores!G$7),IF(AND($I105="NOVO",MONTH($O105)=MONTH(AX$4)),AJ105*(1+Macroindicadores!G$7),IF(AND($J105="PONTUAL",MONTH($O105)=MONTH(AX$4)),AJ105*(1+Macroindicadores!G$7),IF(AND($J105="PONTUAL",MONTH($O105)&lt;MONTH(AX$4)),MIN($AS105:AW105),IF(AND($I105="NOVO",MONTH($O105)&gt;MONTH(AX$4)),AJ105,IF(MONTH($O105)&gt;MONTH(AX$4),AJ105,IF(MONTH($O105)=MONTH(AX$4),AJ105*(1+Macroindicadores!G$7),AW105)))))))))</f>
        <v>0.42187003172511972</v>
      </c>
      <c r="AY105" s="117">
        <f>IF(ISBLANK(W105),"",IF(ISBLANK($O105),AK105,IF($J105="ANUAL",AK105*(1+Macroindicadores!H$7),IF(AND($I105="NOVO",MONTH($O105)=MONTH(AY$4)),AK105*(1+Macroindicadores!H$7),IF(AND($J105="PONTUAL",MONTH($O105)=MONTH(AY$4)),AK105*(1+Macroindicadores!H$7),IF(AND($J105="PONTUAL",MONTH($O105)&lt;MONTH(AY$4)),MIN($AS105:AX105),IF(AND($I105="NOVO",MONTH($O105)&gt;MONTH(AY$4)),AK105,IF(MONTH($O105)&gt;MONTH(AY$4),AK105,IF(MONTH($O105)=MONTH(AY$4),AK105*(1+Macroindicadores!H$7),AX105)))))))))</f>
        <v>0.42187003172511972</v>
      </c>
      <c r="AZ105" s="117">
        <f>IF(ISBLANK(X105),"",IF(ISBLANK($O105),AL105,IF($J105="ANUAL",AL105*(1+Macroindicadores!I$7),IF(AND($I105="NOVO",MONTH($O105)=MONTH(AZ$4)),AL105*(1+Macroindicadores!I$7),IF(AND($J105="PONTUAL",MONTH($O105)=MONTH(AZ$4)),AL105*(1+Macroindicadores!I$7),IF(AND($J105="PONTUAL",MONTH($O105)&lt;MONTH(AZ$4)),MIN($AS105:AY105),IF(AND($I105="NOVO",MONTH($O105)&gt;MONTH(AZ$4)),AL105,IF(MONTH($O105)&gt;MONTH(AZ$4),AL105,IF(MONTH($O105)=MONTH(AZ$4),AL105*(1+Macroindicadores!I$7),AY105)))))))))</f>
        <v>0.42187003172511972</v>
      </c>
      <c r="BA105" s="117">
        <f>IF(ISBLANK(Y105),"",IF(ISBLANK($O105),AM105,IF($J105="ANUAL",AM105*(1+Macroindicadores!J$7),IF(AND($I105="NOVO",MONTH($O105)=MONTH(BA$4)),AM105*(1+Macroindicadores!J$7),IF(AND($J105="PONTUAL",MONTH($O105)=MONTH(BA$4)),AM105*(1+Macroindicadores!J$7),IF(AND($J105="PONTUAL",MONTH($O105)&lt;MONTH(BA$4)),MIN($AS105:AZ105),IF(AND($I105="NOVO",MONTH($O105)&gt;MONTH(BA$4)),AM105,IF(MONTH($O105)&gt;MONTH(BA$4),AM105,IF(MONTH($O105)=MONTH(BA$4),AM105*(1+Macroindicadores!J$7),AZ105)))))))))</f>
        <v>0.42187003172511972</v>
      </c>
      <c r="BB105" s="117">
        <f>IF(ISBLANK(Z105),"",IF(ISBLANK($O105),AN105,IF($J105="ANUAL",AN105*(1+Macroindicadores!K$7),IF(AND($I105="NOVO",MONTH($O105)=MONTH(BB$4)),AN105*(1+Macroindicadores!K$7),IF(AND($J105="PONTUAL",MONTH($O105)=MONTH(BB$4)),AN105*(1+Macroindicadores!K$7),IF(AND($J105="PONTUAL",MONTH($O105)&lt;MONTH(BB$4)),MIN($AS105:BA105),IF(AND($I105="NOVO",MONTH($O105)&gt;MONTH(BB$4)),AN105,IF(MONTH($O105)&gt;MONTH(BB$4),AN105,IF(MONTH($O105)=MONTH(BB$4),AN105*(1+Macroindicadores!K$7),BA105)))))))))</f>
        <v>0.42187003172511972</v>
      </c>
      <c r="BC105" s="117">
        <f>IF(ISBLANK(AA105),"",IF(ISBLANK($O105),AO105,IF($J105="ANUAL",AO105*(1+Macroindicadores!L$7),IF(AND($I105="NOVO",MONTH($O105)=MONTH(BC$4)),AO105*(1+Macroindicadores!L$7),IF(AND($J105="PONTUAL",MONTH($O105)=MONTH(BC$4)),AO105*(1+Macroindicadores!L$7),IF(AND($J105="PONTUAL",MONTH($O105)&lt;MONTH(BC$4)),MIN($AS105:BB105),IF(AND($I105="NOVO",MONTH($O105)&gt;MONTH(BC$4)),AO105,IF(MONTH($O105)&gt;MONTH(BC$4),AO105,IF(MONTH($O105)=MONTH(BC$4),AO105*(1+Macroindicadores!L$7),BB105)))))))))</f>
        <v>0.42187003172511972</v>
      </c>
      <c r="BD105" s="117">
        <f>IF(ISBLANK(AB105),"",IF(ISBLANK($O105),AP105,IF($J105="ANUAL",AP105*(1+Macroindicadores!M$7),IF(AND($I105="NOVO",MONTH($O105)=MONTH(BD$4)),AP105*(1+Macroindicadores!M$7),IF(AND($J105="PONTUAL",MONTH($O105)=MONTH(BD$4)),AP105*(1+Macroindicadores!M$7),IF(AND($J105="PONTUAL",MONTH($O105)&lt;MONTH(BD$4)),MIN($AS105:BC105),IF(AND($I105="NOVO",MONTH($O105)&gt;MONTH(BD$4)),AP105,IF(MONTH($O105)&gt;MONTH(BD$4),AP105,IF(MONTH($O105)=MONTH(BD$4),AP105*(1+Macroindicadores!M$7),BC105)))))))))</f>
        <v>0.42187003172511972</v>
      </c>
      <c r="BE105" s="118">
        <f t="shared" si="50"/>
        <v>5.0624403807014362</v>
      </c>
      <c r="BF105" s="108"/>
      <c r="BG105" s="117">
        <f>IF(ISBLANK(Q105),"",AS105/Macroindicadores!B$2)</f>
        <v>7.1746604034884309E-2</v>
      </c>
      <c r="BH105" s="117">
        <f>IF(ISBLANK(R105),"",AT105/Macroindicadores!C$2)</f>
        <v>7.1746604034884309E-2</v>
      </c>
      <c r="BI105" s="117">
        <f>IF(ISBLANK(S105),"",AU105/Macroindicadores!D$2)</f>
        <v>7.1746604034884309E-2</v>
      </c>
      <c r="BJ105" s="117">
        <f>IF(ISBLANK(T105),"",AV105/Macroindicadores!E$2)</f>
        <v>7.1746604034884309E-2</v>
      </c>
      <c r="BK105" s="117">
        <f>IF(ISBLANK(U105),"",AW105/Macroindicadores!F$2)</f>
        <v>7.1746604034884309E-2</v>
      </c>
      <c r="BL105" s="117">
        <f>IF(ISBLANK(V105),"",AX105/Macroindicadores!G$2)</f>
        <v>7.1746604034884309E-2</v>
      </c>
      <c r="BM105" s="117">
        <f>IF(ISBLANK(W105),"",AY105/Macroindicadores!H$2)</f>
        <v>7.1746604034884309E-2</v>
      </c>
      <c r="BN105" s="117">
        <f>IF(ISBLANK(X105),"",AZ105/Macroindicadores!I$2)</f>
        <v>7.1746604034884309E-2</v>
      </c>
      <c r="BO105" s="117">
        <f>IF(ISBLANK(Y105),"",BA105/Macroindicadores!J$2)</f>
        <v>7.1746604034884309E-2</v>
      </c>
      <c r="BP105" s="117">
        <f>IF(ISBLANK(Z105),"",BB105/Macroindicadores!K$2)</f>
        <v>7.1746604034884309E-2</v>
      </c>
      <c r="BQ105" s="117">
        <f>IF(ISBLANK(AA105),"",BC105/Macroindicadores!L$2)</f>
        <v>7.1746604034884309E-2</v>
      </c>
      <c r="BR105" s="117">
        <f>IF(ISBLANK(AB105),"",BD105/Macroindicadores!M$2)</f>
        <v>7.1746604034884309E-2</v>
      </c>
      <c r="BS105" s="118">
        <f>IF(AND(ISBLANK($Q105),ISBLANK($R105),ISBLANK($S105),ISBLANK($T105),ISBLANK($U105),ISBLANK($V105),ISBLANK($W105),ISBLANK($X105),ISBLANK($Y105),ISBLANK($Z105),ISBLANK($AA105),ISBLANK($AB105)),"",SUM(BG105:BR105))</f>
        <v>0.86095924841861171</v>
      </c>
      <c r="BT105" s="25" t="str">
        <f>IF(ISBLANK($L105),"",_xlfn.XLOOKUP($L105,'CENTRO CUSTO'!$A:$A,'CENTRO CUSTO'!$E:$E,FALSE,0))</f>
        <v>G&amp;A BU</v>
      </c>
    </row>
    <row r="106" spans="1:72">
      <c r="A106" s="9" t="str">
        <f t="shared" si="52"/>
        <v>Budget</v>
      </c>
      <c r="B106" s="9">
        <f t="shared" si="66"/>
        <v>2026</v>
      </c>
      <c r="C106" s="111" t="str">
        <f>IF(ISBLANK($L106),"",_xlfn.XLOOKUP($L106,'CENTRO CUSTO'!$A:$A,'CENTRO CUSTO'!F:F,FALSE,0))</f>
        <v>Transporte</v>
      </c>
      <c r="D106" s="111" t="str">
        <f>IF(ISBLANK($L106),"",_xlfn.XLOOKUP($L106,'CENTRO CUSTO'!$A:$A,'CENTRO CUSTO'!G:G,FALSE,0))</f>
        <v>BU-TR</v>
      </c>
      <c r="E106" s="111" t="str">
        <f>IF(ISBLANK($L106),"",_xlfn.XLOOKUP($L106,'CENTRO CUSTO'!$A:$A,'CENTRO CUSTO'!H:H,FALSE,0))</f>
        <v>G&amp;A</v>
      </c>
      <c r="F106" s="112" t="s">
        <v>138</v>
      </c>
      <c r="G106" s="112" t="s">
        <v>123</v>
      </c>
      <c r="H106" s="112" t="s">
        <v>139</v>
      </c>
      <c r="I106" s="113" t="s">
        <v>77</v>
      </c>
      <c r="J106" s="113" t="s">
        <v>78</v>
      </c>
      <c r="K106" s="113" t="s">
        <v>79</v>
      </c>
      <c r="L106" s="113" t="s">
        <v>38</v>
      </c>
      <c r="M106" s="111" t="str">
        <f>IF(ISBLANK($L106),"",_xlfn.XLOOKUP($L106,'CENTRO CUSTO'!$A:$A,'CENTRO CUSTO'!D:D,FALSE,0))</f>
        <v>Alexandre Ayabe</v>
      </c>
      <c r="N106" s="113" t="s">
        <v>132</v>
      </c>
      <c r="O106" s="114">
        <v>46025</v>
      </c>
      <c r="P106" s="113" t="s">
        <v>81</v>
      </c>
      <c r="Q106" s="115">
        <v>400</v>
      </c>
      <c r="R106" s="115">
        <v>400</v>
      </c>
      <c r="S106" s="115">
        <v>400</v>
      </c>
      <c r="T106" s="115">
        <v>400</v>
      </c>
      <c r="U106" s="115">
        <v>400</v>
      </c>
      <c r="V106" s="115">
        <v>400</v>
      </c>
      <c r="W106" s="115">
        <v>400</v>
      </c>
      <c r="X106" s="115">
        <v>400</v>
      </c>
      <c r="Y106" s="115">
        <v>400</v>
      </c>
      <c r="Z106" s="115">
        <v>400</v>
      </c>
      <c r="AA106" s="115">
        <v>400</v>
      </c>
      <c r="AB106" s="115">
        <v>400</v>
      </c>
      <c r="AC106" s="116">
        <f t="shared" si="53"/>
        <v>4800</v>
      </c>
      <c r="AD106" s="108"/>
      <c r="AE106" s="117">
        <f>IF(ISBLANK(Q106),"",IF($P106="BRL",Q106,Q106*Macroindicadores!B$2)/1000)</f>
        <v>0.4</v>
      </c>
      <c r="AF106" s="117">
        <f>IF(ISBLANK(R106),"",IF($P106="BRL",R106,R106*Macroindicadores!C$2)/1000)</f>
        <v>0.4</v>
      </c>
      <c r="AG106" s="117">
        <f>IF(ISBLANK(S106),"",IF($P106="BRL",S106,S106*Macroindicadores!D$2)/1000)</f>
        <v>0.4</v>
      </c>
      <c r="AH106" s="117">
        <f>IF(ISBLANK(T106),"",IF($P106="BRL",T106,T106*Macroindicadores!E$2)/1000)</f>
        <v>0.4</v>
      </c>
      <c r="AI106" s="117">
        <f>IF(ISBLANK(U106),"",IF($P106="BRL",U106,U106*Macroindicadores!F$2)/1000)</f>
        <v>0.4</v>
      </c>
      <c r="AJ106" s="117">
        <f>IF(ISBLANK(V106),"",IF($P106="BRL",V106,V106*Macroindicadores!G$2)/1000)</f>
        <v>0.4</v>
      </c>
      <c r="AK106" s="117">
        <f>IF(ISBLANK(W106),"",IF($P106="BRL",W106,W106*Macroindicadores!H$2)/1000)</f>
        <v>0.4</v>
      </c>
      <c r="AL106" s="117">
        <f>IF(ISBLANK(X106),"",IF($P106="BRL",X106,X106*Macroindicadores!I$2)/1000)</f>
        <v>0.4</v>
      </c>
      <c r="AM106" s="117">
        <f>IF(ISBLANK(Y106),"",IF($P106="BRL",Y106,Y106*Macroindicadores!J$2)/1000)</f>
        <v>0.4</v>
      </c>
      <c r="AN106" s="117">
        <f>IF(ISBLANK(Z106),"",IF($P106="BRL",Z106,Z106*Macroindicadores!K$2)/1000)</f>
        <v>0.4</v>
      </c>
      <c r="AO106" s="117">
        <f>IF(ISBLANK(AA106),"",IF($P106="BRL",AA106,AA106*Macroindicadores!L$2)/1000)</f>
        <v>0.4</v>
      </c>
      <c r="AP106" s="117">
        <f>IF(ISBLANK(AB106),"",IF($P106="BRL",AB106,AB106*Macroindicadores!M$2)/1000)</f>
        <v>0.4</v>
      </c>
      <c r="AQ106" s="118">
        <f t="shared" si="51"/>
        <v>4.8</v>
      </c>
      <c r="AR106" s="108"/>
      <c r="AS106" s="117">
        <f>IF(ISBLANK(Q106),"",IF(ISBLANK($O106),AE106,IF($J106="ANUAL",AE106*(1+Macroindicadores!B$7),IF(AND($I106="NOVO",MONTH($O106)=MONTH(AS$4)),AE106*(1+Macroindicadores!B$7),IF(AND($J106="PONTUAL",MONTH($O106)=MONTH(AS$4)),AE106*(1+Macroindicadores!B$7),IF(AND($J106="PONTUAL",MONTH($O106)&lt;MONTH(AS$4)),MIN(AR106:$AS106),IF(AND($I106="NOVO",MONTH($O106)&gt;MONTH(AS$4)),AE106,IF(MONTH($O106)&gt;MONTH(AS$4),AE106,IF(MONTH($O106)=MONTH(AS$4),AE106*(1+Macroindicadores!B$7),AR106)))))))))</f>
        <v>0.42187003172511972</v>
      </c>
      <c r="AT106" s="117">
        <f>IF(ISBLANK(R106),"",IF(ISBLANK($O106),AF106,IF($J106="ANUAL",AF106*(1+Macroindicadores!C$7),IF(AND($I106="NOVO",MONTH($O106)=MONTH(AT$4)),AF106*(1+Macroindicadores!C$7),IF(AND($J106="PONTUAL",MONTH($O106)=MONTH(AT$4)),AF106*(1+Macroindicadores!C$7),IF(AND($J106="PONTUAL",MONTH($O106)&lt;MONTH(AT$4)),MIN($AS106:AS106),IF(AND($I106="NOVO",MONTH($O106)&gt;MONTH(AT$4)),AF106,IF(MONTH($O106)&gt;MONTH(AT$4),AF106,IF(MONTH($O106)=MONTH(AT$4),AF106*(1+Macroindicadores!C$7),AS106)))))))))</f>
        <v>0.42187003172511972</v>
      </c>
      <c r="AU106" s="117">
        <f>IF(ISBLANK(S106),"",IF(ISBLANK($O106),AG106,IF($J106="ANUAL",AG106*(1+Macroindicadores!D$7),IF(AND($I106="NOVO",MONTH($O106)=MONTH(AU$4)),AG106*(1+Macroindicadores!D$7),IF(AND($J106="PONTUAL",MONTH($O106)=MONTH(AU$4)),AG106*(1+Macroindicadores!D$7),IF(AND($J106="PONTUAL",MONTH($O106)&lt;MONTH(AU$4)),MIN($AS106:AT106),IF(AND($I106="NOVO",MONTH($O106)&gt;MONTH(AU$4)),AG106,IF(MONTH($O106)&gt;MONTH(AU$4),AG106,IF(MONTH($O106)=MONTH(AU$4),AG106*(1+Macroindicadores!D$7),AT106)))))))))</f>
        <v>0.42187003172511972</v>
      </c>
      <c r="AV106" s="117">
        <f>IF(ISBLANK(T106),"",IF(ISBLANK($O106),AH106,IF($J106="ANUAL",AH106*(1+Macroindicadores!E$7),IF(AND($I106="NOVO",MONTH($O106)=MONTH(AV$4)),AH106*(1+Macroindicadores!E$7),IF(AND($J106="PONTUAL",MONTH($O106)=MONTH(AV$4)),AH106*(1+Macroindicadores!E$7),IF(AND($J106="PONTUAL",MONTH($O106)&lt;MONTH(AV$4)),MIN($AS106:AU106),IF(AND($I106="NOVO",MONTH($O106)&gt;MONTH(AV$4)),AH106,IF(MONTH($O106)&gt;MONTH(AV$4),AH106,IF(MONTH($O106)=MONTH(AV$4),AH106*(1+Macroindicadores!E$7),AU106)))))))))</f>
        <v>0.42187003172511972</v>
      </c>
      <c r="AW106" s="117">
        <f>IF(ISBLANK(U106),"",IF(ISBLANK($O106),AI106,IF($J106="ANUAL",AI106*(1+Macroindicadores!F$7),IF(AND($I106="NOVO",MONTH($O106)=MONTH(AW$4)),AI106*(1+Macroindicadores!F$7),IF(AND($J106="PONTUAL",MONTH($O106)=MONTH(AW$4)),AI106*(1+Macroindicadores!F$7),IF(AND($J106="PONTUAL",MONTH($O106)&lt;MONTH(AW$4)),MIN($AS106:AV106),IF(AND($I106="NOVO",MONTH($O106)&gt;MONTH(AW$4)),AI106,IF(MONTH($O106)&gt;MONTH(AW$4),AI106,IF(MONTH($O106)=MONTH(AW$4),AI106*(1+Macroindicadores!F$7),AV106)))))))))</f>
        <v>0.42187003172511972</v>
      </c>
      <c r="AX106" s="117">
        <f>IF(ISBLANK(V106),"",IF(ISBLANK($O106),AJ106,IF($J106="ANUAL",AJ106*(1+Macroindicadores!G$7),IF(AND($I106="NOVO",MONTH($O106)=MONTH(AX$4)),AJ106*(1+Macroindicadores!G$7),IF(AND($J106="PONTUAL",MONTH($O106)=MONTH(AX$4)),AJ106*(1+Macroindicadores!G$7),IF(AND($J106="PONTUAL",MONTH($O106)&lt;MONTH(AX$4)),MIN($AS106:AW106),IF(AND($I106="NOVO",MONTH($O106)&gt;MONTH(AX$4)),AJ106,IF(MONTH($O106)&gt;MONTH(AX$4),AJ106,IF(MONTH($O106)=MONTH(AX$4),AJ106*(1+Macroindicadores!G$7),AW106)))))))))</f>
        <v>0.42187003172511972</v>
      </c>
      <c r="AY106" s="117">
        <f>IF(ISBLANK(W106),"",IF(ISBLANK($O106),AK106,IF($J106="ANUAL",AK106*(1+Macroindicadores!H$7),IF(AND($I106="NOVO",MONTH($O106)=MONTH(AY$4)),AK106*(1+Macroindicadores!H$7),IF(AND($J106="PONTUAL",MONTH($O106)=MONTH(AY$4)),AK106*(1+Macroindicadores!H$7),IF(AND($J106="PONTUAL",MONTH($O106)&lt;MONTH(AY$4)),MIN($AS106:AX106),IF(AND($I106="NOVO",MONTH($O106)&gt;MONTH(AY$4)),AK106,IF(MONTH($O106)&gt;MONTH(AY$4),AK106,IF(MONTH($O106)=MONTH(AY$4),AK106*(1+Macroindicadores!H$7),AX106)))))))))</f>
        <v>0.42187003172511972</v>
      </c>
      <c r="AZ106" s="117">
        <f>IF(ISBLANK(X106),"",IF(ISBLANK($O106),AL106,IF($J106="ANUAL",AL106*(1+Macroindicadores!I$7),IF(AND($I106="NOVO",MONTH($O106)=MONTH(AZ$4)),AL106*(1+Macroindicadores!I$7),IF(AND($J106="PONTUAL",MONTH($O106)=MONTH(AZ$4)),AL106*(1+Macroindicadores!I$7),IF(AND($J106="PONTUAL",MONTH($O106)&lt;MONTH(AZ$4)),MIN($AS106:AY106),IF(AND($I106="NOVO",MONTH($O106)&gt;MONTH(AZ$4)),AL106,IF(MONTH($O106)&gt;MONTH(AZ$4),AL106,IF(MONTH($O106)=MONTH(AZ$4),AL106*(1+Macroindicadores!I$7),AY106)))))))))</f>
        <v>0.42187003172511972</v>
      </c>
      <c r="BA106" s="117">
        <f>IF(ISBLANK(Y106),"",IF(ISBLANK($O106),AM106,IF($J106="ANUAL",AM106*(1+Macroindicadores!J$7),IF(AND($I106="NOVO",MONTH($O106)=MONTH(BA$4)),AM106*(1+Macroindicadores!J$7),IF(AND($J106="PONTUAL",MONTH($O106)=MONTH(BA$4)),AM106*(1+Macroindicadores!J$7),IF(AND($J106="PONTUAL",MONTH($O106)&lt;MONTH(BA$4)),MIN($AS106:AZ106),IF(AND($I106="NOVO",MONTH($O106)&gt;MONTH(BA$4)),AM106,IF(MONTH($O106)&gt;MONTH(BA$4),AM106,IF(MONTH($O106)=MONTH(BA$4),AM106*(1+Macroindicadores!J$7),AZ106)))))))))</f>
        <v>0.42187003172511972</v>
      </c>
      <c r="BB106" s="117">
        <f>IF(ISBLANK(Z106),"",IF(ISBLANK($O106),AN106,IF($J106="ANUAL",AN106*(1+Macroindicadores!K$7),IF(AND($I106="NOVO",MONTH($O106)=MONTH(BB$4)),AN106*(1+Macroindicadores!K$7),IF(AND($J106="PONTUAL",MONTH($O106)=MONTH(BB$4)),AN106*(1+Macroindicadores!K$7),IF(AND($J106="PONTUAL",MONTH($O106)&lt;MONTH(BB$4)),MIN($AS106:BA106),IF(AND($I106="NOVO",MONTH($O106)&gt;MONTH(BB$4)),AN106,IF(MONTH($O106)&gt;MONTH(BB$4),AN106,IF(MONTH($O106)=MONTH(BB$4),AN106*(1+Macroindicadores!K$7),BA106)))))))))</f>
        <v>0.42187003172511972</v>
      </c>
      <c r="BC106" s="117">
        <f>IF(ISBLANK(AA106),"",IF(ISBLANK($O106),AO106,IF($J106="ANUAL",AO106*(1+Macroindicadores!L$7),IF(AND($I106="NOVO",MONTH($O106)=MONTH(BC$4)),AO106*(1+Macroindicadores!L$7),IF(AND($J106="PONTUAL",MONTH($O106)=MONTH(BC$4)),AO106*(1+Macroindicadores!L$7),IF(AND($J106="PONTUAL",MONTH($O106)&lt;MONTH(BC$4)),MIN($AS106:BB106),IF(AND($I106="NOVO",MONTH($O106)&gt;MONTH(BC$4)),AO106,IF(MONTH($O106)&gt;MONTH(BC$4),AO106,IF(MONTH($O106)=MONTH(BC$4),AO106*(1+Macroindicadores!L$7),BB106)))))))))</f>
        <v>0.42187003172511972</v>
      </c>
      <c r="BD106" s="117">
        <f>IF(ISBLANK(AB106),"",IF(ISBLANK($O106),AP106,IF($J106="ANUAL",AP106*(1+Macroindicadores!M$7),IF(AND($I106="NOVO",MONTH($O106)=MONTH(BD$4)),AP106*(1+Macroindicadores!M$7),IF(AND($J106="PONTUAL",MONTH($O106)=MONTH(BD$4)),AP106*(1+Macroindicadores!M$7),IF(AND($J106="PONTUAL",MONTH($O106)&lt;MONTH(BD$4)),MIN($AS106:BC106),IF(AND($I106="NOVO",MONTH($O106)&gt;MONTH(BD$4)),AP106,IF(MONTH($O106)&gt;MONTH(BD$4),AP106,IF(MONTH($O106)=MONTH(BD$4),AP106*(1+Macroindicadores!M$7),BC106)))))))))</f>
        <v>0.42187003172511972</v>
      </c>
      <c r="BE106" s="118">
        <f t="shared" si="50"/>
        <v>5.0624403807014362</v>
      </c>
      <c r="BF106" s="108"/>
      <c r="BG106" s="117">
        <f>IF(ISBLANK(Q106),"",AS106/Macroindicadores!B$2)</f>
        <v>7.1746604034884309E-2</v>
      </c>
      <c r="BH106" s="117">
        <f>IF(ISBLANK(R106),"",AT106/Macroindicadores!C$2)</f>
        <v>7.1746604034884309E-2</v>
      </c>
      <c r="BI106" s="117">
        <f>IF(ISBLANK(S106),"",AU106/Macroindicadores!D$2)</f>
        <v>7.1746604034884309E-2</v>
      </c>
      <c r="BJ106" s="117">
        <f>IF(ISBLANK(T106),"",AV106/Macroindicadores!E$2)</f>
        <v>7.1746604034884309E-2</v>
      </c>
      <c r="BK106" s="117">
        <f>IF(ISBLANK(U106),"",AW106/Macroindicadores!F$2)</f>
        <v>7.1746604034884309E-2</v>
      </c>
      <c r="BL106" s="117">
        <f>IF(ISBLANK(V106),"",AX106/Macroindicadores!G$2)</f>
        <v>7.1746604034884309E-2</v>
      </c>
      <c r="BM106" s="117">
        <f>IF(ISBLANK(W106),"",AY106/Macroindicadores!H$2)</f>
        <v>7.1746604034884309E-2</v>
      </c>
      <c r="BN106" s="117">
        <f>IF(ISBLANK(X106),"",AZ106/Macroindicadores!I$2)</f>
        <v>7.1746604034884309E-2</v>
      </c>
      <c r="BO106" s="117">
        <f>IF(ISBLANK(Y106),"",BA106/Macroindicadores!J$2)</f>
        <v>7.1746604034884309E-2</v>
      </c>
      <c r="BP106" s="117">
        <f>IF(ISBLANK(Z106),"",BB106/Macroindicadores!K$2)</f>
        <v>7.1746604034884309E-2</v>
      </c>
      <c r="BQ106" s="117">
        <f>IF(ISBLANK(AA106),"",BC106/Macroindicadores!L$2)</f>
        <v>7.1746604034884309E-2</v>
      </c>
      <c r="BR106" s="117">
        <f>IF(ISBLANK(AB106),"",BD106/Macroindicadores!M$2)</f>
        <v>7.1746604034884309E-2</v>
      </c>
      <c r="BS106" s="118">
        <f>IF(AND(ISBLANK($Q106),ISBLANK($R106),ISBLANK($S106),ISBLANK($T106),ISBLANK($U106),ISBLANK($V106),ISBLANK($W106),ISBLANK($X106),ISBLANK($Y106),ISBLANK($Z106),ISBLANK($AA106),ISBLANK($AB106)),"",SUM(BG106:BR106))</f>
        <v>0.86095924841861171</v>
      </c>
      <c r="BT106" s="25" t="str">
        <f>IF(ISBLANK($L106),"",_xlfn.XLOOKUP($L106,'CENTRO CUSTO'!$A:$A,'CENTRO CUSTO'!$E:$E,FALSE,0))</f>
        <v>G&amp;A BU</v>
      </c>
    </row>
    <row r="107" spans="1:72">
      <c r="A107" s="9" t="str">
        <f t="shared" si="52"/>
        <v>Budget</v>
      </c>
      <c r="B107" s="9">
        <f t="shared" si="66"/>
        <v>2026</v>
      </c>
      <c r="C107" s="111" t="str">
        <f>IF(ISBLANK($L107),"",_xlfn.XLOOKUP($L107,'CENTRO CUSTO'!$A:$A,'CENTRO CUSTO'!F:F,FALSE,0))</f>
        <v>Transporte</v>
      </c>
      <c r="D107" s="111" t="str">
        <f>IF(ISBLANK($L107),"",_xlfn.XLOOKUP($L107,'CENTRO CUSTO'!$A:$A,'CENTRO CUSTO'!G:G,FALSE,0))</f>
        <v>BU-TR</v>
      </c>
      <c r="E107" s="111" t="str">
        <f>IF(ISBLANK($L107),"",_xlfn.XLOOKUP($L107,'CENTRO CUSTO'!$A:$A,'CENTRO CUSTO'!H:H,FALSE,0))</f>
        <v>G&amp;A</v>
      </c>
      <c r="F107" s="112" t="s">
        <v>140</v>
      </c>
      <c r="G107" s="112" t="s">
        <v>123</v>
      </c>
      <c r="H107" s="112" t="s">
        <v>141</v>
      </c>
      <c r="I107" s="113" t="s">
        <v>77</v>
      </c>
      <c r="J107" s="113" t="s">
        <v>78</v>
      </c>
      <c r="K107" s="113" t="s">
        <v>79</v>
      </c>
      <c r="L107" s="113" t="s">
        <v>38</v>
      </c>
      <c r="M107" s="111" t="str">
        <f>IF(ISBLANK($L107),"",_xlfn.XLOOKUP($L107,'CENTRO CUSTO'!$A:$A,'CENTRO CUSTO'!D:D,FALSE,0))</f>
        <v>Alexandre Ayabe</v>
      </c>
      <c r="N107" s="113" t="s">
        <v>132</v>
      </c>
      <c r="O107" s="114">
        <v>46026</v>
      </c>
      <c r="P107" s="113" t="s">
        <v>81</v>
      </c>
      <c r="Q107" s="115">
        <v>400</v>
      </c>
      <c r="R107" s="115">
        <v>400</v>
      </c>
      <c r="S107" s="115">
        <v>400</v>
      </c>
      <c r="T107" s="115">
        <v>400</v>
      </c>
      <c r="U107" s="115">
        <v>400</v>
      </c>
      <c r="V107" s="115">
        <v>400</v>
      </c>
      <c r="W107" s="115">
        <v>400</v>
      </c>
      <c r="X107" s="115">
        <v>400</v>
      </c>
      <c r="Y107" s="115">
        <v>400</v>
      </c>
      <c r="Z107" s="115">
        <v>400</v>
      </c>
      <c r="AA107" s="115">
        <v>400</v>
      </c>
      <c r="AB107" s="115">
        <v>400</v>
      </c>
      <c r="AC107" s="116">
        <f t="shared" si="53"/>
        <v>4800</v>
      </c>
      <c r="AD107" s="108"/>
      <c r="AE107" s="117">
        <f>IF(ISBLANK(Q107),"",IF($P107="BRL",Q107,Q107*Macroindicadores!B$2)/1000)</f>
        <v>0.4</v>
      </c>
      <c r="AF107" s="117">
        <f>IF(ISBLANK(R107),"",IF($P107="BRL",R107,R107*Macroindicadores!C$2)/1000)</f>
        <v>0.4</v>
      </c>
      <c r="AG107" s="117">
        <f>IF(ISBLANK(S107),"",IF($P107="BRL",S107,S107*Macroindicadores!D$2)/1000)</f>
        <v>0.4</v>
      </c>
      <c r="AH107" s="117">
        <f>IF(ISBLANK(T107),"",IF($P107="BRL",T107,T107*Macroindicadores!E$2)/1000)</f>
        <v>0.4</v>
      </c>
      <c r="AI107" s="117">
        <f>IF(ISBLANK(U107),"",IF($P107="BRL",U107,U107*Macroindicadores!F$2)/1000)</f>
        <v>0.4</v>
      </c>
      <c r="AJ107" s="117">
        <f>IF(ISBLANK(V107),"",IF($P107="BRL",V107,V107*Macroindicadores!G$2)/1000)</f>
        <v>0.4</v>
      </c>
      <c r="AK107" s="117">
        <f>IF(ISBLANK(W107),"",IF($P107="BRL",W107,W107*Macroindicadores!H$2)/1000)</f>
        <v>0.4</v>
      </c>
      <c r="AL107" s="117">
        <f>IF(ISBLANK(X107),"",IF($P107="BRL",X107,X107*Macroindicadores!I$2)/1000)</f>
        <v>0.4</v>
      </c>
      <c r="AM107" s="117">
        <f>IF(ISBLANK(Y107),"",IF($P107="BRL",Y107,Y107*Macroindicadores!J$2)/1000)</f>
        <v>0.4</v>
      </c>
      <c r="AN107" s="117">
        <f>IF(ISBLANK(Z107),"",IF($P107="BRL",Z107,Z107*Macroindicadores!K$2)/1000)</f>
        <v>0.4</v>
      </c>
      <c r="AO107" s="117">
        <f>IF(ISBLANK(AA107),"",IF($P107="BRL",AA107,AA107*Macroindicadores!L$2)/1000)</f>
        <v>0.4</v>
      </c>
      <c r="AP107" s="117">
        <f>IF(ISBLANK(AB107),"",IF($P107="BRL",AB107,AB107*Macroindicadores!M$2)/1000)</f>
        <v>0.4</v>
      </c>
      <c r="AQ107" s="118">
        <f t="shared" si="51"/>
        <v>4.8</v>
      </c>
      <c r="AR107" s="108"/>
      <c r="AS107" s="117">
        <f>IF(ISBLANK(Q107),"",IF(ISBLANK($O107),AE107,IF($J107="ANUAL",AE107*(1+Macroindicadores!B$7),IF(AND($I107="NOVO",MONTH($O107)=MONTH(AS$4)),AE107*(1+Macroindicadores!B$7),IF(AND($J107="PONTUAL",MONTH($O107)=MONTH(AS$4)),AE107*(1+Macroindicadores!B$7),IF(AND($J107="PONTUAL",MONTH($O107)&lt;MONTH(AS$4)),MIN(AR107:$AS107),IF(AND($I107="NOVO",MONTH($O107)&gt;MONTH(AS$4)),AE107,IF(MONTH($O107)&gt;MONTH(AS$4),AE107,IF(MONTH($O107)=MONTH(AS$4),AE107*(1+Macroindicadores!B$7),AR107)))))))))</f>
        <v>0.42187003172511972</v>
      </c>
      <c r="AT107" s="117">
        <f>IF(ISBLANK(R107),"",IF(ISBLANK($O107),AF107,IF($J107="ANUAL",AF107*(1+Macroindicadores!C$7),IF(AND($I107="NOVO",MONTH($O107)=MONTH(AT$4)),AF107*(1+Macroindicadores!C$7),IF(AND($J107="PONTUAL",MONTH($O107)=MONTH(AT$4)),AF107*(1+Macroindicadores!C$7),IF(AND($J107="PONTUAL",MONTH($O107)&lt;MONTH(AT$4)),MIN($AS107:AS107),IF(AND($I107="NOVO",MONTH($O107)&gt;MONTH(AT$4)),AF107,IF(MONTH($O107)&gt;MONTH(AT$4),AF107,IF(MONTH($O107)=MONTH(AT$4),AF107*(1+Macroindicadores!C$7),AS107)))))))))</f>
        <v>0.42187003172511972</v>
      </c>
      <c r="AU107" s="117">
        <f>IF(ISBLANK(S107),"",IF(ISBLANK($O107),AG107,IF($J107="ANUAL",AG107*(1+Macroindicadores!D$7),IF(AND($I107="NOVO",MONTH($O107)=MONTH(AU$4)),AG107*(1+Macroindicadores!D$7),IF(AND($J107="PONTUAL",MONTH($O107)=MONTH(AU$4)),AG107*(1+Macroindicadores!D$7),IF(AND($J107="PONTUAL",MONTH($O107)&lt;MONTH(AU$4)),MIN($AS107:AT107),IF(AND($I107="NOVO",MONTH($O107)&gt;MONTH(AU$4)),AG107,IF(MONTH($O107)&gt;MONTH(AU$4),AG107,IF(MONTH($O107)=MONTH(AU$4),AG107*(1+Macroindicadores!D$7),AT107)))))))))</f>
        <v>0.42187003172511972</v>
      </c>
      <c r="AV107" s="117">
        <f>IF(ISBLANK(T107),"",IF(ISBLANK($O107),AH107,IF($J107="ANUAL",AH107*(1+Macroindicadores!E$7),IF(AND($I107="NOVO",MONTH($O107)=MONTH(AV$4)),AH107*(1+Macroindicadores!E$7),IF(AND($J107="PONTUAL",MONTH($O107)=MONTH(AV$4)),AH107*(1+Macroindicadores!E$7),IF(AND($J107="PONTUAL",MONTH($O107)&lt;MONTH(AV$4)),MIN($AS107:AU107),IF(AND($I107="NOVO",MONTH($O107)&gt;MONTH(AV$4)),AH107,IF(MONTH($O107)&gt;MONTH(AV$4),AH107,IF(MONTH($O107)=MONTH(AV$4),AH107*(1+Macroindicadores!E$7),AU107)))))))))</f>
        <v>0.42187003172511972</v>
      </c>
      <c r="AW107" s="117">
        <f>IF(ISBLANK(U107),"",IF(ISBLANK($O107),AI107,IF($J107="ANUAL",AI107*(1+Macroindicadores!F$7),IF(AND($I107="NOVO",MONTH($O107)=MONTH(AW$4)),AI107*(1+Macroindicadores!F$7),IF(AND($J107="PONTUAL",MONTH($O107)=MONTH(AW$4)),AI107*(1+Macroindicadores!F$7),IF(AND($J107="PONTUAL",MONTH($O107)&lt;MONTH(AW$4)),MIN($AS107:AV107),IF(AND($I107="NOVO",MONTH($O107)&gt;MONTH(AW$4)),AI107,IF(MONTH($O107)&gt;MONTH(AW$4),AI107,IF(MONTH($O107)=MONTH(AW$4),AI107*(1+Macroindicadores!F$7),AV107)))))))))</f>
        <v>0.42187003172511972</v>
      </c>
      <c r="AX107" s="117">
        <f>IF(ISBLANK(V107),"",IF(ISBLANK($O107),AJ107,IF($J107="ANUAL",AJ107*(1+Macroindicadores!G$7),IF(AND($I107="NOVO",MONTH($O107)=MONTH(AX$4)),AJ107*(1+Macroindicadores!G$7),IF(AND($J107="PONTUAL",MONTH($O107)=MONTH(AX$4)),AJ107*(1+Macroindicadores!G$7),IF(AND($J107="PONTUAL",MONTH($O107)&lt;MONTH(AX$4)),MIN($AS107:AW107),IF(AND($I107="NOVO",MONTH($O107)&gt;MONTH(AX$4)),AJ107,IF(MONTH($O107)&gt;MONTH(AX$4),AJ107,IF(MONTH($O107)=MONTH(AX$4),AJ107*(1+Macroindicadores!G$7),AW107)))))))))</f>
        <v>0.42187003172511972</v>
      </c>
      <c r="AY107" s="117">
        <f>IF(ISBLANK(W107),"",IF(ISBLANK($O107),AK107,IF($J107="ANUAL",AK107*(1+Macroindicadores!H$7),IF(AND($I107="NOVO",MONTH($O107)=MONTH(AY$4)),AK107*(1+Macroindicadores!H$7),IF(AND($J107="PONTUAL",MONTH($O107)=MONTH(AY$4)),AK107*(1+Macroindicadores!H$7),IF(AND($J107="PONTUAL",MONTH($O107)&lt;MONTH(AY$4)),MIN($AS107:AX107),IF(AND($I107="NOVO",MONTH($O107)&gt;MONTH(AY$4)),AK107,IF(MONTH($O107)&gt;MONTH(AY$4),AK107,IF(MONTH($O107)=MONTH(AY$4),AK107*(1+Macroindicadores!H$7),AX107)))))))))</f>
        <v>0.42187003172511972</v>
      </c>
      <c r="AZ107" s="117">
        <f>IF(ISBLANK(X107),"",IF(ISBLANK($O107),AL107,IF($J107="ANUAL",AL107*(1+Macroindicadores!I$7),IF(AND($I107="NOVO",MONTH($O107)=MONTH(AZ$4)),AL107*(1+Macroindicadores!I$7),IF(AND($J107="PONTUAL",MONTH($O107)=MONTH(AZ$4)),AL107*(1+Macroindicadores!I$7),IF(AND($J107="PONTUAL",MONTH($O107)&lt;MONTH(AZ$4)),MIN($AS107:AY107),IF(AND($I107="NOVO",MONTH($O107)&gt;MONTH(AZ$4)),AL107,IF(MONTH($O107)&gt;MONTH(AZ$4),AL107,IF(MONTH($O107)=MONTH(AZ$4),AL107*(1+Macroindicadores!I$7),AY107)))))))))</f>
        <v>0.42187003172511972</v>
      </c>
      <c r="BA107" s="117">
        <f>IF(ISBLANK(Y107),"",IF(ISBLANK($O107),AM107,IF($J107="ANUAL",AM107*(1+Macroindicadores!J$7),IF(AND($I107="NOVO",MONTH($O107)=MONTH(BA$4)),AM107*(1+Macroindicadores!J$7),IF(AND($J107="PONTUAL",MONTH($O107)=MONTH(BA$4)),AM107*(1+Macroindicadores!J$7),IF(AND($J107="PONTUAL",MONTH($O107)&lt;MONTH(BA$4)),MIN($AS107:AZ107),IF(AND($I107="NOVO",MONTH($O107)&gt;MONTH(BA$4)),AM107,IF(MONTH($O107)&gt;MONTH(BA$4),AM107,IF(MONTH($O107)=MONTH(BA$4),AM107*(1+Macroindicadores!J$7),AZ107)))))))))</f>
        <v>0.42187003172511972</v>
      </c>
      <c r="BB107" s="117">
        <f>IF(ISBLANK(Z107),"",IF(ISBLANK($O107),AN107,IF($J107="ANUAL",AN107*(1+Macroindicadores!K$7),IF(AND($I107="NOVO",MONTH($O107)=MONTH(BB$4)),AN107*(1+Macroindicadores!K$7),IF(AND($J107="PONTUAL",MONTH($O107)=MONTH(BB$4)),AN107*(1+Macroindicadores!K$7),IF(AND($J107="PONTUAL",MONTH($O107)&lt;MONTH(BB$4)),MIN($AS107:BA107),IF(AND($I107="NOVO",MONTH($O107)&gt;MONTH(BB$4)),AN107,IF(MONTH($O107)&gt;MONTH(BB$4),AN107,IF(MONTH($O107)=MONTH(BB$4),AN107*(1+Macroindicadores!K$7),BA107)))))))))</f>
        <v>0.42187003172511972</v>
      </c>
      <c r="BC107" s="117">
        <f>IF(ISBLANK(AA107),"",IF(ISBLANK($O107),AO107,IF($J107="ANUAL",AO107*(1+Macroindicadores!L$7),IF(AND($I107="NOVO",MONTH($O107)=MONTH(BC$4)),AO107*(1+Macroindicadores!L$7),IF(AND($J107="PONTUAL",MONTH($O107)=MONTH(BC$4)),AO107*(1+Macroindicadores!L$7),IF(AND($J107="PONTUAL",MONTH($O107)&lt;MONTH(BC$4)),MIN($AS107:BB107),IF(AND($I107="NOVO",MONTH($O107)&gt;MONTH(BC$4)),AO107,IF(MONTH($O107)&gt;MONTH(BC$4),AO107,IF(MONTH($O107)=MONTH(BC$4),AO107*(1+Macroindicadores!L$7),BB107)))))))))</f>
        <v>0.42187003172511972</v>
      </c>
      <c r="BD107" s="117">
        <f>IF(ISBLANK(AB107),"",IF(ISBLANK($O107),AP107,IF($J107="ANUAL",AP107*(1+Macroindicadores!M$7),IF(AND($I107="NOVO",MONTH($O107)=MONTH(BD$4)),AP107*(1+Macroindicadores!M$7),IF(AND($J107="PONTUAL",MONTH($O107)=MONTH(BD$4)),AP107*(1+Macroindicadores!M$7),IF(AND($J107="PONTUAL",MONTH($O107)&lt;MONTH(BD$4)),MIN($AS107:BC107),IF(AND($I107="NOVO",MONTH($O107)&gt;MONTH(BD$4)),AP107,IF(MONTH($O107)&gt;MONTH(BD$4),AP107,IF(MONTH($O107)=MONTH(BD$4),AP107*(1+Macroindicadores!M$7),BC107)))))))))</f>
        <v>0.42187003172511972</v>
      </c>
      <c r="BE107" s="118">
        <f t="shared" si="50"/>
        <v>5.0624403807014362</v>
      </c>
      <c r="BF107" s="108"/>
      <c r="BG107" s="117">
        <f>IF(ISBLANK(Q107),"",AS107/Macroindicadores!B$2)</f>
        <v>7.1746604034884309E-2</v>
      </c>
      <c r="BH107" s="117">
        <f>IF(ISBLANK(R107),"",AT107/Macroindicadores!C$2)</f>
        <v>7.1746604034884309E-2</v>
      </c>
      <c r="BI107" s="117">
        <f>IF(ISBLANK(S107),"",AU107/Macroindicadores!D$2)</f>
        <v>7.1746604034884309E-2</v>
      </c>
      <c r="BJ107" s="117">
        <f>IF(ISBLANK(T107),"",AV107/Macroindicadores!E$2)</f>
        <v>7.1746604034884309E-2</v>
      </c>
      <c r="BK107" s="117">
        <f>IF(ISBLANK(U107),"",AW107/Macroindicadores!F$2)</f>
        <v>7.1746604034884309E-2</v>
      </c>
      <c r="BL107" s="117">
        <f>IF(ISBLANK(V107),"",AX107/Macroindicadores!G$2)</f>
        <v>7.1746604034884309E-2</v>
      </c>
      <c r="BM107" s="117">
        <f>IF(ISBLANK(W107),"",AY107/Macroindicadores!H$2)</f>
        <v>7.1746604034884309E-2</v>
      </c>
      <c r="BN107" s="117">
        <f>IF(ISBLANK(X107),"",AZ107/Macroindicadores!I$2)</f>
        <v>7.1746604034884309E-2</v>
      </c>
      <c r="BO107" s="117">
        <f>IF(ISBLANK(Y107),"",BA107/Macroindicadores!J$2)</f>
        <v>7.1746604034884309E-2</v>
      </c>
      <c r="BP107" s="117">
        <f>IF(ISBLANK(Z107),"",BB107/Macroindicadores!K$2)</f>
        <v>7.1746604034884309E-2</v>
      </c>
      <c r="BQ107" s="117">
        <f>IF(ISBLANK(AA107),"",BC107/Macroindicadores!L$2)</f>
        <v>7.1746604034884309E-2</v>
      </c>
      <c r="BR107" s="117">
        <f>IF(ISBLANK(AB107),"",BD107/Macroindicadores!M$2)</f>
        <v>7.1746604034884309E-2</v>
      </c>
      <c r="BS107" s="118">
        <f>IF(AND(ISBLANK($Q107),ISBLANK($R107),ISBLANK($S107),ISBLANK($T107),ISBLANK($U107),ISBLANK($V107),ISBLANK($W107),ISBLANK($X107),ISBLANK($Y107),ISBLANK($Z107),ISBLANK($AA107),ISBLANK($AB107)),"",SUM(BG107:BR107))</f>
        <v>0.86095924841861171</v>
      </c>
      <c r="BT107" s="25" t="str">
        <f>IF(ISBLANK($L107),"",_xlfn.XLOOKUP($L107,'CENTRO CUSTO'!$A:$A,'CENTRO CUSTO'!$E:$E,FALSE,0))</f>
        <v>G&amp;A BU</v>
      </c>
    </row>
    <row r="108" spans="1:72">
      <c r="A108" s="9" t="str">
        <f t="shared" si="52"/>
        <v>Budget</v>
      </c>
      <c r="B108" s="9">
        <f t="shared" si="66"/>
        <v>2026</v>
      </c>
      <c r="C108" s="111" t="str">
        <f>IF(ISBLANK($L108),"",_xlfn.XLOOKUP($L108,'CENTRO CUSTO'!$A:$A,'CENTRO CUSTO'!F:F,FALSE,0))</f>
        <v>Transporte</v>
      </c>
      <c r="D108" s="111" t="str">
        <f>IF(ISBLANK($L108),"",_xlfn.XLOOKUP($L108,'CENTRO CUSTO'!$A:$A,'CENTRO CUSTO'!G:G,FALSE,0))</f>
        <v>BU-TR</v>
      </c>
      <c r="E108" s="111" t="str">
        <f>IF(ISBLANK($L108),"",_xlfn.XLOOKUP($L108,'CENTRO CUSTO'!$A:$A,'CENTRO CUSTO'!H:H,FALSE,0))</f>
        <v>G&amp;A</v>
      </c>
      <c r="F108" s="112" t="s">
        <v>142</v>
      </c>
      <c r="G108" s="112" t="s">
        <v>123</v>
      </c>
      <c r="H108" s="112" t="s">
        <v>143</v>
      </c>
      <c r="I108" s="113" t="s">
        <v>77</v>
      </c>
      <c r="J108" s="113" t="s">
        <v>78</v>
      </c>
      <c r="K108" s="113" t="s">
        <v>79</v>
      </c>
      <c r="L108" s="113" t="s">
        <v>38</v>
      </c>
      <c r="M108" s="111" t="str">
        <f>IF(ISBLANK($L108),"",_xlfn.XLOOKUP($L108,'CENTRO CUSTO'!$A:$A,'CENTRO CUSTO'!D:D,FALSE,0))</f>
        <v>Alexandre Ayabe</v>
      </c>
      <c r="N108" s="113" t="s">
        <v>132</v>
      </c>
      <c r="O108" s="114">
        <v>46027</v>
      </c>
      <c r="P108" s="113" t="s">
        <v>81</v>
      </c>
      <c r="Q108" s="115">
        <v>400</v>
      </c>
      <c r="R108" s="115">
        <v>400</v>
      </c>
      <c r="S108" s="115">
        <v>400</v>
      </c>
      <c r="T108" s="115">
        <v>400</v>
      </c>
      <c r="U108" s="115">
        <v>400</v>
      </c>
      <c r="V108" s="115">
        <v>400</v>
      </c>
      <c r="W108" s="115">
        <v>400</v>
      </c>
      <c r="X108" s="115">
        <v>400</v>
      </c>
      <c r="Y108" s="115">
        <v>400</v>
      </c>
      <c r="Z108" s="115">
        <v>400</v>
      </c>
      <c r="AA108" s="115">
        <v>400</v>
      </c>
      <c r="AB108" s="115">
        <v>400</v>
      </c>
      <c r="AC108" s="116">
        <f t="shared" si="53"/>
        <v>4800</v>
      </c>
      <c r="AD108" s="108"/>
      <c r="AE108" s="117">
        <f>IF(ISBLANK(Q108),"",IF($P108="BRL",Q108,Q108*Macroindicadores!B$2)/1000)</f>
        <v>0.4</v>
      </c>
      <c r="AF108" s="117">
        <f>IF(ISBLANK(R108),"",IF($P108="BRL",R108,R108*Macroindicadores!C$2)/1000)</f>
        <v>0.4</v>
      </c>
      <c r="AG108" s="117">
        <f>IF(ISBLANK(S108),"",IF($P108="BRL",S108,S108*Macroindicadores!D$2)/1000)</f>
        <v>0.4</v>
      </c>
      <c r="AH108" s="117">
        <f>IF(ISBLANK(T108),"",IF($P108="BRL",T108,T108*Macroindicadores!E$2)/1000)</f>
        <v>0.4</v>
      </c>
      <c r="AI108" s="117">
        <f>IF(ISBLANK(U108),"",IF($P108="BRL",U108,U108*Macroindicadores!F$2)/1000)</f>
        <v>0.4</v>
      </c>
      <c r="AJ108" s="117">
        <f>IF(ISBLANK(V108),"",IF($P108="BRL",V108,V108*Macroindicadores!G$2)/1000)</f>
        <v>0.4</v>
      </c>
      <c r="AK108" s="117">
        <f>IF(ISBLANK(W108),"",IF($P108="BRL",W108,W108*Macroindicadores!H$2)/1000)</f>
        <v>0.4</v>
      </c>
      <c r="AL108" s="117">
        <f>IF(ISBLANK(X108),"",IF($P108="BRL",X108,X108*Macroindicadores!I$2)/1000)</f>
        <v>0.4</v>
      </c>
      <c r="AM108" s="117">
        <f>IF(ISBLANK(Y108),"",IF($P108="BRL",Y108,Y108*Macroindicadores!J$2)/1000)</f>
        <v>0.4</v>
      </c>
      <c r="AN108" s="117">
        <f>IF(ISBLANK(Z108),"",IF($P108="BRL",Z108,Z108*Macroindicadores!K$2)/1000)</f>
        <v>0.4</v>
      </c>
      <c r="AO108" s="117">
        <f>IF(ISBLANK(AA108),"",IF($P108="BRL",AA108,AA108*Macroindicadores!L$2)/1000)</f>
        <v>0.4</v>
      </c>
      <c r="AP108" s="117">
        <f>IF(ISBLANK(AB108),"",IF($P108="BRL",AB108,AB108*Macroindicadores!M$2)/1000)</f>
        <v>0.4</v>
      </c>
      <c r="AQ108" s="118">
        <f t="shared" si="51"/>
        <v>4.8</v>
      </c>
      <c r="AR108" s="108"/>
      <c r="AS108" s="117">
        <f>IF(ISBLANK(Q108),"",IF(ISBLANK($O108),AE108,IF($J108="ANUAL",AE108*(1+Macroindicadores!B$7),IF(AND($I108="NOVO",MONTH($O108)=MONTH(AS$4)),AE108*(1+Macroindicadores!B$7),IF(AND($J108="PONTUAL",MONTH($O108)=MONTH(AS$4)),AE108*(1+Macroindicadores!B$7),IF(AND($J108="PONTUAL",MONTH($O108)&lt;MONTH(AS$4)),MIN(AR108:$AS108),IF(AND($I108="NOVO",MONTH($O108)&gt;MONTH(AS$4)),AE108,IF(MONTH($O108)&gt;MONTH(AS$4),AE108,IF(MONTH($O108)=MONTH(AS$4),AE108*(1+Macroindicadores!B$7),AR108)))))))))</f>
        <v>0.42187003172511972</v>
      </c>
      <c r="AT108" s="117">
        <f>IF(ISBLANK(R108),"",IF(ISBLANK($O108),AF108,IF($J108="ANUAL",AF108*(1+Macroindicadores!C$7),IF(AND($I108="NOVO",MONTH($O108)=MONTH(AT$4)),AF108*(1+Macroindicadores!C$7),IF(AND($J108="PONTUAL",MONTH($O108)=MONTH(AT$4)),AF108*(1+Macroindicadores!C$7),IF(AND($J108="PONTUAL",MONTH($O108)&lt;MONTH(AT$4)),MIN($AS108:AS108),IF(AND($I108="NOVO",MONTH($O108)&gt;MONTH(AT$4)),AF108,IF(MONTH($O108)&gt;MONTH(AT$4),AF108,IF(MONTH($O108)=MONTH(AT$4),AF108*(1+Macroindicadores!C$7),AS108)))))))))</f>
        <v>0.42187003172511972</v>
      </c>
      <c r="AU108" s="117">
        <f>IF(ISBLANK(S108),"",IF(ISBLANK($O108),AG108,IF($J108="ANUAL",AG108*(1+Macroindicadores!D$7),IF(AND($I108="NOVO",MONTH($O108)=MONTH(AU$4)),AG108*(1+Macroindicadores!D$7),IF(AND($J108="PONTUAL",MONTH($O108)=MONTH(AU$4)),AG108*(1+Macroindicadores!D$7),IF(AND($J108="PONTUAL",MONTH($O108)&lt;MONTH(AU$4)),MIN($AS108:AT108),IF(AND($I108="NOVO",MONTH($O108)&gt;MONTH(AU$4)),AG108,IF(MONTH($O108)&gt;MONTH(AU$4),AG108,IF(MONTH($O108)=MONTH(AU$4),AG108*(1+Macroindicadores!D$7),AT108)))))))))</f>
        <v>0.42187003172511972</v>
      </c>
      <c r="AV108" s="117">
        <f>IF(ISBLANK(T108),"",IF(ISBLANK($O108),AH108,IF($J108="ANUAL",AH108*(1+Macroindicadores!E$7),IF(AND($I108="NOVO",MONTH($O108)=MONTH(AV$4)),AH108*(1+Macroindicadores!E$7),IF(AND($J108="PONTUAL",MONTH($O108)=MONTH(AV$4)),AH108*(1+Macroindicadores!E$7),IF(AND($J108="PONTUAL",MONTH($O108)&lt;MONTH(AV$4)),MIN($AS108:AU108),IF(AND($I108="NOVO",MONTH($O108)&gt;MONTH(AV$4)),AH108,IF(MONTH($O108)&gt;MONTH(AV$4),AH108,IF(MONTH($O108)=MONTH(AV$4),AH108*(1+Macroindicadores!E$7),AU108)))))))))</f>
        <v>0.42187003172511972</v>
      </c>
      <c r="AW108" s="117">
        <f>IF(ISBLANK(U108),"",IF(ISBLANK($O108),AI108,IF($J108="ANUAL",AI108*(1+Macroindicadores!F$7),IF(AND($I108="NOVO",MONTH($O108)=MONTH(AW$4)),AI108*(1+Macroindicadores!F$7),IF(AND($J108="PONTUAL",MONTH($O108)=MONTH(AW$4)),AI108*(1+Macroindicadores!F$7),IF(AND($J108="PONTUAL",MONTH($O108)&lt;MONTH(AW$4)),MIN($AS108:AV108),IF(AND($I108="NOVO",MONTH($O108)&gt;MONTH(AW$4)),AI108,IF(MONTH($O108)&gt;MONTH(AW$4),AI108,IF(MONTH($O108)=MONTH(AW$4),AI108*(1+Macroindicadores!F$7),AV108)))))))))</f>
        <v>0.42187003172511972</v>
      </c>
      <c r="AX108" s="117">
        <f>IF(ISBLANK(V108),"",IF(ISBLANK($O108),AJ108,IF($J108="ANUAL",AJ108*(1+Macroindicadores!G$7),IF(AND($I108="NOVO",MONTH($O108)=MONTH(AX$4)),AJ108*(1+Macroindicadores!G$7),IF(AND($J108="PONTUAL",MONTH($O108)=MONTH(AX$4)),AJ108*(1+Macroindicadores!G$7),IF(AND($J108="PONTUAL",MONTH($O108)&lt;MONTH(AX$4)),MIN($AS108:AW108),IF(AND($I108="NOVO",MONTH($O108)&gt;MONTH(AX$4)),AJ108,IF(MONTH($O108)&gt;MONTH(AX$4),AJ108,IF(MONTH($O108)=MONTH(AX$4),AJ108*(1+Macroindicadores!G$7),AW108)))))))))</f>
        <v>0.42187003172511972</v>
      </c>
      <c r="AY108" s="117">
        <f>IF(ISBLANK(W108),"",IF(ISBLANK($O108),AK108,IF($J108="ANUAL",AK108*(1+Macroindicadores!H$7),IF(AND($I108="NOVO",MONTH($O108)=MONTH(AY$4)),AK108*(1+Macroindicadores!H$7),IF(AND($J108="PONTUAL",MONTH($O108)=MONTH(AY$4)),AK108*(1+Macroindicadores!H$7),IF(AND($J108="PONTUAL",MONTH($O108)&lt;MONTH(AY$4)),MIN($AS108:AX108),IF(AND($I108="NOVO",MONTH($O108)&gt;MONTH(AY$4)),AK108,IF(MONTH($O108)&gt;MONTH(AY$4),AK108,IF(MONTH($O108)=MONTH(AY$4),AK108*(1+Macroindicadores!H$7),AX108)))))))))</f>
        <v>0.42187003172511972</v>
      </c>
      <c r="AZ108" s="117">
        <f>IF(ISBLANK(X108),"",IF(ISBLANK($O108),AL108,IF($J108="ANUAL",AL108*(1+Macroindicadores!I$7),IF(AND($I108="NOVO",MONTH($O108)=MONTH(AZ$4)),AL108*(1+Macroindicadores!I$7),IF(AND($J108="PONTUAL",MONTH($O108)=MONTH(AZ$4)),AL108*(1+Macroindicadores!I$7),IF(AND($J108="PONTUAL",MONTH($O108)&lt;MONTH(AZ$4)),MIN($AS108:AY108),IF(AND($I108="NOVO",MONTH($O108)&gt;MONTH(AZ$4)),AL108,IF(MONTH($O108)&gt;MONTH(AZ$4),AL108,IF(MONTH($O108)=MONTH(AZ$4),AL108*(1+Macroindicadores!I$7),AY108)))))))))</f>
        <v>0.42187003172511972</v>
      </c>
      <c r="BA108" s="117">
        <f>IF(ISBLANK(Y108),"",IF(ISBLANK($O108),AM108,IF($J108="ANUAL",AM108*(1+Macroindicadores!J$7),IF(AND($I108="NOVO",MONTH($O108)=MONTH(BA$4)),AM108*(1+Macroindicadores!J$7),IF(AND($J108="PONTUAL",MONTH($O108)=MONTH(BA$4)),AM108*(1+Macroindicadores!J$7),IF(AND($J108="PONTUAL",MONTH($O108)&lt;MONTH(BA$4)),MIN($AS108:AZ108),IF(AND($I108="NOVO",MONTH($O108)&gt;MONTH(BA$4)),AM108,IF(MONTH($O108)&gt;MONTH(BA$4),AM108,IF(MONTH($O108)=MONTH(BA$4),AM108*(1+Macroindicadores!J$7),AZ108)))))))))</f>
        <v>0.42187003172511972</v>
      </c>
      <c r="BB108" s="117">
        <f>IF(ISBLANK(Z108),"",IF(ISBLANK($O108),AN108,IF($J108="ANUAL",AN108*(1+Macroindicadores!K$7),IF(AND($I108="NOVO",MONTH($O108)=MONTH(BB$4)),AN108*(1+Macroindicadores!K$7),IF(AND($J108="PONTUAL",MONTH($O108)=MONTH(BB$4)),AN108*(1+Macroindicadores!K$7),IF(AND($J108="PONTUAL",MONTH($O108)&lt;MONTH(BB$4)),MIN($AS108:BA108),IF(AND($I108="NOVO",MONTH($O108)&gt;MONTH(BB$4)),AN108,IF(MONTH($O108)&gt;MONTH(BB$4),AN108,IF(MONTH($O108)=MONTH(BB$4),AN108*(1+Macroindicadores!K$7),BA108)))))))))</f>
        <v>0.42187003172511972</v>
      </c>
      <c r="BC108" s="117">
        <f>IF(ISBLANK(AA108),"",IF(ISBLANK($O108),AO108,IF($J108="ANUAL",AO108*(1+Macroindicadores!L$7),IF(AND($I108="NOVO",MONTH($O108)=MONTH(BC$4)),AO108*(1+Macroindicadores!L$7),IF(AND($J108="PONTUAL",MONTH($O108)=MONTH(BC$4)),AO108*(1+Macroindicadores!L$7),IF(AND($J108="PONTUAL",MONTH($O108)&lt;MONTH(BC$4)),MIN($AS108:BB108),IF(AND($I108="NOVO",MONTH($O108)&gt;MONTH(BC$4)),AO108,IF(MONTH($O108)&gt;MONTH(BC$4),AO108,IF(MONTH($O108)=MONTH(BC$4),AO108*(1+Macroindicadores!L$7),BB108)))))))))</f>
        <v>0.42187003172511972</v>
      </c>
      <c r="BD108" s="117">
        <f>IF(ISBLANK(AB108),"",IF(ISBLANK($O108),AP108,IF($J108="ANUAL",AP108*(1+Macroindicadores!M$7),IF(AND($I108="NOVO",MONTH($O108)=MONTH(BD$4)),AP108*(1+Macroindicadores!M$7),IF(AND($J108="PONTUAL",MONTH($O108)=MONTH(BD$4)),AP108*(1+Macroindicadores!M$7),IF(AND($J108="PONTUAL",MONTH($O108)&lt;MONTH(BD$4)),MIN($AS108:BC108),IF(AND($I108="NOVO",MONTH($O108)&gt;MONTH(BD$4)),AP108,IF(MONTH($O108)&gt;MONTH(BD$4),AP108,IF(MONTH($O108)=MONTH(BD$4),AP108*(1+Macroindicadores!M$7),BC108)))))))))</f>
        <v>0.42187003172511972</v>
      </c>
      <c r="BE108" s="118">
        <f t="shared" si="50"/>
        <v>5.0624403807014362</v>
      </c>
      <c r="BF108" s="108"/>
      <c r="BG108" s="117">
        <f>IF(ISBLANK(Q108),"",AS108/Macroindicadores!B$2)</f>
        <v>7.1746604034884309E-2</v>
      </c>
      <c r="BH108" s="117">
        <f>IF(ISBLANK(R108),"",AT108/Macroindicadores!C$2)</f>
        <v>7.1746604034884309E-2</v>
      </c>
      <c r="BI108" s="117">
        <f>IF(ISBLANK(S108),"",AU108/Macroindicadores!D$2)</f>
        <v>7.1746604034884309E-2</v>
      </c>
      <c r="BJ108" s="117">
        <f>IF(ISBLANK(T108),"",AV108/Macroindicadores!E$2)</f>
        <v>7.1746604034884309E-2</v>
      </c>
      <c r="BK108" s="117">
        <f>IF(ISBLANK(U108),"",AW108/Macroindicadores!F$2)</f>
        <v>7.1746604034884309E-2</v>
      </c>
      <c r="BL108" s="117">
        <f>IF(ISBLANK(V108),"",AX108/Macroindicadores!G$2)</f>
        <v>7.1746604034884309E-2</v>
      </c>
      <c r="BM108" s="117">
        <f>IF(ISBLANK(W108),"",AY108/Macroindicadores!H$2)</f>
        <v>7.1746604034884309E-2</v>
      </c>
      <c r="BN108" s="117">
        <f>IF(ISBLANK(X108),"",AZ108/Macroindicadores!I$2)</f>
        <v>7.1746604034884309E-2</v>
      </c>
      <c r="BO108" s="117">
        <f>IF(ISBLANK(Y108),"",BA108/Macroindicadores!J$2)</f>
        <v>7.1746604034884309E-2</v>
      </c>
      <c r="BP108" s="117">
        <f>IF(ISBLANK(Z108),"",BB108/Macroindicadores!K$2)</f>
        <v>7.1746604034884309E-2</v>
      </c>
      <c r="BQ108" s="117">
        <f>IF(ISBLANK(AA108),"",BC108/Macroindicadores!L$2)</f>
        <v>7.1746604034884309E-2</v>
      </c>
      <c r="BR108" s="117">
        <f>IF(ISBLANK(AB108),"",BD108/Macroindicadores!M$2)</f>
        <v>7.1746604034884309E-2</v>
      </c>
      <c r="BS108" s="118">
        <f>IF(AND(ISBLANK($Q108),ISBLANK($R108),ISBLANK($S108),ISBLANK($T108),ISBLANK($U108),ISBLANK($V108),ISBLANK($W108),ISBLANK($X108),ISBLANK($Y108),ISBLANK($Z108),ISBLANK($AA108),ISBLANK($AB108)),"",SUM(BG108:BR108))</f>
        <v>0.86095924841861171</v>
      </c>
      <c r="BT108" s="25" t="str">
        <f>IF(ISBLANK($L108),"",_xlfn.XLOOKUP($L108,'CENTRO CUSTO'!$A:$A,'CENTRO CUSTO'!$E:$E,FALSE,0))</f>
        <v>G&amp;A BU</v>
      </c>
    </row>
    <row r="109" spans="1:72">
      <c r="A109" s="9" t="str">
        <f t="shared" si="52"/>
        <v>Budget</v>
      </c>
      <c r="B109" s="9">
        <f t="shared" si="66"/>
        <v>2026</v>
      </c>
      <c r="C109" s="111" t="str">
        <f>IF(ISBLANK($L109),"",_xlfn.XLOOKUP($L109,'CENTRO CUSTO'!$A:$A,'CENTRO CUSTO'!F:F,FALSE,0))</f>
        <v>Transporte</v>
      </c>
      <c r="D109" s="111" t="str">
        <f>IF(ISBLANK($L109),"",_xlfn.XLOOKUP($L109,'CENTRO CUSTO'!$A:$A,'CENTRO CUSTO'!G:G,FALSE,0))</f>
        <v>BU-TR</v>
      </c>
      <c r="E109" s="111" t="str">
        <f>IF(ISBLANK($L109),"",_xlfn.XLOOKUP($L109,'CENTRO CUSTO'!$A:$A,'CENTRO CUSTO'!H:H,FALSE,0))</f>
        <v>G&amp;A</v>
      </c>
      <c r="F109" s="112" t="s">
        <v>144</v>
      </c>
      <c r="G109" s="112" t="s">
        <v>123</v>
      </c>
      <c r="H109" s="112" t="s">
        <v>145</v>
      </c>
      <c r="I109" s="113" t="s">
        <v>77</v>
      </c>
      <c r="J109" s="113" t="s">
        <v>78</v>
      </c>
      <c r="K109" s="113" t="s">
        <v>79</v>
      </c>
      <c r="L109" s="113" t="s">
        <v>38</v>
      </c>
      <c r="M109" s="111" t="str">
        <f>IF(ISBLANK($L109),"",_xlfn.XLOOKUP($L109,'CENTRO CUSTO'!$A:$A,'CENTRO CUSTO'!D:D,FALSE,0))</f>
        <v>Alexandre Ayabe</v>
      </c>
      <c r="N109" s="113" t="s">
        <v>132</v>
      </c>
      <c r="O109" s="114">
        <v>46028</v>
      </c>
      <c r="P109" s="113" t="s">
        <v>81</v>
      </c>
      <c r="Q109" s="115">
        <v>400</v>
      </c>
      <c r="R109" s="115">
        <v>400</v>
      </c>
      <c r="S109" s="115">
        <v>400</v>
      </c>
      <c r="T109" s="115">
        <v>400</v>
      </c>
      <c r="U109" s="115">
        <v>400</v>
      </c>
      <c r="V109" s="115">
        <v>400</v>
      </c>
      <c r="W109" s="115">
        <v>400</v>
      </c>
      <c r="X109" s="115">
        <v>400</v>
      </c>
      <c r="Y109" s="115">
        <v>400</v>
      </c>
      <c r="Z109" s="115">
        <v>400</v>
      </c>
      <c r="AA109" s="115">
        <v>400</v>
      </c>
      <c r="AB109" s="115">
        <v>400</v>
      </c>
      <c r="AC109" s="116">
        <f t="shared" si="53"/>
        <v>4800</v>
      </c>
      <c r="AD109" s="108"/>
      <c r="AE109" s="117">
        <f>IF(ISBLANK(Q109),"",IF($P109="BRL",Q109,Q109*Macroindicadores!B$2)/1000)</f>
        <v>0.4</v>
      </c>
      <c r="AF109" s="117">
        <f>IF(ISBLANK(R109),"",IF($P109="BRL",R109,R109*Macroindicadores!C$2)/1000)</f>
        <v>0.4</v>
      </c>
      <c r="AG109" s="117">
        <f>IF(ISBLANK(S109),"",IF($P109="BRL",S109,S109*Macroindicadores!D$2)/1000)</f>
        <v>0.4</v>
      </c>
      <c r="AH109" s="117">
        <f>IF(ISBLANK(T109),"",IF($P109="BRL",T109,T109*Macroindicadores!E$2)/1000)</f>
        <v>0.4</v>
      </c>
      <c r="AI109" s="117">
        <f>IF(ISBLANK(U109),"",IF($P109="BRL",U109,U109*Macroindicadores!F$2)/1000)</f>
        <v>0.4</v>
      </c>
      <c r="AJ109" s="117">
        <f>IF(ISBLANK(V109),"",IF($P109="BRL",V109,V109*Macroindicadores!G$2)/1000)</f>
        <v>0.4</v>
      </c>
      <c r="AK109" s="117">
        <f>IF(ISBLANK(W109),"",IF($P109="BRL",W109,W109*Macroindicadores!H$2)/1000)</f>
        <v>0.4</v>
      </c>
      <c r="AL109" s="117">
        <f>IF(ISBLANK(X109),"",IF($P109="BRL",X109,X109*Macroindicadores!I$2)/1000)</f>
        <v>0.4</v>
      </c>
      <c r="AM109" s="117">
        <f>IF(ISBLANK(Y109),"",IF($P109="BRL",Y109,Y109*Macroindicadores!J$2)/1000)</f>
        <v>0.4</v>
      </c>
      <c r="AN109" s="117">
        <f>IF(ISBLANK(Z109),"",IF($P109="BRL",Z109,Z109*Macroindicadores!K$2)/1000)</f>
        <v>0.4</v>
      </c>
      <c r="AO109" s="117">
        <f>IF(ISBLANK(AA109),"",IF($P109="BRL",AA109,AA109*Macroindicadores!L$2)/1000)</f>
        <v>0.4</v>
      </c>
      <c r="AP109" s="117">
        <f>IF(ISBLANK(AB109),"",IF($P109="BRL",AB109,AB109*Macroindicadores!M$2)/1000)</f>
        <v>0.4</v>
      </c>
      <c r="AQ109" s="118">
        <f t="shared" si="51"/>
        <v>4.8</v>
      </c>
      <c r="AR109" s="108"/>
      <c r="AS109" s="117">
        <f>IF(ISBLANK(Q109),"",IF(ISBLANK($O109),AE109,IF($J109="ANUAL",AE109*(1+Macroindicadores!B$7),IF(AND($I109="NOVO",MONTH($O109)=MONTH(AS$4)),AE109*(1+Macroindicadores!B$7),IF(AND($J109="PONTUAL",MONTH($O109)=MONTH(AS$4)),AE109*(1+Macroindicadores!B$7),IF(AND($J109="PONTUAL",MONTH($O109)&lt;MONTH(AS$4)),MIN(AR109:$AS109),IF(AND($I109="NOVO",MONTH($O109)&gt;MONTH(AS$4)),AE109,IF(MONTH($O109)&gt;MONTH(AS$4),AE109,IF(MONTH($O109)=MONTH(AS$4),AE109*(1+Macroindicadores!B$7),AR109)))))))))</f>
        <v>0.42187003172511972</v>
      </c>
      <c r="AT109" s="117">
        <f>IF(ISBLANK(R109),"",IF(ISBLANK($O109),AF109,IF($J109="ANUAL",AF109*(1+Macroindicadores!C$7),IF(AND($I109="NOVO",MONTH($O109)=MONTH(AT$4)),AF109*(1+Macroindicadores!C$7),IF(AND($J109="PONTUAL",MONTH($O109)=MONTH(AT$4)),AF109*(1+Macroindicadores!C$7),IF(AND($J109="PONTUAL",MONTH($O109)&lt;MONTH(AT$4)),MIN($AS109:AS109),IF(AND($I109="NOVO",MONTH($O109)&gt;MONTH(AT$4)),AF109,IF(MONTH($O109)&gt;MONTH(AT$4),AF109,IF(MONTH($O109)=MONTH(AT$4),AF109*(1+Macroindicadores!C$7),AS109)))))))))</f>
        <v>0.42187003172511972</v>
      </c>
      <c r="AU109" s="117">
        <f>IF(ISBLANK(S109),"",IF(ISBLANK($O109),AG109,IF($J109="ANUAL",AG109*(1+Macroindicadores!D$7),IF(AND($I109="NOVO",MONTH($O109)=MONTH(AU$4)),AG109*(1+Macroindicadores!D$7),IF(AND($J109="PONTUAL",MONTH($O109)=MONTH(AU$4)),AG109*(1+Macroindicadores!D$7),IF(AND($J109="PONTUAL",MONTH($O109)&lt;MONTH(AU$4)),MIN($AS109:AT109),IF(AND($I109="NOVO",MONTH($O109)&gt;MONTH(AU$4)),AG109,IF(MONTH($O109)&gt;MONTH(AU$4),AG109,IF(MONTH($O109)=MONTH(AU$4),AG109*(1+Macroindicadores!D$7),AT109)))))))))</f>
        <v>0.42187003172511972</v>
      </c>
      <c r="AV109" s="117">
        <f>IF(ISBLANK(T109),"",IF(ISBLANK($O109),AH109,IF($J109="ANUAL",AH109*(1+Macroindicadores!E$7),IF(AND($I109="NOVO",MONTH($O109)=MONTH(AV$4)),AH109*(1+Macroindicadores!E$7),IF(AND($J109="PONTUAL",MONTH($O109)=MONTH(AV$4)),AH109*(1+Macroindicadores!E$7),IF(AND($J109="PONTUAL",MONTH($O109)&lt;MONTH(AV$4)),MIN($AS109:AU109),IF(AND($I109="NOVO",MONTH($O109)&gt;MONTH(AV$4)),AH109,IF(MONTH($O109)&gt;MONTH(AV$4),AH109,IF(MONTH($O109)=MONTH(AV$4),AH109*(1+Macroindicadores!E$7),AU109)))))))))</f>
        <v>0.42187003172511972</v>
      </c>
      <c r="AW109" s="117">
        <f>IF(ISBLANK(U109),"",IF(ISBLANK($O109),AI109,IF($J109="ANUAL",AI109*(1+Macroindicadores!F$7),IF(AND($I109="NOVO",MONTH($O109)=MONTH(AW$4)),AI109*(1+Macroindicadores!F$7),IF(AND($J109="PONTUAL",MONTH($O109)=MONTH(AW$4)),AI109*(1+Macroindicadores!F$7),IF(AND($J109="PONTUAL",MONTH($O109)&lt;MONTH(AW$4)),MIN($AS109:AV109),IF(AND($I109="NOVO",MONTH($O109)&gt;MONTH(AW$4)),AI109,IF(MONTH($O109)&gt;MONTH(AW$4),AI109,IF(MONTH($O109)=MONTH(AW$4),AI109*(1+Macroindicadores!F$7),AV109)))))))))</f>
        <v>0.42187003172511972</v>
      </c>
      <c r="AX109" s="117">
        <f>IF(ISBLANK(V109),"",IF(ISBLANK($O109),AJ109,IF($J109="ANUAL",AJ109*(1+Macroindicadores!G$7),IF(AND($I109="NOVO",MONTH($O109)=MONTH(AX$4)),AJ109*(1+Macroindicadores!G$7),IF(AND($J109="PONTUAL",MONTH($O109)=MONTH(AX$4)),AJ109*(1+Macroindicadores!G$7),IF(AND($J109="PONTUAL",MONTH($O109)&lt;MONTH(AX$4)),MIN($AS109:AW109),IF(AND($I109="NOVO",MONTH($O109)&gt;MONTH(AX$4)),AJ109,IF(MONTH($O109)&gt;MONTH(AX$4),AJ109,IF(MONTH($O109)=MONTH(AX$4),AJ109*(1+Macroindicadores!G$7),AW109)))))))))</f>
        <v>0.42187003172511972</v>
      </c>
      <c r="AY109" s="117">
        <f>IF(ISBLANK(W109),"",IF(ISBLANK($O109),AK109,IF($J109="ANUAL",AK109*(1+Macroindicadores!H$7),IF(AND($I109="NOVO",MONTH($O109)=MONTH(AY$4)),AK109*(1+Macroindicadores!H$7),IF(AND($J109="PONTUAL",MONTH($O109)=MONTH(AY$4)),AK109*(1+Macroindicadores!H$7),IF(AND($J109="PONTUAL",MONTH($O109)&lt;MONTH(AY$4)),MIN($AS109:AX109),IF(AND($I109="NOVO",MONTH($O109)&gt;MONTH(AY$4)),AK109,IF(MONTH($O109)&gt;MONTH(AY$4),AK109,IF(MONTH($O109)=MONTH(AY$4),AK109*(1+Macroindicadores!H$7),AX109)))))))))</f>
        <v>0.42187003172511972</v>
      </c>
      <c r="AZ109" s="117">
        <f>IF(ISBLANK(X109),"",IF(ISBLANK($O109),AL109,IF($J109="ANUAL",AL109*(1+Macroindicadores!I$7),IF(AND($I109="NOVO",MONTH($O109)=MONTH(AZ$4)),AL109*(1+Macroindicadores!I$7),IF(AND($J109="PONTUAL",MONTH($O109)=MONTH(AZ$4)),AL109*(1+Macroindicadores!I$7),IF(AND($J109="PONTUAL",MONTH($O109)&lt;MONTH(AZ$4)),MIN($AS109:AY109),IF(AND($I109="NOVO",MONTH($O109)&gt;MONTH(AZ$4)),AL109,IF(MONTH($O109)&gt;MONTH(AZ$4),AL109,IF(MONTH($O109)=MONTH(AZ$4),AL109*(1+Macroindicadores!I$7),AY109)))))))))</f>
        <v>0.42187003172511972</v>
      </c>
      <c r="BA109" s="117">
        <f>IF(ISBLANK(Y109),"",IF(ISBLANK($O109),AM109,IF($J109="ANUAL",AM109*(1+Macroindicadores!J$7),IF(AND($I109="NOVO",MONTH($O109)=MONTH(BA$4)),AM109*(1+Macroindicadores!J$7),IF(AND($J109="PONTUAL",MONTH($O109)=MONTH(BA$4)),AM109*(1+Macroindicadores!J$7),IF(AND($J109="PONTUAL",MONTH($O109)&lt;MONTH(BA$4)),MIN($AS109:AZ109),IF(AND($I109="NOVO",MONTH($O109)&gt;MONTH(BA$4)),AM109,IF(MONTH($O109)&gt;MONTH(BA$4),AM109,IF(MONTH($O109)=MONTH(BA$4),AM109*(1+Macroindicadores!J$7),AZ109)))))))))</f>
        <v>0.42187003172511972</v>
      </c>
      <c r="BB109" s="117">
        <f>IF(ISBLANK(Z109),"",IF(ISBLANK($O109),AN109,IF($J109="ANUAL",AN109*(1+Macroindicadores!K$7),IF(AND($I109="NOVO",MONTH($O109)=MONTH(BB$4)),AN109*(1+Macroindicadores!K$7),IF(AND($J109="PONTUAL",MONTH($O109)=MONTH(BB$4)),AN109*(1+Macroindicadores!K$7),IF(AND($J109="PONTUAL",MONTH($O109)&lt;MONTH(BB$4)),MIN($AS109:BA109),IF(AND($I109="NOVO",MONTH($O109)&gt;MONTH(BB$4)),AN109,IF(MONTH($O109)&gt;MONTH(BB$4),AN109,IF(MONTH($O109)=MONTH(BB$4),AN109*(1+Macroindicadores!K$7),BA109)))))))))</f>
        <v>0.42187003172511972</v>
      </c>
      <c r="BC109" s="117">
        <f>IF(ISBLANK(AA109),"",IF(ISBLANK($O109),AO109,IF($J109="ANUAL",AO109*(1+Macroindicadores!L$7),IF(AND($I109="NOVO",MONTH($O109)=MONTH(BC$4)),AO109*(1+Macroindicadores!L$7),IF(AND($J109="PONTUAL",MONTH($O109)=MONTH(BC$4)),AO109*(1+Macroindicadores!L$7),IF(AND($J109="PONTUAL",MONTH($O109)&lt;MONTH(BC$4)),MIN($AS109:BB109),IF(AND($I109="NOVO",MONTH($O109)&gt;MONTH(BC$4)),AO109,IF(MONTH($O109)&gt;MONTH(BC$4),AO109,IF(MONTH($O109)=MONTH(BC$4),AO109*(1+Macroindicadores!L$7),BB109)))))))))</f>
        <v>0.42187003172511972</v>
      </c>
      <c r="BD109" s="117">
        <f>IF(ISBLANK(AB109),"",IF(ISBLANK($O109),AP109,IF($J109="ANUAL",AP109*(1+Macroindicadores!M$7),IF(AND($I109="NOVO",MONTH($O109)=MONTH(BD$4)),AP109*(1+Macroindicadores!M$7),IF(AND($J109="PONTUAL",MONTH($O109)=MONTH(BD$4)),AP109*(1+Macroindicadores!M$7),IF(AND($J109="PONTUAL",MONTH($O109)&lt;MONTH(BD$4)),MIN($AS109:BC109),IF(AND($I109="NOVO",MONTH($O109)&gt;MONTH(BD$4)),AP109,IF(MONTH($O109)&gt;MONTH(BD$4),AP109,IF(MONTH($O109)=MONTH(BD$4),AP109*(1+Macroindicadores!M$7),BC109)))))))))</f>
        <v>0.42187003172511972</v>
      </c>
      <c r="BE109" s="118">
        <f t="shared" si="50"/>
        <v>5.0624403807014362</v>
      </c>
      <c r="BF109" s="108"/>
      <c r="BG109" s="117">
        <f>IF(ISBLANK(Q109),"",AS109/Macroindicadores!B$2)</f>
        <v>7.1746604034884309E-2</v>
      </c>
      <c r="BH109" s="117">
        <f>IF(ISBLANK(R109),"",AT109/Macroindicadores!C$2)</f>
        <v>7.1746604034884309E-2</v>
      </c>
      <c r="BI109" s="117">
        <f>IF(ISBLANK(S109),"",AU109/Macroindicadores!D$2)</f>
        <v>7.1746604034884309E-2</v>
      </c>
      <c r="BJ109" s="117">
        <f>IF(ISBLANK(T109),"",AV109/Macroindicadores!E$2)</f>
        <v>7.1746604034884309E-2</v>
      </c>
      <c r="BK109" s="117">
        <f>IF(ISBLANK(U109),"",AW109/Macroindicadores!F$2)</f>
        <v>7.1746604034884309E-2</v>
      </c>
      <c r="BL109" s="117">
        <f>IF(ISBLANK(V109),"",AX109/Macroindicadores!G$2)</f>
        <v>7.1746604034884309E-2</v>
      </c>
      <c r="BM109" s="117">
        <f>IF(ISBLANK(W109),"",AY109/Macroindicadores!H$2)</f>
        <v>7.1746604034884309E-2</v>
      </c>
      <c r="BN109" s="117">
        <f>IF(ISBLANK(X109),"",AZ109/Macroindicadores!I$2)</f>
        <v>7.1746604034884309E-2</v>
      </c>
      <c r="BO109" s="117">
        <f>IF(ISBLANK(Y109),"",BA109/Macroindicadores!J$2)</f>
        <v>7.1746604034884309E-2</v>
      </c>
      <c r="BP109" s="117">
        <f>IF(ISBLANK(Z109),"",BB109/Macroindicadores!K$2)</f>
        <v>7.1746604034884309E-2</v>
      </c>
      <c r="BQ109" s="117">
        <f>IF(ISBLANK(AA109),"",BC109/Macroindicadores!L$2)</f>
        <v>7.1746604034884309E-2</v>
      </c>
      <c r="BR109" s="117">
        <f>IF(ISBLANK(AB109),"",BD109/Macroindicadores!M$2)</f>
        <v>7.1746604034884309E-2</v>
      </c>
      <c r="BS109" s="118">
        <f>IF(AND(ISBLANK($Q109),ISBLANK($R109),ISBLANK($S109),ISBLANK($T109),ISBLANK($U109),ISBLANK($V109),ISBLANK($W109),ISBLANK($X109),ISBLANK($Y109),ISBLANK($Z109),ISBLANK($AA109),ISBLANK($AB109)),"",SUM(BG109:BR109))</f>
        <v>0.86095924841861171</v>
      </c>
      <c r="BT109" s="25" t="str">
        <f>IF(ISBLANK($L109),"",_xlfn.XLOOKUP($L109,'CENTRO CUSTO'!$A:$A,'CENTRO CUSTO'!$E:$E,FALSE,0))</f>
        <v>G&amp;A BU</v>
      </c>
    </row>
    <row r="110" spans="1:72">
      <c r="A110" s="9" t="str">
        <f t="shared" si="52"/>
        <v>Budget</v>
      </c>
      <c r="B110" s="9">
        <f t="shared" si="66"/>
        <v>2026</v>
      </c>
      <c r="C110" s="111" t="str">
        <f>IF(ISBLANK($L110),"",_xlfn.XLOOKUP($L110,'CENTRO CUSTO'!$A:$A,'CENTRO CUSTO'!F:F,FALSE,0))</f>
        <v>Transporte</v>
      </c>
      <c r="D110" s="111" t="str">
        <f>IF(ISBLANK($L110),"",_xlfn.XLOOKUP($L110,'CENTRO CUSTO'!$A:$A,'CENTRO CUSTO'!G:G,FALSE,0))</f>
        <v>BU-TR</v>
      </c>
      <c r="E110" s="111" t="str">
        <f>IF(ISBLANK($L110),"",_xlfn.XLOOKUP($L110,'CENTRO CUSTO'!$A:$A,'CENTRO CUSTO'!H:H,FALSE,0))</f>
        <v>G&amp;A</v>
      </c>
      <c r="F110" s="112" t="s">
        <v>146</v>
      </c>
      <c r="G110" s="112" t="s">
        <v>123</v>
      </c>
      <c r="H110" s="112" t="s">
        <v>147</v>
      </c>
      <c r="I110" s="113" t="s">
        <v>77</v>
      </c>
      <c r="J110" s="113" t="s">
        <v>78</v>
      </c>
      <c r="K110" s="113" t="s">
        <v>79</v>
      </c>
      <c r="L110" s="113" t="s">
        <v>38</v>
      </c>
      <c r="M110" s="111" t="str">
        <f>IF(ISBLANK($L110),"",_xlfn.XLOOKUP($L110,'CENTRO CUSTO'!$A:$A,'CENTRO CUSTO'!D:D,FALSE,0))</f>
        <v>Alexandre Ayabe</v>
      </c>
      <c r="N110" s="113" t="s">
        <v>132</v>
      </c>
      <c r="O110" s="114">
        <v>46029</v>
      </c>
      <c r="P110" s="113" t="s">
        <v>81</v>
      </c>
      <c r="Q110" s="115">
        <v>400</v>
      </c>
      <c r="R110" s="115">
        <v>400</v>
      </c>
      <c r="S110" s="115">
        <v>400</v>
      </c>
      <c r="T110" s="115">
        <v>400</v>
      </c>
      <c r="U110" s="115">
        <v>400</v>
      </c>
      <c r="V110" s="115">
        <v>400</v>
      </c>
      <c r="W110" s="115">
        <v>400</v>
      </c>
      <c r="X110" s="115">
        <v>400</v>
      </c>
      <c r="Y110" s="115">
        <v>400</v>
      </c>
      <c r="Z110" s="115">
        <v>400</v>
      </c>
      <c r="AA110" s="115">
        <v>400</v>
      </c>
      <c r="AB110" s="115">
        <v>400</v>
      </c>
      <c r="AC110" s="116">
        <f t="shared" si="53"/>
        <v>4800</v>
      </c>
      <c r="AD110" s="108"/>
      <c r="AE110" s="117">
        <f>IF(ISBLANK(Q110),"",IF($P110="BRL",Q110,Q110*Macroindicadores!B$2)/1000)</f>
        <v>0.4</v>
      </c>
      <c r="AF110" s="117">
        <f>IF(ISBLANK(R110),"",IF($P110="BRL",R110,R110*Macroindicadores!C$2)/1000)</f>
        <v>0.4</v>
      </c>
      <c r="AG110" s="117">
        <f>IF(ISBLANK(S110),"",IF($P110="BRL",S110,S110*Macroindicadores!D$2)/1000)</f>
        <v>0.4</v>
      </c>
      <c r="AH110" s="117">
        <f>IF(ISBLANK(T110),"",IF($P110="BRL",T110,T110*Macroindicadores!E$2)/1000)</f>
        <v>0.4</v>
      </c>
      <c r="AI110" s="117">
        <f>IF(ISBLANK(U110),"",IF($P110="BRL",U110,U110*Macroindicadores!F$2)/1000)</f>
        <v>0.4</v>
      </c>
      <c r="AJ110" s="117">
        <f>IF(ISBLANK(V110),"",IF($P110="BRL",V110,V110*Macroindicadores!G$2)/1000)</f>
        <v>0.4</v>
      </c>
      <c r="AK110" s="117">
        <f>IF(ISBLANK(W110),"",IF($P110="BRL",W110,W110*Macroindicadores!H$2)/1000)</f>
        <v>0.4</v>
      </c>
      <c r="AL110" s="117">
        <f>IF(ISBLANK(X110),"",IF($P110="BRL",X110,X110*Macroindicadores!I$2)/1000)</f>
        <v>0.4</v>
      </c>
      <c r="AM110" s="117">
        <f>IF(ISBLANK(Y110),"",IF($P110="BRL",Y110,Y110*Macroindicadores!J$2)/1000)</f>
        <v>0.4</v>
      </c>
      <c r="AN110" s="117">
        <f>IF(ISBLANK(Z110),"",IF($P110="BRL",Z110,Z110*Macroindicadores!K$2)/1000)</f>
        <v>0.4</v>
      </c>
      <c r="AO110" s="117">
        <f>IF(ISBLANK(AA110),"",IF($P110="BRL",AA110,AA110*Macroindicadores!L$2)/1000)</f>
        <v>0.4</v>
      </c>
      <c r="AP110" s="117">
        <f>IF(ISBLANK(AB110),"",IF($P110="BRL",AB110,AB110*Macroindicadores!M$2)/1000)</f>
        <v>0.4</v>
      </c>
      <c r="AQ110" s="118">
        <f t="shared" si="51"/>
        <v>4.8</v>
      </c>
      <c r="AR110" s="108"/>
      <c r="AS110" s="117">
        <f>IF(ISBLANK(Q110),"",IF(ISBLANK($O110),AE110,IF($J110="ANUAL",AE110*(1+Macroindicadores!B$7),IF(AND($I110="NOVO",MONTH($O110)=MONTH(AS$4)),AE110*(1+Macroindicadores!B$7),IF(AND($J110="PONTUAL",MONTH($O110)=MONTH(AS$4)),AE110*(1+Macroindicadores!B$7),IF(AND($J110="PONTUAL",MONTH($O110)&lt;MONTH(AS$4)),MIN(AR110:$AS110),IF(AND($I110="NOVO",MONTH($O110)&gt;MONTH(AS$4)),AE110,IF(MONTH($O110)&gt;MONTH(AS$4),AE110,IF(MONTH($O110)=MONTH(AS$4),AE110*(1+Macroindicadores!B$7),AR110)))))))))</f>
        <v>0.42187003172511972</v>
      </c>
      <c r="AT110" s="117">
        <f>IF(ISBLANK(R110),"",IF(ISBLANK($O110),AF110,IF($J110="ANUAL",AF110*(1+Macroindicadores!C$7),IF(AND($I110="NOVO",MONTH($O110)=MONTH(AT$4)),AF110*(1+Macroindicadores!C$7),IF(AND($J110="PONTUAL",MONTH($O110)=MONTH(AT$4)),AF110*(1+Macroindicadores!C$7),IF(AND($J110="PONTUAL",MONTH($O110)&lt;MONTH(AT$4)),MIN($AS110:AS110),IF(AND($I110="NOVO",MONTH($O110)&gt;MONTH(AT$4)),AF110,IF(MONTH($O110)&gt;MONTH(AT$4),AF110,IF(MONTH($O110)=MONTH(AT$4),AF110*(1+Macroindicadores!C$7),AS110)))))))))</f>
        <v>0.42187003172511972</v>
      </c>
      <c r="AU110" s="117">
        <f>IF(ISBLANK(S110),"",IF(ISBLANK($O110),AG110,IF($J110="ANUAL",AG110*(1+Macroindicadores!D$7),IF(AND($I110="NOVO",MONTH($O110)=MONTH(AU$4)),AG110*(1+Macroindicadores!D$7),IF(AND($J110="PONTUAL",MONTH($O110)=MONTH(AU$4)),AG110*(1+Macroindicadores!D$7),IF(AND($J110="PONTUAL",MONTH($O110)&lt;MONTH(AU$4)),MIN($AS110:AT110),IF(AND($I110="NOVO",MONTH($O110)&gt;MONTH(AU$4)),AG110,IF(MONTH($O110)&gt;MONTH(AU$4),AG110,IF(MONTH($O110)=MONTH(AU$4),AG110*(1+Macroindicadores!D$7),AT110)))))))))</f>
        <v>0.42187003172511972</v>
      </c>
      <c r="AV110" s="117">
        <f>IF(ISBLANK(T110),"",IF(ISBLANK($O110),AH110,IF($J110="ANUAL",AH110*(1+Macroindicadores!E$7),IF(AND($I110="NOVO",MONTH($O110)=MONTH(AV$4)),AH110*(1+Macroindicadores!E$7),IF(AND($J110="PONTUAL",MONTH($O110)=MONTH(AV$4)),AH110*(1+Macroindicadores!E$7),IF(AND($J110="PONTUAL",MONTH($O110)&lt;MONTH(AV$4)),MIN($AS110:AU110),IF(AND($I110="NOVO",MONTH($O110)&gt;MONTH(AV$4)),AH110,IF(MONTH($O110)&gt;MONTH(AV$4),AH110,IF(MONTH($O110)=MONTH(AV$4),AH110*(1+Macroindicadores!E$7),AU110)))))))))</f>
        <v>0.42187003172511972</v>
      </c>
      <c r="AW110" s="117">
        <f>IF(ISBLANK(U110),"",IF(ISBLANK($O110),AI110,IF($J110="ANUAL",AI110*(1+Macroindicadores!F$7),IF(AND($I110="NOVO",MONTH($O110)=MONTH(AW$4)),AI110*(1+Macroindicadores!F$7),IF(AND($J110="PONTUAL",MONTH($O110)=MONTH(AW$4)),AI110*(1+Macroindicadores!F$7),IF(AND($J110="PONTUAL",MONTH($O110)&lt;MONTH(AW$4)),MIN($AS110:AV110),IF(AND($I110="NOVO",MONTH($O110)&gt;MONTH(AW$4)),AI110,IF(MONTH($O110)&gt;MONTH(AW$4),AI110,IF(MONTH($O110)=MONTH(AW$4),AI110*(1+Macroindicadores!F$7),AV110)))))))))</f>
        <v>0.42187003172511972</v>
      </c>
      <c r="AX110" s="117">
        <f>IF(ISBLANK(V110),"",IF(ISBLANK($O110),AJ110,IF($J110="ANUAL",AJ110*(1+Macroindicadores!G$7),IF(AND($I110="NOVO",MONTH($O110)=MONTH(AX$4)),AJ110*(1+Macroindicadores!G$7),IF(AND($J110="PONTUAL",MONTH($O110)=MONTH(AX$4)),AJ110*(1+Macroindicadores!G$7),IF(AND($J110="PONTUAL",MONTH($O110)&lt;MONTH(AX$4)),MIN($AS110:AW110),IF(AND($I110="NOVO",MONTH($O110)&gt;MONTH(AX$4)),AJ110,IF(MONTH($O110)&gt;MONTH(AX$4),AJ110,IF(MONTH($O110)=MONTH(AX$4),AJ110*(1+Macroindicadores!G$7),AW110)))))))))</f>
        <v>0.42187003172511972</v>
      </c>
      <c r="AY110" s="117">
        <f>IF(ISBLANK(W110),"",IF(ISBLANK($O110),AK110,IF($J110="ANUAL",AK110*(1+Macroindicadores!H$7),IF(AND($I110="NOVO",MONTH($O110)=MONTH(AY$4)),AK110*(1+Macroindicadores!H$7),IF(AND($J110="PONTUAL",MONTH($O110)=MONTH(AY$4)),AK110*(1+Macroindicadores!H$7),IF(AND($J110="PONTUAL",MONTH($O110)&lt;MONTH(AY$4)),MIN($AS110:AX110),IF(AND($I110="NOVO",MONTH($O110)&gt;MONTH(AY$4)),AK110,IF(MONTH($O110)&gt;MONTH(AY$4),AK110,IF(MONTH($O110)=MONTH(AY$4),AK110*(1+Macroindicadores!H$7),AX110)))))))))</f>
        <v>0.42187003172511972</v>
      </c>
      <c r="AZ110" s="117">
        <f>IF(ISBLANK(X110),"",IF(ISBLANK($O110),AL110,IF($J110="ANUAL",AL110*(1+Macroindicadores!I$7),IF(AND($I110="NOVO",MONTH($O110)=MONTH(AZ$4)),AL110*(1+Macroindicadores!I$7),IF(AND($J110="PONTUAL",MONTH($O110)=MONTH(AZ$4)),AL110*(1+Macroindicadores!I$7),IF(AND($J110="PONTUAL",MONTH($O110)&lt;MONTH(AZ$4)),MIN($AS110:AY110),IF(AND($I110="NOVO",MONTH($O110)&gt;MONTH(AZ$4)),AL110,IF(MONTH($O110)&gt;MONTH(AZ$4),AL110,IF(MONTH($O110)=MONTH(AZ$4),AL110*(1+Macroindicadores!I$7),AY110)))))))))</f>
        <v>0.42187003172511972</v>
      </c>
      <c r="BA110" s="117">
        <f>IF(ISBLANK(Y110),"",IF(ISBLANK($O110),AM110,IF($J110="ANUAL",AM110*(1+Macroindicadores!J$7),IF(AND($I110="NOVO",MONTH($O110)=MONTH(BA$4)),AM110*(1+Macroindicadores!J$7),IF(AND($J110="PONTUAL",MONTH($O110)=MONTH(BA$4)),AM110*(1+Macroindicadores!J$7),IF(AND($J110="PONTUAL",MONTH($O110)&lt;MONTH(BA$4)),MIN($AS110:AZ110),IF(AND($I110="NOVO",MONTH($O110)&gt;MONTH(BA$4)),AM110,IF(MONTH($O110)&gt;MONTH(BA$4),AM110,IF(MONTH($O110)=MONTH(BA$4),AM110*(1+Macroindicadores!J$7),AZ110)))))))))</f>
        <v>0.42187003172511972</v>
      </c>
      <c r="BB110" s="117">
        <f>IF(ISBLANK(Z110),"",IF(ISBLANK($O110),AN110,IF($J110="ANUAL",AN110*(1+Macroindicadores!K$7),IF(AND($I110="NOVO",MONTH($O110)=MONTH(BB$4)),AN110*(1+Macroindicadores!K$7),IF(AND($J110="PONTUAL",MONTH($O110)=MONTH(BB$4)),AN110*(1+Macroindicadores!K$7),IF(AND($J110="PONTUAL",MONTH($O110)&lt;MONTH(BB$4)),MIN($AS110:BA110),IF(AND($I110="NOVO",MONTH($O110)&gt;MONTH(BB$4)),AN110,IF(MONTH($O110)&gt;MONTH(BB$4),AN110,IF(MONTH($O110)=MONTH(BB$4),AN110*(1+Macroindicadores!K$7),BA110)))))))))</f>
        <v>0.42187003172511972</v>
      </c>
      <c r="BC110" s="117">
        <f>IF(ISBLANK(AA110),"",IF(ISBLANK($O110),AO110,IF($J110="ANUAL",AO110*(1+Macroindicadores!L$7),IF(AND($I110="NOVO",MONTH($O110)=MONTH(BC$4)),AO110*(1+Macroindicadores!L$7),IF(AND($J110="PONTUAL",MONTH($O110)=MONTH(BC$4)),AO110*(1+Macroindicadores!L$7),IF(AND($J110="PONTUAL",MONTH($O110)&lt;MONTH(BC$4)),MIN($AS110:BB110),IF(AND($I110="NOVO",MONTH($O110)&gt;MONTH(BC$4)),AO110,IF(MONTH($O110)&gt;MONTH(BC$4),AO110,IF(MONTH($O110)=MONTH(BC$4),AO110*(1+Macroindicadores!L$7),BB110)))))))))</f>
        <v>0.42187003172511972</v>
      </c>
      <c r="BD110" s="117">
        <f>IF(ISBLANK(AB110),"",IF(ISBLANK($O110),AP110,IF($J110="ANUAL",AP110*(1+Macroindicadores!M$7),IF(AND($I110="NOVO",MONTH($O110)=MONTH(BD$4)),AP110*(1+Macroindicadores!M$7),IF(AND($J110="PONTUAL",MONTH($O110)=MONTH(BD$4)),AP110*(1+Macroindicadores!M$7),IF(AND($J110="PONTUAL",MONTH($O110)&lt;MONTH(BD$4)),MIN($AS110:BC110),IF(AND($I110="NOVO",MONTH($O110)&gt;MONTH(BD$4)),AP110,IF(MONTH($O110)&gt;MONTH(BD$4),AP110,IF(MONTH($O110)=MONTH(BD$4),AP110*(1+Macroindicadores!M$7),BC110)))))))))</f>
        <v>0.42187003172511972</v>
      </c>
      <c r="BE110" s="118">
        <f t="shared" si="50"/>
        <v>5.0624403807014362</v>
      </c>
      <c r="BF110" s="108"/>
      <c r="BG110" s="117">
        <f>IF(ISBLANK(Q110),"",AS110/Macroindicadores!B$2)</f>
        <v>7.1746604034884309E-2</v>
      </c>
      <c r="BH110" s="117">
        <f>IF(ISBLANK(R110),"",AT110/Macroindicadores!C$2)</f>
        <v>7.1746604034884309E-2</v>
      </c>
      <c r="BI110" s="117">
        <f>IF(ISBLANK(S110),"",AU110/Macroindicadores!D$2)</f>
        <v>7.1746604034884309E-2</v>
      </c>
      <c r="BJ110" s="117">
        <f>IF(ISBLANK(T110),"",AV110/Macroindicadores!E$2)</f>
        <v>7.1746604034884309E-2</v>
      </c>
      <c r="BK110" s="117">
        <f>IF(ISBLANK(U110),"",AW110/Macroindicadores!F$2)</f>
        <v>7.1746604034884309E-2</v>
      </c>
      <c r="BL110" s="117">
        <f>IF(ISBLANK(V110),"",AX110/Macroindicadores!G$2)</f>
        <v>7.1746604034884309E-2</v>
      </c>
      <c r="BM110" s="117">
        <f>IF(ISBLANK(W110),"",AY110/Macroindicadores!H$2)</f>
        <v>7.1746604034884309E-2</v>
      </c>
      <c r="BN110" s="117">
        <f>IF(ISBLANK(X110),"",AZ110/Macroindicadores!I$2)</f>
        <v>7.1746604034884309E-2</v>
      </c>
      <c r="BO110" s="117">
        <f>IF(ISBLANK(Y110),"",BA110/Macroindicadores!J$2)</f>
        <v>7.1746604034884309E-2</v>
      </c>
      <c r="BP110" s="117">
        <f>IF(ISBLANK(Z110),"",BB110/Macroindicadores!K$2)</f>
        <v>7.1746604034884309E-2</v>
      </c>
      <c r="BQ110" s="117">
        <f>IF(ISBLANK(AA110),"",BC110/Macroindicadores!L$2)</f>
        <v>7.1746604034884309E-2</v>
      </c>
      <c r="BR110" s="117">
        <f>IF(ISBLANK(AB110),"",BD110/Macroindicadores!M$2)</f>
        <v>7.1746604034884309E-2</v>
      </c>
      <c r="BS110" s="118">
        <f>IF(AND(ISBLANK($Q110),ISBLANK($R110),ISBLANK($S110),ISBLANK($T110),ISBLANK($U110),ISBLANK($V110),ISBLANK($W110),ISBLANK($X110),ISBLANK($Y110),ISBLANK($Z110),ISBLANK($AA110),ISBLANK($AB110)),"",SUM(BG110:BR110))</f>
        <v>0.86095924841861171</v>
      </c>
      <c r="BT110" s="25" t="str">
        <f>IF(ISBLANK($L110),"",_xlfn.XLOOKUP($L110,'CENTRO CUSTO'!$A:$A,'CENTRO CUSTO'!$E:$E,FALSE,0))</f>
        <v>G&amp;A BU</v>
      </c>
    </row>
    <row r="111" spans="1:72">
      <c r="A111" s="9" t="str">
        <f t="shared" si="52"/>
        <v>Budget</v>
      </c>
      <c r="B111" s="9">
        <f t="shared" si="66"/>
        <v>2026</v>
      </c>
      <c r="C111" s="111" t="str">
        <f>IF(ISBLANK($L111),"",_xlfn.XLOOKUP($L111,'CENTRO CUSTO'!$A:$A,'CENTRO CUSTO'!F:F,FALSE,0))</f>
        <v>Transporte</v>
      </c>
      <c r="D111" s="111" t="str">
        <f>IF(ISBLANK($L111),"",_xlfn.XLOOKUP($L111,'CENTRO CUSTO'!$A:$A,'CENTRO CUSTO'!G:G,FALSE,0))</f>
        <v>BU-TR</v>
      </c>
      <c r="E111" s="111" t="str">
        <f>IF(ISBLANK($L111),"",_xlfn.XLOOKUP($L111,'CENTRO CUSTO'!$A:$A,'CENTRO CUSTO'!H:H,FALSE,0))</f>
        <v>G&amp;A</v>
      </c>
      <c r="F111" s="112" t="s">
        <v>148</v>
      </c>
      <c r="G111" s="112" t="s">
        <v>123</v>
      </c>
      <c r="H111" s="112" t="s">
        <v>149</v>
      </c>
      <c r="I111" s="113" t="s">
        <v>77</v>
      </c>
      <c r="J111" s="113" t="s">
        <v>78</v>
      </c>
      <c r="K111" s="113" t="s">
        <v>79</v>
      </c>
      <c r="L111" s="113" t="s">
        <v>38</v>
      </c>
      <c r="M111" s="111" t="str">
        <f>IF(ISBLANK($L111),"",_xlfn.XLOOKUP($L111,'CENTRO CUSTO'!$A:$A,'CENTRO CUSTO'!D:D,FALSE,0))</f>
        <v>Alexandre Ayabe</v>
      </c>
      <c r="N111" s="113" t="s">
        <v>132</v>
      </c>
      <c r="O111" s="114">
        <v>46030</v>
      </c>
      <c r="P111" s="113" t="s">
        <v>81</v>
      </c>
      <c r="Q111" s="115">
        <v>400</v>
      </c>
      <c r="R111" s="115">
        <v>400</v>
      </c>
      <c r="S111" s="115">
        <v>400</v>
      </c>
      <c r="T111" s="115">
        <v>400</v>
      </c>
      <c r="U111" s="115">
        <v>400</v>
      </c>
      <c r="V111" s="115">
        <v>400</v>
      </c>
      <c r="W111" s="115">
        <v>400</v>
      </c>
      <c r="X111" s="115">
        <v>400</v>
      </c>
      <c r="Y111" s="115">
        <v>400</v>
      </c>
      <c r="Z111" s="115">
        <v>400</v>
      </c>
      <c r="AA111" s="115">
        <v>400</v>
      </c>
      <c r="AB111" s="115">
        <v>400</v>
      </c>
      <c r="AC111" s="116">
        <f t="shared" si="53"/>
        <v>4800</v>
      </c>
      <c r="AD111" s="108"/>
      <c r="AE111" s="117">
        <f>IF(ISBLANK(Q111),"",IF($P111="BRL",Q111,Q111*Macroindicadores!B$2)/1000)</f>
        <v>0.4</v>
      </c>
      <c r="AF111" s="117">
        <f>IF(ISBLANK(R111),"",IF($P111="BRL",R111,R111*Macroindicadores!C$2)/1000)</f>
        <v>0.4</v>
      </c>
      <c r="AG111" s="117">
        <f>IF(ISBLANK(S111),"",IF($P111="BRL",S111,S111*Macroindicadores!D$2)/1000)</f>
        <v>0.4</v>
      </c>
      <c r="AH111" s="117">
        <f>IF(ISBLANK(T111),"",IF($P111="BRL",T111,T111*Macroindicadores!E$2)/1000)</f>
        <v>0.4</v>
      </c>
      <c r="AI111" s="117">
        <f>IF(ISBLANK(U111),"",IF($P111="BRL",U111,U111*Macroindicadores!F$2)/1000)</f>
        <v>0.4</v>
      </c>
      <c r="AJ111" s="117">
        <f>IF(ISBLANK(V111),"",IF($P111="BRL",V111,V111*Macroindicadores!G$2)/1000)</f>
        <v>0.4</v>
      </c>
      <c r="AK111" s="117">
        <f>IF(ISBLANK(W111),"",IF($P111="BRL",W111,W111*Macroindicadores!H$2)/1000)</f>
        <v>0.4</v>
      </c>
      <c r="AL111" s="117">
        <f>IF(ISBLANK(X111),"",IF($P111="BRL",X111,X111*Macroindicadores!I$2)/1000)</f>
        <v>0.4</v>
      </c>
      <c r="AM111" s="117">
        <f>IF(ISBLANK(Y111),"",IF($P111="BRL",Y111,Y111*Macroindicadores!J$2)/1000)</f>
        <v>0.4</v>
      </c>
      <c r="AN111" s="117">
        <f>IF(ISBLANK(Z111),"",IF($P111="BRL",Z111,Z111*Macroindicadores!K$2)/1000)</f>
        <v>0.4</v>
      </c>
      <c r="AO111" s="117">
        <f>IF(ISBLANK(AA111),"",IF($P111="BRL",AA111,AA111*Macroindicadores!L$2)/1000)</f>
        <v>0.4</v>
      </c>
      <c r="AP111" s="117">
        <f>IF(ISBLANK(AB111),"",IF($P111="BRL",AB111,AB111*Macroindicadores!M$2)/1000)</f>
        <v>0.4</v>
      </c>
      <c r="AQ111" s="118">
        <f t="shared" si="51"/>
        <v>4.8</v>
      </c>
      <c r="AR111" s="108"/>
      <c r="AS111" s="117">
        <f>IF(ISBLANK(Q111),"",IF(ISBLANK($O111),AE111,IF($J111="ANUAL",AE111*(1+Macroindicadores!B$7),IF(AND($I111="NOVO",MONTH($O111)=MONTH(AS$4)),AE111*(1+Macroindicadores!B$7),IF(AND($J111="PONTUAL",MONTH($O111)=MONTH(AS$4)),AE111*(1+Macroindicadores!B$7),IF(AND($J111="PONTUAL",MONTH($O111)&lt;MONTH(AS$4)),MIN(AR111:$AS111),IF(AND($I111="NOVO",MONTH($O111)&gt;MONTH(AS$4)),AE111,IF(MONTH($O111)&gt;MONTH(AS$4),AE111,IF(MONTH($O111)=MONTH(AS$4),AE111*(1+Macroindicadores!B$7),AR111)))))))))</f>
        <v>0.42187003172511972</v>
      </c>
      <c r="AT111" s="117">
        <f>IF(ISBLANK(R111),"",IF(ISBLANK($O111),AF111,IF($J111="ANUAL",AF111*(1+Macroindicadores!C$7),IF(AND($I111="NOVO",MONTH($O111)=MONTH(AT$4)),AF111*(1+Macroindicadores!C$7),IF(AND($J111="PONTUAL",MONTH($O111)=MONTH(AT$4)),AF111*(1+Macroindicadores!C$7),IF(AND($J111="PONTUAL",MONTH($O111)&lt;MONTH(AT$4)),MIN($AS111:AS111),IF(AND($I111="NOVO",MONTH($O111)&gt;MONTH(AT$4)),AF111,IF(MONTH($O111)&gt;MONTH(AT$4),AF111,IF(MONTH($O111)=MONTH(AT$4),AF111*(1+Macroindicadores!C$7),AS111)))))))))</f>
        <v>0.42187003172511972</v>
      </c>
      <c r="AU111" s="117">
        <f>IF(ISBLANK(S111),"",IF(ISBLANK($O111),AG111,IF($J111="ANUAL",AG111*(1+Macroindicadores!D$7),IF(AND($I111="NOVO",MONTH($O111)=MONTH(AU$4)),AG111*(1+Macroindicadores!D$7),IF(AND($J111="PONTUAL",MONTH($O111)=MONTH(AU$4)),AG111*(1+Macroindicadores!D$7),IF(AND($J111="PONTUAL",MONTH($O111)&lt;MONTH(AU$4)),MIN($AS111:AT111),IF(AND($I111="NOVO",MONTH($O111)&gt;MONTH(AU$4)),AG111,IF(MONTH($O111)&gt;MONTH(AU$4),AG111,IF(MONTH($O111)=MONTH(AU$4),AG111*(1+Macroindicadores!D$7),AT111)))))))))</f>
        <v>0.42187003172511972</v>
      </c>
      <c r="AV111" s="117">
        <f>IF(ISBLANK(T111),"",IF(ISBLANK($O111),AH111,IF($J111="ANUAL",AH111*(1+Macroindicadores!E$7),IF(AND($I111="NOVO",MONTH($O111)=MONTH(AV$4)),AH111*(1+Macroindicadores!E$7),IF(AND($J111="PONTUAL",MONTH($O111)=MONTH(AV$4)),AH111*(1+Macroindicadores!E$7),IF(AND($J111="PONTUAL",MONTH($O111)&lt;MONTH(AV$4)),MIN($AS111:AU111),IF(AND($I111="NOVO",MONTH($O111)&gt;MONTH(AV$4)),AH111,IF(MONTH($O111)&gt;MONTH(AV$4),AH111,IF(MONTH($O111)=MONTH(AV$4),AH111*(1+Macroindicadores!E$7),AU111)))))))))</f>
        <v>0.42187003172511972</v>
      </c>
      <c r="AW111" s="117">
        <f>IF(ISBLANK(U111),"",IF(ISBLANK($O111),AI111,IF($J111="ANUAL",AI111*(1+Macroindicadores!F$7),IF(AND($I111="NOVO",MONTH($O111)=MONTH(AW$4)),AI111*(1+Macroindicadores!F$7),IF(AND($J111="PONTUAL",MONTH($O111)=MONTH(AW$4)),AI111*(1+Macroindicadores!F$7),IF(AND($J111="PONTUAL",MONTH($O111)&lt;MONTH(AW$4)),MIN($AS111:AV111),IF(AND($I111="NOVO",MONTH($O111)&gt;MONTH(AW$4)),AI111,IF(MONTH($O111)&gt;MONTH(AW$4),AI111,IF(MONTH($O111)=MONTH(AW$4),AI111*(1+Macroindicadores!F$7),AV111)))))))))</f>
        <v>0.42187003172511972</v>
      </c>
      <c r="AX111" s="117">
        <f>IF(ISBLANK(V111),"",IF(ISBLANK($O111),AJ111,IF($J111="ANUAL",AJ111*(1+Macroindicadores!G$7),IF(AND($I111="NOVO",MONTH($O111)=MONTH(AX$4)),AJ111*(1+Macroindicadores!G$7),IF(AND($J111="PONTUAL",MONTH($O111)=MONTH(AX$4)),AJ111*(1+Macroindicadores!G$7),IF(AND($J111="PONTUAL",MONTH($O111)&lt;MONTH(AX$4)),MIN($AS111:AW111),IF(AND($I111="NOVO",MONTH($O111)&gt;MONTH(AX$4)),AJ111,IF(MONTH($O111)&gt;MONTH(AX$4),AJ111,IF(MONTH($O111)=MONTH(AX$4),AJ111*(1+Macroindicadores!G$7),AW111)))))))))</f>
        <v>0.42187003172511972</v>
      </c>
      <c r="AY111" s="117">
        <f>IF(ISBLANK(W111),"",IF(ISBLANK($O111),AK111,IF($J111="ANUAL",AK111*(1+Macroindicadores!H$7),IF(AND($I111="NOVO",MONTH($O111)=MONTH(AY$4)),AK111*(1+Macroindicadores!H$7),IF(AND($J111="PONTUAL",MONTH($O111)=MONTH(AY$4)),AK111*(1+Macroindicadores!H$7),IF(AND($J111="PONTUAL",MONTH($O111)&lt;MONTH(AY$4)),MIN($AS111:AX111),IF(AND($I111="NOVO",MONTH($O111)&gt;MONTH(AY$4)),AK111,IF(MONTH($O111)&gt;MONTH(AY$4),AK111,IF(MONTH($O111)=MONTH(AY$4),AK111*(1+Macroindicadores!H$7),AX111)))))))))</f>
        <v>0.42187003172511972</v>
      </c>
      <c r="AZ111" s="117">
        <f>IF(ISBLANK(X111),"",IF(ISBLANK($O111),AL111,IF($J111="ANUAL",AL111*(1+Macroindicadores!I$7),IF(AND($I111="NOVO",MONTH($O111)=MONTH(AZ$4)),AL111*(1+Macroindicadores!I$7),IF(AND($J111="PONTUAL",MONTH($O111)=MONTH(AZ$4)),AL111*(1+Macroindicadores!I$7),IF(AND($J111="PONTUAL",MONTH($O111)&lt;MONTH(AZ$4)),MIN($AS111:AY111),IF(AND($I111="NOVO",MONTH($O111)&gt;MONTH(AZ$4)),AL111,IF(MONTH($O111)&gt;MONTH(AZ$4),AL111,IF(MONTH($O111)=MONTH(AZ$4),AL111*(1+Macroindicadores!I$7),AY111)))))))))</f>
        <v>0.42187003172511972</v>
      </c>
      <c r="BA111" s="117">
        <f>IF(ISBLANK(Y111),"",IF(ISBLANK($O111),AM111,IF($J111="ANUAL",AM111*(1+Macroindicadores!J$7),IF(AND($I111="NOVO",MONTH($O111)=MONTH(BA$4)),AM111*(1+Macroindicadores!J$7),IF(AND($J111="PONTUAL",MONTH($O111)=MONTH(BA$4)),AM111*(1+Macroindicadores!J$7),IF(AND($J111="PONTUAL",MONTH($O111)&lt;MONTH(BA$4)),MIN($AS111:AZ111),IF(AND($I111="NOVO",MONTH($O111)&gt;MONTH(BA$4)),AM111,IF(MONTH($O111)&gt;MONTH(BA$4),AM111,IF(MONTH($O111)=MONTH(BA$4),AM111*(1+Macroindicadores!J$7),AZ111)))))))))</f>
        <v>0.42187003172511972</v>
      </c>
      <c r="BB111" s="117">
        <f>IF(ISBLANK(Z111),"",IF(ISBLANK($O111),AN111,IF($J111="ANUAL",AN111*(1+Macroindicadores!K$7),IF(AND($I111="NOVO",MONTH($O111)=MONTH(BB$4)),AN111*(1+Macroindicadores!K$7),IF(AND($J111="PONTUAL",MONTH($O111)=MONTH(BB$4)),AN111*(1+Macroindicadores!K$7),IF(AND($J111="PONTUAL",MONTH($O111)&lt;MONTH(BB$4)),MIN($AS111:BA111),IF(AND($I111="NOVO",MONTH($O111)&gt;MONTH(BB$4)),AN111,IF(MONTH($O111)&gt;MONTH(BB$4),AN111,IF(MONTH($O111)=MONTH(BB$4),AN111*(1+Macroindicadores!K$7),BA111)))))))))</f>
        <v>0.42187003172511972</v>
      </c>
      <c r="BC111" s="117">
        <f>IF(ISBLANK(AA111),"",IF(ISBLANK($O111),AO111,IF($J111="ANUAL",AO111*(1+Macroindicadores!L$7),IF(AND($I111="NOVO",MONTH($O111)=MONTH(BC$4)),AO111*(1+Macroindicadores!L$7),IF(AND($J111="PONTUAL",MONTH($O111)=MONTH(BC$4)),AO111*(1+Macroindicadores!L$7),IF(AND($J111="PONTUAL",MONTH($O111)&lt;MONTH(BC$4)),MIN($AS111:BB111),IF(AND($I111="NOVO",MONTH($O111)&gt;MONTH(BC$4)),AO111,IF(MONTH($O111)&gt;MONTH(BC$4),AO111,IF(MONTH($O111)=MONTH(BC$4),AO111*(1+Macroindicadores!L$7),BB111)))))))))</f>
        <v>0.42187003172511972</v>
      </c>
      <c r="BD111" s="117">
        <f>IF(ISBLANK(AB111),"",IF(ISBLANK($O111),AP111,IF($J111="ANUAL",AP111*(1+Macroindicadores!M$7),IF(AND($I111="NOVO",MONTH($O111)=MONTH(BD$4)),AP111*(1+Macroindicadores!M$7),IF(AND($J111="PONTUAL",MONTH($O111)=MONTH(BD$4)),AP111*(1+Macroindicadores!M$7),IF(AND($J111="PONTUAL",MONTH($O111)&lt;MONTH(BD$4)),MIN($AS111:BC111),IF(AND($I111="NOVO",MONTH($O111)&gt;MONTH(BD$4)),AP111,IF(MONTH($O111)&gt;MONTH(BD$4),AP111,IF(MONTH($O111)=MONTH(BD$4),AP111*(1+Macroindicadores!M$7),BC111)))))))))</f>
        <v>0.42187003172511972</v>
      </c>
      <c r="BE111" s="118">
        <f t="shared" si="50"/>
        <v>5.0624403807014362</v>
      </c>
      <c r="BF111" s="108"/>
      <c r="BG111" s="117">
        <f>IF(ISBLANK(Q111),"",AS111/Macroindicadores!B$2)</f>
        <v>7.1746604034884309E-2</v>
      </c>
      <c r="BH111" s="117">
        <f>IF(ISBLANK(R111),"",AT111/Macroindicadores!C$2)</f>
        <v>7.1746604034884309E-2</v>
      </c>
      <c r="BI111" s="117">
        <f>IF(ISBLANK(S111),"",AU111/Macroindicadores!D$2)</f>
        <v>7.1746604034884309E-2</v>
      </c>
      <c r="BJ111" s="117">
        <f>IF(ISBLANK(T111),"",AV111/Macroindicadores!E$2)</f>
        <v>7.1746604034884309E-2</v>
      </c>
      <c r="BK111" s="117">
        <f>IF(ISBLANK(U111),"",AW111/Macroindicadores!F$2)</f>
        <v>7.1746604034884309E-2</v>
      </c>
      <c r="BL111" s="117">
        <f>IF(ISBLANK(V111),"",AX111/Macroindicadores!G$2)</f>
        <v>7.1746604034884309E-2</v>
      </c>
      <c r="BM111" s="117">
        <f>IF(ISBLANK(W111),"",AY111/Macroindicadores!H$2)</f>
        <v>7.1746604034884309E-2</v>
      </c>
      <c r="BN111" s="117">
        <f>IF(ISBLANK(X111),"",AZ111/Macroindicadores!I$2)</f>
        <v>7.1746604034884309E-2</v>
      </c>
      <c r="BO111" s="117">
        <f>IF(ISBLANK(Y111),"",BA111/Macroindicadores!J$2)</f>
        <v>7.1746604034884309E-2</v>
      </c>
      <c r="BP111" s="117">
        <f>IF(ISBLANK(Z111),"",BB111/Macroindicadores!K$2)</f>
        <v>7.1746604034884309E-2</v>
      </c>
      <c r="BQ111" s="117">
        <f>IF(ISBLANK(AA111),"",BC111/Macroindicadores!L$2)</f>
        <v>7.1746604034884309E-2</v>
      </c>
      <c r="BR111" s="117">
        <f>IF(ISBLANK(AB111),"",BD111/Macroindicadores!M$2)</f>
        <v>7.1746604034884309E-2</v>
      </c>
      <c r="BS111" s="118">
        <f>IF(AND(ISBLANK($Q111),ISBLANK($R111),ISBLANK($S111),ISBLANK($T111),ISBLANK($U111),ISBLANK($V111),ISBLANK($W111),ISBLANK($X111),ISBLANK($Y111),ISBLANK($Z111),ISBLANK($AA111),ISBLANK($AB111)),"",SUM(BG111:BR111))</f>
        <v>0.86095924841861171</v>
      </c>
      <c r="BT111" s="25" t="str">
        <f>IF(ISBLANK($L111),"",_xlfn.XLOOKUP($L111,'CENTRO CUSTO'!$A:$A,'CENTRO CUSTO'!$E:$E,FALSE,0))</f>
        <v>G&amp;A BU</v>
      </c>
    </row>
    <row r="112" spans="1:72">
      <c r="A112" s="9" t="str">
        <f t="shared" si="52"/>
        <v>Budget</v>
      </c>
      <c r="B112" s="9">
        <f t="shared" si="66"/>
        <v>2026</v>
      </c>
      <c r="C112" s="111" t="str">
        <f>IF(ISBLANK($L112),"",_xlfn.XLOOKUP($L112,'CENTRO CUSTO'!$A:$A,'CENTRO CUSTO'!F:F,FALSE,0))</f>
        <v>Transporte</v>
      </c>
      <c r="D112" s="111" t="str">
        <f>IF(ISBLANK($L112),"",_xlfn.XLOOKUP($L112,'CENTRO CUSTO'!$A:$A,'CENTRO CUSTO'!G:G,FALSE,0))</f>
        <v>BU-TR</v>
      </c>
      <c r="E112" s="111" t="str">
        <f>IF(ISBLANK($L112),"",_xlfn.XLOOKUP($L112,'CENTRO CUSTO'!$A:$A,'CENTRO CUSTO'!H:H,FALSE,0))</f>
        <v>G&amp;A</v>
      </c>
      <c r="F112" s="112" t="s">
        <v>150</v>
      </c>
      <c r="G112" s="112" t="s">
        <v>123</v>
      </c>
      <c r="H112" s="112" t="s">
        <v>151</v>
      </c>
      <c r="I112" s="113" t="s">
        <v>77</v>
      </c>
      <c r="J112" s="113" t="s">
        <v>78</v>
      </c>
      <c r="K112" s="113" t="s">
        <v>79</v>
      </c>
      <c r="L112" s="113" t="s">
        <v>38</v>
      </c>
      <c r="M112" s="111" t="str">
        <f>IF(ISBLANK($L112),"",_xlfn.XLOOKUP($L112,'CENTRO CUSTO'!$A:$A,'CENTRO CUSTO'!D:D,FALSE,0))</f>
        <v>Alexandre Ayabe</v>
      </c>
      <c r="N112" s="113" t="s">
        <v>132</v>
      </c>
      <c r="O112" s="114">
        <v>46031</v>
      </c>
      <c r="P112" s="113" t="s">
        <v>81</v>
      </c>
      <c r="Q112" s="115">
        <v>400</v>
      </c>
      <c r="R112" s="115">
        <v>400</v>
      </c>
      <c r="S112" s="115">
        <v>400</v>
      </c>
      <c r="T112" s="115">
        <v>400</v>
      </c>
      <c r="U112" s="115">
        <v>400</v>
      </c>
      <c r="V112" s="115">
        <v>400</v>
      </c>
      <c r="W112" s="115">
        <v>400</v>
      </c>
      <c r="X112" s="115">
        <v>400</v>
      </c>
      <c r="Y112" s="115">
        <v>400</v>
      </c>
      <c r="Z112" s="115">
        <v>400</v>
      </c>
      <c r="AA112" s="115">
        <v>400</v>
      </c>
      <c r="AB112" s="115">
        <v>400</v>
      </c>
      <c r="AC112" s="116">
        <f t="shared" si="53"/>
        <v>4800</v>
      </c>
      <c r="AD112" s="108"/>
      <c r="AE112" s="117">
        <f>IF(ISBLANK(Q112),"",IF($P112="BRL",Q112,Q112*Macroindicadores!B$2)/1000)</f>
        <v>0.4</v>
      </c>
      <c r="AF112" s="117">
        <f>IF(ISBLANK(R112),"",IF($P112="BRL",R112,R112*Macroindicadores!C$2)/1000)</f>
        <v>0.4</v>
      </c>
      <c r="AG112" s="117">
        <f>IF(ISBLANK(S112),"",IF($P112="BRL",S112,S112*Macroindicadores!D$2)/1000)</f>
        <v>0.4</v>
      </c>
      <c r="AH112" s="117">
        <f>IF(ISBLANK(T112),"",IF($P112="BRL",T112,T112*Macroindicadores!E$2)/1000)</f>
        <v>0.4</v>
      </c>
      <c r="AI112" s="117">
        <f>IF(ISBLANK(U112),"",IF($P112="BRL",U112,U112*Macroindicadores!F$2)/1000)</f>
        <v>0.4</v>
      </c>
      <c r="AJ112" s="117">
        <f>IF(ISBLANK(V112),"",IF($P112="BRL",V112,V112*Macroindicadores!G$2)/1000)</f>
        <v>0.4</v>
      </c>
      <c r="AK112" s="117">
        <f>IF(ISBLANK(W112),"",IF($P112="BRL",W112,W112*Macroindicadores!H$2)/1000)</f>
        <v>0.4</v>
      </c>
      <c r="AL112" s="117">
        <f>IF(ISBLANK(X112),"",IF($P112="BRL",X112,X112*Macroindicadores!I$2)/1000)</f>
        <v>0.4</v>
      </c>
      <c r="AM112" s="117">
        <f>IF(ISBLANK(Y112),"",IF($P112="BRL",Y112,Y112*Macroindicadores!J$2)/1000)</f>
        <v>0.4</v>
      </c>
      <c r="AN112" s="117">
        <f>IF(ISBLANK(Z112),"",IF($P112="BRL",Z112,Z112*Macroindicadores!K$2)/1000)</f>
        <v>0.4</v>
      </c>
      <c r="AO112" s="117">
        <f>IF(ISBLANK(AA112),"",IF($P112="BRL",AA112,AA112*Macroindicadores!L$2)/1000)</f>
        <v>0.4</v>
      </c>
      <c r="AP112" s="117">
        <f>IF(ISBLANK(AB112),"",IF($P112="BRL",AB112,AB112*Macroindicadores!M$2)/1000)</f>
        <v>0.4</v>
      </c>
      <c r="AQ112" s="118">
        <f t="shared" si="51"/>
        <v>4.8</v>
      </c>
      <c r="AR112" s="108"/>
      <c r="AS112" s="117">
        <f>IF(ISBLANK(Q112),"",IF(ISBLANK($O112),AE112,IF($J112="ANUAL",AE112*(1+Macroindicadores!B$7),IF(AND($I112="NOVO",MONTH($O112)=MONTH(AS$4)),AE112*(1+Macroindicadores!B$7),IF(AND($J112="PONTUAL",MONTH($O112)=MONTH(AS$4)),AE112*(1+Macroindicadores!B$7),IF(AND($J112="PONTUAL",MONTH($O112)&lt;MONTH(AS$4)),MIN(AR112:$AS112),IF(AND($I112="NOVO",MONTH($O112)&gt;MONTH(AS$4)),AE112,IF(MONTH($O112)&gt;MONTH(AS$4),AE112,IF(MONTH($O112)=MONTH(AS$4),AE112*(1+Macroindicadores!B$7),AR112)))))))))</f>
        <v>0.42187003172511972</v>
      </c>
      <c r="AT112" s="117">
        <f>IF(ISBLANK(R112),"",IF(ISBLANK($O112),AF112,IF($J112="ANUAL",AF112*(1+Macroindicadores!C$7),IF(AND($I112="NOVO",MONTH($O112)=MONTH(AT$4)),AF112*(1+Macroindicadores!C$7),IF(AND($J112="PONTUAL",MONTH($O112)=MONTH(AT$4)),AF112*(1+Macroindicadores!C$7),IF(AND($J112="PONTUAL",MONTH($O112)&lt;MONTH(AT$4)),MIN($AS112:AS112),IF(AND($I112="NOVO",MONTH($O112)&gt;MONTH(AT$4)),AF112,IF(MONTH($O112)&gt;MONTH(AT$4),AF112,IF(MONTH($O112)=MONTH(AT$4),AF112*(1+Macroindicadores!C$7),AS112)))))))))</f>
        <v>0.42187003172511972</v>
      </c>
      <c r="AU112" s="117">
        <f>IF(ISBLANK(S112),"",IF(ISBLANK($O112),AG112,IF($J112="ANUAL",AG112*(1+Macroindicadores!D$7),IF(AND($I112="NOVO",MONTH($O112)=MONTH(AU$4)),AG112*(1+Macroindicadores!D$7),IF(AND($J112="PONTUAL",MONTH($O112)=MONTH(AU$4)),AG112*(1+Macroindicadores!D$7),IF(AND($J112="PONTUAL",MONTH($O112)&lt;MONTH(AU$4)),MIN($AS112:AT112),IF(AND($I112="NOVO",MONTH($O112)&gt;MONTH(AU$4)),AG112,IF(MONTH($O112)&gt;MONTH(AU$4),AG112,IF(MONTH($O112)=MONTH(AU$4),AG112*(1+Macroindicadores!D$7),AT112)))))))))</f>
        <v>0.42187003172511972</v>
      </c>
      <c r="AV112" s="117">
        <f>IF(ISBLANK(T112),"",IF(ISBLANK($O112),AH112,IF($J112="ANUAL",AH112*(1+Macroindicadores!E$7),IF(AND($I112="NOVO",MONTH($O112)=MONTH(AV$4)),AH112*(1+Macroindicadores!E$7),IF(AND($J112="PONTUAL",MONTH($O112)=MONTH(AV$4)),AH112*(1+Macroindicadores!E$7),IF(AND($J112="PONTUAL",MONTH($O112)&lt;MONTH(AV$4)),MIN($AS112:AU112),IF(AND($I112="NOVO",MONTH($O112)&gt;MONTH(AV$4)),AH112,IF(MONTH($O112)&gt;MONTH(AV$4),AH112,IF(MONTH($O112)=MONTH(AV$4),AH112*(1+Macroindicadores!E$7),AU112)))))))))</f>
        <v>0.42187003172511972</v>
      </c>
      <c r="AW112" s="117">
        <f>IF(ISBLANK(U112),"",IF(ISBLANK($O112),AI112,IF($J112="ANUAL",AI112*(1+Macroindicadores!F$7),IF(AND($I112="NOVO",MONTH($O112)=MONTH(AW$4)),AI112*(1+Macroindicadores!F$7),IF(AND($J112="PONTUAL",MONTH($O112)=MONTH(AW$4)),AI112*(1+Macroindicadores!F$7),IF(AND($J112="PONTUAL",MONTH($O112)&lt;MONTH(AW$4)),MIN($AS112:AV112),IF(AND($I112="NOVO",MONTH($O112)&gt;MONTH(AW$4)),AI112,IF(MONTH($O112)&gt;MONTH(AW$4),AI112,IF(MONTH($O112)=MONTH(AW$4),AI112*(1+Macroindicadores!F$7),AV112)))))))))</f>
        <v>0.42187003172511972</v>
      </c>
      <c r="AX112" s="117">
        <f>IF(ISBLANK(V112),"",IF(ISBLANK($O112),AJ112,IF($J112="ANUAL",AJ112*(1+Macroindicadores!G$7),IF(AND($I112="NOVO",MONTH($O112)=MONTH(AX$4)),AJ112*(1+Macroindicadores!G$7),IF(AND($J112="PONTUAL",MONTH($O112)=MONTH(AX$4)),AJ112*(1+Macroindicadores!G$7),IF(AND($J112="PONTUAL",MONTH($O112)&lt;MONTH(AX$4)),MIN($AS112:AW112),IF(AND($I112="NOVO",MONTH($O112)&gt;MONTH(AX$4)),AJ112,IF(MONTH($O112)&gt;MONTH(AX$4),AJ112,IF(MONTH($O112)=MONTH(AX$4),AJ112*(1+Macroindicadores!G$7),AW112)))))))))</f>
        <v>0.42187003172511972</v>
      </c>
      <c r="AY112" s="117">
        <f>IF(ISBLANK(W112),"",IF(ISBLANK($O112),AK112,IF($J112="ANUAL",AK112*(1+Macroindicadores!H$7),IF(AND($I112="NOVO",MONTH($O112)=MONTH(AY$4)),AK112*(1+Macroindicadores!H$7),IF(AND($J112="PONTUAL",MONTH($O112)=MONTH(AY$4)),AK112*(1+Macroindicadores!H$7),IF(AND($J112="PONTUAL",MONTH($O112)&lt;MONTH(AY$4)),MIN($AS112:AX112),IF(AND($I112="NOVO",MONTH($O112)&gt;MONTH(AY$4)),AK112,IF(MONTH($O112)&gt;MONTH(AY$4),AK112,IF(MONTH($O112)=MONTH(AY$4),AK112*(1+Macroindicadores!H$7),AX112)))))))))</f>
        <v>0.42187003172511972</v>
      </c>
      <c r="AZ112" s="117">
        <f>IF(ISBLANK(X112),"",IF(ISBLANK($O112),AL112,IF($J112="ANUAL",AL112*(1+Macroindicadores!I$7),IF(AND($I112="NOVO",MONTH($O112)=MONTH(AZ$4)),AL112*(1+Macroindicadores!I$7),IF(AND($J112="PONTUAL",MONTH($O112)=MONTH(AZ$4)),AL112*(1+Macroindicadores!I$7),IF(AND($J112="PONTUAL",MONTH($O112)&lt;MONTH(AZ$4)),MIN($AS112:AY112),IF(AND($I112="NOVO",MONTH($O112)&gt;MONTH(AZ$4)),AL112,IF(MONTH($O112)&gt;MONTH(AZ$4),AL112,IF(MONTH($O112)=MONTH(AZ$4),AL112*(1+Macroindicadores!I$7),AY112)))))))))</f>
        <v>0.42187003172511972</v>
      </c>
      <c r="BA112" s="117">
        <f>IF(ISBLANK(Y112),"",IF(ISBLANK($O112),AM112,IF($J112="ANUAL",AM112*(1+Macroindicadores!J$7),IF(AND($I112="NOVO",MONTH($O112)=MONTH(BA$4)),AM112*(1+Macroindicadores!J$7),IF(AND($J112="PONTUAL",MONTH($O112)=MONTH(BA$4)),AM112*(1+Macroindicadores!J$7),IF(AND($J112="PONTUAL",MONTH($O112)&lt;MONTH(BA$4)),MIN($AS112:AZ112),IF(AND($I112="NOVO",MONTH($O112)&gt;MONTH(BA$4)),AM112,IF(MONTH($O112)&gt;MONTH(BA$4),AM112,IF(MONTH($O112)=MONTH(BA$4),AM112*(1+Macroindicadores!J$7),AZ112)))))))))</f>
        <v>0.42187003172511972</v>
      </c>
      <c r="BB112" s="117">
        <f>IF(ISBLANK(Z112),"",IF(ISBLANK($O112),AN112,IF($J112="ANUAL",AN112*(1+Macroindicadores!K$7),IF(AND($I112="NOVO",MONTH($O112)=MONTH(BB$4)),AN112*(1+Macroindicadores!K$7),IF(AND($J112="PONTUAL",MONTH($O112)=MONTH(BB$4)),AN112*(1+Macroindicadores!K$7),IF(AND($J112="PONTUAL",MONTH($O112)&lt;MONTH(BB$4)),MIN($AS112:BA112),IF(AND($I112="NOVO",MONTH($O112)&gt;MONTH(BB$4)),AN112,IF(MONTH($O112)&gt;MONTH(BB$4),AN112,IF(MONTH($O112)=MONTH(BB$4),AN112*(1+Macroindicadores!K$7),BA112)))))))))</f>
        <v>0.42187003172511972</v>
      </c>
      <c r="BC112" s="117">
        <f>IF(ISBLANK(AA112),"",IF(ISBLANK($O112),AO112,IF($J112="ANUAL",AO112*(1+Macroindicadores!L$7),IF(AND($I112="NOVO",MONTH($O112)=MONTH(BC$4)),AO112*(1+Macroindicadores!L$7),IF(AND($J112="PONTUAL",MONTH($O112)=MONTH(BC$4)),AO112*(1+Macroindicadores!L$7),IF(AND($J112="PONTUAL",MONTH($O112)&lt;MONTH(BC$4)),MIN($AS112:BB112),IF(AND($I112="NOVO",MONTH($O112)&gt;MONTH(BC$4)),AO112,IF(MONTH($O112)&gt;MONTH(BC$4),AO112,IF(MONTH($O112)=MONTH(BC$4),AO112*(1+Macroindicadores!L$7),BB112)))))))))</f>
        <v>0.42187003172511972</v>
      </c>
      <c r="BD112" s="117">
        <f>IF(ISBLANK(AB112),"",IF(ISBLANK($O112),AP112,IF($J112="ANUAL",AP112*(1+Macroindicadores!M$7),IF(AND($I112="NOVO",MONTH($O112)=MONTH(BD$4)),AP112*(1+Macroindicadores!M$7),IF(AND($J112="PONTUAL",MONTH($O112)=MONTH(BD$4)),AP112*(1+Macroindicadores!M$7),IF(AND($J112="PONTUAL",MONTH($O112)&lt;MONTH(BD$4)),MIN($AS112:BC112),IF(AND($I112="NOVO",MONTH($O112)&gt;MONTH(BD$4)),AP112,IF(MONTH($O112)&gt;MONTH(BD$4),AP112,IF(MONTH($O112)=MONTH(BD$4),AP112*(1+Macroindicadores!M$7),BC112)))))))))</f>
        <v>0.42187003172511972</v>
      </c>
      <c r="BE112" s="118">
        <f t="shared" si="50"/>
        <v>5.0624403807014362</v>
      </c>
      <c r="BF112" s="108"/>
      <c r="BG112" s="117">
        <f>IF(ISBLANK(Q112),"",AS112/Macroindicadores!B$2)</f>
        <v>7.1746604034884309E-2</v>
      </c>
      <c r="BH112" s="117">
        <f>IF(ISBLANK(R112),"",AT112/Macroindicadores!C$2)</f>
        <v>7.1746604034884309E-2</v>
      </c>
      <c r="BI112" s="117">
        <f>IF(ISBLANK(S112),"",AU112/Macroindicadores!D$2)</f>
        <v>7.1746604034884309E-2</v>
      </c>
      <c r="BJ112" s="117">
        <f>IF(ISBLANK(T112),"",AV112/Macroindicadores!E$2)</f>
        <v>7.1746604034884309E-2</v>
      </c>
      <c r="BK112" s="117">
        <f>IF(ISBLANK(U112),"",AW112/Macroindicadores!F$2)</f>
        <v>7.1746604034884309E-2</v>
      </c>
      <c r="BL112" s="117">
        <f>IF(ISBLANK(V112),"",AX112/Macroindicadores!G$2)</f>
        <v>7.1746604034884309E-2</v>
      </c>
      <c r="BM112" s="117">
        <f>IF(ISBLANK(W112),"",AY112/Macroindicadores!H$2)</f>
        <v>7.1746604034884309E-2</v>
      </c>
      <c r="BN112" s="117">
        <f>IF(ISBLANK(X112),"",AZ112/Macroindicadores!I$2)</f>
        <v>7.1746604034884309E-2</v>
      </c>
      <c r="BO112" s="117">
        <f>IF(ISBLANK(Y112),"",BA112/Macroindicadores!J$2)</f>
        <v>7.1746604034884309E-2</v>
      </c>
      <c r="BP112" s="117">
        <f>IF(ISBLANK(Z112),"",BB112/Macroindicadores!K$2)</f>
        <v>7.1746604034884309E-2</v>
      </c>
      <c r="BQ112" s="117">
        <f>IF(ISBLANK(AA112),"",BC112/Macroindicadores!L$2)</f>
        <v>7.1746604034884309E-2</v>
      </c>
      <c r="BR112" s="117">
        <f>IF(ISBLANK(AB112),"",BD112/Macroindicadores!M$2)</f>
        <v>7.1746604034884309E-2</v>
      </c>
      <c r="BS112" s="118">
        <f>IF(AND(ISBLANK($Q112),ISBLANK($R112),ISBLANK($S112),ISBLANK($T112),ISBLANK($U112),ISBLANK($V112),ISBLANK($W112),ISBLANK($X112),ISBLANK($Y112),ISBLANK($Z112),ISBLANK($AA112),ISBLANK($AB112)),"",SUM(BG112:BR112))</f>
        <v>0.86095924841861171</v>
      </c>
      <c r="BT112" s="25" t="str">
        <f>IF(ISBLANK($L112),"",_xlfn.XLOOKUP($L112,'CENTRO CUSTO'!$A:$A,'CENTRO CUSTO'!$E:$E,FALSE,0))</f>
        <v>G&amp;A BU</v>
      </c>
    </row>
    <row r="113" spans="1:72">
      <c r="A113" s="9" t="str">
        <f t="shared" si="52"/>
        <v>Budget</v>
      </c>
      <c r="B113" s="9">
        <f t="shared" si="66"/>
        <v>2026</v>
      </c>
      <c r="C113" s="111" t="str">
        <f>IF(ISBLANK($L113),"",_xlfn.XLOOKUP($L113,'CENTRO CUSTO'!$A:$A,'CENTRO CUSTO'!F:F,FALSE,0))</f>
        <v>Transporte</v>
      </c>
      <c r="D113" s="111" t="str">
        <f>IF(ISBLANK($L113),"",_xlfn.XLOOKUP($L113,'CENTRO CUSTO'!$A:$A,'CENTRO CUSTO'!G:G,FALSE,0))</f>
        <v>BU-TR</v>
      </c>
      <c r="E113" s="111" t="str">
        <f>IF(ISBLANK($L113),"",_xlfn.XLOOKUP($L113,'CENTRO CUSTO'!$A:$A,'CENTRO CUSTO'!H:H,FALSE,0))</f>
        <v>G&amp;A</v>
      </c>
      <c r="F113" s="112" t="s">
        <v>152</v>
      </c>
      <c r="G113" s="112" t="s">
        <v>123</v>
      </c>
      <c r="H113" s="112" t="s">
        <v>153</v>
      </c>
      <c r="I113" s="113" t="s">
        <v>77</v>
      </c>
      <c r="J113" s="113" t="s">
        <v>78</v>
      </c>
      <c r="K113" s="113" t="s">
        <v>79</v>
      </c>
      <c r="L113" s="113" t="s">
        <v>38</v>
      </c>
      <c r="M113" s="111" t="str">
        <f>IF(ISBLANK($L113),"",_xlfn.XLOOKUP($L113,'CENTRO CUSTO'!$A:$A,'CENTRO CUSTO'!D:D,FALSE,0))</f>
        <v>Alexandre Ayabe</v>
      </c>
      <c r="N113" s="113" t="s">
        <v>132</v>
      </c>
      <c r="O113" s="114">
        <v>46031</v>
      </c>
      <c r="P113" s="113" t="s">
        <v>81</v>
      </c>
      <c r="Q113" s="115">
        <v>150</v>
      </c>
      <c r="R113" s="115">
        <v>150</v>
      </c>
      <c r="S113" s="115">
        <v>150</v>
      </c>
      <c r="T113" s="115">
        <v>150</v>
      </c>
      <c r="U113" s="115">
        <v>150</v>
      </c>
      <c r="V113" s="115">
        <v>150</v>
      </c>
      <c r="W113" s="115">
        <v>150</v>
      </c>
      <c r="X113" s="115">
        <v>150</v>
      </c>
      <c r="Y113" s="115">
        <v>150</v>
      </c>
      <c r="Z113" s="115">
        <v>150</v>
      </c>
      <c r="AA113" s="115">
        <v>150</v>
      </c>
      <c r="AB113" s="115">
        <v>150</v>
      </c>
      <c r="AC113" s="116">
        <f t="shared" si="53"/>
        <v>1800</v>
      </c>
      <c r="AD113" s="108"/>
      <c r="AE113" s="117">
        <f>IF(ISBLANK(Q113),"",IF($P113="BRL",Q113,Q113*Macroindicadores!B$2)/1000)</f>
        <v>0.15</v>
      </c>
      <c r="AF113" s="117">
        <f>IF(ISBLANK(R113),"",IF($P113="BRL",R113,R113*Macroindicadores!C$2)/1000)</f>
        <v>0.15</v>
      </c>
      <c r="AG113" s="117">
        <f>IF(ISBLANK(S113),"",IF($P113="BRL",S113,S113*Macroindicadores!D$2)/1000)</f>
        <v>0.15</v>
      </c>
      <c r="AH113" s="117">
        <f>IF(ISBLANK(T113),"",IF($P113="BRL",T113,T113*Macroindicadores!E$2)/1000)</f>
        <v>0.15</v>
      </c>
      <c r="AI113" s="117">
        <f>IF(ISBLANK(U113),"",IF($P113="BRL",U113,U113*Macroindicadores!F$2)/1000)</f>
        <v>0.15</v>
      </c>
      <c r="AJ113" s="117">
        <f>IF(ISBLANK(V113),"",IF($P113="BRL",V113,V113*Macroindicadores!G$2)/1000)</f>
        <v>0.15</v>
      </c>
      <c r="AK113" s="117">
        <f>IF(ISBLANK(W113),"",IF($P113="BRL",W113,W113*Macroindicadores!H$2)/1000)</f>
        <v>0.15</v>
      </c>
      <c r="AL113" s="117">
        <f>IF(ISBLANK(X113),"",IF($P113="BRL",X113,X113*Macroindicadores!I$2)/1000)</f>
        <v>0.15</v>
      </c>
      <c r="AM113" s="117">
        <f>IF(ISBLANK(Y113),"",IF($P113="BRL",Y113,Y113*Macroindicadores!J$2)/1000)</f>
        <v>0.15</v>
      </c>
      <c r="AN113" s="117">
        <f>IF(ISBLANK(Z113),"",IF($P113="BRL",Z113,Z113*Macroindicadores!K$2)/1000)</f>
        <v>0.15</v>
      </c>
      <c r="AO113" s="117">
        <f>IF(ISBLANK(AA113),"",IF($P113="BRL",AA113,AA113*Macroindicadores!L$2)/1000)</f>
        <v>0.15</v>
      </c>
      <c r="AP113" s="117">
        <f>IF(ISBLANK(AB113),"",IF($P113="BRL",AB113,AB113*Macroindicadores!M$2)/1000)</f>
        <v>0.15</v>
      </c>
      <c r="AQ113" s="118">
        <f t="shared" si="51"/>
        <v>1.7999999999999996</v>
      </c>
      <c r="AR113" s="108"/>
      <c r="AS113" s="117">
        <f>IF(ISBLANK(Q113),"",IF(ISBLANK($O113),AE113,IF($J113="ANUAL",AE113*(1+Macroindicadores!B$7),IF(AND($I113="NOVO",MONTH($O113)=MONTH(AS$4)),AE113*(1+Macroindicadores!B$7),IF(AND($J113="PONTUAL",MONTH($O113)=MONTH(AS$4)),AE113*(1+Macroindicadores!B$7),IF(AND($J113="PONTUAL",MONTH($O113)&lt;MONTH(AS$4)),MIN(AR113:$AS113),IF(AND($I113="NOVO",MONTH($O113)&gt;MONTH(AS$4)),AE113,IF(MONTH($O113)&gt;MONTH(AS$4),AE113,IF(MONTH($O113)=MONTH(AS$4),AE113*(1+Macroindicadores!B$7),AR113)))))))))</f>
        <v>0.15820126189691988</v>
      </c>
      <c r="AT113" s="117">
        <f>IF(ISBLANK(R113),"",IF(ISBLANK($O113),AF113,IF($J113="ANUAL",AF113*(1+Macroindicadores!C$7),IF(AND($I113="NOVO",MONTH($O113)=MONTH(AT$4)),AF113*(1+Macroindicadores!C$7),IF(AND($J113="PONTUAL",MONTH($O113)=MONTH(AT$4)),AF113*(1+Macroindicadores!C$7),IF(AND($J113="PONTUAL",MONTH($O113)&lt;MONTH(AT$4)),MIN($AS113:AS113),IF(AND($I113="NOVO",MONTH($O113)&gt;MONTH(AT$4)),AF113,IF(MONTH($O113)&gt;MONTH(AT$4),AF113,IF(MONTH($O113)=MONTH(AT$4),AF113*(1+Macroindicadores!C$7),AS113)))))))))</f>
        <v>0.15820126189691988</v>
      </c>
      <c r="AU113" s="117">
        <f>IF(ISBLANK(S113),"",IF(ISBLANK($O113),AG113,IF($J113="ANUAL",AG113*(1+Macroindicadores!D$7),IF(AND($I113="NOVO",MONTH($O113)=MONTH(AU$4)),AG113*(1+Macroindicadores!D$7),IF(AND($J113="PONTUAL",MONTH($O113)=MONTH(AU$4)),AG113*(1+Macroindicadores!D$7),IF(AND($J113="PONTUAL",MONTH($O113)&lt;MONTH(AU$4)),MIN($AS113:AT113),IF(AND($I113="NOVO",MONTH($O113)&gt;MONTH(AU$4)),AG113,IF(MONTH($O113)&gt;MONTH(AU$4),AG113,IF(MONTH($O113)=MONTH(AU$4),AG113*(1+Macroindicadores!D$7),AT113)))))))))</f>
        <v>0.15820126189691988</v>
      </c>
      <c r="AV113" s="117">
        <f>IF(ISBLANK(T113),"",IF(ISBLANK($O113),AH113,IF($J113="ANUAL",AH113*(1+Macroindicadores!E$7),IF(AND($I113="NOVO",MONTH($O113)=MONTH(AV$4)),AH113*(1+Macroindicadores!E$7),IF(AND($J113="PONTUAL",MONTH($O113)=MONTH(AV$4)),AH113*(1+Macroindicadores!E$7),IF(AND($J113="PONTUAL",MONTH($O113)&lt;MONTH(AV$4)),MIN($AS113:AU113),IF(AND($I113="NOVO",MONTH($O113)&gt;MONTH(AV$4)),AH113,IF(MONTH($O113)&gt;MONTH(AV$4),AH113,IF(MONTH($O113)=MONTH(AV$4),AH113*(1+Macroindicadores!E$7),AU113)))))))))</f>
        <v>0.15820126189691988</v>
      </c>
      <c r="AW113" s="117">
        <f>IF(ISBLANK(U113),"",IF(ISBLANK($O113),AI113,IF($J113="ANUAL",AI113*(1+Macroindicadores!F$7),IF(AND($I113="NOVO",MONTH($O113)=MONTH(AW$4)),AI113*(1+Macroindicadores!F$7),IF(AND($J113="PONTUAL",MONTH($O113)=MONTH(AW$4)),AI113*(1+Macroindicadores!F$7),IF(AND($J113="PONTUAL",MONTH($O113)&lt;MONTH(AW$4)),MIN($AS113:AV113),IF(AND($I113="NOVO",MONTH($O113)&gt;MONTH(AW$4)),AI113,IF(MONTH($O113)&gt;MONTH(AW$4),AI113,IF(MONTH($O113)=MONTH(AW$4),AI113*(1+Macroindicadores!F$7),AV113)))))))))</f>
        <v>0.15820126189691988</v>
      </c>
      <c r="AX113" s="117">
        <f>IF(ISBLANK(V113),"",IF(ISBLANK($O113),AJ113,IF($J113="ANUAL",AJ113*(1+Macroindicadores!G$7),IF(AND($I113="NOVO",MONTH($O113)=MONTH(AX$4)),AJ113*(1+Macroindicadores!G$7),IF(AND($J113="PONTUAL",MONTH($O113)=MONTH(AX$4)),AJ113*(1+Macroindicadores!G$7),IF(AND($J113="PONTUAL",MONTH($O113)&lt;MONTH(AX$4)),MIN($AS113:AW113),IF(AND($I113="NOVO",MONTH($O113)&gt;MONTH(AX$4)),AJ113,IF(MONTH($O113)&gt;MONTH(AX$4),AJ113,IF(MONTH($O113)=MONTH(AX$4),AJ113*(1+Macroindicadores!G$7),AW113)))))))))</f>
        <v>0.15820126189691988</v>
      </c>
      <c r="AY113" s="117">
        <f>IF(ISBLANK(W113),"",IF(ISBLANK($O113),AK113,IF($J113="ANUAL",AK113*(1+Macroindicadores!H$7),IF(AND($I113="NOVO",MONTH($O113)=MONTH(AY$4)),AK113*(1+Macroindicadores!H$7),IF(AND($J113="PONTUAL",MONTH($O113)=MONTH(AY$4)),AK113*(1+Macroindicadores!H$7),IF(AND($J113="PONTUAL",MONTH($O113)&lt;MONTH(AY$4)),MIN($AS113:AX113),IF(AND($I113="NOVO",MONTH($O113)&gt;MONTH(AY$4)),AK113,IF(MONTH($O113)&gt;MONTH(AY$4),AK113,IF(MONTH($O113)=MONTH(AY$4),AK113*(1+Macroindicadores!H$7),AX113)))))))))</f>
        <v>0.15820126189691988</v>
      </c>
      <c r="AZ113" s="117">
        <f>IF(ISBLANK(X113),"",IF(ISBLANK($O113),AL113,IF($J113="ANUAL",AL113*(1+Macroindicadores!I$7),IF(AND($I113="NOVO",MONTH($O113)=MONTH(AZ$4)),AL113*(1+Macroindicadores!I$7),IF(AND($J113="PONTUAL",MONTH($O113)=MONTH(AZ$4)),AL113*(1+Macroindicadores!I$7),IF(AND($J113="PONTUAL",MONTH($O113)&lt;MONTH(AZ$4)),MIN($AS113:AY113),IF(AND($I113="NOVO",MONTH($O113)&gt;MONTH(AZ$4)),AL113,IF(MONTH($O113)&gt;MONTH(AZ$4),AL113,IF(MONTH($O113)=MONTH(AZ$4),AL113*(1+Macroindicadores!I$7),AY113)))))))))</f>
        <v>0.15820126189691988</v>
      </c>
      <c r="BA113" s="117">
        <f>IF(ISBLANK(Y113),"",IF(ISBLANK($O113),AM113,IF($J113="ANUAL",AM113*(1+Macroindicadores!J$7),IF(AND($I113="NOVO",MONTH($O113)=MONTH(BA$4)),AM113*(1+Macroindicadores!J$7),IF(AND($J113="PONTUAL",MONTH($O113)=MONTH(BA$4)),AM113*(1+Macroindicadores!J$7),IF(AND($J113="PONTUAL",MONTH($O113)&lt;MONTH(BA$4)),MIN($AS113:AZ113),IF(AND($I113="NOVO",MONTH($O113)&gt;MONTH(BA$4)),AM113,IF(MONTH($O113)&gt;MONTH(BA$4),AM113,IF(MONTH($O113)=MONTH(BA$4),AM113*(1+Macroindicadores!J$7),AZ113)))))))))</f>
        <v>0.15820126189691988</v>
      </c>
      <c r="BB113" s="117">
        <f>IF(ISBLANK(Z113),"",IF(ISBLANK($O113),AN113,IF($J113="ANUAL",AN113*(1+Macroindicadores!K$7),IF(AND($I113="NOVO",MONTH($O113)=MONTH(BB$4)),AN113*(1+Macroindicadores!K$7),IF(AND($J113="PONTUAL",MONTH($O113)=MONTH(BB$4)),AN113*(1+Macroindicadores!K$7),IF(AND($J113="PONTUAL",MONTH($O113)&lt;MONTH(BB$4)),MIN($AS113:BA113),IF(AND($I113="NOVO",MONTH($O113)&gt;MONTH(BB$4)),AN113,IF(MONTH($O113)&gt;MONTH(BB$4),AN113,IF(MONTH($O113)=MONTH(BB$4),AN113*(1+Macroindicadores!K$7),BA113)))))))))</f>
        <v>0.15820126189691988</v>
      </c>
      <c r="BC113" s="117">
        <f>IF(ISBLANK(AA113),"",IF(ISBLANK($O113),AO113,IF($J113="ANUAL",AO113*(1+Macroindicadores!L$7),IF(AND($I113="NOVO",MONTH($O113)=MONTH(BC$4)),AO113*(1+Macroindicadores!L$7),IF(AND($J113="PONTUAL",MONTH($O113)=MONTH(BC$4)),AO113*(1+Macroindicadores!L$7),IF(AND($J113="PONTUAL",MONTH($O113)&lt;MONTH(BC$4)),MIN($AS113:BB113),IF(AND($I113="NOVO",MONTH($O113)&gt;MONTH(BC$4)),AO113,IF(MONTH($O113)&gt;MONTH(BC$4),AO113,IF(MONTH($O113)=MONTH(BC$4),AO113*(1+Macroindicadores!L$7),BB113)))))))))</f>
        <v>0.15820126189691988</v>
      </c>
      <c r="BD113" s="117">
        <f>IF(ISBLANK(AB113),"",IF(ISBLANK($O113),AP113,IF($J113="ANUAL",AP113*(1+Macroindicadores!M$7),IF(AND($I113="NOVO",MONTH($O113)=MONTH(BD$4)),AP113*(1+Macroindicadores!M$7),IF(AND($J113="PONTUAL",MONTH($O113)=MONTH(BD$4)),AP113*(1+Macroindicadores!M$7),IF(AND($J113="PONTUAL",MONTH($O113)&lt;MONTH(BD$4)),MIN($AS113:BC113),IF(AND($I113="NOVO",MONTH($O113)&gt;MONTH(BD$4)),AP113,IF(MONTH($O113)&gt;MONTH(BD$4),AP113,IF(MONTH($O113)=MONTH(BD$4),AP113*(1+Macroindicadores!M$7),BC113)))))))))</f>
        <v>0.15820126189691988</v>
      </c>
      <c r="BE113" s="118">
        <f t="shared" si="50"/>
        <v>1.8984151427630389</v>
      </c>
      <c r="BF113" s="108"/>
      <c r="BG113" s="117">
        <f>IF(ISBLANK(Q113),"",AS113/Macroindicadores!B$2)</f>
        <v>2.6904976513081613E-2</v>
      </c>
      <c r="BH113" s="117">
        <f>IF(ISBLANK(R113),"",AT113/Macroindicadores!C$2)</f>
        <v>2.6904976513081613E-2</v>
      </c>
      <c r="BI113" s="117">
        <f>IF(ISBLANK(S113),"",AU113/Macroindicadores!D$2)</f>
        <v>2.6904976513081613E-2</v>
      </c>
      <c r="BJ113" s="117">
        <f>IF(ISBLANK(T113),"",AV113/Macroindicadores!E$2)</f>
        <v>2.6904976513081613E-2</v>
      </c>
      <c r="BK113" s="117">
        <f>IF(ISBLANK(U113),"",AW113/Macroindicadores!F$2)</f>
        <v>2.6904976513081613E-2</v>
      </c>
      <c r="BL113" s="117">
        <f>IF(ISBLANK(V113),"",AX113/Macroindicadores!G$2)</f>
        <v>2.6904976513081613E-2</v>
      </c>
      <c r="BM113" s="117">
        <f>IF(ISBLANK(W113),"",AY113/Macroindicadores!H$2)</f>
        <v>2.6904976513081613E-2</v>
      </c>
      <c r="BN113" s="117">
        <f>IF(ISBLANK(X113),"",AZ113/Macroindicadores!I$2)</f>
        <v>2.6904976513081613E-2</v>
      </c>
      <c r="BO113" s="117">
        <f>IF(ISBLANK(Y113),"",BA113/Macroindicadores!J$2)</f>
        <v>2.6904976513081613E-2</v>
      </c>
      <c r="BP113" s="117">
        <f>IF(ISBLANK(Z113),"",BB113/Macroindicadores!K$2)</f>
        <v>2.6904976513081613E-2</v>
      </c>
      <c r="BQ113" s="117">
        <f>IF(ISBLANK(AA113),"",BC113/Macroindicadores!L$2)</f>
        <v>2.6904976513081613E-2</v>
      </c>
      <c r="BR113" s="117">
        <f>IF(ISBLANK(AB113),"",BD113/Macroindicadores!M$2)</f>
        <v>2.6904976513081613E-2</v>
      </c>
      <c r="BS113" s="118">
        <f>IF(AND(ISBLANK($Q113),ISBLANK($R113),ISBLANK($S113),ISBLANK($T113),ISBLANK($U113),ISBLANK($V113),ISBLANK($W113),ISBLANK($X113),ISBLANK($Y113),ISBLANK($Z113),ISBLANK($AA113),ISBLANK($AB113)),"",SUM(BG113:BR113))</f>
        <v>0.32285971815697928</v>
      </c>
      <c r="BT113" s="25" t="str">
        <f>IF(ISBLANK($L113),"",_xlfn.XLOOKUP($L113,'CENTRO CUSTO'!$A:$A,'CENTRO CUSTO'!$E:$E,FALSE,0))</f>
        <v>G&amp;A BU</v>
      </c>
    </row>
    <row r="114" spans="1:72">
      <c r="A114" s="9" t="str">
        <f t="shared" si="52"/>
        <v>Budget</v>
      </c>
      <c r="B114" s="9">
        <f t="shared" si="66"/>
        <v>2026</v>
      </c>
      <c r="C114" s="111" t="str">
        <f>IF(ISBLANK($L114),"",_xlfn.XLOOKUP($L114,'CENTRO CUSTO'!$A:$A,'CENTRO CUSTO'!F:F,FALSE,0))</f>
        <v>Transporte</v>
      </c>
      <c r="D114" s="111" t="str">
        <f>IF(ISBLANK($L114),"",_xlfn.XLOOKUP($L114,'CENTRO CUSTO'!$A:$A,'CENTRO CUSTO'!G:G,FALSE,0))</f>
        <v>BU-TR</v>
      </c>
      <c r="E114" s="111" t="str">
        <f>IF(ISBLANK($L114),"",_xlfn.XLOOKUP($L114,'CENTRO CUSTO'!$A:$A,'CENTRO CUSTO'!H:H,FALSE,0))</f>
        <v>G&amp;A</v>
      </c>
      <c r="F114" s="112" t="s">
        <v>154</v>
      </c>
      <c r="G114" s="112" t="s">
        <v>123</v>
      </c>
      <c r="H114" s="112" t="s">
        <v>155</v>
      </c>
      <c r="I114" s="113" t="s">
        <v>77</v>
      </c>
      <c r="J114" s="113" t="s">
        <v>78</v>
      </c>
      <c r="K114" s="113" t="s">
        <v>79</v>
      </c>
      <c r="L114" s="113" t="s">
        <v>38</v>
      </c>
      <c r="M114" s="111" t="str">
        <f>IF(ISBLANK($L114),"",_xlfn.XLOOKUP($L114,'CENTRO CUSTO'!$A:$A,'CENTRO CUSTO'!D:D,FALSE,0))</f>
        <v>Alexandre Ayabe</v>
      </c>
      <c r="N114" s="113" t="s">
        <v>132</v>
      </c>
      <c r="O114" s="114">
        <v>46031</v>
      </c>
      <c r="P114" s="113" t="s">
        <v>81</v>
      </c>
      <c r="Q114" s="115">
        <v>940</v>
      </c>
      <c r="R114" s="115">
        <v>940</v>
      </c>
      <c r="S114" s="115">
        <v>940</v>
      </c>
      <c r="T114" s="115">
        <v>940</v>
      </c>
      <c r="U114" s="115">
        <v>940</v>
      </c>
      <c r="V114" s="115">
        <v>940</v>
      </c>
      <c r="W114" s="115">
        <v>940</v>
      </c>
      <c r="X114" s="115">
        <v>940</v>
      </c>
      <c r="Y114" s="115">
        <v>940</v>
      </c>
      <c r="Z114" s="115">
        <v>940</v>
      </c>
      <c r="AA114" s="115">
        <v>940</v>
      </c>
      <c r="AB114" s="115">
        <v>940</v>
      </c>
      <c r="AC114" s="116">
        <f t="shared" si="53"/>
        <v>11280</v>
      </c>
      <c r="AD114" s="108"/>
      <c r="AE114" s="117">
        <f>IF(ISBLANK(Q114),"",IF($P114="BRL",Q114,Q114*Macroindicadores!B$2)/1000)</f>
        <v>0.94</v>
      </c>
      <c r="AF114" s="117">
        <f>IF(ISBLANK(R114),"",IF($P114="BRL",R114,R114*Macroindicadores!C$2)/1000)</f>
        <v>0.94</v>
      </c>
      <c r="AG114" s="117">
        <f>IF(ISBLANK(S114),"",IF($P114="BRL",S114,S114*Macroindicadores!D$2)/1000)</f>
        <v>0.94</v>
      </c>
      <c r="AH114" s="117">
        <f>IF(ISBLANK(T114),"",IF($P114="BRL",T114,T114*Macroindicadores!E$2)/1000)</f>
        <v>0.94</v>
      </c>
      <c r="AI114" s="117">
        <f>IF(ISBLANK(U114),"",IF($P114="BRL",U114,U114*Macroindicadores!F$2)/1000)</f>
        <v>0.94</v>
      </c>
      <c r="AJ114" s="117">
        <f>IF(ISBLANK(V114),"",IF($P114="BRL",V114,V114*Macroindicadores!G$2)/1000)</f>
        <v>0.94</v>
      </c>
      <c r="AK114" s="117">
        <f>IF(ISBLANK(W114),"",IF($P114="BRL",W114,W114*Macroindicadores!H$2)/1000)</f>
        <v>0.94</v>
      </c>
      <c r="AL114" s="117">
        <f>IF(ISBLANK(X114),"",IF($P114="BRL",X114,X114*Macroindicadores!I$2)/1000)</f>
        <v>0.94</v>
      </c>
      <c r="AM114" s="117">
        <f>IF(ISBLANK(Y114),"",IF($P114="BRL",Y114,Y114*Macroindicadores!J$2)/1000)</f>
        <v>0.94</v>
      </c>
      <c r="AN114" s="117">
        <f>IF(ISBLANK(Z114),"",IF($P114="BRL",Z114,Z114*Macroindicadores!K$2)/1000)</f>
        <v>0.94</v>
      </c>
      <c r="AO114" s="117">
        <f>IF(ISBLANK(AA114),"",IF($P114="BRL",AA114,AA114*Macroindicadores!L$2)/1000)</f>
        <v>0.94</v>
      </c>
      <c r="AP114" s="117">
        <f>IF(ISBLANK(AB114),"",IF($P114="BRL",AB114,AB114*Macroindicadores!M$2)/1000)</f>
        <v>0.94</v>
      </c>
      <c r="AQ114" s="118">
        <f t="shared" si="51"/>
        <v>11.279999999999996</v>
      </c>
      <c r="AR114" s="108"/>
      <c r="AS114" s="117">
        <f>IF(ISBLANK(Q114),"",IF(ISBLANK($O114),AE114,IF($J114="ANUAL",AE114*(1+Macroindicadores!B$7),IF(AND($I114="NOVO",MONTH($O114)=MONTH(AS$4)),AE114*(1+Macroindicadores!B$7),IF(AND($J114="PONTUAL",MONTH($O114)=MONTH(AS$4)),AE114*(1+Macroindicadores!B$7),IF(AND($J114="PONTUAL",MONTH($O114)&lt;MONTH(AS$4)),MIN(AR114:$AS114),IF(AND($I114="NOVO",MONTH($O114)&gt;MONTH(AS$4)),AE114,IF(MONTH($O114)&gt;MONTH(AS$4),AE114,IF(MONTH($O114)=MONTH(AS$4),AE114*(1+Macroindicadores!B$7),AR114)))))))))</f>
        <v>0.99139457455403124</v>
      </c>
      <c r="AT114" s="117">
        <f>IF(ISBLANK(R114),"",IF(ISBLANK($O114),AF114,IF($J114="ANUAL",AF114*(1+Macroindicadores!C$7),IF(AND($I114="NOVO",MONTH($O114)=MONTH(AT$4)),AF114*(1+Macroindicadores!C$7),IF(AND($J114="PONTUAL",MONTH($O114)=MONTH(AT$4)),AF114*(1+Macroindicadores!C$7),IF(AND($J114="PONTUAL",MONTH($O114)&lt;MONTH(AT$4)),MIN($AS114:AS114),IF(AND($I114="NOVO",MONTH($O114)&gt;MONTH(AT$4)),AF114,IF(MONTH($O114)&gt;MONTH(AT$4),AF114,IF(MONTH($O114)=MONTH(AT$4),AF114*(1+Macroindicadores!C$7),AS114)))))))))</f>
        <v>0.99139457455403124</v>
      </c>
      <c r="AU114" s="117">
        <f>IF(ISBLANK(S114),"",IF(ISBLANK($O114),AG114,IF($J114="ANUAL",AG114*(1+Macroindicadores!D$7),IF(AND($I114="NOVO",MONTH($O114)=MONTH(AU$4)),AG114*(1+Macroindicadores!D$7),IF(AND($J114="PONTUAL",MONTH($O114)=MONTH(AU$4)),AG114*(1+Macroindicadores!D$7),IF(AND($J114="PONTUAL",MONTH($O114)&lt;MONTH(AU$4)),MIN($AS114:AT114),IF(AND($I114="NOVO",MONTH($O114)&gt;MONTH(AU$4)),AG114,IF(MONTH($O114)&gt;MONTH(AU$4),AG114,IF(MONTH($O114)=MONTH(AU$4),AG114*(1+Macroindicadores!D$7),AT114)))))))))</f>
        <v>0.99139457455403124</v>
      </c>
      <c r="AV114" s="117">
        <f>IF(ISBLANK(T114),"",IF(ISBLANK($O114),AH114,IF($J114="ANUAL",AH114*(1+Macroindicadores!E$7),IF(AND($I114="NOVO",MONTH($O114)=MONTH(AV$4)),AH114*(1+Macroindicadores!E$7),IF(AND($J114="PONTUAL",MONTH($O114)=MONTH(AV$4)),AH114*(1+Macroindicadores!E$7),IF(AND($J114="PONTUAL",MONTH($O114)&lt;MONTH(AV$4)),MIN($AS114:AU114),IF(AND($I114="NOVO",MONTH($O114)&gt;MONTH(AV$4)),AH114,IF(MONTH($O114)&gt;MONTH(AV$4),AH114,IF(MONTH($O114)=MONTH(AV$4),AH114*(1+Macroindicadores!E$7),AU114)))))))))</f>
        <v>0.99139457455403124</v>
      </c>
      <c r="AW114" s="117">
        <f>IF(ISBLANK(U114),"",IF(ISBLANK($O114),AI114,IF($J114="ANUAL",AI114*(1+Macroindicadores!F$7),IF(AND($I114="NOVO",MONTH($O114)=MONTH(AW$4)),AI114*(1+Macroindicadores!F$7),IF(AND($J114="PONTUAL",MONTH($O114)=MONTH(AW$4)),AI114*(1+Macroindicadores!F$7),IF(AND($J114="PONTUAL",MONTH($O114)&lt;MONTH(AW$4)),MIN($AS114:AV114),IF(AND($I114="NOVO",MONTH($O114)&gt;MONTH(AW$4)),AI114,IF(MONTH($O114)&gt;MONTH(AW$4),AI114,IF(MONTH($O114)=MONTH(AW$4),AI114*(1+Macroindicadores!F$7),AV114)))))))))</f>
        <v>0.99139457455403124</v>
      </c>
      <c r="AX114" s="117">
        <f>IF(ISBLANK(V114),"",IF(ISBLANK($O114),AJ114,IF($J114="ANUAL",AJ114*(1+Macroindicadores!G$7),IF(AND($I114="NOVO",MONTH($O114)=MONTH(AX$4)),AJ114*(1+Macroindicadores!G$7),IF(AND($J114="PONTUAL",MONTH($O114)=MONTH(AX$4)),AJ114*(1+Macroindicadores!G$7),IF(AND($J114="PONTUAL",MONTH($O114)&lt;MONTH(AX$4)),MIN($AS114:AW114),IF(AND($I114="NOVO",MONTH($O114)&gt;MONTH(AX$4)),AJ114,IF(MONTH($O114)&gt;MONTH(AX$4),AJ114,IF(MONTH($O114)=MONTH(AX$4),AJ114*(1+Macroindicadores!G$7),AW114)))))))))</f>
        <v>0.99139457455403124</v>
      </c>
      <c r="AY114" s="117">
        <f>IF(ISBLANK(W114),"",IF(ISBLANK($O114),AK114,IF($J114="ANUAL",AK114*(1+Macroindicadores!H$7),IF(AND($I114="NOVO",MONTH($O114)=MONTH(AY$4)),AK114*(1+Macroindicadores!H$7),IF(AND($J114="PONTUAL",MONTH($O114)=MONTH(AY$4)),AK114*(1+Macroindicadores!H$7),IF(AND($J114="PONTUAL",MONTH($O114)&lt;MONTH(AY$4)),MIN($AS114:AX114),IF(AND($I114="NOVO",MONTH($O114)&gt;MONTH(AY$4)),AK114,IF(MONTH($O114)&gt;MONTH(AY$4),AK114,IF(MONTH($O114)=MONTH(AY$4),AK114*(1+Macroindicadores!H$7),AX114)))))))))</f>
        <v>0.99139457455403124</v>
      </c>
      <c r="AZ114" s="117">
        <f>IF(ISBLANK(X114),"",IF(ISBLANK($O114),AL114,IF($J114="ANUAL",AL114*(1+Macroindicadores!I$7),IF(AND($I114="NOVO",MONTH($O114)=MONTH(AZ$4)),AL114*(1+Macroindicadores!I$7),IF(AND($J114="PONTUAL",MONTH($O114)=MONTH(AZ$4)),AL114*(1+Macroindicadores!I$7),IF(AND($J114="PONTUAL",MONTH($O114)&lt;MONTH(AZ$4)),MIN($AS114:AY114),IF(AND($I114="NOVO",MONTH($O114)&gt;MONTH(AZ$4)),AL114,IF(MONTH($O114)&gt;MONTH(AZ$4),AL114,IF(MONTH($O114)=MONTH(AZ$4),AL114*(1+Macroindicadores!I$7),AY114)))))))))</f>
        <v>0.99139457455403124</v>
      </c>
      <c r="BA114" s="117">
        <f>IF(ISBLANK(Y114),"",IF(ISBLANK($O114),AM114,IF($J114="ANUAL",AM114*(1+Macroindicadores!J$7),IF(AND($I114="NOVO",MONTH($O114)=MONTH(BA$4)),AM114*(1+Macroindicadores!J$7),IF(AND($J114="PONTUAL",MONTH($O114)=MONTH(BA$4)),AM114*(1+Macroindicadores!J$7),IF(AND($J114="PONTUAL",MONTH($O114)&lt;MONTH(BA$4)),MIN($AS114:AZ114),IF(AND($I114="NOVO",MONTH($O114)&gt;MONTH(BA$4)),AM114,IF(MONTH($O114)&gt;MONTH(BA$4),AM114,IF(MONTH($O114)=MONTH(BA$4),AM114*(1+Macroindicadores!J$7),AZ114)))))))))</f>
        <v>0.99139457455403124</v>
      </c>
      <c r="BB114" s="117">
        <f>IF(ISBLANK(Z114),"",IF(ISBLANK($O114),AN114,IF($J114="ANUAL",AN114*(1+Macroindicadores!K$7),IF(AND($I114="NOVO",MONTH($O114)=MONTH(BB$4)),AN114*(1+Macroindicadores!K$7),IF(AND($J114="PONTUAL",MONTH($O114)=MONTH(BB$4)),AN114*(1+Macroindicadores!K$7),IF(AND($J114="PONTUAL",MONTH($O114)&lt;MONTH(BB$4)),MIN($AS114:BA114),IF(AND($I114="NOVO",MONTH($O114)&gt;MONTH(BB$4)),AN114,IF(MONTH($O114)&gt;MONTH(BB$4),AN114,IF(MONTH($O114)=MONTH(BB$4),AN114*(1+Macroindicadores!K$7),BA114)))))))))</f>
        <v>0.99139457455403124</v>
      </c>
      <c r="BC114" s="117">
        <f>IF(ISBLANK(AA114),"",IF(ISBLANK($O114),AO114,IF($J114="ANUAL",AO114*(1+Macroindicadores!L$7),IF(AND($I114="NOVO",MONTH($O114)=MONTH(BC$4)),AO114*(1+Macroindicadores!L$7),IF(AND($J114="PONTUAL",MONTH($O114)=MONTH(BC$4)),AO114*(1+Macroindicadores!L$7),IF(AND($J114="PONTUAL",MONTH($O114)&lt;MONTH(BC$4)),MIN($AS114:BB114),IF(AND($I114="NOVO",MONTH($O114)&gt;MONTH(BC$4)),AO114,IF(MONTH($O114)&gt;MONTH(BC$4),AO114,IF(MONTH($O114)=MONTH(BC$4),AO114*(1+Macroindicadores!L$7),BB114)))))))))</f>
        <v>0.99139457455403124</v>
      </c>
      <c r="BD114" s="117">
        <f>IF(ISBLANK(AB114),"",IF(ISBLANK($O114),AP114,IF($J114="ANUAL",AP114*(1+Macroindicadores!M$7),IF(AND($I114="NOVO",MONTH($O114)=MONTH(BD$4)),AP114*(1+Macroindicadores!M$7),IF(AND($J114="PONTUAL",MONTH($O114)=MONTH(BD$4)),AP114*(1+Macroindicadores!M$7),IF(AND($J114="PONTUAL",MONTH($O114)&lt;MONTH(BD$4)),MIN($AS114:BC114),IF(AND($I114="NOVO",MONTH($O114)&gt;MONTH(BD$4)),AP114,IF(MONTH($O114)&gt;MONTH(BD$4),AP114,IF(MONTH($O114)=MONTH(BD$4),AP114*(1+Macroindicadores!M$7),BC114)))))))))</f>
        <v>0.99139457455403124</v>
      </c>
      <c r="BE114" s="118">
        <f t="shared" si="50"/>
        <v>11.896734894648374</v>
      </c>
      <c r="BF114" s="108"/>
      <c r="BG114" s="117">
        <f>IF(ISBLANK(Q114),"",AS114/Macroindicadores!B$2)</f>
        <v>0.1686045194819781</v>
      </c>
      <c r="BH114" s="117">
        <f>IF(ISBLANK(R114),"",AT114/Macroindicadores!C$2)</f>
        <v>0.1686045194819781</v>
      </c>
      <c r="BI114" s="117">
        <f>IF(ISBLANK(S114),"",AU114/Macroindicadores!D$2)</f>
        <v>0.1686045194819781</v>
      </c>
      <c r="BJ114" s="117">
        <f>IF(ISBLANK(T114),"",AV114/Macroindicadores!E$2)</f>
        <v>0.1686045194819781</v>
      </c>
      <c r="BK114" s="117">
        <f>IF(ISBLANK(U114),"",AW114/Macroindicadores!F$2)</f>
        <v>0.1686045194819781</v>
      </c>
      <c r="BL114" s="117">
        <f>IF(ISBLANK(V114),"",AX114/Macroindicadores!G$2)</f>
        <v>0.1686045194819781</v>
      </c>
      <c r="BM114" s="117">
        <f>IF(ISBLANK(W114),"",AY114/Macroindicadores!H$2)</f>
        <v>0.1686045194819781</v>
      </c>
      <c r="BN114" s="117">
        <f>IF(ISBLANK(X114),"",AZ114/Macroindicadores!I$2)</f>
        <v>0.1686045194819781</v>
      </c>
      <c r="BO114" s="117">
        <f>IF(ISBLANK(Y114),"",BA114/Macroindicadores!J$2)</f>
        <v>0.1686045194819781</v>
      </c>
      <c r="BP114" s="117">
        <f>IF(ISBLANK(Z114),"",BB114/Macroindicadores!K$2)</f>
        <v>0.1686045194819781</v>
      </c>
      <c r="BQ114" s="117">
        <f>IF(ISBLANK(AA114),"",BC114/Macroindicadores!L$2)</f>
        <v>0.1686045194819781</v>
      </c>
      <c r="BR114" s="117">
        <f>IF(ISBLANK(AB114),"",BD114/Macroindicadores!M$2)</f>
        <v>0.1686045194819781</v>
      </c>
      <c r="BS114" s="118">
        <f>IF(AND(ISBLANK($Q114),ISBLANK($R114),ISBLANK($S114),ISBLANK($T114),ISBLANK($U114),ISBLANK($V114),ISBLANK($W114),ISBLANK($X114),ISBLANK($Y114),ISBLANK($Z114),ISBLANK($AA114),ISBLANK($AB114)),"",SUM(BG114:BR114))</f>
        <v>2.0232542337837374</v>
      </c>
      <c r="BT114" s="25" t="str">
        <f>IF(ISBLANK($L114),"",_xlfn.XLOOKUP($L114,'CENTRO CUSTO'!$A:$A,'CENTRO CUSTO'!$E:$E,FALSE,0))</f>
        <v>G&amp;A BU</v>
      </c>
    </row>
    <row r="115" spans="1:72">
      <c r="A115" s="9" t="str">
        <f t="shared" si="52"/>
        <v>Budget</v>
      </c>
      <c r="B115" s="9">
        <f t="shared" ref="B115:B140" si="69">IF(ISBLANK($F115),"",$F$1)</f>
        <v>2026</v>
      </c>
      <c r="C115" s="111" t="str">
        <f>IF(ISBLANK($L115),"",_xlfn.XLOOKUP($L115,'CENTRO CUSTO'!$A:$A,'CENTRO CUSTO'!F:F,FALSE,0))</f>
        <v>MRV</v>
      </c>
      <c r="D115" s="111" t="str">
        <f>IF(ISBLANK($L115),"",_xlfn.XLOOKUP($L115,'CENTRO CUSTO'!$A:$A,'CENTRO CUSTO'!G:G,FALSE,0))</f>
        <v>Velopark</v>
      </c>
      <c r="E115" s="111" t="str">
        <f>IF(ISBLANK($L115),"",_xlfn.XLOOKUP($L115,'CENTRO CUSTO'!$A:$A,'CENTRO CUSTO'!H:H,FALSE,0))</f>
        <v>Frigorífico</v>
      </c>
      <c r="F115" s="112" t="s">
        <v>156</v>
      </c>
      <c r="G115" s="112" t="s">
        <v>123</v>
      </c>
      <c r="H115" s="112" t="s">
        <v>157</v>
      </c>
      <c r="I115" s="113" t="s">
        <v>77</v>
      </c>
      <c r="J115" s="113" t="s">
        <v>78</v>
      </c>
      <c r="K115" s="113" t="s">
        <v>79</v>
      </c>
      <c r="L115" s="113" t="s">
        <v>43</v>
      </c>
      <c r="M115" s="111" t="str">
        <f>IF(ISBLANK($L115),"",_xlfn.XLOOKUP($L115,'CENTRO CUSTO'!$A:$A,'CENTRO CUSTO'!D:D,FALSE,0))</f>
        <v>Alexandre Ayabe</v>
      </c>
      <c r="N115" s="113" t="s">
        <v>158</v>
      </c>
      <c r="O115" s="114">
        <v>46023</v>
      </c>
      <c r="P115" s="113" t="s">
        <v>81</v>
      </c>
      <c r="Q115" s="115">
        <v>2500</v>
      </c>
      <c r="R115" s="115">
        <v>2500</v>
      </c>
      <c r="S115" s="115">
        <v>2500</v>
      </c>
      <c r="T115" s="115">
        <v>2500</v>
      </c>
      <c r="U115" s="115">
        <v>2500</v>
      </c>
      <c r="V115" s="115">
        <v>2500</v>
      </c>
      <c r="W115" s="115">
        <v>2500</v>
      </c>
      <c r="X115" s="115">
        <v>2500</v>
      </c>
      <c r="Y115" s="115">
        <v>2500</v>
      </c>
      <c r="Z115" s="115">
        <v>2500</v>
      </c>
      <c r="AA115" s="115">
        <v>2500</v>
      </c>
      <c r="AB115" s="115">
        <v>2500</v>
      </c>
      <c r="AC115" s="116">
        <f t="shared" si="53"/>
        <v>30000</v>
      </c>
      <c r="AD115" s="108"/>
      <c r="AE115" s="117">
        <f>IF(ISBLANK(Q115),"",IF($P115="BRL",Q115,Q115*Macroindicadores!B$2)/1000)</f>
        <v>2.5</v>
      </c>
      <c r="AF115" s="117">
        <f>IF(ISBLANK(R115),"",IF($P115="BRL",R115,R115*Macroindicadores!C$2)/1000)</f>
        <v>2.5</v>
      </c>
      <c r="AG115" s="117">
        <f>IF(ISBLANK(S115),"",IF($P115="BRL",S115,S115*Macroindicadores!D$2)/1000)</f>
        <v>2.5</v>
      </c>
      <c r="AH115" s="117">
        <f>IF(ISBLANK(T115),"",IF($P115="BRL",T115,T115*Macroindicadores!E$2)/1000)</f>
        <v>2.5</v>
      </c>
      <c r="AI115" s="117">
        <f>IF(ISBLANK(U115),"",IF($P115="BRL",U115,U115*Macroindicadores!F$2)/1000)</f>
        <v>2.5</v>
      </c>
      <c r="AJ115" s="117">
        <f>IF(ISBLANK(V115),"",IF($P115="BRL",V115,V115*Macroindicadores!G$2)/1000)</f>
        <v>2.5</v>
      </c>
      <c r="AK115" s="117">
        <f>IF(ISBLANK(W115),"",IF($P115="BRL",W115,W115*Macroindicadores!H$2)/1000)</f>
        <v>2.5</v>
      </c>
      <c r="AL115" s="117">
        <f>IF(ISBLANK(X115),"",IF($P115="BRL",X115,X115*Macroindicadores!I$2)/1000)</f>
        <v>2.5</v>
      </c>
      <c r="AM115" s="117">
        <f>IF(ISBLANK(Y115),"",IF($P115="BRL",Y115,Y115*Macroindicadores!J$2)/1000)</f>
        <v>2.5</v>
      </c>
      <c r="AN115" s="117">
        <f>IF(ISBLANK(Z115),"",IF($P115="BRL",Z115,Z115*Macroindicadores!K$2)/1000)</f>
        <v>2.5</v>
      </c>
      <c r="AO115" s="117">
        <f>IF(ISBLANK(AA115),"",IF($P115="BRL",AA115,AA115*Macroindicadores!L$2)/1000)</f>
        <v>2.5</v>
      </c>
      <c r="AP115" s="117">
        <f>IF(ISBLANK(AB115),"",IF($P115="BRL",AB115,AB115*Macroindicadores!M$2)/1000)</f>
        <v>2.5</v>
      </c>
      <c r="AQ115" s="118">
        <f t="shared" ref="AQ115:AQ168" si="70">IF(AND(ISBLANK($Q115),ISBLANK($R115),ISBLANK($S115),ISBLANK($T115),ISBLANK($U115),ISBLANK($V115),ISBLANK($W115),ISBLANK($X115),ISBLANK($Y115),ISBLANK($Z115),ISBLANK($AA115),ISBLANK($AB115)),"",SUM(AE115:AP115))</f>
        <v>30</v>
      </c>
      <c r="AR115" s="108"/>
      <c r="AS115" s="117">
        <f>IF(ISBLANK(Q115),"",IF(ISBLANK($O115),AE115,IF($J115="ANUAL",AE115*(1+Macroindicadores!B$7),IF(AND($I115="NOVO",MONTH($O115)=MONTH(AS$4)),AE115*(1+Macroindicadores!B$7),IF(AND($J115="PONTUAL",MONTH($O115)=MONTH(AS$4)),AE115*(1+Macroindicadores!B$7),IF(AND($J115="PONTUAL",MONTH($O115)&lt;MONTH(AS$4)),MIN(AR115:$AS115),IF(AND($I115="NOVO",MONTH($O115)&gt;MONTH(AS$4)),AE115,IF(MONTH($O115)&gt;MONTH(AS$4),AE115,IF(MONTH($O115)=MONTH(AS$4),AE115*(1+Macroindicadores!B$7),AR115)))))))))</f>
        <v>2.6366876982819982</v>
      </c>
      <c r="AT115" s="117">
        <f>IF(ISBLANK(R115),"",IF(ISBLANK($O115),AF115,IF($J115="ANUAL",AF115*(1+Macroindicadores!C$7),IF(AND($I115="NOVO",MONTH($O115)=MONTH(AT$4)),AF115*(1+Macroindicadores!C$7),IF(AND($J115="PONTUAL",MONTH($O115)=MONTH(AT$4)),AF115*(1+Macroindicadores!C$7),IF(AND($J115="PONTUAL",MONTH($O115)&lt;MONTH(AT$4)),MIN($AS115:AS115),IF(AND($I115="NOVO",MONTH($O115)&gt;MONTH(AT$4)),AF115,IF(MONTH($O115)&gt;MONTH(AT$4),AF115,IF(MONTH($O115)=MONTH(AT$4),AF115*(1+Macroindicadores!C$7),AS115)))))))))</f>
        <v>2.6366876982819982</v>
      </c>
      <c r="AU115" s="117">
        <f>IF(ISBLANK(S115),"",IF(ISBLANK($O115),AG115,IF($J115="ANUAL",AG115*(1+Macroindicadores!D$7),IF(AND($I115="NOVO",MONTH($O115)=MONTH(AU$4)),AG115*(1+Macroindicadores!D$7),IF(AND($J115="PONTUAL",MONTH($O115)=MONTH(AU$4)),AG115*(1+Macroindicadores!D$7),IF(AND($J115="PONTUAL",MONTH($O115)&lt;MONTH(AU$4)),MIN($AS115:AT115),IF(AND($I115="NOVO",MONTH($O115)&gt;MONTH(AU$4)),AG115,IF(MONTH($O115)&gt;MONTH(AU$4),AG115,IF(MONTH($O115)=MONTH(AU$4),AG115*(1+Macroindicadores!D$7),AT115)))))))))</f>
        <v>2.6366876982819982</v>
      </c>
      <c r="AV115" s="117">
        <f>IF(ISBLANK(T115),"",IF(ISBLANK($O115),AH115,IF($J115="ANUAL",AH115*(1+Macroindicadores!E$7),IF(AND($I115="NOVO",MONTH($O115)=MONTH(AV$4)),AH115*(1+Macroindicadores!E$7),IF(AND($J115="PONTUAL",MONTH($O115)=MONTH(AV$4)),AH115*(1+Macroindicadores!E$7),IF(AND($J115="PONTUAL",MONTH($O115)&lt;MONTH(AV$4)),MIN($AS115:AU115),IF(AND($I115="NOVO",MONTH($O115)&gt;MONTH(AV$4)),AH115,IF(MONTH($O115)&gt;MONTH(AV$4),AH115,IF(MONTH($O115)=MONTH(AV$4),AH115*(1+Macroindicadores!E$7),AU115)))))))))</f>
        <v>2.6366876982819982</v>
      </c>
      <c r="AW115" s="117">
        <f>IF(ISBLANK(U115),"",IF(ISBLANK($O115),AI115,IF($J115="ANUAL",AI115*(1+Macroindicadores!F$7),IF(AND($I115="NOVO",MONTH($O115)=MONTH(AW$4)),AI115*(1+Macroindicadores!F$7),IF(AND($J115="PONTUAL",MONTH($O115)=MONTH(AW$4)),AI115*(1+Macroindicadores!F$7),IF(AND($J115="PONTUAL",MONTH($O115)&lt;MONTH(AW$4)),MIN($AS115:AV115),IF(AND($I115="NOVO",MONTH($O115)&gt;MONTH(AW$4)),AI115,IF(MONTH($O115)&gt;MONTH(AW$4),AI115,IF(MONTH($O115)=MONTH(AW$4),AI115*(1+Macroindicadores!F$7),AV115)))))))))</f>
        <v>2.6366876982819982</v>
      </c>
      <c r="AX115" s="117">
        <f>IF(ISBLANK(V115),"",IF(ISBLANK($O115),AJ115,IF($J115="ANUAL",AJ115*(1+Macroindicadores!G$7),IF(AND($I115="NOVO",MONTH($O115)=MONTH(AX$4)),AJ115*(1+Macroindicadores!G$7),IF(AND($J115="PONTUAL",MONTH($O115)=MONTH(AX$4)),AJ115*(1+Macroindicadores!G$7),IF(AND($J115="PONTUAL",MONTH($O115)&lt;MONTH(AX$4)),MIN($AS115:AW115),IF(AND($I115="NOVO",MONTH($O115)&gt;MONTH(AX$4)),AJ115,IF(MONTH($O115)&gt;MONTH(AX$4),AJ115,IF(MONTH($O115)=MONTH(AX$4),AJ115*(1+Macroindicadores!G$7),AW115)))))))))</f>
        <v>2.6366876982819982</v>
      </c>
      <c r="AY115" s="117">
        <f>IF(ISBLANK(W115),"",IF(ISBLANK($O115),AK115,IF($J115="ANUAL",AK115*(1+Macroindicadores!H$7),IF(AND($I115="NOVO",MONTH($O115)=MONTH(AY$4)),AK115*(1+Macroindicadores!H$7),IF(AND($J115="PONTUAL",MONTH($O115)=MONTH(AY$4)),AK115*(1+Macroindicadores!H$7),IF(AND($J115="PONTUAL",MONTH($O115)&lt;MONTH(AY$4)),MIN($AS115:AX115),IF(AND($I115="NOVO",MONTH($O115)&gt;MONTH(AY$4)),AK115,IF(MONTH($O115)&gt;MONTH(AY$4),AK115,IF(MONTH($O115)=MONTH(AY$4),AK115*(1+Macroindicadores!H$7),AX115)))))))))</f>
        <v>2.6366876982819982</v>
      </c>
      <c r="AZ115" s="117">
        <f>IF(ISBLANK(X115),"",IF(ISBLANK($O115),AL115,IF($J115="ANUAL",AL115*(1+Macroindicadores!I$7),IF(AND($I115="NOVO",MONTH($O115)=MONTH(AZ$4)),AL115*(1+Macroindicadores!I$7),IF(AND($J115="PONTUAL",MONTH($O115)=MONTH(AZ$4)),AL115*(1+Macroindicadores!I$7),IF(AND($J115="PONTUAL",MONTH($O115)&lt;MONTH(AZ$4)),MIN($AS115:AY115),IF(AND($I115="NOVO",MONTH($O115)&gt;MONTH(AZ$4)),AL115,IF(MONTH($O115)&gt;MONTH(AZ$4),AL115,IF(MONTH($O115)=MONTH(AZ$4),AL115*(1+Macroindicadores!I$7),AY115)))))))))</f>
        <v>2.6366876982819982</v>
      </c>
      <c r="BA115" s="117">
        <f>IF(ISBLANK(Y115),"",IF(ISBLANK($O115),AM115,IF($J115="ANUAL",AM115*(1+Macroindicadores!J$7),IF(AND($I115="NOVO",MONTH($O115)=MONTH(BA$4)),AM115*(1+Macroindicadores!J$7),IF(AND($J115="PONTUAL",MONTH($O115)=MONTH(BA$4)),AM115*(1+Macroindicadores!J$7),IF(AND($J115="PONTUAL",MONTH($O115)&lt;MONTH(BA$4)),MIN($AS115:AZ115),IF(AND($I115="NOVO",MONTH($O115)&gt;MONTH(BA$4)),AM115,IF(MONTH($O115)&gt;MONTH(BA$4),AM115,IF(MONTH($O115)=MONTH(BA$4),AM115*(1+Macroindicadores!J$7),AZ115)))))))))</f>
        <v>2.6366876982819982</v>
      </c>
      <c r="BB115" s="117">
        <f>IF(ISBLANK(Z115),"",IF(ISBLANK($O115),AN115,IF($J115="ANUAL",AN115*(1+Macroindicadores!K$7),IF(AND($I115="NOVO",MONTH($O115)=MONTH(BB$4)),AN115*(1+Macroindicadores!K$7),IF(AND($J115="PONTUAL",MONTH($O115)=MONTH(BB$4)),AN115*(1+Macroindicadores!K$7),IF(AND($J115="PONTUAL",MONTH($O115)&lt;MONTH(BB$4)),MIN($AS115:BA115),IF(AND($I115="NOVO",MONTH($O115)&gt;MONTH(BB$4)),AN115,IF(MONTH($O115)&gt;MONTH(BB$4),AN115,IF(MONTH($O115)=MONTH(BB$4),AN115*(1+Macroindicadores!K$7),BA115)))))))))</f>
        <v>2.6366876982819982</v>
      </c>
      <c r="BC115" s="117">
        <f>IF(ISBLANK(AA115),"",IF(ISBLANK($O115),AO115,IF($J115="ANUAL",AO115*(1+Macroindicadores!L$7),IF(AND($I115="NOVO",MONTH($O115)=MONTH(BC$4)),AO115*(1+Macroindicadores!L$7),IF(AND($J115="PONTUAL",MONTH($O115)=MONTH(BC$4)),AO115*(1+Macroindicadores!L$7),IF(AND($J115="PONTUAL",MONTH($O115)&lt;MONTH(BC$4)),MIN($AS115:BB115),IF(AND($I115="NOVO",MONTH($O115)&gt;MONTH(BC$4)),AO115,IF(MONTH($O115)&gt;MONTH(BC$4),AO115,IF(MONTH($O115)=MONTH(BC$4),AO115*(1+Macroindicadores!L$7),BB115)))))))))</f>
        <v>2.6366876982819982</v>
      </c>
      <c r="BD115" s="117">
        <f>IF(ISBLANK(AB115),"",IF(ISBLANK($O115),AP115,IF($J115="ANUAL",AP115*(1+Macroindicadores!M$7),IF(AND($I115="NOVO",MONTH($O115)=MONTH(BD$4)),AP115*(1+Macroindicadores!M$7),IF(AND($J115="PONTUAL",MONTH($O115)=MONTH(BD$4)),AP115*(1+Macroindicadores!M$7),IF(AND($J115="PONTUAL",MONTH($O115)&lt;MONTH(BD$4)),MIN($AS115:BC115),IF(AND($I115="NOVO",MONTH($O115)&gt;MONTH(BD$4)),AP115,IF(MONTH($O115)&gt;MONTH(BD$4),AP115,IF(MONTH($O115)=MONTH(BD$4),AP115*(1+Macroindicadores!M$7),BC115)))))))))</f>
        <v>2.6366876982819982</v>
      </c>
      <c r="BE115" s="118">
        <f t="shared" ref="BE115:BE167" si="71">IF(AND(ISBLANK($Q115),ISBLANK($R115),ISBLANK($S115),ISBLANK($T115),ISBLANK($U115),ISBLANK($V115),ISBLANK($W115),ISBLANK($X115),ISBLANK($Y115),ISBLANK($Z115),ISBLANK($AA115),ISBLANK($AB115)),"",SUM(AS115:BD115))</f>
        <v>31.640252379383984</v>
      </c>
      <c r="BF115" s="108"/>
      <c r="BG115" s="117">
        <f>IF(ISBLANK(Q115),"",AS115/Macroindicadores!B$2)</f>
        <v>0.44841627521802691</v>
      </c>
      <c r="BH115" s="117">
        <f>IF(ISBLANK(R115),"",AT115/Macroindicadores!C$2)</f>
        <v>0.44841627521802691</v>
      </c>
      <c r="BI115" s="117">
        <f>IF(ISBLANK(S115),"",AU115/Macroindicadores!D$2)</f>
        <v>0.44841627521802691</v>
      </c>
      <c r="BJ115" s="117">
        <f>IF(ISBLANK(T115),"",AV115/Macroindicadores!E$2)</f>
        <v>0.44841627521802691</v>
      </c>
      <c r="BK115" s="117">
        <f>IF(ISBLANK(U115),"",AW115/Macroindicadores!F$2)</f>
        <v>0.44841627521802691</v>
      </c>
      <c r="BL115" s="117">
        <f>IF(ISBLANK(V115),"",AX115/Macroindicadores!G$2)</f>
        <v>0.44841627521802691</v>
      </c>
      <c r="BM115" s="117">
        <f>IF(ISBLANK(W115),"",AY115/Macroindicadores!H$2)</f>
        <v>0.44841627521802691</v>
      </c>
      <c r="BN115" s="117">
        <f>IF(ISBLANK(X115),"",AZ115/Macroindicadores!I$2)</f>
        <v>0.44841627521802691</v>
      </c>
      <c r="BO115" s="117">
        <f>IF(ISBLANK(Y115),"",BA115/Macroindicadores!J$2)</f>
        <v>0.44841627521802691</v>
      </c>
      <c r="BP115" s="117">
        <f>IF(ISBLANK(Z115),"",BB115/Macroindicadores!K$2)</f>
        <v>0.44841627521802691</v>
      </c>
      <c r="BQ115" s="117">
        <f>IF(ISBLANK(AA115),"",BC115/Macroindicadores!L$2)</f>
        <v>0.44841627521802691</v>
      </c>
      <c r="BR115" s="117">
        <f>IF(ISBLANK(AB115),"",BD115/Macroindicadores!M$2)</f>
        <v>0.44841627521802691</v>
      </c>
      <c r="BS115" s="118">
        <f>IF(AND(ISBLANK($Q115),ISBLANK($R115),ISBLANK($S115),ISBLANK($T115),ISBLANK($U115),ISBLANK($V115),ISBLANK($W115),ISBLANK($X115),ISBLANK($Y115),ISBLANK($Z115),ISBLANK($AA115),ISBLANK($AB115)),"",SUM(BG115:BR115))</f>
        <v>5.3809953026163226</v>
      </c>
      <c r="BT115" s="25" t="str">
        <f>IF(ISBLANK($L115),"",_xlfn.XLOOKUP($L115,'CENTRO CUSTO'!$A:$A,'CENTRO CUSTO'!$E:$E,FALSE,0))</f>
        <v>Custo Fixo</v>
      </c>
    </row>
    <row r="116" spans="1:72">
      <c r="A116" s="9" t="str">
        <f t="shared" ref="A116:A169" si="72">IF(ISBLANK($F116),"","Budget")</f>
        <v>Budget</v>
      </c>
      <c r="B116" s="9">
        <f t="shared" si="69"/>
        <v>2026</v>
      </c>
      <c r="C116" s="111" t="str">
        <f>IF(ISBLANK($L116),"",_xlfn.XLOOKUP($L116,'CENTRO CUSTO'!$A:$A,'CENTRO CUSTO'!F:F,FALSE,0))</f>
        <v>Martini Meat</v>
      </c>
      <c r="D116" s="111" t="str">
        <f>IF(ISBLANK($L116),"",_xlfn.XLOOKUP($L116,'CENTRO CUSTO'!$A:$A,'CENTRO CUSTO'!G:G,FALSE,0))</f>
        <v>Itajaí</v>
      </c>
      <c r="E116" s="111" t="str">
        <f>IF(ISBLANK($L116),"",_xlfn.XLOOKUP($L116,'CENTRO CUSTO'!$A:$A,'CENTRO CUSTO'!H:H,FALSE,0))</f>
        <v>RATEIO Unidade</v>
      </c>
      <c r="F116" s="112" t="s">
        <v>156</v>
      </c>
      <c r="G116" s="112" t="s">
        <v>123</v>
      </c>
      <c r="H116" s="112" t="s">
        <v>157</v>
      </c>
      <c r="I116" s="113" t="s">
        <v>77</v>
      </c>
      <c r="J116" s="113" t="s">
        <v>78</v>
      </c>
      <c r="K116" s="113" t="s">
        <v>79</v>
      </c>
      <c r="L116" s="113" t="s">
        <v>29</v>
      </c>
      <c r="M116" s="111" t="str">
        <f>IF(ISBLANK($L116),"",_xlfn.XLOOKUP($L116,'CENTRO CUSTO'!$A:$A,'CENTRO CUSTO'!D:D,FALSE,0))</f>
        <v>Alexandre Ayabe</v>
      </c>
      <c r="N116" s="113" t="s">
        <v>158</v>
      </c>
      <c r="O116" s="114">
        <v>46023</v>
      </c>
      <c r="P116" s="113" t="s">
        <v>81</v>
      </c>
      <c r="Q116" s="115">
        <v>5500</v>
      </c>
      <c r="R116" s="115">
        <v>5500</v>
      </c>
      <c r="S116" s="115">
        <v>5500</v>
      </c>
      <c r="T116" s="115">
        <v>5500</v>
      </c>
      <c r="U116" s="115">
        <v>5500</v>
      </c>
      <c r="V116" s="115">
        <v>5500</v>
      </c>
      <c r="W116" s="115">
        <v>5500</v>
      </c>
      <c r="X116" s="115">
        <v>5500</v>
      </c>
      <c r="Y116" s="115">
        <v>5500</v>
      </c>
      <c r="Z116" s="115">
        <v>5500</v>
      </c>
      <c r="AA116" s="115">
        <v>5500</v>
      </c>
      <c r="AB116" s="115">
        <v>5500</v>
      </c>
      <c r="AC116" s="116">
        <f t="shared" si="53"/>
        <v>66000</v>
      </c>
      <c r="AD116" s="108"/>
      <c r="AE116" s="117">
        <f>IF(ISBLANK(Q116),"",IF($P116="BRL",Q116,Q116*Macroindicadores!B$2)/1000)</f>
        <v>5.5</v>
      </c>
      <c r="AF116" s="117">
        <f>IF(ISBLANK(R116),"",IF($P116="BRL",R116,R116*Macroindicadores!C$2)/1000)</f>
        <v>5.5</v>
      </c>
      <c r="AG116" s="117">
        <f>IF(ISBLANK(S116),"",IF($P116="BRL",S116,S116*Macroindicadores!D$2)/1000)</f>
        <v>5.5</v>
      </c>
      <c r="AH116" s="117">
        <f>IF(ISBLANK(T116),"",IF($P116="BRL",T116,T116*Macroindicadores!E$2)/1000)</f>
        <v>5.5</v>
      </c>
      <c r="AI116" s="117">
        <f>IF(ISBLANK(U116),"",IF($P116="BRL",U116,U116*Macroindicadores!F$2)/1000)</f>
        <v>5.5</v>
      </c>
      <c r="AJ116" s="117">
        <f>IF(ISBLANK(V116),"",IF($P116="BRL",V116,V116*Macroindicadores!G$2)/1000)</f>
        <v>5.5</v>
      </c>
      <c r="AK116" s="117">
        <f>IF(ISBLANK(W116),"",IF($P116="BRL",W116,W116*Macroindicadores!H$2)/1000)</f>
        <v>5.5</v>
      </c>
      <c r="AL116" s="117">
        <f>IF(ISBLANK(X116),"",IF($P116="BRL",X116,X116*Macroindicadores!I$2)/1000)</f>
        <v>5.5</v>
      </c>
      <c r="AM116" s="117">
        <f>IF(ISBLANK(Y116),"",IF($P116="BRL",Y116,Y116*Macroindicadores!J$2)/1000)</f>
        <v>5.5</v>
      </c>
      <c r="AN116" s="117">
        <f>IF(ISBLANK(Z116),"",IF($P116="BRL",Z116,Z116*Macroindicadores!K$2)/1000)</f>
        <v>5.5</v>
      </c>
      <c r="AO116" s="117">
        <f>IF(ISBLANK(AA116),"",IF($P116="BRL",AA116,AA116*Macroindicadores!L$2)/1000)</f>
        <v>5.5</v>
      </c>
      <c r="AP116" s="117">
        <f>IF(ISBLANK(AB116),"",IF($P116="BRL",AB116,AB116*Macroindicadores!M$2)/1000)</f>
        <v>5.5</v>
      </c>
      <c r="AQ116" s="118">
        <f t="shared" si="70"/>
        <v>66</v>
      </c>
      <c r="AR116" s="108"/>
      <c r="AS116" s="117">
        <f>IF(ISBLANK(Q116),"",IF(ISBLANK($O116),AE116,IF($J116="ANUAL",AE116*(1+Macroindicadores!B$7),IF(AND($I116="NOVO",MONTH($O116)=MONTH(AS$4)),AE116*(1+Macroindicadores!B$7),IF(AND($J116="PONTUAL",MONTH($O116)=MONTH(AS$4)),AE116*(1+Macroindicadores!B$7),IF(AND($J116="PONTUAL",MONTH($O116)&lt;MONTH(AS$4)),MIN(AR116:$AS116),IF(AND($I116="NOVO",MONTH($O116)&gt;MONTH(AS$4)),AE116,IF(MONTH($O116)&gt;MONTH(AS$4),AE116,IF(MONTH($O116)=MONTH(AS$4),AE116*(1+Macroindicadores!B$7),AR116)))))))))</f>
        <v>5.8007129362203962</v>
      </c>
      <c r="AT116" s="117">
        <f>IF(ISBLANK(R116),"",IF(ISBLANK($O116),AF116,IF($J116="ANUAL",AF116*(1+Macroindicadores!C$7),IF(AND($I116="NOVO",MONTH($O116)=MONTH(AT$4)),AF116*(1+Macroindicadores!C$7),IF(AND($J116="PONTUAL",MONTH($O116)=MONTH(AT$4)),AF116*(1+Macroindicadores!C$7),IF(AND($J116="PONTUAL",MONTH($O116)&lt;MONTH(AT$4)),MIN($AS116:AS116),IF(AND($I116="NOVO",MONTH($O116)&gt;MONTH(AT$4)),AF116,IF(MONTH($O116)&gt;MONTH(AT$4),AF116,IF(MONTH($O116)=MONTH(AT$4),AF116*(1+Macroindicadores!C$7),AS116)))))))))</f>
        <v>5.8007129362203962</v>
      </c>
      <c r="AU116" s="117">
        <f>IF(ISBLANK(S116),"",IF(ISBLANK($O116),AG116,IF($J116="ANUAL",AG116*(1+Macroindicadores!D$7),IF(AND($I116="NOVO",MONTH($O116)=MONTH(AU$4)),AG116*(1+Macroindicadores!D$7),IF(AND($J116="PONTUAL",MONTH($O116)=MONTH(AU$4)),AG116*(1+Macroindicadores!D$7),IF(AND($J116="PONTUAL",MONTH($O116)&lt;MONTH(AU$4)),MIN($AS116:AT116),IF(AND($I116="NOVO",MONTH($O116)&gt;MONTH(AU$4)),AG116,IF(MONTH($O116)&gt;MONTH(AU$4),AG116,IF(MONTH($O116)=MONTH(AU$4),AG116*(1+Macroindicadores!D$7),AT116)))))))))</f>
        <v>5.8007129362203962</v>
      </c>
      <c r="AV116" s="117">
        <f>IF(ISBLANK(T116),"",IF(ISBLANK($O116),AH116,IF($J116="ANUAL",AH116*(1+Macroindicadores!E$7),IF(AND($I116="NOVO",MONTH($O116)=MONTH(AV$4)),AH116*(1+Macroindicadores!E$7),IF(AND($J116="PONTUAL",MONTH($O116)=MONTH(AV$4)),AH116*(1+Macroindicadores!E$7),IF(AND($J116="PONTUAL",MONTH($O116)&lt;MONTH(AV$4)),MIN($AS116:AU116),IF(AND($I116="NOVO",MONTH($O116)&gt;MONTH(AV$4)),AH116,IF(MONTH($O116)&gt;MONTH(AV$4),AH116,IF(MONTH($O116)=MONTH(AV$4),AH116*(1+Macroindicadores!E$7),AU116)))))))))</f>
        <v>5.8007129362203962</v>
      </c>
      <c r="AW116" s="117">
        <f>IF(ISBLANK(U116),"",IF(ISBLANK($O116),AI116,IF($J116="ANUAL",AI116*(1+Macroindicadores!F$7),IF(AND($I116="NOVO",MONTH($O116)=MONTH(AW$4)),AI116*(1+Macroindicadores!F$7),IF(AND($J116="PONTUAL",MONTH($O116)=MONTH(AW$4)),AI116*(1+Macroindicadores!F$7),IF(AND($J116="PONTUAL",MONTH($O116)&lt;MONTH(AW$4)),MIN($AS116:AV116),IF(AND($I116="NOVO",MONTH($O116)&gt;MONTH(AW$4)),AI116,IF(MONTH($O116)&gt;MONTH(AW$4),AI116,IF(MONTH($O116)=MONTH(AW$4),AI116*(1+Macroindicadores!F$7),AV116)))))))))</f>
        <v>5.8007129362203962</v>
      </c>
      <c r="AX116" s="117">
        <f>IF(ISBLANK(V116),"",IF(ISBLANK($O116),AJ116,IF($J116="ANUAL",AJ116*(1+Macroindicadores!G$7),IF(AND($I116="NOVO",MONTH($O116)=MONTH(AX$4)),AJ116*(1+Macroindicadores!G$7),IF(AND($J116="PONTUAL",MONTH($O116)=MONTH(AX$4)),AJ116*(1+Macroindicadores!G$7),IF(AND($J116="PONTUAL",MONTH($O116)&lt;MONTH(AX$4)),MIN($AS116:AW116),IF(AND($I116="NOVO",MONTH($O116)&gt;MONTH(AX$4)),AJ116,IF(MONTH($O116)&gt;MONTH(AX$4),AJ116,IF(MONTH($O116)=MONTH(AX$4),AJ116*(1+Macroindicadores!G$7),AW116)))))))))</f>
        <v>5.8007129362203962</v>
      </c>
      <c r="AY116" s="117">
        <f>IF(ISBLANK(W116),"",IF(ISBLANK($O116),AK116,IF($J116="ANUAL",AK116*(1+Macroindicadores!H$7),IF(AND($I116="NOVO",MONTH($O116)=MONTH(AY$4)),AK116*(1+Macroindicadores!H$7),IF(AND($J116="PONTUAL",MONTH($O116)=MONTH(AY$4)),AK116*(1+Macroindicadores!H$7),IF(AND($J116="PONTUAL",MONTH($O116)&lt;MONTH(AY$4)),MIN($AS116:AX116),IF(AND($I116="NOVO",MONTH($O116)&gt;MONTH(AY$4)),AK116,IF(MONTH($O116)&gt;MONTH(AY$4),AK116,IF(MONTH($O116)=MONTH(AY$4),AK116*(1+Macroindicadores!H$7),AX116)))))))))</f>
        <v>5.8007129362203962</v>
      </c>
      <c r="AZ116" s="117">
        <f>IF(ISBLANK(X116),"",IF(ISBLANK($O116),AL116,IF($J116="ANUAL",AL116*(1+Macroindicadores!I$7),IF(AND($I116="NOVO",MONTH($O116)=MONTH(AZ$4)),AL116*(1+Macroindicadores!I$7),IF(AND($J116="PONTUAL",MONTH($O116)=MONTH(AZ$4)),AL116*(1+Macroindicadores!I$7),IF(AND($J116="PONTUAL",MONTH($O116)&lt;MONTH(AZ$4)),MIN($AS116:AY116),IF(AND($I116="NOVO",MONTH($O116)&gt;MONTH(AZ$4)),AL116,IF(MONTH($O116)&gt;MONTH(AZ$4),AL116,IF(MONTH($O116)=MONTH(AZ$4),AL116*(1+Macroindicadores!I$7),AY116)))))))))</f>
        <v>5.8007129362203962</v>
      </c>
      <c r="BA116" s="117">
        <f>IF(ISBLANK(Y116),"",IF(ISBLANK($O116),AM116,IF($J116="ANUAL",AM116*(1+Macroindicadores!J$7),IF(AND($I116="NOVO",MONTH($O116)=MONTH(BA$4)),AM116*(1+Macroindicadores!J$7),IF(AND($J116="PONTUAL",MONTH($O116)=MONTH(BA$4)),AM116*(1+Macroindicadores!J$7),IF(AND($J116="PONTUAL",MONTH($O116)&lt;MONTH(BA$4)),MIN($AS116:AZ116),IF(AND($I116="NOVO",MONTH($O116)&gt;MONTH(BA$4)),AM116,IF(MONTH($O116)&gt;MONTH(BA$4),AM116,IF(MONTH($O116)=MONTH(BA$4),AM116*(1+Macroindicadores!J$7),AZ116)))))))))</f>
        <v>5.8007129362203962</v>
      </c>
      <c r="BB116" s="117">
        <f>IF(ISBLANK(Z116),"",IF(ISBLANK($O116),AN116,IF($J116="ANUAL",AN116*(1+Macroindicadores!K$7),IF(AND($I116="NOVO",MONTH($O116)=MONTH(BB$4)),AN116*(1+Macroindicadores!K$7),IF(AND($J116="PONTUAL",MONTH($O116)=MONTH(BB$4)),AN116*(1+Macroindicadores!K$7),IF(AND($J116="PONTUAL",MONTH($O116)&lt;MONTH(BB$4)),MIN($AS116:BA116),IF(AND($I116="NOVO",MONTH($O116)&gt;MONTH(BB$4)),AN116,IF(MONTH($O116)&gt;MONTH(BB$4),AN116,IF(MONTH($O116)=MONTH(BB$4),AN116*(1+Macroindicadores!K$7),BA116)))))))))</f>
        <v>5.8007129362203962</v>
      </c>
      <c r="BC116" s="117">
        <f>IF(ISBLANK(AA116),"",IF(ISBLANK($O116),AO116,IF($J116="ANUAL",AO116*(1+Macroindicadores!L$7),IF(AND($I116="NOVO",MONTH($O116)=MONTH(BC$4)),AO116*(1+Macroindicadores!L$7),IF(AND($J116="PONTUAL",MONTH($O116)=MONTH(BC$4)),AO116*(1+Macroindicadores!L$7),IF(AND($J116="PONTUAL",MONTH($O116)&lt;MONTH(BC$4)),MIN($AS116:BB116),IF(AND($I116="NOVO",MONTH($O116)&gt;MONTH(BC$4)),AO116,IF(MONTH($O116)&gt;MONTH(BC$4),AO116,IF(MONTH($O116)=MONTH(BC$4),AO116*(1+Macroindicadores!L$7),BB116)))))))))</f>
        <v>5.8007129362203962</v>
      </c>
      <c r="BD116" s="117">
        <f>IF(ISBLANK(AB116),"",IF(ISBLANK($O116),AP116,IF($J116="ANUAL",AP116*(1+Macroindicadores!M$7),IF(AND($I116="NOVO",MONTH($O116)=MONTH(BD$4)),AP116*(1+Macroindicadores!M$7),IF(AND($J116="PONTUAL",MONTH($O116)=MONTH(BD$4)),AP116*(1+Macroindicadores!M$7),IF(AND($J116="PONTUAL",MONTH($O116)&lt;MONTH(BD$4)),MIN($AS116:BC116),IF(AND($I116="NOVO",MONTH($O116)&gt;MONTH(BD$4)),AP116,IF(MONTH($O116)&gt;MONTH(BD$4),AP116,IF(MONTH($O116)=MONTH(BD$4),AP116*(1+Macroindicadores!M$7),BC116)))))))))</f>
        <v>5.8007129362203962</v>
      </c>
      <c r="BE116" s="118">
        <f t="shared" si="71"/>
        <v>69.60855523464474</v>
      </c>
      <c r="BF116" s="108"/>
      <c r="BG116" s="117">
        <f>IF(ISBLANK(Q116),"",AS116/Macroindicadores!B$2)</f>
        <v>0.98651580547965922</v>
      </c>
      <c r="BH116" s="117">
        <f>IF(ISBLANK(R116),"",AT116/Macroindicadores!C$2)</f>
        <v>0.98651580547965922</v>
      </c>
      <c r="BI116" s="117">
        <f>IF(ISBLANK(S116),"",AU116/Macroindicadores!D$2)</f>
        <v>0.98651580547965922</v>
      </c>
      <c r="BJ116" s="117">
        <f>IF(ISBLANK(T116),"",AV116/Macroindicadores!E$2)</f>
        <v>0.98651580547965922</v>
      </c>
      <c r="BK116" s="117">
        <f>IF(ISBLANK(U116),"",AW116/Macroindicadores!F$2)</f>
        <v>0.98651580547965922</v>
      </c>
      <c r="BL116" s="117">
        <f>IF(ISBLANK(V116),"",AX116/Macroindicadores!G$2)</f>
        <v>0.98651580547965922</v>
      </c>
      <c r="BM116" s="117">
        <f>IF(ISBLANK(W116),"",AY116/Macroindicadores!H$2)</f>
        <v>0.98651580547965922</v>
      </c>
      <c r="BN116" s="117">
        <f>IF(ISBLANK(X116),"",AZ116/Macroindicadores!I$2)</f>
        <v>0.98651580547965922</v>
      </c>
      <c r="BO116" s="117">
        <f>IF(ISBLANK(Y116),"",BA116/Macroindicadores!J$2)</f>
        <v>0.98651580547965922</v>
      </c>
      <c r="BP116" s="117">
        <f>IF(ISBLANK(Z116),"",BB116/Macroindicadores!K$2)</f>
        <v>0.98651580547965922</v>
      </c>
      <c r="BQ116" s="117">
        <f>IF(ISBLANK(AA116),"",BC116/Macroindicadores!L$2)</f>
        <v>0.98651580547965922</v>
      </c>
      <c r="BR116" s="117">
        <f>IF(ISBLANK(AB116),"",BD116/Macroindicadores!M$2)</f>
        <v>0.98651580547965922</v>
      </c>
      <c r="BS116" s="118">
        <f>IF(AND(ISBLANK($Q116),ISBLANK($R116),ISBLANK($S116),ISBLANK($T116),ISBLANK($U116),ISBLANK($V116),ISBLANK($W116),ISBLANK($X116),ISBLANK($Y116),ISBLANK($Z116),ISBLANK($AA116),ISBLANK($AB116)),"",SUM(BG116:BR116))</f>
        <v>11.838189665755907</v>
      </c>
      <c r="BT116" s="25" t="str">
        <f>IF(ISBLANK($L116),"",_xlfn.XLOOKUP($L116,'CENTRO CUSTO'!$A:$A,'CENTRO CUSTO'!$E:$E,FALSE,0))</f>
        <v>Custo Fixo</v>
      </c>
    </row>
    <row r="117" spans="1:72">
      <c r="A117" s="9" t="str">
        <f t="shared" si="72"/>
        <v>Budget</v>
      </c>
      <c r="B117" s="9">
        <f t="shared" si="69"/>
        <v>2026</v>
      </c>
      <c r="C117" s="111" t="str">
        <f>IF(ISBLANK($L117),"",_xlfn.XLOOKUP($L117,'CENTRO CUSTO'!$A:$A,'CENTRO CUSTO'!F:F,FALSE,0))</f>
        <v>Transporte</v>
      </c>
      <c r="D117" s="111" t="str">
        <f>IF(ISBLANK($L117),"",_xlfn.XLOOKUP($L117,'CENTRO CUSTO'!$A:$A,'CENTRO CUSTO'!G:G,FALSE,0))</f>
        <v>Transportes</v>
      </c>
      <c r="E117" s="111" t="str">
        <f>IF(ISBLANK($L117),"",_xlfn.XLOOKUP($L117,'CENTRO CUSTO'!$A:$A,'CENTRO CUSTO'!H:H,FALSE,0))</f>
        <v>Transportes</v>
      </c>
      <c r="F117" s="112" t="s">
        <v>156</v>
      </c>
      <c r="G117" s="112" t="s">
        <v>123</v>
      </c>
      <c r="H117" s="112" t="s">
        <v>157</v>
      </c>
      <c r="I117" s="113" t="s">
        <v>77</v>
      </c>
      <c r="J117" s="113" t="s">
        <v>78</v>
      </c>
      <c r="K117" s="113" t="s">
        <v>79</v>
      </c>
      <c r="L117" s="113" t="s">
        <v>111</v>
      </c>
      <c r="M117" s="111" t="str">
        <f>IF(ISBLANK($L117),"",_xlfn.XLOOKUP($L117,'CENTRO CUSTO'!$A:$A,'CENTRO CUSTO'!D:D,FALSE,0))</f>
        <v>Alexandre Ayabe</v>
      </c>
      <c r="N117" s="113" t="s">
        <v>158</v>
      </c>
      <c r="O117" s="114">
        <v>46023</v>
      </c>
      <c r="P117" s="113" t="s">
        <v>81</v>
      </c>
      <c r="Q117" s="115">
        <v>8000</v>
      </c>
      <c r="R117" s="115">
        <v>8000</v>
      </c>
      <c r="S117" s="115">
        <v>8000</v>
      </c>
      <c r="T117" s="115">
        <v>8000</v>
      </c>
      <c r="U117" s="115">
        <v>8000</v>
      </c>
      <c r="V117" s="115">
        <v>8000</v>
      </c>
      <c r="W117" s="115">
        <v>8000</v>
      </c>
      <c r="X117" s="115">
        <v>8000</v>
      </c>
      <c r="Y117" s="115">
        <v>8000</v>
      </c>
      <c r="Z117" s="115">
        <v>8000</v>
      </c>
      <c r="AA117" s="115">
        <v>8000</v>
      </c>
      <c r="AB117" s="115">
        <v>8000</v>
      </c>
      <c r="AC117" s="116">
        <f t="shared" si="53"/>
        <v>96000</v>
      </c>
      <c r="AD117" s="108"/>
      <c r="AE117" s="117">
        <f>IF(ISBLANK(Q117),"",IF($P117="BRL",Q117,Q117*Macroindicadores!B$2)/1000)</f>
        <v>8</v>
      </c>
      <c r="AF117" s="117">
        <f>IF(ISBLANK(R117),"",IF($P117="BRL",R117,R117*Macroindicadores!C$2)/1000)</f>
        <v>8</v>
      </c>
      <c r="AG117" s="117">
        <f>IF(ISBLANK(S117),"",IF($P117="BRL",S117,S117*Macroindicadores!D$2)/1000)</f>
        <v>8</v>
      </c>
      <c r="AH117" s="117">
        <f>IF(ISBLANK(T117),"",IF($P117="BRL",T117,T117*Macroindicadores!E$2)/1000)</f>
        <v>8</v>
      </c>
      <c r="AI117" s="117">
        <f>IF(ISBLANK(U117),"",IF($P117="BRL",U117,U117*Macroindicadores!F$2)/1000)</f>
        <v>8</v>
      </c>
      <c r="AJ117" s="117">
        <f>IF(ISBLANK(V117),"",IF($P117="BRL",V117,V117*Macroindicadores!G$2)/1000)</f>
        <v>8</v>
      </c>
      <c r="AK117" s="117">
        <f>IF(ISBLANK(W117),"",IF($P117="BRL",W117,W117*Macroindicadores!H$2)/1000)</f>
        <v>8</v>
      </c>
      <c r="AL117" s="117">
        <f>IF(ISBLANK(X117),"",IF($P117="BRL",X117,X117*Macroindicadores!I$2)/1000)</f>
        <v>8</v>
      </c>
      <c r="AM117" s="117">
        <f>IF(ISBLANK(Y117),"",IF($P117="BRL",Y117,Y117*Macroindicadores!J$2)/1000)</f>
        <v>8</v>
      </c>
      <c r="AN117" s="117">
        <f>IF(ISBLANK(Z117),"",IF($P117="BRL",Z117,Z117*Macroindicadores!K$2)/1000)</f>
        <v>8</v>
      </c>
      <c r="AO117" s="117">
        <f>IF(ISBLANK(AA117),"",IF($P117="BRL",AA117,AA117*Macroindicadores!L$2)/1000)</f>
        <v>8</v>
      </c>
      <c r="AP117" s="117">
        <f>IF(ISBLANK(AB117),"",IF($P117="BRL",AB117,AB117*Macroindicadores!M$2)/1000)</f>
        <v>8</v>
      </c>
      <c r="AQ117" s="118">
        <f t="shared" si="70"/>
        <v>96</v>
      </c>
      <c r="AR117" s="108"/>
      <c r="AS117" s="117">
        <f>IF(ISBLANK(Q117),"",IF(ISBLANK($O117),AE117,IF($J117="ANUAL",AE117*(1+Macroindicadores!B$7),IF(AND($I117="NOVO",MONTH($O117)=MONTH(AS$4)),AE117*(1+Macroindicadores!B$7),IF(AND($J117="PONTUAL",MONTH($O117)=MONTH(AS$4)),AE117*(1+Macroindicadores!B$7),IF(AND($J117="PONTUAL",MONTH($O117)&lt;MONTH(AS$4)),MIN(AR117:$AS117),IF(AND($I117="NOVO",MONTH($O117)&gt;MONTH(AS$4)),AE117,IF(MONTH($O117)&gt;MONTH(AS$4),AE117,IF(MONTH($O117)=MONTH(AS$4),AE117*(1+Macroindicadores!B$7),AR117)))))))))</f>
        <v>8.437400634502394</v>
      </c>
      <c r="AT117" s="117">
        <f>IF(ISBLANK(R117),"",IF(ISBLANK($O117),AF117,IF($J117="ANUAL",AF117*(1+Macroindicadores!C$7),IF(AND($I117="NOVO",MONTH($O117)=MONTH(AT$4)),AF117*(1+Macroindicadores!C$7),IF(AND($J117="PONTUAL",MONTH($O117)=MONTH(AT$4)),AF117*(1+Macroindicadores!C$7),IF(AND($J117="PONTUAL",MONTH($O117)&lt;MONTH(AT$4)),MIN($AS117:AS117),IF(AND($I117="NOVO",MONTH($O117)&gt;MONTH(AT$4)),AF117,IF(MONTH($O117)&gt;MONTH(AT$4),AF117,IF(MONTH($O117)=MONTH(AT$4),AF117*(1+Macroindicadores!C$7),AS117)))))))))</f>
        <v>8.437400634502394</v>
      </c>
      <c r="AU117" s="117">
        <f>IF(ISBLANK(S117),"",IF(ISBLANK($O117),AG117,IF($J117="ANUAL",AG117*(1+Macroindicadores!D$7),IF(AND($I117="NOVO",MONTH($O117)=MONTH(AU$4)),AG117*(1+Macroindicadores!D$7),IF(AND($J117="PONTUAL",MONTH($O117)=MONTH(AU$4)),AG117*(1+Macroindicadores!D$7),IF(AND($J117="PONTUAL",MONTH($O117)&lt;MONTH(AU$4)),MIN($AS117:AT117),IF(AND($I117="NOVO",MONTH($O117)&gt;MONTH(AU$4)),AG117,IF(MONTH($O117)&gt;MONTH(AU$4),AG117,IF(MONTH($O117)=MONTH(AU$4),AG117*(1+Macroindicadores!D$7),AT117)))))))))</f>
        <v>8.437400634502394</v>
      </c>
      <c r="AV117" s="117">
        <f>IF(ISBLANK(T117),"",IF(ISBLANK($O117),AH117,IF($J117="ANUAL",AH117*(1+Macroindicadores!E$7),IF(AND($I117="NOVO",MONTH($O117)=MONTH(AV$4)),AH117*(1+Macroindicadores!E$7),IF(AND($J117="PONTUAL",MONTH($O117)=MONTH(AV$4)),AH117*(1+Macroindicadores!E$7),IF(AND($J117="PONTUAL",MONTH($O117)&lt;MONTH(AV$4)),MIN($AS117:AU117),IF(AND($I117="NOVO",MONTH($O117)&gt;MONTH(AV$4)),AH117,IF(MONTH($O117)&gt;MONTH(AV$4),AH117,IF(MONTH($O117)=MONTH(AV$4),AH117*(1+Macroindicadores!E$7),AU117)))))))))</f>
        <v>8.437400634502394</v>
      </c>
      <c r="AW117" s="117">
        <f>IF(ISBLANK(U117),"",IF(ISBLANK($O117),AI117,IF($J117="ANUAL",AI117*(1+Macroindicadores!F$7),IF(AND($I117="NOVO",MONTH($O117)=MONTH(AW$4)),AI117*(1+Macroindicadores!F$7),IF(AND($J117="PONTUAL",MONTH($O117)=MONTH(AW$4)),AI117*(1+Macroindicadores!F$7),IF(AND($J117="PONTUAL",MONTH($O117)&lt;MONTH(AW$4)),MIN($AS117:AV117),IF(AND($I117="NOVO",MONTH($O117)&gt;MONTH(AW$4)),AI117,IF(MONTH($O117)&gt;MONTH(AW$4),AI117,IF(MONTH($O117)=MONTH(AW$4),AI117*(1+Macroindicadores!F$7),AV117)))))))))</f>
        <v>8.437400634502394</v>
      </c>
      <c r="AX117" s="117">
        <f>IF(ISBLANK(V117),"",IF(ISBLANK($O117),AJ117,IF($J117="ANUAL",AJ117*(1+Macroindicadores!G$7),IF(AND($I117="NOVO",MONTH($O117)=MONTH(AX$4)),AJ117*(1+Macroindicadores!G$7),IF(AND($J117="PONTUAL",MONTH($O117)=MONTH(AX$4)),AJ117*(1+Macroindicadores!G$7),IF(AND($J117="PONTUAL",MONTH($O117)&lt;MONTH(AX$4)),MIN($AS117:AW117),IF(AND($I117="NOVO",MONTH($O117)&gt;MONTH(AX$4)),AJ117,IF(MONTH($O117)&gt;MONTH(AX$4),AJ117,IF(MONTH($O117)=MONTH(AX$4),AJ117*(1+Macroindicadores!G$7),AW117)))))))))</f>
        <v>8.437400634502394</v>
      </c>
      <c r="AY117" s="117">
        <f>IF(ISBLANK(W117),"",IF(ISBLANK($O117),AK117,IF($J117="ANUAL",AK117*(1+Macroindicadores!H$7),IF(AND($I117="NOVO",MONTH($O117)=MONTH(AY$4)),AK117*(1+Macroindicadores!H$7),IF(AND($J117="PONTUAL",MONTH($O117)=MONTH(AY$4)),AK117*(1+Macroindicadores!H$7),IF(AND($J117="PONTUAL",MONTH($O117)&lt;MONTH(AY$4)),MIN($AS117:AX117),IF(AND($I117="NOVO",MONTH($O117)&gt;MONTH(AY$4)),AK117,IF(MONTH($O117)&gt;MONTH(AY$4),AK117,IF(MONTH($O117)=MONTH(AY$4),AK117*(1+Macroindicadores!H$7),AX117)))))))))</f>
        <v>8.437400634502394</v>
      </c>
      <c r="AZ117" s="117">
        <f>IF(ISBLANK(X117),"",IF(ISBLANK($O117),AL117,IF($J117="ANUAL",AL117*(1+Macroindicadores!I$7),IF(AND($I117="NOVO",MONTH($O117)=MONTH(AZ$4)),AL117*(1+Macroindicadores!I$7),IF(AND($J117="PONTUAL",MONTH($O117)=MONTH(AZ$4)),AL117*(1+Macroindicadores!I$7),IF(AND($J117="PONTUAL",MONTH($O117)&lt;MONTH(AZ$4)),MIN($AS117:AY117),IF(AND($I117="NOVO",MONTH($O117)&gt;MONTH(AZ$4)),AL117,IF(MONTH($O117)&gt;MONTH(AZ$4),AL117,IF(MONTH($O117)=MONTH(AZ$4),AL117*(1+Macroindicadores!I$7),AY117)))))))))</f>
        <v>8.437400634502394</v>
      </c>
      <c r="BA117" s="117">
        <f>IF(ISBLANK(Y117),"",IF(ISBLANK($O117),AM117,IF($J117="ANUAL",AM117*(1+Macroindicadores!J$7),IF(AND($I117="NOVO",MONTH($O117)=MONTH(BA$4)),AM117*(1+Macroindicadores!J$7),IF(AND($J117="PONTUAL",MONTH($O117)=MONTH(BA$4)),AM117*(1+Macroindicadores!J$7),IF(AND($J117="PONTUAL",MONTH($O117)&lt;MONTH(BA$4)),MIN($AS117:AZ117),IF(AND($I117="NOVO",MONTH($O117)&gt;MONTH(BA$4)),AM117,IF(MONTH($O117)&gt;MONTH(BA$4),AM117,IF(MONTH($O117)=MONTH(BA$4),AM117*(1+Macroindicadores!J$7),AZ117)))))))))</f>
        <v>8.437400634502394</v>
      </c>
      <c r="BB117" s="117">
        <f>IF(ISBLANK(Z117),"",IF(ISBLANK($O117),AN117,IF($J117="ANUAL",AN117*(1+Macroindicadores!K$7),IF(AND($I117="NOVO",MONTH($O117)=MONTH(BB$4)),AN117*(1+Macroindicadores!K$7),IF(AND($J117="PONTUAL",MONTH($O117)=MONTH(BB$4)),AN117*(1+Macroindicadores!K$7),IF(AND($J117="PONTUAL",MONTH($O117)&lt;MONTH(BB$4)),MIN($AS117:BA117),IF(AND($I117="NOVO",MONTH($O117)&gt;MONTH(BB$4)),AN117,IF(MONTH($O117)&gt;MONTH(BB$4),AN117,IF(MONTH($O117)=MONTH(BB$4),AN117*(1+Macroindicadores!K$7),BA117)))))))))</f>
        <v>8.437400634502394</v>
      </c>
      <c r="BC117" s="117">
        <f>IF(ISBLANK(AA117),"",IF(ISBLANK($O117),AO117,IF($J117="ANUAL",AO117*(1+Macroindicadores!L$7),IF(AND($I117="NOVO",MONTH($O117)=MONTH(BC$4)),AO117*(1+Macroindicadores!L$7),IF(AND($J117="PONTUAL",MONTH($O117)=MONTH(BC$4)),AO117*(1+Macroindicadores!L$7),IF(AND($J117="PONTUAL",MONTH($O117)&lt;MONTH(BC$4)),MIN($AS117:BB117),IF(AND($I117="NOVO",MONTH($O117)&gt;MONTH(BC$4)),AO117,IF(MONTH($O117)&gt;MONTH(BC$4),AO117,IF(MONTH($O117)=MONTH(BC$4),AO117*(1+Macroindicadores!L$7),BB117)))))))))</f>
        <v>8.437400634502394</v>
      </c>
      <c r="BD117" s="117">
        <f>IF(ISBLANK(AB117),"",IF(ISBLANK($O117),AP117,IF($J117="ANUAL",AP117*(1+Macroindicadores!M$7),IF(AND($I117="NOVO",MONTH($O117)=MONTH(BD$4)),AP117*(1+Macroindicadores!M$7),IF(AND($J117="PONTUAL",MONTH($O117)=MONTH(BD$4)),AP117*(1+Macroindicadores!M$7),IF(AND($J117="PONTUAL",MONTH($O117)&lt;MONTH(BD$4)),MIN($AS117:BC117),IF(AND($I117="NOVO",MONTH($O117)&gt;MONTH(BD$4)),AP117,IF(MONTH($O117)&gt;MONTH(BD$4),AP117,IF(MONTH($O117)=MONTH(BD$4),AP117*(1+Macroindicadores!M$7),BC117)))))))))</f>
        <v>8.437400634502394</v>
      </c>
      <c r="BE117" s="118">
        <f t="shared" si="71"/>
        <v>101.24880761402873</v>
      </c>
      <c r="BF117" s="108"/>
      <c r="BG117" s="117">
        <f>IF(ISBLANK(Q117),"",AS117/Macroindicadores!B$2)</f>
        <v>1.4349320806976862</v>
      </c>
      <c r="BH117" s="117">
        <f>IF(ISBLANK(R117),"",AT117/Macroindicadores!C$2)</f>
        <v>1.4349320806976862</v>
      </c>
      <c r="BI117" s="117">
        <f>IF(ISBLANK(S117),"",AU117/Macroindicadores!D$2)</f>
        <v>1.4349320806976862</v>
      </c>
      <c r="BJ117" s="117">
        <f>IF(ISBLANK(T117),"",AV117/Macroindicadores!E$2)</f>
        <v>1.4349320806976862</v>
      </c>
      <c r="BK117" s="117">
        <f>IF(ISBLANK(U117),"",AW117/Macroindicadores!F$2)</f>
        <v>1.4349320806976862</v>
      </c>
      <c r="BL117" s="117">
        <f>IF(ISBLANK(V117),"",AX117/Macroindicadores!G$2)</f>
        <v>1.4349320806976862</v>
      </c>
      <c r="BM117" s="117">
        <f>IF(ISBLANK(W117),"",AY117/Macroindicadores!H$2)</f>
        <v>1.4349320806976862</v>
      </c>
      <c r="BN117" s="117">
        <f>IF(ISBLANK(X117),"",AZ117/Macroindicadores!I$2)</f>
        <v>1.4349320806976862</v>
      </c>
      <c r="BO117" s="117">
        <f>IF(ISBLANK(Y117),"",BA117/Macroindicadores!J$2)</f>
        <v>1.4349320806976862</v>
      </c>
      <c r="BP117" s="117">
        <f>IF(ISBLANK(Z117),"",BB117/Macroindicadores!K$2)</f>
        <v>1.4349320806976862</v>
      </c>
      <c r="BQ117" s="117">
        <f>IF(ISBLANK(AA117),"",BC117/Macroindicadores!L$2)</f>
        <v>1.4349320806976862</v>
      </c>
      <c r="BR117" s="117">
        <f>IF(ISBLANK(AB117),"",BD117/Macroindicadores!M$2)</f>
        <v>1.4349320806976862</v>
      </c>
      <c r="BS117" s="118">
        <f>IF(AND(ISBLANK($Q117),ISBLANK($R117),ISBLANK($S117),ISBLANK($T117),ISBLANK($U117),ISBLANK($V117),ISBLANK($W117),ISBLANK($X117),ISBLANK($Y117),ISBLANK($Z117),ISBLANK($AA117),ISBLANK($AB117)),"",SUM(BG117:BR117))</f>
        <v>17.219184968372236</v>
      </c>
      <c r="BT117" s="25" t="str">
        <f>IF(ISBLANK($L117),"",_xlfn.XLOOKUP($L117,'CENTRO CUSTO'!$A:$A,'CENTRO CUSTO'!$E:$E,FALSE,0))</f>
        <v>Custo Fixo</v>
      </c>
    </row>
    <row r="118" spans="1:72">
      <c r="A118" s="9" t="str">
        <f t="shared" si="72"/>
        <v>Budget</v>
      </c>
      <c r="B118" s="9">
        <f t="shared" si="69"/>
        <v>2026</v>
      </c>
      <c r="C118" s="111" t="str">
        <f>IF(ISBLANK($L118),"",_xlfn.XLOOKUP($L118,'CENTRO CUSTO'!$A:$A,'CENTRO CUSTO'!F:F,FALSE,0))</f>
        <v>Martini Meat</v>
      </c>
      <c r="D118" s="111" t="str">
        <f>IF(ISBLANK($L118),"",_xlfn.XLOOKUP($L118,'CENTRO CUSTO'!$A:$A,'CENTRO CUSTO'!G:G,FALSE,0))</f>
        <v>Ponta Grossa</v>
      </c>
      <c r="E118" s="111" t="str">
        <f>IF(ISBLANK($L118),"",_xlfn.XLOOKUP($L118,'CENTRO CUSTO'!$A:$A,'CENTRO CUSTO'!H:H,FALSE,0))</f>
        <v>Carga Geral</v>
      </c>
      <c r="F118" s="112" t="s">
        <v>156</v>
      </c>
      <c r="G118" s="112" t="s">
        <v>123</v>
      </c>
      <c r="H118" s="112" t="s">
        <v>157</v>
      </c>
      <c r="I118" s="113" t="s">
        <v>77</v>
      </c>
      <c r="J118" s="113" t="s">
        <v>78</v>
      </c>
      <c r="K118" s="113" t="s">
        <v>79</v>
      </c>
      <c r="L118" s="113" t="s">
        <v>25</v>
      </c>
      <c r="M118" s="111" t="str">
        <f>IF(ISBLANK($L118),"",_xlfn.XLOOKUP($L118,'CENTRO CUSTO'!$A:$A,'CENTRO CUSTO'!D:D,FALSE,0))</f>
        <v>Alexandre Ayabe</v>
      </c>
      <c r="N118" s="113" t="s">
        <v>158</v>
      </c>
      <c r="O118" s="114">
        <v>46023</v>
      </c>
      <c r="P118" s="113" t="s">
        <v>81</v>
      </c>
      <c r="Q118" s="115">
        <v>800</v>
      </c>
      <c r="R118" s="115">
        <v>800</v>
      </c>
      <c r="S118" s="115">
        <v>800</v>
      </c>
      <c r="T118" s="115">
        <v>800</v>
      </c>
      <c r="U118" s="115">
        <v>800</v>
      </c>
      <c r="V118" s="115">
        <v>800</v>
      </c>
      <c r="W118" s="115">
        <v>800</v>
      </c>
      <c r="X118" s="115">
        <v>800</v>
      </c>
      <c r="Y118" s="115">
        <v>800</v>
      </c>
      <c r="Z118" s="115">
        <v>800</v>
      </c>
      <c r="AA118" s="115">
        <v>800</v>
      </c>
      <c r="AB118" s="115">
        <v>800</v>
      </c>
      <c r="AC118" s="116">
        <f t="shared" si="53"/>
        <v>9600</v>
      </c>
      <c r="AD118" s="108"/>
      <c r="AE118" s="117">
        <f>IF(ISBLANK(Q118),"",IF($P118="BRL",Q118,Q118*Macroindicadores!B$2)/1000)</f>
        <v>0.8</v>
      </c>
      <c r="AF118" s="117">
        <f>IF(ISBLANK(R118),"",IF($P118="BRL",R118,R118*Macroindicadores!C$2)/1000)</f>
        <v>0.8</v>
      </c>
      <c r="AG118" s="117">
        <f>IF(ISBLANK(S118),"",IF($P118="BRL",S118,S118*Macroindicadores!D$2)/1000)</f>
        <v>0.8</v>
      </c>
      <c r="AH118" s="117">
        <f>IF(ISBLANK(T118),"",IF($P118="BRL",T118,T118*Macroindicadores!E$2)/1000)</f>
        <v>0.8</v>
      </c>
      <c r="AI118" s="117">
        <f>IF(ISBLANK(U118),"",IF($P118="BRL",U118,U118*Macroindicadores!F$2)/1000)</f>
        <v>0.8</v>
      </c>
      <c r="AJ118" s="117">
        <f>IF(ISBLANK(V118),"",IF($P118="BRL",V118,V118*Macroindicadores!G$2)/1000)</f>
        <v>0.8</v>
      </c>
      <c r="AK118" s="117">
        <f>IF(ISBLANK(W118),"",IF($P118="BRL",W118,W118*Macroindicadores!H$2)/1000)</f>
        <v>0.8</v>
      </c>
      <c r="AL118" s="117">
        <f>IF(ISBLANK(X118),"",IF($P118="BRL",X118,X118*Macroindicadores!I$2)/1000)</f>
        <v>0.8</v>
      </c>
      <c r="AM118" s="117">
        <f>IF(ISBLANK(Y118),"",IF($P118="BRL",Y118,Y118*Macroindicadores!J$2)/1000)</f>
        <v>0.8</v>
      </c>
      <c r="AN118" s="117">
        <f>IF(ISBLANK(Z118),"",IF($P118="BRL",Z118,Z118*Macroindicadores!K$2)/1000)</f>
        <v>0.8</v>
      </c>
      <c r="AO118" s="117">
        <f>IF(ISBLANK(AA118),"",IF($P118="BRL",AA118,AA118*Macroindicadores!L$2)/1000)</f>
        <v>0.8</v>
      </c>
      <c r="AP118" s="117">
        <f>IF(ISBLANK(AB118),"",IF($P118="BRL",AB118,AB118*Macroindicadores!M$2)/1000)</f>
        <v>0.8</v>
      </c>
      <c r="AQ118" s="118">
        <f t="shared" si="70"/>
        <v>9.6</v>
      </c>
      <c r="AR118" s="108"/>
      <c r="AS118" s="117">
        <f>IF(ISBLANK(Q118),"",IF(ISBLANK($O118),AE118,IF($J118="ANUAL",AE118*(1+Macroindicadores!B$7),IF(AND($I118="NOVO",MONTH($O118)=MONTH(AS$4)),AE118*(1+Macroindicadores!B$7),IF(AND($J118="PONTUAL",MONTH($O118)=MONTH(AS$4)),AE118*(1+Macroindicadores!B$7),IF(AND($J118="PONTUAL",MONTH($O118)&lt;MONTH(AS$4)),MIN(AR118:$AS118),IF(AND($I118="NOVO",MONTH($O118)&gt;MONTH(AS$4)),AE118,IF(MONTH($O118)&gt;MONTH(AS$4),AE118,IF(MONTH($O118)=MONTH(AS$4),AE118*(1+Macroindicadores!B$7),AR118)))))))))</f>
        <v>0.84374006345023944</v>
      </c>
      <c r="AT118" s="117">
        <f>IF(ISBLANK(R118),"",IF(ISBLANK($O118),AF118,IF($J118="ANUAL",AF118*(1+Macroindicadores!C$7),IF(AND($I118="NOVO",MONTH($O118)=MONTH(AT$4)),AF118*(1+Macroindicadores!C$7),IF(AND($J118="PONTUAL",MONTH($O118)=MONTH(AT$4)),AF118*(1+Macroindicadores!C$7),IF(AND($J118="PONTUAL",MONTH($O118)&lt;MONTH(AT$4)),MIN($AS118:AS118),IF(AND($I118="NOVO",MONTH($O118)&gt;MONTH(AT$4)),AF118,IF(MONTH($O118)&gt;MONTH(AT$4),AF118,IF(MONTH($O118)=MONTH(AT$4),AF118*(1+Macroindicadores!C$7),AS118)))))))))</f>
        <v>0.84374006345023944</v>
      </c>
      <c r="AU118" s="117">
        <f>IF(ISBLANK(S118),"",IF(ISBLANK($O118),AG118,IF($J118="ANUAL",AG118*(1+Macroindicadores!D$7),IF(AND($I118="NOVO",MONTH($O118)=MONTH(AU$4)),AG118*(1+Macroindicadores!D$7),IF(AND($J118="PONTUAL",MONTH($O118)=MONTH(AU$4)),AG118*(1+Macroindicadores!D$7),IF(AND($J118="PONTUAL",MONTH($O118)&lt;MONTH(AU$4)),MIN($AS118:AT118),IF(AND($I118="NOVO",MONTH($O118)&gt;MONTH(AU$4)),AG118,IF(MONTH($O118)&gt;MONTH(AU$4),AG118,IF(MONTH($O118)=MONTH(AU$4),AG118*(1+Macroindicadores!D$7),AT118)))))))))</f>
        <v>0.84374006345023944</v>
      </c>
      <c r="AV118" s="117">
        <f>IF(ISBLANK(T118),"",IF(ISBLANK($O118),AH118,IF($J118="ANUAL",AH118*(1+Macroindicadores!E$7),IF(AND($I118="NOVO",MONTH($O118)=MONTH(AV$4)),AH118*(1+Macroindicadores!E$7),IF(AND($J118="PONTUAL",MONTH($O118)=MONTH(AV$4)),AH118*(1+Macroindicadores!E$7),IF(AND($J118="PONTUAL",MONTH($O118)&lt;MONTH(AV$4)),MIN($AS118:AU118),IF(AND($I118="NOVO",MONTH($O118)&gt;MONTH(AV$4)),AH118,IF(MONTH($O118)&gt;MONTH(AV$4),AH118,IF(MONTH($O118)=MONTH(AV$4),AH118*(1+Macroindicadores!E$7),AU118)))))))))</f>
        <v>0.84374006345023944</v>
      </c>
      <c r="AW118" s="117">
        <f>IF(ISBLANK(U118),"",IF(ISBLANK($O118),AI118,IF($J118="ANUAL",AI118*(1+Macroindicadores!F$7),IF(AND($I118="NOVO",MONTH($O118)=MONTH(AW$4)),AI118*(1+Macroindicadores!F$7),IF(AND($J118="PONTUAL",MONTH($O118)=MONTH(AW$4)),AI118*(1+Macroindicadores!F$7),IF(AND($J118="PONTUAL",MONTH($O118)&lt;MONTH(AW$4)),MIN($AS118:AV118),IF(AND($I118="NOVO",MONTH($O118)&gt;MONTH(AW$4)),AI118,IF(MONTH($O118)&gt;MONTH(AW$4),AI118,IF(MONTH($O118)=MONTH(AW$4),AI118*(1+Macroindicadores!F$7),AV118)))))))))</f>
        <v>0.84374006345023944</v>
      </c>
      <c r="AX118" s="117">
        <f>IF(ISBLANK(V118),"",IF(ISBLANK($O118),AJ118,IF($J118="ANUAL",AJ118*(1+Macroindicadores!G$7),IF(AND($I118="NOVO",MONTH($O118)=MONTH(AX$4)),AJ118*(1+Macroindicadores!G$7),IF(AND($J118="PONTUAL",MONTH($O118)=MONTH(AX$4)),AJ118*(1+Macroindicadores!G$7),IF(AND($J118="PONTUAL",MONTH($O118)&lt;MONTH(AX$4)),MIN($AS118:AW118),IF(AND($I118="NOVO",MONTH($O118)&gt;MONTH(AX$4)),AJ118,IF(MONTH($O118)&gt;MONTH(AX$4),AJ118,IF(MONTH($O118)=MONTH(AX$4),AJ118*(1+Macroindicadores!G$7),AW118)))))))))</f>
        <v>0.84374006345023944</v>
      </c>
      <c r="AY118" s="117">
        <f>IF(ISBLANK(W118),"",IF(ISBLANK($O118),AK118,IF($J118="ANUAL",AK118*(1+Macroindicadores!H$7),IF(AND($I118="NOVO",MONTH($O118)=MONTH(AY$4)),AK118*(1+Macroindicadores!H$7),IF(AND($J118="PONTUAL",MONTH($O118)=MONTH(AY$4)),AK118*(1+Macroindicadores!H$7),IF(AND($J118="PONTUAL",MONTH($O118)&lt;MONTH(AY$4)),MIN($AS118:AX118),IF(AND($I118="NOVO",MONTH($O118)&gt;MONTH(AY$4)),AK118,IF(MONTH($O118)&gt;MONTH(AY$4),AK118,IF(MONTH($O118)=MONTH(AY$4),AK118*(1+Macroindicadores!H$7),AX118)))))))))</f>
        <v>0.84374006345023944</v>
      </c>
      <c r="AZ118" s="117">
        <f>IF(ISBLANK(X118),"",IF(ISBLANK($O118),AL118,IF($J118="ANUAL",AL118*(1+Macroindicadores!I$7),IF(AND($I118="NOVO",MONTH($O118)=MONTH(AZ$4)),AL118*(1+Macroindicadores!I$7),IF(AND($J118="PONTUAL",MONTH($O118)=MONTH(AZ$4)),AL118*(1+Macroindicadores!I$7),IF(AND($J118="PONTUAL",MONTH($O118)&lt;MONTH(AZ$4)),MIN($AS118:AY118),IF(AND($I118="NOVO",MONTH($O118)&gt;MONTH(AZ$4)),AL118,IF(MONTH($O118)&gt;MONTH(AZ$4),AL118,IF(MONTH($O118)=MONTH(AZ$4),AL118*(1+Macroindicadores!I$7),AY118)))))))))</f>
        <v>0.84374006345023944</v>
      </c>
      <c r="BA118" s="117">
        <f>IF(ISBLANK(Y118),"",IF(ISBLANK($O118),AM118,IF($J118="ANUAL",AM118*(1+Macroindicadores!J$7),IF(AND($I118="NOVO",MONTH($O118)=MONTH(BA$4)),AM118*(1+Macroindicadores!J$7),IF(AND($J118="PONTUAL",MONTH($O118)=MONTH(BA$4)),AM118*(1+Macroindicadores!J$7),IF(AND($J118="PONTUAL",MONTH($O118)&lt;MONTH(BA$4)),MIN($AS118:AZ118),IF(AND($I118="NOVO",MONTH($O118)&gt;MONTH(BA$4)),AM118,IF(MONTH($O118)&gt;MONTH(BA$4),AM118,IF(MONTH($O118)=MONTH(BA$4),AM118*(1+Macroindicadores!J$7),AZ118)))))))))</f>
        <v>0.84374006345023944</v>
      </c>
      <c r="BB118" s="117">
        <f>IF(ISBLANK(Z118),"",IF(ISBLANK($O118),AN118,IF($J118="ANUAL",AN118*(1+Macroindicadores!K$7),IF(AND($I118="NOVO",MONTH($O118)=MONTH(BB$4)),AN118*(1+Macroindicadores!K$7),IF(AND($J118="PONTUAL",MONTH($O118)=MONTH(BB$4)),AN118*(1+Macroindicadores!K$7),IF(AND($J118="PONTUAL",MONTH($O118)&lt;MONTH(BB$4)),MIN($AS118:BA118),IF(AND($I118="NOVO",MONTH($O118)&gt;MONTH(BB$4)),AN118,IF(MONTH($O118)&gt;MONTH(BB$4),AN118,IF(MONTH($O118)=MONTH(BB$4),AN118*(1+Macroindicadores!K$7),BA118)))))))))</f>
        <v>0.84374006345023944</v>
      </c>
      <c r="BC118" s="117">
        <f>IF(ISBLANK(AA118),"",IF(ISBLANK($O118),AO118,IF($J118="ANUAL",AO118*(1+Macroindicadores!L$7),IF(AND($I118="NOVO",MONTH($O118)=MONTH(BC$4)),AO118*(1+Macroindicadores!L$7),IF(AND($J118="PONTUAL",MONTH($O118)=MONTH(BC$4)),AO118*(1+Macroindicadores!L$7),IF(AND($J118="PONTUAL",MONTH($O118)&lt;MONTH(BC$4)),MIN($AS118:BB118),IF(AND($I118="NOVO",MONTH($O118)&gt;MONTH(BC$4)),AO118,IF(MONTH($O118)&gt;MONTH(BC$4),AO118,IF(MONTH($O118)=MONTH(BC$4),AO118*(1+Macroindicadores!L$7),BB118)))))))))</f>
        <v>0.84374006345023944</v>
      </c>
      <c r="BD118" s="117">
        <f>IF(ISBLANK(AB118),"",IF(ISBLANK($O118),AP118,IF($J118="ANUAL",AP118*(1+Macroindicadores!M$7),IF(AND($I118="NOVO",MONTH($O118)=MONTH(BD$4)),AP118*(1+Macroindicadores!M$7),IF(AND($J118="PONTUAL",MONTH($O118)=MONTH(BD$4)),AP118*(1+Macroindicadores!M$7),IF(AND($J118="PONTUAL",MONTH($O118)&lt;MONTH(BD$4)),MIN($AS118:BC118),IF(AND($I118="NOVO",MONTH($O118)&gt;MONTH(BD$4)),AP118,IF(MONTH($O118)&gt;MONTH(BD$4),AP118,IF(MONTH($O118)=MONTH(BD$4),AP118*(1+Macroindicadores!M$7),BC118)))))))))</f>
        <v>0.84374006345023944</v>
      </c>
      <c r="BE118" s="118">
        <f t="shared" si="71"/>
        <v>10.124880761402872</v>
      </c>
      <c r="BF118" s="108"/>
      <c r="BG118" s="117">
        <f>IF(ISBLANK(Q118),"",AS118/Macroindicadores!B$2)</f>
        <v>0.14349320806976862</v>
      </c>
      <c r="BH118" s="117">
        <f>IF(ISBLANK(R118),"",AT118/Macroindicadores!C$2)</f>
        <v>0.14349320806976862</v>
      </c>
      <c r="BI118" s="117">
        <f>IF(ISBLANK(S118),"",AU118/Macroindicadores!D$2)</f>
        <v>0.14349320806976862</v>
      </c>
      <c r="BJ118" s="117">
        <f>IF(ISBLANK(T118),"",AV118/Macroindicadores!E$2)</f>
        <v>0.14349320806976862</v>
      </c>
      <c r="BK118" s="117">
        <f>IF(ISBLANK(U118),"",AW118/Macroindicadores!F$2)</f>
        <v>0.14349320806976862</v>
      </c>
      <c r="BL118" s="117">
        <f>IF(ISBLANK(V118),"",AX118/Macroindicadores!G$2)</f>
        <v>0.14349320806976862</v>
      </c>
      <c r="BM118" s="117">
        <f>IF(ISBLANK(W118),"",AY118/Macroindicadores!H$2)</f>
        <v>0.14349320806976862</v>
      </c>
      <c r="BN118" s="117">
        <f>IF(ISBLANK(X118),"",AZ118/Macroindicadores!I$2)</f>
        <v>0.14349320806976862</v>
      </c>
      <c r="BO118" s="117">
        <f>IF(ISBLANK(Y118),"",BA118/Macroindicadores!J$2)</f>
        <v>0.14349320806976862</v>
      </c>
      <c r="BP118" s="117">
        <f>IF(ISBLANK(Z118),"",BB118/Macroindicadores!K$2)</f>
        <v>0.14349320806976862</v>
      </c>
      <c r="BQ118" s="117">
        <f>IF(ISBLANK(AA118),"",BC118/Macroindicadores!L$2)</f>
        <v>0.14349320806976862</v>
      </c>
      <c r="BR118" s="117">
        <f>IF(ISBLANK(AB118),"",BD118/Macroindicadores!M$2)</f>
        <v>0.14349320806976862</v>
      </c>
      <c r="BS118" s="118">
        <f>IF(AND(ISBLANK($Q118),ISBLANK($R118),ISBLANK($S118),ISBLANK($T118),ISBLANK($U118),ISBLANK($V118),ISBLANK($W118),ISBLANK($X118),ISBLANK($Y118),ISBLANK($Z118),ISBLANK($AA118),ISBLANK($AB118)),"",SUM(BG118:BR118))</f>
        <v>1.7219184968372234</v>
      </c>
      <c r="BT118" s="25" t="str">
        <f>IF(ISBLANK($L118),"",_xlfn.XLOOKUP($L118,'CENTRO CUSTO'!$A:$A,'CENTRO CUSTO'!$E:$E,FALSE,0))</f>
        <v>Custo Fixo</v>
      </c>
    </row>
    <row r="119" spans="1:72">
      <c r="A119" s="9" t="str">
        <f t="shared" si="72"/>
        <v>Budget</v>
      </c>
      <c r="B119" s="9">
        <f t="shared" si="69"/>
        <v>2026</v>
      </c>
      <c r="C119" s="111" t="str">
        <f>IF(ISBLANK($L119),"",_xlfn.XLOOKUP($L119,'CENTRO CUSTO'!$A:$A,'CENTRO CUSTO'!F:F,FALSE,0))</f>
        <v>Martini Meat</v>
      </c>
      <c r="D119" s="111" t="str">
        <f>IF(ISBLANK($L119),"",_xlfn.XLOOKUP($L119,'CENTRO CUSTO'!$A:$A,'CENTRO CUSTO'!G:G,FALSE,0))</f>
        <v>Recife 2</v>
      </c>
      <c r="E119" s="111" t="str">
        <f>IF(ISBLANK($L119),"",_xlfn.XLOOKUP($L119,'CENTRO CUSTO'!$A:$A,'CENTRO CUSTO'!H:H,FALSE,0))</f>
        <v>Frigorífico</v>
      </c>
      <c r="F119" s="112" t="s">
        <v>156</v>
      </c>
      <c r="G119" s="112" t="s">
        <v>123</v>
      </c>
      <c r="H119" s="112" t="s">
        <v>157</v>
      </c>
      <c r="I119" s="113" t="s">
        <v>77</v>
      </c>
      <c r="J119" s="113" t="s">
        <v>78</v>
      </c>
      <c r="K119" s="113" t="s">
        <v>79</v>
      </c>
      <c r="L119" s="113" t="s">
        <v>31</v>
      </c>
      <c r="M119" s="111" t="str">
        <f>IF(ISBLANK($L119),"",_xlfn.XLOOKUP($L119,'CENTRO CUSTO'!$A:$A,'CENTRO CUSTO'!D:D,FALSE,0))</f>
        <v>Alexandre Ayabe</v>
      </c>
      <c r="N119" s="113" t="s">
        <v>158</v>
      </c>
      <c r="O119" s="114">
        <v>46023</v>
      </c>
      <c r="P119" s="113" t="s">
        <v>81</v>
      </c>
      <c r="Q119" s="115">
        <v>2200</v>
      </c>
      <c r="R119" s="115">
        <v>2200</v>
      </c>
      <c r="S119" s="115">
        <v>2200</v>
      </c>
      <c r="T119" s="115">
        <v>2200</v>
      </c>
      <c r="U119" s="115">
        <v>2200</v>
      </c>
      <c r="V119" s="115">
        <v>2200</v>
      </c>
      <c r="W119" s="115">
        <v>2200</v>
      </c>
      <c r="X119" s="115">
        <v>2200</v>
      </c>
      <c r="Y119" s="115">
        <v>2200</v>
      </c>
      <c r="Z119" s="115">
        <v>2200</v>
      </c>
      <c r="AA119" s="115">
        <v>2200</v>
      </c>
      <c r="AB119" s="115">
        <v>2200</v>
      </c>
      <c r="AC119" s="116">
        <f t="shared" si="53"/>
        <v>26400</v>
      </c>
      <c r="AD119" s="108"/>
      <c r="AE119" s="117">
        <f>IF(ISBLANK(Q119),"",IF($P119="BRL",Q119,Q119*Macroindicadores!B$2)/1000)</f>
        <v>2.2000000000000002</v>
      </c>
      <c r="AF119" s="117">
        <f>IF(ISBLANK(R119),"",IF($P119="BRL",R119,R119*Macroindicadores!C$2)/1000)</f>
        <v>2.2000000000000002</v>
      </c>
      <c r="AG119" s="117">
        <f>IF(ISBLANK(S119),"",IF($P119="BRL",S119,S119*Macroindicadores!D$2)/1000)</f>
        <v>2.2000000000000002</v>
      </c>
      <c r="AH119" s="117">
        <f>IF(ISBLANK(T119),"",IF($P119="BRL",T119,T119*Macroindicadores!E$2)/1000)</f>
        <v>2.2000000000000002</v>
      </c>
      <c r="AI119" s="117">
        <f>IF(ISBLANK(U119),"",IF($P119="BRL",U119,U119*Macroindicadores!F$2)/1000)</f>
        <v>2.2000000000000002</v>
      </c>
      <c r="AJ119" s="117">
        <f>IF(ISBLANK(V119),"",IF($P119="BRL",V119,V119*Macroindicadores!G$2)/1000)</f>
        <v>2.2000000000000002</v>
      </c>
      <c r="AK119" s="117">
        <f>IF(ISBLANK(W119),"",IF($P119="BRL",W119,W119*Macroindicadores!H$2)/1000)</f>
        <v>2.2000000000000002</v>
      </c>
      <c r="AL119" s="117">
        <f>IF(ISBLANK(X119),"",IF($P119="BRL",X119,X119*Macroindicadores!I$2)/1000)</f>
        <v>2.2000000000000002</v>
      </c>
      <c r="AM119" s="117">
        <f>IF(ISBLANK(Y119),"",IF($P119="BRL",Y119,Y119*Macroindicadores!J$2)/1000)</f>
        <v>2.2000000000000002</v>
      </c>
      <c r="AN119" s="117">
        <f>IF(ISBLANK(Z119),"",IF($P119="BRL",Z119,Z119*Macroindicadores!K$2)/1000)</f>
        <v>2.2000000000000002</v>
      </c>
      <c r="AO119" s="117">
        <f>IF(ISBLANK(AA119),"",IF($P119="BRL",AA119,AA119*Macroindicadores!L$2)/1000)</f>
        <v>2.2000000000000002</v>
      </c>
      <c r="AP119" s="117">
        <f>IF(ISBLANK(AB119),"",IF($P119="BRL",AB119,AB119*Macroindicadores!M$2)/1000)</f>
        <v>2.2000000000000002</v>
      </c>
      <c r="AQ119" s="118">
        <f t="shared" si="70"/>
        <v>26.399999999999995</v>
      </c>
      <c r="AR119" s="108"/>
      <c r="AS119" s="117">
        <f>IF(ISBLANK(Q119),"",IF(ISBLANK($O119),AE119,IF($J119="ANUAL",AE119*(1+Macroindicadores!B$7),IF(AND($I119="NOVO",MONTH($O119)=MONTH(AS$4)),AE119*(1+Macroindicadores!B$7),IF(AND($J119="PONTUAL",MONTH($O119)=MONTH(AS$4)),AE119*(1+Macroindicadores!B$7),IF(AND($J119="PONTUAL",MONTH($O119)&lt;MONTH(AS$4)),MIN(AR119:$AS119),IF(AND($I119="NOVO",MONTH($O119)&gt;MONTH(AS$4)),AE119,IF(MONTH($O119)&gt;MONTH(AS$4),AE119,IF(MONTH($O119)=MONTH(AS$4),AE119*(1+Macroindicadores!B$7),AR119)))))))))</f>
        <v>2.3202851744881587</v>
      </c>
      <c r="AT119" s="117">
        <f>IF(ISBLANK(R119),"",IF(ISBLANK($O119),AF119,IF($J119="ANUAL",AF119*(1+Macroindicadores!C$7),IF(AND($I119="NOVO",MONTH($O119)=MONTH(AT$4)),AF119*(1+Macroindicadores!C$7),IF(AND($J119="PONTUAL",MONTH($O119)=MONTH(AT$4)),AF119*(1+Macroindicadores!C$7),IF(AND($J119="PONTUAL",MONTH($O119)&lt;MONTH(AT$4)),MIN($AS119:AS119),IF(AND($I119="NOVO",MONTH($O119)&gt;MONTH(AT$4)),AF119,IF(MONTH($O119)&gt;MONTH(AT$4),AF119,IF(MONTH($O119)=MONTH(AT$4),AF119*(1+Macroindicadores!C$7),AS119)))))))))</f>
        <v>2.3202851744881587</v>
      </c>
      <c r="AU119" s="117">
        <f>IF(ISBLANK(S119),"",IF(ISBLANK($O119),AG119,IF($J119="ANUAL",AG119*(1+Macroindicadores!D$7),IF(AND($I119="NOVO",MONTH($O119)=MONTH(AU$4)),AG119*(1+Macroindicadores!D$7),IF(AND($J119="PONTUAL",MONTH($O119)=MONTH(AU$4)),AG119*(1+Macroindicadores!D$7),IF(AND($J119="PONTUAL",MONTH($O119)&lt;MONTH(AU$4)),MIN($AS119:AT119),IF(AND($I119="NOVO",MONTH($O119)&gt;MONTH(AU$4)),AG119,IF(MONTH($O119)&gt;MONTH(AU$4),AG119,IF(MONTH($O119)=MONTH(AU$4),AG119*(1+Macroindicadores!D$7),AT119)))))))))</f>
        <v>2.3202851744881587</v>
      </c>
      <c r="AV119" s="117">
        <f>IF(ISBLANK(T119),"",IF(ISBLANK($O119),AH119,IF($J119="ANUAL",AH119*(1+Macroindicadores!E$7),IF(AND($I119="NOVO",MONTH($O119)=MONTH(AV$4)),AH119*(1+Macroindicadores!E$7),IF(AND($J119="PONTUAL",MONTH($O119)=MONTH(AV$4)),AH119*(1+Macroindicadores!E$7),IF(AND($J119="PONTUAL",MONTH($O119)&lt;MONTH(AV$4)),MIN($AS119:AU119),IF(AND($I119="NOVO",MONTH($O119)&gt;MONTH(AV$4)),AH119,IF(MONTH($O119)&gt;MONTH(AV$4),AH119,IF(MONTH($O119)=MONTH(AV$4),AH119*(1+Macroindicadores!E$7),AU119)))))))))</f>
        <v>2.3202851744881587</v>
      </c>
      <c r="AW119" s="117">
        <f>IF(ISBLANK(U119),"",IF(ISBLANK($O119),AI119,IF($J119="ANUAL",AI119*(1+Macroindicadores!F$7),IF(AND($I119="NOVO",MONTH($O119)=MONTH(AW$4)),AI119*(1+Macroindicadores!F$7),IF(AND($J119="PONTUAL",MONTH($O119)=MONTH(AW$4)),AI119*(1+Macroindicadores!F$7),IF(AND($J119="PONTUAL",MONTH($O119)&lt;MONTH(AW$4)),MIN($AS119:AV119),IF(AND($I119="NOVO",MONTH($O119)&gt;MONTH(AW$4)),AI119,IF(MONTH($O119)&gt;MONTH(AW$4),AI119,IF(MONTH($O119)=MONTH(AW$4),AI119*(1+Macroindicadores!F$7),AV119)))))))))</f>
        <v>2.3202851744881587</v>
      </c>
      <c r="AX119" s="117">
        <f>IF(ISBLANK(V119),"",IF(ISBLANK($O119),AJ119,IF($J119="ANUAL",AJ119*(1+Macroindicadores!G$7),IF(AND($I119="NOVO",MONTH($O119)=MONTH(AX$4)),AJ119*(1+Macroindicadores!G$7),IF(AND($J119="PONTUAL",MONTH($O119)=MONTH(AX$4)),AJ119*(1+Macroindicadores!G$7),IF(AND($J119="PONTUAL",MONTH($O119)&lt;MONTH(AX$4)),MIN($AS119:AW119),IF(AND($I119="NOVO",MONTH($O119)&gt;MONTH(AX$4)),AJ119,IF(MONTH($O119)&gt;MONTH(AX$4),AJ119,IF(MONTH($O119)=MONTH(AX$4),AJ119*(1+Macroindicadores!G$7),AW119)))))))))</f>
        <v>2.3202851744881587</v>
      </c>
      <c r="AY119" s="117">
        <f>IF(ISBLANK(W119),"",IF(ISBLANK($O119),AK119,IF($J119="ANUAL",AK119*(1+Macroindicadores!H$7),IF(AND($I119="NOVO",MONTH($O119)=MONTH(AY$4)),AK119*(1+Macroindicadores!H$7),IF(AND($J119="PONTUAL",MONTH($O119)=MONTH(AY$4)),AK119*(1+Macroindicadores!H$7),IF(AND($J119="PONTUAL",MONTH($O119)&lt;MONTH(AY$4)),MIN($AS119:AX119),IF(AND($I119="NOVO",MONTH($O119)&gt;MONTH(AY$4)),AK119,IF(MONTH($O119)&gt;MONTH(AY$4),AK119,IF(MONTH($O119)=MONTH(AY$4),AK119*(1+Macroindicadores!H$7),AX119)))))))))</f>
        <v>2.3202851744881587</v>
      </c>
      <c r="AZ119" s="117">
        <f>IF(ISBLANK(X119),"",IF(ISBLANK($O119),AL119,IF($J119="ANUAL",AL119*(1+Macroindicadores!I$7),IF(AND($I119="NOVO",MONTH($O119)=MONTH(AZ$4)),AL119*(1+Macroindicadores!I$7),IF(AND($J119="PONTUAL",MONTH($O119)=MONTH(AZ$4)),AL119*(1+Macroindicadores!I$7),IF(AND($J119="PONTUAL",MONTH($O119)&lt;MONTH(AZ$4)),MIN($AS119:AY119),IF(AND($I119="NOVO",MONTH($O119)&gt;MONTH(AZ$4)),AL119,IF(MONTH($O119)&gt;MONTH(AZ$4),AL119,IF(MONTH($O119)=MONTH(AZ$4),AL119*(1+Macroindicadores!I$7),AY119)))))))))</f>
        <v>2.3202851744881587</v>
      </c>
      <c r="BA119" s="117">
        <f>IF(ISBLANK(Y119),"",IF(ISBLANK($O119),AM119,IF($J119="ANUAL",AM119*(1+Macroindicadores!J$7),IF(AND($I119="NOVO",MONTH($O119)=MONTH(BA$4)),AM119*(1+Macroindicadores!J$7),IF(AND($J119="PONTUAL",MONTH($O119)=MONTH(BA$4)),AM119*(1+Macroindicadores!J$7),IF(AND($J119="PONTUAL",MONTH($O119)&lt;MONTH(BA$4)),MIN($AS119:AZ119),IF(AND($I119="NOVO",MONTH($O119)&gt;MONTH(BA$4)),AM119,IF(MONTH($O119)&gt;MONTH(BA$4),AM119,IF(MONTH($O119)=MONTH(BA$4),AM119*(1+Macroindicadores!J$7),AZ119)))))))))</f>
        <v>2.3202851744881587</v>
      </c>
      <c r="BB119" s="117">
        <f>IF(ISBLANK(Z119),"",IF(ISBLANK($O119),AN119,IF($J119="ANUAL",AN119*(1+Macroindicadores!K$7),IF(AND($I119="NOVO",MONTH($O119)=MONTH(BB$4)),AN119*(1+Macroindicadores!K$7),IF(AND($J119="PONTUAL",MONTH($O119)=MONTH(BB$4)),AN119*(1+Macroindicadores!K$7),IF(AND($J119="PONTUAL",MONTH($O119)&lt;MONTH(BB$4)),MIN($AS119:BA119),IF(AND($I119="NOVO",MONTH($O119)&gt;MONTH(BB$4)),AN119,IF(MONTH($O119)&gt;MONTH(BB$4),AN119,IF(MONTH($O119)=MONTH(BB$4),AN119*(1+Macroindicadores!K$7),BA119)))))))))</f>
        <v>2.3202851744881587</v>
      </c>
      <c r="BC119" s="117">
        <f>IF(ISBLANK(AA119),"",IF(ISBLANK($O119),AO119,IF($J119="ANUAL",AO119*(1+Macroindicadores!L$7),IF(AND($I119="NOVO",MONTH($O119)=MONTH(BC$4)),AO119*(1+Macroindicadores!L$7),IF(AND($J119="PONTUAL",MONTH($O119)=MONTH(BC$4)),AO119*(1+Macroindicadores!L$7),IF(AND($J119="PONTUAL",MONTH($O119)&lt;MONTH(BC$4)),MIN($AS119:BB119),IF(AND($I119="NOVO",MONTH($O119)&gt;MONTH(BC$4)),AO119,IF(MONTH($O119)&gt;MONTH(BC$4),AO119,IF(MONTH($O119)=MONTH(BC$4),AO119*(1+Macroindicadores!L$7),BB119)))))))))</f>
        <v>2.3202851744881587</v>
      </c>
      <c r="BD119" s="117">
        <f>IF(ISBLANK(AB119),"",IF(ISBLANK($O119),AP119,IF($J119="ANUAL",AP119*(1+Macroindicadores!M$7),IF(AND($I119="NOVO",MONTH($O119)=MONTH(BD$4)),AP119*(1+Macroindicadores!M$7),IF(AND($J119="PONTUAL",MONTH($O119)=MONTH(BD$4)),AP119*(1+Macroindicadores!M$7),IF(AND($J119="PONTUAL",MONTH($O119)&lt;MONTH(BD$4)),MIN($AS119:BC119),IF(AND($I119="NOVO",MONTH($O119)&gt;MONTH(BD$4)),AP119,IF(MONTH($O119)&gt;MONTH(BD$4),AP119,IF(MONTH($O119)=MONTH(BD$4),AP119*(1+Macroindicadores!M$7),BC119)))))))))</f>
        <v>2.3202851744881587</v>
      </c>
      <c r="BE119" s="118">
        <f t="shared" si="71"/>
        <v>27.843422093857907</v>
      </c>
      <c r="BF119" s="108"/>
      <c r="BG119" s="117">
        <f>IF(ISBLANK(Q119),"",AS119/Macroindicadores!B$2)</f>
        <v>0.39460632219186376</v>
      </c>
      <c r="BH119" s="117">
        <f>IF(ISBLANK(R119),"",AT119/Macroindicadores!C$2)</f>
        <v>0.39460632219186376</v>
      </c>
      <c r="BI119" s="117">
        <f>IF(ISBLANK(S119),"",AU119/Macroindicadores!D$2)</f>
        <v>0.39460632219186376</v>
      </c>
      <c r="BJ119" s="117">
        <f>IF(ISBLANK(T119),"",AV119/Macroindicadores!E$2)</f>
        <v>0.39460632219186376</v>
      </c>
      <c r="BK119" s="117">
        <f>IF(ISBLANK(U119),"",AW119/Macroindicadores!F$2)</f>
        <v>0.39460632219186376</v>
      </c>
      <c r="BL119" s="117">
        <f>IF(ISBLANK(V119),"",AX119/Macroindicadores!G$2)</f>
        <v>0.39460632219186376</v>
      </c>
      <c r="BM119" s="117">
        <f>IF(ISBLANK(W119),"",AY119/Macroindicadores!H$2)</f>
        <v>0.39460632219186376</v>
      </c>
      <c r="BN119" s="117">
        <f>IF(ISBLANK(X119),"",AZ119/Macroindicadores!I$2)</f>
        <v>0.39460632219186376</v>
      </c>
      <c r="BO119" s="117">
        <f>IF(ISBLANK(Y119),"",BA119/Macroindicadores!J$2)</f>
        <v>0.39460632219186376</v>
      </c>
      <c r="BP119" s="117">
        <f>IF(ISBLANK(Z119),"",BB119/Macroindicadores!K$2)</f>
        <v>0.39460632219186376</v>
      </c>
      <c r="BQ119" s="117">
        <f>IF(ISBLANK(AA119),"",BC119/Macroindicadores!L$2)</f>
        <v>0.39460632219186376</v>
      </c>
      <c r="BR119" s="117">
        <f>IF(ISBLANK(AB119),"",BD119/Macroindicadores!M$2)</f>
        <v>0.39460632219186376</v>
      </c>
      <c r="BS119" s="118">
        <f>IF(AND(ISBLANK($Q119),ISBLANK($R119),ISBLANK($S119),ISBLANK($T119),ISBLANK($U119),ISBLANK($V119),ISBLANK($W119),ISBLANK($X119),ISBLANK($Y119),ISBLANK($Z119),ISBLANK($AA119),ISBLANK($AB119)),"",SUM(BG119:BR119))</f>
        <v>4.7352758663023655</v>
      </c>
      <c r="BT119" s="25" t="str">
        <f>IF(ISBLANK($L119),"",_xlfn.XLOOKUP($L119,'CENTRO CUSTO'!$A:$A,'CENTRO CUSTO'!$E:$E,FALSE,0))</f>
        <v>Custo Fixo</v>
      </c>
    </row>
    <row r="120" spans="1:72">
      <c r="A120" s="9" t="str">
        <f t="shared" si="72"/>
        <v>Budget</v>
      </c>
      <c r="B120" s="9">
        <f t="shared" si="69"/>
        <v>2026</v>
      </c>
      <c r="C120" s="111" t="str">
        <f>IF(ISBLANK($L120),"",_xlfn.XLOOKUP($L120,'CENTRO CUSTO'!$A:$A,'CENTRO CUSTO'!F:F,FALSE,0))</f>
        <v>Martini Meat</v>
      </c>
      <c r="D120" s="111" t="str">
        <f>IF(ISBLANK($L120),"",_xlfn.XLOOKUP($L120,'CENTRO CUSTO'!$A:$A,'CENTRO CUSTO'!G:G,FALSE,0))</f>
        <v>Paranaguá</v>
      </c>
      <c r="E120" s="111" t="str">
        <f>IF(ISBLANK($L120),"",_xlfn.XLOOKUP($L120,'CENTRO CUSTO'!$A:$A,'CENTRO CUSTO'!H:H,FALSE,0))</f>
        <v>RATEIO Unidade</v>
      </c>
      <c r="F120" s="112" t="s">
        <v>156</v>
      </c>
      <c r="G120" s="112" t="s">
        <v>123</v>
      </c>
      <c r="H120" s="112" t="s">
        <v>157</v>
      </c>
      <c r="I120" s="113" t="s">
        <v>77</v>
      </c>
      <c r="J120" s="113" t="s">
        <v>78</v>
      </c>
      <c r="K120" s="113" t="s">
        <v>79</v>
      </c>
      <c r="L120" s="113" t="s">
        <v>19</v>
      </c>
      <c r="M120" s="111" t="str">
        <f>IF(ISBLANK($L120),"",_xlfn.XLOOKUP($L120,'CENTRO CUSTO'!$A:$A,'CENTRO CUSTO'!D:D,FALSE,0))</f>
        <v>Alexandre Ayabe</v>
      </c>
      <c r="N120" s="113" t="s">
        <v>158</v>
      </c>
      <c r="O120" s="114">
        <v>46023</v>
      </c>
      <c r="P120" s="113" t="s">
        <v>81</v>
      </c>
      <c r="Q120" s="115">
        <v>10000</v>
      </c>
      <c r="R120" s="115">
        <v>10000</v>
      </c>
      <c r="S120" s="115">
        <v>10000</v>
      </c>
      <c r="T120" s="115">
        <v>10000</v>
      </c>
      <c r="U120" s="115">
        <v>10000</v>
      </c>
      <c r="V120" s="115">
        <v>10000</v>
      </c>
      <c r="W120" s="115">
        <v>10000</v>
      </c>
      <c r="X120" s="115">
        <v>10000</v>
      </c>
      <c r="Y120" s="115">
        <v>10000</v>
      </c>
      <c r="Z120" s="115">
        <v>10000</v>
      </c>
      <c r="AA120" s="115">
        <v>10000</v>
      </c>
      <c r="AB120" s="115">
        <v>10000</v>
      </c>
      <c r="AC120" s="116">
        <f t="shared" si="53"/>
        <v>120000</v>
      </c>
      <c r="AD120" s="108"/>
      <c r="AE120" s="117">
        <f>IF(ISBLANK(Q120),"",IF($P120="BRL",Q120,Q120*Macroindicadores!B$2)/1000)</f>
        <v>10</v>
      </c>
      <c r="AF120" s="117">
        <f>IF(ISBLANK(R120),"",IF($P120="BRL",R120,R120*Macroindicadores!C$2)/1000)</f>
        <v>10</v>
      </c>
      <c r="AG120" s="117">
        <f>IF(ISBLANK(S120),"",IF($P120="BRL",S120,S120*Macroindicadores!D$2)/1000)</f>
        <v>10</v>
      </c>
      <c r="AH120" s="117">
        <f>IF(ISBLANK(T120),"",IF($P120="BRL",T120,T120*Macroindicadores!E$2)/1000)</f>
        <v>10</v>
      </c>
      <c r="AI120" s="117">
        <f>IF(ISBLANK(U120),"",IF($P120="BRL",U120,U120*Macroindicadores!F$2)/1000)</f>
        <v>10</v>
      </c>
      <c r="AJ120" s="117">
        <f>IF(ISBLANK(V120),"",IF($P120="BRL",V120,V120*Macroindicadores!G$2)/1000)</f>
        <v>10</v>
      </c>
      <c r="AK120" s="117">
        <f>IF(ISBLANK(W120),"",IF($P120="BRL",W120,W120*Macroindicadores!H$2)/1000)</f>
        <v>10</v>
      </c>
      <c r="AL120" s="117">
        <f>IF(ISBLANK(X120),"",IF($P120="BRL",X120,X120*Macroindicadores!I$2)/1000)</f>
        <v>10</v>
      </c>
      <c r="AM120" s="117">
        <f>IF(ISBLANK(Y120),"",IF($P120="BRL",Y120,Y120*Macroindicadores!J$2)/1000)</f>
        <v>10</v>
      </c>
      <c r="AN120" s="117">
        <f>IF(ISBLANK(Z120),"",IF($P120="BRL",Z120,Z120*Macroindicadores!K$2)/1000)</f>
        <v>10</v>
      </c>
      <c r="AO120" s="117">
        <f>IF(ISBLANK(AA120),"",IF($P120="BRL",AA120,AA120*Macroindicadores!L$2)/1000)</f>
        <v>10</v>
      </c>
      <c r="AP120" s="117">
        <f>IF(ISBLANK(AB120),"",IF($P120="BRL",AB120,AB120*Macroindicadores!M$2)/1000)</f>
        <v>10</v>
      </c>
      <c r="AQ120" s="118">
        <f t="shared" si="70"/>
        <v>120</v>
      </c>
      <c r="AR120" s="108"/>
      <c r="AS120" s="117">
        <f>IF(ISBLANK(Q120),"",IF(ISBLANK($O120),AE120,IF($J120="ANUAL",AE120*(1+Macroindicadores!B$7),IF(AND($I120="NOVO",MONTH($O120)=MONTH(AS$4)),AE120*(1+Macroindicadores!B$7),IF(AND($J120="PONTUAL",MONTH($O120)=MONTH(AS$4)),AE120*(1+Macroindicadores!B$7),IF(AND($J120="PONTUAL",MONTH($O120)&lt;MONTH(AS$4)),MIN(AR120:$AS120),IF(AND($I120="NOVO",MONTH($O120)&gt;MONTH(AS$4)),AE120,IF(MONTH($O120)&gt;MONTH(AS$4),AE120,IF(MONTH($O120)=MONTH(AS$4),AE120*(1+Macroindicadores!B$7),AR120)))))))))</f>
        <v>10.546750793127993</v>
      </c>
      <c r="AT120" s="117">
        <f>IF(ISBLANK(R120),"",IF(ISBLANK($O120),AF120,IF($J120="ANUAL",AF120*(1+Macroindicadores!C$7),IF(AND($I120="NOVO",MONTH($O120)=MONTH(AT$4)),AF120*(1+Macroindicadores!C$7),IF(AND($J120="PONTUAL",MONTH($O120)=MONTH(AT$4)),AF120*(1+Macroindicadores!C$7),IF(AND($J120="PONTUAL",MONTH($O120)&lt;MONTH(AT$4)),MIN($AS120:AS120),IF(AND($I120="NOVO",MONTH($O120)&gt;MONTH(AT$4)),AF120,IF(MONTH($O120)&gt;MONTH(AT$4),AF120,IF(MONTH($O120)=MONTH(AT$4),AF120*(1+Macroindicadores!C$7),AS120)))))))))</f>
        <v>10.546750793127993</v>
      </c>
      <c r="AU120" s="117">
        <f>IF(ISBLANK(S120),"",IF(ISBLANK($O120),AG120,IF($J120="ANUAL",AG120*(1+Macroindicadores!D$7),IF(AND($I120="NOVO",MONTH($O120)=MONTH(AU$4)),AG120*(1+Macroindicadores!D$7),IF(AND($J120="PONTUAL",MONTH($O120)=MONTH(AU$4)),AG120*(1+Macroindicadores!D$7),IF(AND($J120="PONTUAL",MONTH($O120)&lt;MONTH(AU$4)),MIN($AS120:AT120),IF(AND($I120="NOVO",MONTH($O120)&gt;MONTH(AU$4)),AG120,IF(MONTH($O120)&gt;MONTH(AU$4),AG120,IF(MONTH($O120)=MONTH(AU$4),AG120*(1+Macroindicadores!D$7),AT120)))))))))</f>
        <v>10.546750793127993</v>
      </c>
      <c r="AV120" s="117">
        <f>IF(ISBLANK(T120),"",IF(ISBLANK($O120),AH120,IF($J120="ANUAL",AH120*(1+Macroindicadores!E$7),IF(AND($I120="NOVO",MONTH($O120)=MONTH(AV$4)),AH120*(1+Macroindicadores!E$7),IF(AND($J120="PONTUAL",MONTH($O120)=MONTH(AV$4)),AH120*(1+Macroindicadores!E$7),IF(AND($J120="PONTUAL",MONTH($O120)&lt;MONTH(AV$4)),MIN($AS120:AU120),IF(AND($I120="NOVO",MONTH($O120)&gt;MONTH(AV$4)),AH120,IF(MONTH($O120)&gt;MONTH(AV$4),AH120,IF(MONTH($O120)=MONTH(AV$4),AH120*(1+Macroindicadores!E$7),AU120)))))))))</f>
        <v>10.546750793127993</v>
      </c>
      <c r="AW120" s="117">
        <f>IF(ISBLANK(U120),"",IF(ISBLANK($O120),AI120,IF($J120="ANUAL",AI120*(1+Macroindicadores!F$7),IF(AND($I120="NOVO",MONTH($O120)=MONTH(AW$4)),AI120*(1+Macroindicadores!F$7),IF(AND($J120="PONTUAL",MONTH($O120)=MONTH(AW$4)),AI120*(1+Macroindicadores!F$7),IF(AND($J120="PONTUAL",MONTH($O120)&lt;MONTH(AW$4)),MIN($AS120:AV120),IF(AND($I120="NOVO",MONTH($O120)&gt;MONTH(AW$4)),AI120,IF(MONTH($O120)&gt;MONTH(AW$4),AI120,IF(MONTH($O120)=MONTH(AW$4),AI120*(1+Macroindicadores!F$7),AV120)))))))))</f>
        <v>10.546750793127993</v>
      </c>
      <c r="AX120" s="117">
        <f>IF(ISBLANK(V120),"",IF(ISBLANK($O120),AJ120,IF($J120="ANUAL",AJ120*(1+Macroindicadores!G$7),IF(AND($I120="NOVO",MONTH($O120)=MONTH(AX$4)),AJ120*(1+Macroindicadores!G$7),IF(AND($J120="PONTUAL",MONTH($O120)=MONTH(AX$4)),AJ120*(1+Macroindicadores!G$7),IF(AND($J120="PONTUAL",MONTH($O120)&lt;MONTH(AX$4)),MIN($AS120:AW120),IF(AND($I120="NOVO",MONTH($O120)&gt;MONTH(AX$4)),AJ120,IF(MONTH($O120)&gt;MONTH(AX$4),AJ120,IF(MONTH($O120)=MONTH(AX$4),AJ120*(1+Macroindicadores!G$7),AW120)))))))))</f>
        <v>10.546750793127993</v>
      </c>
      <c r="AY120" s="117">
        <f>IF(ISBLANK(W120),"",IF(ISBLANK($O120),AK120,IF($J120="ANUAL",AK120*(1+Macroindicadores!H$7),IF(AND($I120="NOVO",MONTH($O120)=MONTH(AY$4)),AK120*(1+Macroindicadores!H$7),IF(AND($J120="PONTUAL",MONTH($O120)=MONTH(AY$4)),AK120*(1+Macroindicadores!H$7),IF(AND($J120="PONTUAL",MONTH($O120)&lt;MONTH(AY$4)),MIN($AS120:AX120),IF(AND($I120="NOVO",MONTH($O120)&gt;MONTH(AY$4)),AK120,IF(MONTH($O120)&gt;MONTH(AY$4),AK120,IF(MONTH($O120)=MONTH(AY$4),AK120*(1+Macroindicadores!H$7),AX120)))))))))</f>
        <v>10.546750793127993</v>
      </c>
      <c r="AZ120" s="117">
        <f>IF(ISBLANK(X120),"",IF(ISBLANK($O120),AL120,IF($J120="ANUAL",AL120*(1+Macroindicadores!I$7),IF(AND($I120="NOVO",MONTH($O120)=MONTH(AZ$4)),AL120*(1+Macroindicadores!I$7),IF(AND($J120="PONTUAL",MONTH($O120)=MONTH(AZ$4)),AL120*(1+Macroindicadores!I$7),IF(AND($J120="PONTUAL",MONTH($O120)&lt;MONTH(AZ$4)),MIN($AS120:AY120),IF(AND($I120="NOVO",MONTH($O120)&gt;MONTH(AZ$4)),AL120,IF(MONTH($O120)&gt;MONTH(AZ$4),AL120,IF(MONTH($O120)=MONTH(AZ$4),AL120*(1+Macroindicadores!I$7),AY120)))))))))</f>
        <v>10.546750793127993</v>
      </c>
      <c r="BA120" s="117">
        <f>IF(ISBLANK(Y120),"",IF(ISBLANK($O120),AM120,IF($J120="ANUAL",AM120*(1+Macroindicadores!J$7),IF(AND($I120="NOVO",MONTH($O120)=MONTH(BA$4)),AM120*(1+Macroindicadores!J$7),IF(AND($J120="PONTUAL",MONTH($O120)=MONTH(BA$4)),AM120*(1+Macroindicadores!J$7),IF(AND($J120="PONTUAL",MONTH($O120)&lt;MONTH(BA$4)),MIN($AS120:AZ120),IF(AND($I120="NOVO",MONTH($O120)&gt;MONTH(BA$4)),AM120,IF(MONTH($O120)&gt;MONTH(BA$4),AM120,IF(MONTH($O120)=MONTH(BA$4),AM120*(1+Macroindicadores!J$7),AZ120)))))))))</f>
        <v>10.546750793127993</v>
      </c>
      <c r="BB120" s="117">
        <f>IF(ISBLANK(Z120),"",IF(ISBLANK($O120),AN120,IF($J120="ANUAL",AN120*(1+Macroindicadores!K$7),IF(AND($I120="NOVO",MONTH($O120)=MONTH(BB$4)),AN120*(1+Macroindicadores!K$7),IF(AND($J120="PONTUAL",MONTH($O120)=MONTH(BB$4)),AN120*(1+Macroindicadores!K$7),IF(AND($J120="PONTUAL",MONTH($O120)&lt;MONTH(BB$4)),MIN($AS120:BA120),IF(AND($I120="NOVO",MONTH($O120)&gt;MONTH(BB$4)),AN120,IF(MONTH($O120)&gt;MONTH(BB$4),AN120,IF(MONTH($O120)=MONTH(BB$4),AN120*(1+Macroindicadores!K$7),BA120)))))))))</f>
        <v>10.546750793127993</v>
      </c>
      <c r="BC120" s="117">
        <f>IF(ISBLANK(AA120),"",IF(ISBLANK($O120),AO120,IF($J120="ANUAL",AO120*(1+Macroindicadores!L$7),IF(AND($I120="NOVO",MONTH($O120)=MONTH(BC$4)),AO120*(1+Macroindicadores!L$7),IF(AND($J120="PONTUAL",MONTH($O120)=MONTH(BC$4)),AO120*(1+Macroindicadores!L$7),IF(AND($J120="PONTUAL",MONTH($O120)&lt;MONTH(BC$4)),MIN($AS120:BB120),IF(AND($I120="NOVO",MONTH($O120)&gt;MONTH(BC$4)),AO120,IF(MONTH($O120)&gt;MONTH(BC$4),AO120,IF(MONTH($O120)=MONTH(BC$4),AO120*(1+Macroindicadores!L$7),BB120)))))))))</f>
        <v>10.546750793127993</v>
      </c>
      <c r="BD120" s="117">
        <f>IF(ISBLANK(AB120),"",IF(ISBLANK($O120),AP120,IF($J120="ANUAL",AP120*(1+Macroindicadores!M$7),IF(AND($I120="NOVO",MONTH($O120)=MONTH(BD$4)),AP120*(1+Macroindicadores!M$7),IF(AND($J120="PONTUAL",MONTH($O120)=MONTH(BD$4)),AP120*(1+Macroindicadores!M$7),IF(AND($J120="PONTUAL",MONTH($O120)&lt;MONTH(BD$4)),MIN($AS120:BC120),IF(AND($I120="NOVO",MONTH($O120)&gt;MONTH(BD$4)),AP120,IF(MONTH($O120)&gt;MONTH(BD$4),AP120,IF(MONTH($O120)=MONTH(BD$4),AP120*(1+Macroindicadores!M$7),BC120)))))))))</f>
        <v>10.546750793127993</v>
      </c>
      <c r="BE120" s="118">
        <f t="shared" si="71"/>
        <v>126.56100951753594</v>
      </c>
      <c r="BF120" s="108"/>
      <c r="BG120" s="117">
        <f>IF(ISBLANK(Q120),"",AS120/Macroindicadores!B$2)</f>
        <v>1.7936651008721076</v>
      </c>
      <c r="BH120" s="117">
        <f>IF(ISBLANK(R120),"",AT120/Macroindicadores!C$2)</f>
        <v>1.7936651008721076</v>
      </c>
      <c r="BI120" s="117">
        <f>IF(ISBLANK(S120),"",AU120/Macroindicadores!D$2)</f>
        <v>1.7936651008721076</v>
      </c>
      <c r="BJ120" s="117">
        <f>IF(ISBLANK(T120),"",AV120/Macroindicadores!E$2)</f>
        <v>1.7936651008721076</v>
      </c>
      <c r="BK120" s="117">
        <f>IF(ISBLANK(U120),"",AW120/Macroindicadores!F$2)</f>
        <v>1.7936651008721076</v>
      </c>
      <c r="BL120" s="117">
        <f>IF(ISBLANK(V120),"",AX120/Macroindicadores!G$2)</f>
        <v>1.7936651008721076</v>
      </c>
      <c r="BM120" s="117">
        <f>IF(ISBLANK(W120),"",AY120/Macroindicadores!H$2)</f>
        <v>1.7936651008721076</v>
      </c>
      <c r="BN120" s="117">
        <f>IF(ISBLANK(X120),"",AZ120/Macroindicadores!I$2)</f>
        <v>1.7936651008721076</v>
      </c>
      <c r="BO120" s="117">
        <f>IF(ISBLANK(Y120),"",BA120/Macroindicadores!J$2)</f>
        <v>1.7936651008721076</v>
      </c>
      <c r="BP120" s="117">
        <f>IF(ISBLANK(Z120),"",BB120/Macroindicadores!K$2)</f>
        <v>1.7936651008721076</v>
      </c>
      <c r="BQ120" s="117">
        <f>IF(ISBLANK(AA120),"",BC120/Macroindicadores!L$2)</f>
        <v>1.7936651008721076</v>
      </c>
      <c r="BR120" s="117">
        <f>IF(ISBLANK(AB120),"",BD120/Macroindicadores!M$2)</f>
        <v>1.7936651008721076</v>
      </c>
      <c r="BS120" s="118">
        <f>IF(AND(ISBLANK($Q120),ISBLANK($R120),ISBLANK($S120),ISBLANK($T120),ISBLANK($U120),ISBLANK($V120),ISBLANK($W120),ISBLANK($X120),ISBLANK($Y120),ISBLANK($Z120),ISBLANK($AA120),ISBLANK($AB120)),"",SUM(BG120:BR120))</f>
        <v>21.523981210465291</v>
      </c>
      <c r="BT120" s="25" t="str">
        <f>IF(ISBLANK($L120),"",_xlfn.XLOOKUP($L120,'CENTRO CUSTO'!$A:$A,'CENTRO CUSTO'!$E:$E,FALSE,0))</f>
        <v>Custo Fixo</v>
      </c>
    </row>
    <row r="121" spans="1:72">
      <c r="A121" s="9" t="str">
        <f t="shared" si="72"/>
        <v>Budget</v>
      </c>
      <c r="B121" s="9">
        <f t="shared" si="69"/>
        <v>2026</v>
      </c>
      <c r="C121" s="111" t="str">
        <f>IF(ISBLANK($L121),"",_xlfn.XLOOKUP($L121,'CENTRO CUSTO'!$A:$A,'CENTRO CUSTO'!F:F,FALSE,0))</f>
        <v>Martini Meat</v>
      </c>
      <c r="D121" s="111" t="str">
        <f>IF(ISBLANK($L121),"",_xlfn.XLOOKUP($L121,'CENTRO CUSTO'!$A:$A,'CENTRO CUSTO'!G:G,FALSE,0))</f>
        <v>Rio Grande</v>
      </c>
      <c r="E121" s="111" t="str">
        <f>IF(ISBLANK($L121),"",_xlfn.XLOOKUP($L121,'CENTRO CUSTO'!$A:$A,'CENTRO CUSTO'!H:H,FALSE,0))</f>
        <v>RATEIO Unidade</v>
      </c>
      <c r="F121" s="112" t="s">
        <v>156</v>
      </c>
      <c r="G121" s="112" t="s">
        <v>123</v>
      </c>
      <c r="H121" s="112" t="s">
        <v>157</v>
      </c>
      <c r="I121" s="113" t="s">
        <v>77</v>
      </c>
      <c r="J121" s="113" t="s">
        <v>78</v>
      </c>
      <c r="K121" s="113" t="s">
        <v>79</v>
      </c>
      <c r="L121" s="113" t="s">
        <v>23</v>
      </c>
      <c r="M121" s="111" t="str">
        <f>IF(ISBLANK($L121),"",_xlfn.XLOOKUP($L121,'CENTRO CUSTO'!$A:$A,'CENTRO CUSTO'!D:D,FALSE,0))</f>
        <v>Alexandre Ayabe</v>
      </c>
      <c r="N121" s="113" t="s">
        <v>158</v>
      </c>
      <c r="O121" s="114">
        <v>46023</v>
      </c>
      <c r="P121" s="113" t="s">
        <v>81</v>
      </c>
      <c r="Q121" s="115">
        <v>3000</v>
      </c>
      <c r="R121" s="115">
        <v>3000</v>
      </c>
      <c r="S121" s="115">
        <v>3000</v>
      </c>
      <c r="T121" s="115">
        <v>3000</v>
      </c>
      <c r="U121" s="115">
        <v>3000</v>
      </c>
      <c r="V121" s="115">
        <v>3000</v>
      </c>
      <c r="W121" s="115">
        <v>3000</v>
      </c>
      <c r="X121" s="115">
        <v>3000</v>
      </c>
      <c r="Y121" s="115">
        <v>3000</v>
      </c>
      <c r="Z121" s="115">
        <v>3000</v>
      </c>
      <c r="AA121" s="115">
        <v>3000</v>
      </c>
      <c r="AB121" s="115">
        <v>3000</v>
      </c>
      <c r="AC121" s="116">
        <f t="shared" si="53"/>
        <v>36000</v>
      </c>
      <c r="AD121" s="108"/>
      <c r="AE121" s="117">
        <f>IF(ISBLANK(Q121),"",IF($P121="BRL",Q121,Q121*Macroindicadores!B$2)/1000)</f>
        <v>3</v>
      </c>
      <c r="AF121" s="117">
        <f>IF(ISBLANK(R121),"",IF($P121="BRL",R121,R121*Macroindicadores!C$2)/1000)</f>
        <v>3</v>
      </c>
      <c r="AG121" s="117">
        <f>IF(ISBLANK(S121),"",IF($P121="BRL",S121,S121*Macroindicadores!D$2)/1000)</f>
        <v>3</v>
      </c>
      <c r="AH121" s="117">
        <f>IF(ISBLANK(T121),"",IF($P121="BRL",T121,T121*Macroindicadores!E$2)/1000)</f>
        <v>3</v>
      </c>
      <c r="AI121" s="117">
        <f>IF(ISBLANK(U121),"",IF($P121="BRL",U121,U121*Macroindicadores!F$2)/1000)</f>
        <v>3</v>
      </c>
      <c r="AJ121" s="117">
        <f>IF(ISBLANK(V121),"",IF($P121="BRL",V121,V121*Macroindicadores!G$2)/1000)</f>
        <v>3</v>
      </c>
      <c r="AK121" s="117">
        <f>IF(ISBLANK(W121),"",IF($P121="BRL",W121,W121*Macroindicadores!H$2)/1000)</f>
        <v>3</v>
      </c>
      <c r="AL121" s="117">
        <f>IF(ISBLANK(X121),"",IF($P121="BRL",X121,X121*Macroindicadores!I$2)/1000)</f>
        <v>3</v>
      </c>
      <c r="AM121" s="117">
        <f>IF(ISBLANK(Y121),"",IF($P121="BRL",Y121,Y121*Macroindicadores!J$2)/1000)</f>
        <v>3</v>
      </c>
      <c r="AN121" s="117">
        <f>IF(ISBLANK(Z121),"",IF($P121="BRL",Z121,Z121*Macroindicadores!K$2)/1000)</f>
        <v>3</v>
      </c>
      <c r="AO121" s="117">
        <f>IF(ISBLANK(AA121),"",IF($P121="BRL",AA121,AA121*Macroindicadores!L$2)/1000)</f>
        <v>3</v>
      </c>
      <c r="AP121" s="117">
        <f>IF(ISBLANK(AB121),"",IF($P121="BRL",AB121,AB121*Macroindicadores!M$2)/1000)</f>
        <v>3</v>
      </c>
      <c r="AQ121" s="118">
        <f t="shared" si="70"/>
        <v>36</v>
      </c>
      <c r="AR121" s="108"/>
      <c r="AS121" s="117">
        <f>IF(ISBLANK(Q121),"",IF(ISBLANK($O121),AE121,IF($J121="ANUAL",AE121*(1+Macroindicadores!B$7),IF(AND($I121="NOVO",MONTH($O121)=MONTH(AS$4)),AE121*(1+Macroindicadores!B$7),IF(AND($J121="PONTUAL",MONTH($O121)=MONTH(AS$4)),AE121*(1+Macroindicadores!B$7),IF(AND($J121="PONTUAL",MONTH($O121)&lt;MONTH(AS$4)),MIN(AR121:$AS121),IF(AND($I121="NOVO",MONTH($O121)&gt;MONTH(AS$4)),AE121,IF(MONTH($O121)&gt;MONTH(AS$4),AE121,IF(MONTH($O121)=MONTH(AS$4),AE121*(1+Macroindicadores!B$7),AR121)))))))))</f>
        <v>3.1640252379383975</v>
      </c>
      <c r="AT121" s="117">
        <f>IF(ISBLANK(R121),"",IF(ISBLANK($O121),AF121,IF($J121="ANUAL",AF121*(1+Macroindicadores!C$7),IF(AND($I121="NOVO",MONTH($O121)=MONTH(AT$4)),AF121*(1+Macroindicadores!C$7),IF(AND($J121="PONTUAL",MONTH($O121)=MONTH(AT$4)),AF121*(1+Macroindicadores!C$7),IF(AND($J121="PONTUAL",MONTH($O121)&lt;MONTH(AT$4)),MIN($AS121:AS121),IF(AND($I121="NOVO",MONTH($O121)&gt;MONTH(AT$4)),AF121,IF(MONTH($O121)&gt;MONTH(AT$4),AF121,IF(MONTH($O121)=MONTH(AT$4),AF121*(1+Macroindicadores!C$7),AS121)))))))))</f>
        <v>3.1640252379383975</v>
      </c>
      <c r="AU121" s="117">
        <f>IF(ISBLANK(S121),"",IF(ISBLANK($O121),AG121,IF($J121="ANUAL",AG121*(1+Macroindicadores!D$7),IF(AND($I121="NOVO",MONTH($O121)=MONTH(AU$4)),AG121*(1+Macroindicadores!D$7),IF(AND($J121="PONTUAL",MONTH($O121)=MONTH(AU$4)),AG121*(1+Macroindicadores!D$7),IF(AND($J121="PONTUAL",MONTH($O121)&lt;MONTH(AU$4)),MIN($AS121:AT121),IF(AND($I121="NOVO",MONTH($O121)&gt;MONTH(AU$4)),AG121,IF(MONTH($O121)&gt;MONTH(AU$4),AG121,IF(MONTH($O121)=MONTH(AU$4),AG121*(1+Macroindicadores!D$7),AT121)))))))))</f>
        <v>3.1640252379383975</v>
      </c>
      <c r="AV121" s="117">
        <f>IF(ISBLANK(T121),"",IF(ISBLANK($O121),AH121,IF($J121="ANUAL",AH121*(1+Macroindicadores!E$7),IF(AND($I121="NOVO",MONTH($O121)=MONTH(AV$4)),AH121*(1+Macroindicadores!E$7),IF(AND($J121="PONTUAL",MONTH($O121)=MONTH(AV$4)),AH121*(1+Macroindicadores!E$7),IF(AND($J121="PONTUAL",MONTH($O121)&lt;MONTH(AV$4)),MIN($AS121:AU121),IF(AND($I121="NOVO",MONTH($O121)&gt;MONTH(AV$4)),AH121,IF(MONTH($O121)&gt;MONTH(AV$4),AH121,IF(MONTH($O121)=MONTH(AV$4),AH121*(1+Macroindicadores!E$7),AU121)))))))))</f>
        <v>3.1640252379383975</v>
      </c>
      <c r="AW121" s="117">
        <f>IF(ISBLANK(U121),"",IF(ISBLANK($O121),AI121,IF($J121="ANUAL",AI121*(1+Macroindicadores!F$7),IF(AND($I121="NOVO",MONTH($O121)=MONTH(AW$4)),AI121*(1+Macroindicadores!F$7),IF(AND($J121="PONTUAL",MONTH($O121)=MONTH(AW$4)),AI121*(1+Macroindicadores!F$7),IF(AND($J121="PONTUAL",MONTH($O121)&lt;MONTH(AW$4)),MIN($AS121:AV121),IF(AND($I121="NOVO",MONTH($O121)&gt;MONTH(AW$4)),AI121,IF(MONTH($O121)&gt;MONTH(AW$4),AI121,IF(MONTH($O121)=MONTH(AW$4),AI121*(1+Macroindicadores!F$7),AV121)))))))))</f>
        <v>3.1640252379383975</v>
      </c>
      <c r="AX121" s="117">
        <f>IF(ISBLANK(V121),"",IF(ISBLANK($O121),AJ121,IF($J121="ANUAL",AJ121*(1+Macroindicadores!G$7),IF(AND($I121="NOVO",MONTH($O121)=MONTH(AX$4)),AJ121*(1+Macroindicadores!G$7),IF(AND($J121="PONTUAL",MONTH($O121)=MONTH(AX$4)),AJ121*(1+Macroindicadores!G$7),IF(AND($J121="PONTUAL",MONTH($O121)&lt;MONTH(AX$4)),MIN($AS121:AW121),IF(AND($I121="NOVO",MONTH($O121)&gt;MONTH(AX$4)),AJ121,IF(MONTH($O121)&gt;MONTH(AX$4),AJ121,IF(MONTH($O121)=MONTH(AX$4),AJ121*(1+Macroindicadores!G$7),AW121)))))))))</f>
        <v>3.1640252379383975</v>
      </c>
      <c r="AY121" s="117">
        <f>IF(ISBLANK(W121),"",IF(ISBLANK($O121),AK121,IF($J121="ANUAL",AK121*(1+Macroindicadores!H$7),IF(AND($I121="NOVO",MONTH($O121)=MONTH(AY$4)),AK121*(1+Macroindicadores!H$7),IF(AND($J121="PONTUAL",MONTH($O121)=MONTH(AY$4)),AK121*(1+Macroindicadores!H$7),IF(AND($J121="PONTUAL",MONTH($O121)&lt;MONTH(AY$4)),MIN($AS121:AX121),IF(AND($I121="NOVO",MONTH($O121)&gt;MONTH(AY$4)),AK121,IF(MONTH($O121)&gt;MONTH(AY$4),AK121,IF(MONTH($O121)=MONTH(AY$4),AK121*(1+Macroindicadores!H$7),AX121)))))))))</f>
        <v>3.1640252379383975</v>
      </c>
      <c r="AZ121" s="117">
        <f>IF(ISBLANK(X121),"",IF(ISBLANK($O121),AL121,IF($J121="ANUAL",AL121*(1+Macroindicadores!I$7),IF(AND($I121="NOVO",MONTH($O121)=MONTH(AZ$4)),AL121*(1+Macroindicadores!I$7),IF(AND($J121="PONTUAL",MONTH($O121)=MONTH(AZ$4)),AL121*(1+Macroindicadores!I$7),IF(AND($J121="PONTUAL",MONTH($O121)&lt;MONTH(AZ$4)),MIN($AS121:AY121),IF(AND($I121="NOVO",MONTH($O121)&gt;MONTH(AZ$4)),AL121,IF(MONTH($O121)&gt;MONTH(AZ$4),AL121,IF(MONTH($O121)=MONTH(AZ$4),AL121*(1+Macroindicadores!I$7),AY121)))))))))</f>
        <v>3.1640252379383975</v>
      </c>
      <c r="BA121" s="117">
        <f>IF(ISBLANK(Y121),"",IF(ISBLANK($O121),AM121,IF($J121="ANUAL",AM121*(1+Macroindicadores!J$7),IF(AND($I121="NOVO",MONTH($O121)=MONTH(BA$4)),AM121*(1+Macroindicadores!J$7),IF(AND($J121="PONTUAL",MONTH($O121)=MONTH(BA$4)),AM121*(1+Macroindicadores!J$7),IF(AND($J121="PONTUAL",MONTH($O121)&lt;MONTH(BA$4)),MIN($AS121:AZ121),IF(AND($I121="NOVO",MONTH($O121)&gt;MONTH(BA$4)),AM121,IF(MONTH($O121)&gt;MONTH(BA$4),AM121,IF(MONTH($O121)=MONTH(BA$4),AM121*(1+Macroindicadores!J$7),AZ121)))))))))</f>
        <v>3.1640252379383975</v>
      </c>
      <c r="BB121" s="117">
        <f>IF(ISBLANK(Z121),"",IF(ISBLANK($O121),AN121,IF($J121="ANUAL",AN121*(1+Macroindicadores!K$7),IF(AND($I121="NOVO",MONTH($O121)=MONTH(BB$4)),AN121*(1+Macroindicadores!K$7),IF(AND($J121="PONTUAL",MONTH($O121)=MONTH(BB$4)),AN121*(1+Macroindicadores!K$7),IF(AND($J121="PONTUAL",MONTH($O121)&lt;MONTH(BB$4)),MIN($AS121:BA121),IF(AND($I121="NOVO",MONTH($O121)&gt;MONTH(BB$4)),AN121,IF(MONTH($O121)&gt;MONTH(BB$4),AN121,IF(MONTH($O121)=MONTH(BB$4),AN121*(1+Macroindicadores!K$7),BA121)))))))))</f>
        <v>3.1640252379383975</v>
      </c>
      <c r="BC121" s="117">
        <f>IF(ISBLANK(AA121),"",IF(ISBLANK($O121),AO121,IF($J121="ANUAL",AO121*(1+Macroindicadores!L$7),IF(AND($I121="NOVO",MONTH($O121)=MONTH(BC$4)),AO121*(1+Macroindicadores!L$7),IF(AND($J121="PONTUAL",MONTH($O121)=MONTH(BC$4)),AO121*(1+Macroindicadores!L$7),IF(AND($J121="PONTUAL",MONTH($O121)&lt;MONTH(BC$4)),MIN($AS121:BB121),IF(AND($I121="NOVO",MONTH($O121)&gt;MONTH(BC$4)),AO121,IF(MONTH($O121)&gt;MONTH(BC$4),AO121,IF(MONTH($O121)=MONTH(BC$4),AO121*(1+Macroindicadores!L$7),BB121)))))))))</f>
        <v>3.1640252379383975</v>
      </c>
      <c r="BD121" s="117">
        <f>IF(ISBLANK(AB121),"",IF(ISBLANK($O121),AP121,IF($J121="ANUAL",AP121*(1+Macroindicadores!M$7),IF(AND($I121="NOVO",MONTH($O121)=MONTH(BD$4)),AP121*(1+Macroindicadores!M$7),IF(AND($J121="PONTUAL",MONTH($O121)=MONTH(BD$4)),AP121*(1+Macroindicadores!M$7),IF(AND($J121="PONTUAL",MONTH($O121)&lt;MONTH(BD$4)),MIN($AS121:BC121),IF(AND($I121="NOVO",MONTH($O121)&gt;MONTH(BD$4)),AP121,IF(MONTH($O121)&gt;MONTH(BD$4),AP121,IF(MONTH($O121)=MONTH(BD$4),AP121*(1+Macroindicadores!M$7),BC121)))))))))</f>
        <v>3.1640252379383975</v>
      </c>
      <c r="BE121" s="118">
        <f t="shared" si="71"/>
        <v>37.968302855260767</v>
      </c>
      <c r="BF121" s="108"/>
      <c r="BG121" s="117">
        <f>IF(ISBLANK(Q121),"",AS121/Macroindicadores!B$2)</f>
        <v>0.53809953026163226</v>
      </c>
      <c r="BH121" s="117">
        <f>IF(ISBLANK(R121),"",AT121/Macroindicadores!C$2)</f>
        <v>0.53809953026163226</v>
      </c>
      <c r="BI121" s="117">
        <f>IF(ISBLANK(S121),"",AU121/Macroindicadores!D$2)</f>
        <v>0.53809953026163226</v>
      </c>
      <c r="BJ121" s="117">
        <f>IF(ISBLANK(T121),"",AV121/Macroindicadores!E$2)</f>
        <v>0.53809953026163226</v>
      </c>
      <c r="BK121" s="117">
        <f>IF(ISBLANK(U121),"",AW121/Macroindicadores!F$2)</f>
        <v>0.53809953026163226</v>
      </c>
      <c r="BL121" s="117">
        <f>IF(ISBLANK(V121),"",AX121/Macroindicadores!G$2)</f>
        <v>0.53809953026163226</v>
      </c>
      <c r="BM121" s="117">
        <f>IF(ISBLANK(W121),"",AY121/Macroindicadores!H$2)</f>
        <v>0.53809953026163226</v>
      </c>
      <c r="BN121" s="117">
        <f>IF(ISBLANK(X121),"",AZ121/Macroindicadores!I$2)</f>
        <v>0.53809953026163226</v>
      </c>
      <c r="BO121" s="117">
        <f>IF(ISBLANK(Y121),"",BA121/Macroindicadores!J$2)</f>
        <v>0.53809953026163226</v>
      </c>
      <c r="BP121" s="117">
        <f>IF(ISBLANK(Z121),"",BB121/Macroindicadores!K$2)</f>
        <v>0.53809953026163226</v>
      </c>
      <c r="BQ121" s="117">
        <f>IF(ISBLANK(AA121),"",BC121/Macroindicadores!L$2)</f>
        <v>0.53809953026163226</v>
      </c>
      <c r="BR121" s="117">
        <f>IF(ISBLANK(AB121),"",BD121/Macroindicadores!M$2)</f>
        <v>0.53809953026163226</v>
      </c>
      <c r="BS121" s="118">
        <f>IF(AND(ISBLANK($Q121),ISBLANK($R121),ISBLANK($S121),ISBLANK($T121),ISBLANK($U121),ISBLANK($V121),ISBLANK($W121),ISBLANK($X121),ISBLANK($Y121),ISBLANK($Z121),ISBLANK($AA121),ISBLANK($AB121)),"",SUM(BG121:BR121))</f>
        <v>6.4571943631395889</v>
      </c>
      <c r="BT121" s="25" t="str">
        <f>IF(ISBLANK($L121),"",_xlfn.XLOOKUP($L121,'CENTRO CUSTO'!$A:$A,'CENTRO CUSTO'!$E:$E,FALSE,0))</f>
        <v>Custo Fixo</v>
      </c>
    </row>
    <row r="122" spans="1:72">
      <c r="A122" s="9" t="str">
        <f t="shared" si="72"/>
        <v>Budget</v>
      </c>
      <c r="B122" s="9">
        <f t="shared" si="69"/>
        <v>2026</v>
      </c>
      <c r="C122" s="111" t="str">
        <f>IF(ISBLANK($L122),"",_xlfn.XLOOKUP($L122,'CENTRO CUSTO'!$A:$A,'CENTRO CUSTO'!F:F,FALSE,0))</f>
        <v>SKM</v>
      </c>
      <c r="D122" s="111" t="str">
        <f>IF(ISBLANK($L122),"",_xlfn.XLOOKUP($L122,'CENTRO CUSTO'!$A:$A,'CENTRO CUSTO'!G:G,FALSE,0))</f>
        <v>G100B</v>
      </c>
      <c r="E122" s="111" t="str">
        <f>IF(ISBLANK($L122),"",_xlfn.XLOOKUP($L122,'CENTRO CUSTO'!$A:$A,'CENTRO CUSTO'!H:H,FALSE,0))</f>
        <v>Frigorífico</v>
      </c>
      <c r="F122" s="112" t="s">
        <v>156</v>
      </c>
      <c r="G122" s="112" t="s">
        <v>123</v>
      </c>
      <c r="H122" s="112" t="s">
        <v>157</v>
      </c>
      <c r="I122" s="113" t="s">
        <v>77</v>
      </c>
      <c r="J122" s="113" t="s">
        <v>78</v>
      </c>
      <c r="K122" s="113" t="s">
        <v>79</v>
      </c>
      <c r="L122" s="113" t="s">
        <v>48</v>
      </c>
      <c r="M122" s="111" t="str">
        <f>IF(ISBLANK($L122),"",_xlfn.XLOOKUP($L122,'CENTRO CUSTO'!$A:$A,'CENTRO CUSTO'!D:D,FALSE,0))</f>
        <v>Alexandre Ayabe</v>
      </c>
      <c r="N122" s="113" t="s">
        <v>158</v>
      </c>
      <c r="O122" s="114">
        <v>46023</v>
      </c>
      <c r="P122" s="113" t="s">
        <v>81</v>
      </c>
      <c r="Q122" s="115">
        <v>1500</v>
      </c>
      <c r="R122" s="115">
        <v>1500</v>
      </c>
      <c r="S122" s="115">
        <v>1500</v>
      </c>
      <c r="T122" s="115">
        <v>1500</v>
      </c>
      <c r="U122" s="115">
        <v>1500</v>
      </c>
      <c r="V122" s="115">
        <v>1500</v>
      </c>
      <c r="W122" s="115">
        <v>1500</v>
      </c>
      <c r="X122" s="115">
        <v>1500</v>
      </c>
      <c r="Y122" s="115">
        <v>1500</v>
      </c>
      <c r="Z122" s="115">
        <v>1500</v>
      </c>
      <c r="AA122" s="115">
        <v>1500</v>
      </c>
      <c r="AB122" s="115">
        <v>1500</v>
      </c>
      <c r="AC122" s="116">
        <f t="shared" ref="AC122:AC329" si="73">IF(AND(ISBLANK($Q122),ISBLANK($R122),ISBLANK($S122),ISBLANK($T122),ISBLANK($U122),ISBLANK($V122),ISBLANK($W122),ISBLANK($X122),ISBLANK($Y122),ISBLANK($Z122),ISBLANK($AA122),ISBLANK($AB122)),"",SUM(Q122:AB122))</f>
        <v>18000</v>
      </c>
      <c r="AD122" s="108"/>
      <c r="AE122" s="117">
        <f>IF(ISBLANK(Q122),"",IF($P122="BRL",Q122,Q122*Macroindicadores!B$2)/1000)</f>
        <v>1.5</v>
      </c>
      <c r="AF122" s="117">
        <f>IF(ISBLANK(R122),"",IF($P122="BRL",R122,R122*Macroindicadores!C$2)/1000)</f>
        <v>1.5</v>
      </c>
      <c r="AG122" s="117">
        <f>IF(ISBLANK(S122),"",IF($P122="BRL",S122,S122*Macroindicadores!D$2)/1000)</f>
        <v>1.5</v>
      </c>
      <c r="AH122" s="117">
        <f>IF(ISBLANK(T122),"",IF($P122="BRL",T122,T122*Macroindicadores!E$2)/1000)</f>
        <v>1.5</v>
      </c>
      <c r="AI122" s="117">
        <f>IF(ISBLANK(U122),"",IF($P122="BRL",U122,U122*Macroindicadores!F$2)/1000)</f>
        <v>1.5</v>
      </c>
      <c r="AJ122" s="117">
        <f>IF(ISBLANK(V122),"",IF($P122="BRL",V122,V122*Macroindicadores!G$2)/1000)</f>
        <v>1.5</v>
      </c>
      <c r="AK122" s="117">
        <f>IF(ISBLANK(W122),"",IF($P122="BRL",W122,W122*Macroindicadores!H$2)/1000)</f>
        <v>1.5</v>
      </c>
      <c r="AL122" s="117">
        <f>IF(ISBLANK(X122),"",IF($P122="BRL",X122,X122*Macroindicadores!I$2)/1000)</f>
        <v>1.5</v>
      </c>
      <c r="AM122" s="117">
        <f>IF(ISBLANK(Y122),"",IF($P122="BRL",Y122,Y122*Macroindicadores!J$2)/1000)</f>
        <v>1.5</v>
      </c>
      <c r="AN122" s="117">
        <f>IF(ISBLANK(Z122),"",IF($P122="BRL",Z122,Z122*Macroindicadores!K$2)/1000)</f>
        <v>1.5</v>
      </c>
      <c r="AO122" s="117">
        <f>IF(ISBLANK(AA122),"",IF($P122="BRL",AA122,AA122*Macroindicadores!L$2)/1000)</f>
        <v>1.5</v>
      </c>
      <c r="AP122" s="117">
        <f>IF(ISBLANK(AB122),"",IF($P122="BRL",AB122,AB122*Macroindicadores!M$2)/1000)</f>
        <v>1.5</v>
      </c>
      <c r="AQ122" s="118">
        <f t="shared" si="70"/>
        <v>18</v>
      </c>
      <c r="AR122" s="108"/>
      <c r="AS122" s="117">
        <f>IF(ISBLANK(Q122),"",IF(ISBLANK($O122),AE122,IF($J122="ANUAL",AE122*(1+Macroindicadores!B$7),IF(AND($I122="NOVO",MONTH($O122)=MONTH(AS$4)),AE122*(1+Macroindicadores!B$7),IF(AND($J122="PONTUAL",MONTH($O122)=MONTH(AS$4)),AE122*(1+Macroindicadores!B$7),IF(AND($J122="PONTUAL",MONTH($O122)&lt;MONTH(AS$4)),MIN(AR122:$AS122),IF(AND($I122="NOVO",MONTH($O122)&gt;MONTH(AS$4)),AE122,IF(MONTH($O122)&gt;MONTH(AS$4),AE122,IF(MONTH($O122)=MONTH(AS$4),AE122*(1+Macroindicadores!B$7),AR122)))))))))</f>
        <v>1.5820126189691988</v>
      </c>
      <c r="AT122" s="117">
        <f>IF(ISBLANK(R122),"",IF(ISBLANK($O122),AF122,IF($J122="ANUAL",AF122*(1+Macroindicadores!C$7),IF(AND($I122="NOVO",MONTH($O122)=MONTH(AT$4)),AF122*(1+Macroindicadores!C$7),IF(AND($J122="PONTUAL",MONTH($O122)=MONTH(AT$4)),AF122*(1+Macroindicadores!C$7),IF(AND($J122="PONTUAL",MONTH($O122)&lt;MONTH(AT$4)),MIN($AS122:AS122),IF(AND($I122="NOVO",MONTH($O122)&gt;MONTH(AT$4)),AF122,IF(MONTH($O122)&gt;MONTH(AT$4),AF122,IF(MONTH($O122)=MONTH(AT$4),AF122*(1+Macroindicadores!C$7),AS122)))))))))</f>
        <v>1.5820126189691988</v>
      </c>
      <c r="AU122" s="117">
        <f>IF(ISBLANK(S122),"",IF(ISBLANK($O122),AG122,IF($J122="ANUAL",AG122*(1+Macroindicadores!D$7),IF(AND($I122="NOVO",MONTH($O122)=MONTH(AU$4)),AG122*(1+Macroindicadores!D$7),IF(AND($J122="PONTUAL",MONTH($O122)=MONTH(AU$4)),AG122*(1+Macroindicadores!D$7),IF(AND($J122="PONTUAL",MONTH($O122)&lt;MONTH(AU$4)),MIN($AS122:AT122),IF(AND($I122="NOVO",MONTH($O122)&gt;MONTH(AU$4)),AG122,IF(MONTH($O122)&gt;MONTH(AU$4),AG122,IF(MONTH($O122)=MONTH(AU$4),AG122*(1+Macroindicadores!D$7),AT122)))))))))</f>
        <v>1.5820126189691988</v>
      </c>
      <c r="AV122" s="117">
        <f>IF(ISBLANK(T122),"",IF(ISBLANK($O122),AH122,IF($J122="ANUAL",AH122*(1+Macroindicadores!E$7),IF(AND($I122="NOVO",MONTH($O122)=MONTH(AV$4)),AH122*(1+Macroindicadores!E$7),IF(AND($J122="PONTUAL",MONTH($O122)=MONTH(AV$4)),AH122*(1+Macroindicadores!E$7),IF(AND($J122="PONTUAL",MONTH($O122)&lt;MONTH(AV$4)),MIN($AS122:AU122),IF(AND($I122="NOVO",MONTH($O122)&gt;MONTH(AV$4)),AH122,IF(MONTH($O122)&gt;MONTH(AV$4),AH122,IF(MONTH($O122)=MONTH(AV$4),AH122*(1+Macroindicadores!E$7),AU122)))))))))</f>
        <v>1.5820126189691988</v>
      </c>
      <c r="AW122" s="117">
        <f>IF(ISBLANK(U122),"",IF(ISBLANK($O122),AI122,IF($J122="ANUAL",AI122*(1+Macroindicadores!F$7),IF(AND($I122="NOVO",MONTH($O122)=MONTH(AW$4)),AI122*(1+Macroindicadores!F$7),IF(AND($J122="PONTUAL",MONTH($O122)=MONTH(AW$4)),AI122*(1+Macroindicadores!F$7),IF(AND($J122="PONTUAL",MONTH($O122)&lt;MONTH(AW$4)),MIN($AS122:AV122),IF(AND($I122="NOVO",MONTH($O122)&gt;MONTH(AW$4)),AI122,IF(MONTH($O122)&gt;MONTH(AW$4),AI122,IF(MONTH($O122)=MONTH(AW$4),AI122*(1+Macroindicadores!F$7),AV122)))))))))</f>
        <v>1.5820126189691988</v>
      </c>
      <c r="AX122" s="117">
        <f>IF(ISBLANK(V122),"",IF(ISBLANK($O122),AJ122,IF($J122="ANUAL",AJ122*(1+Macroindicadores!G$7),IF(AND($I122="NOVO",MONTH($O122)=MONTH(AX$4)),AJ122*(1+Macroindicadores!G$7),IF(AND($J122="PONTUAL",MONTH($O122)=MONTH(AX$4)),AJ122*(1+Macroindicadores!G$7),IF(AND($J122="PONTUAL",MONTH($O122)&lt;MONTH(AX$4)),MIN($AS122:AW122),IF(AND($I122="NOVO",MONTH($O122)&gt;MONTH(AX$4)),AJ122,IF(MONTH($O122)&gt;MONTH(AX$4),AJ122,IF(MONTH($O122)=MONTH(AX$4),AJ122*(1+Macroindicadores!G$7),AW122)))))))))</f>
        <v>1.5820126189691988</v>
      </c>
      <c r="AY122" s="117">
        <f>IF(ISBLANK(W122),"",IF(ISBLANK($O122),AK122,IF($J122="ANUAL",AK122*(1+Macroindicadores!H$7),IF(AND($I122="NOVO",MONTH($O122)=MONTH(AY$4)),AK122*(1+Macroindicadores!H$7),IF(AND($J122="PONTUAL",MONTH($O122)=MONTH(AY$4)),AK122*(1+Macroindicadores!H$7),IF(AND($J122="PONTUAL",MONTH($O122)&lt;MONTH(AY$4)),MIN($AS122:AX122),IF(AND($I122="NOVO",MONTH($O122)&gt;MONTH(AY$4)),AK122,IF(MONTH($O122)&gt;MONTH(AY$4),AK122,IF(MONTH($O122)=MONTH(AY$4),AK122*(1+Macroindicadores!H$7),AX122)))))))))</f>
        <v>1.5820126189691988</v>
      </c>
      <c r="AZ122" s="117">
        <f>IF(ISBLANK(X122),"",IF(ISBLANK($O122),AL122,IF($J122="ANUAL",AL122*(1+Macroindicadores!I$7),IF(AND($I122="NOVO",MONTH($O122)=MONTH(AZ$4)),AL122*(1+Macroindicadores!I$7),IF(AND($J122="PONTUAL",MONTH($O122)=MONTH(AZ$4)),AL122*(1+Macroindicadores!I$7),IF(AND($J122="PONTUAL",MONTH($O122)&lt;MONTH(AZ$4)),MIN($AS122:AY122),IF(AND($I122="NOVO",MONTH($O122)&gt;MONTH(AZ$4)),AL122,IF(MONTH($O122)&gt;MONTH(AZ$4),AL122,IF(MONTH($O122)=MONTH(AZ$4),AL122*(1+Macroindicadores!I$7),AY122)))))))))</f>
        <v>1.5820126189691988</v>
      </c>
      <c r="BA122" s="117">
        <f>IF(ISBLANK(Y122),"",IF(ISBLANK($O122),AM122,IF($J122="ANUAL",AM122*(1+Macroindicadores!J$7),IF(AND($I122="NOVO",MONTH($O122)=MONTH(BA$4)),AM122*(1+Macroindicadores!J$7),IF(AND($J122="PONTUAL",MONTH($O122)=MONTH(BA$4)),AM122*(1+Macroindicadores!J$7),IF(AND($J122="PONTUAL",MONTH($O122)&lt;MONTH(BA$4)),MIN($AS122:AZ122),IF(AND($I122="NOVO",MONTH($O122)&gt;MONTH(BA$4)),AM122,IF(MONTH($O122)&gt;MONTH(BA$4),AM122,IF(MONTH($O122)=MONTH(BA$4),AM122*(1+Macroindicadores!J$7),AZ122)))))))))</f>
        <v>1.5820126189691988</v>
      </c>
      <c r="BB122" s="117">
        <f>IF(ISBLANK(Z122),"",IF(ISBLANK($O122),AN122,IF($J122="ANUAL",AN122*(1+Macroindicadores!K$7),IF(AND($I122="NOVO",MONTH($O122)=MONTH(BB$4)),AN122*(1+Macroindicadores!K$7),IF(AND($J122="PONTUAL",MONTH($O122)=MONTH(BB$4)),AN122*(1+Macroindicadores!K$7),IF(AND($J122="PONTUAL",MONTH($O122)&lt;MONTH(BB$4)),MIN($AS122:BA122),IF(AND($I122="NOVO",MONTH($O122)&gt;MONTH(BB$4)),AN122,IF(MONTH($O122)&gt;MONTH(BB$4),AN122,IF(MONTH($O122)=MONTH(BB$4),AN122*(1+Macroindicadores!K$7),BA122)))))))))</f>
        <v>1.5820126189691988</v>
      </c>
      <c r="BC122" s="117">
        <f>IF(ISBLANK(AA122),"",IF(ISBLANK($O122),AO122,IF($J122="ANUAL",AO122*(1+Macroindicadores!L$7),IF(AND($I122="NOVO",MONTH($O122)=MONTH(BC$4)),AO122*(1+Macroindicadores!L$7),IF(AND($J122="PONTUAL",MONTH($O122)=MONTH(BC$4)),AO122*(1+Macroindicadores!L$7),IF(AND($J122="PONTUAL",MONTH($O122)&lt;MONTH(BC$4)),MIN($AS122:BB122),IF(AND($I122="NOVO",MONTH($O122)&gt;MONTH(BC$4)),AO122,IF(MONTH($O122)&gt;MONTH(BC$4),AO122,IF(MONTH($O122)=MONTH(BC$4),AO122*(1+Macroindicadores!L$7),BB122)))))))))</f>
        <v>1.5820126189691988</v>
      </c>
      <c r="BD122" s="117">
        <f>IF(ISBLANK(AB122),"",IF(ISBLANK($O122),AP122,IF($J122="ANUAL",AP122*(1+Macroindicadores!M$7),IF(AND($I122="NOVO",MONTH($O122)=MONTH(BD$4)),AP122*(1+Macroindicadores!M$7),IF(AND($J122="PONTUAL",MONTH($O122)=MONTH(BD$4)),AP122*(1+Macroindicadores!M$7),IF(AND($J122="PONTUAL",MONTH($O122)&lt;MONTH(BD$4)),MIN($AS122:BC122),IF(AND($I122="NOVO",MONTH($O122)&gt;MONTH(BD$4)),AP122,IF(MONTH($O122)&gt;MONTH(BD$4),AP122,IF(MONTH($O122)=MONTH(BD$4),AP122*(1+Macroindicadores!M$7),BC122)))))))))</f>
        <v>1.5820126189691988</v>
      </c>
      <c r="BE122" s="118">
        <f t="shared" si="71"/>
        <v>18.984151427630383</v>
      </c>
      <c r="BF122" s="108"/>
      <c r="BG122" s="117">
        <f>IF(ISBLANK(Q122),"",AS122/Macroindicadores!B$2)</f>
        <v>0.26904976513081613</v>
      </c>
      <c r="BH122" s="117">
        <f>IF(ISBLANK(R122),"",AT122/Macroindicadores!C$2)</f>
        <v>0.26904976513081613</v>
      </c>
      <c r="BI122" s="117">
        <f>IF(ISBLANK(S122),"",AU122/Macroindicadores!D$2)</f>
        <v>0.26904976513081613</v>
      </c>
      <c r="BJ122" s="117">
        <f>IF(ISBLANK(T122),"",AV122/Macroindicadores!E$2)</f>
        <v>0.26904976513081613</v>
      </c>
      <c r="BK122" s="117">
        <f>IF(ISBLANK(U122),"",AW122/Macroindicadores!F$2)</f>
        <v>0.26904976513081613</v>
      </c>
      <c r="BL122" s="117">
        <f>IF(ISBLANK(V122),"",AX122/Macroindicadores!G$2)</f>
        <v>0.26904976513081613</v>
      </c>
      <c r="BM122" s="117">
        <f>IF(ISBLANK(W122),"",AY122/Macroindicadores!H$2)</f>
        <v>0.26904976513081613</v>
      </c>
      <c r="BN122" s="117">
        <f>IF(ISBLANK(X122),"",AZ122/Macroindicadores!I$2)</f>
        <v>0.26904976513081613</v>
      </c>
      <c r="BO122" s="117">
        <f>IF(ISBLANK(Y122),"",BA122/Macroindicadores!J$2)</f>
        <v>0.26904976513081613</v>
      </c>
      <c r="BP122" s="117">
        <f>IF(ISBLANK(Z122),"",BB122/Macroindicadores!K$2)</f>
        <v>0.26904976513081613</v>
      </c>
      <c r="BQ122" s="117">
        <f>IF(ISBLANK(AA122),"",BC122/Macroindicadores!L$2)</f>
        <v>0.26904976513081613</v>
      </c>
      <c r="BR122" s="117">
        <f>IF(ISBLANK(AB122),"",BD122/Macroindicadores!M$2)</f>
        <v>0.26904976513081613</v>
      </c>
      <c r="BS122" s="118">
        <f>IF(AND(ISBLANK($Q122),ISBLANK($R122),ISBLANK($S122),ISBLANK($T122),ISBLANK($U122),ISBLANK($V122),ISBLANK($W122),ISBLANK($X122),ISBLANK($Y122),ISBLANK($Z122),ISBLANK($AA122),ISBLANK($AB122)),"",SUM(BG122:BR122))</f>
        <v>3.2285971815697945</v>
      </c>
      <c r="BT122" s="25" t="str">
        <f>IF(ISBLANK($L122),"",_xlfn.XLOOKUP($L122,'CENTRO CUSTO'!$A:$A,'CENTRO CUSTO'!$E:$E,FALSE,0))</f>
        <v>Custo Fixo</v>
      </c>
    </row>
    <row r="123" spans="1:72">
      <c r="A123" s="9" t="str">
        <f t="shared" si="72"/>
        <v>Budget</v>
      </c>
      <c r="B123" s="9">
        <f t="shared" si="69"/>
        <v>2026</v>
      </c>
      <c r="C123" s="111" t="str">
        <f>IF(ISBLANK($L123),"",_xlfn.XLOOKUP($L123,'CENTRO CUSTO'!$A:$A,'CENTRO CUSTO'!F:F,FALSE,0))</f>
        <v>Cone Sul</v>
      </c>
      <c r="D123" s="111" t="str">
        <f>IF(ISBLANK($L123),"",_xlfn.XLOOKUP($L123,'CENTRO CUSTO'!$A:$A,'CENTRO CUSTO'!G:G,FALSE,0))</f>
        <v>Plataforma</v>
      </c>
      <c r="E123" s="111" t="str">
        <f>IF(ISBLANK($L123),"",_xlfn.XLOOKUP($L123,'CENTRO CUSTO'!$A:$A,'CENTRO CUSTO'!H:H,FALSE,0))</f>
        <v>G&amp;A</v>
      </c>
      <c r="F123" s="112" t="s">
        <v>156</v>
      </c>
      <c r="G123" s="112" t="s">
        <v>123</v>
      </c>
      <c r="H123" s="112" t="s">
        <v>157</v>
      </c>
      <c r="I123" s="113" t="s">
        <v>77</v>
      </c>
      <c r="J123" s="113" t="s">
        <v>78</v>
      </c>
      <c r="K123" s="113" t="s">
        <v>79</v>
      </c>
      <c r="L123" s="113" t="s">
        <v>54</v>
      </c>
      <c r="M123" s="111" t="str">
        <f>IF(ISBLANK($L123),"",_xlfn.XLOOKUP($L123,'CENTRO CUSTO'!$A:$A,'CENTRO CUSTO'!D:D,FALSE,0))</f>
        <v>Alexandre Ayabe</v>
      </c>
      <c r="N123" s="113" t="s">
        <v>158</v>
      </c>
      <c r="O123" s="114">
        <v>46023</v>
      </c>
      <c r="P123" s="113" t="s">
        <v>81</v>
      </c>
      <c r="Q123" s="115">
        <v>250</v>
      </c>
      <c r="R123" s="115">
        <v>250</v>
      </c>
      <c r="S123" s="115">
        <v>250</v>
      </c>
      <c r="T123" s="115">
        <v>250</v>
      </c>
      <c r="U123" s="115">
        <v>250</v>
      </c>
      <c r="V123" s="115">
        <v>250</v>
      </c>
      <c r="W123" s="115">
        <v>250</v>
      </c>
      <c r="X123" s="115">
        <v>250</v>
      </c>
      <c r="Y123" s="115">
        <v>250</v>
      </c>
      <c r="Z123" s="115">
        <v>250</v>
      </c>
      <c r="AA123" s="115">
        <v>250</v>
      </c>
      <c r="AB123" s="115">
        <v>250</v>
      </c>
      <c r="AC123" s="116">
        <f t="shared" si="73"/>
        <v>3000</v>
      </c>
      <c r="AD123" s="108"/>
      <c r="AE123" s="117">
        <f>IF(ISBLANK(Q123),"",IF($P123="BRL",Q123,Q123*Macroindicadores!B$2)/1000)</f>
        <v>0.25</v>
      </c>
      <c r="AF123" s="117">
        <f>IF(ISBLANK(R123),"",IF($P123="BRL",R123,R123*Macroindicadores!C$2)/1000)</f>
        <v>0.25</v>
      </c>
      <c r="AG123" s="117">
        <f>IF(ISBLANK(S123),"",IF($P123="BRL",S123,S123*Macroindicadores!D$2)/1000)</f>
        <v>0.25</v>
      </c>
      <c r="AH123" s="117">
        <f>IF(ISBLANK(T123),"",IF($P123="BRL",T123,T123*Macroindicadores!E$2)/1000)</f>
        <v>0.25</v>
      </c>
      <c r="AI123" s="117">
        <f>IF(ISBLANK(U123),"",IF($P123="BRL",U123,U123*Macroindicadores!F$2)/1000)</f>
        <v>0.25</v>
      </c>
      <c r="AJ123" s="117">
        <f>IF(ISBLANK(V123),"",IF($P123="BRL",V123,V123*Macroindicadores!G$2)/1000)</f>
        <v>0.25</v>
      </c>
      <c r="AK123" s="117">
        <f>IF(ISBLANK(W123),"",IF($P123="BRL",W123,W123*Macroindicadores!H$2)/1000)</f>
        <v>0.25</v>
      </c>
      <c r="AL123" s="117">
        <f>IF(ISBLANK(X123),"",IF($P123="BRL",X123,X123*Macroindicadores!I$2)/1000)</f>
        <v>0.25</v>
      </c>
      <c r="AM123" s="117">
        <f>IF(ISBLANK(Y123),"",IF($P123="BRL",Y123,Y123*Macroindicadores!J$2)/1000)</f>
        <v>0.25</v>
      </c>
      <c r="AN123" s="117">
        <f>IF(ISBLANK(Z123),"",IF($P123="BRL",Z123,Z123*Macroindicadores!K$2)/1000)</f>
        <v>0.25</v>
      </c>
      <c r="AO123" s="117">
        <f>IF(ISBLANK(AA123),"",IF($P123="BRL",AA123,AA123*Macroindicadores!L$2)/1000)</f>
        <v>0.25</v>
      </c>
      <c r="AP123" s="117">
        <f>IF(ISBLANK(AB123),"",IF($P123="BRL",AB123,AB123*Macroindicadores!M$2)/1000)</f>
        <v>0.25</v>
      </c>
      <c r="AQ123" s="118">
        <f t="shared" si="70"/>
        <v>3</v>
      </c>
      <c r="AR123" s="108"/>
      <c r="AS123" s="117">
        <f>IF(ISBLANK(Q123),"",IF(ISBLANK($O123),AE123,IF($J123="ANUAL",AE123*(1+Macroindicadores!B$7),IF(AND($I123="NOVO",MONTH($O123)=MONTH(AS$4)),AE123*(1+Macroindicadores!B$7),IF(AND($J123="PONTUAL",MONTH($O123)=MONTH(AS$4)),AE123*(1+Macroindicadores!B$7),IF(AND($J123="PONTUAL",MONTH($O123)&lt;MONTH(AS$4)),MIN(AR123:$AS123),IF(AND($I123="NOVO",MONTH($O123)&gt;MONTH(AS$4)),AE123,IF(MONTH($O123)&gt;MONTH(AS$4),AE123,IF(MONTH($O123)=MONTH(AS$4),AE123*(1+Macroindicadores!B$7),AR123)))))))))</f>
        <v>0.26366876982819981</v>
      </c>
      <c r="AT123" s="117">
        <f>IF(ISBLANK(R123),"",IF(ISBLANK($O123),AF123,IF($J123="ANUAL",AF123*(1+Macroindicadores!C$7),IF(AND($I123="NOVO",MONTH($O123)=MONTH(AT$4)),AF123*(1+Macroindicadores!C$7),IF(AND($J123="PONTUAL",MONTH($O123)=MONTH(AT$4)),AF123*(1+Macroindicadores!C$7),IF(AND($J123="PONTUAL",MONTH($O123)&lt;MONTH(AT$4)),MIN($AS123:AS123),IF(AND($I123="NOVO",MONTH($O123)&gt;MONTH(AT$4)),AF123,IF(MONTH($O123)&gt;MONTH(AT$4),AF123,IF(MONTH($O123)=MONTH(AT$4),AF123*(1+Macroindicadores!C$7),AS123)))))))))</f>
        <v>0.26366876982819981</v>
      </c>
      <c r="AU123" s="117">
        <f>IF(ISBLANK(S123),"",IF(ISBLANK($O123),AG123,IF($J123="ANUAL",AG123*(1+Macroindicadores!D$7),IF(AND($I123="NOVO",MONTH($O123)=MONTH(AU$4)),AG123*(1+Macroindicadores!D$7),IF(AND($J123="PONTUAL",MONTH($O123)=MONTH(AU$4)),AG123*(1+Macroindicadores!D$7),IF(AND($J123="PONTUAL",MONTH($O123)&lt;MONTH(AU$4)),MIN($AS123:AT123),IF(AND($I123="NOVO",MONTH($O123)&gt;MONTH(AU$4)),AG123,IF(MONTH($O123)&gt;MONTH(AU$4),AG123,IF(MONTH($O123)=MONTH(AU$4),AG123*(1+Macroindicadores!D$7),AT123)))))))))</f>
        <v>0.26366876982819981</v>
      </c>
      <c r="AV123" s="117">
        <f>IF(ISBLANK(T123),"",IF(ISBLANK($O123),AH123,IF($J123="ANUAL",AH123*(1+Macroindicadores!E$7),IF(AND($I123="NOVO",MONTH($O123)=MONTH(AV$4)),AH123*(1+Macroindicadores!E$7),IF(AND($J123="PONTUAL",MONTH($O123)=MONTH(AV$4)),AH123*(1+Macroindicadores!E$7),IF(AND($J123="PONTUAL",MONTH($O123)&lt;MONTH(AV$4)),MIN($AS123:AU123),IF(AND($I123="NOVO",MONTH($O123)&gt;MONTH(AV$4)),AH123,IF(MONTH($O123)&gt;MONTH(AV$4),AH123,IF(MONTH($O123)=MONTH(AV$4),AH123*(1+Macroindicadores!E$7),AU123)))))))))</f>
        <v>0.26366876982819981</v>
      </c>
      <c r="AW123" s="117">
        <f>IF(ISBLANK(U123),"",IF(ISBLANK($O123),AI123,IF($J123="ANUAL",AI123*(1+Macroindicadores!F$7),IF(AND($I123="NOVO",MONTH($O123)=MONTH(AW$4)),AI123*(1+Macroindicadores!F$7),IF(AND($J123="PONTUAL",MONTH($O123)=MONTH(AW$4)),AI123*(1+Macroindicadores!F$7),IF(AND($J123="PONTUAL",MONTH($O123)&lt;MONTH(AW$4)),MIN($AS123:AV123),IF(AND($I123="NOVO",MONTH($O123)&gt;MONTH(AW$4)),AI123,IF(MONTH($O123)&gt;MONTH(AW$4),AI123,IF(MONTH($O123)=MONTH(AW$4),AI123*(1+Macroindicadores!F$7),AV123)))))))))</f>
        <v>0.26366876982819981</v>
      </c>
      <c r="AX123" s="117">
        <f>IF(ISBLANK(V123),"",IF(ISBLANK($O123),AJ123,IF($J123="ANUAL",AJ123*(1+Macroindicadores!G$7),IF(AND($I123="NOVO",MONTH($O123)=MONTH(AX$4)),AJ123*(1+Macroindicadores!G$7),IF(AND($J123="PONTUAL",MONTH($O123)=MONTH(AX$4)),AJ123*(1+Macroindicadores!G$7),IF(AND($J123="PONTUAL",MONTH($O123)&lt;MONTH(AX$4)),MIN($AS123:AW123),IF(AND($I123="NOVO",MONTH($O123)&gt;MONTH(AX$4)),AJ123,IF(MONTH($O123)&gt;MONTH(AX$4),AJ123,IF(MONTH($O123)=MONTH(AX$4),AJ123*(1+Macroindicadores!G$7),AW123)))))))))</f>
        <v>0.26366876982819981</v>
      </c>
      <c r="AY123" s="117">
        <f>IF(ISBLANK(W123),"",IF(ISBLANK($O123),AK123,IF($J123="ANUAL",AK123*(1+Macroindicadores!H$7),IF(AND($I123="NOVO",MONTH($O123)=MONTH(AY$4)),AK123*(1+Macroindicadores!H$7),IF(AND($J123="PONTUAL",MONTH($O123)=MONTH(AY$4)),AK123*(1+Macroindicadores!H$7),IF(AND($J123="PONTUAL",MONTH($O123)&lt;MONTH(AY$4)),MIN($AS123:AX123),IF(AND($I123="NOVO",MONTH($O123)&gt;MONTH(AY$4)),AK123,IF(MONTH($O123)&gt;MONTH(AY$4),AK123,IF(MONTH($O123)=MONTH(AY$4),AK123*(1+Macroindicadores!H$7),AX123)))))))))</f>
        <v>0.26366876982819981</v>
      </c>
      <c r="AZ123" s="117">
        <f>IF(ISBLANK(X123),"",IF(ISBLANK($O123),AL123,IF($J123="ANUAL",AL123*(1+Macroindicadores!I$7),IF(AND($I123="NOVO",MONTH($O123)=MONTH(AZ$4)),AL123*(1+Macroindicadores!I$7),IF(AND($J123="PONTUAL",MONTH($O123)=MONTH(AZ$4)),AL123*(1+Macroindicadores!I$7),IF(AND($J123="PONTUAL",MONTH($O123)&lt;MONTH(AZ$4)),MIN($AS123:AY123),IF(AND($I123="NOVO",MONTH($O123)&gt;MONTH(AZ$4)),AL123,IF(MONTH($O123)&gt;MONTH(AZ$4),AL123,IF(MONTH($O123)=MONTH(AZ$4),AL123*(1+Macroindicadores!I$7),AY123)))))))))</f>
        <v>0.26366876982819981</v>
      </c>
      <c r="BA123" s="117">
        <f>IF(ISBLANK(Y123),"",IF(ISBLANK($O123),AM123,IF($J123="ANUAL",AM123*(1+Macroindicadores!J$7),IF(AND($I123="NOVO",MONTH($O123)=MONTH(BA$4)),AM123*(1+Macroindicadores!J$7),IF(AND($J123="PONTUAL",MONTH($O123)=MONTH(BA$4)),AM123*(1+Macroindicadores!J$7),IF(AND($J123="PONTUAL",MONTH($O123)&lt;MONTH(BA$4)),MIN($AS123:AZ123),IF(AND($I123="NOVO",MONTH($O123)&gt;MONTH(BA$4)),AM123,IF(MONTH($O123)&gt;MONTH(BA$4),AM123,IF(MONTH($O123)=MONTH(BA$4),AM123*(1+Macroindicadores!J$7),AZ123)))))))))</f>
        <v>0.26366876982819981</v>
      </c>
      <c r="BB123" s="117">
        <f>IF(ISBLANK(Z123),"",IF(ISBLANK($O123),AN123,IF($J123="ANUAL",AN123*(1+Macroindicadores!K$7),IF(AND($I123="NOVO",MONTH($O123)=MONTH(BB$4)),AN123*(1+Macroindicadores!K$7),IF(AND($J123="PONTUAL",MONTH($O123)=MONTH(BB$4)),AN123*(1+Macroindicadores!K$7),IF(AND($J123="PONTUAL",MONTH($O123)&lt;MONTH(BB$4)),MIN($AS123:BA123),IF(AND($I123="NOVO",MONTH($O123)&gt;MONTH(BB$4)),AN123,IF(MONTH($O123)&gt;MONTH(BB$4),AN123,IF(MONTH($O123)=MONTH(BB$4),AN123*(1+Macroindicadores!K$7),BA123)))))))))</f>
        <v>0.26366876982819981</v>
      </c>
      <c r="BC123" s="117">
        <f>IF(ISBLANK(AA123),"",IF(ISBLANK($O123),AO123,IF($J123="ANUAL",AO123*(1+Macroindicadores!L$7),IF(AND($I123="NOVO",MONTH($O123)=MONTH(BC$4)),AO123*(1+Macroindicadores!L$7),IF(AND($J123="PONTUAL",MONTH($O123)=MONTH(BC$4)),AO123*(1+Macroindicadores!L$7),IF(AND($J123="PONTUAL",MONTH($O123)&lt;MONTH(BC$4)),MIN($AS123:BB123),IF(AND($I123="NOVO",MONTH($O123)&gt;MONTH(BC$4)),AO123,IF(MONTH($O123)&gt;MONTH(BC$4),AO123,IF(MONTH($O123)=MONTH(BC$4),AO123*(1+Macroindicadores!L$7),BB123)))))))))</f>
        <v>0.26366876982819981</v>
      </c>
      <c r="BD123" s="117">
        <f>IF(ISBLANK(AB123),"",IF(ISBLANK($O123),AP123,IF($J123="ANUAL",AP123*(1+Macroindicadores!M$7),IF(AND($I123="NOVO",MONTH($O123)=MONTH(BD$4)),AP123*(1+Macroindicadores!M$7),IF(AND($J123="PONTUAL",MONTH($O123)=MONTH(BD$4)),AP123*(1+Macroindicadores!M$7),IF(AND($J123="PONTUAL",MONTH($O123)&lt;MONTH(BD$4)),MIN($AS123:BC123),IF(AND($I123="NOVO",MONTH($O123)&gt;MONTH(BD$4)),AP123,IF(MONTH($O123)&gt;MONTH(BD$4),AP123,IF(MONTH($O123)=MONTH(BD$4),AP123*(1+Macroindicadores!M$7),BC123)))))))))</f>
        <v>0.26366876982819981</v>
      </c>
      <c r="BE123" s="118">
        <f t="shared" si="71"/>
        <v>3.164025237938398</v>
      </c>
      <c r="BF123" s="108"/>
      <c r="BG123" s="117">
        <f>IF(ISBLANK(Q123),"",AS123/Macroindicadores!B$2)</f>
        <v>4.4841627521802693E-2</v>
      </c>
      <c r="BH123" s="117">
        <f>IF(ISBLANK(R123),"",AT123/Macroindicadores!C$2)</f>
        <v>4.4841627521802693E-2</v>
      </c>
      <c r="BI123" s="117">
        <f>IF(ISBLANK(S123),"",AU123/Macroindicadores!D$2)</f>
        <v>4.4841627521802693E-2</v>
      </c>
      <c r="BJ123" s="117">
        <f>IF(ISBLANK(T123),"",AV123/Macroindicadores!E$2)</f>
        <v>4.4841627521802693E-2</v>
      </c>
      <c r="BK123" s="117">
        <f>IF(ISBLANK(U123),"",AW123/Macroindicadores!F$2)</f>
        <v>4.4841627521802693E-2</v>
      </c>
      <c r="BL123" s="117">
        <f>IF(ISBLANK(V123),"",AX123/Macroindicadores!G$2)</f>
        <v>4.4841627521802693E-2</v>
      </c>
      <c r="BM123" s="117">
        <f>IF(ISBLANK(W123),"",AY123/Macroindicadores!H$2)</f>
        <v>4.4841627521802693E-2</v>
      </c>
      <c r="BN123" s="117">
        <f>IF(ISBLANK(X123),"",AZ123/Macroindicadores!I$2)</f>
        <v>4.4841627521802693E-2</v>
      </c>
      <c r="BO123" s="117">
        <f>IF(ISBLANK(Y123),"",BA123/Macroindicadores!J$2)</f>
        <v>4.4841627521802693E-2</v>
      </c>
      <c r="BP123" s="117">
        <f>IF(ISBLANK(Z123),"",BB123/Macroindicadores!K$2)</f>
        <v>4.4841627521802693E-2</v>
      </c>
      <c r="BQ123" s="117">
        <f>IF(ISBLANK(AA123),"",BC123/Macroindicadores!L$2)</f>
        <v>4.4841627521802693E-2</v>
      </c>
      <c r="BR123" s="117">
        <f>IF(ISBLANK(AB123),"",BD123/Macroindicadores!M$2)</f>
        <v>4.4841627521802693E-2</v>
      </c>
      <c r="BS123" s="118">
        <f>IF(AND(ISBLANK($Q123),ISBLANK($R123),ISBLANK($S123),ISBLANK($T123),ISBLANK($U123),ISBLANK($V123),ISBLANK($W123),ISBLANK($X123),ISBLANK($Y123),ISBLANK($Z123),ISBLANK($AA123),ISBLANK($AB123)),"",SUM(BG123:BR123))</f>
        <v>0.53809953026163237</v>
      </c>
      <c r="BT123" s="25" t="str">
        <f>IF(ISBLANK($L123),"",_xlfn.XLOOKUP($L123,'CENTRO CUSTO'!$A:$A,'CENTRO CUSTO'!$E:$E,FALSE,0))</f>
        <v>G&amp;A PL</v>
      </c>
    </row>
    <row r="124" spans="1:72">
      <c r="A124" s="9" t="str">
        <f t="shared" si="72"/>
        <v>Budget</v>
      </c>
      <c r="B124" s="9">
        <f t="shared" si="69"/>
        <v>2026</v>
      </c>
      <c r="C124" s="111" t="str">
        <f>IF(ISBLANK($L124),"",_xlfn.XLOOKUP($L124,'CENTRO CUSTO'!$A:$A,'CENTRO CUSTO'!F:F,FALSE,0))</f>
        <v>LATAM</v>
      </c>
      <c r="D124" s="111" t="str">
        <f>IF(ISBLANK($L124),"",_xlfn.XLOOKUP($L124,'CENTRO CUSTO'!$A:$A,'CENTRO CUSTO'!G:G,FALSE,0))</f>
        <v>Corporativo</v>
      </c>
      <c r="E124" s="111" t="str">
        <f>IF(ISBLANK($L124),"",_xlfn.XLOOKUP($L124,'CENTRO CUSTO'!$A:$A,'CENTRO CUSTO'!H:H,FALSE,0))</f>
        <v>G&amp;A</v>
      </c>
      <c r="F124" s="112" t="s">
        <v>156</v>
      </c>
      <c r="G124" s="112" t="s">
        <v>123</v>
      </c>
      <c r="H124" s="112" t="s">
        <v>157</v>
      </c>
      <c r="I124" s="113" t="s">
        <v>77</v>
      </c>
      <c r="J124" s="113" t="s">
        <v>78</v>
      </c>
      <c r="K124" s="113" t="s">
        <v>79</v>
      </c>
      <c r="L124" s="113" t="s">
        <v>96</v>
      </c>
      <c r="M124" s="111" t="str">
        <f>IF(ISBLANK($L124),"",_xlfn.XLOOKUP($L124,'CENTRO CUSTO'!$A:$A,'CENTRO CUSTO'!D:D,FALSE,0))</f>
        <v>Jimmy Espinosa</v>
      </c>
      <c r="N124" s="113" t="s">
        <v>158</v>
      </c>
      <c r="O124" s="114">
        <v>46023</v>
      </c>
      <c r="P124" s="113" t="s">
        <v>81</v>
      </c>
      <c r="Q124" s="115">
        <v>250</v>
      </c>
      <c r="R124" s="115">
        <v>250</v>
      </c>
      <c r="S124" s="115">
        <v>250</v>
      </c>
      <c r="T124" s="115">
        <v>250</v>
      </c>
      <c r="U124" s="115">
        <v>250</v>
      </c>
      <c r="V124" s="115">
        <v>250</v>
      </c>
      <c r="W124" s="115">
        <v>250</v>
      </c>
      <c r="X124" s="115">
        <v>250</v>
      </c>
      <c r="Y124" s="115">
        <v>250</v>
      </c>
      <c r="Z124" s="115">
        <v>250</v>
      </c>
      <c r="AA124" s="115">
        <v>250</v>
      </c>
      <c r="AB124" s="115">
        <v>250</v>
      </c>
      <c r="AC124" s="116">
        <f t="shared" si="73"/>
        <v>3000</v>
      </c>
      <c r="AD124" s="108"/>
      <c r="AE124" s="117">
        <f>IF(ISBLANK(Q124),"",IF($P124="BRL",Q124,Q124*Macroindicadores!B$2)/1000)</f>
        <v>0.25</v>
      </c>
      <c r="AF124" s="117">
        <f>IF(ISBLANK(R124),"",IF($P124="BRL",R124,R124*Macroindicadores!C$2)/1000)</f>
        <v>0.25</v>
      </c>
      <c r="AG124" s="117">
        <f>IF(ISBLANK(S124),"",IF($P124="BRL",S124,S124*Macroindicadores!D$2)/1000)</f>
        <v>0.25</v>
      </c>
      <c r="AH124" s="117">
        <f>IF(ISBLANK(T124),"",IF($P124="BRL",T124,T124*Macroindicadores!E$2)/1000)</f>
        <v>0.25</v>
      </c>
      <c r="AI124" s="117">
        <f>IF(ISBLANK(U124),"",IF($P124="BRL",U124,U124*Macroindicadores!F$2)/1000)</f>
        <v>0.25</v>
      </c>
      <c r="AJ124" s="117">
        <f>IF(ISBLANK(V124),"",IF($P124="BRL",V124,V124*Macroindicadores!G$2)/1000)</f>
        <v>0.25</v>
      </c>
      <c r="AK124" s="117">
        <f>IF(ISBLANK(W124),"",IF($P124="BRL",W124,W124*Macroindicadores!H$2)/1000)</f>
        <v>0.25</v>
      </c>
      <c r="AL124" s="117">
        <f>IF(ISBLANK(X124),"",IF($P124="BRL",X124,X124*Macroindicadores!I$2)/1000)</f>
        <v>0.25</v>
      </c>
      <c r="AM124" s="117">
        <f>IF(ISBLANK(Y124),"",IF($P124="BRL",Y124,Y124*Macroindicadores!J$2)/1000)</f>
        <v>0.25</v>
      </c>
      <c r="AN124" s="117">
        <f>IF(ISBLANK(Z124),"",IF($P124="BRL",Z124,Z124*Macroindicadores!K$2)/1000)</f>
        <v>0.25</v>
      </c>
      <c r="AO124" s="117">
        <f>IF(ISBLANK(AA124),"",IF($P124="BRL",AA124,AA124*Macroindicadores!L$2)/1000)</f>
        <v>0.25</v>
      </c>
      <c r="AP124" s="117">
        <f>IF(ISBLANK(AB124),"",IF($P124="BRL",AB124,AB124*Macroindicadores!M$2)/1000)</f>
        <v>0.25</v>
      </c>
      <c r="AQ124" s="118">
        <f t="shared" si="70"/>
        <v>3</v>
      </c>
      <c r="AR124" s="108"/>
      <c r="AS124" s="117">
        <f>IF(ISBLANK(Q124),"",IF(ISBLANK($O124),AE124,IF($J124="ANUAL",AE124*(1+Macroindicadores!B$7),IF(AND($I124="NOVO",MONTH($O124)=MONTH(AS$4)),AE124*(1+Macroindicadores!B$7),IF(AND($J124="PONTUAL",MONTH($O124)=MONTH(AS$4)),AE124*(1+Macroindicadores!B$7),IF(AND($J124="PONTUAL",MONTH($O124)&lt;MONTH(AS$4)),MIN(AR124:$AS124),IF(AND($I124="NOVO",MONTH($O124)&gt;MONTH(AS$4)),AE124,IF(MONTH($O124)&gt;MONTH(AS$4),AE124,IF(MONTH($O124)=MONTH(AS$4),AE124*(1+Macroindicadores!B$7),AR124)))))))))</f>
        <v>0.26366876982819981</v>
      </c>
      <c r="AT124" s="117">
        <f>IF(ISBLANK(R124),"",IF(ISBLANK($O124),AF124,IF($J124="ANUAL",AF124*(1+Macroindicadores!C$7),IF(AND($I124="NOVO",MONTH($O124)=MONTH(AT$4)),AF124*(1+Macroindicadores!C$7),IF(AND($J124="PONTUAL",MONTH($O124)=MONTH(AT$4)),AF124*(1+Macroindicadores!C$7),IF(AND($J124="PONTUAL",MONTH($O124)&lt;MONTH(AT$4)),MIN($AS124:AS124),IF(AND($I124="NOVO",MONTH($O124)&gt;MONTH(AT$4)),AF124,IF(MONTH($O124)&gt;MONTH(AT$4),AF124,IF(MONTH($O124)=MONTH(AT$4),AF124*(1+Macroindicadores!C$7),AS124)))))))))</f>
        <v>0.26366876982819981</v>
      </c>
      <c r="AU124" s="117">
        <f>IF(ISBLANK(S124),"",IF(ISBLANK($O124),AG124,IF($J124="ANUAL",AG124*(1+Macroindicadores!D$7),IF(AND($I124="NOVO",MONTH($O124)=MONTH(AU$4)),AG124*(1+Macroindicadores!D$7),IF(AND($J124="PONTUAL",MONTH($O124)=MONTH(AU$4)),AG124*(1+Macroindicadores!D$7),IF(AND($J124="PONTUAL",MONTH($O124)&lt;MONTH(AU$4)),MIN($AS124:AT124),IF(AND($I124="NOVO",MONTH($O124)&gt;MONTH(AU$4)),AG124,IF(MONTH($O124)&gt;MONTH(AU$4),AG124,IF(MONTH($O124)=MONTH(AU$4),AG124*(1+Macroindicadores!D$7),AT124)))))))))</f>
        <v>0.26366876982819981</v>
      </c>
      <c r="AV124" s="117">
        <f>IF(ISBLANK(T124),"",IF(ISBLANK($O124),AH124,IF($J124="ANUAL",AH124*(1+Macroindicadores!E$7),IF(AND($I124="NOVO",MONTH($O124)=MONTH(AV$4)),AH124*(1+Macroindicadores!E$7),IF(AND($J124="PONTUAL",MONTH($O124)=MONTH(AV$4)),AH124*(1+Macroindicadores!E$7),IF(AND($J124="PONTUAL",MONTH($O124)&lt;MONTH(AV$4)),MIN($AS124:AU124),IF(AND($I124="NOVO",MONTH($O124)&gt;MONTH(AV$4)),AH124,IF(MONTH($O124)&gt;MONTH(AV$4),AH124,IF(MONTH($O124)=MONTH(AV$4),AH124*(1+Macroindicadores!E$7),AU124)))))))))</f>
        <v>0.26366876982819981</v>
      </c>
      <c r="AW124" s="117">
        <f>IF(ISBLANK(U124),"",IF(ISBLANK($O124),AI124,IF($J124="ANUAL",AI124*(1+Macroindicadores!F$7),IF(AND($I124="NOVO",MONTH($O124)=MONTH(AW$4)),AI124*(1+Macroindicadores!F$7),IF(AND($J124="PONTUAL",MONTH($O124)=MONTH(AW$4)),AI124*(1+Macroindicadores!F$7),IF(AND($J124="PONTUAL",MONTH($O124)&lt;MONTH(AW$4)),MIN($AS124:AV124),IF(AND($I124="NOVO",MONTH($O124)&gt;MONTH(AW$4)),AI124,IF(MONTH($O124)&gt;MONTH(AW$4),AI124,IF(MONTH($O124)=MONTH(AW$4),AI124*(1+Macroindicadores!F$7),AV124)))))))))</f>
        <v>0.26366876982819981</v>
      </c>
      <c r="AX124" s="117">
        <f>IF(ISBLANK(V124),"",IF(ISBLANK($O124),AJ124,IF($J124="ANUAL",AJ124*(1+Macroindicadores!G$7),IF(AND($I124="NOVO",MONTH($O124)=MONTH(AX$4)),AJ124*(1+Macroindicadores!G$7),IF(AND($J124="PONTUAL",MONTH($O124)=MONTH(AX$4)),AJ124*(1+Macroindicadores!G$7),IF(AND($J124="PONTUAL",MONTH($O124)&lt;MONTH(AX$4)),MIN($AS124:AW124),IF(AND($I124="NOVO",MONTH($O124)&gt;MONTH(AX$4)),AJ124,IF(MONTH($O124)&gt;MONTH(AX$4),AJ124,IF(MONTH($O124)=MONTH(AX$4),AJ124*(1+Macroindicadores!G$7),AW124)))))))))</f>
        <v>0.26366876982819981</v>
      </c>
      <c r="AY124" s="117">
        <f>IF(ISBLANK(W124),"",IF(ISBLANK($O124),AK124,IF($J124="ANUAL",AK124*(1+Macroindicadores!H$7),IF(AND($I124="NOVO",MONTH($O124)=MONTH(AY$4)),AK124*(1+Macroindicadores!H$7),IF(AND($J124="PONTUAL",MONTH($O124)=MONTH(AY$4)),AK124*(1+Macroindicadores!H$7),IF(AND($J124="PONTUAL",MONTH($O124)&lt;MONTH(AY$4)),MIN($AS124:AX124),IF(AND($I124="NOVO",MONTH($O124)&gt;MONTH(AY$4)),AK124,IF(MONTH($O124)&gt;MONTH(AY$4),AK124,IF(MONTH($O124)=MONTH(AY$4),AK124*(1+Macroindicadores!H$7),AX124)))))))))</f>
        <v>0.26366876982819981</v>
      </c>
      <c r="AZ124" s="117">
        <f>IF(ISBLANK(X124),"",IF(ISBLANK($O124),AL124,IF($J124="ANUAL",AL124*(1+Macroindicadores!I$7),IF(AND($I124="NOVO",MONTH($O124)=MONTH(AZ$4)),AL124*(1+Macroindicadores!I$7),IF(AND($J124="PONTUAL",MONTH($O124)=MONTH(AZ$4)),AL124*(1+Macroindicadores!I$7),IF(AND($J124="PONTUAL",MONTH($O124)&lt;MONTH(AZ$4)),MIN($AS124:AY124),IF(AND($I124="NOVO",MONTH($O124)&gt;MONTH(AZ$4)),AL124,IF(MONTH($O124)&gt;MONTH(AZ$4),AL124,IF(MONTH($O124)=MONTH(AZ$4),AL124*(1+Macroindicadores!I$7),AY124)))))))))</f>
        <v>0.26366876982819981</v>
      </c>
      <c r="BA124" s="117">
        <f>IF(ISBLANK(Y124),"",IF(ISBLANK($O124),AM124,IF($J124="ANUAL",AM124*(1+Macroindicadores!J$7),IF(AND($I124="NOVO",MONTH($O124)=MONTH(BA$4)),AM124*(1+Macroindicadores!J$7),IF(AND($J124="PONTUAL",MONTH($O124)=MONTH(BA$4)),AM124*(1+Macroindicadores!J$7),IF(AND($J124="PONTUAL",MONTH($O124)&lt;MONTH(BA$4)),MIN($AS124:AZ124),IF(AND($I124="NOVO",MONTH($O124)&gt;MONTH(BA$4)),AM124,IF(MONTH($O124)&gt;MONTH(BA$4),AM124,IF(MONTH($O124)=MONTH(BA$4),AM124*(1+Macroindicadores!J$7),AZ124)))))))))</f>
        <v>0.26366876982819981</v>
      </c>
      <c r="BB124" s="117">
        <f>IF(ISBLANK(Z124),"",IF(ISBLANK($O124),AN124,IF($J124="ANUAL",AN124*(1+Macroindicadores!K$7),IF(AND($I124="NOVO",MONTH($O124)=MONTH(BB$4)),AN124*(1+Macroindicadores!K$7),IF(AND($J124="PONTUAL",MONTH($O124)=MONTH(BB$4)),AN124*(1+Macroindicadores!K$7),IF(AND($J124="PONTUAL",MONTH($O124)&lt;MONTH(BB$4)),MIN($AS124:BA124),IF(AND($I124="NOVO",MONTH($O124)&gt;MONTH(BB$4)),AN124,IF(MONTH($O124)&gt;MONTH(BB$4),AN124,IF(MONTH($O124)=MONTH(BB$4),AN124*(1+Macroindicadores!K$7),BA124)))))))))</f>
        <v>0.26366876982819981</v>
      </c>
      <c r="BC124" s="117">
        <f>IF(ISBLANK(AA124),"",IF(ISBLANK($O124),AO124,IF($J124="ANUAL",AO124*(1+Macroindicadores!L$7),IF(AND($I124="NOVO",MONTH($O124)=MONTH(BC$4)),AO124*(1+Macroindicadores!L$7),IF(AND($J124="PONTUAL",MONTH($O124)=MONTH(BC$4)),AO124*(1+Macroindicadores!L$7),IF(AND($J124="PONTUAL",MONTH($O124)&lt;MONTH(BC$4)),MIN($AS124:BB124),IF(AND($I124="NOVO",MONTH($O124)&gt;MONTH(BC$4)),AO124,IF(MONTH($O124)&gt;MONTH(BC$4),AO124,IF(MONTH($O124)=MONTH(BC$4),AO124*(1+Macroindicadores!L$7),BB124)))))))))</f>
        <v>0.26366876982819981</v>
      </c>
      <c r="BD124" s="117">
        <f>IF(ISBLANK(AB124),"",IF(ISBLANK($O124),AP124,IF($J124="ANUAL",AP124*(1+Macroindicadores!M$7),IF(AND($I124="NOVO",MONTH($O124)=MONTH(BD$4)),AP124*(1+Macroindicadores!M$7),IF(AND($J124="PONTUAL",MONTH($O124)=MONTH(BD$4)),AP124*(1+Macroindicadores!M$7),IF(AND($J124="PONTUAL",MONTH($O124)&lt;MONTH(BD$4)),MIN($AS124:BC124),IF(AND($I124="NOVO",MONTH($O124)&gt;MONTH(BD$4)),AP124,IF(MONTH($O124)&gt;MONTH(BD$4),AP124,IF(MONTH($O124)=MONTH(BD$4),AP124*(1+Macroindicadores!M$7),BC124)))))))))</f>
        <v>0.26366876982819981</v>
      </c>
      <c r="BE124" s="118">
        <f t="shared" si="71"/>
        <v>3.164025237938398</v>
      </c>
      <c r="BF124" s="108"/>
      <c r="BG124" s="117">
        <f>IF(ISBLANK(Q124),"",AS124/Macroindicadores!B$2)</f>
        <v>4.4841627521802693E-2</v>
      </c>
      <c r="BH124" s="117">
        <f>IF(ISBLANK(R124),"",AT124/Macroindicadores!C$2)</f>
        <v>4.4841627521802693E-2</v>
      </c>
      <c r="BI124" s="117">
        <f>IF(ISBLANK(S124),"",AU124/Macroindicadores!D$2)</f>
        <v>4.4841627521802693E-2</v>
      </c>
      <c r="BJ124" s="117">
        <f>IF(ISBLANK(T124),"",AV124/Macroindicadores!E$2)</f>
        <v>4.4841627521802693E-2</v>
      </c>
      <c r="BK124" s="117">
        <f>IF(ISBLANK(U124),"",AW124/Macroindicadores!F$2)</f>
        <v>4.4841627521802693E-2</v>
      </c>
      <c r="BL124" s="117">
        <f>IF(ISBLANK(V124),"",AX124/Macroindicadores!G$2)</f>
        <v>4.4841627521802693E-2</v>
      </c>
      <c r="BM124" s="117">
        <f>IF(ISBLANK(W124),"",AY124/Macroindicadores!H$2)</f>
        <v>4.4841627521802693E-2</v>
      </c>
      <c r="BN124" s="117">
        <f>IF(ISBLANK(X124),"",AZ124/Macroindicadores!I$2)</f>
        <v>4.4841627521802693E-2</v>
      </c>
      <c r="BO124" s="117">
        <f>IF(ISBLANK(Y124),"",BA124/Macroindicadores!J$2)</f>
        <v>4.4841627521802693E-2</v>
      </c>
      <c r="BP124" s="117">
        <f>IF(ISBLANK(Z124),"",BB124/Macroindicadores!K$2)</f>
        <v>4.4841627521802693E-2</v>
      </c>
      <c r="BQ124" s="117">
        <f>IF(ISBLANK(AA124),"",BC124/Macroindicadores!L$2)</f>
        <v>4.4841627521802693E-2</v>
      </c>
      <c r="BR124" s="117">
        <f>IF(ISBLANK(AB124),"",BD124/Macroindicadores!M$2)</f>
        <v>4.4841627521802693E-2</v>
      </c>
      <c r="BS124" s="118">
        <f>IF(AND(ISBLANK($Q124),ISBLANK($R124),ISBLANK($S124),ISBLANK($T124),ISBLANK($U124),ISBLANK($V124),ISBLANK($W124),ISBLANK($X124),ISBLANK($Y124),ISBLANK($Z124),ISBLANK($AA124),ISBLANK($AB124)),"",SUM(BG124:BR124))</f>
        <v>0.53809953026163237</v>
      </c>
      <c r="BT124" s="25" t="str">
        <f>IF(ISBLANK($L124),"",_xlfn.XLOOKUP($L124,'CENTRO CUSTO'!$A:$A,'CENTRO CUSTO'!$E:$E,FALSE,0))</f>
        <v>G&amp;A CP</v>
      </c>
    </row>
    <row r="125" spans="1:72">
      <c r="A125" s="9" t="str">
        <f t="shared" si="72"/>
        <v>Budget</v>
      </c>
      <c r="B125" s="9">
        <f t="shared" si="69"/>
        <v>2026</v>
      </c>
      <c r="C125" s="111" t="str">
        <f>IF(ISBLANK($L125),"",_xlfn.XLOOKUP($L125,'CENTRO CUSTO'!$A:$A,'CENTRO CUSTO'!F:F,FALSE,0))</f>
        <v>Transporte</v>
      </c>
      <c r="D125" s="111" t="str">
        <f>IF(ISBLANK($L125),"",_xlfn.XLOOKUP($L125,'CENTRO CUSTO'!$A:$A,'CENTRO CUSTO'!G:G,FALSE,0))</f>
        <v>BU-TR</v>
      </c>
      <c r="E125" s="111" t="str">
        <f>IF(ISBLANK($L125),"",_xlfn.XLOOKUP($L125,'CENTRO CUSTO'!$A:$A,'CENTRO CUSTO'!H:H,FALSE,0))</f>
        <v>G&amp;A</v>
      </c>
      <c r="F125" s="112" t="s">
        <v>159</v>
      </c>
      <c r="G125" s="112" t="s">
        <v>123</v>
      </c>
      <c r="H125" s="112" t="s">
        <v>160</v>
      </c>
      <c r="I125" s="113" t="s">
        <v>77</v>
      </c>
      <c r="J125" s="113" t="s">
        <v>120</v>
      </c>
      <c r="K125" s="113" t="s">
        <v>79</v>
      </c>
      <c r="L125" s="113" t="s">
        <v>38</v>
      </c>
      <c r="M125" s="111" t="str">
        <f>IF(ISBLANK($L125),"",_xlfn.XLOOKUP($L125,'CENTRO CUSTO'!$A:$A,'CENTRO CUSTO'!D:D,FALSE,0))</f>
        <v>Alexandre Ayabe</v>
      </c>
      <c r="N125" s="113" t="s">
        <v>87</v>
      </c>
      <c r="O125" s="114"/>
      <c r="P125" s="113" t="s">
        <v>88</v>
      </c>
      <c r="Q125" s="115">
        <f>138000*Rateio!$E$212/12</f>
        <v>2070</v>
      </c>
      <c r="R125" s="115">
        <f>138000*Rateio!$E$212/12</f>
        <v>2070</v>
      </c>
      <c r="S125" s="115">
        <f>138000*Rateio!$E$212/12</f>
        <v>2070</v>
      </c>
      <c r="T125" s="115">
        <f>138000*Rateio!$E$212/12</f>
        <v>2070</v>
      </c>
      <c r="U125" s="115">
        <f>138000*Rateio!$E$212/12</f>
        <v>2070</v>
      </c>
      <c r="V125" s="115">
        <f>138000*Rateio!$E$212/12</f>
        <v>2070</v>
      </c>
      <c r="W125" s="115">
        <f>138000*Rateio!$E$212/12</f>
        <v>2070</v>
      </c>
      <c r="X125" s="115">
        <f>138000*Rateio!$E$212/12</f>
        <v>2070</v>
      </c>
      <c r="Y125" s="115">
        <f>138000*Rateio!$E$212/12</f>
        <v>2070</v>
      </c>
      <c r="Z125" s="115">
        <f>138000*Rateio!$E$212/12</f>
        <v>2070</v>
      </c>
      <c r="AA125" s="115">
        <f>138000*Rateio!$E$212/12</f>
        <v>2070</v>
      </c>
      <c r="AB125" s="115">
        <f>138000*Rateio!$E$212/12</f>
        <v>2070</v>
      </c>
      <c r="AC125" s="116">
        <f t="shared" si="73"/>
        <v>24840</v>
      </c>
      <c r="AD125" s="108"/>
      <c r="AE125" s="117">
        <f>IF(ISBLANK(Q125),"",IF($P125="BRL",Q125,Q125*Macroindicadores!B$2)/1000)</f>
        <v>12.1716</v>
      </c>
      <c r="AF125" s="117">
        <f>IF(ISBLANK(R125),"",IF($P125="BRL",R125,R125*Macroindicadores!C$2)/1000)</f>
        <v>12.1716</v>
      </c>
      <c r="AG125" s="117">
        <f>IF(ISBLANK(S125),"",IF($P125="BRL",S125,S125*Macroindicadores!D$2)/1000)</f>
        <v>12.1716</v>
      </c>
      <c r="AH125" s="117">
        <f>IF(ISBLANK(T125),"",IF($P125="BRL",T125,T125*Macroindicadores!E$2)/1000)</f>
        <v>12.1716</v>
      </c>
      <c r="AI125" s="117">
        <f>IF(ISBLANK(U125),"",IF($P125="BRL",U125,U125*Macroindicadores!F$2)/1000)</f>
        <v>12.1716</v>
      </c>
      <c r="AJ125" s="117">
        <f>IF(ISBLANK(V125),"",IF($P125="BRL",V125,V125*Macroindicadores!G$2)/1000)</f>
        <v>12.1716</v>
      </c>
      <c r="AK125" s="117">
        <f>IF(ISBLANK(W125),"",IF($P125="BRL",W125,W125*Macroindicadores!H$2)/1000)</f>
        <v>12.1716</v>
      </c>
      <c r="AL125" s="117">
        <f>IF(ISBLANK(X125),"",IF($P125="BRL",X125,X125*Macroindicadores!I$2)/1000)</f>
        <v>12.1716</v>
      </c>
      <c r="AM125" s="117">
        <f>IF(ISBLANK(Y125),"",IF($P125="BRL",Y125,Y125*Macroindicadores!J$2)/1000)</f>
        <v>12.1716</v>
      </c>
      <c r="AN125" s="117">
        <f>IF(ISBLANK(Z125),"",IF($P125="BRL",Z125,Z125*Macroindicadores!K$2)/1000)</f>
        <v>12.1716</v>
      </c>
      <c r="AO125" s="117">
        <f>IF(ISBLANK(AA125),"",IF($P125="BRL",AA125,AA125*Macroindicadores!L$2)/1000)</f>
        <v>12.1716</v>
      </c>
      <c r="AP125" s="117">
        <f>IF(ISBLANK(AB125),"",IF($P125="BRL",AB125,AB125*Macroindicadores!M$2)/1000)</f>
        <v>12.1716</v>
      </c>
      <c r="AQ125" s="118">
        <f t="shared" si="70"/>
        <v>146.0592</v>
      </c>
      <c r="AR125" s="108"/>
      <c r="AS125" s="117">
        <f>IF(ISBLANK(Q125),"",IF(ISBLANK($O125),AE125,IF($J125="ANUAL",AE125*(1+Macroindicadores!B$7),IF(AND($I125="NOVO",MONTH($O125)=MONTH(AS$4)),AE125*(1+Macroindicadores!B$7),IF(AND($J125="PONTUAL",MONTH($O125)=MONTH(AS$4)),AE125*(1+Macroindicadores!B$7),IF(AND($J125="PONTUAL",MONTH($O125)&lt;MONTH(AS$4)),MIN(AR125:$AS125),IF(AND($I125="NOVO",MONTH($O125)&gt;MONTH(AS$4)),AE125,IF(MONTH($O125)&gt;MONTH(AS$4),AE125,IF(MONTH($O125)=MONTH(AS$4),AE125*(1+Macroindicadores!B$7),AR125)))))))))</f>
        <v>12.1716</v>
      </c>
      <c r="AT125" s="117">
        <f>IF(ISBLANK(R125),"",IF(ISBLANK($O125),AF125,IF($J125="ANUAL",AF125*(1+Macroindicadores!C$7),IF(AND($I125="NOVO",MONTH($O125)=MONTH(AT$4)),AF125*(1+Macroindicadores!C$7),IF(AND($J125="PONTUAL",MONTH($O125)=MONTH(AT$4)),AF125*(1+Macroindicadores!C$7),IF(AND($J125="PONTUAL",MONTH($O125)&lt;MONTH(AT$4)),MIN($AS125:AS125),IF(AND($I125="NOVO",MONTH($O125)&gt;MONTH(AT$4)),AF125,IF(MONTH($O125)&gt;MONTH(AT$4),AF125,IF(MONTH($O125)=MONTH(AT$4),AF125*(1+Macroindicadores!C$7),AS125)))))))))</f>
        <v>12.1716</v>
      </c>
      <c r="AU125" s="117">
        <f>IF(ISBLANK(S125),"",IF(ISBLANK($O125),AG125,IF($J125="ANUAL",AG125*(1+Macroindicadores!D$7),IF(AND($I125="NOVO",MONTH($O125)=MONTH(AU$4)),AG125*(1+Macroindicadores!D$7),IF(AND($J125="PONTUAL",MONTH($O125)=MONTH(AU$4)),AG125*(1+Macroindicadores!D$7),IF(AND($J125="PONTUAL",MONTH($O125)&lt;MONTH(AU$4)),MIN($AS125:AT125),IF(AND($I125="NOVO",MONTH($O125)&gt;MONTH(AU$4)),AG125,IF(MONTH($O125)&gt;MONTH(AU$4),AG125,IF(MONTH($O125)=MONTH(AU$4),AG125*(1+Macroindicadores!D$7),AT125)))))))))</f>
        <v>12.1716</v>
      </c>
      <c r="AV125" s="117">
        <f>IF(ISBLANK(T125),"",IF(ISBLANK($O125),AH125,IF($J125="ANUAL",AH125*(1+Macroindicadores!E$7),IF(AND($I125="NOVO",MONTH($O125)=MONTH(AV$4)),AH125*(1+Macroindicadores!E$7),IF(AND($J125="PONTUAL",MONTH($O125)=MONTH(AV$4)),AH125*(1+Macroindicadores!E$7),IF(AND($J125="PONTUAL",MONTH($O125)&lt;MONTH(AV$4)),MIN($AS125:AU125),IF(AND($I125="NOVO",MONTH($O125)&gt;MONTH(AV$4)),AH125,IF(MONTH($O125)&gt;MONTH(AV$4),AH125,IF(MONTH($O125)=MONTH(AV$4),AH125*(1+Macroindicadores!E$7),AU125)))))))))</f>
        <v>12.1716</v>
      </c>
      <c r="AW125" s="117">
        <f>IF(ISBLANK(U125),"",IF(ISBLANK($O125),AI125,IF($J125="ANUAL",AI125*(1+Macroindicadores!F$7),IF(AND($I125="NOVO",MONTH($O125)=MONTH(AW$4)),AI125*(1+Macroindicadores!F$7),IF(AND($J125="PONTUAL",MONTH($O125)=MONTH(AW$4)),AI125*(1+Macroindicadores!F$7),IF(AND($J125="PONTUAL",MONTH($O125)&lt;MONTH(AW$4)),MIN($AS125:AV125),IF(AND($I125="NOVO",MONTH($O125)&gt;MONTH(AW$4)),AI125,IF(MONTH($O125)&gt;MONTH(AW$4),AI125,IF(MONTH($O125)=MONTH(AW$4),AI125*(1+Macroindicadores!F$7),AV125)))))))))</f>
        <v>12.1716</v>
      </c>
      <c r="AX125" s="117">
        <f>IF(ISBLANK(V125),"",IF(ISBLANK($O125),AJ125,IF($J125="ANUAL",AJ125*(1+Macroindicadores!G$7),IF(AND($I125="NOVO",MONTH($O125)=MONTH(AX$4)),AJ125*(1+Macroindicadores!G$7),IF(AND($J125="PONTUAL",MONTH($O125)=MONTH(AX$4)),AJ125*(1+Macroindicadores!G$7),IF(AND($J125="PONTUAL",MONTH($O125)&lt;MONTH(AX$4)),MIN($AS125:AW125),IF(AND($I125="NOVO",MONTH($O125)&gt;MONTH(AX$4)),AJ125,IF(MONTH($O125)&gt;MONTH(AX$4),AJ125,IF(MONTH($O125)=MONTH(AX$4),AJ125*(1+Macroindicadores!G$7),AW125)))))))))</f>
        <v>12.1716</v>
      </c>
      <c r="AY125" s="117">
        <f>IF(ISBLANK(W125),"",IF(ISBLANK($O125),AK125,IF($J125="ANUAL",AK125*(1+Macroindicadores!H$7),IF(AND($I125="NOVO",MONTH($O125)=MONTH(AY$4)),AK125*(1+Macroindicadores!H$7),IF(AND($J125="PONTUAL",MONTH($O125)=MONTH(AY$4)),AK125*(1+Macroindicadores!H$7),IF(AND($J125="PONTUAL",MONTH($O125)&lt;MONTH(AY$4)),MIN($AS125:AX125),IF(AND($I125="NOVO",MONTH($O125)&gt;MONTH(AY$4)),AK125,IF(MONTH($O125)&gt;MONTH(AY$4),AK125,IF(MONTH($O125)=MONTH(AY$4),AK125*(1+Macroindicadores!H$7),AX125)))))))))</f>
        <v>12.1716</v>
      </c>
      <c r="AZ125" s="117">
        <f>IF(ISBLANK(X125),"",IF(ISBLANK($O125),AL125,IF($J125="ANUAL",AL125*(1+Macroindicadores!I$7),IF(AND($I125="NOVO",MONTH($O125)=MONTH(AZ$4)),AL125*(1+Macroindicadores!I$7),IF(AND($J125="PONTUAL",MONTH($O125)=MONTH(AZ$4)),AL125*(1+Macroindicadores!I$7),IF(AND($J125="PONTUAL",MONTH($O125)&lt;MONTH(AZ$4)),MIN($AS125:AY125),IF(AND($I125="NOVO",MONTH($O125)&gt;MONTH(AZ$4)),AL125,IF(MONTH($O125)&gt;MONTH(AZ$4),AL125,IF(MONTH($O125)=MONTH(AZ$4),AL125*(1+Macroindicadores!I$7),AY125)))))))))</f>
        <v>12.1716</v>
      </c>
      <c r="BA125" s="117">
        <f>IF(ISBLANK(Y125),"",IF(ISBLANK($O125),AM125,IF($J125="ANUAL",AM125*(1+Macroindicadores!J$7),IF(AND($I125="NOVO",MONTH($O125)=MONTH(BA$4)),AM125*(1+Macroindicadores!J$7),IF(AND($J125="PONTUAL",MONTH($O125)=MONTH(BA$4)),AM125*(1+Macroindicadores!J$7),IF(AND($J125="PONTUAL",MONTH($O125)&lt;MONTH(BA$4)),MIN($AS125:AZ125),IF(AND($I125="NOVO",MONTH($O125)&gt;MONTH(BA$4)),AM125,IF(MONTH($O125)&gt;MONTH(BA$4),AM125,IF(MONTH($O125)=MONTH(BA$4),AM125*(1+Macroindicadores!J$7),AZ125)))))))))</f>
        <v>12.1716</v>
      </c>
      <c r="BB125" s="117">
        <f>IF(ISBLANK(Z125),"",IF(ISBLANK($O125),AN125,IF($J125="ANUAL",AN125*(1+Macroindicadores!K$7),IF(AND($I125="NOVO",MONTH($O125)=MONTH(BB$4)),AN125*(1+Macroindicadores!K$7),IF(AND($J125="PONTUAL",MONTH($O125)=MONTH(BB$4)),AN125*(1+Macroindicadores!K$7),IF(AND($J125="PONTUAL",MONTH($O125)&lt;MONTH(BB$4)),MIN($AS125:BA125),IF(AND($I125="NOVO",MONTH($O125)&gt;MONTH(BB$4)),AN125,IF(MONTH($O125)&gt;MONTH(BB$4),AN125,IF(MONTH($O125)=MONTH(BB$4),AN125*(1+Macroindicadores!K$7),BA125)))))))))</f>
        <v>12.1716</v>
      </c>
      <c r="BC125" s="117">
        <f>IF(ISBLANK(AA125),"",IF(ISBLANK($O125),AO125,IF($J125="ANUAL",AO125*(1+Macroindicadores!L$7),IF(AND($I125="NOVO",MONTH($O125)=MONTH(BC$4)),AO125*(1+Macroindicadores!L$7),IF(AND($J125="PONTUAL",MONTH($O125)=MONTH(BC$4)),AO125*(1+Macroindicadores!L$7),IF(AND($J125="PONTUAL",MONTH($O125)&lt;MONTH(BC$4)),MIN($AS125:BB125),IF(AND($I125="NOVO",MONTH($O125)&gt;MONTH(BC$4)),AO125,IF(MONTH($O125)&gt;MONTH(BC$4),AO125,IF(MONTH($O125)=MONTH(BC$4),AO125*(1+Macroindicadores!L$7),BB125)))))))))</f>
        <v>12.1716</v>
      </c>
      <c r="BD125" s="117">
        <f>IF(ISBLANK(AB125),"",IF(ISBLANK($O125),AP125,IF($J125="ANUAL",AP125*(1+Macroindicadores!M$7),IF(AND($I125="NOVO",MONTH($O125)=MONTH(BD$4)),AP125*(1+Macroindicadores!M$7),IF(AND($J125="PONTUAL",MONTH($O125)=MONTH(BD$4)),AP125*(1+Macroindicadores!M$7),IF(AND($J125="PONTUAL",MONTH($O125)&lt;MONTH(BD$4)),MIN($AS125:BC125),IF(AND($I125="NOVO",MONTH($O125)&gt;MONTH(BD$4)),AP125,IF(MONTH($O125)&gt;MONTH(BD$4),AP125,IF(MONTH($O125)=MONTH(BD$4),AP125*(1+Macroindicadores!M$7),BC125)))))))))</f>
        <v>12.1716</v>
      </c>
      <c r="BE125" s="118">
        <f t="shared" si="71"/>
        <v>146.0592</v>
      </c>
      <c r="BF125" s="108"/>
      <c r="BG125" s="117">
        <f>IF(ISBLANK(Q125),"",AS125/Macroindicadores!B$2)</f>
        <v>2.0699999999999998</v>
      </c>
      <c r="BH125" s="117">
        <f>IF(ISBLANK(R125),"",AT125/Macroindicadores!C$2)</f>
        <v>2.0699999999999998</v>
      </c>
      <c r="BI125" s="117">
        <f>IF(ISBLANK(S125),"",AU125/Macroindicadores!D$2)</f>
        <v>2.0699999999999998</v>
      </c>
      <c r="BJ125" s="117">
        <f>IF(ISBLANK(T125),"",AV125/Macroindicadores!E$2)</f>
        <v>2.0699999999999998</v>
      </c>
      <c r="BK125" s="117">
        <f>IF(ISBLANK(U125),"",AW125/Macroindicadores!F$2)</f>
        <v>2.0699999999999998</v>
      </c>
      <c r="BL125" s="117">
        <f>IF(ISBLANK(V125),"",AX125/Macroindicadores!G$2)</f>
        <v>2.0699999999999998</v>
      </c>
      <c r="BM125" s="117">
        <f>IF(ISBLANK(W125),"",AY125/Macroindicadores!H$2)</f>
        <v>2.0699999999999998</v>
      </c>
      <c r="BN125" s="117">
        <f>IF(ISBLANK(X125),"",AZ125/Macroindicadores!I$2)</f>
        <v>2.0699999999999998</v>
      </c>
      <c r="BO125" s="117">
        <f>IF(ISBLANK(Y125),"",BA125/Macroindicadores!J$2)</f>
        <v>2.0699999999999998</v>
      </c>
      <c r="BP125" s="117">
        <f>IF(ISBLANK(Z125),"",BB125/Macroindicadores!K$2)</f>
        <v>2.0699999999999998</v>
      </c>
      <c r="BQ125" s="117">
        <f>IF(ISBLANK(AA125),"",BC125/Macroindicadores!L$2)</f>
        <v>2.0699999999999998</v>
      </c>
      <c r="BR125" s="117">
        <f>IF(ISBLANK(AB125),"",BD125/Macroindicadores!M$2)</f>
        <v>2.0699999999999998</v>
      </c>
      <c r="BS125" s="118">
        <f>IF(AND(ISBLANK($Q125),ISBLANK($R125),ISBLANK($S125),ISBLANK($T125),ISBLANK($U125),ISBLANK($V125),ISBLANK($W125),ISBLANK($X125),ISBLANK($Y125),ISBLANK($Z125),ISBLANK($AA125),ISBLANK($AB125)),"",SUM(BG125:BR125))</f>
        <v>24.84</v>
      </c>
      <c r="BT125" s="25" t="str">
        <f>IF(ISBLANK($L125),"",_xlfn.XLOOKUP($L125,'CENTRO CUSTO'!$A:$A,'CENTRO CUSTO'!$E:$E,FALSE,0))</f>
        <v>G&amp;A BU</v>
      </c>
    </row>
    <row r="126" spans="1:72">
      <c r="A126" s="9" t="str">
        <f t="shared" si="72"/>
        <v>Budget</v>
      </c>
      <c r="B126" s="9">
        <f t="shared" si="69"/>
        <v>2026</v>
      </c>
      <c r="C126" s="111" t="str">
        <f>IF(ISBLANK($L126),"",_xlfn.XLOOKUP($L126,'CENTRO CUSTO'!$A:$A,'CENTRO CUSTO'!F:F,FALSE,0))</f>
        <v>Martini Meat</v>
      </c>
      <c r="D126" s="111" t="str">
        <f>IF(ISBLANK($L126),"",_xlfn.XLOOKUP($L126,'CENTRO CUSTO'!$A:$A,'CENTRO CUSTO'!G:G,FALSE,0))</f>
        <v>BU-MMAZ</v>
      </c>
      <c r="E126" s="111" t="str">
        <f>IF(ISBLANK($L126),"",_xlfn.XLOOKUP($L126,'CENTRO CUSTO'!$A:$A,'CENTRO CUSTO'!H:H,FALSE,0))</f>
        <v>G&amp;A</v>
      </c>
      <c r="F126" s="112" t="s">
        <v>159</v>
      </c>
      <c r="G126" s="112" t="s">
        <v>123</v>
      </c>
      <c r="H126" s="112" t="s">
        <v>160</v>
      </c>
      <c r="I126" s="113" t="s">
        <v>77</v>
      </c>
      <c r="J126" s="113" t="s">
        <v>120</v>
      </c>
      <c r="K126" s="113" t="s">
        <v>79</v>
      </c>
      <c r="L126" s="113" t="s">
        <v>35</v>
      </c>
      <c r="M126" s="111" t="str">
        <f>IF(ISBLANK($L126),"",_xlfn.XLOOKUP($L126,'CENTRO CUSTO'!$A:$A,'CENTRO CUSTO'!D:D,FALSE,0))</f>
        <v>Alexandre Ayabe</v>
      </c>
      <c r="N126" s="113" t="s">
        <v>87</v>
      </c>
      <c r="O126" s="114"/>
      <c r="P126" s="113" t="s">
        <v>88</v>
      </c>
      <c r="Q126" s="115">
        <f>138000*Rateio!$E$214/12</f>
        <v>5750</v>
      </c>
      <c r="R126" s="115">
        <f>138000*Rateio!$E$214/12</f>
        <v>5750</v>
      </c>
      <c r="S126" s="115">
        <f>138000*Rateio!$E$214/12</f>
        <v>5750</v>
      </c>
      <c r="T126" s="115">
        <f>138000*Rateio!$E$214/12</f>
        <v>5750</v>
      </c>
      <c r="U126" s="115">
        <f>138000*Rateio!$E$214/12</f>
        <v>5750</v>
      </c>
      <c r="V126" s="115">
        <f>138000*Rateio!$E$214/12</f>
        <v>5750</v>
      </c>
      <c r="W126" s="115">
        <f>138000*Rateio!$E$214/12</f>
        <v>5750</v>
      </c>
      <c r="X126" s="115">
        <f>138000*Rateio!$E$214/12</f>
        <v>5750</v>
      </c>
      <c r="Y126" s="115">
        <f>138000*Rateio!$E$214/12</f>
        <v>5750</v>
      </c>
      <c r="Z126" s="115">
        <f>138000*Rateio!$E$214/12</f>
        <v>5750</v>
      </c>
      <c r="AA126" s="115">
        <f>138000*Rateio!$E$214/12</f>
        <v>5750</v>
      </c>
      <c r="AB126" s="115">
        <f>138000*Rateio!$E$214/12</f>
        <v>5750</v>
      </c>
      <c r="AC126" s="116">
        <f t="shared" si="73"/>
        <v>69000</v>
      </c>
      <c r="AD126" s="108"/>
      <c r="AE126" s="117">
        <f>IF(ISBLANK(Q126),"",IF($P126="BRL",Q126,Q126*Macroindicadores!B$2)/1000)</f>
        <v>33.81</v>
      </c>
      <c r="AF126" s="117">
        <f>IF(ISBLANK(R126),"",IF($P126="BRL",R126,R126*Macroindicadores!C$2)/1000)</f>
        <v>33.81</v>
      </c>
      <c r="AG126" s="117">
        <f>IF(ISBLANK(S126),"",IF($P126="BRL",S126,S126*Macroindicadores!D$2)/1000)</f>
        <v>33.81</v>
      </c>
      <c r="AH126" s="117">
        <f>IF(ISBLANK(T126),"",IF($P126="BRL",T126,T126*Macroindicadores!E$2)/1000)</f>
        <v>33.81</v>
      </c>
      <c r="AI126" s="117">
        <f>IF(ISBLANK(U126),"",IF($P126="BRL",U126,U126*Macroindicadores!F$2)/1000)</f>
        <v>33.81</v>
      </c>
      <c r="AJ126" s="117">
        <f>IF(ISBLANK(V126),"",IF($P126="BRL",V126,V126*Macroindicadores!G$2)/1000)</f>
        <v>33.81</v>
      </c>
      <c r="AK126" s="117">
        <f>IF(ISBLANK(W126),"",IF($P126="BRL",W126,W126*Macroindicadores!H$2)/1000)</f>
        <v>33.81</v>
      </c>
      <c r="AL126" s="117">
        <f>IF(ISBLANK(X126),"",IF($P126="BRL",X126,X126*Macroindicadores!I$2)/1000)</f>
        <v>33.81</v>
      </c>
      <c r="AM126" s="117">
        <f>IF(ISBLANK(Y126),"",IF($P126="BRL",Y126,Y126*Macroindicadores!J$2)/1000)</f>
        <v>33.81</v>
      </c>
      <c r="AN126" s="117">
        <f>IF(ISBLANK(Z126),"",IF($P126="BRL",Z126,Z126*Macroindicadores!K$2)/1000)</f>
        <v>33.81</v>
      </c>
      <c r="AO126" s="117">
        <f>IF(ISBLANK(AA126),"",IF($P126="BRL",AA126,AA126*Macroindicadores!L$2)/1000)</f>
        <v>33.81</v>
      </c>
      <c r="AP126" s="117">
        <f>IF(ISBLANK(AB126),"",IF($P126="BRL",AB126,AB126*Macroindicadores!M$2)/1000)</f>
        <v>33.81</v>
      </c>
      <c r="AQ126" s="118">
        <f t="shared" si="70"/>
        <v>405.72</v>
      </c>
      <c r="AR126" s="108"/>
      <c r="AS126" s="117">
        <f>IF(ISBLANK(Q126),"",IF(ISBLANK($O126),AE126,IF($J126="ANUAL",AE126*(1+Macroindicadores!B$7),IF(AND($I126="NOVO",MONTH($O126)=MONTH(AS$4)),AE126*(1+Macroindicadores!B$7),IF(AND($J126="PONTUAL",MONTH($O126)=MONTH(AS$4)),AE126*(1+Macroindicadores!B$7),IF(AND($J126="PONTUAL",MONTH($O126)&lt;MONTH(AS$4)),MIN(AR126:$AS126),IF(AND($I126="NOVO",MONTH($O126)&gt;MONTH(AS$4)),AE126,IF(MONTH($O126)&gt;MONTH(AS$4),AE126,IF(MONTH($O126)=MONTH(AS$4),AE126*(1+Macroindicadores!B$7),AR126)))))))))</f>
        <v>33.81</v>
      </c>
      <c r="AT126" s="117">
        <f>IF(ISBLANK(R126),"",IF(ISBLANK($O126),AF126,IF($J126="ANUAL",AF126*(1+Macroindicadores!C$7),IF(AND($I126="NOVO",MONTH($O126)=MONTH(AT$4)),AF126*(1+Macroindicadores!C$7),IF(AND($J126="PONTUAL",MONTH($O126)=MONTH(AT$4)),AF126*(1+Macroindicadores!C$7),IF(AND($J126="PONTUAL",MONTH($O126)&lt;MONTH(AT$4)),MIN($AS126:AS126),IF(AND($I126="NOVO",MONTH($O126)&gt;MONTH(AT$4)),AF126,IF(MONTH($O126)&gt;MONTH(AT$4),AF126,IF(MONTH($O126)=MONTH(AT$4),AF126*(1+Macroindicadores!C$7),AS126)))))))))</f>
        <v>33.81</v>
      </c>
      <c r="AU126" s="117">
        <f>IF(ISBLANK(S126),"",IF(ISBLANK($O126),AG126,IF($J126="ANUAL",AG126*(1+Macroindicadores!D$7),IF(AND($I126="NOVO",MONTH($O126)=MONTH(AU$4)),AG126*(1+Macroindicadores!D$7),IF(AND($J126="PONTUAL",MONTH($O126)=MONTH(AU$4)),AG126*(1+Macroindicadores!D$7),IF(AND($J126="PONTUAL",MONTH($O126)&lt;MONTH(AU$4)),MIN($AS126:AT126),IF(AND($I126="NOVO",MONTH($O126)&gt;MONTH(AU$4)),AG126,IF(MONTH($O126)&gt;MONTH(AU$4),AG126,IF(MONTH($O126)=MONTH(AU$4),AG126*(1+Macroindicadores!D$7),AT126)))))))))</f>
        <v>33.81</v>
      </c>
      <c r="AV126" s="117">
        <f>IF(ISBLANK(T126),"",IF(ISBLANK($O126),AH126,IF($J126="ANUAL",AH126*(1+Macroindicadores!E$7),IF(AND($I126="NOVO",MONTH($O126)=MONTH(AV$4)),AH126*(1+Macroindicadores!E$7),IF(AND($J126="PONTUAL",MONTH($O126)=MONTH(AV$4)),AH126*(1+Macroindicadores!E$7),IF(AND($J126="PONTUAL",MONTH($O126)&lt;MONTH(AV$4)),MIN($AS126:AU126),IF(AND($I126="NOVO",MONTH($O126)&gt;MONTH(AV$4)),AH126,IF(MONTH($O126)&gt;MONTH(AV$4),AH126,IF(MONTH($O126)=MONTH(AV$4),AH126*(1+Macroindicadores!E$7),AU126)))))))))</f>
        <v>33.81</v>
      </c>
      <c r="AW126" s="117">
        <f>IF(ISBLANK(U126),"",IF(ISBLANK($O126),AI126,IF($J126="ANUAL",AI126*(1+Macroindicadores!F$7),IF(AND($I126="NOVO",MONTH($O126)=MONTH(AW$4)),AI126*(1+Macroindicadores!F$7),IF(AND($J126="PONTUAL",MONTH($O126)=MONTH(AW$4)),AI126*(1+Macroindicadores!F$7),IF(AND($J126="PONTUAL",MONTH($O126)&lt;MONTH(AW$4)),MIN($AS126:AV126),IF(AND($I126="NOVO",MONTH($O126)&gt;MONTH(AW$4)),AI126,IF(MONTH($O126)&gt;MONTH(AW$4),AI126,IF(MONTH($O126)=MONTH(AW$4),AI126*(1+Macroindicadores!F$7),AV126)))))))))</f>
        <v>33.81</v>
      </c>
      <c r="AX126" s="117">
        <f>IF(ISBLANK(V126),"",IF(ISBLANK($O126),AJ126,IF($J126="ANUAL",AJ126*(1+Macroindicadores!G$7),IF(AND($I126="NOVO",MONTH($O126)=MONTH(AX$4)),AJ126*(1+Macroindicadores!G$7),IF(AND($J126="PONTUAL",MONTH($O126)=MONTH(AX$4)),AJ126*(1+Macroindicadores!G$7),IF(AND($J126="PONTUAL",MONTH($O126)&lt;MONTH(AX$4)),MIN($AS126:AW126),IF(AND($I126="NOVO",MONTH($O126)&gt;MONTH(AX$4)),AJ126,IF(MONTH($O126)&gt;MONTH(AX$4),AJ126,IF(MONTH($O126)=MONTH(AX$4),AJ126*(1+Macroindicadores!G$7),AW126)))))))))</f>
        <v>33.81</v>
      </c>
      <c r="AY126" s="117">
        <f>IF(ISBLANK(W126),"",IF(ISBLANK($O126),AK126,IF($J126="ANUAL",AK126*(1+Macroindicadores!H$7),IF(AND($I126="NOVO",MONTH($O126)=MONTH(AY$4)),AK126*(1+Macroindicadores!H$7),IF(AND($J126="PONTUAL",MONTH($O126)=MONTH(AY$4)),AK126*(1+Macroindicadores!H$7),IF(AND($J126="PONTUAL",MONTH($O126)&lt;MONTH(AY$4)),MIN($AS126:AX126),IF(AND($I126="NOVO",MONTH($O126)&gt;MONTH(AY$4)),AK126,IF(MONTH($O126)&gt;MONTH(AY$4),AK126,IF(MONTH($O126)=MONTH(AY$4),AK126*(1+Macroindicadores!H$7),AX126)))))))))</f>
        <v>33.81</v>
      </c>
      <c r="AZ126" s="117">
        <f>IF(ISBLANK(X126),"",IF(ISBLANK($O126),AL126,IF($J126="ANUAL",AL126*(1+Macroindicadores!I$7),IF(AND($I126="NOVO",MONTH($O126)=MONTH(AZ$4)),AL126*(1+Macroindicadores!I$7),IF(AND($J126="PONTUAL",MONTH($O126)=MONTH(AZ$4)),AL126*(1+Macroindicadores!I$7),IF(AND($J126="PONTUAL",MONTH($O126)&lt;MONTH(AZ$4)),MIN($AS126:AY126),IF(AND($I126="NOVO",MONTH($O126)&gt;MONTH(AZ$4)),AL126,IF(MONTH($O126)&gt;MONTH(AZ$4),AL126,IF(MONTH($O126)=MONTH(AZ$4),AL126*(1+Macroindicadores!I$7),AY126)))))))))</f>
        <v>33.81</v>
      </c>
      <c r="BA126" s="117">
        <f>IF(ISBLANK(Y126),"",IF(ISBLANK($O126),AM126,IF($J126="ANUAL",AM126*(1+Macroindicadores!J$7),IF(AND($I126="NOVO",MONTH($O126)=MONTH(BA$4)),AM126*(1+Macroindicadores!J$7),IF(AND($J126="PONTUAL",MONTH($O126)=MONTH(BA$4)),AM126*(1+Macroindicadores!J$7),IF(AND($J126="PONTUAL",MONTH($O126)&lt;MONTH(BA$4)),MIN($AS126:AZ126),IF(AND($I126="NOVO",MONTH($O126)&gt;MONTH(BA$4)),AM126,IF(MONTH($O126)&gt;MONTH(BA$4),AM126,IF(MONTH($O126)=MONTH(BA$4),AM126*(1+Macroindicadores!J$7),AZ126)))))))))</f>
        <v>33.81</v>
      </c>
      <c r="BB126" s="117">
        <f>IF(ISBLANK(Z126),"",IF(ISBLANK($O126),AN126,IF($J126="ANUAL",AN126*(1+Macroindicadores!K$7),IF(AND($I126="NOVO",MONTH($O126)=MONTH(BB$4)),AN126*(1+Macroindicadores!K$7),IF(AND($J126="PONTUAL",MONTH($O126)=MONTH(BB$4)),AN126*(1+Macroindicadores!K$7),IF(AND($J126="PONTUAL",MONTH($O126)&lt;MONTH(BB$4)),MIN($AS126:BA126),IF(AND($I126="NOVO",MONTH($O126)&gt;MONTH(BB$4)),AN126,IF(MONTH($O126)&gt;MONTH(BB$4),AN126,IF(MONTH($O126)=MONTH(BB$4),AN126*(1+Macroindicadores!K$7),BA126)))))))))</f>
        <v>33.81</v>
      </c>
      <c r="BC126" s="117">
        <f>IF(ISBLANK(AA126),"",IF(ISBLANK($O126),AO126,IF($J126="ANUAL",AO126*(1+Macroindicadores!L$7),IF(AND($I126="NOVO",MONTH($O126)=MONTH(BC$4)),AO126*(1+Macroindicadores!L$7),IF(AND($J126="PONTUAL",MONTH($O126)=MONTH(BC$4)),AO126*(1+Macroindicadores!L$7),IF(AND($J126="PONTUAL",MONTH($O126)&lt;MONTH(BC$4)),MIN($AS126:BB126),IF(AND($I126="NOVO",MONTH($O126)&gt;MONTH(BC$4)),AO126,IF(MONTH($O126)&gt;MONTH(BC$4),AO126,IF(MONTH($O126)=MONTH(BC$4),AO126*(1+Macroindicadores!L$7),BB126)))))))))</f>
        <v>33.81</v>
      </c>
      <c r="BD126" s="117">
        <f>IF(ISBLANK(AB126),"",IF(ISBLANK($O126),AP126,IF($J126="ANUAL",AP126*(1+Macroindicadores!M$7),IF(AND($I126="NOVO",MONTH($O126)=MONTH(BD$4)),AP126*(1+Macroindicadores!M$7),IF(AND($J126="PONTUAL",MONTH($O126)=MONTH(BD$4)),AP126*(1+Macroindicadores!M$7),IF(AND($J126="PONTUAL",MONTH($O126)&lt;MONTH(BD$4)),MIN($AS126:BC126),IF(AND($I126="NOVO",MONTH($O126)&gt;MONTH(BD$4)),AP126,IF(MONTH($O126)&gt;MONTH(BD$4),AP126,IF(MONTH($O126)=MONTH(BD$4),AP126*(1+Macroindicadores!M$7),BC126)))))))))</f>
        <v>33.81</v>
      </c>
      <c r="BE126" s="118">
        <f t="shared" si="71"/>
        <v>405.72</v>
      </c>
      <c r="BF126" s="108"/>
      <c r="BG126" s="117">
        <f>IF(ISBLANK(Q126),"",AS126/Macroindicadores!B$2)</f>
        <v>5.7500000000000009</v>
      </c>
      <c r="BH126" s="117">
        <f>IF(ISBLANK(R126),"",AT126/Macroindicadores!C$2)</f>
        <v>5.7500000000000009</v>
      </c>
      <c r="BI126" s="117">
        <f>IF(ISBLANK(S126),"",AU126/Macroindicadores!D$2)</f>
        <v>5.7500000000000009</v>
      </c>
      <c r="BJ126" s="117">
        <f>IF(ISBLANK(T126),"",AV126/Macroindicadores!E$2)</f>
        <v>5.7500000000000009</v>
      </c>
      <c r="BK126" s="117">
        <f>IF(ISBLANK(U126),"",AW126/Macroindicadores!F$2)</f>
        <v>5.7500000000000009</v>
      </c>
      <c r="BL126" s="117">
        <f>IF(ISBLANK(V126),"",AX126/Macroindicadores!G$2)</f>
        <v>5.7500000000000009</v>
      </c>
      <c r="BM126" s="117">
        <f>IF(ISBLANK(W126),"",AY126/Macroindicadores!H$2)</f>
        <v>5.7500000000000009</v>
      </c>
      <c r="BN126" s="117">
        <f>IF(ISBLANK(X126),"",AZ126/Macroindicadores!I$2)</f>
        <v>5.7500000000000009</v>
      </c>
      <c r="BO126" s="117">
        <f>IF(ISBLANK(Y126),"",BA126/Macroindicadores!J$2)</f>
        <v>5.7500000000000009</v>
      </c>
      <c r="BP126" s="117">
        <f>IF(ISBLANK(Z126),"",BB126/Macroindicadores!K$2)</f>
        <v>5.7500000000000009</v>
      </c>
      <c r="BQ126" s="117">
        <f>IF(ISBLANK(AA126),"",BC126/Macroindicadores!L$2)</f>
        <v>5.7500000000000009</v>
      </c>
      <c r="BR126" s="117">
        <f>IF(ISBLANK(AB126),"",BD126/Macroindicadores!M$2)</f>
        <v>5.7500000000000009</v>
      </c>
      <c r="BS126" s="118">
        <f>IF(AND(ISBLANK($Q126),ISBLANK($R126),ISBLANK($S126),ISBLANK($T126),ISBLANK($U126),ISBLANK($V126),ISBLANK($W126),ISBLANK($X126),ISBLANK($Y126),ISBLANK($Z126),ISBLANK($AA126),ISBLANK($AB126)),"",SUM(BG126:BR126))</f>
        <v>69.000000000000014</v>
      </c>
      <c r="BT126" s="25" t="str">
        <f>IF(ISBLANK($L126),"",_xlfn.XLOOKUP($L126,'CENTRO CUSTO'!$A:$A,'CENTRO CUSTO'!$E:$E,FALSE,0))</f>
        <v>G&amp;A BU</v>
      </c>
    </row>
    <row r="127" spans="1:72">
      <c r="A127" s="9" t="str">
        <f t="shared" si="72"/>
        <v>Budget</v>
      </c>
      <c r="B127" s="9">
        <f t="shared" si="69"/>
        <v>2026</v>
      </c>
      <c r="C127" s="18" t="str">
        <f>IF(ISBLANK($L127),"",_xlfn.XLOOKUP($L127,'CENTRO CUSTO'!$A:$A,'CENTRO CUSTO'!F:F,FALSE,0))</f>
        <v>MRV</v>
      </c>
      <c r="D127" s="111" t="str">
        <f>IF(ISBLANK($L127),"",_xlfn.XLOOKUP($L127,'CENTRO CUSTO'!$A:$A,'CENTRO CUSTO'!G:G,FALSE,0))</f>
        <v>BU-MRV</v>
      </c>
      <c r="E127" s="18" t="str">
        <f>IF(ISBLANK($L127),"",_xlfn.XLOOKUP($L127,'CENTRO CUSTO'!$A:$A,'CENTRO CUSTO'!H:H,FALSE,0))</f>
        <v>G&amp;A</v>
      </c>
      <c r="F127" s="10" t="s">
        <v>159</v>
      </c>
      <c r="G127" s="10" t="s">
        <v>123</v>
      </c>
      <c r="H127" s="10" t="s">
        <v>160</v>
      </c>
      <c r="I127" s="11" t="s">
        <v>77</v>
      </c>
      <c r="J127" s="11" t="s">
        <v>120</v>
      </c>
      <c r="K127" s="11" t="s">
        <v>79</v>
      </c>
      <c r="L127" s="11" t="s">
        <v>45</v>
      </c>
      <c r="M127" s="18" t="str">
        <f>IF(ISBLANK($L127),"",_xlfn.XLOOKUP($L127,'CENTRO CUSTO'!$A:$A,'CENTRO CUSTO'!D:D,FALSE,0))</f>
        <v>Alexandre Ayabe</v>
      </c>
      <c r="N127" s="11" t="s">
        <v>87</v>
      </c>
      <c r="O127" s="12"/>
      <c r="P127" s="11" t="s">
        <v>88</v>
      </c>
      <c r="Q127" s="41">
        <f>138000*Rateio!$E$230/12</f>
        <v>575</v>
      </c>
      <c r="R127" s="41">
        <f>138000*Rateio!$E$230/12</f>
        <v>575</v>
      </c>
      <c r="S127" s="41">
        <f>138000*Rateio!$E$230/12</f>
        <v>575</v>
      </c>
      <c r="T127" s="41">
        <f>138000*Rateio!$E$230/12</f>
        <v>575</v>
      </c>
      <c r="U127" s="41">
        <f>138000*Rateio!$E$230/12</f>
        <v>575</v>
      </c>
      <c r="V127" s="41">
        <f>138000*Rateio!$E$230/12</f>
        <v>575</v>
      </c>
      <c r="W127" s="41">
        <f>138000*Rateio!$E$230/12</f>
        <v>575</v>
      </c>
      <c r="X127" s="41">
        <f>138000*Rateio!$E$230/12</f>
        <v>575</v>
      </c>
      <c r="Y127" s="41">
        <f>138000*Rateio!$E$230/12</f>
        <v>575</v>
      </c>
      <c r="Z127" s="41">
        <f>138000*Rateio!$E$230/12</f>
        <v>575</v>
      </c>
      <c r="AA127" s="41">
        <f>138000*Rateio!$E$230/12</f>
        <v>575</v>
      </c>
      <c r="AB127" s="41">
        <f>138000*Rateio!$E$230/12</f>
        <v>575</v>
      </c>
      <c r="AC127" s="116">
        <f t="shared" si="73"/>
        <v>6900</v>
      </c>
      <c r="AE127" s="39">
        <f>IF(ISBLANK(Q127),"",IF($P127="BRL",Q127,Q127*Macroindicadores!B$2)/1000)</f>
        <v>3.3809999999999998</v>
      </c>
      <c r="AF127" s="39">
        <f>IF(ISBLANK(R127),"",IF($P127="BRL",R127,R127*Macroindicadores!C$2)/1000)</f>
        <v>3.3809999999999998</v>
      </c>
      <c r="AG127" s="39">
        <f>IF(ISBLANK(S127),"",IF($P127="BRL",S127,S127*Macroindicadores!D$2)/1000)</f>
        <v>3.3809999999999998</v>
      </c>
      <c r="AH127" s="39">
        <f>IF(ISBLANK(T127),"",IF($P127="BRL",T127,T127*Macroindicadores!E$2)/1000)</f>
        <v>3.3809999999999998</v>
      </c>
      <c r="AI127" s="39">
        <f>IF(ISBLANK(U127),"",IF($P127="BRL",U127,U127*Macroindicadores!F$2)/1000)</f>
        <v>3.3809999999999998</v>
      </c>
      <c r="AJ127" s="39">
        <f>IF(ISBLANK(V127),"",IF($P127="BRL",V127,V127*Macroindicadores!G$2)/1000)</f>
        <v>3.3809999999999998</v>
      </c>
      <c r="AK127" s="39">
        <f>IF(ISBLANK(W127),"",IF($P127="BRL",W127,W127*Macroindicadores!H$2)/1000)</f>
        <v>3.3809999999999998</v>
      </c>
      <c r="AL127" s="39">
        <f>IF(ISBLANK(X127),"",IF($P127="BRL",X127,X127*Macroindicadores!I$2)/1000)</f>
        <v>3.3809999999999998</v>
      </c>
      <c r="AM127" s="39">
        <f>IF(ISBLANK(Y127),"",IF($P127="BRL",Y127,Y127*Macroindicadores!J$2)/1000)</f>
        <v>3.3809999999999998</v>
      </c>
      <c r="AN127" s="39">
        <f>IF(ISBLANK(Z127),"",IF($P127="BRL",Z127,Z127*Macroindicadores!K$2)/1000)</f>
        <v>3.3809999999999998</v>
      </c>
      <c r="AO127" s="39">
        <f>IF(ISBLANK(AA127),"",IF($P127="BRL",AA127,AA127*Macroindicadores!L$2)/1000)</f>
        <v>3.3809999999999998</v>
      </c>
      <c r="AP127" s="39">
        <f>IF(ISBLANK(AB127),"",IF($P127="BRL",AB127,AB127*Macroindicadores!M$2)/1000)</f>
        <v>3.3809999999999998</v>
      </c>
      <c r="AQ127" s="40">
        <f t="shared" si="70"/>
        <v>40.571999999999996</v>
      </c>
      <c r="AS127" s="39">
        <f>IF(ISBLANK(Q127),"",IF(ISBLANK($O127),AE127,IF($J127="ANUAL",AE127*(1+Macroindicadores!B$7),IF(AND($I127="NOVO",MONTH($O127)=MONTH(AS$4)),AE127*(1+Macroindicadores!B$7),IF(AND($J127="PONTUAL",MONTH($O127)=MONTH(AS$4)),AE127*(1+Macroindicadores!B$7),IF(AND($J127="PONTUAL",MONTH($O127)&lt;MONTH(AS$4)),MIN(AR127:$AS127),IF(AND($I127="NOVO",MONTH($O127)&gt;MONTH(AS$4)),AE127,IF(MONTH($O127)&gt;MONTH(AS$4),AE127,IF(MONTH($O127)=MONTH(AS$4),AE127*(1+Macroindicadores!B$7),AR127)))))))))</f>
        <v>3.3809999999999998</v>
      </c>
      <c r="AT127" s="39">
        <f>IF(ISBLANK(R127),"",IF(ISBLANK($O127),AF127,IF($J127="ANUAL",AF127*(1+Macroindicadores!C$7),IF(AND($I127="NOVO",MONTH($O127)=MONTH(AT$4)),AF127*(1+Macroindicadores!C$7),IF(AND($J127="PONTUAL",MONTH($O127)=MONTH(AT$4)),AF127*(1+Macroindicadores!C$7),IF(AND($J127="PONTUAL",MONTH($O127)&lt;MONTH(AT$4)),MIN($AS127:AS127),IF(AND($I127="NOVO",MONTH($O127)&gt;MONTH(AT$4)),AF127,IF(MONTH($O127)&gt;MONTH(AT$4),AF127,IF(MONTH($O127)=MONTH(AT$4),AF127*(1+Macroindicadores!C$7),AS127)))))))))</f>
        <v>3.3809999999999998</v>
      </c>
      <c r="AU127" s="39">
        <f>IF(ISBLANK(S127),"",IF(ISBLANK($O127),AG127,IF($J127="ANUAL",AG127*(1+Macroindicadores!D$7),IF(AND($I127="NOVO",MONTH($O127)=MONTH(AU$4)),AG127*(1+Macroindicadores!D$7),IF(AND($J127="PONTUAL",MONTH($O127)=MONTH(AU$4)),AG127*(1+Macroindicadores!D$7),IF(AND($J127="PONTUAL",MONTH($O127)&lt;MONTH(AU$4)),MIN($AS127:AT127),IF(AND($I127="NOVO",MONTH($O127)&gt;MONTH(AU$4)),AG127,IF(MONTH($O127)&gt;MONTH(AU$4),AG127,IF(MONTH($O127)=MONTH(AU$4),AG127*(1+Macroindicadores!D$7),AT127)))))))))</f>
        <v>3.3809999999999998</v>
      </c>
      <c r="AV127" s="39">
        <f>IF(ISBLANK(T127),"",IF(ISBLANK($O127),AH127,IF($J127="ANUAL",AH127*(1+Macroindicadores!E$7),IF(AND($I127="NOVO",MONTH($O127)=MONTH(AV$4)),AH127*(1+Macroindicadores!E$7),IF(AND($J127="PONTUAL",MONTH($O127)=MONTH(AV$4)),AH127*(1+Macroindicadores!E$7),IF(AND($J127="PONTUAL",MONTH($O127)&lt;MONTH(AV$4)),MIN($AS127:AU127),IF(AND($I127="NOVO",MONTH($O127)&gt;MONTH(AV$4)),AH127,IF(MONTH($O127)&gt;MONTH(AV$4),AH127,IF(MONTH($O127)=MONTH(AV$4),AH127*(1+Macroindicadores!E$7),AU127)))))))))</f>
        <v>3.3809999999999998</v>
      </c>
      <c r="AW127" s="39">
        <f>IF(ISBLANK(U127),"",IF(ISBLANK($O127),AI127,IF($J127="ANUAL",AI127*(1+Macroindicadores!F$7),IF(AND($I127="NOVO",MONTH($O127)=MONTH(AW$4)),AI127*(1+Macroindicadores!F$7),IF(AND($J127="PONTUAL",MONTH($O127)=MONTH(AW$4)),AI127*(1+Macroindicadores!F$7),IF(AND($J127="PONTUAL",MONTH($O127)&lt;MONTH(AW$4)),MIN($AS127:AV127),IF(AND($I127="NOVO",MONTH($O127)&gt;MONTH(AW$4)),AI127,IF(MONTH($O127)&gt;MONTH(AW$4),AI127,IF(MONTH($O127)=MONTH(AW$4),AI127*(1+Macroindicadores!F$7),AV127)))))))))</f>
        <v>3.3809999999999998</v>
      </c>
      <c r="AX127" s="39">
        <f>IF(ISBLANK(V127),"",IF(ISBLANK($O127),AJ127,IF($J127="ANUAL",AJ127*(1+Macroindicadores!G$7),IF(AND($I127="NOVO",MONTH($O127)=MONTH(AX$4)),AJ127*(1+Macroindicadores!G$7),IF(AND($J127="PONTUAL",MONTH($O127)=MONTH(AX$4)),AJ127*(1+Macroindicadores!G$7),IF(AND($J127="PONTUAL",MONTH($O127)&lt;MONTH(AX$4)),MIN($AS127:AW127),IF(AND($I127="NOVO",MONTH($O127)&gt;MONTH(AX$4)),AJ127,IF(MONTH($O127)&gt;MONTH(AX$4),AJ127,IF(MONTH($O127)=MONTH(AX$4),AJ127*(1+Macroindicadores!G$7),AW127)))))))))</f>
        <v>3.3809999999999998</v>
      </c>
      <c r="AY127" s="39">
        <f>IF(ISBLANK(W127),"",IF(ISBLANK($O127),AK127,IF($J127="ANUAL",AK127*(1+Macroindicadores!H$7),IF(AND($I127="NOVO",MONTH($O127)=MONTH(AY$4)),AK127*(1+Macroindicadores!H$7),IF(AND($J127="PONTUAL",MONTH($O127)=MONTH(AY$4)),AK127*(1+Macroindicadores!H$7),IF(AND($J127="PONTUAL",MONTH($O127)&lt;MONTH(AY$4)),MIN($AS127:AX127),IF(AND($I127="NOVO",MONTH($O127)&gt;MONTH(AY$4)),AK127,IF(MONTH($O127)&gt;MONTH(AY$4),AK127,IF(MONTH($O127)=MONTH(AY$4),AK127*(1+Macroindicadores!H$7),AX127)))))))))</f>
        <v>3.3809999999999998</v>
      </c>
      <c r="AZ127" s="39">
        <f>IF(ISBLANK(X127),"",IF(ISBLANK($O127),AL127,IF($J127="ANUAL",AL127*(1+Macroindicadores!I$7),IF(AND($I127="NOVO",MONTH($O127)=MONTH(AZ$4)),AL127*(1+Macroindicadores!I$7),IF(AND($J127="PONTUAL",MONTH($O127)=MONTH(AZ$4)),AL127*(1+Macroindicadores!I$7),IF(AND($J127="PONTUAL",MONTH($O127)&lt;MONTH(AZ$4)),MIN($AS127:AY127),IF(AND($I127="NOVO",MONTH($O127)&gt;MONTH(AZ$4)),AL127,IF(MONTH($O127)&gt;MONTH(AZ$4),AL127,IF(MONTH($O127)=MONTH(AZ$4),AL127*(1+Macroindicadores!I$7),AY127)))))))))</f>
        <v>3.3809999999999998</v>
      </c>
      <c r="BA127" s="39">
        <f>IF(ISBLANK(Y127),"",IF(ISBLANK($O127),AM127,IF($J127="ANUAL",AM127*(1+Macroindicadores!J$7),IF(AND($I127="NOVO",MONTH($O127)=MONTH(BA$4)),AM127*(1+Macroindicadores!J$7),IF(AND($J127="PONTUAL",MONTH($O127)=MONTH(BA$4)),AM127*(1+Macroindicadores!J$7),IF(AND($J127="PONTUAL",MONTH($O127)&lt;MONTH(BA$4)),MIN($AS127:AZ127),IF(AND($I127="NOVO",MONTH($O127)&gt;MONTH(BA$4)),AM127,IF(MONTH($O127)&gt;MONTH(BA$4),AM127,IF(MONTH($O127)=MONTH(BA$4),AM127*(1+Macroindicadores!J$7),AZ127)))))))))</f>
        <v>3.3809999999999998</v>
      </c>
      <c r="BB127" s="39">
        <f>IF(ISBLANK(Z127),"",IF(ISBLANK($O127),AN127,IF($J127="ANUAL",AN127*(1+Macroindicadores!K$7),IF(AND($I127="NOVO",MONTH($O127)=MONTH(BB$4)),AN127*(1+Macroindicadores!K$7),IF(AND($J127="PONTUAL",MONTH($O127)=MONTH(BB$4)),AN127*(1+Macroindicadores!K$7),IF(AND($J127="PONTUAL",MONTH($O127)&lt;MONTH(BB$4)),MIN($AS127:BA127),IF(AND($I127="NOVO",MONTH($O127)&gt;MONTH(BB$4)),AN127,IF(MONTH($O127)&gt;MONTH(BB$4),AN127,IF(MONTH($O127)=MONTH(BB$4),AN127*(1+Macroindicadores!K$7),BA127)))))))))</f>
        <v>3.3809999999999998</v>
      </c>
      <c r="BC127" s="39">
        <f>IF(ISBLANK(AA127),"",IF(ISBLANK($O127),AO127,IF($J127="ANUAL",AO127*(1+Macroindicadores!L$7),IF(AND($I127="NOVO",MONTH($O127)=MONTH(BC$4)),AO127*(1+Macroindicadores!L$7),IF(AND($J127="PONTUAL",MONTH($O127)=MONTH(BC$4)),AO127*(1+Macroindicadores!L$7),IF(AND($J127="PONTUAL",MONTH($O127)&lt;MONTH(BC$4)),MIN($AS127:BB127),IF(AND($I127="NOVO",MONTH($O127)&gt;MONTH(BC$4)),AO127,IF(MONTH($O127)&gt;MONTH(BC$4),AO127,IF(MONTH($O127)=MONTH(BC$4),AO127*(1+Macroindicadores!L$7),BB127)))))))))</f>
        <v>3.3809999999999998</v>
      </c>
      <c r="BD127" s="39">
        <f>IF(ISBLANK(AB127),"",IF(ISBLANK($O127),AP127,IF($J127="ANUAL",AP127*(1+Macroindicadores!M$7),IF(AND($I127="NOVO",MONTH($O127)=MONTH(BD$4)),AP127*(1+Macroindicadores!M$7),IF(AND($J127="PONTUAL",MONTH($O127)=MONTH(BD$4)),AP127*(1+Macroindicadores!M$7),IF(AND($J127="PONTUAL",MONTH($O127)&lt;MONTH(BD$4)),MIN($AS127:BC127),IF(AND($I127="NOVO",MONTH($O127)&gt;MONTH(BD$4)),AP127,IF(MONTH($O127)&gt;MONTH(BD$4),AP127,IF(MONTH($O127)=MONTH(BD$4),AP127*(1+Macroindicadores!M$7),BC127)))))))))</f>
        <v>3.3809999999999998</v>
      </c>
      <c r="BE127" s="40">
        <f t="shared" si="71"/>
        <v>40.571999999999996</v>
      </c>
      <c r="BG127" s="39">
        <f>IF(ISBLANK(Q127),"",AS127/Macroindicadores!B$2)</f>
        <v>0.57499999999999996</v>
      </c>
      <c r="BH127" s="39">
        <f>IF(ISBLANK(R127),"",AT127/Macroindicadores!C$2)</f>
        <v>0.57499999999999996</v>
      </c>
      <c r="BI127" s="39">
        <f>IF(ISBLANK(S127),"",AU127/Macroindicadores!D$2)</f>
        <v>0.57499999999999996</v>
      </c>
      <c r="BJ127" s="39">
        <f>IF(ISBLANK(T127),"",AV127/Macroindicadores!E$2)</f>
        <v>0.57499999999999996</v>
      </c>
      <c r="BK127" s="39">
        <f>IF(ISBLANK(U127),"",AW127/Macroindicadores!F$2)</f>
        <v>0.57499999999999996</v>
      </c>
      <c r="BL127" s="39">
        <f>IF(ISBLANK(V127),"",AX127/Macroindicadores!G$2)</f>
        <v>0.57499999999999996</v>
      </c>
      <c r="BM127" s="39">
        <f>IF(ISBLANK(W127),"",AY127/Macroindicadores!H$2)</f>
        <v>0.57499999999999996</v>
      </c>
      <c r="BN127" s="39">
        <f>IF(ISBLANK(X127),"",AZ127/Macroindicadores!I$2)</f>
        <v>0.57499999999999996</v>
      </c>
      <c r="BO127" s="39">
        <f>IF(ISBLANK(Y127),"",BA127/Macroindicadores!J$2)</f>
        <v>0.57499999999999996</v>
      </c>
      <c r="BP127" s="39">
        <f>IF(ISBLANK(Z127),"",BB127/Macroindicadores!K$2)</f>
        <v>0.57499999999999996</v>
      </c>
      <c r="BQ127" s="39">
        <f>IF(ISBLANK(AA127),"",BC127/Macroindicadores!L$2)</f>
        <v>0.57499999999999996</v>
      </c>
      <c r="BR127" s="39">
        <f>IF(ISBLANK(AB127),"",BD127/Macroindicadores!M$2)</f>
        <v>0.57499999999999996</v>
      </c>
      <c r="BS127" s="40">
        <f>IF(AND(ISBLANK($Q127),ISBLANK($R127),ISBLANK($S127),ISBLANK($T127),ISBLANK($U127),ISBLANK($V127),ISBLANK($W127),ISBLANK($X127),ISBLANK($Y127),ISBLANK($Z127),ISBLANK($AA127),ISBLANK($AB127)),"",SUM(BG127:BR127))</f>
        <v>6.9000000000000012</v>
      </c>
      <c r="BT127" s="25" t="str">
        <f>IF(ISBLANK($L127),"",_xlfn.XLOOKUP($L127,'CENTRO CUSTO'!$A:$A,'CENTRO CUSTO'!$E:$E,FALSE,0))</f>
        <v>G&amp;A BU</v>
      </c>
    </row>
    <row r="128" spans="1:72">
      <c r="A128" s="9" t="str">
        <f t="shared" si="72"/>
        <v>Budget</v>
      </c>
      <c r="B128" s="9">
        <f t="shared" si="69"/>
        <v>2026</v>
      </c>
      <c r="C128" s="18" t="str">
        <f>IF(ISBLANK($L128),"",_xlfn.XLOOKUP($L128,'CENTRO CUSTO'!$A:$A,'CENTRO CUSTO'!F:F,FALSE,0))</f>
        <v>SKM</v>
      </c>
      <c r="D128" s="111" t="str">
        <f>IF(ISBLANK($L128),"",_xlfn.XLOOKUP($L128,'CENTRO CUSTO'!$A:$A,'CENTRO CUSTO'!G:G,FALSE,0))</f>
        <v>BU-SKM</v>
      </c>
      <c r="E128" s="18" t="str">
        <f>IF(ISBLANK($L128),"",_xlfn.XLOOKUP($L128,'CENTRO CUSTO'!$A:$A,'CENTRO CUSTO'!H:H,FALSE,0))</f>
        <v>G&amp;A</v>
      </c>
      <c r="F128" s="10" t="s">
        <v>159</v>
      </c>
      <c r="G128" s="10" t="s">
        <v>123</v>
      </c>
      <c r="H128" s="10" t="s">
        <v>160</v>
      </c>
      <c r="I128" s="11" t="s">
        <v>77</v>
      </c>
      <c r="J128" s="11" t="s">
        <v>120</v>
      </c>
      <c r="K128" s="11" t="s">
        <v>79</v>
      </c>
      <c r="L128" s="11" t="s">
        <v>50</v>
      </c>
      <c r="M128" s="18" t="str">
        <f>IF(ISBLANK($L128),"",_xlfn.XLOOKUP($L128,'CENTRO CUSTO'!$A:$A,'CENTRO CUSTO'!D:D,FALSE,0))</f>
        <v>Alexandre Ayabe</v>
      </c>
      <c r="N128" s="11" t="s">
        <v>87</v>
      </c>
      <c r="O128" s="12"/>
      <c r="P128" s="11" t="s">
        <v>88</v>
      </c>
      <c r="Q128" s="41">
        <f>138000*Rateio!$E$233/12</f>
        <v>690</v>
      </c>
      <c r="R128" s="41">
        <f>138000*Rateio!$E$233/12</f>
        <v>690</v>
      </c>
      <c r="S128" s="41">
        <f>138000*Rateio!$E$233/12</f>
        <v>690</v>
      </c>
      <c r="T128" s="41">
        <f>138000*Rateio!$E$233/12</f>
        <v>690</v>
      </c>
      <c r="U128" s="41">
        <f>138000*Rateio!$E$233/12</f>
        <v>690</v>
      </c>
      <c r="V128" s="41">
        <f>138000*Rateio!$E$233/12</f>
        <v>690</v>
      </c>
      <c r="W128" s="41">
        <f>138000*Rateio!$E$233/12</f>
        <v>690</v>
      </c>
      <c r="X128" s="41">
        <f>138000*Rateio!$E$233/12</f>
        <v>690</v>
      </c>
      <c r="Y128" s="41">
        <f>138000*Rateio!$E$233/12</f>
        <v>690</v>
      </c>
      <c r="Z128" s="41">
        <f>138000*Rateio!$E$233/12</f>
        <v>690</v>
      </c>
      <c r="AA128" s="41">
        <f>138000*Rateio!$E$233/12</f>
        <v>690</v>
      </c>
      <c r="AB128" s="41">
        <f>138000*Rateio!$E$233/12</f>
        <v>690</v>
      </c>
      <c r="AC128" s="116">
        <f t="shared" si="73"/>
        <v>8280</v>
      </c>
      <c r="AE128" s="39">
        <f>IF(ISBLANK(Q128),"",IF($P128="BRL",Q128,Q128*Macroindicadores!B$2)/1000)</f>
        <v>4.0571999999999999</v>
      </c>
      <c r="AF128" s="39">
        <f>IF(ISBLANK(R128),"",IF($P128="BRL",R128,R128*Macroindicadores!C$2)/1000)</f>
        <v>4.0571999999999999</v>
      </c>
      <c r="AG128" s="39">
        <f>IF(ISBLANK(S128),"",IF($P128="BRL",S128,S128*Macroindicadores!D$2)/1000)</f>
        <v>4.0571999999999999</v>
      </c>
      <c r="AH128" s="39">
        <f>IF(ISBLANK(T128),"",IF($P128="BRL",T128,T128*Macroindicadores!E$2)/1000)</f>
        <v>4.0571999999999999</v>
      </c>
      <c r="AI128" s="39">
        <f>IF(ISBLANK(U128),"",IF($P128="BRL",U128,U128*Macroindicadores!F$2)/1000)</f>
        <v>4.0571999999999999</v>
      </c>
      <c r="AJ128" s="39">
        <f>IF(ISBLANK(V128),"",IF($P128="BRL",V128,V128*Macroindicadores!G$2)/1000)</f>
        <v>4.0571999999999999</v>
      </c>
      <c r="AK128" s="39">
        <f>IF(ISBLANK(W128),"",IF($P128="BRL",W128,W128*Macroindicadores!H$2)/1000)</f>
        <v>4.0571999999999999</v>
      </c>
      <c r="AL128" s="39">
        <f>IF(ISBLANK(X128),"",IF($P128="BRL",X128,X128*Macroindicadores!I$2)/1000)</f>
        <v>4.0571999999999999</v>
      </c>
      <c r="AM128" s="39">
        <f>IF(ISBLANK(Y128),"",IF($P128="BRL",Y128,Y128*Macroindicadores!J$2)/1000)</f>
        <v>4.0571999999999999</v>
      </c>
      <c r="AN128" s="39">
        <f>IF(ISBLANK(Z128),"",IF($P128="BRL",Z128,Z128*Macroindicadores!K$2)/1000)</f>
        <v>4.0571999999999999</v>
      </c>
      <c r="AO128" s="39">
        <f>IF(ISBLANK(AA128),"",IF($P128="BRL",AA128,AA128*Macroindicadores!L$2)/1000)</f>
        <v>4.0571999999999999</v>
      </c>
      <c r="AP128" s="39">
        <f>IF(ISBLANK(AB128),"",IF($P128="BRL",AB128,AB128*Macroindicadores!M$2)/1000)</f>
        <v>4.0571999999999999</v>
      </c>
      <c r="AQ128" s="40">
        <f t="shared" si="70"/>
        <v>48.686400000000013</v>
      </c>
      <c r="AS128" s="39">
        <f>IF(ISBLANK(Q128),"",IF(ISBLANK($O128),AE128,IF($J128="ANUAL",AE128*(1+Macroindicadores!B$7),IF(AND($I128="NOVO",MONTH($O128)=MONTH(AS$4)),AE128*(1+Macroindicadores!B$7),IF(AND($J128="PONTUAL",MONTH($O128)=MONTH(AS$4)),AE128*(1+Macroindicadores!B$7),IF(AND($J128="PONTUAL",MONTH($O128)&lt;MONTH(AS$4)),MIN(AR128:$AS128),IF(AND($I128="NOVO",MONTH($O128)&gt;MONTH(AS$4)),AE128,IF(MONTH($O128)&gt;MONTH(AS$4),AE128,IF(MONTH($O128)=MONTH(AS$4),AE128*(1+Macroindicadores!B$7),AR128)))))))))</f>
        <v>4.0571999999999999</v>
      </c>
      <c r="AT128" s="39">
        <f>IF(ISBLANK(R128),"",IF(ISBLANK($O128),AF128,IF($J128="ANUAL",AF128*(1+Macroindicadores!C$7),IF(AND($I128="NOVO",MONTH($O128)=MONTH(AT$4)),AF128*(1+Macroindicadores!C$7),IF(AND($J128="PONTUAL",MONTH($O128)=MONTH(AT$4)),AF128*(1+Macroindicadores!C$7),IF(AND($J128="PONTUAL",MONTH($O128)&lt;MONTH(AT$4)),MIN($AS128:AS128),IF(AND($I128="NOVO",MONTH($O128)&gt;MONTH(AT$4)),AF128,IF(MONTH($O128)&gt;MONTH(AT$4),AF128,IF(MONTH($O128)=MONTH(AT$4),AF128*(1+Macroindicadores!C$7),AS128)))))))))</f>
        <v>4.0571999999999999</v>
      </c>
      <c r="AU128" s="39">
        <f>IF(ISBLANK(S128),"",IF(ISBLANK($O128),AG128,IF($J128="ANUAL",AG128*(1+Macroindicadores!D$7),IF(AND($I128="NOVO",MONTH($O128)=MONTH(AU$4)),AG128*(1+Macroindicadores!D$7),IF(AND($J128="PONTUAL",MONTH($O128)=MONTH(AU$4)),AG128*(1+Macroindicadores!D$7),IF(AND($J128="PONTUAL",MONTH($O128)&lt;MONTH(AU$4)),MIN($AS128:AT128),IF(AND($I128="NOVO",MONTH($O128)&gt;MONTH(AU$4)),AG128,IF(MONTH($O128)&gt;MONTH(AU$4),AG128,IF(MONTH($O128)=MONTH(AU$4),AG128*(1+Macroindicadores!D$7),AT128)))))))))</f>
        <v>4.0571999999999999</v>
      </c>
      <c r="AV128" s="39">
        <f>IF(ISBLANK(T128),"",IF(ISBLANK($O128),AH128,IF($J128="ANUAL",AH128*(1+Macroindicadores!E$7),IF(AND($I128="NOVO",MONTH($O128)=MONTH(AV$4)),AH128*(1+Macroindicadores!E$7),IF(AND($J128="PONTUAL",MONTH($O128)=MONTH(AV$4)),AH128*(1+Macroindicadores!E$7),IF(AND($J128="PONTUAL",MONTH($O128)&lt;MONTH(AV$4)),MIN($AS128:AU128),IF(AND($I128="NOVO",MONTH($O128)&gt;MONTH(AV$4)),AH128,IF(MONTH($O128)&gt;MONTH(AV$4),AH128,IF(MONTH($O128)=MONTH(AV$4),AH128*(1+Macroindicadores!E$7),AU128)))))))))</f>
        <v>4.0571999999999999</v>
      </c>
      <c r="AW128" s="39">
        <f>IF(ISBLANK(U128),"",IF(ISBLANK($O128),AI128,IF($J128="ANUAL",AI128*(1+Macroindicadores!F$7),IF(AND($I128="NOVO",MONTH($O128)=MONTH(AW$4)),AI128*(1+Macroindicadores!F$7),IF(AND($J128="PONTUAL",MONTH($O128)=MONTH(AW$4)),AI128*(1+Macroindicadores!F$7),IF(AND($J128="PONTUAL",MONTH($O128)&lt;MONTH(AW$4)),MIN($AS128:AV128),IF(AND($I128="NOVO",MONTH($O128)&gt;MONTH(AW$4)),AI128,IF(MONTH($O128)&gt;MONTH(AW$4),AI128,IF(MONTH($O128)=MONTH(AW$4),AI128*(1+Macroindicadores!F$7),AV128)))))))))</f>
        <v>4.0571999999999999</v>
      </c>
      <c r="AX128" s="39">
        <f>IF(ISBLANK(V128),"",IF(ISBLANK($O128),AJ128,IF($J128="ANUAL",AJ128*(1+Macroindicadores!G$7),IF(AND($I128="NOVO",MONTH($O128)=MONTH(AX$4)),AJ128*(1+Macroindicadores!G$7),IF(AND($J128="PONTUAL",MONTH($O128)=MONTH(AX$4)),AJ128*(1+Macroindicadores!G$7),IF(AND($J128="PONTUAL",MONTH($O128)&lt;MONTH(AX$4)),MIN($AS128:AW128),IF(AND($I128="NOVO",MONTH($O128)&gt;MONTH(AX$4)),AJ128,IF(MONTH($O128)&gt;MONTH(AX$4),AJ128,IF(MONTH($O128)=MONTH(AX$4),AJ128*(1+Macroindicadores!G$7),AW128)))))))))</f>
        <v>4.0571999999999999</v>
      </c>
      <c r="AY128" s="39">
        <f>IF(ISBLANK(W128),"",IF(ISBLANK($O128),AK128,IF($J128="ANUAL",AK128*(1+Macroindicadores!H$7),IF(AND($I128="NOVO",MONTH($O128)=MONTH(AY$4)),AK128*(1+Macroindicadores!H$7),IF(AND($J128="PONTUAL",MONTH($O128)=MONTH(AY$4)),AK128*(1+Macroindicadores!H$7),IF(AND($J128="PONTUAL",MONTH($O128)&lt;MONTH(AY$4)),MIN($AS128:AX128),IF(AND($I128="NOVO",MONTH($O128)&gt;MONTH(AY$4)),AK128,IF(MONTH($O128)&gt;MONTH(AY$4),AK128,IF(MONTH($O128)=MONTH(AY$4),AK128*(1+Macroindicadores!H$7),AX128)))))))))</f>
        <v>4.0571999999999999</v>
      </c>
      <c r="AZ128" s="39">
        <f>IF(ISBLANK(X128),"",IF(ISBLANK($O128),AL128,IF($J128="ANUAL",AL128*(1+Macroindicadores!I$7),IF(AND($I128="NOVO",MONTH($O128)=MONTH(AZ$4)),AL128*(1+Macroindicadores!I$7),IF(AND($J128="PONTUAL",MONTH($O128)=MONTH(AZ$4)),AL128*(1+Macroindicadores!I$7),IF(AND($J128="PONTUAL",MONTH($O128)&lt;MONTH(AZ$4)),MIN($AS128:AY128),IF(AND($I128="NOVO",MONTH($O128)&gt;MONTH(AZ$4)),AL128,IF(MONTH($O128)&gt;MONTH(AZ$4),AL128,IF(MONTH($O128)=MONTH(AZ$4),AL128*(1+Macroindicadores!I$7),AY128)))))))))</f>
        <v>4.0571999999999999</v>
      </c>
      <c r="BA128" s="39">
        <f>IF(ISBLANK(Y128),"",IF(ISBLANK($O128),AM128,IF($J128="ANUAL",AM128*(1+Macroindicadores!J$7),IF(AND($I128="NOVO",MONTH($O128)=MONTH(BA$4)),AM128*(1+Macroindicadores!J$7),IF(AND($J128="PONTUAL",MONTH($O128)=MONTH(BA$4)),AM128*(1+Macroindicadores!J$7),IF(AND($J128="PONTUAL",MONTH($O128)&lt;MONTH(BA$4)),MIN($AS128:AZ128),IF(AND($I128="NOVO",MONTH($O128)&gt;MONTH(BA$4)),AM128,IF(MONTH($O128)&gt;MONTH(BA$4),AM128,IF(MONTH($O128)=MONTH(BA$4),AM128*(1+Macroindicadores!J$7),AZ128)))))))))</f>
        <v>4.0571999999999999</v>
      </c>
      <c r="BB128" s="39">
        <f>IF(ISBLANK(Z128),"",IF(ISBLANK($O128),AN128,IF($J128="ANUAL",AN128*(1+Macroindicadores!K$7),IF(AND($I128="NOVO",MONTH($O128)=MONTH(BB$4)),AN128*(1+Macroindicadores!K$7),IF(AND($J128="PONTUAL",MONTH($O128)=MONTH(BB$4)),AN128*(1+Macroindicadores!K$7),IF(AND($J128="PONTUAL",MONTH($O128)&lt;MONTH(BB$4)),MIN($AS128:BA128),IF(AND($I128="NOVO",MONTH($O128)&gt;MONTH(BB$4)),AN128,IF(MONTH($O128)&gt;MONTH(BB$4),AN128,IF(MONTH($O128)=MONTH(BB$4),AN128*(1+Macroindicadores!K$7),BA128)))))))))</f>
        <v>4.0571999999999999</v>
      </c>
      <c r="BC128" s="39">
        <f>IF(ISBLANK(AA128),"",IF(ISBLANK($O128),AO128,IF($J128="ANUAL",AO128*(1+Macroindicadores!L$7),IF(AND($I128="NOVO",MONTH($O128)=MONTH(BC$4)),AO128*(1+Macroindicadores!L$7),IF(AND($J128="PONTUAL",MONTH($O128)=MONTH(BC$4)),AO128*(1+Macroindicadores!L$7),IF(AND($J128="PONTUAL",MONTH($O128)&lt;MONTH(BC$4)),MIN($AS128:BB128),IF(AND($I128="NOVO",MONTH($O128)&gt;MONTH(BC$4)),AO128,IF(MONTH($O128)&gt;MONTH(BC$4),AO128,IF(MONTH($O128)=MONTH(BC$4),AO128*(1+Macroindicadores!L$7),BB128)))))))))</f>
        <v>4.0571999999999999</v>
      </c>
      <c r="BD128" s="39">
        <f>IF(ISBLANK(AB128),"",IF(ISBLANK($O128),AP128,IF($J128="ANUAL",AP128*(1+Macroindicadores!M$7),IF(AND($I128="NOVO",MONTH($O128)=MONTH(BD$4)),AP128*(1+Macroindicadores!M$7),IF(AND($J128="PONTUAL",MONTH($O128)=MONTH(BD$4)),AP128*(1+Macroindicadores!M$7),IF(AND($J128="PONTUAL",MONTH($O128)&lt;MONTH(BD$4)),MIN($AS128:BC128),IF(AND($I128="NOVO",MONTH($O128)&gt;MONTH(BD$4)),AP128,IF(MONTH($O128)&gt;MONTH(BD$4),AP128,IF(MONTH($O128)=MONTH(BD$4),AP128*(1+Macroindicadores!M$7),BC128)))))))))</f>
        <v>4.0571999999999999</v>
      </c>
      <c r="BE128" s="40">
        <f t="shared" si="71"/>
        <v>48.686400000000013</v>
      </c>
      <c r="BG128" s="39">
        <f>IF(ISBLANK(Q128),"",AS128/Macroindicadores!B$2)</f>
        <v>0.69</v>
      </c>
      <c r="BH128" s="39">
        <f>IF(ISBLANK(R128),"",AT128/Macroindicadores!C$2)</f>
        <v>0.69</v>
      </c>
      <c r="BI128" s="39">
        <f>IF(ISBLANK(S128),"",AU128/Macroindicadores!D$2)</f>
        <v>0.69</v>
      </c>
      <c r="BJ128" s="39">
        <f>IF(ISBLANK(T128),"",AV128/Macroindicadores!E$2)</f>
        <v>0.69</v>
      </c>
      <c r="BK128" s="39">
        <f>IF(ISBLANK(U128),"",AW128/Macroindicadores!F$2)</f>
        <v>0.69</v>
      </c>
      <c r="BL128" s="39">
        <f>IF(ISBLANK(V128),"",AX128/Macroindicadores!G$2)</f>
        <v>0.69</v>
      </c>
      <c r="BM128" s="39">
        <f>IF(ISBLANK(W128),"",AY128/Macroindicadores!H$2)</f>
        <v>0.69</v>
      </c>
      <c r="BN128" s="39">
        <f>IF(ISBLANK(X128),"",AZ128/Macroindicadores!I$2)</f>
        <v>0.69</v>
      </c>
      <c r="BO128" s="39">
        <f>IF(ISBLANK(Y128),"",BA128/Macroindicadores!J$2)</f>
        <v>0.69</v>
      </c>
      <c r="BP128" s="39">
        <f>IF(ISBLANK(Z128),"",BB128/Macroindicadores!K$2)</f>
        <v>0.69</v>
      </c>
      <c r="BQ128" s="39">
        <f>IF(ISBLANK(AA128),"",BC128/Macroindicadores!L$2)</f>
        <v>0.69</v>
      </c>
      <c r="BR128" s="39">
        <f>IF(ISBLANK(AB128),"",BD128/Macroindicadores!M$2)</f>
        <v>0.69</v>
      </c>
      <c r="BS128" s="40">
        <f>IF(AND(ISBLANK($Q128),ISBLANK($R128),ISBLANK($S128),ISBLANK($T128),ISBLANK($U128),ISBLANK($V128),ISBLANK($W128),ISBLANK($X128),ISBLANK($Y128),ISBLANK($Z128),ISBLANK($AA128),ISBLANK($AB128)),"",SUM(BG128:BR128))</f>
        <v>8.2799999999999976</v>
      </c>
      <c r="BT128" s="25" t="str">
        <f>IF(ISBLANK($L128),"",_xlfn.XLOOKUP($L128,'CENTRO CUSTO'!$A:$A,'CENTRO CUSTO'!$E:$E,FALSE,0))</f>
        <v>G&amp;A BU</v>
      </c>
    </row>
    <row r="129" spans="1:72">
      <c r="A129" s="9" t="str">
        <f t="shared" si="72"/>
        <v>Budget</v>
      </c>
      <c r="B129" s="9">
        <f t="shared" si="69"/>
        <v>2026</v>
      </c>
      <c r="C129" s="18" t="str">
        <f>IF(ISBLANK($L129),"",_xlfn.XLOOKUP($L129,'CENTRO CUSTO'!$A:$A,'CENTRO CUSTO'!F:F,FALSE,0))</f>
        <v>Cone Sul</v>
      </c>
      <c r="D129" s="111" t="str">
        <f>IF(ISBLANK($L129),"",_xlfn.XLOOKUP($L129,'CENTRO CUSTO'!$A:$A,'CENTRO CUSTO'!G:G,FALSE,0))</f>
        <v>Plataforma</v>
      </c>
      <c r="E129" s="18" t="str">
        <f>IF(ISBLANK($L129),"",_xlfn.XLOOKUP($L129,'CENTRO CUSTO'!$A:$A,'CENTRO CUSTO'!H:H,FALSE,0))</f>
        <v>G&amp;A</v>
      </c>
      <c r="F129" s="10" t="s">
        <v>159</v>
      </c>
      <c r="G129" s="10" t="s">
        <v>123</v>
      </c>
      <c r="H129" s="10" t="s">
        <v>160</v>
      </c>
      <c r="I129" s="11" t="s">
        <v>77</v>
      </c>
      <c r="J129" s="11" t="s">
        <v>120</v>
      </c>
      <c r="K129" s="11" t="s">
        <v>79</v>
      </c>
      <c r="L129" s="11" t="s">
        <v>54</v>
      </c>
      <c r="M129" s="18" t="str">
        <f>IF(ISBLANK($L129),"",_xlfn.XLOOKUP($L129,'CENTRO CUSTO'!$A:$A,'CENTRO CUSTO'!D:D,FALSE,0))</f>
        <v>Alexandre Ayabe</v>
      </c>
      <c r="N129" s="11" t="s">
        <v>87</v>
      </c>
      <c r="O129" s="12"/>
      <c r="P129" s="11" t="s">
        <v>88</v>
      </c>
      <c r="Q129" s="41">
        <f>138000*Rateio!$E$238/12</f>
        <v>1840</v>
      </c>
      <c r="R129" s="41">
        <f>138000*Rateio!$E$238/12</f>
        <v>1840</v>
      </c>
      <c r="S129" s="41">
        <f>138000*Rateio!$E$238/12</f>
        <v>1840</v>
      </c>
      <c r="T129" s="41">
        <f>138000*Rateio!$E$238/12</f>
        <v>1840</v>
      </c>
      <c r="U129" s="41">
        <f>138000*Rateio!$E$238/12</f>
        <v>1840</v>
      </c>
      <c r="V129" s="41">
        <f>138000*Rateio!$E$238/12</f>
        <v>1840</v>
      </c>
      <c r="W129" s="41">
        <f>138000*Rateio!$E$238/12</f>
        <v>1840</v>
      </c>
      <c r="X129" s="41">
        <f>138000*Rateio!$E$238/12</f>
        <v>1840</v>
      </c>
      <c r="Y129" s="41">
        <f>138000*Rateio!$E$238/12</f>
        <v>1840</v>
      </c>
      <c r="Z129" s="41">
        <f>138000*Rateio!$E$238/12</f>
        <v>1840</v>
      </c>
      <c r="AA129" s="41">
        <f>138000*Rateio!$E$238/12</f>
        <v>1840</v>
      </c>
      <c r="AB129" s="41">
        <f>138000*Rateio!$E$238/12</f>
        <v>1840</v>
      </c>
      <c r="AC129" s="116">
        <f t="shared" si="73"/>
        <v>22080</v>
      </c>
      <c r="AE129" s="39">
        <f>IF(ISBLANK(Q129),"",IF($P129="BRL",Q129,Q129*Macroindicadores!B$2)/1000)</f>
        <v>10.819199999999999</v>
      </c>
      <c r="AF129" s="39">
        <f>IF(ISBLANK(R129),"",IF($P129="BRL",R129,R129*Macroindicadores!C$2)/1000)</f>
        <v>10.819199999999999</v>
      </c>
      <c r="AG129" s="39">
        <f>IF(ISBLANK(S129),"",IF($P129="BRL",S129,S129*Macroindicadores!D$2)/1000)</f>
        <v>10.819199999999999</v>
      </c>
      <c r="AH129" s="39">
        <f>IF(ISBLANK(T129),"",IF($P129="BRL",T129,T129*Macroindicadores!E$2)/1000)</f>
        <v>10.819199999999999</v>
      </c>
      <c r="AI129" s="39">
        <f>IF(ISBLANK(U129),"",IF($P129="BRL",U129,U129*Macroindicadores!F$2)/1000)</f>
        <v>10.819199999999999</v>
      </c>
      <c r="AJ129" s="39">
        <f>IF(ISBLANK(V129),"",IF($P129="BRL",V129,V129*Macroindicadores!G$2)/1000)</f>
        <v>10.819199999999999</v>
      </c>
      <c r="AK129" s="39">
        <f>IF(ISBLANK(W129),"",IF($P129="BRL",W129,W129*Macroindicadores!H$2)/1000)</f>
        <v>10.819199999999999</v>
      </c>
      <c r="AL129" s="39">
        <f>IF(ISBLANK(X129),"",IF($P129="BRL",X129,X129*Macroindicadores!I$2)/1000)</f>
        <v>10.819199999999999</v>
      </c>
      <c r="AM129" s="39">
        <f>IF(ISBLANK(Y129),"",IF($P129="BRL",Y129,Y129*Macroindicadores!J$2)/1000)</f>
        <v>10.819199999999999</v>
      </c>
      <c r="AN129" s="39">
        <f>IF(ISBLANK(Z129),"",IF($P129="BRL",Z129,Z129*Macroindicadores!K$2)/1000)</f>
        <v>10.819199999999999</v>
      </c>
      <c r="AO129" s="39">
        <f>IF(ISBLANK(AA129),"",IF($P129="BRL",AA129,AA129*Macroindicadores!L$2)/1000)</f>
        <v>10.819199999999999</v>
      </c>
      <c r="AP129" s="39">
        <f>IF(ISBLANK(AB129),"",IF($P129="BRL",AB129,AB129*Macroindicadores!M$2)/1000)</f>
        <v>10.819199999999999</v>
      </c>
      <c r="AQ129" s="40">
        <f t="shared" si="70"/>
        <v>129.83039999999997</v>
      </c>
      <c r="AS129" s="39">
        <f>IF(ISBLANK(Q129),"",IF(ISBLANK($O129),AE129,IF($J129="ANUAL",AE129*(1+Macroindicadores!B$7),IF(AND($I129="NOVO",MONTH($O129)=MONTH(AS$4)),AE129*(1+Macroindicadores!B$7),IF(AND($J129="PONTUAL",MONTH($O129)=MONTH(AS$4)),AE129*(1+Macroindicadores!B$7),IF(AND($J129="PONTUAL",MONTH($O129)&lt;MONTH(AS$4)),MIN(AR129:$AS129),IF(AND($I129="NOVO",MONTH($O129)&gt;MONTH(AS$4)),AE129,IF(MONTH($O129)&gt;MONTH(AS$4),AE129,IF(MONTH($O129)=MONTH(AS$4),AE129*(1+Macroindicadores!B$7),AR129)))))))))</f>
        <v>10.819199999999999</v>
      </c>
      <c r="AT129" s="39">
        <f>IF(ISBLANK(R129),"",IF(ISBLANK($O129),AF129,IF($J129="ANUAL",AF129*(1+Macroindicadores!C$7),IF(AND($I129="NOVO",MONTH($O129)=MONTH(AT$4)),AF129*(1+Macroindicadores!C$7),IF(AND($J129="PONTUAL",MONTH($O129)=MONTH(AT$4)),AF129*(1+Macroindicadores!C$7),IF(AND($J129="PONTUAL",MONTH($O129)&lt;MONTH(AT$4)),MIN($AS129:AS129),IF(AND($I129="NOVO",MONTH($O129)&gt;MONTH(AT$4)),AF129,IF(MONTH($O129)&gt;MONTH(AT$4),AF129,IF(MONTH($O129)=MONTH(AT$4),AF129*(1+Macroindicadores!C$7),AS129)))))))))</f>
        <v>10.819199999999999</v>
      </c>
      <c r="AU129" s="39">
        <f>IF(ISBLANK(S129),"",IF(ISBLANK($O129),AG129,IF($J129="ANUAL",AG129*(1+Macroindicadores!D$7),IF(AND($I129="NOVO",MONTH($O129)=MONTH(AU$4)),AG129*(1+Macroindicadores!D$7),IF(AND($J129="PONTUAL",MONTH($O129)=MONTH(AU$4)),AG129*(1+Macroindicadores!D$7),IF(AND($J129="PONTUAL",MONTH($O129)&lt;MONTH(AU$4)),MIN($AS129:AT129),IF(AND($I129="NOVO",MONTH($O129)&gt;MONTH(AU$4)),AG129,IF(MONTH($O129)&gt;MONTH(AU$4),AG129,IF(MONTH($O129)=MONTH(AU$4),AG129*(1+Macroindicadores!D$7),AT129)))))))))</f>
        <v>10.819199999999999</v>
      </c>
      <c r="AV129" s="39">
        <f>IF(ISBLANK(T129),"",IF(ISBLANK($O129),AH129,IF($J129="ANUAL",AH129*(1+Macroindicadores!E$7),IF(AND($I129="NOVO",MONTH($O129)=MONTH(AV$4)),AH129*(1+Macroindicadores!E$7),IF(AND($J129="PONTUAL",MONTH($O129)=MONTH(AV$4)),AH129*(1+Macroindicadores!E$7),IF(AND($J129="PONTUAL",MONTH($O129)&lt;MONTH(AV$4)),MIN($AS129:AU129),IF(AND($I129="NOVO",MONTH($O129)&gt;MONTH(AV$4)),AH129,IF(MONTH($O129)&gt;MONTH(AV$4),AH129,IF(MONTH($O129)=MONTH(AV$4),AH129*(1+Macroindicadores!E$7),AU129)))))))))</f>
        <v>10.819199999999999</v>
      </c>
      <c r="AW129" s="39">
        <f>IF(ISBLANK(U129),"",IF(ISBLANK($O129),AI129,IF($J129="ANUAL",AI129*(1+Macroindicadores!F$7),IF(AND($I129="NOVO",MONTH($O129)=MONTH(AW$4)),AI129*(1+Macroindicadores!F$7),IF(AND($J129="PONTUAL",MONTH($O129)=MONTH(AW$4)),AI129*(1+Macroindicadores!F$7),IF(AND($J129="PONTUAL",MONTH($O129)&lt;MONTH(AW$4)),MIN($AS129:AV129),IF(AND($I129="NOVO",MONTH($O129)&gt;MONTH(AW$4)),AI129,IF(MONTH($O129)&gt;MONTH(AW$4),AI129,IF(MONTH($O129)=MONTH(AW$4),AI129*(1+Macroindicadores!F$7),AV129)))))))))</f>
        <v>10.819199999999999</v>
      </c>
      <c r="AX129" s="39">
        <f>IF(ISBLANK(V129),"",IF(ISBLANK($O129),AJ129,IF($J129="ANUAL",AJ129*(1+Macroindicadores!G$7),IF(AND($I129="NOVO",MONTH($O129)=MONTH(AX$4)),AJ129*(1+Macroindicadores!G$7),IF(AND($J129="PONTUAL",MONTH($O129)=MONTH(AX$4)),AJ129*(1+Macroindicadores!G$7),IF(AND($J129="PONTUAL",MONTH($O129)&lt;MONTH(AX$4)),MIN($AS129:AW129),IF(AND($I129="NOVO",MONTH($O129)&gt;MONTH(AX$4)),AJ129,IF(MONTH($O129)&gt;MONTH(AX$4),AJ129,IF(MONTH($O129)=MONTH(AX$4),AJ129*(1+Macroindicadores!G$7),AW129)))))))))</f>
        <v>10.819199999999999</v>
      </c>
      <c r="AY129" s="39">
        <f>IF(ISBLANK(W129),"",IF(ISBLANK($O129),AK129,IF($J129="ANUAL",AK129*(1+Macroindicadores!H$7),IF(AND($I129="NOVO",MONTH($O129)=MONTH(AY$4)),AK129*(1+Macroindicadores!H$7),IF(AND($J129="PONTUAL",MONTH($O129)=MONTH(AY$4)),AK129*(1+Macroindicadores!H$7),IF(AND($J129="PONTUAL",MONTH($O129)&lt;MONTH(AY$4)),MIN($AS129:AX129),IF(AND($I129="NOVO",MONTH($O129)&gt;MONTH(AY$4)),AK129,IF(MONTH($O129)&gt;MONTH(AY$4),AK129,IF(MONTH($O129)=MONTH(AY$4),AK129*(1+Macroindicadores!H$7),AX129)))))))))</f>
        <v>10.819199999999999</v>
      </c>
      <c r="AZ129" s="39">
        <f>IF(ISBLANK(X129),"",IF(ISBLANK($O129),AL129,IF($J129="ANUAL",AL129*(1+Macroindicadores!I$7),IF(AND($I129="NOVO",MONTH($O129)=MONTH(AZ$4)),AL129*(1+Macroindicadores!I$7),IF(AND($J129="PONTUAL",MONTH($O129)=MONTH(AZ$4)),AL129*(1+Macroindicadores!I$7),IF(AND($J129="PONTUAL",MONTH($O129)&lt;MONTH(AZ$4)),MIN($AS129:AY129),IF(AND($I129="NOVO",MONTH($O129)&gt;MONTH(AZ$4)),AL129,IF(MONTH($O129)&gt;MONTH(AZ$4),AL129,IF(MONTH($O129)=MONTH(AZ$4),AL129*(1+Macroindicadores!I$7),AY129)))))))))</f>
        <v>10.819199999999999</v>
      </c>
      <c r="BA129" s="39">
        <f>IF(ISBLANK(Y129),"",IF(ISBLANK($O129),AM129,IF($J129="ANUAL",AM129*(1+Macroindicadores!J$7),IF(AND($I129="NOVO",MONTH($O129)=MONTH(BA$4)),AM129*(1+Macroindicadores!J$7),IF(AND($J129="PONTUAL",MONTH($O129)=MONTH(BA$4)),AM129*(1+Macroindicadores!J$7),IF(AND($J129="PONTUAL",MONTH($O129)&lt;MONTH(BA$4)),MIN($AS129:AZ129),IF(AND($I129="NOVO",MONTH($O129)&gt;MONTH(BA$4)),AM129,IF(MONTH($O129)&gt;MONTH(BA$4),AM129,IF(MONTH($O129)=MONTH(BA$4),AM129*(1+Macroindicadores!J$7),AZ129)))))))))</f>
        <v>10.819199999999999</v>
      </c>
      <c r="BB129" s="39">
        <f>IF(ISBLANK(Z129),"",IF(ISBLANK($O129),AN129,IF($J129="ANUAL",AN129*(1+Macroindicadores!K$7),IF(AND($I129="NOVO",MONTH($O129)=MONTH(BB$4)),AN129*(1+Macroindicadores!K$7),IF(AND($J129="PONTUAL",MONTH($O129)=MONTH(BB$4)),AN129*(1+Macroindicadores!K$7),IF(AND($J129="PONTUAL",MONTH($O129)&lt;MONTH(BB$4)),MIN($AS129:BA129),IF(AND($I129="NOVO",MONTH($O129)&gt;MONTH(BB$4)),AN129,IF(MONTH($O129)&gt;MONTH(BB$4),AN129,IF(MONTH($O129)=MONTH(BB$4),AN129*(1+Macroindicadores!K$7),BA129)))))))))</f>
        <v>10.819199999999999</v>
      </c>
      <c r="BC129" s="39">
        <f>IF(ISBLANK(AA129),"",IF(ISBLANK($O129),AO129,IF($J129="ANUAL",AO129*(1+Macroindicadores!L$7),IF(AND($I129="NOVO",MONTH($O129)=MONTH(BC$4)),AO129*(1+Macroindicadores!L$7),IF(AND($J129="PONTUAL",MONTH($O129)=MONTH(BC$4)),AO129*(1+Macroindicadores!L$7),IF(AND($J129="PONTUAL",MONTH($O129)&lt;MONTH(BC$4)),MIN($AS129:BB129),IF(AND($I129="NOVO",MONTH($O129)&gt;MONTH(BC$4)),AO129,IF(MONTH($O129)&gt;MONTH(BC$4),AO129,IF(MONTH($O129)=MONTH(BC$4),AO129*(1+Macroindicadores!L$7),BB129)))))))))</f>
        <v>10.819199999999999</v>
      </c>
      <c r="BD129" s="39">
        <f>IF(ISBLANK(AB129),"",IF(ISBLANK($O129),AP129,IF($J129="ANUAL",AP129*(1+Macroindicadores!M$7),IF(AND($I129="NOVO",MONTH($O129)=MONTH(BD$4)),AP129*(1+Macroindicadores!M$7),IF(AND($J129="PONTUAL",MONTH($O129)=MONTH(BD$4)),AP129*(1+Macroindicadores!M$7),IF(AND($J129="PONTUAL",MONTH($O129)&lt;MONTH(BD$4)),MIN($AS129:BC129),IF(AND($I129="NOVO",MONTH($O129)&gt;MONTH(BD$4)),AP129,IF(MONTH($O129)&gt;MONTH(BD$4),AP129,IF(MONTH($O129)=MONTH(BD$4),AP129*(1+Macroindicadores!M$7),BC129)))))))))</f>
        <v>10.819199999999999</v>
      </c>
      <c r="BE129" s="40">
        <f t="shared" si="71"/>
        <v>129.83039999999997</v>
      </c>
      <c r="BG129" s="39">
        <f>IF(ISBLANK(Q129),"",AS129/Macroindicadores!B$2)</f>
        <v>1.8399999999999999</v>
      </c>
      <c r="BH129" s="39">
        <f>IF(ISBLANK(R129),"",AT129/Macroindicadores!C$2)</f>
        <v>1.8399999999999999</v>
      </c>
      <c r="BI129" s="39">
        <f>IF(ISBLANK(S129),"",AU129/Macroindicadores!D$2)</f>
        <v>1.8399999999999999</v>
      </c>
      <c r="BJ129" s="39">
        <f>IF(ISBLANK(T129),"",AV129/Macroindicadores!E$2)</f>
        <v>1.8399999999999999</v>
      </c>
      <c r="BK129" s="39">
        <f>IF(ISBLANK(U129),"",AW129/Macroindicadores!F$2)</f>
        <v>1.8399999999999999</v>
      </c>
      <c r="BL129" s="39">
        <f>IF(ISBLANK(V129),"",AX129/Macroindicadores!G$2)</f>
        <v>1.8399999999999999</v>
      </c>
      <c r="BM129" s="39">
        <f>IF(ISBLANK(W129),"",AY129/Macroindicadores!H$2)</f>
        <v>1.8399999999999999</v>
      </c>
      <c r="BN129" s="39">
        <f>IF(ISBLANK(X129),"",AZ129/Macroindicadores!I$2)</f>
        <v>1.8399999999999999</v>
      </c>
      <c r="BO129" s="39">
        <f>IF(ISBLANK(Y129),"",BA129/Macroindicadores!J$2)</f>
        <v>1.8399999999999999</v>
      </c>
      <c r="BP129" s="39">
        <f>IF(ISBLANK(Z129),"",BB129/Macroindicadores!K$2)</f>
        <v>1.8399999999999999</v>
      </c>
      <c r="BQ129" s="39">
        <f>IF(ISBLANK(AA129),"",BC129/Macroindicadores!L$2)</f>
        <v>1.8399999999999999</v>
      </c>
      <c r="BR129" s="39">
        <f>IF(ISBLANK(AB129),"",BD129/Macroindicadores!M$2)</f>
        <v>1.8399999999999999</v>
      </c>
      <c r="BS129" s="40">
        <f>IF(AND(ISBLANK($Q129),ISBLANK($R129),ISBLANK($S129),ISBLANK($T129),ISBLANK($U129),ISBLANK($V129),ISBLANK($W129),ISBLANK($X129),ISBLANK($Y129),ISBLANK($Z129),ISBLANK($AA129),ISBLANK($AB129)),"",SUM(BG129:BR129))</f>
        <v>22.08</v>
      </c>
      <c r="BT129" s="25" t="str">
        <f>IF(ISBLANK($L129),"",_xlfn.XLOOKUP($L129,'CENTRO CUSTO'!$A:$A,'CENTRO CUSTO'!$E:$E,FALSE,0))</f>
        <v>G&amp;A PL</v>
      </c>
    </row>
    <row r="130" spans="1:72">
      <c r="A130" s="9" t="str">
        <f t="shared" si="72"/>
        <v>Budget</v>
      </c>
      <c r="B130" s="9">
        <f t="shared" si="69"/>
        <v>2026</v>
      </c>
      <c r="C130" s="18" t="str">
        <f>IF(ISBLANK($L130),"",_xlfn.XLOOKUP($L130,'CENTRO CUSTO'!$A:$A,'CENTRO CUSTO'!F:F,FALSE,0))</f>
        <v>LATAM</v>
      </c>
      <c r="D130" s="111" t="str">
        <f>IF(ISBLANK($L130),"",_xlfn.XLOOKUP($L130,'CENTRO CUSTO'!$A:$A,'CENTRO CUSTO'!G:G,FALSE,0))</f>
        <v>Corporativo</v>
      </c>
      <c r="E130" s="18" t="str">
        <f>IF(ISBLANK($L130),"",_xlfn.XLOOKUP($L130,'CENTRO CUSTO'!$A:$A,'CENTRO CUSTO'!H:H,FALSE,0))</f>
        <v>G&amp;A</v>
      </c>
      <c r="F130" s="10" t="s">
        <v>159</v>
      </c>
      <c r="G130" s="10" t="s">
        <v>123</v>
      </c>
      <c r="H130" s="10" t="s">
        <v>160</v>
      </c>
      <c r="I130" s="11" t="s">
        <v>77</v>
      </c>
      <c r="J130" s="11" t="s">
        <v>120</v>
      </c>
      <c r="K130" s="11" t="s">
        <v>79</v>
      </c>
      <c r="L130" s="11" t="s">
        <v>96</v>
      </c>
      <c r="M130" s="18" t="str">
        <f>IF(ISBLANK($L130),"",_xlfn.XLOOKUP($L130,'CENTRO CUSTO'!$A:$A,'CENTRO CUSTO'!D:D,FALSE,0))</f>
        <v>Jimmy Espinosa</v>
      </c>
      <c r="N130" s="11" t="s">
        <v>87</v>
      </c>
      <c r="O130" s="12"/>
      <c r="P130" s="11" t="s">
        <v>88</v>
      </c>
      <c r="Q130" s="41">
        <f>138000*Rateio!$E$239/12</f>
        <v>575</v>
      </c>
      <c r="R130" s="41">
        <f>138000*Rateio!$E$239/12</f>
        <v>575</v>
      </c>
      <c r="S130" s="41">
        <f>138000*Rateio!$E$239/12</f>
        <v>575</v>
      </c>
      <c r="T130" s="41">
        <f>138000*Rateio!$E$239/12</f>
        <v>575</v>
      </c>
      <c r="U130" s="41">
        <f>138000*Rateio!$E$239/12</f>
        <v>575</v>
      </c>
      <c r="V130" s="41">
        <f>138000*Rateio!$E$239/12</f>
        <v>575</v>
      </c>
      <c r="W130" s="41">
        <f>138000*Rateio!$E$239/12</f>
        <v>575</v>
      </c>
      <c r="X130" s="41">
        <f>138000*Rateio!$E$239/12</f>
        <v>575</v>
      </c>
      <c r="Y130" s="41">
        <f>138000*Rateio!$E$239/12</f>
        <v>575</v>
      </c>
      <c r="Z130" s="41">
        <f>138000*Rateio!$E$239/12</f>
        <v>575</v>
      </c>
      <c r="AA130" s="41">
        <f>138000*Rateio!$E$239/12</f>
        <v>575</v>
      </c>
      <c r="AB130" s="41">
        <f>138000*Rateio!$E$239/12</f>
        <v>575</v>
      </c>
      <c r="AC130" s="116">
        <f t="shared" si="73"/>
        <v>6900</v>
      </c>
      <c r="AE130" s="39">
        <f>IF(ISBLANK(Q130),"",IF($P130="BRL",Q130,Q130*Macroindicadores!B$2)/1000)</f>
        <v>3.3809999999999998</v>
      </c>
      <c r="AF130" s="39">
        <f>IF(ISBLANK(R130),"",IF($P130="BRL",R130,R130*Macroindicadores!C$2)/1000)</f>
        <v>3.3809999999999998</v>
      </c>
      <c r="AG130" s="39">
        <f>IF(ISBLANK(S130),"",IF($P130="BRL",S130,S130*Macroindicadores!D$2)/1000)</f>
        <v>3.3809999999999998</v>
      </c>
      <c r="AH130" s="39">
        <f>IF(ISBLANK(T130),"",IF($P130="BRL",T130,T130*Macroindicadores!E$2)/1000)</f>
        <v>3.3809999999999998</v>
      </c>
      <c r="AI130" s="39">
        <f>IF(ISBLANK(U130),"",IF($P130="BRL",U130,U130*Macroindicadores!F$2)/1000)</f>
        <v>3.3809999999999998</v>
      </c>
      <c r="AJ130" s="39">
        <f>IF(ISBLANK(V130),"",IF($P130="BRL",V130,V130*Macroindicadores!G$2)/1000)</f>
        <v>3.3809999999999998</v>
      </c>
      <c r="AK130" s="39">
        <f>IF(ISBLANK(W130),"",IF($P130="BRL",W130,W130*Macroindicadores!H$2)/1000)</f>
        <v>3.3809999999999998</v>
      </c>
      <c r="AL130" s="39">
        <f>IF(ISBLANK(X130),"",IF($P130="BRL",X130,X130*Macroindicadores!I$2)/1000)</f>
        <v>3.3809999999999998</v>
      </c>
      <c r="AM130" s="39">
        <f>IF(ISBLANK(Y130),"",IF($P130="BRL",Y130,Y130*Macroindicadores!J$2)/1000)</f>
        <v>3.3809999999999998</v>
      </c>
      <c r="AN130" s="39">
        <f>IF(ISBLANK(Z130),"",IF($P130="BRL",Z130,Z130*Macroindicadores!K$2)/1000)</f>
        <v>3.3809999999999998</v>
      </c>
      <c r="AO130" s="39">
        <f>IF(ISBLANK(AA130),"",IF($P130="BRL",AA130,AA130*Macroindicadores!L$2)/1000)</f>
        <v>3.3809999999999998</v>
      </c>
      <c r="AP130" s="39">
        <f>IF(ISBLANK(AB130),"",IF($P130="BRL",AB130,AB130*Macroindicadores!M$2)/1000)</f>
        <v>3.3809999999999998</v>
      </c>
      <c r="AQ130" s="40">
        <f t="shared" si="70"/>
        <v>40.571999999999996</v>
      </c>
      <c r="AS130" s="39">
        <f>IF(ISBLANK(Q130),"",IF(ISBLANK($O130),AE130,IF($J130="ANUAL",AE130*(1+Macroindicadores!B$7),IF(AND($I130="NOVO",MONTH($O130)=MONTH(AS$4)),AE130*(1+Macroindicadores!B$7),IF(AND($J130="PONTUAL",MONTH($O130)=MONTH(AS$4)),AE130*(1+Macroindicadores!B$7),IF(AND($J130="PONTUAL",MONTH($O130)&lt;MONTH(AS$4)),MIN(AR130:$AS130),IF(AND($I130="NOVO",MONTH($O130)&gt;MONTH(AS$4)),AE130,IF(MONTH($O130)&gt;MONTH(AS$4),AE130,IF(MONTH($O130)=MONTH(AS$4),AE130*(1+Macroindicadores!B$7),AR130)))))))))</f>
        <v>3.3809999999999998</v>
      </c>
      <c r="AT130" s="39">
        <f>IF(ISBLANK(R130),"",IF(ISBLANK($O130),AF130,IF($J130="ANUAL",AF130*(1+Macroindicadores!C$7),IF(AND($I130="NOVO",MONTH($O130)=MONTH(AT$4)),AF130*(1+Macroindicadores!C$7),IF(AND($J130="PONTUAL",MONTH($O130)=MONTH(AT$4)),AF130*(1+Macroindicadores!C$7),IF(AND($J130="PONTUAL",MONTH($O130)&lt;MONTH(AT$4)),MIN($AS130:AS130),IF(AND($I130="NOVO",MONTH($O130)&gt;MONTH(AT$4)),AF130,IF(MONTH($O130)&gt;MONTH(AT$4),AF130,IF(MONTH($O130)=MONTH(AT$4),AF130*(1+Macroindicadores!C$7),AS130)))))))))</f>
        <v>3.3809999999999998</v>
      </c>
      <c r="AU130" s="39">
        <f>IF(ISBLANK(S130),"",IF(ISBLANK($O130),AG130,IF($J130="ANUAL",AG130*(1+Macroindicadores!D$7),IF(AND($I130="NOVO",MONTH($O130)=MONTH(AU$4)),AG130*(1+Macroindicadores!D$7),IF(AND($J130="PONTUAL",MONTH($O130)=MONTH(AU$4)),AG130*(1+Macroindicadores!D$7),IF(AND($J130="PONTUAL",MONTH($O130)&lt;MONTH(AU$4)),MIN($AS130:AT130),IF(AND($I130="NOVO",MONTH($O130)&gt;MONTH(AU$4)),AG130,IF(MONTH($O130)&gt;MONTH(AU$4),AG130,IF(MONTH($O130)=MONTH(AU$4),AG130*(1+Macroindicadores!D$7),AT130)))))))))</f>
        <v>3.3809999999999998</v>
      </c>
      <c r="AV130" s="39">
        <f>IF(ISBLANK(T130),"",IF(ISBLANK($O130),AH130,IF($J130="ANUAL",AH130*(1+Macroindicadores!E$7),IF(AND($I130="NOVO",MONTH($O130)=MONTH(AV$4)),AH130*(1+Macroindicadores!E$7),IF(AND($J130="PONTUAL",MONTH($O130)=MONTH(AV$4)),AH130*(1+Macroindicadores!E$7),IF(AND($J130="PONTUAL",MONTH($O130)&lt;MONTH(AV$4)),MIN($AS130:AU130),IF(AND($I130="NOVO",MONTH($O130)&gt;MONTH(AV$4)),AH130,IF(MONTH($O130)&gt;MONTH(AV$4),AH130,IF(MONTH($O130)=MONTH(AV$4),AH130*(1+Macroindicadores!E$7),AU130)))))))))</f>
        <v>3.3809999999999998</v>
      </c>
      <c r="AW130" s="39">
        <f>IF(ISBLANK(U130),"",IF(ISBLANK($O130),AI130,IF($J130="ANUAL",AI130*(1+Macroindicadores!F$7),IF(AND($I130="NOVO",MONTH($O130)=MONTH(AW$4)),AI130*(1+Macroindicadores!F$7),IF(AND($J130="PONTUAL",MONTH($O130)=MONTH(AW$4)),AI130*(1+Macroindicadores!F$7),IF(AND($J130="PONTUAL",MONTH($O130)&lt;MONTH(AW$4)),MIN($AS130:AV130),IF(AND($I130="NOVO",MONTH($O130)&gt;MONTH(AW$4)),AI130,IF(MONTH($O130)&gt;MONTH(AW$4),AI130,IF(MONTH($O130)=MONTH(AW$4),AI130*(1+Macroindicadores!F$7),AV130)))))))))</f>
        <v>3.3809999999999998</v>
      </c>
      <c r="AX130" s="39">
        <f>IF(ISBLANK(V130),"",IF(ISBLANK($O130),AJ130,IF($J130="ANUAL",AJ130*(1+Macroindicadores!G$7),IF(AND($I130="NOVO",MONTH($O130)=MONTH(AX$4)),AJ130*(1+Macroindicadores!G$7),IF(AND($J130="PONTUAL",MONTH($O130)=MONTH(AX$4)),AJ130*(1+Macroindicadores!G$7),IF(AND($J130="PONTUAL",MONTH($O130)&lt;MONTH(AX$4)),MIN($AS130:AW130),IF(AND($I130="NOVO",MONTH($O130)&gt;MONTH(AX$4)),AJ130,IF(MONTH($O130)&gt;MONTH(AX$4),AJ130,IF(MONTH($O130)=MONTH(AX$4),AJ130*(1+Macroindicadores!G$7),AW130)))))))))</f>
        <v>3.3809999999999998</v>
      </c>
      <c r="AY130" s="39">
        <f>IF(ISBLANK(W130),"",IF(ISBLANK($O130),AK130,IF($J130="ANUAL",AK130*(1+Macroindicadores!H$7),IF(AND($I130="NOVO",MONTH($O130)=MONTH(AY$4)),AK130*(1+Macroindicadores!H$7),IF(AND($J130="PONTUAL",MONTH($O130)=MONTH(AY$4)),AK130*(1+Macroindicadores!H$7),IF(AND($J130="PONTUAL",MONTH($O130)&lt;MONTH(AY$4)),MIN($AS130:AX130),IF(AND($I130="NOVO",MONTH($O130)&gt;MONTH(AY$4)),AK130,IF(MONTH($O130)&gt;MONTH(AY$4),AK130,IF(MONTH($O130)=MONTH(AY$4),AK130*(1+Macroindicadores!H$7),AX130)))))))))</f>
        <v>3.3809999999999998</v>
      </c>
      <c r="AZ130" s="39">
        <f>IF(ISBLANK(X130),"",IF(ISBLANK($O130),AL130,IF($J130="ANUAL",AL130*(1+Macroindicadores!I$7),IF(AND($I130="NOVO",MONTH($O130)=MONTH(AZ$4)),AL130*(1+Macroindicadores!I$7),IF(AND($J130="PONTUAL",MONTH($O130)=MONTH(AZ$4)),AL130*(1+Macroindicadores!I$7),IF(AND($J130="PONTUAL",MONTH($O130)&lt;MONTH(AZ$4)),MIN($AS130:AY130),IF(AND($I130="NOVO",MONTH($O130)&gt;MONTH(AZ$4)),AL130,IF(MONTH($O130)&gt;MONTH(AZ$4),AL130,IF(MONTH($O130)=MONTH(AZ$4),AL130*(1+Macroindicadores!I$7),AY130)))))))))</f>
        <v>3.3809999999999998</v>
      </c>
      <c r="BA130" s="39">
        <f>IF(ISBLANK(Y130),"",IF(ISBLANK($O130),AM130,IF($J130="ANUAL",AM130*(1+Macroindicadores!J$7),IF(AND($I130="NOVO",MONTH($O130)=MONTH(BA$4)),AM130*(1+Macroindicadores!J$7),IF(AND($J130="PONTUAL",MONTH($O130)=MONTH(BA$4)),AM130*(1+Macroindicadores!J$7),IF(AND($J130="PONTUAL",MONTH($O130)&lt;MONTH(BA$4)),MIN($AS130:AZ130),IF(AND($I130="NOVO",MONTH($O130)&gt;MONTH(BA$4)),AM130,IF(MONTH($O130)&gt;MONTH(BA$4),AM130,IF(MONTH($O130)=MONTH(BA$4),AM130*(1+Macroindicadores!J$7),AZ130)))))))))</f>
        <v>3.3809999999999998</v>
      </c>
      <c r="BB130" s="39">
        <f>IF(ISBLANK(Z130),"",IF(ISBLANK($O130),AN130,IF($J130="ANUAL",AN130*(1+Macroindicadores!K$7),IF(AND($I130="NOVO",MONTH($O130)=MONTH(BB$4)),AN130*(1+Macroindicadores!K$7),IF(AND($J130="PONTUAL",MONTH($O130)=MONTH(BB$4)),AN130*(1+Macroindicadores!K$7),IF(AND($J130="PONTUAL",MONTH($O130)&lt;MONTH(BB$4)),MIN($AS130:BA130),IF(AND($I130="NOVO",MONTH($O130)&gt;MONTH(BB$4)),AN130,IF(MONTH($O130)&gt;MONTH(BB$4),AN130,IF(MONTH($O130)=MONTH(BB$4),AN130*(1+Macroindicadores!K$7),BA130)))))))))</f>
        <v>3.3809999999999998</v>
      </c>
      <c r="BC130" s="39">
        <f>IF(ISBLANK(AA130),"",IF(ISBLANK($O130),AO130,IF($J130="ANUAL",AO130*(1+Macroindicadores!L$7),IF(AND($I130="NOVO",MONTH($O130)=MONTH(BC$4)),AO130*(1+Macroindicadores!L$7),IF(AND($J130="PONTUAL",MONTH($O130)=MONTH(BC$4)),AO130*(1+Macroindicadores!L$7),IF(AND($J130="PONTUAL",MONTH($O130)&lt;MONTH(BC$4)),MIN($AS130:BB130),IF(AND($I130="NOVO",MONTH($O130)&gt;MONTH(BC$4)),AO130,IF(MONTH($O130)&gt;MONTH(BC$4),AO130,IF(MONTH($O130)=MONTH(BC$4),AO130*(1+Macroindicadores!L$7),BB130)))))))))</f>
        <v>3.3809999999999998</v>
      </c>
      <c r="BD130" s="39">
        <f>IF(ISBLANK(AB130),"",IF(ISBLANK($O130),AP130,IF($J130="ANUAL",AP130*(1+Macroindicadores!M$7),IF(AND($I130="NOVO",MONTH($O130)=MONTH(BD$4)),AP130*(1+Macroindicadores!M$7),IF(AND($J130="PONTUAL",MONTH($O130)=MONTH(BD$4)),AP130*(1+Macroindicadores!M$7),IF(AND($J130="PONTUAL",MONTH($O130)&lt;MONTH(BD$4)),MIN($AS130:BC130),IF(AND($I130="NOVO",MONTH($O130)&gt;MONTH(BD$4)),AP130,IF(MONTH($O130)&gt;MONTH(BD$4),AP130,IF(MONTH($O130)=MONTH(BD$4),AP130*(1+Macroindicadores!M$7),BC130)))))))))</f>
        <v>3.3809999999999998</v>
      </c>
      <c r="BE130" s="40">
        <f t="shared" si="71"/>
        <v>40.571999999999996</v>
      </c>
      <c r="BG130" s="39">
        <f>IF(ISBLANK(Q130),"",AS130/Macroindicadores!B$2)</f>
        <v>0.57499999999999996</v>
      </c>
      <c r="BH130" s="39">
        <f>IF(ISBLANK(R130),"",AT130/Macroindicadores!C$2)</f>
        <v>0.57499999999999996</v>
      </c>
      <c r="BI130" s="39">
        <f>IF(ISBLANK(S130),"",AU130/Macroindicadores!D$2)</f>
        <v>0.57499999999999996</v>
      </c>
      <c r="BJ130" s="39">
        <f>IF(ISBLANK(T130),"",AV130/Macroindicadores!E$2)</f>
        <v>0.57499999999999996</v>
      </c>
      <c r="BK130" s="39">
        <f>IF(ISBLANK(U130),"",AW130/Macroindicadores!F$2)</f>
        <v>0.57499999999999996</v>
      </c>
      <c r="BL130" s="39">
        <f>IF(ISBLANK(V130),"",AX130/Macroindicadores!G$2)</f>
        <v>0.57499999999999996</v>
      </c>
      <c r="BM130" s="39">
        <f>IF(ISBLANK(W130),"",AY130/Macroindicadores!H$2)</f>
        <v>0.57499999999999996</v>
      </c>
      <c r="BN130" s="39">
        <f>IF(ISBLANK(X130),"",AZ130/Macroindicadores!I$2)</f>
        <v>0.57499999999999996</v>
      </c>
      <c r="BO130" s="39">
        <f>IF(ISBLANK(Y130),"",BA130/Macroindicadores!J$2)</f>
        <v>0.57499999999999996</v>
      </c>
      <c r="BP130" s="39">
        <f>IF(ISBLANK(Z130),"",BB130/Macroindicadores!K$2)</f>
        <v>0.57499999999999996</v>
      </c>
      <c r="BQ130" s="39">
        <f>IF(ISBLANK(AA130),"",BC130/Macroindicadores!L$2)</f>
        <v>0.57499999999999996</v>
      </c>
      <c r="BR130" s="39">
        <f>IF(ISBLANK(AB130),"",BD130/Macroindicadores!M$2)</f>
        <v>0.57499999999999996</v>
      </c>
      <c r="BS130" s="40">
        <f>IF(AND(ISBLANK($Q130),ISBLANK($R130),ISBLANK($S130),ISBLANK($T130),ISBLANK($U130),ISBLANK($V130),ISBLANK($W130),ISBLANK($X130),ISBLANK($Y130),ISBLANK($Z130),ISBLANK($AA130),ISBLANK($AB130)),"",SUM(BG130:BR130))</f>
        <v>6.9000000000000012</v>
      </c>
      <c r="BT130" s="25" t="str">
        <f>IF(ISBLANK($L130),"",_xlfn.XLOOKUP($L130,'CENTRO CUSTO'!$A:$A,'CENTRO CUSTO'!$E:$E,FALSE,0))</f>
        <v>G&amp;A CP</v>
      </c>
    </row>
    <row r="131" spans="1:72">
      <c r="A131" s="9" t="str">
        <f t="shared" si="72"/>
        <v>Budget</v>
      </c>
      <c r="B131" s="9">
        <f t="shared" si="69"/>
        <v>2026</v>
      </c>
      <c r="C131" s="18" t="str">
        <f>IF(ISBLANK($L131),"",_xlfn.XLOOKUP($L131,'CENTRO CUSTO'!$A:$A,'CENTRO CUSTO'!F:F,FALSE,0))</f>
        <v>Cone Sul</v>
      </c>
      <c r="D131" s="111" t="str">
        <f>IF(ISBLANK($L131),"",_xlfn.XLOOKUP($L131,'CENTRO CUSTO'!$A:$A,'CENTRO CUSTO'!G:G,FALSE,0))</f>
        <v>Plataforma</v>
      </c>
      <c r="E131" s="18" t="str">
        <f>IF(ISBLANK($L131),"",_xlfn.XLOOKUP($L131,'CENTRO CUSTO'!$A:$A,'CENTRO CUSTO'!H:H,FALSE,0))</f>
        <v>G&amp;A</v>
      </c>
      <c r="F131" s="10" t="s">
        <v>161</v>
      </c>
      <c r="G131" s="10" t="s">
        <v>75</v>
      </c>
      <c r="H131" s="10" t="s">
        <v>162</v>
      </c>
      <c r="I131" s="11" t="s">
        <v>77</v>
      </c>
      <c r="J131" s="11" t="s">
        <v>120</v>
      </c>
      <c r="K131" s="11" t="s">
        <v>79</v>
      </c>
      <c r="L131" s="11" t="s">
        <v>54</v>
      </c>
      <c r="M131" s="18" t="str">
        <f>IF(ISBLANK($L131),"",_xlfn.XLOOKUP($L131,'CENTRO CUSTO'!$A:$A,'CENTRO CUSTO'!D:D,FALSE,0))</f>
        <v>Alexandre Ayabe</v>
      </c>
      <c r="N131" s="11" t="s">
        <v>87</v>
      </c>
      <c r="O131" s="12"/>
      <c r="P131" s="11" t="s">
        <v>88</v>
      </c>
      <c r="Q131" s="41">
        <f>51068*Rateio!$E$268/12</f>
        <v>4042.8833333333332</v>
      </c>
      <c r="R131" s="41">
        <f>51068*Rateio!$E$268/12</f>
        <v>4042.8833333333332</v>
      </c>
      <c r="S131" s="41">
        <f>51068*Rateio!$E$268/12</f>
        <v>4042.8833333333332</v>
      </c>
      <c r="T131" s="41">
        <f>51068*Rateio!$E$268/12</f>
        <v>4042.8833333333332</v>
      </c>
      <c r="U131" s="41">
        <f>51068*Rateio!$E$268/12</f>
        <v>4042.8833333333332</v>
      </c>
      <c r="V131" s="41">
        <f>51068*Rateio!$E$268/12</f>
        <v>4042.8833333333332</v>
      </c>
      <c r="W131" s="41">
        <f>51068*Rateio!$E$268/12</f>
        <v>4042.8833333333332</v>
      </c>
      <c r="X131" s="41">
        <f>51068*Rateio!$E$268/12</f>
        <v>4042.8833333333332</v>
      </c>
      <c r="Y131" s="41">
        <f>51068*Rateio!$E$268/12</f>
        <v>4042.8833333333332</v>
      </c>
      <c r="Z131" s="41">
        <f>51068*Rateio!$E$268/12</f>
        <v>4042.8833333333332</v>
      </c>
      <c r="AA131" s="41">
        <f>51068*Rateio!$E$268/12</f>
        <v>4042.8833333333332</v>
      </c>
      <c r="AB131" s="41">
        <f>51068*Rateio!$E$268/12</f>
        <v>4042.8833333333332</v>
      </c>
      <c r="AC131" s="116">
        <f t="shared" si="73"/>
        <v>48514.599999999984</v>
      </c>
      <c r="AE131" s="39">
        <f>IF(ISBLANK(Q131),"",IF($P131="BRL",Q131,Q131*Macroindicadores!B$2)/1000)</f>
        <v>23.772153999999997</v>
      </c>
      <c r="AF131" s="39">
        <f>IF(ISBLANK(R131),"",IF($P131="BRL",R131,R131*Macroindicadores!C$2)/1000)</f>
        <v>23.772153999999997</v>
      </c>
      <c r="AG131" s="39">
        <f>IF(ISBLANK(S131),"",IF($P131="BRL",S131,S131*Macroindicadores!D$2)/1000)</f>
        <v>23.772153999999997</v>
      </c>
      <c r="AH131" s="39">
        <f>IF(ISBLANK(T131),"",IF($P131="BRL",T131,T131*Macroindicadores!E$2)/1000)</f>
        <v>23.772153999999997</v>
      </c>
      <c r="AI131" s="39">
        <f>IF(ISBLANK(U131),"",IF($P131="BRL",U131,U131*Macroindicadores!F$2)/1000)</f>
        <v>23.772153999999997</v>
      </c>
      <c r="AJ131" s="39">
        <f>IF(ISBLANK(V131),"",IF($P131="BRL",V131,V131*Macroindicadores!G$2)/1000)</f>
        <v>23.772153999999997</v>
      </c>
      <c r="AK131" s="39">
        <f>IF(ISBLANK(W131),"",IF($P131="BRL",W131,W131*Macroindicadores!H$2)/1000)</f>
        <v>23.772153999999997</v>
      </c>
      <c r="AL131" s="39">
        <f>IF(ISBLANK(X131),"",IF($P131="BRL",X131,X131*Macroindicadores!I$2)/1000)</f>
        <v>23.772153999999997</v>
      </c>
      <c r="AM131" s="39">
        <f>IF(ISBLANK(Y131),"",IF($P131="BRL",Y131,Y131*Macroindicadores!J$2)/1000)</f>
        <v>23.772153999999997</v>
      </c>
      <c r="AN131" s="39">
        <f>IF(ISBLANK(Z131),"",IF($P131="BRL",Z131,Z131*Macroindicadores!K$2)/1000)</f>
        <v>23.772153999999997</v>
      </c>
      <c r="AO131" s="39">
        <f>IF(ISBLANK(AA131),"",IF($P131="BRL",AA131,AA131*Macroindicadores!L$2)/1000)</f>
        <v>23.772153999999997</v>
      </c>
      <c r="AP131" s="39">
        <f>IF(ISBLANK(AB131),"",IF($P131="BRL",AB131,AB131*Macroindicadores!M$2)/1000)</f>
        <v>23.772153999999997</v>
      </c>
      <c r="AQ131" s="40">
        <f t="shared" si="70"/>
        <v>285.26584799999995</v>
      </c>
      <c r="AS131" s="39">
        <f>IF(ISBLANK(Q131),"",IF(ISBLANK($O131),AE131,IF($J131="ANUAL",AE131*(1+Macroindicadores!B$7),IF(AND($I131="NOVO",MONTH($O131)=MONTH(AS$4)),AE131*(1+Macroindicadores!B$7),IF(AND($J131="PONTUAL",MONTH($O131)=MONTH(AS$4)),AE131*(1+Macroindicadores!B$7),IF(AND($J131="PONTUAL",MONTH($O131)&lt;MONTH(AS$4)),MIN(AR131:$AS131),IF(AND($I131="NOVO",MONTH($O131)&gt;MONTH(AS$4)),AE131,IF(MONTH($O131)&gt;MONTH(AS$4),AE131,IF(MONTH($O131)=MONTH(AS$4),AE131*(1+Macroindicadores!B$7),AR131)))))))))</f>
        <v>23.772153999999997</v>
      </c>
      <c r="AT131" s="39">
        <f>IF(ISBLANK(R131),"",IF(ISBLANK($O131),AF131,IF($J131="ANUAL",AF131*(1+Macroindicadores!C$7),IF(AND($I131="NOVO",MONTH($O131)=MONTH(AT$4)),AF131*(1+Macroindicadores!C$7),IF(AND($J131="PONTUAL",MONTH($O131)=MONTH(AT$4)),AF131*(1+Macroindicadores!C$7),IF(AND($J131="PONTUAL",MONTH($O131)&lt;MONTH(AT$4)),MIN($AS131:AS131),IF(AND($I131="NOVO",MONTH($O131)&gt;MONTH(AT$4)),AF131,IF(MONTH($O131)&gt;MONTH(AT$4),AF131,IF(MONTH($O131)=MONTH(AT$4),AF131*(1+Macroindicadores!C$7),AS131)))))))))</f>
        <v>23.772153999999997</v>
      </c>
      <c r="AU131" s="39">
        <f>IF(ISBLANK(S131),"",IF(ISBLANK($O131),AG131,IF($J131="ANUAL",AG131*(1+Macroindicadores!D$7),IF(AND($I131="NOVO",MONTH($O131)=MONTH(AU$4)),AG131*(1+Macroindicadores!D$7),IF(AND($J131="PONTUAL",MONTH($O131)=MONTH(AU$4)),AG131*(1+Macroindicadores!D$7),IF(AND($J131="PONTUAL",MONTH($O131)&lt;MONTH(AU$4)),MIN($AS131:AT131),IF(AND($I131="NOVO",MONTH($O131)&gt;MONTH(AU$4)),AG131,IF(MONTH($O131)&gt;MONTH(AU$4),AG131,IF(MONTH($O131)=MONTH(AU$4),AG131*(1+Macroindicadores!D$7),AT131)))))))))</f>
        <v>23.772153999999997</v>
      </c>
      <c r="AV131" s="39">
        <f>IF(ISBLANK(T131),"",IF(ISBLANK($O131),AH131,IF($J131="ANUAL",AH131*(1+Macroindicadores!E$7),IF(AND($I131="NOVO",MONTH($O131)=MONTH(AV$4)),AH131*(1+Macroindicadores!E$7),IF(AND($J131="PONTUAL",MONTH($O131)=MONTH(AV$4)),AH131*(1+Macroindicadores!E$7),IF(AND($J131="PONTUAL",MONTH($O131)&lt;MONTH(AV$4)),MIN($AS131:AU131),IF(AND($I131="NOVO",MONTH($O131)&gt;MONTH(AV$4)),AH131,IF(MONTH($O131)&gt;MONTH(AV$4),AH131,IF(MONTH($O131)=MONTH(AV$4),AH131*(1+Macroindicadores!E$7),AU131)))))))))</f>
        <v>23.772153999999997</v>
      </c>
      <c r="AW131" s="39">
        <f>IF(ISBLANK(U131),"",IF(ISBLANK($O131),AI131,IF($J131="ANUAL",AI131*(1+Macroindicadores!F$7),IF(AND($I131="NOVO",MONTH($O131)=MONTH(AW$4)),AI131*(1+Macroindicadores!F$7),IF(AND($J131="PONTUAL",MONTH($O131)=MONTH(AW$4)),AI131*(1+Macroindicadores!F$7),IF(AND($J131="PONTUAL",MONTH($O131)&lt;MONTH(AW$4)),MIN($AS131:AV131),IF(AND($I131="NOVO",MONTH($O131)&gt;MONTH(AW$4)),AI131,IF(MONTH($O131)&gt;MONTH(AW$4),AI131,IF(MONTH($O131)=MONTH(AW$4),AI131*(1+Macroindicadores!F$7),AV131)))))))))</f>
        <v>23.772153999999997</v>
      </c>
      <c r="AX131" s="39">
        <f>IF(ISBLANK(V131),"",IF(ISBLANK($O131),AJ131,IF($J131="ANUAL",AJ131*(1+Macroindicadores!G$7),IF(AND($I131="NOVO",MONTH($O131)=MONTH(AX$4)),AJ131*(1+Macroindicadores!G$7),IF(AND($J131="PONTUAL",MONTH($O131)=MONTH(AX$4)),AJ131*(1+Macroindicadores!G$7),IF(AND($J131="PONTUAL",MONTH($O131)&lt;MONTH(AX$4)),MIN($AS131:AW131),IF(AND($I131="NOVO",MONTH($O131)&gt;MONTH(AX$4)),AJ131,IF(MONTH($O131)&gt;MONTH(AX$4),AJ131,IF(MONTH($O131)=MONTH(AX$4),AJ131*(1+Macroindicadores!G$7),AW131)))))))))</f>
        <v>23.772153999999997</v>
      </c>
      <c r="AY131" s="39">
        <f>IF(ISBLANK(W131),"",IF(ISBLANK($O131),AK131,IF($J131="ANUAL",AK131*(1+Macroindicadores!H$7),IF(AND($I131="NOVO",MONTH($O131)=MONTH(AY$4)),AK131*(1+Macroindicadores!H$7),IF(AND($J131="PONTUAL",MONTH($O131)=MONTH(AY$4)),AK131*(1+Macroindicadores!H$7),IF(AND($J131="PONTUAL",MONTH($O131)&lt;MONTH(AY$4)),MIN($AS131:AX131),IF(AND($I131="NOVO",MONTH($O131)&gt;MONTH(AY$4)),AK131,IF(MONTH($O131)&gt;MONTH(AY$4),AK131,IF(MONTH($O131)=MONTH(AY$4),AK131*(1+Macroindicadores!H$7),AX131)))))))))</f>
        <v>23.772153999999997</v>
      </c>
      <c r="AZ131" s="39">
        <f>IF(ISBLANK(X131),"",IF(ISBLANK($O131),AL131,IF($J131="ANUAL",AL131*(1+Macroindicadores!I$7),IF(AND($I131="NOVO",MONTH($O131)=MONTH(AZ$4)),AL131*(1+Macroindicadores!I$7),IF(AND($J131="PONTUAL",MONTH($O131)=MONTH(AZ$4)),AL131*(1+Macroindicadores!I$7),IF(AND($J131="PONTUAL",MONTH($O131)&lt;MONTH(AZ$4)),MIN($AS131:AY131),IF(AND($I131="NOVO",MONTH($O131)&gt;MONTH(AZ$4)),AL131,IF(MONTH($O131)&gt;MONTH(AZ$4),AL131,IF(MONTH($O131)=MONTH(AZ$4),AL131*(1+Macroindicadores!I$7),AY131)))))))))</f>
        <v>23.772153999999997</v>
      </c>
      <c r="BA131" s="39">
        <f>IF(ISBLANK(Y131),"",IF(ISBLANK($O131),AM131,IF($J131="ANUAL",AM131*(1+Macroindicadores!J$7),IF(AND($I131="NOVO",MONTH($O131)=MONTH(BA$4)),AM131*(1+Macroindicadores!J$7),IF(AND($J131="PONTUAL",MONTH($O131)=MONTH(BA$4)),AM131*(1+Macroindicadores!J$7),IF(AND($J131="PONTUAL",MONTH($O131)&lt;MONTH(BA$4)),MIN($AS131:AZ131),IF(AND($I131="NOVO",MONTH($O131)&gt;MONTH(BA$4)),AM131,IF(MONTH($O131)&gt;MONTH(BA$4),AM131,IF(MONTH($O131)=MONTH(BA$4),AM131*(1+Macroindicadores!J$7),AZ131)))))))))</f>
        <v>23.772153999999997</v>
      </c>
      <c r="BB131" s="39">
        <f>IF(ISBLANK(Z131),"",IF(ISBLANK($O131),AN131,IF($J131="ANUAL",AN131*(1+Macroindicadores!K$7),IF(AND($I131="NOVO",MONTH($O131)=MONTH(BB$4)),AN131*(1+Macroindicadores!K$7),IF(AND($J131="PONTUAL",MONTH($O131)=MONTH(BB$4)),AN131*(1+Macroindicadores!K$7),IF(AND($J131="PONTUAL",MONTH($O131)&lt;MONTH(BB$4)),MIN($AS131:BA131),IF(AND($I131="NOVO",MONTH($O131)&gt;MONTH(BB$4)),AN131,IF(MONTH($O131)&gt;MONTH(BB$4),AN131,IF(MONTH($O131)=MONTH(BB$4),AN131*(1+Macroindicadores!K$7),BA131)))))))))</f>
        <v>23.772153999999997</v>
      </c>
      <c r="BC131" s="39">
        <f>IF(ISBLANK(AA131),"",IF(ISBLANK($O131),AO131,IF($J131="ANUAL",AO131*(1+Macroindicadores!L$7),IF(AND($I131="NOVO",MONTH($O131)=MONTH(BC$4)),AO131*(1+Macroindicadores!L$7),IF(AND($J131="PONTUAL",MONTH($O131)=MONTH(BC$4)),AO131*(1+Macroindicadores!L$7),IF(AND($J131="PONTUAL",MONTH($O131)&lt;MONTH(BC$4)),MIN($AS131:BB131),IF(AND($I131="NOVO",MONTH($O131)&gt;MONTH(BC$4)),AO131,IF(MONTH($O131)&gt;MONTH(BC$4),AO131,IF(MONTH($O131)=MONTH(BC$4),AO131*(1+Macroindicadores!L$7),BB131)))))))))</f>
        <v>23.772153999999997</v>
      </c>
      <c r="BD131" s="39">
        <f>IF(ISBLANK(AB131),"",IF(ISBLANK($O131),AP131,IF($J131="ANUAL",AP131*(1+Macroindicadores!M$7),IF(AND($I131="NOVO",MONTH($O131)=MONTH(BD$4)),AP131*(1+Macroindicadores!M$7),IF(AND($J131="PONTUAL",MONTH($O131)=MONTH(BD$4)),AP131*(1+Macroindicadores!M$7),IF(AND($J131="PONTUAL",MONTH($O131)&lt;MONTH(BD$4)),MIN($AS131:BC131),IF(AND($I131="NOVO",MONTH($O131)&gt;MONTH(BD$4)),AP131,IF(MONTH($O131)&gt;MONTH(BD$4),AP131,IF(MONTH($O131)=MONTH(BD$4),AP131*(1+Macroindicadores!M$7),BC131)))))))))</f>
        <v>23.772153999999997</v>
      </c>
      <c r="BE131" s="40">
        <f t="shared" si="71"/>
        <v>285.26584799999995</v>
      </c>
      <c r="BG131" s="39">
        <f>IF(ISBLANK(Q131),"",AS131/Macroindicadores!B$2)</f>
        <v>4.0428833333333332</v>
      </c>
      <c r="BH131" s="39">
        <f>IF(ISBLANK(R131),"",AT131/Macroindicadores!C$2)</f>
        <v>4.0428833333333332</v>
      </c>
      <c r="BI131" s="39">
        <f>IF(ISBLANK(S131),"",AU131/Macroindicadores!D$2)</f>
        <v>4.0428833333333332</v>
      </c>
      <c r="BJ131" s="39">
        <f>IF(ISBLANK(T131),"",AV131/Macroindicadores!E$2)</f>
        <v>4.0428833333333332</v>
      </c>
      <c r="BK131" s="39">
        <f>IF(ISBLANK(U131),"",AW131/Macroindicadores!F$2)</f>
        <v>4.0428833333333332</v>
      </c>
      <c r="BL131" s="39">
        <f>IF(ISBLANK(V131),"",AX131/Macroindicadores!G$2)</f>
        <v>4.0428833333333332</v>
      </c>
      <c r="BM131" s="39">
        <f>IF(ISBLANK(W131),"",AY131/Macroindicadores!H$2)</f>
        <v>4.0428833333333332</v>
      </c>
      <c r="BN131" s="39">
        <f>IF(ISBLANK(X131),"",AZ131/Macroindicadores!I$2)</f>
        <v>4.0428833333333332</v>
      </c>
      <c r="BO131" s="39">
        <f>IF(ISBLANK(Y131),"",BA131/Macroindicadores!J$2)</f>
        <v>4.0428833333333332</v>
      </c>
      <c r="BP131" s="39">
        <f>IF(ISBLANK(Z131),"",BB131/Macroindicadores!K$2)</f>
        <v>4.0428833333333332</v>
      </c>
      <c r="BQ131" s="39">
        <f>IF(ISBLANK(AA131),"",BC131/Macroindicadores!L$2)</f>
        <v>4.0428833333333332</v>
      </c>
      <c r="BR131" s="39">
        <f>IF(ISBLANK(AB131),"",BD131/Macroindicadores!M$2)</f>
        <v>4.0428833333333332</v>
      </c>
      <c r="BS131" s="40">
        <f>IF(AND(ISBLANK($Q131),ISBLANK($R131),ISBLANK($S131),ISBLANK($T131),ISBLANK($U131),ISBLANK($V131),ISBLANK($W131),ISBLANK($X131),ISBLANK($Y131),ISBLANK($Z131),ISBLANK($AA131),ISBLANK($AB131)),"",SUM(BG131:BR131))</f>
        <v>48.514600000000009</v>
      </c>
      <c r="BT131" s="25" t="str">
        <f>IF(ISBLANK($L131),"",_xlfn.XLOOKUP($L131,'CENTRO CUSTO'!$A:$A,'CENTRO CUSTO'!$E:$E,FALSE,0))</f>
        <v>G&amp;A PL</v>
      </c>
    </row>
    <row r="132" spans="1:72">
      <c r="A132" s="9" t="str">
        <f t="shared" si="72"/>
        <v>Budget</v>
      </c>
      <c r="B132" s="9">
        <f t="shared" si="69"/>
        <v>2026</v>
      </c>
      <c r="C132" s="18" t="str">
        <f>IF(ISBLANK($L132),"",_xlfn.XLOOKUP($L132,'CENTRO CUSTO'!$A:$A,'CENTRO CUSTO'!F:F,FALSE,0))</f>
        <v>LATAM</v>
      </c>
      <c r="D132" s="111" t="str">
        <f>IF(ISBLANK($L132),"",_xlfn.XLOOKUP($L132,'CENTRO CUSTO'!$A:$A,'CENTRO CUSTO'!G:G,FALSE,0))</f>
        <v>Corporativo</v>
      </c>
      <c r="E132" s="18" t="str">
        <f>IF(ISBLANK($L132),"",_xlfn.XLOOKUP($L132,'CENTRO CUSTO'!$A:$A,'CENTRO CUSTO'!H:H,FALSE,0))</f>
        <v>G&amp;A</v>
      </c>
      <c r="F132" s="10" t="s">
        <v>161</v>
      </c>
      <c r="G132" s="10" t="s">
        <v>75</v>
      </c>
      <c r="H132" s="10" t="s">
        <v>162</v>
      </c>
      <c r="I132" s="11" t="s">
        <v>77</v>
      </c>
      <c r="J132" s="11" t="s">
        <v>120</v>
      </c>
      <c r="K132" s="11" t="s">
        <v>79</v>
      </c>
      <c r="L132" s="11" t="s">
        <v>96</v>
      </c>
      <c r="M132" s="18" t="str">
        <f>IF(ISBLANK($L132),"",_xlfn.XLOOKUP($L132,'CENTRO CUSTO'!$A:$A,'CENTRO CUSTO'!D:D,FALSE,0))</f>
        <v>Jimmy Espinosa</v>
      </c>
      <c r="N132" s="11" t="s">
        <v>87</v>
      </c>
      <c r="O132" s="12"/>
      <c r="P132" s="11" t="s">
        <v>88</v>
      </c>
      <c r="Q132" s="41">
        <f>51068*Rateio!$E$269/12</f>
        <v>212.78333333333333</v>
      </c>
      <c r="R132" s="41">
        <f>51068*Rateio!$E$269/12</f>
        <v>212.78333333333333</v>
      </c>
      <c r="S132" s="41">
        <f>51068*Rateio!$E$269/12</f>
        <v>212.78333333333333</v>
      </c>
      <c r="T132" s="41">
        <f>51068*Rateio!$E$269/12</f>
        <v>212.78333333333333</v>
      </c>
      <c r="U132" s="41">
        <f>51068*Rateio!$E$269/12</f>
        <v>212.78333333333333</v>
      </c>
      <c r="V132" s="41">
        <f>51068*Rateio!$E$269/12</f>
        <v>212.78333333333333</v>
      </c>
      <c r="W132" s="41">
        <f>51068*Rateio!$E$269/12</f>
        <v>212.78333333333333</v>
      </c>
      <c r="X132" s="41">
        <f>51068*Rateio!$E$269/12</f>
        <v>212.78333333333333</v>
      </c>
      <c r="Y132" s="41">
        <f>51068*Rateio!$E$269/12</f>
        <v>212.78333333333333</v>
      </c>
      <c r="Z132" s="41">
        <f>51068*Rateio!$E$269/12</f>
        <v>212.78333333333333</v>
      </c>
      <c r="AA132" s="41">
        <f>51068*Rateio!$E$269/12</f>
        <v>212.78333333333333</v>
      </c>
      <c r="AB132" s="41">
        <f>51068*Rateio!$E$269/12</f>
        <v>212.78333333333333</v>
      </c>
      <c r="AC132" s="116">
        <f t="shared" si="73"/>
        <v>2553.4</v>
      </c>
      <c r="AE132" s="39">
        <f>IF(ISBLANK(Q132),"",IF($P132="BRL",Q132,Q132*Macroindicadores!B$2)/1000)</f>
        <v>1.251166</v>
      </c>
      <c r="AF132" s="39">
        <f>IF(ISBLANK(R132),"",IF($P132="BRL",R132,R132*Macroindicadores!C$2)/1000)</f>
        <v>1.251166</v>
      </c>
      <c r="AG132" s="39">
        <f>IF(ISBLANK(S132),"",IF($P132="BRL",S132,S132*Macroindicadores!D$2)/1000)</f>
        <v>1.251166</v>
      </c>
      <c r="AH132" s="39">
        <f>IF(ISBLANK(T132),"",IF($P132="BRL",T132,T132*Macroindicadores!E$2)/1000)</f>
        <v>1.251166</v>
      </c>
      <c r="AI132" s="39">
        <f>IF(ISBLANK(U132),"",IF($P132="BRL",U132,U132*Macroindicadores!F$2)/1000)</f>
        <v>1.251166</v>
      </c>
      <c r="AJ132" s="39">
        <f>IF(ISBLANK(V132),"",IF($P132="BRL",V132,V132*Macroindicadores!G$2)/1000)</f>
        <v>1.251166</v>
      </c>
      <c r="AK132" s="39">
        <f>IF(ISBLANK(W132),"",IF($P132="BRL",W132,W132*Macroindicadores!H$2)/1000)</f>
        <v>1.251166</v>
      </c>
      <c r="AL132" s="39">
        <f>IF(ISBLANK(X132),"",IF($P132="BRL",X132,X132*Macroindicadores!I$2)/1000)</f>
        <v>1.251166</v>
      </c>
      <c r="AM132" s="39">
        <f>IF(ISBLANK(Y132),"",IF($P132="BRL",Y132,Y132*Macroindicadores!J$2)/1000)</f>
        <v>1.251166</v>
      </c>
      <c r="AN132" s="39">
        <f>IF(ISBLANK(Z132),"",IF($P132="BRL",Z132,Z132*Macroindicadores!K$2)/1000)</f>
        <v>1.251166</v>
      </c>
      <c r="AO132" s="39">
        <f>IF(ISBLANK(AA132),"",IF($P132="BRL",AA132,AA132*Macroindicadores!L$2)/1000)</f>
        <v>1.251166</v>
      </c>
      <c r="AP132" s="39">
        <f>IF(ISBLANK(AB132),"",IF($P132="BRL",AB132,AB132*Macroindicadores!M$2)/1000)</f>
        <v>1.251166</v>
      </c>
      <c r="AQ132" s="40">
        <f t="shared" si="70"/>
        <v>15.013991999999996</v>
      </c>
      <c r="AS132" s="39">
        <f>IF(ISBLANK(Q132),"",IF(ISBLANK($O132),AE132,IF($J132="ANUAL",AE132*(1+Macroindicadores!B$7),IF(AND($I132="NOVO",MONTH($O132)=MONTH(AS$4)),AE132*(1+Macroindicadores!B$7),IF(AND($J132="PONTUAL",MONTH($O132)=MONTH(AS$4)),AE132*(1+Macroindicadores!B$7),IF(AND($J132="PONTUAL",MONTH($O132)&lt;MONTH(AS$4)),MIN(AR132:$AS132),IF(AND($I132="NOVO",MONTH($O132)&gt;MONTH(AS$4)),AE132,IF(MONTH($O132)&gt;MONTH(AS$4),AE132,IF(MONTH($O132)=MONTH(AS$4),AE132*(1+Macroindicadores!B$7),AR132)))))))))</f>
        <v>1.251166</v>
      </c>
      <c r="AT132" s="39">
        <f>IF(ISBLANK(R132),"",IF(ISBLANK($O132),AF132,IF($J132="ANUAL",AF132*(1+Macroindicadores!C$7),IF(AND($I132="NOVO",MONTH($O132)=MONTH(AT$4)),AF132*(1+Macroindicadores!C$7),IF(AND($J132="PONTUAL",MONTH($O132)=MONTH(AT$4)),AF132*(1+Macroindicadores!C$7),IF(AND($J132="PONTUAL",MONTH($O132)&lt;MONTH(AT$4)),MIN($AS132:AS132),IF(AND($I132="NOVO",MONTH($O132)&gt;MONTH(AT$4)),AF132,IF(MONTH($O132)&gt;MONTH(AT$4),AF132,IF(MONTH($O132)=MONTH(AT$4),AF132*(1+Macroindicadores!C$7),AS132)))))))))</f>
        <v>1.251166</v>
      </c>
      <c r="AU132" s="39">
        <f>IF(ISBLANK(S132),"",IF(ISBLANK($O132),AG132,IF($J132="ANUAL",AG132*(1+Macroindicadores!D$7),IF(AND($I132="NOVO",MONTH($O132)=MONTH(AU$4)),AG132*(1+Macroindicadores!D$7),IF(AND($J132="PONTUAL",MONTH($O132)=MONTH(AU$4)),AG132*(1+Macroindicadores!D$7),IF(AND($J132="PONTUAL",MONTH($O132)&lt;MONTH(AU$4)),MIN($AS132:AT132),IF(AND($I132="NOVO",MONTH($O132)&gt;MONTH(AU$4)),AG132,IF(MONTH($O132)&gt;MONTH(AU$4),AG132,IF(MONTH($O132)=MONTH(AU$4),AG132*(1+Macroindicadores!D$7),AT132)))))))))</f>
        <v>1.251166</v>
      </c>
      <c r="AV132" s="39">
        <f>IF(ISBLANK(T132),"",IF(ISBLANK($O132),AH132,IF($J132="ANUAL",AH132*(1+Macroindicadores!E$7),IF(AND($I132="NOVO",MONTH($O132)=MONTH(AV$4)),AH132*(1+Macroindicadores!E$7),IF(AND($J132="PONTUAL",MONTH($O132)=MONTH(AV$4)),AH132*(1+Macroindicadores!E$7),IF(AND($J132="PONTUAL",MONTH($O132)&lt;MONTH(AV$4)),MIN($AS132:AU132),IF(AND($I132="NOVO",MONTH($O132)&gt;MONTH(AV$4)),AH132,IF(MONTH($O132)&gt;MONTH(AV$4),AH132,IF(MONTH($O132)=MONTH(AV$4),AH132*(1+Macroindicadores!E$7),AU132)))))))))</f>
        <v>1.251166</v>
      </c>
      <c r="AW132" s="39">
        <f>IF(ISBLANK(U132),"",IF(ISBLANK($O132),AI132,IF($J132="ANUAL",AI132*(1+Macroindicadores!F$7),IF(AND($I132="NOVO",MONTH($O132)=MONTH(AW$4)),AI132*(1+Macroindicadores!F$7),IF(AND($J132="PONTUAL",MONTH($O132)=MONTH(AW$4)),AI132*(1+Macroindicadores!F$7),IF(AND($J132="PONTUAL",MONTH($O132)&lt;MONTH(AW$4)),MIN($AS132:AV132),IF(AND($I132="NOVO",MONTH($O132)&gt;MONTH(AW$4)),AI132,IF(MONTH($O132)&gt;MONTH(AW$4),AI132,IF(MONTH($O132)=MONTH(AW$4),AI132*(1+Macroindicadores!F$7),AV132)))))))))</f>
        <v>1.251166</v>
      </c>
      <c r="AX132" s="39">
        <f>IF(ISBLANK(V132),"",IF(ISBLANK($O132),AJ132,IF($J132="ANUAL",AJ132*(1+Macroindicadores!G$7),IF(AND($I132="NOVO",MONTH($O132)=MONTH(AX$4)),AJ132*(1+Macroindicadores!G$7),IF(AND($J132="PONTUAL",MONTH($O132)=MONTH(AX$4)),AJ132*(1+Macroindicadores!G$7),IF(AND($J132="PONTUAL",MONTH($O132)&lt;MONTH(AX$4)),MIN($AS132:AW132),IF(AND($I132="NOVO",MONTH($O132)&gt;MONTH(AX$4)),AJ132,IF(MONTH($O132)&gt;MONTH(AX$4),AJ132,IF(MONTH($O132)=MONTH(AX$4),AJ132*(1+Macroindicadores!G$7),AW132)))))))))</f>
        <v>1.251166</v>
      </c>
      <c r="AY132" s="39">
        <f>IF(ISBLANK(W132),"",IF(ISBLANK($O132),AK132,IF($J132="ANUAL",AK132*(1+Macroindicadores!H$7),IF(AND($I132="NOVO",MONTH($O132)=MONTH(AY$4)),AK132*(1+Macroindicadores!H$7),IF(AND($J132="PONTUAL",MONTH($O132)=MONTH(AY$4)),AK132*(1+Macroindicadores!H$7),IF(AND($J132="PONTUAL",MONTH($O132)&lt;MONTH(AY$4)),MIN($AS132:AX132),IF(AND($I132="NOVO",MONTH($O132)&gt;MONTH(AY$4)),AK132,IF(MONTH($O132)&gt;MONTH(AY$4),AK132,IF(MONTH($O132)=MONTH(AY$4),AK132*(1+Macroindicadores!H$7),AX132)))))))))</f>
        <v>1.251166</v>
      </c>
      <c r="AZ132" s="39">
        <f>IF(ISBLANK(X132),"",IF(ISBLANK($O132),AL132,IF($J132="ANUAL",AL132*(1+Macroindicadores!I$7),IF(AND($I132="NOVO",MONTH($O132)=MONTH(AZ$4)),AL132*(1+Macroindicadores!I$7),IF(AND($J132="PONTUAL",MONTH($O132)=MONTH(AZ$4)),AL132*(1+Macroindicadores!I$7),IF(AND($J132="PONTUAL",MONTH($O132)&lt;MONTH(AZ$4)),MIN($AS132:AY132),IF(AND($I132="NOVO",MONTH($O132)&gt;MONTH(AZ$4)),AL132,IF(MONTH($O132)&gt;MONTH(AZ$4),AL132,IF(MONTH($O132)=MONTH(AZ$4),AL132*(1+Macroindicadores!I$7),AY132)))))))))</f>
        <v>1.251166</v>
      </c>
      <c r="BA132" s="39">
        <f>IF(ISBLANK(Y132),"",IF(ISBLANK($O132),AM132,IF($J132="ANUAL",AM132*(1+Macroindicadores!J$7),IF(AND($I132="NOVO",MONTH($O132)=MONTH(BA$4)),AM132*(1+Macroindicadores!J$7),IF(AND($J132="PONTUAL",MONTH($O132)=MONTH(BA$4)),AM132*(1+Macroindicadores!J$7),IF(AND($J132="PONTUAL",MONTH($O132)&lt;MONTH(BA$4)),MIN($AS132:AZ132),IF(AND($I132="NOVO",MONTH($O132)&gt;MONTH(BA$4)),AM132,IF(MONTH($O132)&gt;MONTH(BA$4),AM132,IF(MONTH($O132)=MONTH(BA$4),AM132*(1+Macroindicadores!J$7),AZ132)))))))))</f>
        <v>1.251166</v>
      </c>
      <c r="BB132" s="39">
        <f>IF(ISBLANK(Z132),"",IF(ISBLANK($O132),AN132,IF($J132="ANUAL",AN132*(1+Macroindicadores!K$7),IF(AND($I132="NOVO",MONTH($O132)=MONTH(BB$4)),AN132*(1+Macroindicadores!K$7),IF(AND($J132="PONTUAL",MONTH($O132)=MONTH(BB$4)),AN132*(1+Macroindicadores!K$7),IF(AND($J132="PONTUAL",MONTH($O132)&lt;MONTH(BB$4)),MIN($AS132:BA132),IF(AND($I132="NOVO",MONTH($O132)&gt;MONTH(BB$4)),AN132,IF(MONTH($O132)&gt;MONTH(BB$4),AN132,IF(MONTH($O132)=MONTH(BB$4),AN132*(1+Macroindicadores!K$7),BA132)))))))))</f>
        <v>1.251166</v>
      </c>
      <c r="BC132" s="39">
        <f>IF(ISBLANK(AA132),"",IF(ISBLANK($O132),AO132,IF($J132="ANUAL",AO132*(1+Macroindicadores!L$7),IF(AND($I132="NOVO",MONTH($O132)=MONTH(BC$4)),AO132*(1+Macroindicadores!L$7),IF(AND($J132="PONTUAL",MONTH($O132)=MONTH(BC$4)),AO132*(1+Macroindicadores!L$7),IF(AND($J132="PONTUAL",MONTH($O132)&lt;MONTH(BC$4)),MIN($AS132:BB132),IF(AND($I132="NOVO",MONTH($O132)&gt;MONTH(BC$4)),AO132,IF(MONTH($O132)&gt;MONTH(BC$4),AO132,IF(MONTH($O132)=MONTH(BC$4),AO132*(1+Macroindicadores!L$7),BB132)))))))))</f>
        <v>1.251166</v>
      </c>
      <c r="BD132" s="39">
        <f>IF(ISBLANK(AB132),"",IF(ISBLANK($O132),AP132,IF($J132="ANUAL",AP132*(1+Macroindicadores!M$7),IF(AND($I132="NOVO",MONTH($O132)=MONTH(BD$4)),AP132*(1+Macroindicadores!M$7),IF(AND($J132="PONTUAL",MONTH($O132)=MONTH(BD$4)),AP132*(1+Macroindicadores!M$7),IF(AND($J132="PONTUAL",MONTH($O132)&lt;MONTH(BD$4)),MIN($AS132:BC132),IF(AND($I132="NOVO",MONTH($O132)&gt;MONTH(BD$4)),AP132,IF(MONTH($O132)&gt;MONTH(BD$4),AP132,IF(MONTH($O132)=MONTH(BD$4),AP132*(1+Macroindicadores!M$7),BC132)))))))))</f>
        <v>1.251166</v>
      </c>
      <c r="BE132" s="40">
        <f t="shared" si="71"/>
        <v>15.013991999999996</v>
      </c>
      <c r="BG132" s="39">
        <f>IF(ISBLANK(Q132),"",AS132/Macroindicadores!B$2)</f>
        <v>0.21278333333333332</v>
      </c>
      <c r="BH132" s="39">
        <f>IF(ISBLANK(R132),"",AT132/Macroindicadores!C$2)</f>
        <v>0.21278333333333332</v>
      </c>
      <c r="BI132" s="39">
        <f>IF(ISBLANK(S132),"",AU132/Macroindicadores!D$2)</f>
        <v>0.21278333333333332</v>
      </c>
      <c r="BJ132" s="39">
        <f>IF(ISBLANK(T132),"",AV132/Macroindicadores!E$2)</f>
        <v>0.21278333333333332</v>
      </c>
      <c r="BK132" s="39">
        <f>IF(ISBLANK(U132),"",AW132/Macroindicadores!F$2)</f>
        <v>0.21278333333333332</v>
      </c>
      <c r="BL132" s="39">
        <f>IF(ISBLANK(V132),"",AX132/Macroindicadores!G$2)</f>
        <v>0.21278333333333332</v>
      </c>
      <c r="BM132" s="39">
        <f>IF(ISBLANK(W132),"",AY132/Macroindicadores!H$2)</f>
        <v>0.21278333333333332</v>
      </c>
      <c r="BN132" s="39">
        <f>IF(ISBLANK(X132),"",AZ132/Macroindicadores!I$2)</f>
        <v>0.21278333333333332</v>
      </c>
      <c r="BO132" s="39">
        <f>IF(ISBLANK(Y132),"",BA132/Macroindicadores!J$2)</f>
        <v>0.21278333333333332</v>
      </c>
      <c r="BP132" s="39">
        <f>IF(ISBLANK(Z132),"",BB132/Macroindicadores!K$2)</f>
        <v>0.21278333333333332</v>
      </c>
      <c r="BQ132" s="39">
        <f>IF(ISBLANK(AA132),"",BC132/Macroindicadores!L$2)</f>
        <v>0.21278333333333332</v>
      </c>
      <c r="BR132" s="39">
        <f>IF(ISBLANK(AB132),"",BD132/Macroindicadores!M$2)</f>
        <v>0.21278333333333332</v>
      </c>
      <c r="BS132" s="40">
        <f>IF(AND(ISBLANK($Q132),ISBLANK($R132),ISBLANK($S132),ISBLANK($T132),ISBLANK($U132),ISBLANK($V132),ISBLANK($W132),ISBLANK($X132),ISBLANK($Y132),ISBLANK($Z132),ISBLANK($AA132),ISBLANK($AB132)),"",SUM(BG132:BR132))</f>
        <v>2.5533999999999999</v>
      </c>
      <c r="BT132" s="25" t="str">
        <f>IF(ISBLANK($L132),"",_xlfn.XLOOKUP($L132,'CENTRO CUSTO'!$A:$A,'CENTRO CUSTO'!$E:$E,FALSE,0))</f>
        <v>G&amp;A CP</v>
      </c>
    </row>
    <row r="133" spans="1:72">
      <c r="A133" s="9" t="str">
        <f t="shared" si="72"/>
        <v>Budget</v>
      </c>
      <c r="B133" s="9">
        <f t="shared" si="69"/>
        <v>2026</v>
      </c>
      <c r="C133" s="18" t="str">
        <f>IF(ISBLANK($L133),"",_xlfn.XLOOKUP($L133,'CENTRO CUSTO'!$A:$A,'CENTRO CUSTO'!F:F,FALSE,0))</f>
        <v>Cone Sul</v>
      </c>
      <c r="D133" s="111" t="str">
        <f>IF(ISBLANK($L133),"",_xlfn.XLOOKUP($L133,'CENTRO CUSTO'!$A:$A,'CENTRO CUSTO'!G:G,FALSE,0))</f>
        <v>Plataforma</v>
      </c>
      <c r="E133" s="18" t="str">
        <f>IF(ISBLANK($L133),"",_xlfn.XLOOKUP($L133,'CENTRO CUSTO'!$A:$A,'CENTRO CUSTO'!H:H,FALSE,0))</f>
        <v>G&amp;A</v>
      </c>
      <c r="F133" s="10" t="s">
        <v>163</v>
      </c>
      <c r="G133" s="10" t="s">
        <v>75</v>
      </c>
      <c r="H133" s="10" t="s">
        <v>164</v>
      </c>
      <c r="I133" s="11" t="s">
        <v>77</v>
      </c>
      <c r="J133" s="11" t="s">
        <v>120</v>
      </c>
      <c r="K133" s="11" t="s">
        <v>79</v>
      </c>
      <c r="L133" s="11" t="s">
        <v>54</v>
      </c>
      <c r="M133" s="18" t="str">
        <f>IF(ISBLANK($L133),"",_xlfn.XLOOKUP($L133,'CENTRO CUSTO'!$A:$A,'CENTRO CUSTO'!D:D,FALSE,0))</f>
        <v>Alexandre Ayabe</v>
      </c>
      <c r="N133" s="11" t="s">
        <v>87</v>
      </c>
      <c r="O133" s="12"/>
      <c r="P133" s="11" t="s">
        <v>88</v>
      </c>
      <c r="Q133" s="41">
        <f>41866*Rateio!$E$268/12</f>
        <v>3314.3916666666664</v>
      </c>
      <c r="R133" s="41">
        <f>43568*Rateio!$E$268/12</f>
        <v>3449.1333333333332</v>
      </c>
      <c r="S133" s="41">
        <f>43568*Rateio!$E$268/12</f>
        <v>3449.1333333333332</v>
      </c>
      <c r="T133" s="41">
        <f>43568*Rateio!$E$268/12</f>
        <v>3449.1333333333332</v>
      </c>
      <c r="U133" s="41">
        <f>43568*Rateio!$E$268/12</f>
        <v>3449.1333333333332</v>
      </c>
      <c r="V133" s="41">
        <f>43568*Rateio!$E$268/12</f>
        <v>3449.1333333333332</v>
      </c>
      <c r="W133" s="41">
        <f>43568*Rateio!$E$268/12</f>
        <v>3449.1333333333332</v>
      </c>
      <c r="X133" s="41">
        <f>43568*Rateio!$E$268/12</f>
        <v>3449.1333333333332</v>
      </c>
      <c r="Y133" s="41">
        <f>43568*Rateio!$E$268/12</f>
        <v>3449.1333333333332</v>
      </c>
      <c r="Z133" s="41">
        <f>43568*Rateio!$E$268/12</f>
        <v>3449.1333333333332</v>
      </c>
      <c r="AA133" s="41">
        <f>43568*Rateio!$E$268/12</f>
        <v>3449.1333333333332</v>
      </c>
      <c r="AB133" s="41">
        <f>43568*Rateio!$E$268/12</f>
        <v>3449.1333333333332</v>
      </c>
      <c r="AC133" s="116">
        <f t="shared" si="73"/>
        <v>41254.858333333323</v>
      </c>
      <c r="AE133" s="39">
        <f>IF(ISBLANK(Q133),"",IF($P133="BRL",Q133,Q133*Macroindicadores!B$2)/1000)</f>
        <v>19.488623</v>
      </c>
      <c r="AF133" s="39">
        <f>IF(ISBLANK(R133),"",IF($P133="BRL",R133,R133*Macroindicadores!C$2)/1000)</f>
        <v>20.280904</v>
      </c>
      <c r="AG133" s="39">
        <f>IF(ISBLANK(S133),"",IF($P133="BRL",S133,S133*Macroindicadores!D$2)/1000)</f>
        <v>20.280904</v>
      </c>
      <c r="AH133" s="39">
        <f>IF(ISBLANK(T133),"",IF($P133="BRL",T133,T133*Macroindicadores!E$2)/1000)</f>
        <v>20.280904</v>
      </c>
      <c r="AI133" s="39">
        <f>IF(ISBLANK(U133),"",IF($P133="BRL",U133,U133*Macroindicadores!F$2)/1000)</f>
        <v>20.280904</v>
      </c>
      <c r="AJ133" s="39">
        <f>IF(ISBLANK(V133),"",IF($P133="BRL",V133,V133*Macroindicadores!G$2)/1000)</f>
        <v>20.280904</v>
      </c>
      <c r="AK133" s="39">
        <f>IF(ISBLANK(W133),"",IF($P133="BRL",W133,W133*Macroindicadores!H$2)/1000)</f>
        <v>20.280904</v>
      </c>
      <c r="AL133" s="39">
        <f>IF(ISBLANK(X133),"",IF($P133="BRL",X133,X133*Macroindicadores!I$2)/1000)</f>
        <v>20.280904</v>
      </c>
      <c r="AM133" s="39">
        <f>IF(ISBLANK(Y133),"",IF($P133="BRL",Y133,Y133*Macroindicadores!J$2)/1000)</f>
        <v>20.280904</v>
      </c>
      <c r="AN133" s="39">
        <f>IF(ISBLANK(Z133),"",IF($P133="BRL",Z133,Z133*Macroindicadores!K$2)/1000)</f>
        <v>20.280904</v>
      </c>
      <c r="AO133" s="39">
        <f>IF(ISBLANK(AA133),"",IF($P133="BRL",AA133,AA133*Macroindicadores!L$2)/1000)</f>
        <v>20.280904</v>
      </c>
      <c r="AP133" s="39">
        <f>IF(ISBLANK(AB133),"",IF($P133="BRL",AB133,AB133*Macroindicadores!M$2)/1000)</f>
        <v>20.280904</v>
      </c>
      <c r="AQ133" s="40">
        <f t="shared" si="70"/>
        <v>242.57856699999994</v>
      </c>
      <c r="AS133" s="39">
        <f>IF(ISBLANK(Q133),"",IF(ISBLANK($O133),AE133,IF($J133="ANUAL",AE133*(1+Macroindicadores!B$7),IF(AND($I133="NOVO",MONTH($O133)=MONTH(AS$4)),AE133*(1+Macroindicadores!B$7),IF(AND($J133="PONTUAL",MONTH($O133)=MONTH(AS$4)),AE133*(1+Macroindicadores!B$7),IF(AND($J133="PONTUAL",MONTH($O133)&lt;MONTH(AS$4)),MIN(AR133:$AS133),IF(AND($I133="NOVO",MONTH($O133)&gt;MONTH(AS$4)),AE133,IF(MONTH($O133)&gt;MONTH(AS$4),AE133,IF(MONTH($O133)=MONTH(AS$4),AE133*(1+Macroindicadores!B$7),AR133)))))))))</f>
        <v>19.488623</v>
      </c>
      <c r="AT133" s="39">
        <f>IF(ISBLANK(R133),"",IF(ISBLANK($O133),AF133,IF($J133="ANUAL",AF133*(1+Macroindicadores!C$7),IF(AND($I133="NOVO",MONTH($O133)=MONTH(AT$4)),AF133*(1+Macroindicadores!C$7),IF(AND($J133="PONTUAL",MONTH($O133)=MONTH(AT$4)),AF133*(1+Macroindicadores!C$7),IF(AND($J133="PONTUAL",MONTH($O133)&lt;MONTH(AT$4)),MIN($AS133:AS133),IF(AND($I133="NOVO",MONTH($O133)&gt;MONTH(AT$4)),AF133,IF(MONTH($O133)&gt;MONTH(AT$4),AF133,IF(MONTH($O133)=MONTH(AT$4),AF133*(1+Macroindicadores!C$7),AS133)))))))))</f>
        <v>20.280904</v>
      </c>
      <c r="AU133" s="39">
        <f>IF(ISBLANK(S133),"",IF(ISBLANK($O133),AG133,IF($J133="ANUAL",AG133*(1+Macroindicadores!D$7),IF(AND($I133="NOVO",MONTH($O133)=MONTH(AU$4)),AG133*(1+Macroindicadores!D$7),IF(AND($J133="PONTUAL",MONTH($O133)=MONTH(AU$4)),AG133*(1+Macroindicadores!D$7),IF(AND($J133="PONTUAL",MONTH($O133)&lt;MONTH(AU$4)),MIN($AS133:AT133),IF(AND($I133="NOVO",MONTH($O133)&gt;MONTH(AU$4)),AG133,IF(MONTH($O133)&gt;MONTH(AU$4),AG133,IF(MONTH($O133)=MONTH(AU$4),AG133*(1+Macroindicadores!D$7),AT133)))))))))</f>
        <v>20.280904</v>
      </c>
      <c r="AV133" s="39">
        <f>IF(ISBLANK(T133),"",IF(ISBLANK($O133),AH133,IF($J133="ANUAL",AH133*(1+Macroindicadores!E$7),IF(AND($I133="NOVO",MONTH($O133)=MONTH(AV$4)),AH133*(1+Macroindicadores!E$7),IF(AND($J133="PONTUAL",MONTH($O133)=MONTH(AV$4)),AH133*(1+Macroindicadores!E$7),IF(AND($J133="PONTUAL",MONTH($O133)&lt;MONTH(AV$4)),MIN($AS133:AU133),IF(AND($I133="NOVO",MONTH($O133)&gt;MONTH(AV$4)),AH133,IF(MONTH($O133)&gt;MONTH(AV$4),AH133,IF(MONTH($O133)=MONTH(AV$4),AH133*(1+Macroindicadores!E$7),AU133)))))))))</f>
        <v>20.280904</v>
      </c>
      <c r="AW133" s="39">
        <f>IF(ISBLANK(U133),"",IF(ISBLANK($O133),AI133,IF($J133="ANUAL",AI133*(1+Macroindicadores!F$7),IF(AND($I133="NOVO",MONTH($O133)=MONTH(AW$4)),AI133*(1+Macroindicadores!F$7),IF(AND($J133="PONTUAL",MONTH($O133)=MONTH(AW$4)),AI133*(1+Macroindicadores!F$7),IF(AND($J133="PONTUAL",MONTH($O133)&lt;MONTH(AW$4)),MIN($AS133:AV133),IF(AND($I133="NOVO",MONTH($O133)&gt;MONTH(AW$4)),AI133,IF(MONTH($O133)&gt;MONTH(AW$4),AI133,IF(MONTH($O133)=MONTH(AW$4),AI133*(1+Macroindicadores!F$7),AV133)))))))))</f>
        <v>20.280904</v>
      </c>
      <c r="AX133" s="39">
        <f>IF(ISBLANK(V133),"",IF(ISBLANK($O133),AJ133,IF($J133="ANUAL",AJ133*(1+Macroindicadores!G$7),IF(AND($I133="NOVO",MONTH($O133)=MONTH(AX$4)),AJ133*(1+Macroindicadores!G$7),IF(AND($J133="PONTUAL",MONTH($O133)=MONTH(AX$4)),AJ133*(1+Macroindicadores!G$7),IF(AND($J133="PONTUAL",MONTH($O133)&lt;MONTH(AX$4)),MIN($AS133:AW133),IF(AND($I133="NOVO",MONTH($O133)&gt;MONTH(AX$4)),AJ133,IF(MONTH($O133)&gt;MONTH(AX$4),AJ133,IF(MONTH($O133)=MONTH(AX$4),AJ133*(1+Macroindicadores!G$7),AW133)))))))))</f>
        <v>20.280904</v>
      </c>
      <c r="AY133" s="39">
        <f>IF(ISBLANK(W133),"",IF(ISBLANK($O133),AK133,IF($J133="ANUAL",AK133*(1+Macroindicadores!H$7),IF(AND($I133="NOVO",MONTH($O133)=MONTH(AY$4)),AK133*(1+Macroindicadores!H$7),IF(AND($J133="PONTUAL",MONTH($O133)=MONTH(AY$4)),AK133*(1+Macroindicadores!H$7),IF(AND($J133="PONTUAL",MONTH($O133)&lt;MONTH(AY$4)),MIN($AS133:AX133),IF(AND($I133="NOVO",MONTH($O133)&gt;MONTH(AY$4)),AK133,IF(MONTH($O133)&gt;MONTH(AY$4),AK133,IF(MONTH($O133)=MONTH(AY$4),AK133*(1+Macroindicadores!H$7),AX133)))))))))</f>
        <v>20.280904</v>
      </c>
      <c r="AZ133" s="39">
        <f>IF(ISBLANK(X133),"",IF(ISBLANK($O133),AL133,IF($J133="ANUAL",AL133*(1+Macroindicadores!I$7),IF(AND($I133="NOVO",MONTH($O133)=MONTH(AZ$4)),AL133*(1+Macroindicadores!I$7),IF(AND($J133="PONTUAL",MONTH($O133)=MONTH(AZ$4)),AL133*(1+Macroindicadores!I$7),IF(AND($J133="PONTUAL",MONTH($O133)&lt;MONTH(AZ$4)),MIN($AS133:AY133),IF(AND($I133="NOVO",MONTH($O133)&gt;MONTH(AZ$4)),AL133,IF(MONTH($O133)&gt;MONTH(AZ$4),AL133,IF(MONTH($O133)=MONTH(AZ$4),AL133*(1+Macroindicadores!I$7),AY133)))))))))</f>
        <v>20.280904</v>
      </c>
      <c r="BA133" s="39">
        <f>IF(ISBLANK(Y133),"",IF(ISBLANK($O133),AM133,IF($J133="ANUAL",AM133*(1+Macroindicadores!J$7),IF(AND($I133="NOVO",MONTH($O133)=MONTH(BA$4)),AM133*(1+Macroindicadores!J$7),IF(AND($J133="PONTUAL",MONTH($O133)=MONTH(BA$4)),AM133*(1+Macroindicadores!J$7),IF(AND($J133="PONTUAL",MONTH($O133)&lt;MONTH(BA$4)),MIN($AS133:AZ133),IF(AND($I133="NOVO",MONTH($O133)&gt;MONTH(BA$4)),AM133,IF(MONTH($O133)&gt;MONTH(BA$4),AM133,IF(MONTH($O133)=MONTH(BA$4),AM133*(1+Macroindicadores!J$7),AZ133)))))))))</f>
        <v>20.280904</v>
      </c>
      <c r="BB133" s="39">
        <f>IF(ISBLANK(Z133),"",IF(ISBLANK($O133),AN133,IF($J133="ANUAL",AN133*(1+Macroindicadores!K$7),IF(AND($I133="NOVO",MONTH($O133)=MONTH(BB$4)),AN133*(1+Macroindicadores!K$7),IF(AND($J133="PONTUAL",MONTH($O133)=MONTH(BB$4)),AN133*(1+Macroindicadores!K$7),IF(AND($J133="PONTUAL",MONTH($O133)&lt;MONTH(BB$4)),MIN($AS133:BA133),IF(AND($I133="NOVO",MONTH($O133)&gt;MONTH(BB$4)),AN133,IF(MONTH($O133)&gt;MONTH(BB$4),AN133,IF(MONTH($O133)=MONTH(BB$4),AN133*(1+Macroindicadores!K$7),BA133)))))))))</f>
        <v>20.280904</v>
      </c>
      <c r="BC133" s="39">
        <f>IF(ISBLANK(AA133),"",IF(ISBLANK($O133),AO133,IF($J133="ANUAL",AO133*(1+Macroindicadores!L$7),IF(AND($I133="NOVO",MONTH($O133)=MONTH(BC$4)),AO133*(1+Macroindicadores!L$7),IF(AND($J133="PONTUAL",MONTH($O133)=MONTH(BC$4)),AO133*(1+Macroindicadores!L$7),IF(AND($J133="PONTUAL",MONTH($O133)&lt;MONTH(BC$4)),MIN($AS133:BB133),IF(AND($I133="NOVO",MONTH($O133)&gt;MONTH(BC$4)),AO133,IF(MONTH($O133)&gt;MONTH(BC$4),AO133,IF(MONTH($O133)=MONTH(BC$4),AO133*(1+Macroindicadores!L$7),BB133)))))))))</f>
        <v>20.280904</v>
      </c>
      <c r="BD133" s="39">
        <f>IF(ISBLANK(AB133),"",IF(ISBLANK($O133),AP133,IF($J133="ANUAL",AP133*(1+Macroindicadores!M$7),IF(AND($I133="NOVO",MONTH($O133)=MONTH(BD$4)),AP133*(1+Macroindicadores!M$7),IF(AND($J133="PONTUAL",MONTH($O133)=MONTH(BD$4)),AP133*(1+Macroindicadores!M$7),IF(AND($J133="PONTUAL",MONTH($O133)&lt;MONTH(BD$4)),MIN($AS133:BC133),IF(AND($I133="NOVO",MONTH($O133)&gt;MONTH(BD$4)),AP133,IF(MONTH($O133)&gt;MONTH(BD$4),AP133,IF(MONTH($O133)=MONTH(BD$4),AP133*(1+Macroindicadores!M$7),BC133)))))))))</f>
        <v>20.280904</v>
      </c>
      <c r="BE133" s="40">
        <f t="shared" si="71"/>
        <v>242.57856699999994</v>
      </c>
      <c r="BG133" s="39">
        <f>IF(ISBLANK(Q133),"",AS133/Macroindicadores!B$2)</f>
        <v>3.3143916666666668</v>
      </c>
      <c r="BH133" s="39">
        <f>IF(ISBLANK(R133),"",AT133/Macroindicadores!C$2)</f>
        <v>3.4491333333333332</v>
      </c>
      <c r="BI133" s="39">
        <f>IF(ISBLANK(S133),"",AU133/Macroindicadores!D$2)</f>
        <v>3.4491333333333332</v>
      </c>
      <c r="BJ133" s="39">
        <f>IF(ISBLANK(T133),"",AV133/Macroindicadores!E$2)</f>
        <v>3.4491333333333332</v>
      </c>
      <c r="BK133" s="39">
        <f>IF(ISBLANK(U133),"",AW133/Macroindicadores!F$2)</f>
        <v>3.4491333333333332</v>
      </c>
      <c r="BL133" s="39">
        <f>IF(ISBLANK(V133),"",AX133/Macroindicadores!G$2)</f>
        <v>3.4491333333333332</v>
      </c>
      <c r="BM133" s="39">
        <f>IF(ISBLANK(W133),"",AY133/Macroindicadores!H$2)</f>
        <v>3.4491333333333332</v>
      </c>
      <c r="BN133" s="39">
        <f>IF(ISBLANK(X133),"",AZ133/Macroindicadores!I$2)</f>
        <v>3.4491333333333332</v>
      </c>
      <c r="BO133" s="39">
        <f>IF(ISBLANK(Y133),"",BA133/Macroindicadores!J$2)</f>
        <v>3.4491333333333332</v>
      </c>
      <c r="BP133" s="39">
        <f>IF(ISBLANK(Z133),"",BB133/Macroindicadores!K$2)</f>
        <v>3.4491333333333332</v>
      </c>
      <c r="BQ133" s="39">
        <f>IF(ISBLANK(AA133),"",BC133/Macroindicadores!L$2)</f>
        <v>3.4491333333333332</v>
      </c>
      <c r="BR133" s="39">
        <f>IF(ISBLANK(AB133),"",BD133/Macroindicadores!M$2)</f>
        <v>3.4491333333333332</v>
      </c>
      <c r="BS133" s="40">
        <f>IF(AND(ISBLANK($Q133),ISBLANK($R133),ISBLANK($S133),ISBLANK($T133),ISBLANK($U133),ISBLANK($V133),ISBLANK($W133),ISBLANK($X133),ISBLANK($Y133),ISBLANK($Z133),ISBLANK($AA133),ISBLANK($AB133)),"",SUM(BG133:BR133))</f>
        <v>41.254858333333331</v>
      </c>
      <c r="BT133" s="25" t="str">
        <f>IF(ISBLANK($L133),"",_xlfn.XLOOKUP($L133,'CENTRO CUSTO'!$A:$A,'CENTRO CUSTO'!$E:$E,FALSE,0))</f>
        <v>G&amp;A PL</v>
      </c>
    </row>
    <row r="134" spans="1:72">
      <c r="A134" s="9" t="str">
        <f t="shared" si="72"/>
        <v>Budget</v>
      </c>
      <c r="B134" s="9">
        <f t="shared" si="69"/>
        <v>2026</v>
      </c>
      <c r="C134" s="18" t="str">
        <f>IF(ISBLANK($L134),"",_xlfn.XLOOKUP($L134,'CENTRO CUSTO'!$A:$A,'CENTRO CUSTO'!F:F,FALSE,0))</f>
        <v>LATAM</v>
      </c>
      <c r="D134" s="111" t="str">
        <f>IF(ISBLANK($L134),"",_xlfn.XLOOKUP($L134,'CENTRO CUSTO'!$A:$A,'CENTRO CUSTO'!G:G,FALSE,0))</f>
        <v>Corporativo</v>
      </c>
      <c r="E134" s="18" t="str">
        <f>IF(ISBLANK($L134),"",_xlfn.XLOOKUP($L134,'CENTRO CUSTO'!$A:$A,'CENTRO CUSTO'!H:H,FALSE,0))</f>
        <v>G&amp;A</v>
      </c>
      <c r="F134" s="10" t="s">
        <v>163</v>
      </c>
      <c r="G134" s="10" t="s">
        <v>75</v>
      </c>
      <c r="H134" s="10" t="s">
        <v>164</v>
      </c>
      <c r="I134" s="11" t="s">
        <v>77</v>
      </c>
      <c r="J134" s="11" t="s">
        <v>120</v>
      </c>
      <c r="K134" s="11" t="s">
        <v>79</v>
      </c>
      <c r="L134" s="11" t="s">
        <v>96</v>
      </c>
      <c r="M134" s="18" t="str">
        <f>IF(ISBLANK($L134),"",_xlfn.XLOOKUP($L134,'CENTRO CUSTO'!$A:$A,'CENTRO CUSTO'!D:D,FALSE,0))</f>
        <v>Jimmy Espinosa</v>
      </c>
      <c r="N134" s="11" t="s">
        <v>87</v>
      </c>
      <c r="O134" s="12"/>
      <c r="P134" s="11" t="s">
        <v>88</v>
      </c>
      <c r="Q134" s="41">
        <f>41866*Rateio!$E$269/12</f>
        <v>174.44166666666669</v>
      </c>
      <c r="R134" s="41">
        <f>43568*Rateio!$E$269/12</f>
        <v>181.53333333333333</v>
      </c>
      <c r="S134" s="41">
        <f>43568*Rateio!$E$269/12</f>
        <v>181.53333333333333</v>
      </c>
      <c r="T134" s="41">
        <f>43568*Rateio!$E$269/12</f>
        <v>181.53333333333333</v>
      </c>
      <c r="U134" s="41">
        <f>43568*Rateio!$E$269/12</f>
        <v>181.53333333333333</v>
      </c>
      <c r="V134" s="41">
        <f>43568*Rateio!$E$269/12</f>
        <v>181.53333333333333</v>
      </c>
      <c r="W134" s="41">
        <f>43568*Rateio!$E$269/12</f>
        <v>181.53333333333333</v>
      </c>
      <c r="X134" s="41">
        <f>43568*Rateio!$E$269/12</f>
        <v>181.53333333333333</v>
      </c>
      <c r="Y134" s="41">
        <f>43568*Rateio!$E$269/12</f>
        <v>181.53333333333333</v>
      </c>
      <c r="Z134" s="41">
        <f>43568*Rateio!$E$269/12</f>
        <v>181.53333333333333</v>
      </c>
      <c r="AA134" s="41">
        <f>43568*Rateio!$E$269/12</f>
        <v>181.53333333333333</v>
      </c>
      <c r="AB134" s="41">
        <f>43568*Rateio!$E$269/12</f>
        <v>181.53333333333333</v>
      </c>
      <c r="AC134" s="116">
        <f t="shared" si="73"/>
        <v>2171.3083333333334</v>
      </c>
      <c r="AE134" s="39">
        <f>IF(ISBLANK(Q134),"",IF($P134="BRL",Q134,Q134*Macroindicadores!B$2)/1000)</f>
        <v>1.025717</v>
      </c>
      <c r="AF134" s="39">
        <f>IF(ISBLANK(R134),"",IF($P134="BRL",R134,R134*Macroindicadores!C$2)/1000)</f>
        <v>1.0674159999999999</v>
      </c>
      <c r="AG134" s="39">
        <f>IF(ISBLANK(S134),"",IF($P134="BRL",S134,S134*Macroindicadores!D$2)/1000)</f>
        <v>1.0674159999999999</v>
      </c>
      <c r="AH134" s="39">
        <f>IF(ISBLANK(T134),"",IF($P134="BRL",T134,T134*Macroindicadores!E$2)/1000)</f>
        <v>1.0674159999999999</v>
      </c>
      <c r="AI134" s="39">
        <f>IF(ISBLANK(U134),"",IF($P134="BRL",U134,U134*Macroindicadores!F$2)/1000)</f>
        <v>1.0674159999999999</v>
      </c>
      <c r="AJ134" s="39">
        <f>IF(ISBLANK(V134),"",IF($P134="BRL",V134,V134*Macroindicadores!G$2)/1000)</f>
        <v>1.0674159999999999</v>
      </c>
      <c r="AK134" s="39">
        <f>IF(ISBLANK(W134),"",IF($P134="BRL",W134,W134*Macroindicadores!H$2)/1000)</f>
        <v>1.0674159999999999</v>
      </c>
      <c r="AL134" s="39">
        <f>IF(ISBLANK(X134),"",IF($P134="BRL",X134,X134*Macroindicadores!I$2)/1000)</f>
        <v>1.0674159999999999</v>
      </c>
      <c r="AM134" s="39">
        <f>IF(ISBLANK(Y134),"",IF($P134="BRL",Y134,Y134*Macroindicadores!J$2)/1000)</f>
        <v>1.0674159999999999</v>
      </c>
      <c r="AN134" s="39">
        <f>IF(ISBLANK(Z134),"",IF($P134="BRL",Z134,Z134*Macroindicadores!K$2)/1000)</f>
        <v>1.0674159999999999</v>
      </c>
      <c r="AO134" s="39">
        <f>IF(ISBLANK(AA134),"",IF($P134="BRL",AA134,AA134*Macroindicadores!L$2)/1000)</f>
        <v>1.0674159999999999</v>
      </c>
      <c r="AP134" s="39">
        <f>IF(ISBLANK(AB134),"",IF($P134="BRL",AB134,AB134*Macroindicadores!M$2)/1000)</f>
        <v>1.0674159999999999</v>
      </c>
      <c r="AQ134" s="40">
        <f t="shared" si="70"/>
        <v>12.767292999999997</v>
      </c>
      <c r="AS134" s="39">
        <f>IF(ISBLANK(Q134),"",IF(ISBLANK($O134),AE134,IF($J134="ANUAL",AE134*(1+Macroindicadores!B$7),IF(AND($I134="NOVO",MONTH($O134)=MONTH(AS$4)),AE134*(1+Macroindicadores!B$7),IF(AND($J134="PONTUAL",MONTH($O134)=MONTH(AS$4)),AE134*(1+Macroindicadores!B$7),IF(AND($J134="PONTUAL",MONTH($O134)&lt;MONTH(AS$4)),MIN(AR134:$AS134),IF(AND($I134="NOVO",MONTH($O134)&gt;MONTH(AS$4)),AE134,IF(MONTH($O134)&gt;MONTH(AS$4),AE134,IF(MONTH($O134)=MONTH(AS$4),AE134*(1+Macroindicadores!B$7),AR134)))))))))</f>
        <v>1.025717</v>
      </c>
      <c r="AT134" s="39">
        <f>IF(ISBLANK(R134),"",IF(ISBLANK($O134),AF134,IF($J134="ANUAL",AF134*(1+Macroindicadores!C$7),IF(AND($I134="NOVO",MONTH($O134)=MONTH(AT$4)),AF134*(1+Macroindicadores!C$7),IF(AND($J134="PONTUAL",MONTH($O134)=MONTH(AT$4)),AF134*(1+Macroindicadores!C$7),IF(AND($J134="PONTUAL",MONTH($O134)&lt;MONTH(AT$4)),MIN($AS134:AS134),IF(AND($I134="NOVO",MONTH($O134)&gt;MONTH(AT$4)),AF134,IF(MONTH($O134)&gt;MONTH(AT$4),AF134,IF(MONTH($O134)=MONTH(AT$4),AF134*(1+Macroindicadores!C$7),AS134)))))))))</f>
        <v>1.0674159999999999</v>
      </c>
      <c r="AU134" s="39">
        <f>IF(ISBLANK(S134),"",IF(ISBLANK($O134),AG134,IF($J134="ANUAL",AG134*(1+Macroindicadores!D$7),IF(AND($I134="NOVO",MONTH($O134)=MONTH(AU$4)),AG134*(1+Macroindicadores!D$7),IF(AND($J134="PONTUAL",MONTH($O134)=MONTH(AU$4)),AG134*(1+Macroindicadores!D$7),IF(AND($J134="PONTUAL",MONTH($O134)&lt;MONTH(AU$4)),MIN($AS134:AT134),IF(AND($I134="NOVO",MONTH($O134)&gt;MONTH(AU$4)),AG134,IF(MONTH($O134)&gt;MONTH(AU$4),AG134,IF(MONTH($O134)=MONTH(AU$4),AG134*(1+Macroindicadores!D$7),AT134)))))))))</f>
        <v>1.0674159999999999</v>
      </c>
      <c r="AV134" s="39">
        <f>IF(ISBLANK(T134),"",IF(ISBLANK($O134),AH134,IF($J134="ANUAL",AH134*(1+Macroindicadores!E$7),IF(AND($I134="NOVO",MONTH($O134)=MONTH(AV$4)),AH134*(1+Macroindicadores!E$7),IF(AND($J134="PONTUAL",MONTH($O134)=MONTH(AV$4)),AH134*(1+Macroindicadores!E$7),IF(AND($J134="PONTUAL",MONTH($O134)&lt;MONTH(AV$4)),MIN($AS134:AU134),IF(AND($I134="NOVO",MONTH($O134)&gt;MONTH(AV$4)),AH134,IF(MONTH($O134)&gt;MONTH(AV$4),AH134,IF(MONTH($O134)=MONTH(AV$4),AH134*(1+Macroindicadores!E$7),AU134)))))))))</f>
        <v>1.0674159999999999</v>
      </c>
      <c r="AW134" s="39">
        <f>IF(ISBLANK(U134),"",IF(ISBLANK($O134),AI134,IF($J134="ANUAL",AI134*(1+Macroindicadores!F$7),IF(AND($I134="NOVO",MONTH($O134)=MONTH(AW$4)),AI134*(1+Macroindicadores!F$7),IF(AND($J134="PONTUAL",MONTH($O134)=MONTH(AW$4)),AI134*(1+Macroindicadores!F$7),IF(AND($J134="PONTUAL",MONTH($O134)&lt;MONTH(AW$4)),MIN($AS134:AV134),IF(AND($I134="NOVO",MONTH($O134)&gt;MONTH(AW$4)),AI134,IF(MONTH($O134)&gt;MONTH(AW$4),AI134,IF(MONTH($O134)=MONTH(AW$4),AI134*(1+Macroindicadores!F$7),AV134)))))))))</f>
        <v>1.0674159999999999</v>
      </c>
      <c r="AX134" s="39">
        <f>IF(ISBLANK(V134),"",IF(ISBLANK($O134),AJ134,IF($J134="ANUAL",AJ134*(1+Macroindicadores!G$7),IF(AND($I134="NOVO",MONTH($O134)=MONTH(AX$4)),AJ134*(1+Macroindicadores!G$7),IF(AND($J134="PONTUAL",MONTH($O134)=MONTH(AX$4)),AJ134*(1+Macroindicadores!G$7),IF(AND($J134="PONTUAL",MONTH($O134)&lt;MONTH(AX$4)),MIN($AS134:AW134),IF(AND($I134="NOVO",MONTH($O134)&gt;MONTH(AX$4)),AJ134,IF(MONTH($O134)&gt;MONTH(AX$4),AJ134,IF(MONTH($O134)=MONTH(AX$4),AJ134*(1+Macroindicadores!G$7),AW134)))))))))</f>
        <v>1.0674159999999999</v>
      </c>
      <c r="AY134" s="39">
        <f>IF(ISBLANK(W134),"",IF(ISBLANK($O134),AK134,IF($J134="ANUAL",AK134*(1+Macroindicadores!H$7),IF(AND($I134="NOVO",MONTH($O134)=MONTH(AY$4)),AK134*(1+Macroindicadores!H$7),IF(AND($J134="PONTUAL",MONTH($O134)=MONTH(AY$4)),AK134*(1+Macroindicadores!H$7),IF(AND($J134="PONTUAL",MONTH($O134)&lt;MONTH(AY$4)),MIN($AS134:AX134),IF(AND($I134="NOVO",MONTH($O134)&gt;MONTH(AY$4)),AK134,IF(MONTH($O134)&gt;MONTH(AY$4),AK134,IF(MONTH($O134)=MONTH(AY$4),AK134*(1+Macroindicadores!H$7),AX134)))))))))</f>
        <v>1.0674159999999999</v>
      </c>
      <c r="AZ134" s="39">
        <f>IF(ISBLANK(X134),"",IF(ISBLANK($O134),AL134,IF($J134="ANUAL",AL134*(1+Macroindicadores!I$7),IF(AND($I134="NOVO",MONTH($O134)=MONTH(AZ$4)),AL134*(1+Macroindicadores!I$7),IF(AND($J134="PONTUAL",MONTH($O134)=MONTH(AZ$4)),AL134*(1+Macroindicadores!I$7),IF(AND($J134="PONTUAL",MONTH($O134)&lt;MONTH(AZ$4)),MIN($AS134:AY134),IF(AND($I134="NOVO",MONTH($O134)&gt;MONTH(AZ$4)),AL134,IF(MONTH($O134)&gt;MONTH(AZ$4),AL134,IF(MONTH($O134)=MONTH(AZ$4),AL134*(1+Macroindicadores!I$7),AY134)))))))))</f>
        <v>1.0674159999999999</v>
      </c>
      <c r="BA134" s="39">
        <f>IF(ISBLANK(Y134),"",IF(ISBLANK($O134),AM134,IF($J134="ANUAL",AM134*(1+Macroindicadores!J$7),IF(AND($I134="NOVO",MONTH($O134)=MONTH(BA$4)),AM134*(1+Macroindicadores!J$7),IF(AND($J134="PONTUAL",MONTH($O134)=MONTH(BA$4)),AM134*(1+Macroindicadores!J$7),IF(AND($J134="PONTUAL",MONTH($O134)&lt;MONTH(BA$4)),MIN($AS134:AZ134),IF(AND($I134="NOVO",MONTH($O134)&gt;MONTH(BA$4)),AM134,IF(MONTH($O134)&gt;MONTH(BA$4),AM134,IF(MONTH($O134)=MONTH(BA$4),AM134*(1+Macroindicadores!J$7),AZ134)))))))))</f>
        <v>1.0674159999999999</v>
      </c>
      <c r="BB134" s="39">
        <f>IF(ISBLANK(Z134),"",IF(ISBLANK($O134),AN134,IF($J134="ANUAL",AN134*(1+Macroindicadores!K$7),IF(AND($I134="NOVO",MONTH($O134)=MONTH(BB$4)),AN134*(1+Macroindicadores!K$7),IF(AND($J134="PONTUAL",MONTH($O134)=MONTH(BB$4)),AN134*(1+Macroindicadores!K$7),IF(AND($J134="PONTUAL",MONTH($O134)&lt;MONTH(BB$4)),MIN($AS134:BA134),IF(AND($I134="NOVO",MONTH($O134)&gt;MONTH(BB$4)),AN134,IF(MONTH($O134)&gt;MONTH(BB$4),AN134,IF(MONTH($O134)=MONTH(BB$4),AN134*(1+Macroindicadores!K$7),BA134)))))))))</f>
        <v>1.0674159999999999</v>
      </c>
      <c r="BC134" s="39">
        <f>IF(ISBLANK(AA134),"",IF(ISBLANK($O134),AO134,IF($J134="ANUAL",AO134*(1+Macroindicadores!L$7),IF(AND($I134="NOVO",MONTH($O134)=MONTH(BC$4)),AO134*(1+Macroindicadores!L$7),IF(AND($J134="PONTUAL",MONTH($O134)=MONTH(BC$4)),AO134*(1+Macroindicadores!L$7),IF(AND($J134="PONTUAL",MONTH($O134)&lt;MONTH(BC$4)),MIN($AS134:BB134),IF(AND($I134="NOVO",MONTH($O134)&gt;MONTH(BC$4)),AO134,IF(MONTH($O134)&gt;MONTH(BC$4),AO134,IF(MONTH($O134)=MONTH(BC$4),AO134*(1+Macroindicadores!L$7),BB134)))))))))</f>
        <v>1.0674159999999999</v>
      </c>
      <c r="BD134" s="39">
        <f>IF(ISBLANK(AB134),"",IF(ISBLANK($O134),AP134,IF($J134="ANUAL",AP134*(1+Macroindicadores!M$7),IF(AND($I134="NOVO",MONTH($O134)=MONTH(BD$4)),AP134*(1+Macroindicadores!M$7),IF(AND($J134="PONTUAL",MONTH($O134)=MONTH(BD$4)),AP134*(1+Macroindicadores!M$7),IF(AND($J134="PONTUAL",MONTH($O134)&lt;MONTH(BD$4)),MIN($AS134:BC134),IF(AND($I134="NOVO",MONTH($O134)&gt;MONTH(BD$4)),AP134,IF(MONTH($O134)&gt;MONTH(BD$4),AP134,IF(MONTH($O134)=MONTH(BD$4),AP134*(1+Macroindicadores!M$7),BC134)))))))))</f>
        <v>1.0674159999999999</v>
      </c>
      <c r="BE134" s="40">
        <f t="shared" si="71"/>
        <v>12.767292999999997</v>
      </c>
      <c r="BG134" s="39">
        <f>IF(ISBLANK(Q134),"",AS134/Macroindicadores!B$2)</f>
        <v>0.17444166666666666</v>
      </c>
      <c r="BH134" s="39">
        <f>IF(ISBLANK(R134),"",AT134/Macroindicadores!C$2)</f>
        <v>0.18153333333333332</v>
      </c>
      <c r="BI134" s="39">
        <f>IF(ISBLANK(S134),"",AU134/Macroindicadores!D$2)</f>
        <v>0.18153333333333332</v>
      </c>
      <c r="BJ134" s="39">
        <f>IF(ISBLANK(T134),"",AV134/Macroindicadores!E$2)</f>
        <v>0.18153333333333332</v>
      </c>
      <c r="BK134" s="39">
        <f>IF(ISBLANK(U134),"",AW134/Macroindicadores!F$2)</f>
        <v>0.18153333333333332</v>
      </c>
      <c r="BL134" s="39">
        <f>IF(ISBLANK(V134),"",AX134/Macroindicadores!G$2)</f>
        <v>0.18153333333333332</v>
      </c>
      <c r="BM134" s="39">
        <f>IF(ISBLANK(W134),"",AY134/Macroindicadores!H$2)</f>
        <v>0.18153333333333332</v>
      </c>
      <c r="BN134" s="39">
        <f>IF(ISBLANK(X134),"",AZ134/Macroindicadores!I$2)</f>
        <v>0.18153333333333332</v>
      </c>
      <c r="BO134" s="39">
        <f>IF(ISBLANK(Y134),"",BA134/Macroindicadores!J$2)</f>
        <v>0.18153333333333332</v>
      </c>
      <c r="BP134" s="39">
        <f>IF(ISBLANK(Z134),"",BB134/Macroindicadores!K$2)</f>
        <v>0.18153333333333332</v>
      </c>
      <c r="BQ134" s="39">
        <f>IF(ISBLANK(AA134),"",BC134/Macroindicadores!L$2)</f>
        <v>0.18153333333333332</v>
      </c>
      <c r="BR134" s="39">
        <f>IF(ISBLANK(AB134),"",BD134/Macroindicadores!M$2)</f>
        <v>0.18153333333333332</v>
      </c>
      <c r="BS134" s="40">
        <f>IF(AND(ISBLANK($Q134),ISBLANK($R134),ISBLANK($S134),ISBLANK($T134),ISBLANK($U134),ISBLANK($V134),ISBLANK($W134),ISBLANK($X134),ISBLANK($Y134),ISBLANK($Z134),ISBLANK($AA134),ISBLANK($AB134)),"",SUM(BG134:BR134))</f>
        <v>2.1713083333333332</v>
      </c>
      <c r="BT134" s="25" t="str">
        <f>IF(ISBLANK($L134),"",_xlfn.XLOOKUP($L134,'CENTRO CUSTO'!$A:$A,'CENTRO CUSTO'!$E:$E,FALSE,0))</f>
        <v>G&amp;A CP</v>
      </c>
    </row>
    <row r="135" spans="1:72">
      <c r="A135" s="9" t="str">
        <f t="shared" si="72"/>
        <v>Budget</v>
      </c>
      <c r="B135" s="9">
        <f t="shared" si="69"/>
        <v>2026</v>
      </c>
      <c r="C135" s="18" t="str">
        <f>IF(ISBLANK($L135),"",_xlfn.XLOOKUP($L135,'CENTRO CUSTO'!$A:$A,'CENTRO CUSTO'!F:F,FALSE,0))</f>
        <v>Transporte</v>
      </c>
      <c r="D135" s="111" t="str">
        <f>IF(ISBLANK($L135),"",_xlfn.XLOOKUP($L135,'CENTRO CUSTO'!$A:$A,'CENTRO CUSTO'!G:G,FALSE,0))</f>
        <v>BU-TR</v>
      </c>
      <c r="E135" s="18" t="str">
        <f>IF(ISBLANK($L135),"",_xlfn.XLOOKUP($L135,'CENTRO CUSTO'!$A:$A,'CENTRO CUSTO'!H:H,FALSE,0))</f>
        <v>G&amp;A</v>
      </c>
      <c r="F135" s="10" t="s">
        <v>165</v>
      </c>
      <c r="G135" s="10" t="s">
        <v>123</v>
      </c>
      <c r="H135" s="10" t="s">
        <v>166</v>
      </c>
      <c r="I135" s="11" t="s">
        <v>77</v>
      </c>
      <c r="J135" s="11" t="s">
        <v>78</v>
      </c>
      <c r="K135" s="11" t="s">
        <v>79</v>
      </c>
      <c r="L135" s="11" t="s">
        <v>38</v>
      </c>
      <c r="M135" s="18" t="str">
        <f>IF(ISBLANK($L135),"",_xlfn.XLOOKUP($L135,'CENTRO CUSTO'!$A:$A,'CENTRO CUSTO'!D:D,FALSE,0))</f>
        <v>Alexandre Ayabe</v>
      </c>
      <c r="N135" s="11" t="s">
        <v>91</v>
      </c>
      <c r="O135" s="12">
        <v>46174</v>
      </c>
      <c r="P135" s="11" t="s">
        <v>81</v>
      </c>
      <c r="Q135" s="41">
        <f>1152000*Rateio!$E$212/12</f>
        <v>17280</v>
      </c>
      <c r="R135" s="41">
        <f>1152000*Rateio!$E$212/12</f>
        <v>17280</v>
      </c>
      <c r="S135" s="41">
        <f>1152000*Rateio!$E$212/12</f>
        <v>17280</v>
      </c>
      <c r="T135" s="41">
        <f>1152000*Rateio!$E$212/12</f>
        <v>17280</v>
      </c>
      <c r="U135" s="41">
        <f>1152000*Rateio!$E$212/12</f>
        <v>17280</v>
      </c>
      <c r="V135" s="41">
        <f>1152000*Rateio!$E$212/12</f>
        <v>17280</v>
      </c>
      <c r="W135" s="41">
        <f>1152000*Rateio!$E$212/12</f>
        <v>17280</v>
      </c>
      <c r="X135" s="41">
        <f>1152000*Rateio!$E$212/12</f>
        <v>17280</v>
      </c>
      <c r="Y135" s="41">
        <f>1152000*Rateio!$E$212/12</f>
        <v>17280</v>
      </c>
      <c r="Z135" s="41">
        <f>1152000*Rateio!$E$212/12</f>
        <v>17280</v>
      </c>
      <c r="AA135" s="41">
        <f>1152000*Rateio!$E$212/12</f>
        <v>17280</v>
      </c>
      <c r="AB135" s="41">
        <f>1152000*Rateio!$E$212/12</f>
        <v>17280</v>
      </c>
      <c r="AC135" s="116">
        <f t="shared" si="73"/>
        <v>207360</v>
      </c>
      <c r="AE135" s="39">
        <f>IF(ISBLANK(Q135),"",IF($P135="BRL",Q135,Q135*Macroindicadores!B$2)/1000)</f>
        <v>17.28</v>
      </c>
      <c r="AF135" s="39">
        <f>IF(ISBLANK(R135),"",IF($P135="BRL",R135,R135*Macroindicadores!C$2)/1000)</f>
        <v>17.28</v>
      </c>
      <c r="AG135" s="39">
        <f>IF(ISBLANK(S135),"",IF($P135="BRL",S135,S135*Macroindicadores!D$2)/1000)</f>
        <v>17.28</v>
      </c>
      <c r="AH135" s="39">
        <f>IF(ISBLANK(T135),"",IF($P135="BRL",T135,T135*Macroindicadores!E$2)/1000)</f>
        <v>17.28</v>
      </c>
      <c r="AI135" s="39">
        <f>IF(ISBLANK(U135),"",IF($P135="BRL",U135,U135*Macroindicadores!F$2)/1000)</f>
        <v>17.28</v>
      </c>
      <c r="AJ135" s="39">
        <f>IF(ISBLANK(V135),"",IF($P135="BRL",V135,V135*Macroindicadores!G$2)/1000)</f>
        <v>17.28</v>
      </c>
      <c r="AK135" s="39">
        <f>IF(ISBLANK(W135),"",IF($P135="BRL",W135,W135*Macroindicadores!H$2)/1000)</f>
        <v>17.28</v>
      </c>
      <c r="AL135" s="39">
        <f>IF(ISBLANK(X135),"",IF($P135="BRL",X135,X135*Macroindicadores!I$2)/1000)</f>
        <v>17.28</v>
      </c>
      <c r="AM135" s="39">
        <f>IF(ISBLANK(Y135),"",IF($P135="BRL",Y135,Y135*Macroindicadores!J$2)/1000)</f>
        <v>17.28</v>
      </c>
      <c r="AN135" s="39">
        <f>IF(ISBLANK(Z135),"",IF($P135="BRL",Z135,Z135*Macroindicadores!K$2)/1000)</f>
        <v>17.28</v>
      </c>
      <c r="AO135" s="39">
        <f>IF(ISBLANK(AA135),"",IF($P135="BRL",AA135,AA135*Macroindicadores!L$2)/1000)</f>
        <v>17.28</v>
      </c>
      <c r="AP135" s="39">
        <f>IF(ISBLANK(AB135),"",IF($P135="BRL",AB135,AB135*Macroindicadores!M$2)/1000)</f>
        <v>17.28</v>
      </c>
      <c r="AQ135" s="40">
        <f t="shared" si="70"/>
        <v>207.36</v>
      </c>
      <c r="AS135" s="39">
        <f>IF(ISBLANK(Q135),"",IF(ISBLANK($O135),AE135,IF($J135="ANUAL",AE135*(1+Macroindicadores!B$7),IF(AND($I135="NOVO",MONTH($O135)=MONTH(AS$4)),AE135*(1+Macroindicadores!B$7),IF(AND($J135="PONTUAL",MONTH($O135)=MONTH(AS$4)),AE135*(1+Macroindicadores!B$7),IF(AND($J135="PONTUAL",MONTH($O135)&lt;MONTH(AS$4)),MIN(AR135:$AS135),IF(AND($I135="NOVO",MONTH($O135)&gt;MONTH(AS$4)),AE135,IF(MONTH($O135)&gt;MONTH(AS$4),AE135,IF(MONTH($O135)=MONTH(AS$4),AE135*(1+Macroindicadores!B$7),AR135)))))))))</f>
        <v>17.28</v>
      </c>
      <c r="AT135" s="39">
        <f>IF(ISBLANK(R135),"",IF(ISBLANK($O135),AF135,IF($J135="ANUAL",AF135*(1+Macroindicadores!C$7),IF(AND($I135="NOVO",MONTH($O135)=MONTH(AT$4)),AF135*(1+Macroindicadores!C$7),IF(AND($J135="PONTUAL",MONTH($O135)=MONTH(AT$4)),AF135*(1+Macroindicadores!C$7),IF(AND($J135="PONTUAL",MONTH($O135)&lt;MONTH(AT$4)),MIN($AS135:AS135),IF(AND($I135="NOVO",MONTH($O135)&gt;MONTH(AT$4)),AF135,IF(MONTH($O135)&gt;MONTH(AT$4),AF135,IF(MONTH($O135)=MONTH(AT$4),AF135*(1+Macroindicadores!C$7),AS135)))))))))</f>
        <v>17.28</v>
      </c>
      <c r="AU135" s="39">
        <f>IF(ISBLANK(S135),"",IF(ISBLANK($O135),AG135,IF($J135="ANUAL",AG135*(1+Macroindicadores!D$7),IF(AND($I135="NOVO",MONTH($O135)=MONTH(AU$4)),AG135*(1+Macroindicadores!D$7),IF(AND($J135="PONTUAL",MONTH($O135)=MONTH(AU$4)),AG135*(1+Macroindicadores!D$7),IF(AND($J135="PONTUAL",MONTH($O135)&lt;MONTH(AU$4)),MIN($AS135:AT135),IF(AND($I135="NOVO",MONTH($O135)&gt;MONTH(AU$4)),AG135,IF(MONTH($O135)&gt;MONTH(AU$4),AG135,IF(MONTH($O135)=MONTH(AU$4),AG135*(1+Macroindicadores!D$7),AT135)))))))))</f>
        <v>17.28</v>
      </c>
      <c r="AV135" s="39">
        <f>IF(ISBLANK(T135),"",IF(ISBLANK($O135),AH135,IF($J135="ANUAL",AH135*(1+Macroindicadores!E$7),IF(AND($I135="NOVO",MONTH($O135)=MONTH(AV$4)),AH135*(1+Macroindicadores!E$7),IF(AND($J135="PONTUAL",MONTH($O135)=MONTH(AV$4)),AH135*(1+Macroindicadores!E$7),IF(AND($J135="PONTUAL",MONTH($O135)&lt;MONTH(AV$4)),MIN($AS135:AU135),IF(AND($I135="NOVO",MONTH($O135)&gt;MONTH(AV$4)),AH135,IF(MONTH($O135)&gt;MONTH(AV$4),AH135,IF(MONTH($O135)=MONTH(AV$4),AH135*(1+Macroindicadores!E$7),AU135)))))))))</f>
        <v>17.28</v>
      </c>
      <c r="AW135" s="39">
        <f>IF(ISBLANK(U135),"",IF(ISBLANK($O135),AI135,IF($J135="ANUAL",AI135*(1+Macroindicadores!F$7),IF(AND($I135="NOVO",MONTH($O135)=MONTH(AW$4)),AI135*(1+Macroindicadores!F$7),IF(AND($J135="PONTUAL",MONTH($O135)=MONTH(AW$4)),AI135*(1+Macroindicadores!F$7),IF(AND($J135="PONTUAL",MONTH($O135)&lt;MONTH(AW$4)),MIN($AS135:AV135),IF(AND($I135="NOVO",MONTH($O135)&gt;MONTH(AW$4)),AI135,IF(MONTH($O135)&gt;MONTH(AW$4),AI135,IF(MONTH($O135)=MONTH(AW$4),AI135*(1+Macroindicadores!F$7),AV135)))))))))</f>
        <v>17.28</v>
      </c>
      <c r="AX135" s="39">
        <f>IF(ISBLANK(V135),"",IF(ISBLANK($O135),AJ135,IF($J135="ANUAL",AJ135*(1+Macroindicadores!G$7),IF(AND($I135="NOVO",MONTH($O135)=MONTH(AX$4)),AJ135*(1+Macroindicadores!G$7),IF(AND($J135="PONTUAL",MONTH($O135)=MONTH(AX$4)),AJ135*(1+Macroindicadores!G$7),IF(AND($J135="PONTUAL",MONTH($O135)&lt;MONTH(AX$4)),MIN($AS135:AW135),IF(AND($I135="NOVO",MONTH($O135)&gt;MONTH(AX$4)),AJ135,IF(MONTH($O135)&gt;MONTH(AX$4),AJ135,IF(MONTH($O135)=MONTH(AX$4),AJ135*(1+Macroindicadores!G$7),AW135)))))))))</f>
        <v>18.008426441379463</v>
      </c>
      <c r="AY135" s="39">
        <f>IF(ISBLANK(W135),"",IF(ISBLANK($O135),AK135,IF($J135="ANUAL",AK135*(1+Macroindicadores!H$7),IF(AND($I135="NOVO",MONTH($O135)=MONTH(AY$4)),AK135*(1+Macroindicadores!H$7),IF(AND($J135="PONTUAL",MONTH($O135)=MONTH(AY$4)),AK135*(1+Macroindicadores!H$7),IF(AND($J135="PONTUAL",MONTH($O135)&lt;MONTH(AY$4)),MIN($AS135:AX135),IF(AND($I135="NOVO",MONTH($O135)&gt;MONTH(AY$4)),AK135,IF(MONTH($O135)&gt;MONTH(AY$4),AK135,IF(MONTH($O135)=MONTH(AY$4),AK135*(1+Macroindicadores!H$7),AX135)))))))))</f>
        <v>18.008426441379463</v>
      </c>
      <c r="AZ135" s="39">
        <f>IF(ISBLANK(X135),"",IF(ISBLANK($O135),AL135,IF($J135="ANUAL",AL135*(1+Macroindicadores!I$7),IF(AND($I135="NOVO",MONTH($O135)=MONTH(AZ$4)),AL135*(1+Macroindicadores!I$7),IF(AND($J135="PONTUAL",MONTH($O135)=MONTH(AZ$4)),AL135*(1+Macroindicadores!I$7),IF(AND($J135="PONTUAL",MONTH($O135)&lt;MONTH(AZ$4)),MIN($AS135:AY135),IF(AND($I135="NOVO",MONTH($O135)&gt;MONTH(AZ$4)),AL135,IF(MONTH($O135)&gt;MONTH(AZ$4),AL135,IF(MONTH($O135)=MONTH(AZ$4),AL135*(1+Macroindicadores!I$7),AY135)))))))))</f>
        <v>18.008426441379463</v>
      </c>
      <c r="BA135" s="39">
        <f>IF(ISBLANK(Y135),"",IF(ISBLANK($O135),AM135,IF($J135="ANUAL",AM135*(1+Macroindicadores!J$7),IF(AND($I135="NOVO",MONTH($O135)=MONTH(BA$4)),AM135*(1+Macroindicadores!J$7),IF(AND($J135="PONTUAL",MONTH($O135)=MONTH(BA$4)),AM135*(1+Macroindicadores!J$7),IF(AND($J135="PONTUAL",MONTH($O135)&lt;MONTH(BA$4)),MIN($AS135:AZ135),IF(AND($I135="NOVO",MONTH($O135)&gt;MONTH(BA$4)),AM135,IF(MONTH($O135)&gt;MONTH(BA$4),AM135,IF(MONTH($O135)=MONTH(BA$4),AM135*(1+Macroindicadores!J$7),AZ135)))))))))</f>
        <v>18.008426441379463</v>
      </c>
      <c r="BB135" s="39">
        <f>IF(ISBLANK(Z135),"",IF(ISBLANK($O135),AN135,IF($J135="ANUAL",AN135*(1+Macroindicadores!K$7),IF(AND($I135="NOVO",MONTH($O135)=MONTH(BB$4)),AN135*(1+Macroindicadores!K$7),IF(AND($J135="PONTUAL",MONTH($O135)=MONTH(BB$4)),AN135*(1+Macroindicadores!K$7),IF(AND($J135="PONTUAL",MONTH($O135)&lt;MONTH(BB$4)),MIN($AS135:BA135),IF(AND($I135="NOVO",MONTH($O135)&gt;MONTH(BB$4)),AN135,IF(MONTH($O135)&gt;MONTH(BB$4),AN135,IF(MONTH($O135)=MONTH(BB$4),AN135*(1+Macroindicadores!K$7),BA135)))))))))</f>
        <v>18.008426441379463</v>
      </c>
      <c r="BC135" s="39">
        <f>IF(ISBLANK(AA135),"",IF(ISBLANK($O135),AO135,IF($J135="ANUAL",AO135*(1+Macroindicadores!L$7),IF(AND($I135="NOVO",MONTH($O135)=MONTH(BC$4)),AO135*(1+Macroindicadores!L$7),IF(AND($J135="PONTUAL",MONTH($O135)=MONTH(BC$4)),AO135*(1+Macroindicadores!L$7),IF(AND($J135="PONTUAL",MONTH($O135)&lt;MONTH(BC$4)),MIN($AS135:BB135),IF(AND($I135="NOVO",MONTH($O135)&gt;MONTH(BC$4)),AO135,IF(MONTH($O135)&gt;MONTH(BC$4),AO135,IF(MONTH($O135)=MONTH(BC$4),AO135*(1+Macroindicadores!L$7),BB135)))))))))</f>
        <v>18.008426441379463</v>
      </c>
      <c r="BD135" s="39">
        <f>IF(ISBLANK(AB135),"",IF(ISBLANK($O135),AP135,IF($J135="ANUAL",AP135*(1+Macroindicadores!M$7),IF(AND($I135="NOVO",MONTH($O135)=MONTH(BD$4)),AP135*(1+Macroindicadores!M$7),IF(AND($J135="PONTUAL",MONTH($O135)=MONTH(BD$4)),AP135*(1+Macroindicadores!M$7),IF(AND($J135="PONTUAL",MONTH($O135)&lt;MONTH(BD$4)),MIN($AS135:BC135),IF(AND($I135="NOVO",MONTH($O135)&gt;MONTH(BD$4)),AP135,IF(MONTH($O135)&gt;MONTH(BD$4),AP135,IF(MONTH($O135)=MONTH(BD$4),AP135*(1+Macroindicadores!M$7),BC135)))))))))</f>
        <v>18.008426441379463</v>
      </c>
      <c r="BE135" s="40">
        <f t="shared" si="71"/>
        <v>212.4589850896563</v>
      </c>
      <c r="BG135" s="39">
        <f>IF(ISBLANK(Q135),"",AS135/Macroindicadores!B$2)</f>
        <v>2.9387755102040818</v>
      </c>
      <c r="BH135" s="39">
        <f>IF(ISBLANK(R135),"",AT135/Macroindicadores!C$2)</f>
        <v>2.9387755102040818</v>
      </c>
      <c r="BI135" s="39">
        <f>IF(ISBLANK(S135),"",AU135/Macroindicadores!D$2)</f>
        <v>2.9387755102040818</v>
      </c>
      <c r="BJ135" s="39">
        <f>IF(ISBLANK(T135),"",AV135/Macroindicadores!E$2)</f>
        <v>2.9387755102040818</v>
      </c>
      <c r="BK135" s="39">
        <f>IF(ISBLANK(U135),"",AW135/Macroindicadores!F$2)</f>
        <v>2.9387755102040818</v>
      </c>
      <c r="BL135" s="39">
        <f>IF(ISBLANK(V135),"",AX135/Macroindicadores!G$2)</f>
        <v>3.0626575580577318</v>
      </c>
      <c r="BM135" s="39">
        <f>IF(ISBLANK(W135),"",AY135/Macroindicadores!H$2)</f>
        <v>3.0626575580577318</v>
      </c>
      <c r="BN135" s="39">
        <f>IF(ISBLANK(X135),"",AZ135/Macroindicadores!I$2)</f>
        <v>3.0626575580577318</v>
      </c>
      <c r="BO135" s="39">
        <f>IF(ISBLANK(Y135),"",BA135/Macroindicadores!J$2)</f>
        <v>3.0626575580577318</v>
      </c>
      <c r="BP135" s="39">
        <f>IF(ISBLANK(Z135),"",BB135/Macroindicadores!K$2)</f>
        <v>3.0626575580577318</v>
      </c>
      <c r="BQ135" s="39">
        <f>IF(ISBLANK(AA135),"",BC135/Macroindicadores!L$2)</f>
        <v>3.0626575580577318</v>
      </c>
      <c r="BR135" s="39">
        <f>IF(ISBLANK(AB135),"",BD135/Macroindicadores!M$2)</f>
        <v>3.0626575580577318</v>
      </c>
      <c r="BS135" s="40">
        <f>IF(AND(ISBLANK($Q135),ISBLANK($R135),ISBLANK($S135),ISBLANK($T135),ISBLANK($U135),ISBLANK($V135),ISBLANK($W135),ISBLANK($X135),ISBLANK($Y135),ISBLANK($Z135),ISBLANK($AA135),ISBLANK($AB135)),"",SUM(BG135:BR135))</f>
        <v>36.132480457424535</v>
      </c>
      <c r="BT135" s="25" t="str">
        <f>IF(ISBLANK($L135),"",_xlfn.XLOOKUP($L135,'CENTRO CUSTO'!$A:$A,'CENTRO CUSTO'!$E:$E,FALSE,0))</f>
        <v>G&amp;A BU</v>
      </c>
    </row>
    <row r="136" spans="1:72">
      <c r="A136" s="9" t="str">
        <f t="shared" si="72"/>
        <v>Budget</v>
      </c>
      <c r="B136" s="9">
        <f t="shared" si="69"/>
        <v>2026</v>
      </c>
      <c r="C136" s="18" t="str">
        <f>IF(ISBLANK($L136),"",_xlfn.XLOOKUP($L136,'CENTRO CUSTO'!$A:$A,'CENTRO CUSTO'!F:F,FALSE,0))</f>
        <v>Martini Meat</v>
      </c>
      <c r="D136" s="111" t="str">
        <f>IF(ISBLANK($L136),"",_xlfn.XLOOKUP($L136,'CENTRO CUSTO'!$A:$A,'CENTRO CUSTO'!G:G,FALSE,0))</f>
        <v>BU-MMAZ</v>
      </c>
      <c r="E136" s="18" t="str">
        <f>IF(ISBLANK($L136),"",_xlfn.XLOOKUP($L136,'CENTRO CUSTO'!$A:$A,'CENTRO CUSTO'!H:H,FALSE,0))</f>
        <v>G&amp;A</v>
      </c>
      <c r="F136" s="10" t="s">
        <v>165</v>
      </c>
      <c r="G136" s="10" t="s">
        <v>123</v>
      </c>
      <c r="H136" s="10" t="s">
        <v>166</v>
      </c>
      <c r="I136" s="11" t="s">
        <v>77</v>
      </c>
      <c r="J136" s="11" t="s">
        <v>78</v>
      </c>
      <c r="K136" s="11" t="s">
        <v>79</v>
      </c>
      <c r="L136" s="11" t="s">
        <v>35</v>
      </c>
      <c r="M136" s="18" t="str">
        <f>IF(ISBLANK($L136),"",_xlfn.XLOOKUP($L136,'CENTRO CUSTO'!$A:$A,'CENTRO CUSTO'!D:D,FALSE,0))</f>
        <v>Alexandre Ayabe</v>
      </c>
      <c r="N136" s="11" t="s">
        <v>91</v>
      </c>
      <c r="O136" s="12">
        <v>46174</v>
      </c>
      <c r="P136" s="11" t="s">
        <v>81</v>
      </c>
      <c r="Q136" s="41">
        <f>1152000*Rateio!$E$214/12</f>
        <v>48000</v>
      </c>
      <c r="R136" s="41">
        <f>1152000*Rateio!$E$214/12</f>
        <v>48000</v>
      </c>
      <c r="S136" s="41">
        <f>1152000*Rateio!$E$214/12</f>
        <v>48000</v>
      </c>
      <c r="T136" s="41">
        <f>1152000*Rateio!$E$214/12</f>
        <v>48000</v>
      </c>
      <c r="U136" s="41">
        <f>1152000*Rateio!$E$214/12</f>
        <v>48000</v>
      </c>
      <c r="V136" s="41">
        <f>1152000*Rateio!$E$214/12</f>
        <v>48000</v>
      </c>
      <c r="W136" s="41">
        <f>1152000*Rateio!$E$214/12</f>
        <v>48000</v>
      </c>
      <c r="X136" s="41">
        <f>1152000*Rateio!$E$214/12</f>
        <v>48000</v>
      </c>
      <c r="Y136" s="41">
        <f>1152000*Rateio!$E$214/12</f>
        <v>48000</v>
      </c>
      <c r="Z136" s="41">
        <f>1152000*Rateio!$E$214/12</f>
        <v>48000</v>
      </c>
      <c r="AA136" s="41">
        <f>1152000*Rateio!$E$214/12</f>
        <v>48000</v>
      </c>
      <c r="AB136" s="41">
        <f>1152000*Rateio!$E$214/12</f>
        <v>48000</v>
      </c>
      <c r="AC136" s="116">
        <f t="shared" si="73"/>
        <v>576000</v>
      </c>
      <c r="AE136" s="39">
        <f>IF(ISBLANK(Q136),"",IF($P136="BRL",Q136,Q136*Macroindicadores!B$2)/1000)</f>
        <v>48</v>
      </c>
      <c r="AF136" s="39">
        <f>IF(ISBLANK(R136),"",IF($P136="BRL",R136,R136*Macroindicadores!C$2)/1000)</f>
        <v>48</v>
      </c>
      <c r="AG136" s="39">
        <f>IF(ISBLANK(S136),"",IF($P136="BRL",S136,S136*Macroindicadores!D$2)/1000)</f>
        <v>48</v>
      </c>
      <c r="AH136" s="39">
        <f>IF(ISBLANK(T136),"",IF($P136="BRL",T136,T136*Macroindicadores!E$2)/1000)</f>
        <v>48</v>
      </c>
      <c r="AI136" s="39">
        <f>IF(ISBLANK(U136),"",IF($P136="BRL",U136,U136*Macroindicadores!F$2)/1000)</f>
        <v>48</v>
      </c>
      <c r="AJ136" s="39">
        <f>IF(ISBLANK(V136),"",IF($P136="BRL",V136,V136*Macroindicadores!G$2)/1000)</f>
        <v>48</v>
      </c>
      <c r="AK136" s="39">
        <f>IF(ISBLANK(W136),"",IF($P136="BRL",W136,W136*Macroindicadores!H$2)/1000)</f>
        <v>48</v>
      </c>
      <c r="AL136" s="39">
        <f>IF(ISBLANK(X136),"",IF($P136="BRL",X136,X136*Macroindicadores!I$2)/1000)</f>
        <v>48</v>
      </c>
      <c r="AM136" s="39">
        <f>IF(ISBLANK(Y136),"",IF($P136="BRL",Y136,Y136*Macroindicadores!J$2)/1000)</f>
        <v>48</v>
      </c>
      <c r="AN136" s="39">
        <f>IF(ISBLANK(Z136),"",IF($P136="BRL",Z136,Z136*Macroindicadores!K$2)/1000)</f>
        <v>48</v>
      </c>
      <c r="AO136" s="39">
        <f>IF(ISBLANK(AA136),"",IF($P136="BRL",AA136,AA136*Macroindicadores!L$2)/1000)</f>
        <v>48</v>
      </c>
      <c r="AP136" s="39">
        <f>IF(ISBLANK(AB136),"",IF($P136="BRL",AB136,AB136*Macroindicadores!M$2)/1000)</f>
        <v>48</v>
      </c>
      <c r="AQ136" s="40">
        <f t="shared" si="70"/>
        <v>576</v>
      </c>
      <c r="AS136" s="39">
        <f>IF(ISBLANK(Q136),"",IF(ISBLANK($O136),AE136,IF($J136="ANUAL",AE136*(1+Macroindicadores!B$7),IF(AND($I136="NOVO",MONTH($O136)=MONTH(AS$4)),AE136*(1+Macroindicadores!B$7),IF(AND($J136="PONTUAL",MONTH($O136)=MONTH(AS$4)),AE136*(1+Macroindicadores!B$7),IF(AND($J136="PONTUAL",MONTH($O136)&lt;MONTH(AS$4)),MIN(AR136:$AS136),IF(AND($I136="NOVO",MONTH($O136)&gt;MONTH(AS$4)),AE136,IF(MONTH($O136)&gt;MONTH(AS$4),AE136,IF(MONTH($O136)=MONTH(AS$4),AE136*(1+Macroindicadores!B$7),AR136)))))))))</f>
        <v>48</v>
      </c>
      <c r="AT136" s="39">
        <f>IF(ISBLANK(R136),"",IF(ISBLANK($O136),AF136,IF($J136="ANUAL",AF136*(1+Macroindicadores!C$7),IF(AND($I136="NOVO",MONTH($O136)=MONTH(AT$4)),AF136*(1+Macroindicadores!C$7),IF(AND($J136="PONTUAL",MONTH($O136)=MONTH(AT$4)),AF136*(1+Macroindicadores!C$7),IF(AND($J136="PONTUAL",MONTH($O136)&lt;MONTH(AT$4)),MIN($AS136:AS136),IF(AND($I136="NOVO",MONTH($O136)&gt;MONTH(AT$4)),AF136,IF(MONTH($O136)&gt;MONTH(AT$4),AF136,IF(MONTH($O136)=MONTH(AT$4),AF136*(1+Macroindicadores!C$7),AS136)))))))))</f>
        <v>48</v>
      </c>
      <c r="AU136" s="39">
        <f>IF(ISBLANK(S136),"",IF(ISBLANK($O136),AG136,IF($J136="ANUAL",AG136*(1+Macroindicadores!D$7),IF(AND($I136="NOVO",MONTH($O136)=MONTH(AU$4)),AG136*(1+Macroindicadores!D$7),IF(AND($J136="PONTUAL",MONTH($O136)=MONTH(AU$4)),AG136*(1+Macroindicadores!D$7),IF(AND($J136="PONTUAL",MONTH($O136)&lt;MONTH(AU$4)),MIN($AS136:AT136),IF(AND($I136="NOVO",MONTH($O136)&gt;MONTH(AU$4)),AG136,IF(MONTH($O136)&gt;MONTH(AU$4),AG136,IF(MONTH($O136)=MONTH(AU$4),AG136*(1+Macroindicadores!D$7),AT136)))))))))</f>
        <v>48</v>
      </c>
      <c r="AV136" s="39">
        <f>IF(ISBLANK(T136),"",IF(ISBLANK($O136),AH136,IF($J136="ANUAL",AH136*(1+Macroindicadores!E$7),IF(AND($I136="NOVO",MONTH($O136)=MONTH(AV$4)),AH136*(1+Macroindicadores!E$7),IF(AND($J136="PONTUAL",MONTH($O136)=MONTH(AV$4)),AH136*(1+Macroindicadores!E$7),IF(AND($J136="PONTUAL",MONTH($O136)&lt;MONTH(AV$4)),MIN($AS136:AU136),IF(AND($I136="NOVO",MONTH($O136)&gt;MONTH(AV$4)),AH136,IF(MONTH($O136)&gt;MONTH(AV$4),AH136,IF(MONTH($O136)=MONTH(AV$4),AH136*(1+Macroindicadores!E$7),AU136)))))))))</f>
        <v>48</v>
      </c>
      <c r="AW136" s="39">
        <f>IF(ISBLANK(U136),"",IF(ISBLANK($O136),AI136,IF($J136="ANUAL",AI136*(1+Macroindicadores!F$7),IF(AND($I136="NOVO",MONTH($O136)=MONTH(AW$4)),AI136*(1+Macroindicadores!F$7),IF(AND($J136="PONTUAL",MONTH($O136)=MONTH(AW$4)),AI136*(1+Macroindicadores!F$7),IF(AND($J136="PONTUAL",MONTH($O136)&lt;MONTH(AW$4)),MIN($AS136:AV136),IF(AND($I136="NOVO",MONTH($O136)&gt;MONTH(AW$4)),AI136,IF(MONTH($O136)&gt;MONTH(AW$4),AI136,IF(MONTH($O136)=MONTH(AW$4),AI136*(1+Macroindicadores!F$7),AV136)))))))))</f>
        <v>48</v>
      </c>
      <c r="AX136" s="39">
        <f>IF(ISBLANK(V136),"",IF(ISBLANK($O136),AJ136,IF($J136="ANUAL",AJ136*(1+Macroindicadores!G$7),IF(AND($I136="NOVO",MONTH($O136)=MONTH(AX$4)),AJ136*(1+Macroindicadores!G$7),IF(AND($J136="PONTUAL",MONTH($O136)=MONTH(AX$4)),AJ136*(1+Macroindicadores!G$7),IF(AND($J136="PONTUAL",MONTH($O136)&lt;MONTH(AX$4)),MIN($AS136:AW136),IF(AND($I136="NOVO",MONTH($O136)&gt;MONTH(AX$4)),AJ136,IF(MONTH($O136)&gt;MONTH(AX$4),AJ136,IF(MONTH($O136)=MONTH(AX$4),AJ136*(1+Macroindicadores!G$7),AW136)))))))))</f>
        <v>50.023406781609609</v>
      </c>
      <c r="AY136" s="39">
        <f>IF(ISBLANK(W136),"",IF(ISBLANK($O136),AK136,IF($J136="ANUAL",AK136*(1+Macroindicadores!H$7),IF(AND($I136="NOVO",MONTH($O136)=MONTH(AY$4)),AK136*(1+Macroindicadores!H$7),IF(AND($J136="PONTUAL",MONTH($O136)=MONTH(AY$4)),AK136*(1+Macroindicadores!H$7),IF(AND($J136="PONTUAL",MONTH($O136)&lt;MONTH(AY$4)),MIN($AS136:AX136),IF(AND($I136="NOVO",MONTH($O136)&gt;MONTH(AY$4)),AK136,IF(MONTH($O136)&gt;MONTH(AY$4),AK136,IF(MONTH($O136)=MONTH(AY$4),AK136*(1+Macroindicadores!H$7),AX136)))))))))</f>
        <v>50.023406781609609</v>
      </c>
      <c r="AZ136" s="39">
        <f>IF(ISBLANK(X136),"",IF(ISBLANK($O136),AL136,IF($J136="ANUAL",AL136*(1+Macroindicadores!I$7),IF(AND($I136="NOVO",MONTH($O136)=MONTH(AZ$4)),AL136*(1+Macroindicadores!I$7),IF(AND($J136="PONTUAL",MONTH($O136)=MONTH(AZ$4)),AL136*(1+Macroindicadores!I$7),IF(AND($J136="PONTUAL",MONTH($O136)&lt;MONTH(AZ$4)),MIN($AS136:AY136),IF(AND($I136="NOVO",MONTH($O136)&gt;MONTH(AZ$4)),AL136,IF(MONTH($O136)&gt;MONTH(AZ$4),AL136,IF(MONTH($O136)=MONTH(AZ$4),AL136*(1+Macroindicadores!I$7),AY136)))))))))</f>
        <v>50.023406781609609</v>
      </c>
      <c r="BA136" s="39">
        <f>IF(ISBLANK(Y136),"",IF(ISBLANK($O136),AM136,IF($J136="ANUAL",AM136*(1+Macroindicadores!J$7),IF(AND($I136="NOVO",MONTH($O136)=MONTH(BA$4)),AM136*(1+Macroindicadores!J$7),IF(AND($J136="PONTUAL",MONTH($O136)=MONTH(BA$4)),AM136*(1+Macroindicadores!J$7),IF(AND($J136="PONTUAL",MONTH($O136)&lt;MONTH(BA$4)),MIN($AS136:AZ136),IF(AND($I136="NOVO",MONTH($O136)&gt;MONTH(BA$4)),AM136,IF(MONTH($O136)&gt;MONTH(BA$4),AM136,IF(MONTH($O136)=MONTH(BA$4),AM136*(1+Macroindicadores!J$7),AZ136)))))))))</f>
        <v>50.023406781609609</v>
      </c>
      <c r="BB136" s="39">
        <f>IF(ISBLANK(Z136),"",IF(ISBLANK($O136),AN136,IF($J136="ANUAL",AN136*(1+Macroindicadores!K$7),IF(AND($I136="NOVO",MONTH($O136)=MONTH(BB$4)),AN136*(1+Macroindicadores!K$7),IF(AND($J136="PONTUAL",MONTH($O136)=MONTH(BB$4)),AN136*(1+Macroindicadores!K$7),IF(AND($J136="PONTUAL",MONTH($O136)&lt;MONTH(BB$4)),MIN($AS136:BA136),IF(AND($I136="NOVO",MONTH($O136)&gt;MONTH(BB$4)),AN136,IF(MONTH($O136)&gt;MONTH(BB$4),AN136,IF(MONTH($O136)=MONTH(BB$4),AN136*(1+Macroindicadores!K$7),BA136)))))))))</f>
        <v>50.023406781609609</v>
      </c>
      <c r="BC136" s="39">
        <f>IF(ISBLANK(AA136),"",IF(ISBLANK($O136),AO136,IF($J136="ANUAL",AO136*(1+Macroindicadores!L$7),IF(AND($I136="NOVO",MONTH($O136)=MONTH(BC$4)),AO136*(1+Macroindicadores!L$7),IF(AND($J136="PONTUAL",MONTH($O136)=MONTH(BC$4)),AO136*(1+Macroindicadores!L$7),IF(AND($J136="PONTUAL",MONTH($O136)&lt;MONTH(BC$4)),MIN($AS136:BB136),IF(AND($I136="NOVO",MONTH($O136)&gt;MONTH(BC$4)),AO136,IF(MONTH($O136)&gt;MONTH(BC$4),AO136,IF(MONTH($O136)=MONTH(BC$4),AO136*(1+Macroindicadores!L$7),BB136)))))))))</f>
        <v>50.023406781609609</v>
      </c>
      <c r="BD136" s="39">
        <f>IF(ISBLANK(AB136),"",IF(ISBLANK($O136),AP136,IF($J136="ANUAL",AP136*(1+Macroindicadores!M$7),IF(AND($I136="NOVO",MONTH($O136)=MONTH(BD$4)),AP136*(1+Macroindicadores!M$7),IF(AND($J136="PONTUAL",MONTH($O136)=MONTH(BD$4)),AP136*(1+Macroindicadores!M$7),IF(AND($J136="PONTUAL",MONTH($O136)&lt;MONTH(BD$4)),MIN($AS136:BC136),IF(AND($I136="NOVO",MONTH($O136)&gt;MONTH(BD$4)),AP136,IF(MONTH($O136)&gt;MONTH(BD$4),AP136,IF(MONTH($O136)=MONTH(BD$4),AP136*(1+Macroindicadores!M$7),BC136)))))))))</f>
        <v>50.023406781609609</v>
      </c>
      <c r="BE136" s="40">
        <f t="shared" si="71"/>
        <v>590.16384747126722</v>
      </c>
      <c r="BG136" s="39">
        <f>IF(ISBLANK(Q136),"",AS136/Macroindicadores!B$2)</f>
        <v>8.1632653061224492</v>
      </c>
      <c r="BH136" s="39">
        <f>IF(ISBLANK(R136),"",AT136/Macroindicadores!C$2)</f>
        <v>8.1632653061224492</v>
      </c>
      <c r="BI136" s="39">
        <f>IF(ISBLANK(S136),"",AU136/Macroindicadores!D$2)</f>
        <v>8.1632653061224492</v>
      </c>
      <c r="BJ136" s="39">
        <f>IF(ISBLANK(T136),"",AV136/Macroindicadores!E$2)</f>
        <v>8.1632653061224492</v>
      </c>
      <c r="BK136" s="39">
        <f>IF(ISBLANK(U136),"",AW136/Macroindicadores!F$2)</f>
        <v>8.1632653061224492</v>
      </c>
      <c r="BL136" s="39">
        <f>IF(ISBLANK(V136),"",AX136/Macroindicadores!G$2)</f>
        <v>8.5073821057159194</v>
      </c>
      <c r="BM136" s="39">
        <f>IF(ISBLANK(W136),"",AY136/Macroindicadores!H$2)</f>
        <v>8.5073821057159194</v>
      </c>
      <c r="BN136" s="39">
        <f>IF(ISBLANK(X136),"",AZ136/Macroindicadores!I$2)</f>
        <v>8.5073821057159194</v>
      </c>
      <c r="BO136" s="39">
        <f>IF(ISBLANK(Y136),"",BA136/Macroindicadores!J$2)</f>
        <v>8.5073821057159194</v>
      </c>
      <c r="BP136" s="39">
        <f>IF(ISBLANK(Z136),"",BB136/Macroindicadores!K$2)</f>
        <v>8.5073821057159194</v>
      </c>
      <c r="BQ136" s="39">
        <f>IF(ISBLANK(AA136),"",BC136/Macroindicadores!L$2)</f>
        <v>8.5073821057159194</v>
      </c>
      <c r="BR136" s="39">
        <f>IF(ISBLANK(AB136),"",BD136/Macroindicadores!M$2)</f>
        <v>8.5073821057159194</v>
      </c>
      <c r="BS136" s="40">
        <f>IF(AND(ISBLANK($Q136),ISBLANK($R136),ISBLANK($S136),ISBLANK($T136),ISBLANK($U136),ISBLANK($V136),ISBLANK($W136),ISBLANK($X136),ISBLANK($Y136),ISBLANK($Z136),ISBLANK($AA136),ISBLANK($AB136)),"",SUM(BG136:BR136))</f>
        <v>100.36800127062368</v>
      </c>
      <c r="BT136" s="25" t="str">
        <f>IF(ISBLANK($L136),"",_xlfn.XLOOKUP($L136,'CENTRO CUSTO'!$A:$A,'CENTRO CUSTO'!$E:$E,FALSE,0))</f>
        <v>G&amp;A BU</v>
      </c>
    </row>
    <row r="137" spans="1:72">
      <c r="A137" s="9" t="str">
        <f t="shared" si="72"/>
        <v>Budget</v>
      </c>
      <c r="B137" s="9">
        <f t="shared" si="69"/>
        <v>2026</v>
      </c>
      <c r="C137" s="18" t="str">
        <f>IF(ISBLANK($L137),"",_xlfn.XLOOKUP($L137,'CENTRO CUSTO'!$A:$A,'CENTRO CUSTO'!F:F,FALSE,0))</f>
        <v>MRV</v>
      </c>
      <c r="D137" s="111" t="str">
        <f>IF(ISBLANK($L137),"",_xlfn.XLOOKUP($L137,'CENTRO CUSTO'!$A:$A,'CENTRO CUSTO'!G:G,FALSE,0))</f>
        <v>BU-MRV</v>
      </c>
      <c r="E137" s="18" t="str">
        <f>IF(ISBLANK($L137),"",_xlfn.XLOOKUP($L137,'CENTRO CUSTO'!$A:$A,'CENTRO CUSTO'!H:H,FALSE,0))</f>
        <v>G&amp;A</v>
      </c>
      <c r="F137" s="10" t="s">
        <v>165</v>
      </c>
      <c r="G137" s="10" t="s">
        <v>123</v>
      </c>
      <c r="H137" s="10" t="s">
        <v>166</v>
      </c>
      <c r="I137" s="11" t="s">
        <v>77</v>
      </c>
      <c r="J137" s="11" t="s">
        <v>78</v>
      </c>
      <c r="K137" s="11" t="s">
        <v>79</v>
      </c>
      <c r="L137" s="11" t="s">
        <v>45</v>
      </c>
      <c r="M137" s="18" t="str">
        <f>IF(ISBLANK($L137),"",_xlfn.XLOOKUP($L137,'CENTRO CUSTO'!$A:$A,'CENTRO CUSTO'!D:D,FALSE,0))</f>
        <v>Alexandre Ayabe</v>
      </c>
      <c r="N137" s="11" t="s">
        <v>91</v>
      </c>
      <c r="O137" s="12">
        <v>46174</v>
      </c>
      <c r="P137" s="11" t="s">
        <v>81</v>
      </c>
      <c r="Q137" s="41">
        <f>1152000*Rateio!$E$230/12</f>
        <v>4800</v>
      </c>
      <c r="R137" s="41">
        <f>1152000*Rateio!$E$230/12</f>
        <v>4800</v>
      </c>
      <c r="S137" s="41">
        <f>1152000*Rateio!$E$230/12</f>
        <v>4800</v>
      </c>
      <c r="T137" s="41">
        <f>1152000*Rateio!$E$230/12</f>
        <v>4800</v>
      </c>
      <c r="U137" s="41">
        <f>1152000*Rateio!$E$230/12</f>
        <v>4800</v>
      </c>
      <c r="V137" s="41">
        <f>1152000*Rateio!$E$230/12</f>
        <v>4800</v>
      </c>
      <c r="W137" s="41">
        <f>1152000*Rateio!$E$230/12</f>
        <v>4800</v>
      </c>
      <c r="X137" s="41">
        <f>1152000*Rateio!$E$230/12</f>
        <v>4800</v>
      </c>
      <c r="Y137" s="41">
        <f>1152000*Rateio!$E$230/12</f>
        <v>4800</v>
      </c>
      <c r="Z137" s="41">
        <f>1152000*Rateio!$E$230/12</f>
        <v>4800</v>
      </c>
      <c r="AA137" s="41">
        <f>1152000*Rateio!$E$230/12</f>
        <v>4800</v>
      </c>
      <c r="AB137" s="41">
        <f>1152000*Rateio!$E$230/12</f>
        <v>4800</v>
      </c>
      <c r="AC137" s="116">
        <f t="shared" si="73"/>
        <v>57600</v>
      </c>
      <c r="AE137" s="39">
        <f>IF(ISBLANK(Q137),"",IF($P137="BRL",Q137,Q137*Macroindicadores!B$2)/1000)</f>
        <v>4.8</v>
      </c>
      <c r="AF137" s="39">
        <f>IF(ISBLANK(R137),"",IF($P137="BRL",R137,R137*Macroindicadores!C$2)/1000)</f>
        <v>4.8</v>
      </c>
      <c r="AG137" s="39">
        <f>IF(ISBLANK(S137),"",IF($P137="BRL",S137,S137*Macroindicadores!D$2)/1000)</f>
        <v>4.8</v>
      </c>
      <c r="AH137" s="39">
        <f>IF(ISBLANK(T137),"",IF($P137="BRL",T137,T137*Macroindicadores!E$2)/1000)</f>
        <v>4.8</v>
      </c>
      <c r="AI137" s="39">
        <f>IF(ISBLANK(U137),"",IF($P137="BRL",U137,U137*Macroindicadores!F$2)/1000)</f>
        <v>4.8</v>
      </c>
      <c r="AJ137" s="39">
        <f>IF(ISBLANK(V137),"",IF($P137="BRL",V137,V137*Macroindicadores!G$2)/1000)</f>
        <v>4.8</v>
      </c>
      <c r="AK137" s="39">
        <f>IF(ISBLANK(W137),"",IF($P137="BRL",W137,W137*Macroindicadores!H$2)/1000)</f>
        <v>4.8</v>
      </c>
      <c r="AL137" s="39">
        <f>IF(ISBLANK(X137),"",IF($P137="BRL",X137,X137*Macroindicadores!I$2)/1000)</f>
        <v>4.8</v>
      </c>
      <c r="AM137" s="39">
        <f>IF(ISBLANK(Y137),"",IF($P137="BRL",Y137,Y137*Macroindicadores!J$2)/1000)</f>
        <v>4.8</v>
      </c>
      <c r="AN137" s="39">
        <f>IF(ISBLANK(Z137),"",IF($P137="BRL",Z137,Z137*Macroindicadores!K$2)/1000)</f>
        <v>4.8</v>
      </c>
      <c r="AO137" s="39">
        <f>IF(ISBLANK(AA137),"",IF($P137="BRL",AA137,AA137*Macroindicadores!L$2)/1000)</f>
        <v>4.8</v>
      </c>
      <c r="AP137" s="39">
        <f>IF(ISBLANK(AB137),"",IF($P137="BRL",AB137,AB137*Macroindicadores!M$2)/1000)</f>
        <v>4.8</v>
      </c>
      <c r="AQ137" s="40">
        <f t="shared" si="70"/>
        <v>57.599999999999987</v>
      </c>
      <c r="AS137" s="39">
        <f>IF(ISBLANK(Q137),"",IF(ISBLANK($O137),AE137,IF($J137="ANUAL",AE137*(1+Macroindicadores!B$7),IF(AND($I137="NOVO",MONTH($O137)=MONTH(AS$4)),AE137*(1+Macroindicadores!B$7),IF(AND($J137="PONTUAL",MONTH($O137)=MONTH(AS$4)),AE137*(1+Macroindicadores!B$7),IF(AND($J137="PONTUAL",MONTH($O137)&lt;MONTH(AS$4)),MIN(AR137:$AS137),IF(AND($I137="NOVO",MONTH($O137)&gt;MONTH(AS$4)),AE137,IF(MONTH($O137)&gt;MONTH(AS$4),AE137,IF(MONTH($O137)=MONTH(AS$4),AE137*(1+Macroindicadores!B$7),AR137)))))))))</f>
        <v>4.8</v>
      </c>
      <c r="AT137" s="39">
        <f>IF(ISBLANK(R137),"",IF(ISBLANK($O137),AF137,IF($J137="ANUAL",AF137*(1+Macroindicadores!C$7),IF(AND($I137="NOVO",MONTH($O137)=MONTH(AT$4)),AF137*(1+Macroindicadores!C$7),IF(AND($J137="PONTUAL",MONTH($O137)=MONTH(AT$4)),AF137*(1+Macroindicadores!C$7),IF(AND($J137="PONTUAL",MONTH($O137)&lt;MONTH(AT$4)),MIN($AS137:AS137),IF(AND($I137="NOVO",MONTH($O137)&gt;MONTH(AT$4)),AF137,IF(MONTH($O137)&gt;MONTH(AT$4),AF137,IF(MONTH($O137)=MONTH(AT$4),AF137*(1+Macroindicadores!C$7),AS137)))))))))</f>
        <v>4.8</v>
      </c>
      <c r="AU137" s="39">
        <f>IF(ISBLANK(S137),"",IF(ISBLANK($O137),AG137,IF($J137="ANUAL",AG137*(1+Macroindicadores!D$7),IF(AND($I137="NOVO",MONTH($O137)=MONTH(AU$4)),AG137*(1+Macroindicadores!D$7),IF(AND($J137="PONTUAL",MONTH($O137)=MONTH(AU$4)),AG137*(1+Macroindicadores!D$7),IF(AND($J137="PONTUAL",MONTH($O137)&lt;MONTH(AU$4)),MIN($AS137:AT137),IF(AND($I137="NOVO",MONTH($O137)&gt;MONTH(AU$4)),AG137,IF(MONTH($O137)&gt;MONTH(AU$4),AG137,IF(MONTH($O137)=MONTH(AU$4),AG137*(1+Macroindicadores!D$7),AT137)))))))))</f>
        <v>4.8</v>
      </c>
      <c r="AV137" s="39">
        <f>IF(ISBLANK(T137),"",IF(ISBLANK($O137),AH137,IF($J137="ANUAL",AH137*(1+Macroindicadores!E$7),IF(AND($I137="NOVO",MONTH($O137)=MONTH(AV$4)),AH137*(1+Macroindicadores!E$7),IF(AND($J137="PONTUAL",MONTH($O137)=MONTH(AV$4)),AH137*(1+Macroindicadores!E$7),IF(AND($J137="PONTUAL",MONTH($O137)&lt;MONTH(AV$4)),MIN($AS137:AU137),IF(AND($I137="NOVO",MONTH($O137)&gt;MONTH(AV$4)),AH137,IF(MONTH($O137)&gt;MONTH(AV$4),AH137,IF(MONTH($O137)=MONTH(AV$4),AH137*(1+Macroindicadores!E$7),AU137)))))))))</f>
        <v>4.8</v>
      </c>
      <c r="AW137" s="39">
        <f>IF(ISBLANK(U137),"",IF(ISBLANK($O137),AI137,IF($J137="ANUAL",AI137*(1+Macroindicadores!F$7),IF(AND($I137="NOVO",MONTH($O137)=MONTH(AW$4)),AI137*(1+Macroindicadores!F$7),IF(AND($J137="PONTUAL",MONTH($O137)=MONTH(AW$4)),AI137*(1+Macroindicadores!F$7),IF(AND($J137="PONTUAL",MONTH($O137)&lt;MONTH(AW$4)),MIN($AS137:AV137),IF(AND($I137="NOVO",MONTH($O137)&gt;MONTH(AW$4)),AI137,IF(MONTH($O137)&gt;MONTH(AW$4),AI137,IF(MONTH($O137)=MONTH(AW$4),AI137*(1+Macroindicadores!F$7),AV137)))))))))</f>
        <v>4.8</v>
      </c>
      <c r="AX137" s="39">
        <f>IF(ISBLANK(V137),"",IF(ISBLANK($O137),AJ137,IF($J137="ANUAL",AJ137*(1+Macroindicadores!G$7),IF(AND($I137="NOVO",MONTH($O137)=MONTH(AX$4)),AJ137*(1+Macroindicadores!G$7),IF(AND($J137="PONTUAL",MONTH($O137)=MONTH(AX$4)),AJ137*(1+Macroindicadores!G$7),IF(AND($J137="PONTUAL",MONTH($O137)&lt;MONTH(AX$4)),MIN($AS137:AW137),IF(AND($I137="NOVO",MONTH($O137)&gt;MONTH(AX$4)),AJ137,IF(MONTH($O137)&gt;MONTH(AX$4),AJ137,IF(MONTH($O137)=MONTH(AX$4),AJ137*(1+Macroindicadores!G$7),AW137)))))))))</f>
        <v>5.0023406781609614</v>
      </c>
      <c r="AY137" s="39">
        <f>IF(ISBLANK(W137),"",IF(ISBLANK($O137),AK137,IF($J137="ANUAL",AK137*(1+Macroindicadores!H$7),IF(AND($I137="NOVO",MONTH($O137)=MONTH(AY$4)),AK137*(1+Macroindicadores!H$7),IF(AND($J137="PONTUAL",MONTH($O137)=MONTH(AY$4)),AK137*(1+Macroindicadores!H$7),IF(AND($J137="PONTUAL",MONTH($O137)&lt;MONTH(AY$4)),MIN($AS137:AX137),IF(AND($I137="NOVO",MONTH($O137)&gt;MONTH(AY$4)),AK137,IF(MONTH($O137)&gt;MONTH(AY$4),AK137,IF(MONTH($O137)=MONTH(AY$4),AK137*(1+Macroindicadores!H$7),AX137)))))))))</f>
        <v>5.0023406781609614</v>
      </c>
      <c r="AZ137" s="39">
        <f>IF(ISBLANK(X137),"",IF(ISBLANK($O137),AL137,IF($J137="ANUAL",AL137*(1+Macroindicadores!I$7),IF(AND($I137="NOVO",MONTH($O137)=MONTH(AZ$4)),AL137*(1+Macroindicadores!I$7),IF(AND($J137="PONTUAL",MONTH($O137)=MONTH(AZ$4)),AL137*(1+Macroindicadores!I$7),IF(AND($J137="PONTUAL",MONTH($O137)&lt;MONTH(AZ$4)),MIN($AS137:AY137),IF(AND($I137="NOVO",MONTH($O137)&gt;MONTH(AZ$4)),AL137,IF(MONTH($O137)&gt;MONTH(AZ$4),AL137,IF(MONTH($O137)=MONTH(AZ$4),AL137*(1+Macroindicadores!I$7),AY137)))))))))</f>
        <v>5.0023406781609614</v>
      </c>
      <c r="BA137" s="39">
        <f>IF(ISBLANK(Y137),"",IF(ISBLANK($O137),AM137,IF($J137="ANUAL",AM137*(1+Macroindicadores!J$7),IF(AND($I137="NOVO",MONTH($O137)=MONTH(BA$4)),AM137*(1+Macroindicadores!J$7),IF(AND($J137="PONTUAL",MONTH($O137)=MONTH(BA$4)),AM137*(1+Macroindicadores!J$7),IF(AND($J137="PONTUAL",MONTH($O137)&lt;MONTH(BA$4)),MIN($AS137:AZ137),IF(AND($I137="NOVO",MONTH($O137)&gt;MONTH(BA$4)),AM137,IF(MONTH($O137)&gt;MONTH(BA$4),AM137,IF(MONTH($O137)=MONTH(BA$4),AM137*(1+Macroindicadores!J$7),AZ137)))))))))</f>
        <v>5.0023406781609614</v>
      </c>
      <c r="BB137" s="39">
        <f>IF(ISBLANK(Z137),"",IF(ISBLANK($O137),AN137,IF($J137="ANUAL",AN137*(1+Macroindicadores!K$7),IF(AND($I137="NOVO",MONTH($O137)=MONTH(BB$4)),AN137*(1+Macroindicadores!K$7),IF(AND($J137="PONTUAL",MONTH($O137)=MONTH(BB$4)),AN137*(1+Macroindicadores!K$7),IF(AND($J137="PONTUAL",MONTH($O137)&lt;MONTH(BB$4)),MIN($AS137:BA137),IF(AND($I137="NOVO",MONTH($O137)&gt;MONTH(BB$4)),AN137,IF(MONTH($O137)&gt;MONTH(BB$4),AN137,IF(MONTH($O137)=MONTH(BB$4),AN137*(1+Macroindicadores!K$7),BA137)))))))))</f>
        <v>5.0023406781609614</v>
      </c>
      <c r="BC137" s="39">
        <f>IF(ISBLANK(AA137),"",IF(ISBLANK($O137),AO137,IF($J137="ANUAL",AO137*(1+Macroindicadores!L$7),IF(AND($I137="NOVO",MONTH($O137)=MONTH(BC$4)),AO137*(1+Macroindicadores!L$7),IF(AND($J137="PONTUAL",MONTH($O137)=MONTH(BC$4)),AO137*(1+Macroindicadores!L$7),IF(AND($J137="PONTUAL",MONTH($O137)&lt;MONTH(BC$4)),MIN($AS137:BB137),IF(AND($I137="NOVO",MONTH($O137)&gt;MONTH(BC$4)),AO137,IF(MONTH($O137)&gt;MONTH(BC$4),AO137,IF(MONTH($O137)=MONTH(BC$4),AO137*(1+Macroindicadores!L$7),BB137)))))))))</f>
        <v>5.0023406781609614</v>
      </c>
      <c r="BD137" s="39">
        <f>IF(ISBLANK(AB137),"",IF(ISBLANK($O137),AP137,IF($J137="ANUAL",AP137*(1+Macroindicadores!M$7),IF(AND($I137="NOVO",MONTH($O137)=MONTH(BD$4)),AP137*(1+Macroindicadores!M$7),IF(AND($J137="PONTUAL",MONTH($O137)=MONTH(BD$4)),AP137*(1+Macroindicadores!M$7),IF(AND($J137="PONTUAL",MONTH($O137)&lt;MONTH(BD$4)),MIN($AS137:BC137),IF(AND($I137="NOVO",MONTH($O137)&gt;MONTH(BD$4)),AP137,IF(MONTH($O137)&gt;MONTH(BD$4),AP137,IF(MONTH($O137)=MONTH(BD$4),AP137*(1+Macroindicadores!M$7),BC137)))))))))</f>
        <v>5.0023406781609614</v>
      </c>
      <c r="BE137" s="40">
        <f t="shared" si="71"/>
        <v>59.016384747126736</v>
      </c>
      <c r="BG137" s="39">
        <f>IF(ISBLANK(Q137),"",AS137/Macroindicadores!B$2)</f>
        <v>0.81632653061224492</v>
      </c>
      <c r="BH137" s="39">
        <f>IF(ISBLANK(R137),"",AT137/Macroindicadores!C$2)</f>
        <v>0.81632653061224492</v>
      </c>
      <c r="BI137" s="39">
        <f>IF(ISBLANK(S137),"",AU137/Macroindicadores!D$2)</f>
        <v>0.81632653061224492</v>
      </c>
      <c r="BJ137" s="39">
        <f>IF(ISBLANK(T137),"",AV137/Macroindicadores!E$2)</f>
        <v>0.81632653061224492</v>
      </c>
      <c r="BK137" s="39">
        <f>IF(ISBLANK(U137),"",AW137/Macroindicadores!F$2)</f>
        <v>0.81632653061224492</v>
      </c>
      <c r="BL137" s="39">
        <f>IF(ISBLANK(V137),"",AX137/Macroindicadores!G$2)</f>
        <v>0.85073821057159205</v>
      </c>
      <c r="BM137" s="39">
        <f>IF(ISBLANK(W137),"",AY137/Macroindicadores!H$2)</f>
        <v>0.85073821057159205</v>
      </c>
      <c r="BN137" s="39">
        <f>IF(ISBLANK(X137),"",AZ137/Macroindicadores!I$2)</f>
        <v>0.85073821057159205</v>
      </c>
      <c r="BO137" s="39">
        <f>IF(ISBLANK(Y137),"",BA137/Macroindicadores!J$2)</f>
        <v>0.85073821057159205</v>
      </c>
      <c r="BP137" s="39">
        <f>IF(ISBLANK(Z137),"",BB137/Macroindicadores!K$2)</f>
        <v>0.85073821057159205</v>
      </c>
      <c r="BQ137" s="39">
        <f>IF(ISBLANK(AA137),"",BC137/Macroindicadores!L$2)</f>
        <v>0.85073821057159205</v>
      </c>
      <c r="BR137" s="39">
        <f>IF(ISBLANK(AB137),"",BD137/Macroindicadores!M$2)</f>
        <v>0.85073821057159205</v>
      </c>
      <c r="BS137" s="40">
        <f>IF(AND(ISBLANK($Q137),ISBLANK($R137),ISBLANK($S137),ISBLANK($T137),ISBLANK($U137),ISBLANK($V137),ISBLANK($W137),ISBLANK($X137),ISBLANK($Y137),ISBLANK($Z137),ISBLANK($AA137),ISBLANK($AB137)),"",SUM(BG137:BR137))</f>
        <v>10.036800127062369</v>
      </c>
      <c r="BT137" s="25" t="str">
        <f>IF(ISBLANK($L137),"",_xlfn.XLOOKUP($L137,'CENTRO CUSTO'!$A:$A,'CENTRO CUSTO'!$E:$E,FALSE,0))</f>
        <v>G&amp;A BU</v>
      </c>
    </row>
    <row r="138" spans="1:72">
      <c r="A138" s="9" t="str">
        <f t="shared" si="72"/>
        <v>Budget</v>
      </c>
      <c r="B138" s="9">
        <f t="shared" si="69"/>
        <v>2026</v>
      </c>
      <c r="C138" s="18" t="str">
        <f>IF(ISBLANK($L138),"",_xlfn.XLOOKUP($L138,'CENTRO CUSTO'!$A:$A,'CENTRO CUSTO'!F:F,FALSE,0))</f>
        <v>SKM</v>
      </c>
      <c r="D138" s="111" t="str">
        <f>IF(ISBLANK($L138),"",_xlfn.XLOOKUP($L138,'CENTRO CUSTO'!$A:$A,'CENTRO CUSTO'!G:G,FALSE,0))</f>
        <v>BU-SKM</v>
      </c>
      <c r="E138" s="18" t="str">
        <f>IF(ISBLANK($L138),"",_xlfn.XLOOKUP($L138,'CENTRO CUSTO'!$A:$A,'CENTRO CUSTO'!H:H,FALSE,0))</f>
        <v>G&amp;A</v>
      </c>
      <c r="F138" s="10" t="s">
        <v>165</v>
      </c>
      <c r="G138" s="10" t="s">
        <v>123</v>
      </c>
      <c r="H138" s="10" t="s">
        <v>166</v>
      </c>
      <c r="I138" s="11" t="s">
        <v>77</v>
      </c>
      <c r="J138" s="11" t="s">
        <v>78</v>
      </c>
      <c r="K138" s="11" t="s">
        <v>79</v>
      </c>
      <c r="L138" s="11" t="s">
        <v>50</v>
      </c>
      <c r="M138" s="18" t="str">
        <f>IF(ISBLANK($L138),"",_xlfn.XLOOKUP($L138,'CENTRO CUSTO'!$A:$A,'CENTRO CUSTO'!D:D,FALSE,0))</f>
        <v>Alexandre Ayabe</v>
      </c>
      <c r="N138" s="11" t="s">
        <v>91</v>
      </c>
      <c r="O138" s="12">
        <v>46174</v>
      </c>
      <c r="P138" s="11" t="s">
        <v>81</v>
      </c>
      <c r="Q138" s="41">
        <f>1152000*Rateio!$E$233/12</f>
        <v>5760</v>
      </c>
      <c r="R138" s="41">
        <f>1152000*Rateio!$E$233/12</f>
        <v>5760</v>
      </c>
      <c r="S138" s="41">
        <f>1152000*Rateio!$E$233/12</f>
        <v>5760</v>
      </c>
      <c r="T138" s="41">
        <f>1152000*Rateio!$E$233/12</f>
        <v>5760</v>
      </c>
      <c r="U138" s="41">
        <f>1152000*Rateio!$E$233/12</f>
        <v>5760</v>
      </c>
      <c r="V138" s="41">
        <f>1152000*Rateio!$E$233/12</f>
        <v>5760</v>
      </c>
      <c r="W138" s="41">
        <f>1152000*Rateio!$E$233/12</f>
        <v>5760</v>
      </c>
      <c r="X138" s="41">
        <f>1152000*Rateio!$E$233/12</f>
        <v>5760</v>
      </c>
      <c r="Y138" s="41">
        <f>1152000*Rateio!$E$233/12</f>
        <v>5760</v>
      </c>
      <c r="Z138" s="41">
        <f>1152000*Rateio!$E$233/12</f>
        <v>5760</v>
      </c>
      <c r="AA138" s="41">
        <f>1152000*Rateio!$E$233/12</f>
        <v>5760</v>
      </c>
      <c r="AB138" s="41">
        <f>1152000*Rateio!$E$233/12</f>
        <v>5760</v>
      </c>
      <c r="AC138" s="116">
        <f t="shared" si="73"/>
        <v>69120</v>
      </c>
      <c r="AE138" s="39">
        <f>IF(ISBLANK(Q138),"",IF($P138="BRL",Q138,Q138*Macroindicadores!B$2)/1000)</f>
        <v>5.76</v>
      </c>
      <c r="AF138" s="39">
        <f>IF(ISBLANK(R138),"",IF($P138="BRL",R138,R138*Macroindicadores!C$2)/1000)</f>
        <v>5.76</v>
      </c>
      <c r="AG138" s="39">
        <f>IF(ISBLANK(S138),"",IF($P138="BRL",S138,S138*Macroindicadores!D$2)/1000)</f>
        <v>5.76</v>
      </c>
      <c r="AH138" s="39">
        <f>IF(ISBLANK(T138),"",IF($P138="BRL",T138,T138*Macroindicadores!E$2)/1000)</f>
        <v>5.76</v>
      </c>
      <c r="AI138" s="39">
        <f>IF(ISBLANK(U138),"",IF($P138="BRL",U138,U138*Macroindicadores!F$2)/1000)</f>
        <v>5.76</v>
      </c>
      <c r="AJ138" s="39">
        <f>IF(ISBLANK(V138),"",IF($P138="BRL",V138,V138*Macroindicadores!G$2)/1000)</f>
        <v>5.76</v>
      </c>
      <c r="AK138" s="39">
        <f>IF(ISBLANK(W138),"",IF($P138="BRL",W138,W138*Macroindicadores!H$2)/1000)</f>
        <v>5.76</v>
      </c>
      <c r="AL138" s="39">
        <f>IF(ISBLANK(X138),"",IF($P138="BRL",X138,X138*Macroindicadores!I$2)/1000)</f>
        <v>5.76</v>
      </c>
      <c r="AM138" s="39">
        <f>IF(ISBLANK(Y138),"",IF($P138="BRL",Y138,Y138*Macroindicadores!J$2)/1000)</f>
        <v>5.76</v>
      </c>
      <c r="AN138" s="39">
        <f>IF(ISBLANK(Z138),"",IF($P138="BRL",Z138,Z138*Macroindicadores!K$2)/1000)</f>
        <v>5.76</v>
      </c>
      <c r="AO138" s="39">
        <f>IF(ISBLANK(AA138),"",IF($P138="BRL",AA138,AA138*Macroindicadores!L$2)/1000)</f>
        <v>5.76</v>
      </c>
      <c r="AP138" s="39">
        <f>IF(ISBLANK(AB138),"",IF($P138="BRL",AB138,AB138*Macroindicadores!M$2)/1000)</f>
        <v>5.76</v>
      </c>
      <c r="AQ138" s="40">
        <f t="shared" si="70"/>
        <v>69.11999999999999</v>
      </c>
      <c r="AS138" s="39">
        <f>IF(ISBLANK(Q138),"",IF(ISBLANK($O138),AE138,IF($J138="ANUAL",AE138*(1+Macroindicadores!B$7),IF(AND($I138="NOVO",MONTH($O138)=MONTH(AS$4)),AE138*(1+Macroindicadores!B$7),IF(AND($J138="PONTUAL",MONTH($O138)=MONTH(AS$4)),AE138*(1+Macroindicadores!B$7),IF(AND($J138="PONTUAL",MONTH($O138)&lt;MONTH(AS$4)),MIN(AR138:$AS138),IF(AND($I138="NOVO",MONTH($O138)&gt;MONTH(AS$4)),AE138,IF(MONTH($O138)&gt;MONTH(AS$4),AE138,IF(MONTH($O138)=MONTH(AS$4),AE138*(1+Macroindicadores!B$7),AR138)))))))))</f>
        <v>5.76</v>
      </c>
      <c r="AT138" s="39">
        <f>IF(ISBLANK(R138),"",IF(ISBLANK($O138),AF138,IF($J138="ANUAL",AF138*(1+Macroindicadores!C$7),IF(AND($I138="NOVO",MONTH($O138)=MONTH(AT$4)),AF138*(1+Macroindicadores!C$7),IF(AND($J138="PONTUAL",MONTH($O138)=MONTH(AT$4)),AF138*(1+Macroindicadores!C$7),IF(AND($J138="PONTUAL",MONTH($O138)&lt;MONTH(AT$4)),MIN($AS138:AS138),IF(AND($I138="NOVO",MONTH($O138)&gt;MONTH(AT$4)),AF138,IF(MONTH($O138)&gt;MONTH(AT$4),AF138,IF(MONTH($O138)=MONTH(AT$4),AF138*(1+Macroindicadores!C$7),AS138)))))))))</f>
        <v>5.76</v>
      </c>
      <c r="AU138" s="39">
        <f>IF(ISBLANK(S138),"",IF(ISBLANK($O138),AG138,IF($J138="ANUAL",AG138*(1+Macroindicadores!D$7),IF(AND($I138="NOVO",MONTH($O138)=MONTH(AU$4)),AG138*(1+Macroindicadores!D$7),IF(AND($J138="PONTUAL",MONTH($O138)=MONTH(AU$4)),AG138*(1+Macroindicadores!D$7),IF(AND($J138="PONTUAL",MONTH($O138)&lt;MONTH(AU$4)),MIN($AS138:AT138),IF(AND($I138="NOVO",MONTH($O138)&gt;MONTH(AU$4)),AG138,IF(MONTH($O138)&gt;MONTH(AU$4),AG138,IF(MONTH($O138)=MONTH(AU$4),AG138*(1+Macroindicadores!D$7),AT138)))))))))</f>
        <v>5.76</v>
      </c>
      <c r="AV138" s="39">
        <f>IF(ISBLANK(T138),"",IF(ISBLANK($O138),AH138,IF($J138="ANUAL",AH138*(1+Macroindicadores!E$7),IF(AND($I138="NOVO",MONTH($O138)=MONTH(AV$4)),AH138*(1+Macroindicadores!E$7),IF(AND($J138="PONTUAL",MONTH($O138)=MONTH(AV$4)),AH138*(1+Macroindicadores!E$7),IF(AND($J138="PONTUAL",MONTH($O138)&lt;MONTH(AV$4)),MIN($AS138:AU138),IF(AND($I138="NOVO",MONTH($O138)&gt;MONTH(AV$4)),AH138,IF(MONTH($O138)&gt;MONTH(AV$4),AH138,IF(MONTH($O138)=MONTH(AV$4),AH138*(1+Macroindicadores!E$7),AU138)))))))))</f>
        <v>5.76</v>
      </c>
      <c r="AW138" s="39">
        <f>IF(ISBLANK(U138),"",IF(ISBLANK($O138),AI138,IF($J138="ANUAL",AI138*(1+Macroindicadores!F$7),IF(AND($I138="NOVO",MONTH($O138)=MONTH(AW$4)),AI138*(1+Macroindicadores!F$7),IF(AND($J138="PONTUAL",MONTH($O138)=MONTH(AW$4)),AI138*(1+Macroindicadores!F$7),IF(AND($J138="PONTUAL",MONTH($O138)&lt;MONTH(AW$4)),MIN($AS138:AV138),IF(AND($I138="NOVO",MONTH($O138)&gt;MONTH(AW$4)),AI138,IF(MONTH($O138)&gt;MONTH(AW$4),AI138,IF(MONTH($O138)=MONTH(AW$4),AI138*(1+Macroindicadores!F$7),AV138)))))))))</f>
        <v>5.76</v>
      </c>
      <c r="AX138" s="39">
        <f>IF(ISBLANK(V138),"",IF(ISBLANK($O138),AJ138,IF($J138="ANUAL",AJ138*(1+Macroindicadores!G$7),IF(AND($I138="NOVO",MONTH($O138)=MONTH(AX$4)),AJ138*(1+Macroindicadores!G$7),IF(AND($J138="PONTUAL",MONTH($O138)=MONTH(AX$4)),AJ138*(1+Macroindicadores!G$7),IF(AND($J138="PONTUAL",MONTH($O138)&lt;MONTH(AX$4)),MIN($AS138:AW138),IF(AND($I138="NOVO",MONTH($O138)&gt;MONTH(AX$4)),AJ138,IF(MONTH($O138)&gt;MONTH(AX$4),AJ138,IF(MONTH($O138)=MONTH(AX$4),AJ138*(1+Macroindicadores!G$7),AW138)))))))))</f>
        <v>6.0028088137931537</v>
      </c>
      <c r="AY138" s="39">
        <f>IF(ISBLANK(W138),"",IF(ISBLANK($O138),AK138,IF($J138="ANUAL",AK138*(1+Macroindicadores!H$7),IF(AND($I138="NOVO",MONTH($O138)=MONTH(AY$4)),AK138*(1+Macroindicadores!H$7),IF(AND($J138="PONTUAL",MONTH($O138)=MONTH(AY$4)),AK138*(1+Macroindicadores!H$7),IF(AND($J138="PONTUAL",MONTH($O138)&lt;MONTH(AY$4)),MIN($AS138:AX138),IF(AND($I138="NOVO",MONTH($O138)&gt;MONTH(AY$4)),AK138,IF(MONTH($O138)&gt;MONTH(AY$4),AK138,IF(MONTH($O138)=MONTH(AY$4),AK138*(1+Macroindicadores!H$7),AX138)))))))))</f>
        <v>6.0028088137931537</v>
      </c>
      <c r="AZ138" s="39">
        <f>IF(ISBLANK(X138),"",IF(ISBLANK($O138),AL138,IF($J138="ANUAL",AL138*(1+Macroindicadores!I$7),IF(AND($I138="NOVO",MONTH($O138)=MONTH(AZ$4)),AL138*(1+Macroindicadores!I$7),IF(AND($J138="PONTUAL",MONTH($O138)=MONTH(AZ$4)),AL138*(1+Macroindicadores!I$7),IF(AND($J138="PONTUAL",MONTH($O138)&lt;MONTH(AZ$4)),MIN($AS138:AY138),IF(AND($I138="NOVO",MONTH($O138)&gt;MONTH(AZ$4)),AL138,IF(MONTH($O138)&gt;MONTH(AZ$4),AL138,IF(MONTH($O138)=MONTH(AZ$4),AL138*(1+Macroindicadores!I$7),AY138)))))))))</f>
        <v>6.0028088137931537</v>
      </c>
      <c r="BA138" s="39">
        <f>IF(ISBLANK(Y138),"",IF(ISBLANK($O138),AM138,IF($J138="ANUAL",AM138*(1+Macroindicadores!J$7),IF(AND($I138="NOVO",MONTH($O138)=MONTH(BA$4)),AM138*(1+Macroindicadores!J$7),IF(AND($J138="PONTUAL",MONTH($O138)=MONTH(BA$4)),AM138*(1+Macroindicadores!J$7),IF(AND($J138="PONTUAL",MONTH($O138)&lt;MONTH(BA$4)),MIN($AS138:AZ138),IF(AND($I138="NOVO",MONTH($O138)&gt;MONTH(BA$4)),AM138,IF(MONTH($O138)&gt;MONTH(BA$4),AM138,IF(MONTH($O138)=MONTH(BA$4),AM138*(1+Macroindicadores!J$7),AZ138)))))))))</f>
        <v>6.0028088137931537</v>
      </c>
      <c r="BB138" s="39">
        <f>IF(ISBLANK(Z138),"",IF(ISBLANK($O138),AN138,IF($J138="ANUAL",AN138*(1+Macroindicadores!K$7),IF(AND($I138="NOVO",MONTH($O138)=MONTH(BB$4)),AN138*(1+Macroindicadores!K$7),IF(AND($J138="PONTUAL",MONTH($O138)=MONTH(BB$4)),AN138*(1+Macroindicadores!K$7),IF(AND($J138="PONTUAL",MONTH($O138)&lt;MONTH(BB$4)),MIN($AS138:BA138),IF(AND($I138="NOVO",MONTH($O138)&gt;MONTH(BB$4)),AN138,IF(MONTH($O138)&gt;MONTH(BB$4),AN138,IF(MONTH($O138)=MONTH(BB$4),AN138*(1+Macroindicadores!K$7),BA138)))))))))</f>
        <v>6.0028088137931537</v>
      </c>
      <c r="BC138" s="39">
        <f>IF(ISBLANK(AA138),"",IF(ISBLANK($O138),AO138,IF($J138="ANUAL",AO138*(1+Macroindicadores!L$7),IF(AND($I138="NOVO",MONTH($O138)=MONTH(BC$4)),AO138*(1+Macroindicadores!L$7),IF(AND($J138="PONTUAL",MONTH($O138)=MONTH(BC$4)),AO138*(1+Macroindicadores!L$7),IF(AND($J138="PONTUAL",MONTH($O138)&lt;MONTH(BC$4)),MIN($AS138:BB138),IF(AND($I138="NOVO",MONTH($O138)&gt;MONTH(BC$4)),AO138,IF(MONTH($O138)&gt;MONTH(BC$4),AO138,IF(MONTH($O138)=MONTH(BC$4),AO138*(1+Macroindicadores!L$7),BB138)))))))))</f>
        <v>6.0028088137931537</v>
      </c>
      <c r="BD138" s="39">
        <f>IF(ISBLANK(AB138),"",IF(ISBLANK($O138),AP138,IF($J138="ANUAL",AP138*(1+Macroindicadores!M$7),IF(AND($I138="NOVO",MONTH($O138)=MONTH(BD$4)),AP138*(1+Macroindicadores!M$7),IF(AND($J138="PONTUAL",MONTH($O138)=MONTH(BD$4)),AP138*(1+Macroindicadores!M$7),IF(AND($J138="PONTUAL",MONTH($O138)&lt;MONTH(BD$4)),MIN($AS138:BC138),IF(AND($I138="NOVO",MONTH($O138)&gt;MONTH(BD$4)),AP138,IF(MONTH($O138)&gt;MONTH(BD$4),AP138,IF(MONTH($O138)=MONTH(BD$4),AP138*(1+Macroindicadores!M$7),BC138)))))))))</f>
        <v>6.0028088137931537</v>
      </c>
      <c r="BE138" s="40">
        <f t="shared" si="71"/>
        <v>70.81966169655206</v>
      </c>
      <c r="BG138" s="39">
        <f>IF(ISBLANK(Q138),"",AS138/Macroindicadores!B$2)</f>
        <v>0.97959183673469385</v>
      </c>
      <c r="BH138" s="39">
        <f>IF(ISBLANK(R138),"",AT138/Macroindicadores!C$2)</f>
        <v>0.97959183673469385</v>
      </c>
      <c r="BI138" s="39">
        <f>IF(ISBLANK(S138),"",AU138/Macroindicadores!D$2)</f>
        <v>0.97959183673469385</v>
      </c>
      <c r="BJ138" s="39">
        <f>IF(ISBLANK(T138),"",AV138/Macroindicadores!E$2)</f>
        <v>0.97959183673469385</v>
      </c>
      <c r="BK138" s="39">
        <f>IF(ISBLANK(U138),"",AW138/Macroindicadores!F$2)</f>
        <v>0.97959183673469385</v>
      </c>
      <c r="BL138" s="39">
        <f>IF(ISBLANK(V138),"",AX138/Macroindicadores!G$2)</f>
        <v>1.0208858526859106</v>
      </c>
      <c r="BM138" s="39">
        <f>IF(ISBLANK(W138),"",AY138/Macroindicadores!H$2)</f>
        <v>1.0208858526859106</v>
      </c>
      <c r="BN138" s="39">
        <f>IF(ISBLANK(X138),"",AZ138/Macroindicadores!I$2)</f>
        <v>1.0208858526859106</v>
      </c>
      <c r="BO138" s="39">
        <f>IF(ISBLANK(Y138),"",BA138/Macroindicadores!J$2)</f>
        <v>1.0208858526859106</v>
      </c>
      <c r="BP138" s="39">
        <f>IF(ISBLANK(Z138),"",BB138/Macroindicadores!K$2)</f>
        <v>1.0208858526859106</v>
      </c>
      <c r="BQ138" s="39">
        <f>IF(ISBLANK(AA138),"",BC138/Macroindicadores!L$2)</f>
        <v>1.0208858526859106</v>
      </c>
      <c r="BR138" s="39">
        <f>IF(ISBLANK(AB138),"",BD138/Macroindicadores!M$2)</f>
        <v>1.0208858526859106</v>
      </c>
      <c r="BS138" s="40">
        <f>IF(AND(ISBLANK($Q138),ISBLANK($R138),ISBLANK($S138),ISBLANK($T138),ISBLANK($U138),ISBLANK($V138),ISBLANK($W138),ISBLANK($X138),ISBLANK($Y138),ISBLANK($Z138),ISBLANK($AA138),ISBLANK($AB138)),"",SUM(BG138:BR138))</f>
        <v>12.044160152474847</v>
      </c>
      <c r="BT138" s="25" t="str">
        <f>IF(ISBLANK($L138),"",_xlfn.XLOOKUP($L138,'CENTRO CUSTO'!$A:$A,'CENTRO CUSTO'!$E:$E,FALSE,0))</f>
        <v>G&amp;A BU</v>
      </c>
    </row>
    <row r="139" spans="1:72">
      <c r="A139" s="9" t="str">
        <f t="shared" si="72"/>
        <v>Budget</v>
      </c>
      <c r="B139" s="9">
        <f t="shared" si="69"/>
        <v>2026</v>
      </c>
      <c r="C139" s="18" t="str">
        <f>IF(ISBLANK($L139),"",_xlfn.XLOOKUP($L139,'CENTRO CUSTO'!$A:$A,'CENTRO CUSTO'!F:F,FALSE,0))</f>
        <v>Cone Sul</v>
      </c>
      <c r="D139" s="111" t="str">
        <f>IF(ISBLANK($L139),"",_xlfn.XLOOKUP($L139,'CENTRO CUSTO'!$A:$A,'CENTRO CUSTO'!G:G,FALSE,0))</f>
        <v>Plataforma</v>
      </c>
      <c r="E139" s="18" t="str">
        <f>IF(ISBLANK($L139),"",_xlfn.XLOOKUP($L139,'CENTRO CUSTO'!$A:$A,'CENTRO CUSTO'!H:H,FALSE,0))</f>
        <v>G&amp;A</v>
      </c>
      <c r="F139" s="10" t="s">
        <v>165</v>
      </c>
      <c r="G139" s="10" t="s">
        <v>123</v>
      </c>
      <c r="H139" s="10" t="s">
        <v>166</v>
      </c>
      <c r="I139" s="11" t="s">
        <v>77</v>
      </c>
      <c r="J139" s="11" t="s">
        <v>78</v>
      </c>
      <c r="K139" s="11" t="s">
        <v>79</v>
      </c>
      <c r="L139" s="11" t="s">
        <v>54</v>
      </c>
      <c r="M139" s="18" t="str">
        <f>IF(ISBLANK($L139),"",_xlfn.XLOOKUP($L139,'CENTRO CUSTO'!$A:$A,'CENTRO CUSTO'!D:D,FALSE,0))</f>
        <v>Alexandre Ayabe</v>
      </c>
      <c r="N139" s="11" t="s">
        <v>91</v>
      </c>
      <c r="O139" s="12">
        <v>46174</v>
      </c>
      <c r="P139" s="11" t="s">
        <v>81</v>
      </c>
      <c r="Q139" s="41">
        <f>1152000*Rateio!$E$238/12</f>
        <v>15360</v>
      </c>
      <c r="R139" s="41">
        <f>1152000*Rateio!$E$238/12</f>
        <v>15360</v>
      </c>
      <c r="S139" s="41">
        <f>1152000*Rateio!$E$238/12</f>
        <v>15360</v>
      </c>
      <c r="T139" s="41">
        <f>1152000*Rateio!$E$238/12</f>
        <v>15360</v>
      </c>
      <c r="U139" s="41">
        <f>1152000*Rateio!$E$238/12</f>
        <v>15360</v>
      </c>
      <c r="V139" s="41">
        <f>1152000*Rateio!$E$238/12</f>
        <v>15360</v>
      </c>
      <c r="W139" s="41">
        <f>1152000*Rateio!$E$238/12</f>
        <v>15360</v>
      </c>
      <c r="X139" s="41">
        <f>1152000*Rateio!$E$238/12</f>
        <v>15360</v>
      </c>
      <c r="Y139" s="41">
        <f>1152000*Rateio!$E$238/12</f>
        <v>15360</v>
      </c>
      <c r="Z139" s="41">
        <f>1152000*Rateio!$E$238/12</f>
        <v>15360</v>
      </c>
      <c r="AA139" s="41">
        <f>1152000*Rateio!$E$238/12</f>
        <v>15360</v>
      </c>
      <c r="AB139" s="41">
        <f>1152000*Rateio!$E$238/12</f>
        <v>15360</v>
      </c>
      <c r="AC139" s="116">
        <f t="shared" si="73"/>
        <v>184320</v>
      </c>
      <c r="AE139" s="39">
        <f>IF(ISBLANK(Q139),"",IF($P139="BRL",Q139,Q139*Macroindicadores!B$2)/1000)</f>
        <v>15.36</v>
      </c>
      <c r="AF139" s="39">
        <f>IF(ISBLANK(R139),"",IF($P139="BRL",R139,R139*Macroindicadores!C$2)/1000)</f>
        <v>15.36</v>
      </c>
      <c r="AG139" s="39">
        <f>IF(ISBLANK(S139),"",IF($P139="BRL",S139,S139*Macroindicadores!D$2)/1000)</f>
        <v>15.36</v>
      </c>
      <c r="AH139" s="39">
        <f>IF(ISBLANK(T139),"",IF($P139="BRL",T139,T139*Macroindicadores!E$2)/1000)</f>
        <v>15.36</v>
      </c>
      <c r="AI139" s="39">
        <f>IF(ISBLANK(U139),"",IF($P139="BRL",U139,U139*Macroindicadores!F$2)/1000)</f>
        <v>15.36</v>
      </c>
      <c r="AJ139" s="39">
        <f>IF(ISBLANK(V139),"",IF($P139="BRL",V139,V139*Macroindicadores!G$2)/1000)</f>
        <v>15.36</v>
      </c>
      <c r="AK139" s="39">
        <f>IF(ISBLANK(W139),"",IF($P139="BRL",W139,W139*Macroindicadores!H$2)/1000)</f>
        <v>15.36</v>
      </c>
      <c r="AL139" s="39">
        <f>IF(ISBLANK(X139),"",IF($P139="BRL",X139,X139*Macroindicadores!I$2)/1000)</f>
        <v>15.36</v>
      </c>
      <c r="AM139" s="39">
        <f>IF(ISBLANK(Y139),"",IF($P139="BRL",Y139,Y139*Macroindicadores!J$2)/1000)</f>
        <v>15.36</v>
      </c>
      <c r="AN139" s="39">
        <f>IF(ISBLANK(Z139),"",IF($P139="BRL",Z139,Z139*Macroindicadores!K$2)/1000)</f>
        <v>15.36</v>
      </c>
      <c r="AO139" s="39">
        <f>IF(ISBLANK(AA139),"",IF($P139="BRL",AA139,AA139*Macroindicadores!L$2)/1000)</f>
        <v>15.36</v>
      </c>
      <c r="AP139" s="39">
        <f>IF(ISBLANK(AB139),"",IF($P139="BRL",AB139,AB139*Macroindicadores!M$2)/1000)</f>
        <v>15.36</v>
      </c>
      <c r="AQ139" s="40">
        <f t="shared" si="70"/>
        <v>184.32000000000005</v>
      </c>
      <c r="AS139" s="39">
        <f>IF(ISBLANK(Q139),"",IF(ISBLANK($O139),AE139,IF($J139="ANUAL",AE139*(1+Macroindicadores!B$7),IF(AND($I139="NOVO",MONTH($O139)=MONTH(AS$4)),AE139*(1+Macroindicadores!B$7),IF(AND($J139="PONTUAL",MONTH($O139)=MONTH(AS$4)),AE139*(1+Macroindicadores!B$7),IF(AND($J139="PONTUAL",MONTH($O139)&lt;MONTH(AS$4)),MIN(AR139:$AS139),IF(AND($I139="NOVO",MONTH($O139)&gt;MONTH(AS$4)),AE139,IF(MONTH($O139)&gt;MONTH(AS$4),AE139,IF(MONTH($O139)=MONTH(AS$4),AE139*(1+Macroindicadores!B$7),AR139)))))))))</f>
        <v>15.36</v>
      </c>
      <c r="AT139" s="39">
        <f>IF(ISBLANK(R139),"",IF(ISBLANK($O139),AF139,IF($J139="ANUAL",AF139*(1+Macroindicadores!C$7),IF(AND($I139="NOVO",MONTH($O139)=MONTH(AT$4)),AF139*(1+Macroindicadores!C$7),IF(AND($J139="PONTUAL",MONTH($O139)=MONTH(AT$4)),AF139*(1+Macroindicadores!C$7),IF(AND($J139="PONTUAL",MONTH($O139)&lt;MONTH(AT$4)),MIN($AS139:AS139),IF(AND($I139="NOVO",MONTH($O139)&gt;MONTH(AT$4)),AF139,IF(MONTH($O139)&gt;MONTH(AT$4),AF139,IF(MONTH($O139)=MONTH(AT$4),AF139*(1+Macroindicadores!C$7),AS139)))))))))</f>
        <v>15.36</v>
      </c>
      <c r="AU139" s="39">
        <f>IF(ISBLANK(S139),"",IF(ISBLANK($O139),AG139,IF($J139="ANUAL",AG139*(1+Macroindicadores!D$7),IF(AND($I139="NOVO",MONTH($O139)=MONTH(AU$4)),AG139*(1+Macroindicadores!D$7),IF(AND($J139="PONTUAL",MONTH($O139)=MONTH(AU$4)),AG139*(1+Macroindicadores!D$7),IF(AND($J139="PONTUAL",MONTH($O139)&lt;MONTH(AU$4)),MIN($AS139:AT139),IF(AND($I139="NOVO",MONTH($O139)&gt;MONTH(AU$4)),AG139,IF(MONTH($O139)&gt;MONTH(AU$4),AG139,IF(MONTH($O139)=MONTH(AU$4),AG139*(1+Macroindicadores!D$7),AT139)))))))))</f>
        <v>15.36</v>
      </c>
      <c r="AV139" s="39">
        <f>IF(ISBLANK(T139),"",IF(ISBLANK($O139),AH139,IF($J139="ANUAL",AH139*(1+Macroindicadores!E$7),IF(AND($I139="NOVO",MONTH($O139)=MONTH(AV$4)),AH139*(1+Macroindicadores!E$7),IF(AND($J139="PONTUAL",MONTH($O139)=MONTH(AV$4)),AH139*(1+Macroindicadores!E$7),IF(AND($J139="PONTUAL",MONTH($O139)&lt;MONTH(AV$4)),MIN($AS139:AU139),IF(AND($I139="NOVO",MONTH($O139)&gt;MONTH(AV$4)),AH139,IF(MONTH($O139)&gt;MONTH(AV$4),AH139,IF(MONTH($O139)=MONTH(AV$4),AH139*(1+Macroindicadores!E$7),AU139)))))))))</f>
        <v>15.36</v>
      </c>
      <c r="AW139" s="39">
        <f>IF(ISBLANK(U139),"",IF(ISBLANK($O139),AI139,IF($J139="ANUAL",AI139*(1+Macroindicadores!F$7),IF(AND($I139="NOVO",MONTH($O139)=MONTH(AW$4)),AI139*(1+Macroindicadores!F$7),IF(AND($J139="PONTUAL",MONTH($O139)=MONTH(AW$4)),AI139*(1+Macroindicadores!F$7),IF(AND($J139="PONTUAL",MONTH($O139)&lt;MONTH(AW$4)),MIN($AS139:AV139),IF(AND($I139="NOVO",MONTH($O139)&gt;MONTH(AW$4)),AI139,IF(MONTH($O139)&gt;MONTH(AW$4),AI139,IF(MONTH($O139)=MONTH(AW$4),AI139*(1+Macroindicadores!F$7),AV139)))))))))</f>
        <v>15.36</v>
      </c>
      <c r="AX139" s="39">
        <f>IF(ISBLANK(V139),"",IF(ISBLANK($O139),AJ139,IF($J139="ANUAL",AJ139*(1+Macroindicadores!G$7),IF(AND($I139="NOVO",MONTH($O139)=MONTH(AX$4)),AJ139*(1+Macroindicadores!G$7),IF(AND($J139="PONTUAL",MONTH($O139)=MONTH(AX$4)),AJ139*(1+Macroindicadores!G$7),IF(AND($J139="PONTUAL",MONTH($O139)&lt;MONTH(AX$4)),MIN($AS139:AW139),IF(AND($I139="NOVO",MONTH($O139)&gt;MONTH(AX$4)),AJ139,IF(MONTH($O139)&gt;MONTH(AX$4),AJ139,IF(MONTH($O139)=MONTH(AX$4),AJ139*(1+Macroindicadores!G$7),AW139)))))))))</f>
        <v>16.007490170115076</v>
      </c>
      <c r="AY139" s="39">
        <f>IF(ISBLANK(W139),"",IF(ISBLANK($O139),AK139,IF($J139="ANUAL",AK139*(1+Macroindicadores!H$7),IF(AND($I139="NOVO",MONTH($O139)=MONTH(AY$4)),AK139*(1+Macroindicadores!H$7),IF(AND($J139="PONTUAL",MONTH($O139)=MONTH(AY$4)),AK139*(1+Macroindicadores!H$7),IF(AND($J139="PONTUAL",MONTH($O139)&lt;MONTH(AY$4)),MIN($AS139:AX139),IF(AND($I139="NOVO",MONTH($O139)&gt;MONTH(AY$4)),AK139,IF(MONTH($O139)&gt;MONTH(AY$4),AK139,IF(MONTH($O139)=MONTH(AY$4),AK139*(1+Macroindicadores!H$7),AX139)))))))))</f>
        <v>16.007490170115076</v>
      </c>
      <c r="AZ139" s="39">
        <f>IF(ISBLANK(X139),"",IF(ISBLANK($O139),AL139,IF($J139="ANUAL",AL139*(1+Macroindicadores!I$7),IF(AND($I139="NOVO",MONTH($O139)=MONTH(AZ$4)),AL139*(1+Macroindicadores!I$7),IF(AND($J139="PONTUAL",MONTH($O139)=MONTH(AZ$4)),AL139*(1+Macroindicadores!I$7),IF(AND($J139="PONTUAL",MONTH($O139)&lt;MONTH(AZ$4)),MIN($AS139:AY139),IF(AND($I139="NOVO",MONTH($O139)&gt;MONTH(AZ$4)),AL139,IF(MONTH($O139)&gt;MONTH(AZ$4),AL139,IF(MONTH($O139)=MONTH(AZ$4),AL139*(1+Macroindicadores!I$7),AY139)))))))))</f>
        <v>16.007490170115076</v>
      </c>
      <c r="BA139" s="39">
        <f>IF(ISBLANK(Y139),"",IF(ISBLANK($O139),AM139,IF($J139="ANUAL",AM139*(1+Macroindicadores!J$7),IF(AND($I139="NOVO",MONTH($O139)=MONTH(BA$4)),AM139*(1+Macroindicadores!J$7),IF(AND($J139="PONTUAL",MONTH($O139)=MONTH(BA$4)),AM139*(1+Macroindicadores!J$7),IF(AND($J139="PONTUAL",MONTH($O139)&lt;MONTH(BA$4)),MIN($AS139:AZ139),IF(AND($I139="NOVO",MONTH($O139)&gt;MONTH(BA$4)),AM139,IF(MONTH($O139)&gt;MONTH(BA$4),AM139,IF(MONTH($O139)=MONTH(BA$4),AM139*(1+Macroindicadores!J$7),AZ139)))))))))</f>
        <v>16.007490170115076</v>
      </c>
      <c r="BB139" s="39">
        <f>IF(ISBLANK(Z139),"",IF(ISBLANK($O139),AN139,IF($J139="ANUAL",AN139*(1+Macroindicadores!K$7),IF(AND($I139="NOVO",MONTH($O139)=MONTH(BB$4)),AN139*(1+Macroindicadores!K$7),IF(AND($J139="PONTUAL",MONTH($O139)=MONTH(BB$4)),AN139*(1+Macroindicadores!K$7),IF(AND($J139="PONTUAL",MONTH($O139)&lt;MONTH(BB$4)),MIN($AS139:BA139),IF(AND($I139="NOVO",MONTH($O139)&gt;MONTH(BB$4)),AN139,IF(MONTH($O139)&gt;MONTH(BB$4),AN139,IF(MONTH($O139)=MONTH(BB$4),AN139*(1+Macroindicadores!K$7),BA139)))))))))</f>
        <v>16.007490170115076</v>
      </c>
      <c r="BC139" s="39">
        <f>IF(ISBLANK(AA139),"",IF(ISBLANK($O139),AO139,IF($J139="ANUAL",AO139*(1+Macroindicadores!L$7),IF(AND($I139="NOVO",MONTH($O139)=MONTH(BC$4)),AO139*(1+Macroindicadores!L$7),IF(AND($J139="PONTUAL",MONTH($O139)=MONTH(BC$4)),AO139*(1+Macroindicadores!L$7),IF(AND($J139="PONTUAL",MONTH($O139)&lt;MONTH(BC$4)),MIN($AS139:BB139),IF(AND($I139="NOVO",MONTH($O139)&gt;MONTH(BC$4)),AO139,IF(MONTH($O139)&gt;MONTH(BC$4),AO139,IF(MONTH($O139)=MONTH(BC$4),AO139*(1+Macroindicadores!L$7),BB139)))))))))</f>
        <v>16.007490170115076</v>
      </c>
      <c r="BD139" s="39">
        <f>IF(ISBLANK(AB139),"",IF(ISBLANK($O139),AP139,IF($J139="ANUAL",AP139*(1+Macroindicadores!M$7),IF(AND($I139="NOVO",MONTH($O139)=MONTH(BD$4)),AP139*(1+Macroindicadores!M$7),IF(AND($J139="PONTUAL",MONTH($O139)=MONTH(BD$4)),AP139*(1+Macroindicadores!M$7),IF(AND($J139="PONTUAL",MONTH($O139)&lt;MONTH(BD$4)),MIN($AS139:BC139),IF(AND($I139="NOVO",MONTH($O139)&gt;MONTH(BD$4)),AP139,IF(MONTH($O139)&gt;MONTH(BD$4),AP139,IF(MONTH($O139)=MONTH(BD$4),AP139*(1+Macroindicadores!M$7),BC139)))))))))</f>
        <v>16.007490170115076</v>
      </c>
      <c r="BE139" s="40">
        <f t="shared" si="71"/>
        <v>188.85243119080559</v>
      </c>
      <c r="BG139" s="39">
        <f>IF(ISBLANK(Q139),"",AS139/Macroindicadores!B$2)</f>
        <v>2.6122448979591835</v>
      </c>
      <c r="BH139" s="39">
        <f>IF(ISBLANK(R139),"",AT139/Macroindicadores!C$2)</f>
        <v>2.6122448979591835</v>
      </c>
      <c r="BI139" s="39">
        <f>IF(ISBLANK(S139),"",AU139/Macroindicadores!D$2)</f>
        <v>2.6122448979591835</v>
      </c>
      <c r="BJ139" s="39">
        <f>IF(ISBLANK(T139),"",AV139/Macroindicadores!E$2)</f>
        <v>2.6122448979591835</v>
      </c>
      <c r="BK139" s="39">
        <f>IF(ISBLANK(U139),"",AW139/Macroindicadores!F$2)</f>
        <v>2.6122448979591835</v>
      </c>
      <c r="BL139" s="39">
        <f>IF(ISBLANK(V139),"",AX139/Macroindicadores!G$2)</f>
        <v>2.7223622738290949</v>
      </c>
      <c r="BM139" s="39">
        <f>IF(ISBLANK(W139),"",AY139/Macroindicadores!H$2)</f>
        <v>2.7223622738290949</v>
      </c>
      <c r="BN139" s="39">
        <f>IF(ISBLANK(X139),"",AZ139/Macroindicadores!I$2)</f>
        <v>2.7223622738290949</v>
      </c>
      <c r="BO139" s="39">
        <f>IF(ISBLANK(Y139),"",BA139/Macroindicadores!J$2)</f>
        <v>2.7223622738290949</v>
      </c>
      <c r="BP139" s="39">
        <f>IF(ISBLANK(Z139),"",BB139/Macroindicadores!K$2)</f>
        <v>2.7223622738290949</v>
      </c>
      <c r="BQ139" s="39">
        <f>IF(ISBLANK(AA139),"",BC139/Macroindicadores!L$2)</f>
        <v>2.7223622738290949</v>
      </c>
      <c r="BR139" s="39">
        <f>IF(ISBLANK(AB139),"",BD139/Macroindicadores!M$2)</f>
        <v>2.7223622738290949</v>
      </c>
      <c r="BS139" s="40">
        <f>IF(AND(ISBLANK($Q139),ISBLANK($R139),ISBLANK($S139),ISBLANK($T139),ISBLANK($U139),ISBLANK($V139),ISBLANK($W139),ISBLANK($X139),ISBLANK($Y139),ISBLANK($Z139),ISBLANK($AA139),ISBLANK($AB139)),"",SUM(BG139:BR139))</f>
        <v>32.117760406599587</v>
      </c>
      <c r="BT139" s="25" t="str">
        <f>IF(ISBLANK($L139),"",_xlfn.XLOOKUP($L139,'CENTRO CUSTO'!$A:$A,'CENTRO CUSTO'!$E:$E,FALSE,0))</f>
        <v>G&amp;A PL</v>
      </c>
    </row>
    <row r="140" spans="1:72">
      <c r="A140" s="9" t="str">
        <f t="shared" si="72"/>
        <v>Budget</v>
      </c>
      <c r="B140" s="9">
        <f t="shared" si="69"/>
        <v>2026</v>
      </c>
      <c r="C140" s="18" t="str">
        <f>IF(ISBLANK($L140),"",_xlfn.XLOOKUP($L140,'CENTRO CUSTO'!$A:$A,'CENTRO CUSTO'!F:F,FALSE,0))</f>
        <v>LATAM</v>
      </c>
      <c r="D140" s="111" t="str">
        <f>IF(ISBLANK($L140),"",_xlfn.XLOOKUP($L140,'CENTRO CUSTO'!$A:$A,'CENTRO CUSTO'!G:G,FALSE,0))</f>
        <v>Corporativo</v>
      </c>
      <c r="E140" s="18" t="str">
        <f>IF(ISBLANK($L140),"",_xlfn.XLOOKUP($L140,'CENTRO CUSTO'!$A:$A,'CENTRO CUSTO'!H:H,FALSE,0))</f>
        <v>G&amp;A</v>
      </c>
      <c r="F140" s="10" t="s">
        <v>165</v>
      </c>
      <c r="G140" s="10" t="s">
        <v>123</v>
      </c>
      <c r="H140" s="10" t="s">
        <v>166</v>
      </c>
      <c r="I140" s="11" t="s">
        <v>77</v>
      </c>
      <c r="J140" s="11" t="s">
        <v>78</v>
      </c>
      <c r="K140" s="11" t="s">
        <v>79</v>
      </c>
      <c r="L140" s="11" t="s">
        <v>96</v>
      </c>
      <c r="M140" s="18" t="str">
        <f>IF(ISBLANK($L140),"",_xlfn.XLOOKUP($L140,'CENTRO CUSTO'!$A:$A,'CENTRO CUSTO'!D:D,FALSE,0))</f>
        <v>Jimmy Espinosa</v>
      </c>
      <c r="N140" s="11" t="s">
        <v>91</v>
      </c>
      <c r="O140" s="12">
        <v>46174</v>
      </c>
      <c r="P140" s="11" t="s">
        <v>81</v>
      </c>
      <c r="Q140" s="41">
        <f>1152000*Rateio!$E$239/12</f>
        <v>4800</v>
      </c>
      <c r="R140" s="41">
        <f>1152000*Rateio!$E$239/12</f>
        <v>4800</v>
      </c>
      <c r="S140" s="41">
        <f>1152000*Rateio!$E$239/12</f>
        <v>4800</v>
      </c>
      <c r="T140" s="41">
        <f>1152000*Rateio!$E$239/12</f>
        <v>4800</v>
      </c>
      <c r="U140" s="41">
        <f>1152000*Rateio!$E$239/12</f>
        <v>4800</v>
      </c>
      <c r="V140" s="41">
        <f>1152000*Rateio!$E$239/12</f>
        <v>4800</v>
      </c>
      <c r="W140" s="41">
        <f>1152000*Rateio!$E$239/12</f>
        <v>4800</v>
      </c>
      <c r="X140" s="41">
        <f>1152000*Rateio!$E$239/12</f>
        <v>4800</v>
      </c>
      <c r="Y140" s="41">
        <f>1152000*Rateio!$E$239/12</f>
        <v>4800</v>
      </c>
      <c r="Z140" s="41">
        <f>1152000*Rateio!$E$239/12</f>
        <v>4800</v>
      </c>
      <c r="AA140" s="41">
        <f>1152000*Rateio!$E$239/12</f>
        <v>4800</v>
      </c>
      <c r="AB140" s="41">
        <f>1152000*Rateio!$E$239/12</f>
        <v>4800</v>
      </c>
      <c r="AC140" s="116">
        <f t="shared" si="73"/>
        <v>57600</v>
      </c>
      <c r="AE140" s="39">
        <f>IF(ISBLANK(Q140),"",IF($P140="BRL",Q140,Q140*Macroindicadores!B$2)/1000)</f>
        <v>4.8</v>
      </c>
      <c r="AF140" s="39">
        <f>IF(ISBLANK(R140),"",IF($P140="BRL",R140,R140*Macroindicadores!C$2)/1000)</f>
        <v>4.8</v>
      </c>
      <c r="AG140" s="39">
        <f>IF(ISBLANK(S140),"",IF($P140="BRL",S140,S140*Macroindicadores!D$2)/1000)</f>
        <v>4.8</v>
      </c>
      <c r="AH140" s="39">
        <f>IF(ISBLANK(T140),"",IF($P140="BRL",T140,T140*Macroindicadores!E$2)/1000)</f>
        <v>4.8</v>
      </c>
      <c r="AI140" s="39">
        <f>IF(ISBLANK(U140),"",IF($P140="BRL",U140,U140*Macroindicadores!F$2)/1000)</f>
        <v>4.8</v>
      </c>
      <c r="AJ140" s="39">
        <f>IF(ISBLANK(V140),"",IF($P140="BRL",V140,V140*Macroindicadores!G$2)/1000)</f>
        <v>4.8</v>
      </c>
      <c r="AK140" s="39">
        <f>IF(ISBLANK(W140),"",IF($P140="BRL",W140,W140*Macroindicadores!H$2)/1000)</f>
        <v>4.8</v>
      </c>
      <c r="AL140" s="39">
        <f>IF(ISBLANK(X140),"",IF($P140="BRL",X140,X140*Macroindicadores!I$2)/1000)</f>
        <v>4.8</v>
      </c>
      <c r="AM140" s="39">
        <f>IF(ISBLANK(Y140),"",IF($P140="BRL",Y140,Y140*Macroindicadores!J$2)/1000)</f>
        <v>4.8</v>
      </c>
      <c r="AN140" s="39">
        <f>IF(ISBLANK(Z140),"",IF($P140="BRL",Z140,Z140*Macroindicadores!K$2)/1000)</f>
        <v>4.8</v>
      </c>
      <c r="AO140" s="39">
        <f>IF(ISBLANK(AA140),"",IF($P140="BRL",AA140,AA140*Macroindicadores!L$2)/1000)</f>
        <v>4.8</v>
      </c>
      <c r="AP140" s="39">
        <f>IF(ISBLANK(AB140),"",IF($P140="BRL",AB140,AB140*Macroindicadores!M$2)/1000)</f>
        <v>4.8</v>
      </c>
      <c r="AQ140" s="40">
        <f t="shared" si="70"/>
        <v>57.599999999999987</v>
      </c>
      <c r="AS140" s="39">
        <f>IF(ISBLANK(Q140),"",IF(ISBLANK($O140),AE140,IF($J140="ANUAL",AE140*(1+Macroindicadores!B$7),IF(AND($I140="NOVO",MONTH($O140)=MONTH(AS$4)),AE140*(1+Macroindicadores!B$7),IF(AND($J140="PONTUAL",MONTH($O140)=MONTH(AS$4)),AE140*(1+Macroindicadores!B$7),IF(AND($J140="PONTUAL",MONTH($O140)&lt;MONTH(AS$4)),MIN(AR140:$AS140),IF(AND($I140="NOVO",MONTH($O140)&gt;MONTH(AS$4)),AE140,IF(MONTH($O140)&gt;MONTH(AS$4),AE140,IF(MONTH($O140)=MONTH(AS$4),AE140*(1+Macroindicadores!B$7),AR140)))))))))</f>
        <v>4.8</v>
      </c>
      <c r="AT140" s="39">
        <f>IF(ISBLANK(R140),"",IF(ISBLANK($O140),AF140,IF($J140="ANUAL",AF140*(1+Macroindicadores!C$7),IF(AND($I140="NOVO",MONTH($O140)=MONTH(AT$4)),AF140*(1+Macroindicadores!C$7),IF(AND($J140="PONTUAL",MONTH($O140)=MONTH(AT$4)),AF140*(1+Macroindicadores!C$7),IF(AND($J140="PONTUAL",MONTH($O140)&lt;MONTH(AT$4)),MIN($AS140:AS140),IF(AND($I140="NOVO",MONTH($O140)&gt;MONTH(AT$4)),AF140,IF(MONTH($O140)&gt;MONTH(AT$4),AF140,IF(MONTH($O140)=MONTH(AT$4),AF140*(1+Macroindicadores!C$7),AS140)))))))))</f>
        <v>4.8</v>
      </c>
      <c r="AU140" s="39">
        <f>IF(ISBLANK(S140),"",IF(ISBLANK($O140),AG140,IF($J140="ANUAL",AG140*(1+Macroindicadores!D$7),IF(AND($I140="NOVO",MONTH($O140)=MONTH(AU$4)),AG140*(1+Macroindicadores!D$7),IF(AND($J140="PONTUAL",MONTH($O140)=MONTH(AU$4)),AG140*(1+Macroindicadores!D$7),IF(AND($J140="PONTUAL",MONTH($O140)&lt;MONTH(AU$4)),MIN($AS140:AT140),IF(AND($I140="NOVO",MONTH($O140)&gt;MONTH(AU$4)),AG140,IF(MONTH($O140)&gt;MONTH(AU$4),AG140,IF(MONTH($O140)=MONTH(AU$4),AG140*(1+Macroindicadores!D$7),AT140)))))))))</f>
        <v>4.8</v>
      </c>
      <c r="AV140" s="39">
        <f>IF(ISBLANK(T140),"",IF(ISBLANK($O140),AH140,IF($J140="ANUAL",AH140*(1+Macroindicadores!E$7),IF(AND($I140="NOVO",MONTH($O140)=MONTH(AV$4)),AH140*(1+Macroindicadores!E$7),IF(AND($J140="PONTUAL",MONTH($O140)=MONTH(AV$4)),AH140*(1+Macroindicadores!E$7),IF(AND($J140="PONTUAL",MONTH($O140)&lt;MONTH(AV$4)),MIN($AS140:AU140),IF(AND($I140="NOVO",MONTH($O140)&gt;MONTH(AV$4)),AH140,IF(MONTH($O140)&gt;MONTH(AV$4),AH140,IF(MONTH($O140)=MONTH(AV$4),AH140*(1+Macroindicadores!E$7),AU140)))))))))</f>
        <v>4.8</v>
      </c>
      <c r="AW140" s="39">
        <f>IF(ISBLANK(U140),"",IF(ISBLANK($O140),AI140,IF($J140="ANUAL",AI140*(1+Macroindicadores!F$7),IF(AND($I140="NOVO",MONTH($O140)=MONTH(AW$4)),AI140*(1+Macroindicadores!F$7),IF(AND($J140="PONTUAL",MONTH($O140)=MONTH(AW$4)),AI140*(1+Macroindicadores!F$7),IF(AND($J140="PONTUAL",MONTH($O140)&lt;MONTH(AW$4)),MIN($AS140:AV140),IF(AND($I140="NOVO",MONTH($O140)&gt;MONTH(AW$4)),AI140,IF(MONTH($O140)&gt;MONTH(AW$4),AI140,IF(MONTH($O140)=MONTH(AW$4),AI140*(1+Macroindicadores!F$7),AV140)))))))))</f>
        <v>4.8</v>
      </c>
      <c r="AX140" s="39">
        <f>IF(ISBLANK(V140),"",IF(ISBLANK($O140),AJ140,IF($J140="ANUAL",AJ140*(1+Macroindicadores!G$7),IF(AND($I140="NOVO",MONTH($O140)=MONTH(AX$4)),AJ140*(1+Macroindicadores!G$7),IF(AND($J140="PONTUAL",MONTH($O140)=MONTH(AX$4)),AJ140*(1+Macroindicadores!G$7),IF(AND($J140="PONTUAL",MONTH($O140)&lt;MONTH(AX$4)),MIN($AS140:AW140),IF(AND($I140="NOVO",MONTH($O140)&gt;MONTH(AX$4)),AJ140,IF(MONTH($O140)&gt;MONTH(AX$4),AJ140,IF(MONTH($O140)=MONTH(AX$4),AJ140*(1+Macroindicadores!G$7),AW140)))))))))</f>
        <v>5.0023406781609614</v>
      </c>
      <c r="AY140" s="39">
        <f>IF(ISBLANK(W140),"",IF(ISBLANK($O140),AK140,IF($J140="ANUAL",AK140*(1+Macroindicadores!H$7),IF(AND($I140="NOVO",MONTH($O140)=MONTH(AY$4)),AK140*(1+Macroindicadores!H$7),IF(AND($J140="PONTUAL",MONTH($O140)=MONTH(AY$4)),AK140*(1+Macroindicadores!H$7),IF(AND($J140="PONTUAL",MONTH($O140)&lt;MONTH(AY$4)),MIN($AS140:AX140),IF(AND($I140="NOVO",MONTH($O140)&gt;MONTH(AY$4)),AK140,IF(MONTH($O140)&gt;MONTH(AY$4),AK140,IF(MONTH($O140)=MONTH(AY$4),AK140*(1+Macroindicadores!H$7),AX140)))))))))</f>
        <v>5.0023406781609614</v>
      </c>
      <c r="AZ140" s="39">
        <f>IF(ISBLANK(X140),"",IF(ISBLANK($O140),AL140,IF($J140="ANUAL",AL140*(1+Macroindicadores!I$7),IF(AND($I140="NOVO",MONTH($O140)=MONTH(AZ$4)),AL140*(1+Macroindicadores!I$7),IF(AND($J140="PONTUAL",MONTH($O140)=MONTH(AZ$4)),AL140*(1+Macroindicadores!I$7),IF(AND($J140="PONTUAL",MONTH($O140)&lt;MONTH(AZ$4)),MIN($AS140:AY140),IF(AND($I140="NOVO",MONTH($O140)&gt;MONTH(AZ$4)),AL140,IF(MONTH($O140)&gt;MONTH(AZ$4),AL140,IF(MONTH($O140)=MONTH(AZ$4),AL140*(1+Macroindicadores!I$7),AY140)))))))))</f>
        <v>5.0023406781609614</v>
      </c>
      <c r="BA140" s="39">
        <f>IF(ISBLANK(Y140),"",IF(ISBLANK($O140),AM140,IF($J140="ANUAL",AM140*(1+Macroindicadores!J$7),IF(AND($I140="NOVO",MONTH($O140)=MONTH(BA$4)),AM140*(1+Macroindicadores!J$7),IF(AND($J140="PONTUAL",MONTH($O140)=MONTH(BA$4)),AM140*(1+Macroindicadores!J$7),IF(AND($J140="PONTUAL",MONTH($O140)&lt;MONTH(BA$4)),MIN($AS140:AZ140),IF(AND($I140="NOVO",MONTH($O140)&gt;MONTH(BA$4)),AM140,IF(MONTH($O140)&gt;MONTH(BA$4),AM140,IF(MONTH($O140)=MONTH(BA$4),AM140*(1+Macroindicadores!J$7),AZ140)))))))))</f>
        <v>5.0023406781609614</v>
      </c>
      <c r="BB140" s="39">
        <f>IF(ISBLANK(Z140),"",IF(ISBLANK($O140),AN140,IF($J140="ANUAL",AN140*(1+Macroindicadores!K$7),IF(AND($I140="NOVO",MONTH($O140)=MONTH(BB$4)),AN140*(1+Macroindicadores!K$7),IF(AND($J140="PONTUAL",MONTH($O140)=MONTH(BB$4)),AN140*(1+Macroindicadores!K$7),IF(AND($J140="PONTUAL",MONTH($O140)&lt;MONTH(BB$4)),MIN($AS140:BA140),IF(AND($I140="NOVO",MONTH($O140)&gt;MONTH(BB$4)),AN140,IF(MONTH($O140)&gt;MONTH(BB$4),AN140,IF(MONTH($O140)=MONTH(BB$4),AN140*(1+Macroindicadores!K$7),BA140)))))))))</f>
        <v>5.0023406781609614</v>
      </c>
      <c r="BC140" s="39">
        <f>IF(ISBLANK(AA140),"",IF(ISBLANK($O140),AO140,IF($J140="ANUAL",AO140*(1+Macroindicadores!L$7),IF(AND($I140="NOVO",MONTH($O140)=MONTH(BC$4)),AO140*(1+Macroindicadores!L$7),IF(AND($J140="PONTUAL",MONTH($O140)=MONTH(BC$4)),AO140*(1+Macroindicadores!L$7),IF(AND($J140="PONTUAL",MONTH($O140)&lt;MONTH(BC$4)),MIN($AS140:BB140),IF(AND($I140="NOVO",MONTH($O140)&gt;MONTH(BC$4)),AO140,IF(MONTH($O140)&gt;MONTH(BC$4),AO140,IF(MONTH($O140)=MONTH(BC$4),AO140*(1+Macroindicadores!L$7),BB140)))))))))</f>
        <v>5.0023406781609614</v>
      </c>
      <c r="BD140" s="39">
        <f>IF(ISBLANK(AB140),"",IF(ISBLANK($O140),AP140,IF($J140="ANUAL",AP140*(1+Macroindicadores!M$7),IF(AND($I140="NOVO",MONTH($O140)=MONTH(BD$4)),AP140*(1+Macroindicadores!M$7),IF(AND($J140="PONTUAL",MONTH($O140)=MONTH(BD$4)),AP140*(1+Macroindicadores!M$7),IF(AND($J140="PONTUAL",MONTH($O140)&lt;MONTH(BD$4)),MIN($AS140:BC140),IF(AND($I140="NOVO",MONTH($O140)&gt;MONTH(BD$4)),AP140,IF(MONTH($O140)&gt;MONTH(BD$4),AP140,IF(MONTH($O140)=MONTH(BD$4),AP140*(1+Macroindicadores!M$7),BC140)))))))))</f>
        <v>5.0023406781609614</v>
      </c>
      <c r="BE140" s="40">
        <f t="shared" si="71"/>
        <v>59.016384747126736</v>
      </c>
      <c r="BG140" s="39">
        <f>IF(ISBLANK(Q140),"",AS140/Macroindicadores!B$2)</f>
        <v>0.81632653061224492</v>
      </c>
      <c r="BH140" s="39">
        <f>IF(ISBLANK(R140),"",AT140/Macroindicadores!C$2)</f>
        <v>0.81632653061224492</v>
      </c>
      <c r="BI140" s="39">
        <f>IF(ISBLANK(S140),"",AU140/Macroindicadores!D$2)</f>
        <v>0.81632653061224492</v>
      </c>
      <c r="BJ140" s="39">
        <f>IF(ISBLANK(T140),"",AV140/Macroindicadores!E$2)</f>
        <v>0.81632653061224492</v>
      </c>
      <c r="BK140" s="39">
        <f>IF(ISBLANK(U140),"",AW140/Macroindicadores!F$2)</f>
        <v>0.81632653061224492</v>
      </c>
      <c r="BL140" s="39">
        <f>IF(ISBLANK(V140),"",AX140/Macroindicadores!G$2)</f>
        <v>0.85073821057159205</v>
      </c>
      <c r="BM140" s="39">
        <f>IF(ISBLANK(W140),"",AY140/Macroindicadores!H$2)</f>
        <v>0.85073821057159205</v>
      </c>
      <c r="BN140" s="39">
        <f>IF(ISBLANK(X140),"",AZ140/Macroindicadores!I$2)</f>
        <v>0.85073821057159205</v>
      </c>
      <c r="BO140" s="39">
        <f>IF(ISBLANK(Y140),"",BA140/Macroindicadores!J$2)</f>
        <v>0.85073821057159205</v>
      </c>
      <c r="BP140" s="39">
        <f>IF(ISBLANK(Z140),"",BB140/Macroindicadores!K$2)</f>
        <v>0.85073821057159205</v>
      </c>
      <c r="BQ140" s="39">
        <f>IF(ISBLANK(AA140),"",BC140/Macroindicadores!L$2)</f>
        <v>0.85073821057159205</v>
      </c>
      <c r="BR140" s="39">
        <f>IF(ISBLANK(AB140),"",BD140/Macroindicadores!M$2)</f>
        <v>0.85073821057159205</v>
      </c>
      <c r="BS140" s="40">
        <f>IF(AND(ISBLANK($Q140),ISBLANK($R140),ISBLANK($S140),ISBLANK($T140),ISBLANK($U140),ISBLANK($V140),ISBLANK($W140),ISBLANK($X140),ISBLANK($Y140),ISBLANK($Z140),ISBLANK($AA140),ISBLANK($AB140)),"",SUM(BG140:BR140))</f>
        <v>10.036800127062369</v>
      </c>
      <c r="BT140" s="25" t="str">
        <f>IF(ISBLANK($L140),"",_xlfn.XLOOKUP($L140,'CENTRO CUSTO'!$A:$A,'CENTRO CUSTO'!$E:$E,FALSE,0))</f>
        <v>G&amp;A CP</v>
      </c>
    </row>
    <row r="141" spans="1:72">
      <c r="A141" s="9" t="str">
        <f t="shared" si="72"/>
        <v>Budget</v>
      </c>
      <c r="B141" s="9">
        <f t="shared" ref="B141:B167" si="74">IF(ISBLANK($F141),"",$F$1)</f>
        <v>2026</v>
      </c>
      <c r="C141" s="18" t="str">
        <f>IF(ISBLANK($L141),"",_xlfn.XLOOKUP($L141,'CENTRO CUSTO'!$A:$A,'CENTRO CUSTO'!F:F,FALSE,0))</f>
        <v>Cone Sul</v>
      </c>
      <c r="D141" s="111" t="str">
        <f>IF(ISBLANK($L141),"",_xlfn.XLOOKUP($L141,'CENTRO CUSTO'!$A:$A,'CENTRO CUSTO'!G:G,FALSE,0))</f>
        <v>Plataforma</v>
      </c>
      <c r="E141" s="18" t="str">
        <f>IF(ISBLANK($L141),"",_xlfn.XLOOKUP($L141,'CENTRO CUSTO'!$A:$A,'CENTRO CUSTO'!H:H,FALSE,0))</f>
        <v>G&amp;A</v>
      </c>
      <c r="F141" s="10" t="s">
        <v>167</v>
      </c>
      <c r="G141" s="10" t="s">
        <v>75</v>
      </c>
      <c r="H141" s="10" t="s">
        <v>168</v>
      </c>
      <c r="I141" s="11" t="s">
        <v>77</v>
      </c>
      <c r="J141" s="11" t="s">
        <v>78</v>
      </c>
      <c r="K141" s="11" t="s">
        <v>79</v>
      </c>
      <c r="L141" s="11" t="s">
        <v>54</v>
      </c>
      <c r="M141" s="18" t="str">
        <f>IF(ISBLANK($L141),"",_xlfn.XLOOKUP($L141,'CENTRO CUSTO'!$A:$A,'CENTRO CUSTO'!D:D,FALSE,0))</f>
        <v>Alexandre Ayabe</v>
      </c>
      <c r="N141" s="11" t="s">
        <v>87</v>
      </c>
      <c r="O141" s="12"/>
      <c r="P141" s="11" t="s">
        <v>81</v>
      </c>
      <c r="Q141" s="41">
        <f>30000/10*3/12</f>
        <v>750</v>
      </c>
      <c r="R141" s="41">
        <f t="shared" ref="R141:AB141" si="75">30000/10*3/12</f>
        <v>750</v>
      </c>
      <c r="S141" s="41">
        <f t="shared" si="75"/>
        <v>750</v>
      </c>
      <c r="T141" s="41">
        <f t="shared" si="75"/>
        <v>750</v>
      </c>
      <c r="U141" s="41">
        <f t="shared" si="75"/>
        <v>750</v>
      </c>
      <c r="V141" s="41">
        <f t="shared" si="75"/>
        <v>750</v>
      </c>
      <c r="W141" s="41">
        <f t="shared" si="75"/>
        <v>750</v>
      </c>
      <c r="X141" s="41">
        <f t="shared" si="75"/>
        <v>750</v>
      </c>
      <c r="Y141" s="41">
        <f t="shared" si="75"/>
        <v>750</v>
      </c>
      <c r="Z141" s="41">
        <f t="shared" si="75"/>
        <v>750</v>
      </c>
      <c r="AA141" s="41">
        <f t="shared" si="75"/>
        <v>750</v>
      </c>
      <c r="AB141" s="41">
        <f t="shared" si="75"/>
        <v>750</v>
      </c>
      <c r="AC141" s="116">
        <f t="shared" si="73"/>
        <v>9000</v>
      </c>
      <c r="AE141" s="39">
        <f>IF(ISBLANK(Q141),"",IF($P141="BRL",Q141,Q141*Macroindicadores!B$2)/1000)</f>
        <v>0.75</v>
      </c>
      <c r="AF141" s="39">
        <f>IF(ISBLANK(R141),"",IF($P141="BRL",R141,R141*Macroindicadores!C$2)/1000)</f>
        <v>0.75</v>
      </c>
      <c r="AG141" s="39">
        <f>IF(ISBLANK(S141),"",IF($P141="BRL",S141,S141*Macroindicadores!D$2)/1000)</f>
        <v>0.75</v>
      </c>
      <c r="AH141" s="39">
        <f>IF(ISBLANK(T141),"",IF($P141="BRL",T141,T141*Macroindicadores!E$2)/1000)</f>
        <v>0.75</v>
      </c>
      <c r="AI141" s="39">
        <f>IF(ISBLANK(U141),"",IF($P141="BRL",U141,U141*Macroindicadores!F$2)/1000)</f>
        <v>0.75</v>
      </c>
      <c r="AJ141" s="39">
        <f>IF(ISBLANK(V141),"",IF($P141="BRL",V141,V141*Macroindicadores!G$2)/1000)</f>
        <v>0.75</v>
      </c>
      <c r="AK141" s="39">
        <f>IF(ISBLANK(W141),"",IF($P141="BRL",W141,W141*Macroindicadores!H$2)/1000)</f>
        <v>0.75</v>
      </c>
      <c r="AL141" s="39">
        <f>IF(ISBLANK(X141),"",IF($P141="BRL",X141,X141*Macroindicadores!I$2)/1000)</f>
        <v>0.75</v>
      </c>
      <c r="AM141" s="39">
        <f>IF(ISBLANK(Y141),"",IF($P141="BRL",Y141,Y141*Macroindicadores!J$2)/1000)</f>
        <v>0.75</v>
      </c>
      <c r="AN141" s="39">
        <f>IF(ISBLANK(Z141),"",IF($P141="BRL",Z141,Z141*Macroindicadores!K$2)/1000)</f>
        <v>0.75</v>
      </c>
      <c r="AO141" s="39">
        <f>IF(ISBLANK(AA141),"",IF($P141="BRL",AA141,AA141*Macroindicadores!L$2)/1000)</f>
        <v>0.75</v>
      </c>
      <c r="AP141" s="39">
        <f>IF(ISBLANK(AB141),"",IF($P141="BRL",AB141,AB141*Macroindicadores!M$2)/1000)</f>
        <v>0.75</v>
      </c>
      <c r="AQ141" s="40">
        <f t="shared" si="70"/>
        <v>9</v>
      </c>
      <c r="AS141" s="39">
        <f>IF(ISBLANK(Q141),"",IF(ISBLANK($O141),AE141,IF($J141="ANUAL",AE141*(1+Macroindicadores!B$7),IF(AND($I141="NOVO",MONTH($O141)=MONTH(AS$4)),AE141*(1+Macroindicadores!B$7),IF(AND($J141="PONTUAL",MONTH($O141)=MONTH(AS$4)),AE141*(1+Macroindicadores!B$7),IF(AND($J141="PONTUAL",MONTH($O141)&lt;MONTH(AS$4)),MIN(AR141:$AS141),IF(AND($I141="NOVO",MONTH($O141)&gt;MONTH(AS$4)),AE141,IF(MONTH($O141)&gt;MONTH(AS$4),AE141,IF(MONTH($O141)=MONTH(AS$4),AE141*(1+Macroindicadores!B$7),AR141)))))))))</f>
        <v>0.75</v>
      </c>
      <c r="AT141" s="39">
        <f>IF(ISBLANK(R141),"",IF(ISBLANK($O141),AF141,IF($J141="ANUAL",AF141*(1+Macroindicadores!C$7),IF(AND($I141="NOVO",MONTH($O141)=MONTH(AT$4)),AF141*(1+Macroindicadores!C$7),IF(AND($J141="PONTUAL",MONTH($O141)=MONTH(AT$4)),AF141*(1+Macroindicadores!C$7),IF(AND($J141="PONTUAL",MONTH($O141)&lt;MONTH(AT$4)),MIN($AS141:AS141),IF(AND($I141="NOVO",MONTH($O141)&gt;MONTH(AT$4)),AF141,IF(MONTH($O141)&gt;MONTH(AT$4),AF141,IF(MONTH($O141)=MONTH(AT$4),AF141*(1+Macroindicadores!C$7),AS141)))))))))</f>
        <v>0.75</v>
      </c>
      <c r="AU141" s="39">
        <f>IF(ISBLANK(S141),"",IF(ISBLANK($O141),AG141,IF($J141="ANUAL",AG141*(1+Macroindicadores!D$7),IF(AND($I141="NOVO",MONTH($O141)=MONTH(AU$4)),AG141*(1+Macroindicadores!D$7),IF(AND($J141="PONTUAL",MONTH($O141)=MONTH(AU$4)),AG141*(1+Macroindicadores!D$7),IF(AND($J141="PONTUAL",MONTH($O141)&lt;MONTH(AU$4)),MIN($AS141:AT141),IF(AND($I141="NOVO",MONTH($O141)&gt;MONTH(AU$4)),AG141,IF(MONTH($O141)&gt;MONTH(AU$4),AG141,IF(MONTH($O141)=MONTH(AU$4),AG141*(1+Macroindicadores!D$7),AT141)))))))))</f>
        <v>0.75</v>
      </c>
      <c r="AV141" s="39">
        <f>IF(ISBLANK(T141),"",IF(ISBLANK($O141),AH141,IF($J141="ANUAL",AH141*(1+Macroindicadores!E$7),IF(AND($I141="NOVO",MONTH($O141)=MONTH(AV$4)),AH141*(1+Macroindicadores!E$7),IF(AND($J141="PONTUAL",MONTH($O141)=MONTH(AV$4)),AH141*(1+Macroindicadores!E$7),IF(AND($J141="PONTUAL",MONTH($O141)&lt;MONTH(AV$4)),MIN($AS141:AU141),IF(AND($I141="NOVO",MONTH($O141)&gt;MONTH(AV$4)),AH141,IF(MONTH($O141)&gt;MONTH(AV$4),AH141,IF(MONTH($O141)=MONTH(AV$4),AH141*(1+Macroindicadores!E$7),AU141)))))))))</f>
        <v>0.75</v>
      </c>
      <c r="AW141" s="39">
        <f>IF(ISBLANK(U141),"",IF(ISBLANK($O141),AI141,IF($J141="ANUAL",AI141*(1+Macroindicadores!F$7),IF(AND($I141="NOVO",MONTH($O141)=MONTH(AW$4)),AI141*(1+Macroindicadores!F$7),IF(AND($J141="PONTUAL",MONTH($O141)=MONTH(AW$4)),AI141*(1+Macroindicadores!F$7),IF(AND($J141="PONTUAL",MONTH($O141)&lt;MONTH(AW$4)),MIN($AS141:AV141),IF(AND($I141="NOVO",MONTH($O141)&gt;MONTH(AW$4)),AI141,IF(MONTH($O141)&gt;MONTH(AW$4),AI141,IF(MONTH($O141)=MONTH(AW$4),AI141*(1+Macroindicadores!F$7),AV141)))))))))</f>
        <v>0.75</v>
      </c>
      <c r="AX141" s="39">
        <f>IF(ISBLANK(V141),"",IF(ISBLANK($O141),AJ141,IF($J141="ANUAL",AJ141*(1+Macroindicadores!G$7),IF(AND($I141="NOVO",MONTH($O141)=MONTH(AX$4)),AJ141*(1+Macroindicadores!G$7),IF(AND($J141="PONTUAL",MONTH($O141)=MONTH(AX$4)),AJ141*(1+Macroindicadores!G$7),IF(AND($J141="PONTUAL",MONTH($O141)&lt;MONTH(AX$4)),MIN($AS141:AW141),IF(AND($I141="NOVO",MONTH($O141)&gt;MONTH(AX$4)),AJ141,IF(MONTH($O141)&gt;MONTH(AX$4),AJ141,IF(MONTH($O141)=MONTH(AX$4),AJ141*(1+Macroindicadores!G$7),AW141)))))))))</f>
        <v>0.75</v>
      </c>
      <c r="AY141" s="39">
        <f>IF(ISBLANK(W141),"",IF(ISBLANK($O141),AK141,IF($J141="ANUAL",AK141*(1+Macroindicadores!H$7),IF(AND($I141="NOVO",MONTH($O141)=MONTH(AY$4)),AK141*(1+Macroindicadores!H$7),IF(AND($J141="PONTUAL",MONTH($O141)=MONTH(AY$4)),AK141*(1+Macroindicadores!H$7),IF(AND($J141="PONTUAL",MONTH($O141)&lt;MONTH(AY$4)),MIN($AS141:AX141),IF(AND($I141="NOVO",MONTH($O141)&gt;MONTH(AY$4)),AK141,IF(MONTH($O141)&gt;MONTH(AY$4),AK141,IF(MONTH($O141)=MONTH(AY$4),AK141*(1+Macroindicadores!H$7),AX141)))))))))</f>
        <v>0.75</v>
      </c>
      <c r="AZ141" s="39">
        <f>IF(ISBLANK(X141),"",IF(ISBLANK($O141),AL141,IF($J141="ANUAL",AL141*(1+Macroindicadores!I$7),IF(AND($I141="NOVO",MONTH($O141)=MONTH(AZ$4)),AL141*(1+Macroindicadores!I$7),IF(AND($J141="PONTUAL",MONTH($O141)=MONTH(AZ$4)),AL141*(1+Macroindicadores!I$7),IF(AND($J141="PONTUAL",MONTH($O141)&lt;MONTH(AZ$4)),MIN($AS141:AY141),IF(AND($I141="NOVO",MONTH($O141)&gt;MONTH(AZ$4)),AL141,IF(MONTH($O141)&gt;MONTH(AZ$4),AL141,IF(MONTH($O141)=MONTH(AZ$4),AL141*(1+Macroindicadores!I$7),AY141)))))))))</f>
        <v>0.75</v>
      </c>
      <c r="BA141" s="39">
        <f>IF(ISBLANK(Y141),"",IF(ISBLANK($O141),AM141,IF($J141="ANUAL",AM141*(1+Macroindicadores!J$7),IF(AND($I141="NOVO",MONTH($O141)=MONTH(BA$4)),AM141*(1+Macroindicadores!J$7),IF(AND($J141="PONTUAL",MONTH($O141)=MONTH(BA$4)),AM141*(1+Macroindicadores!J$7),IF(AND($J141="PONTUAL",MONTH($O141)&lt;MONTH(BA$4)),MIN($AS141:AZ141),IF(AND($I141="NOVO",MONTH($O141)&gt;MONTH(BA$4)),AM141,IF(MONTH($O141)&gt;MONTH(BA$4),AM141,IF(MONTH($O141)=MONTH(BA$4),AM141*(1+Macroindicadores!J$7),AZ141)))))))))</f>
        <v>0.75</v>
      </c>
      <c r="BB141" s="39">
        <f>IF(ISBLANK(Z141),"",IF(ISBLANK($O141),AN141,IF($J141="ANUAL",AN141*(1+Macroindicadores!K$7),IF(AND($I141="NOVO",MONTH($O141)=MONTH(BB$4)),AN141*(1+Macroindicadores!K$7),IF(AND($J141="PONTUAL",MONTH($O141)=MONTH(BB$4)),AN141*(1+Macroindicadores!K$7),IF(AND($J141="PONTUAL",MONTH($O141)&lt;MONTH(BB$4)),MIN($AS141:BA141),IF(AND($I141="NOVO",MONTH($O141)&gt;MONTH(BB$4)),AN141,IF(MONTH($O141)&gt;MONTH(BB$4),AN141,IF(MONTH($O141)=MONTH(BB$4),AN141*(1+Macroindicadores!K$7),BA141)))))))))</f>
        <v>0.75</v>
      </c>
      <c r="BC141" s="39">
        <f>IF(ISBLANK(AA141),"",IF(ISBLANK($O141),AO141,IF($J141="ANUAL",AO141*(1+Macroindicadores!L$7),IF(AND($I141="NOVO",MONTH($O141)=MONTH(BC$4)),AO141*(1+Macroindicadores!L$7),IF(AND($J141="PONTUAL",MONTH($O141)=MONTH(BC$4)),AO141*(1+Macroindicadores!L$7),IF(AND($J141="PONTUAL",MONTH($O141)&lt;MONTH(BC$4)),MIN($AS141:BB141),IF(AND($I141="NOVO",MONTH($O141)&gt;MONTH(BC$4)),AO141,IF(MONTH($O141)&gt;MONTH(BC$4),AO141,IF(MONTH($O141)=MONTH(BC$4),AO141*(1+Macroindicadores!L$7),BB141)))))))))</f>
        <v>0.75</v>
      </c>
      <c r="BD141" s="39">
        <f>IF(ISBLANK(AB141),"",IF(ISBLANK($O141),AP141,IF($J141="ANUAL",AP141*(1+Macroindicadores!M$7),IF(AND($I141="NOVO",MONTH($O141)=MONTH(BD$4)),AP141*(1+Macroindicadores!M$7),IF(AND($J141="PONTUAL",MONTH($O141)=MONTH(BD$4)),AP141*(1+Macroindicadores!M$7),IF(AND($J141="PONTUAL",MONTH($O141)&lt;MONTH(BD$4)),MIN($AS141:BC141),IF(AND($I141="NOVO",MONTH($O141)&gt;MONTH(BD$4)),AP141,IF(MONTH($O141)&gt;MONTH(BD$4),AP141,IF(MONTH($O141)=MONTH(BD$4),AP141*(1+Macroindicadores!M$7),BC141)))))))))</f>
        <v>0.75</v>
      </c>
      <c r="BE141" s="40">
        <f t="shared" si="71"/>
        <v>9</v>
      </c>
      <c r="BG141" s="39">
        <f>IF(ISBLANK(Q141),"",AS141/Macroindicadores!B$2)</f>
        <v>0.12755102040816327</v>
      </c>
      <c r="BH141" s="39">
        <f>IF(ISBLANK(R141),"",AT141/Macroindicadores!C$2)</f>
        <v>0.12755102040816327</v>
      </c>
      <c r="BI141" s="39">
        <f>IF(ISBLANK(S141),"",AU141/Macroindicadores!D$2)</f>
        <v>0.12755102040816327</v>
      </c>
      <c r="BJ141" s="39">
        <f>IF(ISBLANK(T141),"",AV141/Macroindicadores!E$2)</f>
        <v>0.12755102040816327</v>
      </c>
      <c r="BK141" s="39">
        <f>IF(ISBLANK(U141),"",AW141/Macroindicadores!F$2)</f>
        <v>0.12755102040816327</v>
      </c>
      <c r="BL141" s="39">
        <f>IF(ISBLANK(V141),"",AX141/Macroindicadores!G$2)</f>
        <v>0.12755102040816327</v>
      </c>
      <c r="BM141" s="39">
        <f>IF(ISBLANK(W141),"",AY141/Macroindicadores!H$2)</f>
        <v>0.12755102040816327</v>
      </c>
      <c r="BN141" s="39">
        <f>IF(ISBLANK(X141),"",AZ141/Macroindicadores!I$2)</f>
        <v>0.12755102040816327</v>
      </c>
      <c r="BO141" s="39">
        <f>IF(ISBLANK(Y141),"",BA141/Macroindicadores!J$2)</f>
        <v>0.12755102040816327</v>
      </c>
      <c r="BP141" s="39">
        <f>IF(ISBLANK(Z141),"",BB141/Macroindicadores!K$2)</f>
        <v>0.12755102040816327</v>
      </c>
      <c r="BQ141" s="39">
        <f>IF(ISBLANK(AA141),"",BC141/Macroindicadores!L$2)</f>
        <v>0.12755102040816327</v>
      </c>
      <c r="BR141" s="39">
        <f>IF(ISBLANK(AB141),"",BD141/Macroindicadores!M$2)</f>
        <v>0.12755102040816327</v>
      </c>
      <c r="BS141" s="40">
        <f>IF(AND(ISBLANK($Q141),ISBLANK($R141),ISBLANK($S141),ISBLANK($T141),ISBLANK($U141),ISBLANK($V141),ISBLANK($W141),ISBLANK($X141),ISBLANK($Y141),ISBLANK($Z141),ISBLANK($AA141),ISBLANK($AB141)),"",SUM(BG141:BR141))</f>
        <v>1.5306122448979596</v>
      </c>
      <c r="BT141" s="25" t="str">
        <f>IF(ISBLANK($L141),"",_xlfn.XLOOKUP($L141,'CENTRO CUSTO'!$A:$A,'CENTRO CUSTO'!$E:$E,FALSE,0))</f>
        <v>G&amp;A PL</v>
      </c>
    </row>
    <row r="142" spans="1:72">
      <c r="A142" s="9" t="str">
        <f t="shared" si="72"/>
        <v>Budget</v>
      </c>
      <c r="B142" s="9">
        <f t="shared" si="74"/>
        <v>2026</v>
      </c>
      <c r="C142" s="18" t="str">
        <f>IF(ISBLANK($L142),"",_xlfn.XLOOKUP($L142,'CENTRO CUSTO'!$A:$A,'CENTRO CUSTO'!F:F,FALSE,0))</f>
        <v>LATAM</v>
      </c>
      <c r="D142" s="111" t="str">
        <f>IF(ISBLANK($L142),"",_xlfn.XLOOKUP($L142,'CENTRO CUSTO'!$A:$A,'CENTRO CUSTO'!G:G,FALSE,0))</f>
        <v>Corporativo</v>
      </c>
      <c r="E142" s="18" t="str">
        <f>IF(ISBLANK($L142),"",_xlfn.XLOOKUP($L142,'CENTRO CUSTO'!$A:$A,'CENTRO CUSTO'!H:H,FALSE,0))</f>
        <v>G&amp;A</v>
      </c>
      <c r="F142" s="10" t="s">
        <v>167</v>
      </c>
      <c r="G142" s="10" t="s">
        <v>75</v>
      </c>
      <c r="H142" s="10" t="s">
        <v>168</v>
      </c>
      <c r="I142" s="11" t="s">
        <v>77</v>
      </c>
      <c r="J142" s="11" t="s">
        <v>78</v>
      </c>
      <c r="K142" s="11" t="s">
        <v>79</v>
      </c>
      <c r="L142" s="11" t="s">
        <v>96</v>
      </c>
      <c r="M142" s="18" t="str">
        <f>IF(ISBLANK($L142),"",_xlfn.XLOOKUP($L142,'CENTRO CUSTO'!$A:$A,'CENTRO CUSTO'!D:D,FALSE,0))</f>
        <v>Jimmy Espinosa</v>
      </c>
      <c r="N142" s="11" t="s">
        <v>87</v>
      </c>
      <c r="O142" s="12"/>
      <c r="P142" s="11" t="s">
        <v>81</v>
      </c>
      <c r="Q142" s="41">
        <f>30000/10*7/12</f>
        <v>1750</v>
      </c>
      <c r="R142" s="41">
        <f t="shared" ref="R142:AB142" si="76">30000/10*7/12</f>
        <v>1750</v>
      </c>
      <c r="S142" s="41">
        <f t="shared" si="76"/>
        <v>1750</v>
      </c>
      <c r="T142" s="41">
        <f t="shared" si="76"/>
        <v>1750</v>
      </c>
      <c r="U142" s="41">
        <f t="shared" si="76"/>
        <v>1750</v>
      </c>
      <c r="V142" s="41">
        <f t="shared" si="76"/>
        <v>1750</v>
      </c>
      <c r="W142" s="41">
        <f t="shared" si="76"/>
        <v>1750</v>
      </c>
      <c r="X142" s="41">
        <f t="shared" si="76"/>
        <v>1750</v>
      </c>
      <c r="Y142" s="41">
        <f t="shared" si="76"/>
        <v>1750</v>
      </c>
      <c r="Z142" s="41">
        <f t="shared" si="76"/>
        <v>1750</v>
      </c>
      <c r="AA142" s="41">
        <f t="shared" si="76"/>
        <v>1750</v>
      </c>
      <c r="AB142" s="41">
        <f t="shared" si="76"/>
        <v>1750</v>
      </c>
      <c r="AC142" s="116">
        <f t="shared" si="73"/>
        <v>21000</v>
      </c>
      <c r="AE142" s="39">
        <f>IF(ISBLANK(Q142),"",IF($P142="BRL",Q142,Q142*Macroindicadores!B$2)/1000)</f>
        <v>1.75</v>
      </c>
      <c r="AF142" s="39">
        <f>IF(ISBLANK(R142),"",IF($P142="BRL",R142,R142*Macroindicadores!C$2)/1000)</f>
        <v>1.75</v>
      </c>
      <c r="AG142" s="39">
        <f>IF(ISBLANK(S142),"",IF($P142="BRL",S142,S142*Macroindicadores!D$2)/1000)</f>
        <v>1.75</v>
      </c>
      <c r="AH142" s="39">
        <f>IF(ISBLANK(T142),"",IF($P142="BRL",T142,T142*Macroindicadores!E$2)/1000)</f>
        <v>1.75</v>
      </c>
      <c r="AI142" s="39">
        <f>IF(ISBLANK(U142),"",IF($P142="BRL",U142,U142*Macroindicadores!F$2)/1000)</f>
        <v>1.75</v>
      </c>
      <c r="AJ142" s="39">
        <f>IF(ISBLANK(V142),"",IF($P142="BRL",V142,V142*Macroindicadores!G$2)/1000)</f>
        <v>1.75</v>
      </c>
      <c r="AK142" s="39">
        <f>IF(ISBLANK(W142),"",IF($P142="BRL",W142,W142*Macroindicadores!H$2)/1000)</f>
        <v>1.75</v>
      </c>
      <c r="AL142" s="39">
        <f>IF(ISBLANK(X142),"",IF($P142="BRL",X142,X142*Macroindicadores!I$2)/1000)</f>
        <v>1.75</v>
      </c>
      <c r="AM142" s="39">
        <f>IF(ISBLANK(Y142),"",IF($P142="BRL",Y142,Y142*Macroindicadores!J$2)/1000)</f>
        <v>1.75</v>
      </c>
      <c r="AN142" s="39">
        <f>IF(ISBLANK(Z142),"",IF($P142="BRL",Z142,Z142*Macroindicadores!K$2)/1000)</f>
        <v>1.75</v>
      </c>
      <c r="AO142" s="39">
        <f>IF(ISBLANK(AA142),"",IF($P142="BRL",AA142,AA142*Macroindicadores!L$2)/1000)</f>
        <v>1.75</v>
      </c>
      <c r="AP142" s="39">
        <f>IF(ISBLANK(AB142),"",IF($P142="BRL",AB142,AB142*Macroindicadores!M$2)/1000)</f>
        <v>1.75</v>
      </c>
      <c r="AQ142" s="40">
        <f t="shared" si="70"/>
        <v>21</v>
      </c>
      <c r="AS142" s="39">
        <f>IF(ISBLANK(Q142),"",IF(ISBLANK($O142),AE142,IF($J142="ANUAL",AE142*(1+Macroindicadores!B$7),IF(AND($I142="NOVO",MONTH($O142)=MONTH(AS$4)),AE142*(1+Macroindicadores!B$7),IF(AND($J142="PONTUAL",MONTH($O142)=MONTH(AS$4)),AE142*(1+Macroindicadores!B$7),IF(AND($J142="PONTUAL",MONTH($O142)&lt;MONTH(AS$4)),MIN(AR142:$AS142),IF(AND($I142="NOVO",MONTH($O142)&gt;MONTH(AS$4)),AE142,IF(MONTH($O142)&gt;MONTH(AS$4),AE142,IF(MONTH($O142)=MONTH(AS$4),AE142*(1+Macroindicadores!B$7),AR142)))))))))</f>
        <v>1.75</v>
      </c>
      <c r="AT142" s="39">
        <f>IF(ISBLANK(R142),"",IF(ISBLANK($O142),AF142,IF($J142="ANUAL",AF142*(1+Macroindicadores!C$7),IF(AND($I142="NOVO",MONTH($O142)=MONTH(AT$4)),AF142*(1+Macroindicadores!C$7),IF(AND($J142="PONTUAL",MONTH($O142)=MONTH(AT$4)),AF142*(1+Macroindicadores!C$7),IF(AND($J142="PONTUAL",MONTH($O142)&lt;MONTH(AT$4)),MIN($AS142:AS142),IF(AND($I142="NOVO",MONTH($O142)&gt;MONTH(AT$4)),AF142,IF(MONTH($O142)&gt;MONTH(AT$4),AF142,IF(MONTH($O142)=MONTH(AT$4),AF142*(1+Macroindicadores!C$7),AS142)))))))))</f>
        <v>1.75</v>
      </c>
      <c r="AU142" s="39">
        <f>IF(ISBLANK(S142),"",IF(ISBLANK($O142),AG142,IF($J142="ANUAL",AG142*(1+Macroindicadores!D$7),IF(AND($I142="NOVO",MONTH($O142)=MONTH(AU$4)),AG142*(1+Macroindicadores!D$7),IF(AND($J142="PONTUAL",MONTH($O142)=MONTH(AU$4)),AG142*(1+Macroindicadores!D$7),IF(AND($J142="PONTUAL",MONTH($O142)&lt;MONTH(AU$4)),MIN($AS142:AT142),IF(AND($I142="NOVO",MONTH($O142)&gt;MONTH(AU$4)),AG142,IF(MONTH($O142)&gt;MONTH(AU$4),AG142,IF(MONTH($O142)=MONTH(AU$4),AG142*(1+Macroindicadores!D$7),AT142)))))))))</f>
        <v>1.75</v>
      </c>
      <c r="AV142" s="39">
        <f>IF(ISBLANK(T142),"",IF(ISBLANK($O142),AH142,IF($J142="ANUAL",AH142*(1+Macroindicadores!E$7),IF(AND($I142="NOVO",MONTH($O142)=MONTH(AV$4)),AH142*(1+Macroindicadores!E$7),IF(AND($J142="PONTUAL",MONTH($O142)=MONTH(AV$4)),AH142*(1+Macroindicadores!E$7),IF(AND($J142="PONTUAL",MONTH($O142)&lt;MONTH(AV$4)),MIN($AS142:AU142),IF(AND($I142="NOVO",MONTH($O142)&gt;MONTH(AV$4)),AH142,IF(MONTH($O142)&gt;MONTH(AV$4),AH142,IF(MONTH($O142)=MONTH(AV$4),AH142*(1+Macroindicadores!E$7),AU142)))))))))</f>
        <v>1.75</v>
      </c>
      <c r="AW142" s="39">
        <f>IF(ISBLANK(U142),"",IF(ISBLANK($O142),AI142,IF($J142="ANUAL",AI142*(1+Macroindicadores!F$7),IF(AND($I142="NOVO",MONTH($O142)=MONTH(AW$4)),AI142*(1+Macroindicadores!F$7),IF(AND($J142="PONTUAL",MONTH($O142)=MONTH(AW$4)),AI142*(1+Macroindicadores!F$7),IF(AND($J142="PONTUAL",MONTH($O142)&lt;MONTH(AW$4)),MIN($AS142:AV142),IF(AND($I142="NOVO",MONTH($O142)&gt;MONTH(AW$4)),AI142,IF(MONTH($O142)&gt;MONTH(AW$4),AI142,IF(MONTH($O142)=MONTH(AW$4),AI142*(1+Macroindicadores!F$7),AV142)))))))))</f>
        <v>1.75</v>
      </c>
      <c r="AX142" s="39">
        <f>IF(ISBLANK(V142),"",IF(ISBLANK($O142),AJ142,IF($J142="ANUAL",AJ142*(1+Macroindicadores!G$7),IF(AND($I142="NOVO",MONTH($O142)=MONTH(AX$4)),AJ142*(1+Macroindicadores!G$7),IF(AND($J142="PONTUAL",MONTH($O142)=MONTH(AX$4)),AJ142*(1+Macroindicadores!G$7),IF(AND($J142="PONTUAL",MONTH($O142)&lt;MONTH(AX$4)),MIN($AS142:AW142),IF(AND($I142="NOVO",MONTH($O142)&gt;MONTH(AX$4)),AJ142,IF(MONTH($O142)&gt;MONTH(AX$4),AJ142,IF(MONTH($O142)=MONTH(AX$4),AJ142*(1+Macroindicadores!G$7),AW142)))))))))</f>
        <v>1.75</v>
      </c>
      <c r="AY142" s="39">
        <f>IF(ISBLANK(W142),"",IF(ISBLANK($O142),AK142,IF($J142="ANUAL",AK142*(1+Macroindicadores!H$7),IF(AND($I142="NOVO",MONTH($O142)=MONTH(AY$4)),AK142*(1+Macroindicadores!H$7),IF(AND($J142="PONTUAL",MONTH($O142)=MONTH(AY$4)),AK142*(1+Macroindicadores!H$7),IF(AND($J142="PONTUAL",MONTH($O142)&lt;MONTH(AY$4)),MIN($AS142:AX142),IF(AND($I142="NOVO",MONTH($O142)&gt;MONTH(AY$4)),AK142,IF(MONTH($O142)&gt;MONTH(AY$4),AK142,IF(MONTH($O142)=MONTH(AY$4),AK142*(1+Macroindicadores!H$7),AX142)))))))))</f>
        <v>1.75</v>
      </c>
      <c r="AZ142" s="39">
        <f>IF(ISBLANK(X142),"",IF(ISBLANK($O142),AL142,IF($J142="ANUAL",AL142*(1+Macroindicadores!I$7),IF(AND($I142="NOVO",MONTH($O142)=MONTH(AZ$4)),AL142*(1+Macroindicadores!I$7),IF(AND($J142="PONTUAL",MONTH($O142)=MONTH(AZ$4)),AL142*(1+Macroindicadores!I$7),IF(AND($J142="PONTUAL",MONTH($O142)&lt;MONTH(AZ$4)),MIN($AS142:AY142),IF(AND($I142="NOVO",MONTH($O142)&gt;MONTH(AZ$4)),AL142,IF(MONTH($O142)&gt;MONTH(AZ$4),AL142,IF(MONTH($O142)=MONTH(AZ$4),AL142*(1+Macroindicadores!I$7),AY142)))))))))</f>
        <v>1.75</v>
      </c>
      <c r="BA142" s="39">
        <f>IF(ISBLANK(Y142),"",IF(ISBLANK($O142),AM142,IF($J142="ANUAL",AM142*(1+Macroindicadores!J$7),IF(AND($I142="NOVO",MONTH($O142)=MONTH(BA$4)),AM142*(1+Macroindicadores!J$7),IF(AND($J142="PONTUAL",MONTH($O142)=MONTH(BA$4)),AM142*(1+Macroindicadores!J$7),IF(AND($J142="PONTUAL",MONTH($O142)&lt;MONTH(BA$4)),MIN($AS142:AZ142),IF(AND($I142="NOVO",MONTH($O142)&gt;MONTH(BA$4)),AM142,IF(MONTH($O142)&gt;MONTH(BA$4),AM142,IF(MONTH($O142)=MONTH(BA$4),AM142*(1+Macroindicadores!J$7),AZ142)))))))))</f>
        <v>1.75</v>
      </c>
      <c r="BB142" s="39">
        <f>IF(ISBLANK(Z142),"",IF(ISBLANK($O142),AN142,IF($J142="ANUAL",AN142*(1+Macroindicadores!K$7),IF(AND($I142="NOVO",MONTH($O142)=MONTH(BB$4)),AN142*(1+Macroindicadores!K$7),IF(AND($J142="PONTUAL",MONTH($O142)=MONTH(BB$4)),AN142*(1+Macroindicadores!K$7),IF(AND($J142="PONTUAL",MONTH($O142)&lt;MONTH(BB$4)),MIN($AS142:BA142),IF(AND($I142="NOVO",MONTH($O142)&gt;MONTH(BB$4)),AN142,IF(MONTH($O142)&gt;MONTH(BB$4),AN142,IF(MONTH($O142)=MONTH(BB$4),AN142*(1+Macroindicadores!K$7),BA142)))))))))</f>
        <v>1.75</v>
      </c>
      <c r="BC142" s="39">
        <f>IF(ISBLANK(AA142),"",IF(ISBLANK($O142),AO142,IF($J142="ANUAL",AO142*(1+Macroindicadores!L$7),IF(AND($I142="NOVO",MONTH($O142)=MONTH(BC$4)),AO142*(1+Macroindicadores!L$7),IF(AND($J142="PONTUAL",MONTH($O142)=MONTH(BC$4)),AO142*(1+Macroindicadores!L$7),IF(AND($J142="PONTUAL",MONTH($O142)&lt;MONTH(BC$4)),MIN($AS142:BB142),IF(AND($I142="NOVO",MONTH($O142)&gt;MONTH(BC$4)),AO142,IF(MONTH($O142)&gt;MONTH(BC$4),AO142,IF(MONTH($O142)=MONTH(BC$4),AO142*(1+Macroindicadores!L$7),BB142)))))))))</f>
        <v>1.75</v>
      </c>
      <c r="BD142" s="39">
        <f>IF(ISBLANK(AB142),"",IF(ISBLANK($O142),AP142,IF($J142="ANUAL",AP142*(1+Macroindicadores!M$7),IF(AND($I142="NOVO",MONTH($O142)=MONTH(BD$4)),AP142*(1+Macroindicadores!M$7),IF(AND($J142="PONTUAL",MONTH($O142)=MONTH(BD$4)),AP142*(1+Macroindicadores!M$7),IF(AND($J142="PONTUAL",MONTH($O142)&lt;MONTH(BD$4)),MIN($AS142:BC142),IF(AND($I142="NOVO",MONTH($O142)&gt;MONTH(BD$4)),AP142,IF(MONTH($O142)&gt;MONTH(BD$4),AP142,IF(MONTH($O142)=MONTH(BD$4),AP142*(1+Macroindicadores!M$7),BC142)))))))))</f>
        <v>1.75</v>
      </c>
      <c r="BE142" s="40">
        <f t="shared" si="71"/>
        <v>21</v>
      </c>
      <c r="BG142" s="39">
        <f>IF(ISBLANK(Q142),"",AS142/Macroindicadores!B$2)</f>
        <v>0.29761904761904762</v>
      </c>
      <c r="BH142" s="39">
        <f>IF(ISBLANK(R142),"",AT142/Macroindicadores!C$2)</f>
        <v>0.29761904761904762</v>
      </c>
      <c r="BI142" s="39">
        <f>IF(ISBLANK(S142),"",AU142/Macroindicadores!D$2)</f>
        <v>0.29761904761904762</v>
      </c>
      <c r="BJ142" s="39">
        <f>IF(ISBLANK(T142),"",AV142/Macroindicadores!E$2)</f>
        <v>0.29761904761904762</v>
      </c>
      <c r="BK142" s="39">
        <f>IF(ISBLANK(U142),"",AW142/Macroindicadores!F$2)</f>
        <v>0.29761904761904762</v>
      </c>
      <c r="BL142" s="39">
        <f>IF(ISBLANK(V142),"",AX142/Macroindicadores!G$2)</f>
        <v>0.29761904761904762</v>
      </c>
      <c r="BM142" s="39">
        <f>IF(ISBLANK(W142),"",AY142/Macroindicadores!H$2)</f>
        <v>0.29761904761904762</v>
      </c>
      <c r="BN142" s="39">
        <f>IF(ISBLANK(X142),"",AZ142/Macroindicadores!I$2)</f>
        <v>0.29761904761904762</v>
      </c>
      <c r="BO142" s="39">
        <f>IF(ISBLANK(Y142),"",BA142/Macroindicadores!J$2)</f>
        <v>0.29761904761904762</v>
      </c>
      <c r="BP142" s="39">
        <f>IF(ISBLANK(Z142),"",BB142/Macroindicadores!K$2)</f>
        <v>0.29761904761904762</v>
      </c>
      <c r="BQ142" s="39">
        <f>IF(ISBLANK(AA142),"",BC142/Macroindicadores!L$2)</f>
        <v>0.29761904761904762</v>
      </c>
      <c r="BR142" s="39">
        <f>IF(ISBLANK(AB142),"",BD142/Macroindicadores!M$2)</f>
        <v>0.29761904761904762</v>
      </c>
      <c r="BS142" s="40">
        <f>IF(AND(ISBLANK($Q142),ISBLANK($R142),ISBLANK($S142),ISBLANK($T142),ISBLANK($U142),ISBLANK($V142),ISBLANK($W142),ISBLANK($X142),ISBLANK($Y142),ISBLANK($Z142),ISBLANK($AA142),ISBLANK($AB142)),"",SUM(BG142:BR142))</f>
        <v>3.5714285714285707</v>
      </c>
      <c r="BT142" s="25" t="str">
        <f>IF(ISBLANK($L142),"",_xlfn.XLOOKUP($L142,'CENTRO CUSTO'!$A:$A,'CENTRO CUSTO'!$E:$E,FALSE,0))</f>
        <v>G&amp;A CP</v>
      </c>
    </row>
    <row r="143" spans="1:72">
      <c r="A143" s="9" t="str">
        <f t="shared" si="72"/>
        <v>Budget</v>
      </c>
      <c r="B143" s="9">
        <f t="shared" si="74"/>
        <v>2026</v>
      </c>
      <c r="C143" s="18" t="str">
        <f>IF(ISBLANK($L143),"",_xlfn.XLOOKUP($L143,'CENTRO CUSTO'!$A:$A,'CENTRO CUSTO'!F:F,FALSE,0))</f>
        <v>Transporte</v>
      </c>
      <c r="D143" s="111" t="str">
        <f>IF(ISBLANK($L143),"",_xlfn.XLOOKUP($L143,'CENTRO CUSTO'!$A:$A,'CENTRO CUSTO'!G:G,FALSE,0))</f>
        <v>Transportes</v>
      </c>
      <c r="E143" s="18" t="str">
        <f>IF(ISBLANK($L143),"",_xlfn.XLOOKUP($L143,'CENTRO CUSTO'!$A:$A,'CENTRO CUSTO'!H:H,FALSE,0))</f>
        <v>Transportes</v>
      </c>
      <c r="F143" s="10" t="s">
        <v>169</v>
      </c>
      <c r="G143" s="10" t="s">
        <v>75</v>
      </c>
      <c r="H143" s="10" t="s">
        <v>170</v>
      </c>
      <c r="I143" s="11" t="s">
        <v>77</v>
      </c>
      <c r="J143" s="11" t="s">
        <v>78</v>
      </c>
      <c r="K143" s="11" t="s">
        <v>79</v>
      </c>
      <c r="L143" s="11" t="s">
        <v>111</v>
      </c>
      <c r="M143" s="18" t="str">
        <f>IF(ISBLANK($L143),"",_xlfn.XLOOKUP($L143,'CENTRO CUSTO'!$A:$A,'CENTRO CUSTO'!D:D,FALSE,0))</f>
        <v>Alexandre Ayabe</v>
      </c>
      <c r="N143" s="11" t="s">
        <v>106</v>
      </c>
      <c r="O143" s="12"/>
      <c r="P143" s="11" t="s">
        <v>81</v>
      </c>
      <c r="Q143" s="41">
        <v>633.34</v>
      </c>
      <c r="R143" s="41">
        <v>633.34</v>
      </c>
      <c r="S143" s="41">
        <v>633.34</v>
      </c>
      <c r="T143" s="41">
        <v>633.34</v>
      </c>
      <c r="U143" s="41">
        <v>633.34</v>
      </c>
      <c r="V143" s="41">
        <v>633.34</v>
      </c>
      <c r="W143" s="41">
        <v>633.34</v>
      </c>
      <c r="X143" s="41">
        <v>633.34</v>
      </c>
      <c r="Y143" s="41">
        <v>633.34</v>
      </c>
      <c r="Z143" s="41">
        <v>633.34</v>
      </c>
      <c r="AA143" s="41">
        <v>633.34</v>
      </c>
      <c r="AB143" s="41">
        <v>633.34</v>
      </c>
      <c r="AC143" s="116">
        <f t="shared" si="73"/>
        <v>7600.0800000000008</v>
      </c>
      <c r="AE143" s="39">
        <f>IF(ISBLANK(Q143),"",IF($P143="BRL",Q143,Q143*Macroindicadores!B$2)/1000)</f>
        <v>0.63334000000000001</v>
      </c>
      <c r="AF143" s="39">
        <f>IF(ISBLANK(R143),"",IF($P143="BRL",R143,R143*Macroindicadores!C$2)/1000)</f>
        <v>0.63334000000000001</v>
      </c>
      <c r="AG143" s="39">
        <f>IF(ISBLANK(S143),"",IF($P143="BRL",S143,S143*Macroindicadores!D$2)/1000)</f>
        <v>0.63334000000000001</v>
      </c>
      <c r="AH143" s="39">
        <f>IF(ISBLANK(T143),"",IF($P143="BRL",T143,T143*Macroindicadores!E$2)/1000)</f>
        <v>0.63334000000000001</v>
      </c>
      <c r="AI143" s="39">
        <f>IF(ISBLANK(U143),"",IF($P143="BRL",U143,U143*Macroindicadores!F$2)/1000)</f>
        <v>0.63334000000000001</v>
      </c>
      <c r="AJ143" s="39">
        <f>IF(ISBLANK(V143),"",IF($P143="BRL",V143,V143*Macroindicadores!G$2)/1000)</f>
        <v>0.63334000000000001</v>
      </c>
      <c r="AK143" s="39">
        <f>IF(ISBLANK(W143),"",IF($P143="BRL",W143,W143*Macroindicadores!H$2)/1000)</f>
        <v>0.63334000000000001</v>
      </c>
      <c r="AL143" s="39">
        <f>IF(ISBLANK(X143),"",IF($P143="BRL",X143,X143*Macroindicadores!I$2)/1000)</f>
        <v>0.63334000000000001</v>
      </c>
      <c r="AM143" s="39">
        <f>IF(ISBLANK(Y143),"",IF($P143="BRL",Y143,Y143*Macroindicadores!J$2)/1000)</f>
        <v>0.63334000000000001</v>
      </c>
      <c r="AN143" s="39">
        <f>IF(ISBLANK(Z143),"",IF($P143="BRL",Z143,Z143*Macroindicadores!K$2)/1000)</f>
        <v>0.63334000000000001</v>
      </c>
      <c r="AO143" s="39">
        <f>IF(ISBLANK(AA143),"",IF($P143="BRL",AA143,AA143*Macroindicadores!L$2)/1000)</f>
        <v>0.63334000000000001</v>
      </c>
      <c r="AP143" s="39">
        <f>IF(ISBLANK(AB143),"",IF($P143="BRL",AB143,AB143*Macroindicadores!M$2)/1000)</f>
        <v>0.63334000000000001</v>
      </c>
      <c r="AQ143" s="40">
        <f t="shared" si="70"/>
        <v>7.6000800000000019</v>
      </c>
      <c r="AS143" s="39">
        <f>IF(ISBLANK(Q143),"",IF(ISBLANK($O143),AE143,IF($J143="ANUAL",AE143*(1+Macroindicadores!B$7),IF(AND($I143="NOVO",MONTH($O143)=MONTH(AS$4)),AE143*(1+Macroindicadores!B$7),IF(AND($J143="PONTUAL",MONTH($O143)=MONTH(AS$4)),AE143*(1+Macroindicadores!B$7),IF(AND($J143="PONTUAL",MONTH($O143)&lt;MONTH(AS$4)),MIN(AR143:$AS143),IF(AND($I143="NOVO",MONTH($O143)&gt;MONTH(AS$4)),AE143,IF(MONTH($O143)&gt;MONTH(AS$4),AE143,IF(MONTH($O143)=MONTH(AS$4),AE143*(1+Macroindicadores!B$7),AR143)))))))))</f>
        <v>0.63334000000000001</v>
      </c>
      <c r="AT143" s="39">
        <f>IF(ISBLANK(R143),"",IF(ISBLANK($O143),AF143,IF($J143="ANUAL",AF143*(1+Macroindicadores!C$7),IF(AND($I143="NOVO",MONTH($O143)=MONTH(AT$4)),AF143*(1+Macroindicadores!C$7),IF(AND($J143="PONTUAL",MONTH($O143)=MONTH(AT$4)),AF143*(1+Macroindicadores!C$7),IF(AND($J143="PONTUAL",MONTH($O143)&lt;MONTH(AT$4)),MIN($AS143:AS143),IF(AND($I143="NOVO",MONTH($O143)&gt;MONTH(AT$4)),AF143,IF(MONTH($O143)&gt;MONTH(AT$4),AF143,IF(MONTH($O143)=MONTH(AT$4),AF143*(1+Macroindicadores!C$7),AS143)))))))))</f>
        <v>0.63334000000000001</v>
      </c>
      <c r="AU143" s="39">
        <f>IF(ISBLANK(S143),"",IF(ISBLANK($O143),AG143,IF($J143="ANUAL",AG143*(1+Macroindicadores!D$7),IF(AND($I143="NOVO",MONTH($O143)=MONTH(AU$4)),AG143*(1+Macroindicadores!D$7),IF(AND($J143="PONTUAL",MONTH($O143)=MONTH(AU$4)),AG143*(1+Macroindicadores!D$7),IF(AND($J143="PONTUAL",MONTH($O143)&lt;MONTH(AU$4)),MIN($AS143:AT143),IF(AND($I143="NOVO",MONTH($O143)&gt;MONTH(AU$4)),AG143,IF(MONTH($O143)&gt;MONTH(AU$4),AG143,IF(MONTH($O143)=MONTH(AU$4),AG143*(1+Macroindicadores!D$7),AT143)))))))))</f>
        <v>0.63334000000000001</v>
      </c>
      <c r="AV143" s="39">
        <f>IF(ISBLANK(T143),"",IF(ISBLANK($O143),AH143,IF($J143="ANUAL",AH143*(1+Macroindicadores!E$7),IF(AND($I143="NOVO",MONTH($O143)=MONTH(AV$4)),AH143*(1+Macroindicadores!E$7),IF(AND($J143="PONTUAL",MONTH($O143)=MONTH(AV$4)),AH143*(1+Macroindicadores!E$7),IF(AND($J143="PONTUAL",MONTH($O143)&lt;MONTH(AV$4)),MIN($AS143:AU143),IF(AND($I143="NOVO",MONTH($O143)&gt;MONTH(AV$4)),AH143,IF(MONTH($O143)&gt;MONTH(AV$4),AH143,IF(MONTH($O143)=MONTH(AV$4),AH143*(1+Macroindicadores!E$7),AU143)))))))))</f>
        <v>0.63334000000000001</v>
      </c>
      <c r="AW143" s="39">
        <f>IF(ISBLANK(U143),"",IF(ISBLANK($O143),AI143,IF($J143="ANUAL",AI143*(1+Macroindicadores!F$7),IF(AND($I143="NOVO",MONTH($O143)=MONTH(AW$4)),AI143*(1+Macroindicadores!F$7),IF(AND($J143="PONTUAL",MONTH($O143)=MONTH(AW$4)),AI143*(1+Macroindicadores!F$7),IF(AND($J143="PONTUAL",MONTH($O143)&lt;MONTH(AW$4)),MIN($AS143:AV143),IF(AND($I143="NOVO",MONTH($O143)&gt;MONTH(AW$4)),AI143,IF(MONTH($O143)&gt;MONTH(AW$4),AI143,IF(MONTH($O143)=MONTH(AW$4),AI143*(1+Macroindicadores!F$7),AV143)))))))))</f>
        <v>0.63334000000000001</v>
      </c>
      <c r="AX143" s="39">
        <f>IF(ISBLANK(V143),"",IF(ISBLANK($O143),AJ143,IF($J143="ANUAL",AJ143*(1+Macroindicadores!G$7),IF(AND($I143="NOVO",MONTH($O143)=MONTH(AX$4)),AJ143*(1+Macroindicadores!G$7),IF(AND($J143="PONTUAL",MONTH($O143)=MONTH(AX$4)),AJ143*(1+Macroindicadores!G$7),IF(AND($J143="PONTUAL",MONTH($O143)&lt;MONTH(AX$4)),MIN($AS143:AW143),IF(AND($I143="NOVO",MONTH($O143)&gt;MONTH(AX$4)),AJ143,IF(MONTH($O143)&gt;MONTH(AX$4),AJ143,IF(MONTH($O143)=MONTH(AX$4),AJ143*(1+Macroindicadores!G$7),AW143)))))))))</f>
        <v>0.63334000000000001</v>
      </c>
      <c r="AY143" s="39">
        <f>IF(ISBLANK(W143),"",IF(ISBLANK($O143),AK143,IF($J143="ANUAL",AK143*(1+Macroindicadores!H$7),IF(AND($I143="NOVO",MONTH($O143)=MONTH(AY$4)),AK143*(1+Macroindicadores!H$7),IF(AND($J143="PONTUAL",MONTH($O143)=MONTH(AY$4)),AK143*(1+Macroindicadores!H$7),IF(AND($J143="PONTUAL",MONTH($O143)&lt;MONTH(AY$4)),MIN($AS143:AX143),IF(AND($I143="NOVO",MONTH($O143)&gt;MONTH(AY$4)),AK143,IF(MONTH($O143)&gt;MONTH(AY$4),AK143,IF(MONTH($O143)=MONTH(AY$4),AK143*(1+Macroindicadores!H$7),AX143)))))))))</f>
        <v>0.63334000000000001</v>
      </c>
      <c r="AZ143" s="39">
        <f>IF(ISBLANK(X143),"",IF(ISBLANK($O143),AL143,IF($J143="ANUAL",AL143*(1+Macroindicadores!I$7),IF(AND($I143="NOVO",MONTH($O143)=MONTH(AZ$4)),AL143*(1+Macroindicadores!I$7),IF(AND($J143="PONTUAL",MONTH($O143)=MONTH(AZ$4)),AL143*(1+Macroindicadores!I$7),IF(AND($J143="PONTUAL",MONTH($O143)&lt;MONTH(AZ$4)),MIN($AS143:AY143),IF(AND($I143="NOVO",MONTH($O143)&gt;MONTH(AZ$4)),AL143,IF(MONTH($O143)&gt;MONTH(AZ$4),AL143,IF(MONTH($O143)=MONTH(AZ$4),AL143*(1+Macroindicadores!I$7),AY143)))))))))</f>
        <v>0.63334000000000001</v>
      </c>
      <c r="BA143" s="39">
        <f>IF(ISBLANK(Y143),"",IF(ISBLANK($O143),AM143,IF($J143="ANUAL",AM143*(1+Macroindicadores!J$7),IF(AND($I143="NOVO",MONTH($O143)=MONTH(BA$4)),AM143*(1+Macroindicadores!J$7),IF(AND($J143="PONTUAL",MONTH($O143)=MONTH(BA$4)),AM143*(1+Macroindicadores!J$7),IF(AND($J143="PONTUAL",MONTH($O143)&lt;MONTH(BA$4)),MIN($AS143:AZ143),IF(AND($I143="NOVO",MONTH($O143)&gt;MONTH(BA$4)),AM143,IF(MONTH($O143)&gt;MONTH(BA$4),AM143,IF(MONTH($O143)=MONTH(BA$4),AM143*(1+Macroindicadores!J$7),AZ143)))))))))</f>
        <v>0.63334000000000001</v>
      </c>
      <c r="BB143" s="39">
        <f>IF(ISBLANK(Z143),"",IF(ISBLANK($O143),AN143,IF($J143="ANUAL",AN143*(1+Macroindicadores!K$7),IF(AND($I143="NOVO",MONTH($O143)=MONTH(BB$4)),AN143*(1+Macroindicadores!K$7),IF(AND($J143="PONTUAL",MONTH($O143)=MONTH(BB$4)),AN143*(1+Macroindicadores!K$7),IF(AND($J143="PONTUAL",MONTH($O143)&lt;MONTH(BB$4)),MIN($AS143:BA143),IF(AND($I143="NOVO",MONTH($O143)&gt;MONTH(BB$4)),AN143,IF(MONTH($O143)&gt;MONTH(BB$4),AN143,IF(MONTH($O143)=MONTH(BB$4),AN143*(1+Macroindicadores!K$7),BA143)))))))))</f>
        <v>0.63334000000000001</v>
      </c>
      <c r="BC143" s="39">
        <f>IF(ISBLANK(AA143),"",IF(ISBLANK($O143),AO143,IF($J143="ANUAL",AO143*(1+Macroindicadores!L$7),IF(AND($I143="NOVO",MONTH($O143)=MONTH(BC$4)),AO143*(1+Macroindicadores!L$7),IF(AND($J143="PONTUAL",MONTH($O143)=MONTH(BC$4)),AO143*(1+Macroindicadores!L$7),IF(AND($J143="PONTUAL",MONTH($O143)&lt;MONTH(BC$4)),MIN($AS143:BB143),IF(AND($I143="NOVO",MONTH($O143)&gt;MONTH(BC$4)),AO143,IF(MONTH($O143)&gt;MONTH(BC$4),AO143,IF(MONTH($O143)=MONTH(BC$4),AO143*(1+Macroindicadores!L$7),BB143)))))))))</f>
        <v>0.63334000000000001</v>
      </c>
      <c r="BD143" s="39">
        <f>IF(ISBLANK(AB143),"",IF(ISBLANK($O143),AP143,IF($J143="ANUAL",AP143*(1+Macroindicadores!M$7),IF(AND($I143="NOVO",MONTH($O143)=MONTH(BD$4)),AP143*(1+Macroindicadores!M$7),IF(AND($J143="PONTUAL",MONTH($O143)=MONTH(BD$4)),AP143*(1+Macroindicadores!M$7),IF(AND($J143="PONTUAL",MONTH($O143)&lt;MONTH(BD$4)),MIN($AS143:BC143),IF(AND($I143="NOVO",MONTH($O143)&gt;MONTH(BD$4)),AP143,IF(MONTH($O143)&gt;MONTH(BD$4),AP143,IF(MONTH($O143)=MONTH(BD$4),AP143*(1+Macroindicadores!M$7),BC143)))))))))</f>
        <v>0.63334000000000001</v>
      </c>
      <c r="BE143" s="40">
        <f t="shared" si="71"/>
        <v>7.6000800000000019</v>
      </c>
      <c r="BG143" s="39">
        <f>IF(ISBLANK(Q143),"",AS143/Macroindicadores!B$2)</f>
        <v>0.1077108843537415</v>
      </c>
      <c r="BH143" s="39">
        <f>IF(ISBLANK(R143),"",AT143/Macroindicadores!C$2)</f>
        <v>0.1077108843537415</v>
      </c>
      <c r="BI143" s="39">
        <f>IF(ISBLANK(S143),"",AU143/Macroindicadores!D$2)</f>
        <v>0.1077108843537415</v>
      </c>
      <c r="BJ143" s="39">
        <f>IF(ISBLANK(T143),"",AV143/Macroindicadores!E$2)</f>
        <v>0.1077108843537415</v>
      </c>
      <c r="BK143" s="39">
        <f>IF(ISBLANK(U143),"",AW143/Macroindicadores!F$2)</f>
        <v>0.1077108843537415</v>
      </c>
      <c r="BL143" s="39">
        <f>IF(ISBLANK(V143),"",AX143/Macroindicadores!G$2)</f>
        <v>0.1077108843537415</v>
      </c>
      <c r="BM143" s="39">
        <f>IF(ISBLANK(W143),"",AY143/Macroindicadores!H$2)</f>
        <v>0.1077108843537415</v>
      </c>
      <c r="BN143" s="39">
        <f>IF(ISBLANK(X143),"",AZ143/Macroindicadores!I$2)</f>
        <v>0.1077108843537415</v>
      </c>
      <c r="BO143" s="39">
        <f>IF(ISBLANK(Y143),"",BA143/Macroindicadores!J$2)</f>
        <v>0.1077108843537415</v>
      </c>
      <c r="BP143" s="39">
        <f>IF(ISBLANK(Z143),"",BB143/Macroindicadores!K$2)</f>
        <v>0.1077108843537415</v>
      </c>
      <c r="BQ143" s="39">
        <f>IF(ISBLANK(AA143),"",BC143/Macroindicadores!L$2)</f>
        <v>0.1077108843537415</v>
      </c>
      <c r="BR143" s="39">
        <f>IF(ISBLANK(AB143),"",BD143/Macroindicadores!M$2)</f>
        <v>0.1077108843537415</v>
      </c>
      <c r="BS143" s="40">
        <f>IF(AND(ISBLANK($Q143),ISBLANK($R143),ISBLANK($S143),ISBLANK($T143),ISBLANK($U143),ISBLANK($V143),ISBLANK($W143),ISBLANK($X143),ISBLANK($Y143),ISBLANK($Z143),ISBLANK($AA143),ISBLANK($AB143)),"",SUM(BG143:BR143))</f>
        <v>1.2925306122448983</v>
      </c>
      <c r="BT143" s="25" t="str">
        <f>IF(ISBLANK($L143),"",_xlfn.XLOOKUP($L143,'CENTRO CUSTO'!$A:$A,'CENTRO CUSTO'!$E:$E,FALSE,0))</f>
        <v>Custo Fixo</v>
      </c>
    </row>
    <row r="144" spans="1:72">
      <c r="A144" s="9" t="str">
        <f t="shared" si="72"/>
        <v>Budget</v>
      </c>
      <c r="B144" s="9">
        <f t="shared" si="74"/>
        <v>2026</v>
      </c>
      <c r="C144" s="18" t="str">
        <f>IF(ISBLANK($L144),"",_xlfn.XLOOKUP($L144,'CENTRO CUSTO'!$A:$A,'CENTRO CUSTO'!F:F,FALSE,0))</f>
        <v>Transporte</v>
      </c>
      <c r="D144" s="111" t="str">
        <f>IF(ISBLANK($L144),"",_xlfn.XLOOKUP($L144,'CENTRO CUSTO'!$A:$A,'CENTRO CUSTO'!G:G,FALSE,0))</f>
        <v>Transportes</v>
      </c>
      <c r="E144" s="18" t="str">
        <f>IF(ISBLANK($L144),"",_xlfn.XLOOKUP($L144,'CENTRO CUSTO'!$A:$A,'CENTRO CUSTO'!H:H,FALSE,0))</f>
        <v>Transportes</v>
      </c>
      <c r="F144" s="10" t="s">
        <v>169</v>
      </c>
      <c r="G144" s="10" t="s">
        <v>75</v>
      </c>
      <c r="H144" s="10" t="s">
        <v>170</v>
      </c>
      <c r="I144" s="11" t="s">
        <v>77</v>
      </c>
      <c r="J144" s="11" t="s">
        <v>78</v>
      </c>
      <c r="K144" s="11" t="s">
        <v>79</v>
      </c>
      <c r="L144" s="11" t="s">
        <v>111</v>
      </c>
      <c r="M144" s="18" t="str">
        <f>IF(ISBLANK($L144),"",_xlfn.XLOOKUP($L144,'CENTRO CUSTO'!$A:$A,'CENTRO CUSTO'!D:D,FALSE,0))</f>
        <v>Alexandre Ayabe</v>
      </c>
      <c r="N144" s="11" t="s">
        <v>106</v>
      </c>
      <c r="O144" s="12"/>
      <c r="P144" s="11" t="s">
        <v>81</v>
      </c>
      <c r="Q144" s="41">
        <v>4966</v>
      </c>
      <c r="R144" s="41">
        <v>4966</v>
      </c>
      <c r="S144" s="41">
        <v>4966</v>
      </c>
      <c r="T144" s="41">
        <v>4966</v>
      </c>
      <c r="U144" s="41">
        <v>4966</v>
      </c>
      <c r="V144" s="41">
        <v>4966</v>
      </c>
      <c r="W144" s="41">
        <v>4966</v>
      </c>
      <c r="X144" s="41">
        <v>4966</v>
      </c>
      <c r="Y144" s="41">
        <v>4966</v>
      </c>
      <c r="Z144" s="41">
        <v>4966</v>
      </c>
      <c r="AA144" s="41">
        <v>4966</v>
      </c>
      <c r="AB144" s="41">
        <v>4966</v>
      </c>
      <c r="AC144" s="116">
        <f t="shared" si="73"/>
        <v>59592</v>
      </c>
      <c r="AE144" s="39">
        <f>IF(ISBLANK(Q144),"",IF($P144="BRL",Q144,Q144*Macroindicadores!B$2)/1000)</f>
        <v>4.9660000000000002</v>
      </c>
      <c r="AF144" s="39">
        <f>IF(ISBLANK(R144),"",IF($P144="BRL",R144,R144*Macroindicadores!C$2)/1000)</f>
        <v>4.9660000000000002</v>
      </c>
      <c r="AG144" s="39">
        <f>IF(ISBLANK(S144),"",IF($P144="BRL",S144,S144*Macroindicadores!D$2)/1000)</f>
        <v>4.9660000000000002</v>
      </c>
      <c r="AH144" s="39">
        <f>IF(ISBLANK(T144),"",IF($P144="BRL",T144,T144*Macroindicadores!E$2)/1000)</f>
        <v>4.9660000000000002</v>
      </c>
      <c r="AI144" s="39">
        <f>IF(ISBLANK(U144),"",IF($P144="BRL",U144,U144*Macroindicadores!F$2)/1000)</f>
        <v>4.9660000000000002</v>
      </c>
      <c r="AJ144" s="39">
        <f>IF(ISBLANK(V144),"",IF($P144="BRL",V144,V144*Macroindicadores!G$2)/1000)</f>
        <v>4.9660000000000002</v>
      </c>
      <c r="AK144" s="39">
        <f>IF(ISBLANK(W144),"",IF($P144="BRL",W144,W144*Macroindicadores!H$2)/1000)</f>
        <v>4.9660000000000002</v>
      </c>
      <c r="AL144" s="39">
        <f>IF(ISBLANK(X144),"",IF($P144="BRL",X144,X144*Macroindicadores!I$2)/1000)</f>
        <v>4.9660000000000002</v>
      </c>
      <c r="AM144" s="39">
        <f>IF(ISBLANK(Y144),"",IF($P144="BRL",Y144,Y144*Macroindicadores!J$2)/1000)</f>
        <v>4.9660000000000002</v>
      </c>
      <c r="AN144" s="39">
        <f>IF(ISBLANK(Z144),"",IF($P144="BRL",Z144,Z144*Macroindicadores!K$2)/1000)</f>
        <v>4.9660000000000002</v>
      </c>
      <c r="AO144" s="39">
        <f>IF(ISBLANK(AA144),"",IF($P144="BRL",AA144,AA144*Macroindicadores!L$2)/1000)</f>
        <v>4.9660000000000002</v>
      </c>
      <c r="AP144" s="39">
        <f>IF(ISBLANK(AB144),"",IF($P144="BRL",AB144,AB144*Macroindicadores!M$2)/1000)</f>
        <v>4.9660000000000002</v>
      </c>
      <c r="AQ144" s="40">
        <f t="shared" si="70"/>
        <v>59.592000000000006</v>
      </c>
      <c r="AS144" s="39">
        <f>IF(ISBLANK(Q144),"",IF(ISBLANK($O144),AE144,IF($J144="ANUAL",AE144*(1+Macroindicadores!B$7),IF(AND($I144="NOVO",MONTH($O144)=MONTH(AS$4)),AE144*(1+Macroindicadores!B$7),IF(AND($J144="PONTUAL",MONTH($O144)=MONTH(AS$4)),AE144*(1+Macroindicadores!B$7),IF(AND($J144="PONTUAL",MONTH($O144)&lt;MONTH(AS$4)),MIN(AR144:$AS144),IF(AND($I144="NOVO",MONTH($O144)&gt;MONTH(AS$4)),AE144,IF(MONTH($O144)&gt;MONTH(AS$4),AE144,IF(MONTH($O144)=MONTH(AS$4),AE144*(1+Macroindicadores!B$7),AR144)))))))))</f>
        <v>4.9660000000000002</v>
      </c>
      <c r="AT144" s="39">
        <f>IF(ISBLANK(R144),"",IF(ISBLANK($O144),AF144,IF($J144="ANUAL",AF144*(1+Macroindicadores!C$7),IF(AND($I144="NOVO",MONTH($O144)=MONTH(AT$4)),AF144*(1+Macroindicadores!C$7),IF(AND($J144="PONTUAL",MONTH($O144)=MONTH(AT$4)),AF144*(1+Macroindicadores!C$7),IF(AND($J144="PONTUAL",MONTH($O144)&lt;MONTH(AT$4)),MIN($AS144:AS144),IF(AND($I144="NOVO",MONTH($O144)&gt;MONTH(AT$4)),AF144,IF(MONTH($O144)&gt;MONTH(AT$4),AF144,IF(MONTH($O144)=MONTH(AT$4),AF144*(1+Macroindicadores!C$7),AS144)))))))))</f>
        <v>4.9660000000000002</v>
      </c>
      <c r="AU144" s="39">
        <f>IF(ISBLANK(S144),"",IF(ISBLANK($O144),AG144,IF($J144="ANUAL",AG144*(1+Macroindicadores!D$7),IF(AND($I144="NOVO",MONTH($O144)=MONTH(AU$4)),AG144*(1+Macroindicadores!D$7),IF(AND($J144="PONTUAL",MONTH($O144)=MONTH(AU$4)),AG144*(1+Macroindicadores!D$7),IF(AND($J144="PONTUAL",MONTH($O144)&lt;MONTH(AU$4)),MIN($AS144:AT144),IF(AND($I144="NOVO",MONTH($O144)&gt;MONTH(AU$4)),AG144,IF(MONTH($O144)&gt;MONTH(AU$4),AG144,IF(MONTH($O144)=MONTH(AU$4),AG144*(1+Macroindicadores!D$7),AT144)))))))))</f>
        <v>4.9660000000000002</v>
      </c>
      <c r="AV144" s="39">
        <f>IF(ISBLANK(T144),"",IF(ISBLANK($O144),AH144,IF($J144="ANUAL",AH144*(1+Macroindicadores!E$7),IF(AND($I144="NOVO",MONTH($O144)=MONTH(AV$4)),AH144*(1+Macroindicadores!E$7),IF(AND($J144="PONTUAL",MONTH($O144)=MONTH(AV$4)),AH144*(1+Macroindicadores!E$7),IF(AND($J144="PONTUAL",MONTH($O144)&lt;MONTH(AV$4)),MIN($AS144:AU144),IF(AND($I144="NOVO",MONTH($O144)&gt;MONTH(AV$4)),AH144,IF(MONTH($O144)&gt;MONTH(AV$4),AH144,IF(MONTH($O144)=MONTH(AV$4),AH144*(1+Macroindicadores!E$7),AU144)))))))))</f>
        <v>4.9660000000000002</v>
      </c>
      <c r="AW144" s="39">
        <f>IF(ISBLANK(U144),"",IF(ISBLANK($O144),AI144,IF($J144="ANUAL",AI144*(1+Macroindicadores!F$7),IF(AND($I144="NOVO",MONTH($O144)=MONTH(AW$4)),AI144*(1+Macroindicadores!F$7),IF(AND($J144="PONTUAL",MONTH($O144)=MONTH(AW$4)),AI144*(1+Macroindicadores!F$7),IF(AND($J144="PONTUAL",MONTH($O144)&lt;MONTH(AW$4)),MIN($AS144:AV144),IF(AND($I144="NOVO",MONTH($O144)&gt;MONTH(AW$4)),AI144,IF(MONTH($O144)&gt;MONTH(AW$4),AI144,IF(MONTH($O144)=MONTH(AW$4),AI144*(1+Macroindicadores!F$7),AV144)))))))))</f>
        <v>4.9660000000000002</v>
      </c>
      <c r="AX144" s="39">
        <f>IF(ISBLANK(V144),"",IF(ISBLANK($O144),AJ144,IF($J144="ANUAL",AJ144*(1+Macroindicadores!G$7),IF(AND($I144="NOVO",MONTH($O144)=MONTH(AX$4)),AJ144*(1+Macroindicadores!G$7),IF(AND($J144="PONTUAL",MONTH($O144)=MONTH(AX$4)),AJ144*(1+Macroindicadores!G$7),IF(AND($J144="PONTUAL",MONTH($O144)&lt;MONTH(AX$4)),MIN($AS144:AW144),IF(AND($I144="NOVO",MONTH($O144)&gt;MONTH(AX$4)),AJ144,IF(MONTH($O144)&gt;MONTH(AX$4),AJ144,IF(MONTH($O144)=MONTH(AX$4),AJ144*(1+Macroindicadores!G$7),AW144)))))))))</f>
        <v>4.9660000000000002</v>
      </c>
      <c r="AY144" s="39">
        <f>IF(ISBLANK(W144),"",IF(ISBLANK($O144),AK144,IF($J144="ANUAL",AK144*(1+Macroindicadores!H$7),IF(AND($I144="NOVO",MONTH($O144)=MONTH(AY$4)),AK144*(1+Macroindicadores!H$7),IF(AND($J144="PONTUAL",MONTH($O144)=MONTH(AY$4)),AK144*(1+Macroindicadores!H$7),IF(AND($J144="PONTUAL",MONTH($O144)&lt;MONTH(AY$4)),MIN($AS144:AX144),IF(AND($I144="NOVO",MONTH($O144)&gt;MONTH(AY$4)),AK144,IF(MONTH($O144)&gt;MONTH(AY$4),AK144,IF(MONTH($O144)=MONTH(AY$4),AK144*(1+Macroindicadores!H$7),AX144)))))))))</f>
        <v>4.9660000000000002</v>
      </c>
      <c r="AZ144" s="39">
        <f>IF(ISBLANK(X144),"",IF(ISBLANK($O144),AL144,IF($J144="ANUAL",AL144*(1+Macroindicadores!I$7),IF(AND($I144="NOVO",MONTH($O144)=MONTH(AZ$4)),AL144*(1+Macroindicadores!I$7),IF(AND($J144="PONTUAL",MONTH($O144)=MONTH(AZ$4)),AL144*(1+Macroindicadores!I$7),IF(AND($J144="PONTUAL",MONTH($O144)&lt;MONTH(AZ$4)),MIN($AS144:AY144),IF(AND($I144="NOVO",MONTH($O144)&gt;MONTH(AZ$4)),AL144,IF(MONTH($O144)&gt;MONTH(AZ$4),AL144,IF(MONTH($O144)=MONTH(AZ$4),AL144*(1+Macroindicadores!I$7),AY144)))))))))</f>
        <v>4.9660000000000002</v>
      </c>
      <c r="BA144" s="39">
        <f>IF(ISBLANK(Y144),"",IF(ISBLANK($O144),AM144,IF($J144="ANUAL",AM144*(1+Macroindicadores!J$7),IF(AND($I144="NOVO",MONTH($O144)=MONTH(BA$4)),AM144*(1+Macroindicadores!J$7),IF(AND($J144="PONTUAL",MONTH($O144)=MONTH(BA$4)),AM144*(1+Macroindicadores!J$7),IF(AND($J144="PONTUAL",MONTH($O144)&lt;MONTH(BA$4)),MIN($AS144:AZ144),IF(AND($I144="NOVO",MONTH($O144)&gt;MONTH(BA$4)),AM144,IF(MONTH($O144)&gt;MONTH(BA$4),AM144,IF(MONTH($O144)=MONTH(BA$4),AM144*(1+Macroindicadores!J$7),AZ144)))))))))</f>
        <v>4.9660000000000002</v>
      </c>
      <c r="BB144" s="39">
        <f>IF(ISBLANK(Z144),"",IF(ISBLANK($O144),AN144,IF($J144="ANUAL",AN144*(1+Macroindicadores!K$7),IF(AND($I144="NOVO",MONTH($O144)=MONTH(BB$4)),AN144*(1+Macroindicadores!K$7),IF(AND($J144="PONTUAL",MONTH($O144)=MONTH(BB$4)),AN144*(1+Macroindicadores!K$7),IF(AND($J144="PONTUAL",MONTH($O144)&lt;MONTH(BB$4)),MIN($AS144:BA144),IF(AND($I144="NOVO",MONTH($O144)&gt;MONTH(BB$4)),AN144,IF(MONTH($O144)&gt;MONTH(BB$4),AN144,IF(MONTH($O144)=MONTH(BB$4),AN144*(1+Macroindicadores!K$7),BA144)))))))))</f>
        <v>4.9660000000000002</v>
      </c>
      <c r="BC144" s="39">
        <f>IF(ISBLANK(AA144),"",IF(ISBLANK($O144),AO144,IF($J144="ANUAL",AO144*(1+Macroindicadores!L$7),IF(AND($I144="NOVO",MONTH($O144)=MONTH(BC$4)),AO144*(1+Macroindicadores!L$7),IF(AND($J144="PONTUAL",MONTH($O144)=MONTH(BC$4)),AO144*(1+Macroindicadores!L$7),IF(AND($J144="PONTUAL",MONTH($O144)&lt;MONTH(BC$4)),MIN($AS144:BB144),IF(AND($I144="NOVO",MONTH($O144)&gt;MONTH(BC$4)),AO144,IF(MONTH($O144)&gt;MONTH(BC$4),AO144,IF(MONTH($O144)=MONTH(BC$4),AO144*(1+Macroindicadores!L$7),BB144)))))))))</f>
        <v>4.9660000000000002</v>
      </c>
      <c r="BD144" s="39">
        <f>IF(ISBLANK(AB144),"",IF(ISBLANK($O144),AP144,IF($J144="ANUAL",AP144*(1+Macroindicadores!M$7),IF(AND($I144="NOVO",MONTH($O144)=MONTH(BD$4)),AP144*(1+Macroindicadores!M$7),IF(AND($J144="PONTUAL",MONTH($O144)=MONTH(BD$4)),AP144*(1+Macroindicadores!M$7),IF(AND($J144="PONTUAL",MONTH($O144)&lt;MONTH(BD$4)),MIN($AS144:BC144),IF(AND($I144="NOVO",MONTH($O144)&gt;MONTH(BD$4)),AP144,IF(MONTH($O144)&gt;MONTH(BD$4),AP144,IF(MONTH($O144)=MONTH(BD$4),AP144*(1+Macroindicadores!M$7),BC144)))))))))</f>
        <v>4.9660000000000002</v>
      </c>
      <c r="BE144" s="40">
        <f t="shared" si="71"/>
        <v>59.592000000000006</v>
      </c>
      <c r="BG144" s="39">
        <f>IF(ISBLANK(Q144),"",AS144/Macroindicadores!B$2)</f>
        <v>0.84455782312925176</v>
      </c>
      <c r="BH144" s="39">
        <f>IF(ISBLANK(R144),"",AT144/Macroindicadores!C$2)</f>
        <v>0.84455782312925176</v>
      </c>
      <c r="BI144" s="39">
        <f>IF(ISBLANK(S144),"",AU144/Macroindicadores!D$2)</f>
        <v>0.84455782312925176</v>
      </c>
      <c r="BJ144" s="39">
        <f>IF(ISBLANK(T144),"",AV144/Macroindicadores!E$2)</f>
        <v>0.84455782312925176</v>
      </c>
      <c r="BK144" s="39">
        <f>IF(ISBLANK(U144),"",AW144/Macroindicadores!F$2)</f>
        <v>0.84455782312925176</v>
      </c>
      <c r="BL144" s="39">
        <f>IF(ISBLANK(V144),"",AX144/Macroindicadores!G$2)</f>
        <v>0.84455782312925176</v>
      </c>
      <c r="BM144" s="39">
        <f>IF(ISBLANK(W144),"",AY144/Macroindicadores!H$2)</f>
        <v>0.84455782312925176</v>
      </c>
      <c r="BN144" s="39">
        <f>IF(ISBLANK(X144),"",AZ144/Macroindicadores!I$2)</f>
        <v>0.84455782312925176</v>
      </c>
      <c r="BO144" s="39">
        <f>IF(ISBLANK(Y144),"",BA144/Macroindicadores!J$2)</f>
        <v>0.84455782312925176</v>
      </c>
      <c r="BP144" s="39">
        <f>IF(ISBLANK(Z144),"",BB144/Macroindicadores!K$2)</f>
        <v>0.84455782312925176</v>
      </c>
      <c r="BQ144" s="39">
        <f>IF(ISBLANK(AA144),"",BC144/Macroindicadores!L$2)</f>
        <v>0.84455782312925176</v>
      </c>
      <c r="BR144" s="39">
        <f>IF(ISBLANK(AB144),"",BD144/Macroindicadores!M$2)</f>
        <v>0.84455782312925176</v>
      </c>
      <c r="BS144" s="40">
        <f>IF(AND(ISBLANK($Q144),ISBLANK($R144),ISBLANK($S144),ISBLANK($T144),ISBLANK($U144),ISBLANK($V144),ISBLANK($W144),ISBLANK($X144),ISBLANK($Y144),ISBLANK($Z144),ISBLANK($AA144),ISBLANK($AB144)),"",SUM(BG144:BR144))</f>
        <v>10.134693877551021</v>
      </c>
      <c r="BT144" s="25" t="str">
        <f>IF(ISBLANK($L144),"",_xlfn.XLOOKUP($L144,'CENTRO CUSTO'!$A:$A,'CENTRO CUSTO'!$E:$E,FALSE,0))</f>
        <v>Custo Fixo</v>
      </c>
    </row>
    <row r="145" spans="1:72">
      <c r="A145" s="9" t="str">
        <f t="shared" si="72"/>
        <v>Budget</v>
      </c>
      <c r="B145" s="9">
        <f t="shared" si="74"/>
        <v>2026</v>
      </c>
      <c r="C145" s="18" t="str">
        <f>IF(ISBLANK($L145),"",_xlfn.XLOOKUP($L145,'CENTRO CUSTO'!$A:$A,'CENTRO CUSTO'!F:F,FALSE,0))</f>
        <v>Martini Meat</v>
      </c>
      <c r="D145" s="111" t="str">
        <f>IF(ISBLANK($L145),"",_xlfn.XLOOKUP($L145,'CENTRO CUSTO'!$A:$A,'CENTRO CUSTO'!G:G,FALSE,0))</f>
        <v>Paranaguá</v>
      </c>
      <c r="E145" s="18" t="str">
        <f>IF(ISBLANK($L145),"",_xlfn.XLOOKUP($L145,'CENTRO CUSTO'!$A:$A,'CENTRO CUSTO'!H:H,FALSE,0))</f>
        <v>Frigorífico</v>
      </c>
      <c r="F145" s="10" t="s">
        <v>171</v>
      </c>
      <c r="G145" s="10" t="s">
        <v>75</v>
      </c>
      <c r="H145" s="10" t="s">
        <v>172</v>
      </c>
      <c r="I145" s="11" t="s">
        <v>84</v>
      </c>
      <c r="J145" s="11" t="s">
        <v>78</v>
      </c>
      <c r="K145" s="11" t="s">
        <v>121</v>
      </c>
      <c r="L145" s="11" t="s">
        <v>15</v>
      </c>
      <c r="M145" s="18" t="str">
        <f>IF(ISBLANK($L145),"",_xlfn.XLOOKUP($L145,'CENTRO CUSTO'!$A:$A,'CENTRO CUSTO'!D:D,FALSE,0))</f>
        <v>Alexandre Ayabe</v>
      </c>
      <c r="N145" s="11" t="s">
        <v>106</v>
      </c>
      <c r="O145" s="12"/>
      <c r="P145" s="11" t="s">
        <v>81</v>
      </c>
      <c r="Q145" s="41">
        <v>3000</v>
      </c>
      <c r="R145" s="41">
        <v>3000</v>
      </c>
      <c r="S145" s="41">
        <v>3000</v>
      </c>
      <c r="T145" s="41">
        <v>3000</v>
      </c>
      <c r="U145" s="41">
        <v>3000</v>
      </c>
      <c r="V145" s="41">
        <v>3000</v>
      </c>
      <c r="W145" s="41">
        <v>3000</v>
      </c>
      <c r="X145" s="41">
        <v>3000</v>
      </c>
      <c r="Y145" s="41">
        <v>3000</v>
      </c>
      <c r="Z145" s="41">
        <v>3000</v>
      </c>
      <c r="AA145" s="41">
        <v>3000</v>
      </c>
      <c r="AB145" s="41">
        <v>3000</v>
      </c>
      <c r="AC145" s="116">
        <f t="shared" si="73"/>
        <v>36000</v>
      </c>
      <c r="AE145" s="39">
        <f>IF(ISBLANK(Q145),"",IF($P145="BRL",Q145,Q145*Macroindicadores!B$2)/1000)</f>
        <v>3</v>
      </c>
      <c r="AF145" s="39">
        <f>IF(ISBLANK(R145),"",IF($P145="BRL",R145,R145*Macroindicadores!C$2)/1000)</f>
        <v>3</v>
      </c>
      <c r="AG145" s="39">
        <f>IF(ISBLANK(S145),"",IF($P145="BRL",S145,S145*Macroindicadores!D$2)/1000)</f>
        <v>3</v>
      </c>
      <c r="AH145" s="39">
        <f>IF(ISBLANK(T145),"",IF($P145="BRL",T145,T145*Macroindicadores!E$2)/1000)</f>
        <v>3</v>
      </c>
      <c r="AI145" s="39">
        <f>IF(ISBLANK(U145),"",IF($P145="BRL",U145,U145*Macroindicadores!F$2)/1000)</f>
        <v>3</v>
      </c>
      <c r="AJ145" s="39">
        <f>IF(ISBLANK(V145),"",IF($P145="BRL",V145,V145*Macroindicadores!G$2)/1000)</f>
        <v>3</v>
      </c>
      <c r="AK145" s="39">
        <f>IF(ISBLANK(W145),"",IF($P145="BRL",W145,W145*Macroindicadores!H$2)/1000)</f>
        <v>3</v>
      </c>
      <c r="AL145" s="39">
        <f>IF(ISBLANK(X145),"",IF($P145="BRL",X145,X145*Macroindicadores!I$2)/1000)</f>
        <v>3</v>
      </c>
      <c r="AM145" s="39">
        <f>IF(ISBLANK(Y145),"",IF($P145="BRL",Y145,Y145*Macroindicadores!J$2)/1000)</f>
        <v>3</v>
      </c>
      <c r="AN145" s="39">
        <f>IF(ISBLANK(Z145),"",IF($P145="BRL",Z145,Z145*Macroindicadores!K$2)/1000)</f>
        <v>3</v>
      </c>
      <c r="AO145" s="39">
        <f>IF(ISBLANK(AA145),"",IF($P145="BRL",AA145,AA145*Macroindicadores!L$2)/1000)</f>
        <v>3</v>
      </c>
      <c r="AP145" s="39">
        <f>IF(ISBLANK(AB145),"",IF($P145="BRL",AB145,AB145*Macroindicadores!M$2)/1000)</f>
        <v>3</v>
      </c>
      <c r="AQ145" s="40">
        <f t="shared" si="70"/>
        <v>36</v>
      </c>
      <c r="AS145" s="39">
        <f>IF(ISBLANK(Q145),"",IF(ISBLANK($O145),AE145,IF($J145="ANUAL",AE145*(1+Macroindicadores!B$7),IF(AND($I145="NOVO",MONTH($O145)=MONTH(AS$4)),AE145*(1+Macroindicadores!B$7),IF(AND($J145="PONTUAL",MONTH($O145)=MONTH(AS$4)),AE145*(1+Macroindicadores!B$7),IF(AND($J145="PONTUAL",MONTH($O145)&lt;MONTH(AS$4)),MIN(AR145:$AS145),IF(AND($I145="NOVO",MONTH($O145)&gt;MONTH(AS$4)),AE145,IF(MONTH($O145)&gt;MONTH(AS$4),AE145,IF(MONTH($O145)=MONTH(AS$4),AE145*(1+Macroindicadores!B$7),AR145)))))))))</f>
        <v>3</v>
      </c>
      <c r="AT145" s="39">
        <f>IF(ISBLANK(R145),"",IF(ISBLANK($O145),AF145,IF($J145="ANUAL",AF145*(1+Macroindicadores!C$7),IF(AND($I145="NOVO",MONTH($O145)=MONTH(AT$4)),AF145*(1+Macroindicadores!C$7),IF(AND($J145="PONTUAL",MONTH($O145)=MONTH(AT$4)),AF145*(1+Macroindicadores!C$7),IF(AND($J145="PONTUAL",MONTH($O145)&lt;MONTH(AT$4)),MIN($AS145:AS145),IF(AND($I145="NOVO",MONTH($O145)&gt;MONTH(AT$4)),AF145,IF(MONTH($O145)&gt;MONTH(AT$4),AF145,IF(MONTH($O145)=MONTH(AT$4),AF145*(1+Macroindicadores!C$7),AS145)))))))))</f>
        <v>3</v>
      </c>
      <c r="AU145" s="39">
        <f>IF(ISBLANK(S145),"",IF(ISBLANK($O145),AG145,IF($J145="ANUAL",AG145*(1+Macroindicadores!D$7),IF(AND($I145="NOVO",MONTH($O145)=MONTH(AU$4)),AG145*(1+Macroindicadores!D$7),IF(AND($J145="PONTUAL",MONTH($O145)=MONTH(AU$4)),AG145*(1+Macroindicadores!D$7),IF(AND($J145="PONTUAL",MONTH($O145)&lt;MONTH(AU$4)),MIN($AS145:AT145),IF(AND($I145="NOVO",MONTH($O145)&gt;MONTH(AU$4)),AG145,IF(MONTH($O145)&gt;MONTH(AU$4),AG145,IF(MONTH($O145)=MONTH(AU$4),AG145*(1+Macroindicadores!D$7),AT145)))))))))</f>
        <v>3</v>
      </c>
      <c r="AV145" s="39">
        <f>IF(ISBLANK(T145),"",IF(ISBLANK($O145),AH145,IF($J145="ANUAL",AH145*(1+Macroindicadores!E$7),IF(AND($I145="NOVO",MONTH($O145)=MONTH(AV$4)),AH145*(1+Macroindicadores!E$7),IF(AND($J145="PONTUAL",MONTH($O145)=MONTH(AV$4)),AH145*(1+Macroindicadores!E$7),IF(AND($J145="PONTUAL",MONTH($O145)&lt;MONTH(AV$4)),MIN($AS145:AU145),IF(AND($I145="NOVO",MONTH($O145)&gt;MONTH(AV$4)),AH145,IF(MONTH($O145)&gt;MONTH(AV$4),AH145,IF(MONTH($O145)=MONTH(AV$4),AH145*(1+Macroindicadores!E$7),AU145)))))))))</f>
        <v>3</v>
      </c>
      <c r="AW145" s="39">
        <f>IF(ISBLANK(U145),"",IF(ISBLANK($O145),AI145,IF($J145="ANUAL",AI145*(1+Macroindicadores!F$7),IF(AND($I145="NOVO",MONTH($O145)=MONTH(AW$4)),AI145*(1+Macroindicadores!F$7),IF(AND($J145="PONTUAL",MONTH($O145)=MONTH(AW$4)),AI145*(1+Macroindicadores!F$7),IF(AND($J145="PONTUAL",MONTH($O145)&lt;MONTH(AW$4)),MIN($AS145:AV145),IF(AND($I145="NOVO",MONTH($O145)&gt;MONTH(AW$4)),AI145,IF(MONTH($O145)&gt;MONTH(AW$4),AI145,IF(MONTH($O145)=MONTH(AW$4),AI145*(1+Macroindicadores!F$7),AV145)))))))))</f>
        <v>3</v>
      </c>
      <c r="AX145" s="39">
        <f>IF(ISBLANK(V145),"",IF(ISBLANK($O145),AJ145,IF($J145="ANUAL",AJ145*(1+Macroindicadores!G$7),IF(AND($I145="NOVO",MONTH($O145)=MONTH(AX$4)),AJ145*(1+Macroindicadores!G$7),IF(AND($J145="PONTUAL",MONTH($O145)=MONTH(AX$4)),AJ145*(1+Macroindicadores!G$7),IF(AND($J145="PONTUAL",MONTH($O145)&lt;MONTH(AX$4)),MIN($AS145:AW145),IF(AND($I145="NOVO",MONTH($O145)&gt;MONTH(AX$4)),AJ145,IF(MONTH($O145)&gt;MONTH(AX$4),AJ145,IF(MONTH($O145)=MONTH(AX$4),AJ145*(1+Macroindicadores!G$7),AW145)))))))))</f>
        <v>3</v>
      </c>
      <c r="AY145" s="39">
        <f>IF(ISBLANK(W145),"",IF(ISBLANK($O145),AK145,IF($J145="ANUAL",AK145*(1+Macroindicadores!H$7),IF(AND($I145="NOVO",MONTH($O145)=MONTH(AY$4)),AK145*(1+Macroindicadores!H$7),IF(AND($J145="PONTUAL",MONTH($O145)=MONTH(AY$4)),AK145*(1+Macroindicadores!H$7),IF(AND($J145="PONTUAL",MONTH($O145)&lt;MONTH(AY$4)),MIN($AS145:AX145),IF(AND($I145="NOVO",MONTH($O145)&gt;MONTH(AY$4)),AK145,IF(MONTH($O145)&gt;MONTH(AY$4),AK145,IF(MONTH($O145)=MONTH(AY$4),AK145*(1+Macroindicadores!H$7),AX145)))))))))</f>
        <v>3</v>
      </c>
      <c r="AZ145" s="39">
        <f>IF(ISBLANK(X145),"",IF(ISBLANK($O145),AL145,IF($J145="ANUAL",AL145*(1+Macroindicadores!I$7),IF(AND($I145="NOVO",MONTH($O145)=MONTH(AZ$4)),AL145*(1+Macroindicadores!I$7),IF(AND($J145="PONTUAL",MONTH($O145)=MONTH(AZ$4)),AL145*(1+Macroindicadores!I$7),IF(AND($J145="PONTUAL",MONTH($O145)&lt;MONTH(AZ$4)),MIN($AS145:AY145),IF(AND($I145="NOVO",MONTH($O145)&gt;MONTH(AZ$4)),AL145,IF(MONTH($O145)&gt;MONTH(AZ$4),AL145,IF(MONTH($O145)=MONTH(AZ$4),AL145*(1+Macroindicadores!I$7),AY145)))))))))</f>
        <v>3</v>
      </c>
      <c r="BA145" s="39">
        <f>IF(ISBLANK(Y145),"",IF(ISBLANK($O145),AM145,IF($J145="ANUAL",AM145*(1+Macroindicadores!J$7),IF(AND($I145="NOVO",MONTH($O145)=MONTH(BA$4)),AM145*(1+Macroindicadores!J$7),IF(AND($J145="PONTUAL",MONTH($O145)=MONTH(BA$4)),AM145*(1+Macroindicadores!J$7),IF(AND($J145="PONTUAL",MONTH($O145)&lt;MONTH(BA$4)),MIN($AS145:AZ145),IF(AND($I145="NOVO",MONTH($O145)&gt;MONTH(BA$4)),AM145,IF(MONTH($O145)&gt;MONTH(BA$4),AM145,IF(MONTH($O145)=MONTH(BA$4),AM145*(1+Macroindicadores!J$7),AZ145)))))))))</f>
        <v>3</v>
      </c>
      <c r="BB145" s="39">
        <f>IF(ISBLANK(Z145),"",IF(ISBLANK($O145),AN145,IF($J145="ANUAL",AN145*(1+Macroindicadores!K$7),IF(AND($I145="NOVO",MONTH($O145)=MONTH(BB$4)),AN145*(1+Macroindicadores!K$7),IF(AND($J145="PONTUAL",MONTH($O145)=MONTH(BB$4)),AN145*(1+Macroindicadores!K$7),IF(AND($J145="PONTUAL",MONTH($O145)&lt;MONTH(BB$4)),MIN($AS145:BA145),IF(AND($I145="NOVO",MONTH($O145)&gt;MONTH(BB$4)),AN145,IF(MONTH($O145)&gt;MONTH(BB$4),AN145,IF(MONTH($O145)=MONTH(BB$4),AN145*(1+Macroindicadores!K$7),BA145)))))))))</f>
        <v>3</v>
      </c>
      <c r="BC145" s="39">
        <f>IF(ISBLANK(AA145),"",IF(ISBLANK($O145),AO145,IF($J145="ANUAL",AO145*(1+Macroindicadores!L$7),IF(AND($I145="NOVO",MONTH($O145)=MONTH(BC$4)),AO145*(1+Macroindicadores!L$7),IF(AND($J145="PONTUAL",MONTH($O145)=MONTH(BC$4)),AO145*(1+Macroindicadores!L$7),IF(AND($J145="PONTUAL",MONTH($O145)&lt;MONTH(BC$4)),MIN($AS145:BB145),IF(AND($I145="NOVO",MONTH($O145)&gt;MONTH(BC$4)),AO145,IF(MONTH($O145)&gt;MONTH(BC$4),AO145,IF(MONTH($O145)=MONTH(BC$4),AO145*(1+Macroindicadores!L$7),BB145)))))))))</f>
        <v>3</v>
      </c>
      <c r="BD145" s="39">
        <f>IF(ISBLANK(AB145),"",IF(ISBLANK($O145),AP145,IF($J145="ANUAL",AP145*(1+Macroindicadores!M$7),IF(AND($I145="NOVO",MONTH($O145)=MONTH(BD$4)),AP145*(1+Macroindicadores!M$7),IF(AND($J145="PONTUAL",MONTH($O145)=MONTH(BD$4)),AP145*(1+Macroindicadores!M$7),IF(AND($J145="PONTUAL",MONTH($O145)&lt;MONTH(BD$4)),MIN($AS145:BC145),IF(AND($I145="NOVO",MONTH($O145)&gt;MONTH(BD$4)),AP145,IF(MONTH($O145)&gt;MONTH(BD$4),AP145,IF(MONTH($O145)=MONTH(BD$4),AP145*(1+Macroindicadores!M$7),BC145)))))))))</f>
        <v>3</v>
      </c>
      <c r="BE145" s="40">
        <f t="shared" si="71"/>
        <v>36</v>
      </c>
      <c r="BG145" s="39">
        <f>IF(ISBLANK(Q145),"",AS145/Macroindicadores!B$2)</f>
        <v>0.51020408163265307</v>
      </c>
      <c r="BH145" s="39">
        <f>IF(ISBLANK(R145),"",AT145/Macroindicadores!C$2)</f>
        <v>0.51020408163265307</v>
      </c>
      <c r="BI145" s="39">
        <f>IF(ISBLANK(S145),"",AU145/Macroindicadores!D$2)</f>
        <v>0.51020408163265307</v>
      </c>
      <c r="BJ145" s="39">
        <f>IF(ISBLANK(T145),"",AV145/Macroindicadores!E$2)</f>
        <v>0.51020408163265307</v>
      </c>
      <c r="BK145" s="39">
        <f>IF(ISBLANK(U145),"",AW145/Macroindicadores!F$2)</f>
        <v>0.51020408163265307</v>
      </c>
      <c r="BL145" s="39">
        <f>IF(ISBLANK(V145),"",AX145/Macroindicadores!G$2)</f>
        <v>0.51020408163265307</v>
      </c>
      <c r="BM145" s="39">
        <f>IF(ISBLANK(W145),"",AY145/Macroindicadores!H$2)</f>
        <v>0.51020408163265307</v>
      </c>
      <c r="BN145" s="39">
        <f>IF(ISBLANK(X145),"",AZ145/Macroindicadores!I$2)</f>
        <v>0.51020408163265307</v>
      </c>
      <c r="BO145" s="39">
        <f>IF(ISBLANK(Y145),"",BA145/Macroindicadores!J$2)</f>
        <v>0.51020408163265307</v>
      </c>
      <c r="BP145" s="39">
        <f>IF(ISBLANK(Z145),"",BB145/Macroindicadores!K$2)</f>
        <v>0.51020408163265307</v>
      </c>
      <c r="BQ145" s="39">
        <f>IF(ISBLANK(AA145),"",BC145/Macroindicadores!L$2)</f>
        <v>0.51020408163265307</v>
      </c>
      <c r="BR145" s="39">
        <f>IF(ISBLANK(AB145),"",BD145/Macroindicadores!M$2)</f>
        <v>0.51020408163265307</v>
      </c>
      <c r="BS145" s="40">
        <f>IF(AND(ISBLANK($Q145),ISBLANK($R145),ISBLANK($S145),ISBLANK($T145),ISBLANK($U145),ISBLANK($V145),ISBLANK($W145),ISBLANK($X145),ISBLANK($Y145),ISBLANK($Z145),ISBLANK($AA145),ISBLANK($AB145)),"",SUM(BG145:BR145))</f>
        <v>6.1224489795918382</v>
      </c>
      <c r="BT145" s="25" t="str">
        <f>IF(ISBLANK($L145),"",_xlfn.XLOOKUP($L145,'CENTRO CUSTO'!$A:$A,'CENTRO CUSTO'!$E:$E,FALSE,0))</f>
        <v>Custo Fixo</v>
      </c>
    </row>
    <row r="146" spans="1:72">
      <c r="A146" s="9" t="str">
        <f t="shared" si="72"/>
        <v>Budget</v>
      </c>
      <c r="B146" s="9">
        <f t="shared" si="74"/>
        <v>2026</v>
      </c>
      <c r="C146" s="18" t="str">
        <f>IF(ISBLANK($L146),"",_xlfn.XLOOKUP($L146,'CENTRO CUSTO'!$A:$A,'CENTRO CUSTO'!F:F,FALSE,0))</f>
        <v>Martini Meat</v>
      </c>
      <c r="D146" s="111" t="str">
        <f>IF(ISBLANK($L146),"",_xlfn.XLOOKUP($L146,'CENTRO CUSTO'!$A:$A,'CENTRO CUSTO'!G:G,FALSE,0))</f>
        <v>Itajaí</v>
      </c>
      <c r="E146" s="18" t="str">
        <f>IF(ISBLANK($L146),"",_xlfn.XLOOKUP($L146,'CENTRO CUSTO'!$A:$A,'CENTRO CUSTO'!H:H,FALSE,0))</f>
        <v>Frigorífico</v>
      </c>
      <c r="F146" s="10" t="s">
        <v>171</v>
      </c>
      <c r="G146" s="10" t="s">
        <v>75</v>
      </c>
      <c r="H146" s="10" t="s">
        <v>172</v>
      </c>
      <c r="I146" s="11" t="s">
        <v>84</v>
      </c>
      <c r="J146" s="11" t="s">
        <v>78</v>
      </c>
      <c r="K146" s="11" t="s">
        <v>121</v>
      </c>
      <c r="L146" s="11" t="s">
        <v>27</v>
      </c>
      <c r="M146" s="18" t="str">
        <f>IF(ISBLANK($L146),"",_xlfn.XLOOKUP($L146,'CENTRO CUSTO'!$A:$A,'CENTRO CUSTO'!D:D,FALSE,0))</f>
        <v>Alexandre Ayabe</v>
      </c>
      <c r="N146" s="11" t="s">
        <v>106</v>
      </c>
      <c r="O146" s="12"/>
      <c r="P146" s="11" t="s">
        <v>81</v>
      </c>
      <c r="Q146" s="41">
        <v>3000</v>
      </c>
      <c r="R146" s="41">
        <v>3000</v>
      </c>
      <c r="S146" s="41">
        <v>3000</v>
      </c>
      <c r="T146" s="41">
        <v>3000</v>
      </c>
      <c r="U146" s="41">
        <v>3000</v>
      </c>
      <c r="V146" s="41">
        <v>3000</v>
      </c>
      <c r="W146" s="41">
        <v>3000</v>
      </c>
      <c r="X146" s="41">
        <v>3000</v>
      </c>
      <c r="Y146" s="41">
        <v>3000</v>
      </c>
      <c r="Z146" s="41">
        <v>3000</v>
      </c>
      <c r="AA146" s="41">
        <v>3000</v>
      </c>
      <c r="AB146" s="41">
        <v>3000</v>
      </c>
      <c r="AC146" s="116">
        <f t="shared" si="73"/>
        <v>36000</v>
      </c>
      <c r="AE146" s="39">
        <f>IF(ISBLANK(Q146),"",IF($P146="BRL",Q146,Q146*Macroindicadores!B$2)/1000)</f>
        <v>3</v>
      </c>
      <c r="AF146" s="39">
        <f>IF(ISBLANK(R146),"",IF($P146="BRL",R146,R146*Macroindicadores!C$2)/1000)</f>
        <v>3</v>
      </c>
      <c r="AG146" s="39">
        <f>IF(ISBLANK(S146),"",IF($P146="BRL",S146,S146*Macroindicadores!D$2)/1000)</f>
        <v>3</v>
      </c>
      <c r="AH146" s="39">
        <f>IF(ISBLANK(T146),"",IF($P146="BRL",T146,T146*Macroindicadores!E$2)/1000)</f>
        <v>3</v>
      </c>
      <c r="AI146" s="39">
        <f>IF(ISBLANK(U146),"",IF($P146="BRL",U146,U146*Macroindicadores!F$2)/1000)</f>
        <v>3</v>
      </c>
      <c r="AJ146" s="39">
        <f>IF(ISBLANK(V146),"",IF($P146="BRL",V146,V146*Macroindicadores!G$2)/1000)</f>
        <v>3</v>
      </c>
      <c r="AK146" s="39">
        <f>IF(ISBLANK(W146),"",IF($P146="BRL",W146,W146*Macroindicadores!H$2)/1000)</f>
        <v>3</v>
      </c>
      <c r="AL146" s="39">
        <f>IF(ISBLANK(X146),"",IF($P146="BRL",X146,X146*Macroindicadores!I$2)/1000)</f>
        <v>3</v>
      </c>
      <c r="AM146" s="39">
        <f>IF(ISBLANK(Y146),"",IF($P146="BRL",Y146,Y146*Macroindicadores!J$2)/1000)</f>
        <v>3</v>
      </c>
      <c r="AN146" s="39">
        <f>IF(ISBLANK(Z146),"",IF($P146="BRL",Z146,Z146*Macroindicadores!K$2)/1000)</f>
        <v>3</v>
      </c>
      <c r="AO146" s="39">
        <f>IF(ISBLANK(AA146),"",IF($P146="BRL",AA146,AA146*Macroindicadores!L$2)/1000)</f>
        <v>3</v>
      </c>
      <c r="AP146" s="39">
        <f>IF(ISBLANK(AB146),"",IF($P146="BRL",AB146,AB146*Macroindicadores!M$2)/1000)</f>
        <v>3</v>
      </c>
      <c r="AQ146" s="40">
        <f t="shared" si="70"/>
        <v>36</v>
      </c>
      <c r="AS146" s="39">
        <f>IF(ISBLANK(Q146),"",IF(ISBLANK($O146),AE146,IF($J146="ANUAL",AE146*(1+Macroindicadores!B$7),IF(AND($I146="NOVO",MONTH($O146)=MONTH(AS$4)),AE146*(1+Macroindicadores!B$7),IF(AND($J146="PONTUAL",MONTH($O146)=MONTH(AS$4)),AE146*(1+Macroindicadores!B$7),IF(AND($J146="PONTUAL",MONTH($O146)&lt;MONTH(AS$4)),MIN(AR146:$AS146),IF(AND($I146="NOVO",MONTH($O146)&gt;MONTH(AS$4)),AE146,IF(MONTH($O146)&gt;MONTH(AS$4),AE146,IF(MONTH($O146)=MONTH(AS$4),AE146*(1+Macroindicadores!B$7),AR146)))))))))</f>
        <v>3</v>
      </c>
      <c r="AT146" s="39">
        <f>IF(ISBLANK(R146),"",IF(ISBLANK($O146),AF146,IF($J146="ANUAL",AF146*(1+Macroindicadores!C$7),IF(AND($I146="NOVO",MONTH($O146)=MONTH(AT$4)),AF146*(1+Macroindicadores!C$7),IF(AND($J146="PONTUAL",MONTH($O146)=MONTH(AT$4)),AF146*(1+Macroindicadores!C$7),IF(AND($J146="PONTUAL",MONTH($O146)&lt;MONTH(AT$4)),MIN($AS146:AS146),IF(AND($I146="NOVO",MONTH($O146)&gt;MONTH(AT$4)),AF146,IF(MONTH($O146)&gt;MONTH(AT$4),AF146,IF(MONTH($O146)=MONTH(AT$4),AF146*(1+Macroindicadores!C$7),AS146)))))))))</f>
        <v>3</v>
      </c>
      <c r="AU146" s="39">
        <f>IF(ISBLANK(S146),"",IF(ISBLANK($O146),AG146,IF($J146="ANUAL",AG146*(1+Macroindicadores!D$7),IF(AND($I146="NOVO",MONTH($O146)=MONTH(AU$4)),AG146*(1+Macroindicadores!D$7),IF(AND($J146="PONTUAL",MONTH($O146)=MONTH(AU$4)),AG146*(1+Macroindicadores!D$7),IF(AND($J146="PONTUAL",MONTH($O146)&lt;MONTH(AU$4)),MIN($AS146:AT146),IF(AND($I146="NOVO",MONTH($O146)&gt;MONTH(AU$4)),AG146,IF(MONTH($O146)&gt;MONTH(AU$4),AG146,IF(MONTH($O146)=MONTH(AU$4),AG146*(1+Macroindicadores!D$7),AT146)))))))))</f>
        <v>3</v>
      </c>
      <c r="AV146" s="39">
        <f>IF(ISBLANK(T146),"",IF(ISBLANK($O146),AH146,IF($J146="ANUAL",AH146*(1+Macroindicadores!E$7),IF(AND($I146="NOVO",MONTH($O146)=MONTH(AV$4)),AH146*(1+Macroindicadores!E$7),IF(AND($J146="PONTUAL",MONTH($O146)=MONTH(AV$4)),AH146*(1+Macroindicadores!E$7),IF(AND($J146="PONTUAL",MONTH($O146)&lt;MONTH(AV$4)),MIN($AS146:AU146),IF(AND($I146="NOVO",MONTH($O146)&gt;MONTH(AV$4)),AH146,IF(MONTH($O146)&gt;MONTH(AV$4),AH146,IF(MONTH($O146)=MONTH(AV$4),AH146*(1+Macroindicadores!E$7),AU146)))))))))</f>
        <v>3</v>
      </c>
      <c r="AW146" s="39">
        <f>IF(ISBLANK(U146),"",IF(ISBLANK($O146),AI146,IF($J146="ANUAL",AI146*(1+Macroindicadores!F$7),IF(AND($I146="NOVO",MONTH($O146)=MONTH(AW$4)),AI146*(1+Macroindicadores!F$7),IF(AND($J146="PONTUAL",MONTH($O146)=MONTH(AW$4)),AI146*(1+Macroindicadores!F$7),IF(AND($J146="PONTUAL",MONTH($O146)&lt;MONTH(AW$4)),MIN($AS146:AV146),IF(AND($I146="NOVO",MONTH($O146)&gt;MONTH(AW$4)),AI146,IF(MONTH($O146)&gt;MONTH(AW$4),AI146,IF(MONTH($O146)=MONTH(AW$4),AI146*(1+Macroindicadores!F$7),AV146)))))))))</f>
        <v>3</v>
      </c>
      <c r="AX146" s="39">
        <f>IF(ISBLANK(V146),"",IF(ISBLANK($O146),AJ146,IF($J146="ANUAL",AJ146*(1+Macroindicadores!G$7),IF(AND($I146="NOVO",MONTH($O146)=MONTH(AX$4)),AJ146*(1+Macroindicadores!G$7),IF(AND($J146="PONTUAL",MONTH($O146)=MONTH(AX$4)),AJ146*(1+Macroindicadores!G$7),IF(AND($J146="PONTUAL",MONTH($O146)&lt;MONTH(AX$4)),MIN($AS146:AW146),IF(AND($I146="NOVO",MONTH($O146)&gt;MONTH(AX$4)),AJ146,IF(MONTH($O146)&gt;MONTH(AX$4),AJ146,IF(MONTH($O146)=MONTH(AX$4),AJ146*(1+Macroindicadores!G$7),AW146)))))))))</f>
        <v>3</v>
      </c>
      <c r="AY146" s="39">
        <f>IF(ISBLANK(W146),"",IF(ISBLANK($O146),AK146,IF($J146="ANUAL",AK146*(1+Macroindicadores!H$7),IF(AND($I146="NOVO",MONTH($O146)=MONTH(AY$4)),AK146*(1+Macroindicadores!H$7),IF(AND($J146="PONTUAL",MONTH($O146)=MONTH(AY$4)),AK146*(1+Macroindicadores!H$7),IF(AND($J146="PONTUAL",MONTH($O146)&lt;MONTH(AY$4)),MIN($AS146:AX146),IF(AND($I146="NOVO",MONTH($O146)&gt;MONTH(AY$4)),AK146,IF(MONTH($O146)&gt;MONTH(AY$4),AK146,IF(MONTH($O146)=MONTH(AY$4),AK146*(1+Macroindicadores!H$7),AX146)))))))))</f>
        <v>3</v>
      </c>
      <c r="AZ146" s="39">
        <f>IF(ISBLANK(X146),"",IF(ISBLANK($O146),AL146,IF($J146="ANUAL",AL146*(1+Macroindicadores!I$7),IF(AND($I146="NOVO",MONTH($O146)=MONTH(AZ$4)),AL146*(1+Macroindicadores!I$7),IF(AND($J146="PONTUAL",MONTH($O146)=MONTH(AZ$4)),AL146*(1+Macroindicadores!I$7),IF(AND($J146="PONTUAL",MONTH($O146)&lt;MONTH(AZ$4)),MIN($AS146:AY146),IF(AND($I146="NOVO",MONTH($O146)&gt;MONTH(AZ$4)),AL146,IF(MONTH($O146)&gt;MONTH(AZ$4),AL146,IF(MONTH($O146)=MONTH(AZ$4),AL146*(1+Macroindicadores!I$7),AY146)))))))))</f>
        <v>3</v>
      </c>
      <c r="BA146" s="39">
        <f>IF(ISBLANK(Y146),"",IF(ISBLANK($O146),AM146,IF($J146="ANUAL",AM146*(1+Macroindicadores!J$7),IF(AND($I146="NOVO",MONTH($O146)=MONTH(BA$4)),AM146*(1+Macroindicadores!J$7),IF(AND($J146="PONTUAL",MONTH($O146)=MONTH(BA$4)),AM146*(1+Macroindicadores!J$7),IF(AND($J146="PONTUAL",MONTH($O146)&lt;MONTH(BA$4)),MIN($AS146:AZ146),IF(AND($I146="NOVO",MONTH($O146)&gt;MONTH(BA$4)),AM146,IF(MONTH($O146)&gt;MONTH(BA$4),AM146,IF(MONTH($O146)=MONTH(BA$4),AM146*(1+Macroindicadores!J$7),AZ146)))))))))</f>
        <v>3</v>
      </c>
      <c r="BB146" s="39">
        <f>IF(ISBLANK(Z146),"",IF(ISBLANK($O146),AN146,IF($J146="ANUAL",AN146*(1+Macroindicadores!K$7),IF(AND($I146="NOVO",MONTH($O146)=MONTH(BB$4)),AN146*(1+Macroindicadores!K$7),IF(AND($J146="PONTUAL",MONTH($O146)=MONTH(BB$4)),AN146*(1+Macroindicadores!K$7),IF(AND($J146="PONTUAL",MONTH($O146)&lt;MONTH(BB$4)),MIN($AS146:BA146),IF(AND($I146="NOVO",MONTH($O146)&gt;MONTH(BB$4)),AN146,IF(MONTH($O146)&gt;MONTH(BB$4),AN146,IF(MONTH($O146)=MONTH(BB$4),AN146*(1+Macroindicadores!K$7),BA146)))))))))</f>
        <v>3</v>
      </c>
      <c r="BC146" s="39">
        <f>IF(ISBLANK(AA146),"",IF(ISBLANK($O146),AO146,IF($J146="ANUAL",AO146*(1+Macroindicadores!L$7),IF(AND($I146="NOVO",MONTH($O146)=MONTH(BC$4)),AO146*(1+Macroindicadores!L$7),IF(AND($J146="PONTUAL",MONTH($O146)=MONTH(BC$4)),AO146*(1+Macroindicadores!L$7),IF(AND($J146="PONTUAL",MONTH($O146)&lt;MONTH(BC$4)),MIN($AS146:BB146),IF(AND($I146="NOVO",MONTH($O146)&gt;MONTH(BC$4)),AO146,IF(MONTH($O146)&gt;MONTH(BC$4),AO146,IF(MONTH($O146)=MONTH(BC$4),AO146*(1+Macroindicadores!L$7),BB146)))))))))</f>
        <v>3</v>
      </c>
      <c r="BD146" s="39">
        <f>IF(ISBLANK(AB146),"",IF(ISBLANK($O146),AP146,IF($J146="ANUAL",AP146*(1+Macroindicadores!M$7),IF(AND($I146="NOVO",MONTH($O146)=MONTH(BD$4)),AP146*(1+Macroindicadores!M$7),IF(AND($J146="PONTUAL",MONTH($O146)=MONTH(BD$4)),AP146*(1+Macroindicadores!M$7),IF(AND($J146="PONTUAL",MONTH($O146)&lt;MONTH(BD$4)),MIN($AS146:BC146),IF(AND($I146="NOVO",MONTH($O146)&gt;MONTH(BD$4)),AP146,IF(MONTH($O146)&gt;MONTH(BD$4),AP146,IF(MONTH($O146)=MONTH(BD$4),AP146*(1+Macroindicadores!M$7),BC146)))))))))</f>
        <v>3</v>
      </c>
      <c r="BE146" s="40">
        <f t="shared" si="71"/>
        <v>36</v>
      </c>
      <c r="BG146" s="39">
        <f>IF(ISBLANK(Q146),"",AS146/Macroindicadores!B$2)</f>
        <v>0.51020408163265307</v>
      </c>
      <c r="BH146" s="39">
        <f>IF(ISBLANK(R146),"",AT146/Macroindicadores!C$2)</f>
        <v>0.51020408163265307</v>
      </c>
      <c r="BI146" s="39">
        <f>IF(ISBLANK(S146),"",AU146/Macroindicadores!D$2)</f>
        <v>0.51020408163265307</v>
      </c>
      <c r="BJ146" s="39">
        <f>IF(ISBLANK(T146),"",AV146/Macroindicadores!E$2)</f>
        <v>0.51020408163265307</v>
      </c>
      <c r="BK146" s="39">
        <f>IF(ISBLANK(U146),"",AW146/Macroindicadores!F$2)</f>
        <v>0.51020408163265307</v>
      </c>
      <c r="BL146" s="39">
        <f>IF(ISBLANK(V146),"",AX146/Macroindicadores!G$2)</f>
        <v>0.51020408163265307</v>
      </c>
      <c r="BM146" s="39">
        <f>IF(ISBLANK(W146),"",AY146/Macroindicadores!H$2)</f>
        <v>0.51020408163265307</v>
      </c>
      <c r="BN146" s="39">
        <f>IF(ISBLANK(X146),"",AZ146/Macroindicadores!I$2)</f>
        <v>0.51020408163265307</v>
      </c>
      <c r="BO146" s="39">
        <f>IF(ISBLANK(Y146),"",BA146/Macroindicadores!J$2)</f>
        <v>0.51020408163265307</v>
      </c>
      <c r="BP146" s="39">
        <f>IF(ISBLANK(Z146),"",BB146/Macroindicadores!K$2)</f>
        <v>0.51020408163265307</v>
      </c>
      <c r="BQ146" s="39">
        <f>IF(ISBLANK(AA146),"",BC146/Macroindicadores!L$2)</f>
        <v>0.51020408163265307</v>
      </c>
      <c r="BR146" s="39">
        <f>IF(ISBLANK(AB146),"",BD146/Macroindicadores!M$2)</f>
        <v>0.51020408163265307</v>
      </c>
      <c r="BS146" s="40">
        <f>IF(AND(ISBLANK($Q146),ISBLANK($R146),ISBLANK($S146),ISBLANK($T146),ISBLANK($U146),ISBLANK($V146),ISBLANK($W146),ISBLANK($X146),ISBLANK($Y146),ISBLANK($Z146),ISBLANK($AA146),ISBLANK($AB146)),"",SUM(BG146:BR146))</f>
        <v>6.1224489795918382</v>
      </c>
      <c r="BT146" s="25" t="str">
        <f>IF(ISBLANK($L146),"",_xlfn.XLOOKUP($L146,'CENTRO CUSTO'!$A:$A,'CENTRO CUSTO'!$E:$E,FALSE,0))</f>
        <v>Custo Fixo</v>
      </c>
    </row>
    <row r="147" spans="1:72">
      <c r="A147" s="9" t="str">
        <f t="shared" si="72"/>
        <v>Budget</v>
      </c>
      <c r="B147" s="9">
        <f t="shared" si="74"/>
        <v>2026</v>
      </c>
      <c r="C147" s="18" t="str">
        <f>IF(ISBLANK($L147),"",_xlfn.XLOOKUP($L147,'CENTRO CUSTO'!$A:$A,'CENTRO CUSTO'!F:F,FALSE,0))</f>
        <v>Martini Meat</v>
      </c>
      <c r="D147" s="111" t="str">
        <f>IF(ISBLANK($L147),"",_xlfn.XLOOKUP($L147,'CENTRO CUSTO'!$A:$A,'CENTRO CUSTO'!G:G,FALSE,0))</f>
        <v>Rio Grande</v>
      </c>
      <c r="E147" s="18" t="str">
        <f>IF(ISBLANK($L147),"",_xlfn.XLOOKUP($L147,'CENTRO CUSTO'!$A:$A,'CENTRO CUSTO'!H:H,FALSE,0))</f>
        <v>Frigorífico</v>
      </c>
      <c r="F147" s="10" t="s">
        <v>171</v>
      </c>
      <c r="G147" s="10" t="s">
        <v>75</v>
      </c>
      <c r="H147" s="10" t="s">
        <v>172</v>
      </c>
      <c r="I147" s="11" t="s">
        <v>84</v>
      </c>
      <c r="J147" s="11" t="s">
        <v>78</v>
      </c>
      <c r="K147" s="11" t="s">
        <v>121</v>
      </c>
      <c r="L147" s="11" t="s">
        <v>21</v>
      </c>
      <c r="M147" s="18" t="str">
        <f>IF(ISBLANK($L147),"",_xlfn.XLOOKUP($L147,'CENTRO CUSTO'!$A:$A,'CENTRO CUSTO'!D:D,FALSE,0))</f>
        <v>Alexandre Ayabe</v>
      </c>
      <c r="N147" s="11" t="s">
        <v>106</v>
      </c>
      <c r="O147" s="12"/>
      <c r="P147" s="11" t="s">
        <v>81</v>
      </c>
      <c r="Q147" s="41">
        <v>3000</v>
      </c>
      <c r="R147" s="41">
        <v>3000</v>
      </c>
      <c r="S147" s="41">
        <v>3000</v>
      </c>
      <c r="T147" s="41">
        <v>3000</v>
      </c>
      <c r="U147" s="41">
        <v>3000</v>
      </c>
      <c r="V147" s="41">
        <v>3000</v>
      </c>
      <c r="W147" s="41">
        <v>3000</v>
      </c>
      <c r="X147" s="41">
        <v>3000</v>
      </c>
      <c r="Y147" s="41">
        <v>3000</v>
      </c>
      <c r="Z147" s="41">
        <v>3000</v>
      </c>
      <c r="AA147" s="41">
        <v>3000</v>
      </c>
      <c r="AB147" s="41">
        <v>3000</v>
      </c>
      <c r="AC147" s="116">
        <f t="shared" si="73"/>
        <v>36000</v>
      </c>
      <c r="AE147" s="39">
        <f>IF(ISBLANK(Q147),"",IF($P147="BRL",Q147,Q147*Macroindicadores!B$2)/1000)</f>
        <v>3</v>
      </c>
      <c r="AF147" s="39">
        <f>IF(ISBLANK(R147),"",IF($P147="BRL",R147,R147*Macroindicadores!C$2)/1000)</f>
        <v>3</v>
      </c>
      <c r="AG147" s="39">
        <f>IF(ISBLANK(S147),"",IF($P147="BRL",S147,S147*Macroindicadores!D$2)/1000)</f>
        <v>3</v>
      </c>
      <c r="AH147" s="39">
        <f>IF(ISBLANK(T147),"",IF($P147="BRL",T147,T147*Macroindicadores!E$2)/1000)</f>
        <v>3</v>
      </c>
      <c r="AI147" s="39">
        <f>IF(ISBLANK(U147),"",IF($P147="BRL",U147,U147*Macroindicadores!F$2)/1000)</f>
        <v>3</v>
      </c>
      <c r="AJ147" s="39">
        <f>IF(ISBLANK(V147),"",IF($P147="BRL",V147,V147*Macroindicadores!G$2)/1000)</f>
        <v>3</v>
      </c>
      <c r="AK147" s="39">
        <f>IF(ISBLANK(W147),"",IF($P147="BRL",W147,W147*Macroindicadores!H$2)/1000)</f>
        <v>3</v>
      </c>
      <c r="AL147" s="39">
        <f>IF(ISBLANK(X147),"",IF($P147="BRL",X147,X147*Macroindicadores!I$2)/1000)</f>
        <v>3</v>
      </c>
      <c r="AM147" s="39">
        <f>IF(ISBLANK(Y147),"",IF($P147="BRL",Y147,Y147*Macroindicadores!J$2)/1000)</f>
        <v>3</v>
      </c>
      <c r="AN147" s="39">
        <f>IF(ISBLANK(Z147),"",IF($P147="BRL",Z147,Z147*Macroindicadores!K$2)/1000)</f>
        <v>3</v>
      </c>
      <c r="AO147" s="39">
        <f>IF(ISBLANK(AA147),"",IF($P147="BRL",AA147,AA147*Macroindicadores!L$2)/1000)</f>
        <v>3</v>
      </c>
      <c r="AP147" s="39">
        <f>IF(ISBLANK(AB147),"",IF($P147="BRL",AB147,AB147*Macroindicadores!M$2)/1000)</f>
        <v>3</v>
      </c>
      <c r="AQ147" s="40">
        <f t="shared" si="70"/>
        <v>36</v>
      </c>
      <c r="AS147" s="39">
        <f>IF(ISBLANK(Q147),"",IF(ISBLANK($O147),AE147,IF($J147="ANUAL",AE147*(1+Macroindicadores!B$7),IF(AND($I147="NOVO",MONTH($O147)=MONTH(AS$4)),AE147*(1+Macroindicadores!B$7),IF(AND($J147="PONTUAL",MONTH($O147)=MONTH(AS$4)),AE147*(1+Macroindicadores!B$7),IF(AND($J147="PONTUAL",MONTH($O147)&lt;MONTH(AS$4)),MIN(AR147:$AS147),IF(AND($I147="NOVO",MONTH($O147)&gt;MONTH(AS$4)),AE147,IF(MONTH($O147)&gt;MONTH(AS$4),AE147,IF(MONTH($O147)=MONTH(AS$4),AE147*(1+Macroindicadores!B$7),AR147)))))))))</f>
        <v>3</v>
      </c>
      <c r="AT147" s="39">
        <f>IF(ISBLANK(R147),"",IF(ISBLANK($O147),AF147,IF($J147="ANUAL",AF147*(1+Macroindicadores!C$7),IF(AND($I147="NOVO",MONTH($O147)=MONTH(AT$4)),AF147*(1+Macroindicadores!C$7),IF(AND($J147="PONTUAL",MONTH($O147)=MONTH(AT$4)),AF147*(1+Macroindicadores!C$7),IF(AND($J147="PONTUAL",MONTH($O147)&lt;MONTH(AT$4)),MIN($AS147:AS147),IF(AND($I147="NOVO",MONTH($O147)&gt;MONTH(AT$4)),AF147,IF(MONTH($O147)&gt;MONTH(AT$4),AF147,IF(MONTH($O147)=MONTH(AT$4),AF147*(1+Macroindicadores!C$7),AS147)))))))))</f>
        <v>3</v>
      </c>
      <c r="AU147" s="39">
        <f>IF(ISBLANK(S147),"",IF(ISBLANK($O147),AG147,IF($J147="ANUAL",AG147*(1+Macroindicadores!D$7),IF(AND($I147="NOVO",MONTH($O147)=MONTH(AU$4)),AG147*(1+Macroindicadores!D$7),IF(AND($J147="PONTUAL",MONTH($O147)=MONTH(AU$4)),AG147*(1+Macroindicadores!D$7),IF(AND($J147="PONTUAL",MONTH($O147)&lt;MONTH(AU$4)),MIN($AS147:AT147),IF(AND($I147="NOVO",MONTH($O147)&gt;MONTH(AU$4)),AG147,IF(MONTH($O147)&gt;MONTH(AU$4),AG147,IF(MONTH($O147)=MONTH(AU$4),AG147*(1+Macroindicadores!D$7),AT147)))))))))</f>
        <v>3</v>
      </c>
      <c r="AV147" s="39">
        <f>IF(ISBLANK(T147),"",IF(ISBLANK($O147),AH147,IF($J147="ANUAL",AH147*(1+Macroindicadores!E$7),IF(AND($I147="NOVO",MONTH($O147)=MONTH(AV$4)),AH147*(1+Macroindicadores!E$7),IF(AND($J147="PONTUAL",MONTH($O147)=MONTH(AV$4)),AH147*(1+Macroindicadores!E$7),IF(AND($J147="PONTUAL",MONTH($O147)&lt;MONTH(AV$4)),MIN($AS147:AU147),IF(AND($I147="NOVO",MONTH($O147)&gt;MONTH(AV$4)),AH147,IF(MONTH($O147)&gt;MONTH(AV$4),AH147,IF(MONTH($O147)=MONTH(AV$4),AH147*(1+Macroindicadores!E$7),AU147)))))))))</f>
        <v>3</v>
      </c>
      <c r="AW147" s="39">
        <f>IF(ISBLANK(U147),"",IF(ISBLANK($O147),AI147,IF($J147="ANUAL",AI147*(1+Macroindicadores!F$7),IF(AND($I147="NOVO",MONTH($O147)=MONTH(AW$4)),AI147*(1+Macroindicadores!F$7),IF(AND($J147="PONTUAL",MONTH($O147)=MONTH(AW$4)),AI147*(1+Macroindicadores!F$7),IF(AND($J147="PONTUAL",MONTH($O147)&lt;MONTH(AW$4)),MIN($AS147:AV147),IF(AND($I147="NOVO",MONTH($O147)&gt;MONTH(AW$4)),AI147,IF(MONTH($O147)&gt;MONTH(AW$4),AI147,IF(MONTH($O147)=MONTH(AW$4),AI147*(1+Macroindicadores!F$7),AV147)))))))))</f>
        <v>3</v>
      </c>
      <c r="AX147" s="39">
        <f>IF(ISBLANK(V147),"",IF(ISBLANK($O147),AJ147,IF($J147="ANUAL",AJ147*(1+Macroindicadores!G$7),IF(AND($I147="NOVO",MONTH($O147)=MONTH(AX$4)),AJ147*(1+Macroindicadores!G$7),IF(AND($J147="PONTUAL",MONTH($O147)=MONTH(AX$4)),AJ147*(1+Macroindicadores!G$7),IF(AND($J147="PONTUAL",MONTH($O147)&lt;MONTH(AX$4)),MIN($AS147:AW147),IF(AND($I147="NOVO",MONTH($O147)&gt;MONTH(AX$4)),AJ147,IF(MONTH($O147)&gt;MONTH(AX$4),AJ147,IF(MONTH($O147)=MONTH(AX$4),AJ147*(1+Macroindicadores!G$7),AW147)))))))))</f>
        <v>3</v>
      </c>
      <c r="AY147" s="39">
        <f>IF(ISBLANK(W147),"",IF(ISBLANK($O147),AK147,IF($J147="ANUAL",AK147*(1+Macroindicadores!H$7),IF(AND($I147="NOVO",MONTH($O147)=MONTH(AY$4)),AK147*(1+Macroindicadores!H$7),IF(AND($J147="PONTUAL",MONTH($O147)=MONTH(AY$4)),AK147*(1+Macroindicadores!H$7),IF(AND($J147="PONTUAL",MONTH($O147)&lt;MONTH(AY$4)),MIN($AS147:AX147),IF(AND($I147="NOVO",MONTH($O147)&gt;MONTH(AY$4)),AK147,IF(MONTH($O147)&gt;MONTH(AY$4),AK147,IF(MONTH($O147)=MONTH(AY$4),AK147*(1+Macroindicadores!H$7),AX147)))))))))</f>
        <v>3</v>
      </c>
      <c r="AZ147" s="39">
        <f>IF(ISBLANK(X147),"",IF(ISBLANK($O147),AL147,IF($J147="ANUAL",AL147*(1+Macroindicadores!I$7),IF(AND($I147="NOVO",MONTH($O147)=MONTH(AZ$4)),AL147*(1+Macroindicadores!I$7),IF(AND($J147="PONTUAL",MONTH($O147)=MONTH(AZ$4)),AL147*(1+Macroindicadores!I$7),IF(AND($J147="PONTUAL",MONTH($O147)&lt;MONTH(AZ$4)),MIN($AS147:AY147),IF(AND($I147="NOVO",MONTH($O147)&gt;MONTH(AZ$4)),AL147,IF(MONTH($O147)&gt;MONTH(AZ$4),AL147,IF(MONTH($O147)=MONTH(AZ$4),AL147*(1+Macroindicadores!I$7),AY147)))))))))</f>
        <v>3</v>
      </c>
      <c r="BA147" s="39">
        <f>IF(ISBLANK(Y147),"",IF(ISBLANK($O147),AM147,IF($J147="ANUAL",AM147*(1+Macroindicadores!J$7),IF(AND($I147="NOVO",MONTH($O147)=MONTH(BA$4)),AM147*(1+Macroindicadores!J$7),IF(AND($J147="PONTUAL",MONTH($O147)=MONTH(BA$4)),AM147*(1+Macroindicadores!J$7),IF(AND($J147="PONTUAL",MONTH($O147)&lt;MONTH(BA$4)),MIN($AS147:AZ147),IF(AND($I147="NOVO",MONTH($O147)&gt;MONTH(BA$4)),AM147,IF(MONTH($O147)&gt;MONTH(BA$4),AM147,IF(MONTH($O147)=MONTH(BA$4),AM147*(1+Macroindicadores!J$7),AZ147)))))))))</f>
        <v>3</v>
      </c>
      <c r="BB147" s="39">
        <f>IF(ISBLANK(Z147),"",IF(ISBLANK($O147),AN147,IF($J147="ANUAL",AN147*(1+Macroindicadores!K$7),IF(AND($I147="NOVO",MONTH($O147)=MONTH(BB$4)),AN147*(1+Macroindicadores!K$7),IF(AND($J147="PONTUAL",MONTH($O147)=MONTH(BB$4)),AN147*(1+Macroindicadores!K$7),IF(AND($J147="PONTUAL",MONTH($O147)&lt;MONTH(BB$4)),MIN($AS147:BA147),IF(AND($I147="NOVO",MONTH($O147)&gt;MONTH(BB$4)),AN147,IF(MONTH($O147)&gt;MONTH(BB$4),AN147,IF(MONTH($O147)=MONTH(BB$4),AN147*(1+Macroindicadores!K$7),BA147)))))))))</f>
        <v>3</v>
      </c>
      <c r="BC147" s="39">
        <f>IF(ISBLANK(AA147),"",IF(ISBLANK($O147),AO147,IF($J147="ANUAL",AO147*(1+Macroindicadores!L$7),IF(AND($I147="NOVO",MONTH($O147)=MONTH(BC$4)),AO147*(1+Macroindicadores!L$7),IF(AND($J147="PONTUAL",MONTH($O147)=MONTH(BC$4)),AO147*(1+Macroindicadores!L$7),IF(AND($J147="PONTUAL",MONTH($O147)&lt;MONTH(BC$4)),MIN($AS147:BB147),IF(AND($I147="NOVO",MONTH($O147)&gt;MONTH(BC$4)),AO147,IF(MONTH($O147)&gt;MONTH(BC$4),AO147,IF(MONTH($O147)=MONTH(BC$4),AO147*(1+Macroindicadores!L$7),BB147)))))))))</f>
        <v>3</v>
      </c>
      <c r="BD147" s="39">
        <f>IF(ISBLANK(AB147),"",IF(ISBLANK($O147),AP147,IF($J147="ANUAL",AP147*(1+Macroindicadores!M$7),IF(AND($I147="NOVO",MONTH($O147)=MONTH(BD$4)),AP147*(1+Macroindicadores!M$7),IF(AND($J147="PONTUAL",MONTH($O147)=MONTH(BD$4)),AP147*(1+Macroindicadores!M$7),IF(AND($J147="PONTUAL",MONTH($O147)&lt;MONTH(BD$4)),MIN($AS147:BC147),IF(AND($I147="NOVO",MONTH($O147)&gt;MONTH(BD$4)),AP147,IF(MONTH($O147)&gt;MONTH(BD$4),AP147,IF(MONTH($O147)=MONTH(BD$4),AP147*(1+Macroindicadores!M$7),BC147)))))))))</f>
        <v>3</v>
      </c>
      <c r="BE147" s="40">
        <f t="shared" si="71"/>
        <v>36</v>
      </c>
      <c r="BG147" s="39">
        <f>IF(ISBLANK(Q147),"",AS147/Macroindicadores!B$2)</f>
        <v>0.51020408163265307</v>
      </c>
      <c r="BH147" s="39">
        <f>IF(ISBLANK(R147),"",AT147/Macroindicadores!C$2)</f>
        <v>0.51020408163265307</v>
      </c>
      <c r="BI147" s="39">
        <f>IF(ISBLANK(S147),"",AU147/Macroindicadores!D$2)</f>
        <v>0.51020408163265307</v>
      </c>
      <c r="BJ147" s="39">
        <f>IF(ISBLANK(T147),"",AV147/Macroindicadores!E$2)</f>
        <v>0.51020408163265307</v>
      </c>
      <c r="BK147" s="39">
        <f>IF(ISBLANK(U147),"",AW147/Macroindicadores!F$2)</f>
        <v>0.51020408163265307</v>
      </c>
      <c r="BL147" s="39">
        <f>IF(ISBLANK(V147),"",AX147/Macroindicadores!G$2)</f>
        <v>0.51020408163265307</v>
      </c>
      <c r="BM147" s="39">
        <f>IF(ISBLANK(W147),"",AY147/Macroindicadores!H$2)</f>
        <v>0.51020408163265307</v>
      </c>
      <c r="BN147" s="39">
        <f>IF(ISBLANK(X147),"",AZ147/Macroindicadores!I$2)</f>
        <v>0.51020408163265307</v>
      </c>
      <c r="BO147" s="39">
        <f>IF(ISBLANK(Y147),"",BA147/Macroindicadores!J$2)</f>
        <v>0.51020408163265307</v>
      </c>
      <c r="BP147" s="39">
        <f>IF(ISBLANK(Z147),"",BB147/Macroindicadores!K$2)</f>
        <v>0.51020408163265307</v>
      </c>
      <c r="BQ147" s="39">
        <f>IF(ISBLANK(AA147),"",BC147/Macroindicadores!L$2)</f>
        <v>0.51020408163265307</v>
      </c>
      <c r="BR147" s="39">
        <f>IF(ISBLANK(AB147),"",BD147/Macroindicadores!M$2)</f>
        <v>0.51020408163265307</v>
      </c>
      <c r="BS147" s="40">
        <f>IF(AND(ISBLANK($Q147),ISBLANK($R147),ISBLANK($S147),ISBLANK($T147),ISBLANK($U147),ISBLANK($V147),ISBLANK($W147),ISBLANK($X147),ISBLANK($Y147),ISBLANK($Z147),ISBLANK($AA147),ISBLANK($AB147)),"",SUM(BG147:BR147))</f>
        <v>6.1224489795918382</v>
      </c>
      <c r="BT147" s="25" t="str">
        <f>IF(ISBLANK($L147),"",_xlfn.XLOOKUP($L147,'CENTRO CUSTO'!$A:$A,'CENTRO CUSTO'!$E:$E,FALSE,0))</f>
        <v>Custo Fixo</v>
      </c>
    </row>
    <row r="148" spans="1:72">
      <c r="A148" s="9" t="str">
        <f t="shared" si="72"/>
        <v>Budget</v>
      </c>
      <c r="B148" s="9">
        <f t="shared" si="74"/>
        <v>2026</v>
      </c>
      <c r="C148" s="18" t="str">
        <f>IF(ISBLANK($L148),"",_xlfn.XLOOKUP($L148,'CENTRO CUSTO'!$A:$A,'CENTRO CUSTO'!F:F,FALSE,0))</f>
        <v>Martini Meat</v>
      </c>
      <c r="D148" s="111" t="str">
        <f>IF(ISBLANK($L148),"",_xlfn.XLOOKUP($L148,'CENTRO CUSTO'!$A:$A,'CENTRO CUSTO'!G:G,FALSE,0))</f>
        <v>Recife 2</v>
      </c>
      <c r="E148" s="18" t="str">
        <f>IF(ISBLANK($L148),"",_xlfn.XLOOKUP($L148,'CENTRO CUSTO'!$A:$A,'CENTRO CUSTO'!H:H,FALSE,0))</f>
        <v>Frigorífico</v>
      </c>
      <c r="F148" s="10" t="s">
        <v>171</v>
      </c>
      <c r="G148" s="10" t="s">
        <v>75</v>
      </c>
      <c r="H148" s="10" t="s">
        <v>172</v>
      </c>
      <c r="I148" s="11" t="s">
        <v>84</v>
      </c>
      <c r="J148" s="11" t="s">
        <v>78</v>
      </c>
      <c r="K148" s="11" t="s">
        <v>121</v>
      </c>
      <c r="L148" s="11" t="s">
        <v>31</v>
      </c>
      <c r="M148" s="18" t="str">
        <f>IF(ISBLANK($L148),"",_xlfn.XLOOKUP($L148,'CENTRO CUSTO'!$A:$A,'CENTRO CUSTO'!D:D,FALSE,0))</f>
        <v>Alexandre Ayabe</v>
      </c>
      <c r="N148" s="11" t="s">
        <v>106</v>
      </c>
      <c r="O148" s="12"/>
      <c r="P148" s="11" t="s">
        <v>81</v>
      </c>
      <c r="Q148" s="41">
        <v>3000</v>
      </c>
      <c r="R148" s="41">
        <v>3000</v>
      </c>
      <c r="S148" s="41">
        <v>3000</v>
      </c>
      <c r="T148" s="41">
        <v>3000</v>
      </c>
      <c r="U148" s="41">
        <v>3000</v>
      </c>
      <c r="V148" s="41">
        <v>3000</v>
      </c>
      <c r="W148" s="41">
        <v>3000</v>
      </c>
      <c r="X148" s="41">
        <v>3000</v>
      </c>
      <c r="Y148" s="41">
        <v>3000</v>
      </c>
      <c r="Z148" s="41">
        <v>3000</v>
      </c>
      <c r="AA148" s="41">
        <v>3000</v>
      </c>
      <c r="AB148" s="41">
        <v>3000</v>
      </c>
      <c r="AC148" s="116">
        <f t="shared" si="73"/>
        <v>36000</v>
      </c>
      <c r="AE148" s="39">
        <f>IF(ISBLANK(Q148),"",IF($P148="BRL",Q148,Q148*Macroindicadores!B$2)/1000)</f>
        <v>3</v>
      </c>
      <c r="AF148" s="39">
        <f>IF(ISBLANK(R148),"",IF($P148="BRL",R148,R148*Macroindicadores!C$2)/1000)</f>
        <v>3</v>
      </c>
      <c r="AG148" s="39">
        <f>IF(ISBLANK(S148),"",IF($P148="BRL",S148,S148*Macroindicadores!D$2)/1000)</f>
        <v>3</v>
      </c>
      <c r="AH148" s="39">
        <f>IF(ISBLANK(T148),"",IF($P148="BRL",T148,T148*Macroindicadores!E$2)/1000)</f>
        <v>3</v>
      </c>
      <c r="AI148" s="39">
        <f>IF(ISBLANK(U148),"",IF($P148="BRL",U148,U148*Macroindicadores!F$2)/1000)</f>
        <v>3</v>
      </c>
      <c r="AJ148" s="39">
        <f>IF(ISBLANK(V148),"",IF($P148="BRL",V148,V148*Macroindicadores!G$2)/1000)</f>
        <v>3</v>
      </c>
      <c r="AK148" s="39">
        <f>IF(ISBLANK(W148),"",IF($P148="BRL",W148,W148*Macroindicadores!H$2)/1000)</f>
        <v>3</v>
      </c>
      <c r="AL148" s="39">
        <f>IF(ISBLANK(X148),"",IF($P148="BRL",X148,X148*Macroindicadores!I$2)/1000)</f>
        <v>3</v>
      </c>
      <c r="AM148" s="39">
        <f>IF(ISBLANK(Y148),"",IF($P148="BRL",Y148,Y148*Macroindicadores!J$2)/1000)</f>
        <v>3</v>
      </c>
      <c r="AN148" s="39">
        <f>IF(ISBLANK(Z148),"",IF($P148="BRL",Z148,Z148*Macroindicadores!K$2)/1000)</f>
        <v>3</v>
      </c>
      <c r="AO148" s="39">
        <f>IF(ISBLANK(AA148),"",IF($P148="BRL",AA148,AA148*Macroindicadores!L$2)/1000)</f>
        <v>3</v>
      </c>
      <c r="AP148" s="39">
        <f>IF(ISBLANK(AB148),"",IF($P148="BRL",AB148,AB148*Macroindicadores!M$2)/1000)</f>
        <v>3</v>
      </c>
      <c r="AQ148" s="40">
        <f t="shared" si="70"/>
        <v>36</v>
      </c>
      <c r="AS148" s="39">
        <f>IF(ISBLANK(Q148),"",IF(ISBLANK($O148),AE148,IF($J148="ANUAL",AE148*(1+Macroindicadores!B$7),IF(AND($I148="NOVO",MONTH($O148)=MONTH(AS$4)),AE148*(1+Macroindicadores!B$7),IF(AND($J148="PONTUAL",MONTH($O148)=MONTH(AS$4)),AE148*(1+Macroindicadores!B$7),IF(AND($J148="PONTUAL",MONTH($O148)&lt;MONTH(AS$4)),MIN(AR148:$AS148),IF(AND($I148="NOVO",MONTH($O148)&gt;MONTH(AS$4)),AE148,IF(MONTH($O148)&gt;MONTH(AS$4),AE148,IF(MONTH($O148)=MONTH(AS$4),AE148*(1+Macroindicadores!B$7),AR148)))))))))</f>
        <v>3</v>
      </c>
      <c r="AT148" s="39">
        <f>IF(ISBLANK(R148),"",IF(ISBLANK($O148),AF148,IF($J148="ANUAL",AF148*(1+Macroindicadores!C$7),IF(AND($I148="NOVO",MONTH($O148)=MONTH(AT$4)),AF148*(1+Macroindicadores!C$7),IF(AND($J148="PONTUAL",MONTH($O148)=MONTH(AT$4)),AF148*(1+Macroindicadores!C$7),IF(AND($J148="PONTUAL",MONTH($O148)&lt;MONTH(AT$4)),MIN($AS148:AS148),IF(AND($I148="NOVO",MONTH($O148)&gt;MONTH(AT$4)),AF148,IF(MONTH($O148)&gt;MONTH(AT$4),AF148,IF(MONTH($O148)=MONTH(AT$4),AF148*(1+Macroindicadores!C$7),AS148)))))))))</f>
        <v>3</v>
      </c>
      <c r="AU148" s="39">
        <f>IF(ISBLANK(S148),"",IF(ISBLANK($O148),AG148,IF($J148="ANUAL",AG148*(1+Macroindicadores!D$7),IF(AND($I148="NOVO",MONTH($O148)=MONTH(AU$4)),AG148*(1+Macroindicadores!D$7),IF(AND($J148="PONTUAL",MONTH($O148)=MONTH(AU$4)),AG148*(1+Macroindicadores!D$7),IF(AND($J148="PONTUAL",MONTH($O148)&lt;MONTH(AU$4)),MIN($AS148:AT148),IF(AND($I148="NOVO",MONTH($O148)&gt;MONTH(AU$4)),AG148,IF(MONTH($O148)&gt;MONTH(AU$4),AG148,IF(MONTH($O148)=MONTH(AU$4),AG148*(1+Macroindicadores!D$7),AT148)))))))))</f>
        <v>3</v>
      </c>
      <c r="AV148" s="39">
        <f>IF(ISBLANK(T148),"",IF(ISBLANK($O148),AH148,IF($J148="ANUAL",AH148*(1+Macroindicadores!E$7),IF(AND($I148="NOVO",MONTH($O148)=MONTH(AV$4)),AH148*(1+Macroindicadores!E$7),IF(AND($J148="PONTUAL",MONTH($O148)=MONTH(AV$4)),AH148*(1+Macroindicadores!E$7),IF(AND($J148="PONTUAL",MONTH($O148)&lt;MONTH(AV$4)),MIN($AS148:AU148),IF(AND($I148="NOVO",MONTH($O148)&gt;MONTH(AV$4)),AH148,IF(MONTH($O148)&gt;MONTH(AV$4),AH148,IF(MONTH($O148)=MONTH(AV$4),AH148*(1+Macroindicadores!E$7),AU148)))))))))</f>
        <v>3</v>
      </c>
      <c r="AW148" s="39">
        <f>IF(ISBLANK(U148),"",IF(ISBLANK($O148),AI148,IF($J148="ANUAL",AI148*(1+Macroindicadores!F$7),IF(AND($I148="NOVO",MONTH($O148)=MONTH(AW$4)),AI148*(1+Macroindicadores!F$7),IF(AND($J148="PONTUAL",MONTH($O148)=MONTH(AW$4)),AI148*(1+Macroindicadores!F$7),IF(AND($J148="PONTUAL",MONTH($O148)&lt;MONTH(AW$4)),MIN($AS148:AV148),IF(AND($I148="NOVO",MONTH($O148)&gt;MONTH(AW$4)),AI148,IF(MONTH($O148)&gt;MONTH(AW$4),AI148,IF(MONTH($O148)=MONTH(AW$4),AI148*(1+Macroindicadores!F$7),AV148)))))))))</f>
        <v>3</v>
      </c>
      <c r="AX148" s="39">
        <f>IF(ISBLANK(V148),"",IF(ISBLANK($O148),AJ148,IF($J148="ANUAL",AJ148*(1+Macroindicadores!G$7),IF(AND($I148="NOVO",MONTH($O148)=MONTH(AX$4)),AJ148*(1+Macroindicadores!G$7),IF(AND($J148="PONTUAL",MONTH($O148)=MONTH(AX$4)),AJ148*(1+Macroindicadores!G$7),IF(AND($J148="PONTUAL",MONTH($O148)&lt;MONTH(AX$4)),MIN($AS148:AW148),IF(AND($I148="NOVO",MONTH($O148)&gt;MONTH(AX$4)),AJ148,IF(MONTH($O148)&gt;MONTH(AX$4),AJ148,IF(MONTH($O148)=MONTH(AX$4),AJ148*(1+Macroindicadores!G$7),AW148)))))))))</f>
        <v>3</v>
      </c>
      <c r="AY148" s="39">
        <f>IF(ISBLANK(W148),"",IF(ISBLANK($O148),AK148,IF($J148="ANUAL",AK148*(1+Macroindicadores!H$7),IF(AND($I148="NOVO",MONTH($O148)=MONTH(AY$4)),AK148*(1+Macroindicadores!H$7),IF(AND($J148="PONTUAL",MONTH($O148)=MONTH(AY$4)),AK148*(1+Macroindicadores!H$7),IF(AND($J148="PONTUAL",MONTH($O148)&lt;MONTH(AY$4)),MIN($AS148:AX148),IF(AND($I148="NOVO",MONTH($O148)&gt;MONTH(AY$4)),AK148,IF(MONTH($O148)&gt;MONTH(AY$4),AK148,IF(MONTH($O148)=MONTH(AY$4),AK148*(1+Macroindicadores!H$7),AX148)))))))))</f>
        <v>3</v>
      </c>
      <c r="AZ148" s="39">
        <f>IF(ISBLANK(X148),"",IF(ISBLANK($O148),AL148,IF($J148="ANUAL",AL148*(1+Macroindicadores!I$7),IF(AND($I148="NOVO",MONTH($O148)=MONTH(AZ$4)),AL148*(1+Macroindicadores!I$7),IF(AND($J148="PONTUAL",MONTH($O148)=MONTH(AZ$4)),AL148*(1+Macroindicadores!I$7),IF(AND($J148="PONTUAL",MONTH($O148)&lt;MONTH(AZ$4)),MIN($AS148:AY148),IF(AND($I148="NOVO",MONTH($O148)&gt;MONTH(AZ$4)),AL148,IF(MONTH($O148)&gt;MONTH(AZ$4),AL148,IF(MONTH($O148)=MONTH(AZ$4),AL148*(1+Macroindicadores!I$7),AY148)))))))))</f>
        <v>3</v>
      </c>
      <c r="BA148" s="39">
        <f>IF(ISBLANK(Y148),"",IF(ISBLANK($O148),AM148,IF($J148="ANUAL",AM148*(1+Macroindicadores!J$7),IF(AND($I148="NOVO",MONTH($O148)=MONTH(BA$4)),AM148*(1+Macroindicadores!J$7),IF(AND($J148="PONTUAL",MONTH($O148)=MONTH(BA$4)),AM148*(1+Macroindicadores!J$7),IF(AND($J148="PONTUAL",MONTH($O148)&lt;MONTH(BA$4)),MIN($AS148:AZ148),IF(AND($I148="NOVO",MONTH($O148)&gt;MONTH(BA$4)),AM148,IF(MONTH($O148)&gt;MONTH(BA$4),AM148,IF(MONTH($O148)=MONTH(BA$4),AM148*(1+Macroindicadores!J$7),AZ148)))))))))</f>
        <v>3</v>
      </c>
      <c r="BB148" s="39">
        <f>IF(ISBLANK(Z148),"",IF(ISBLANK($O148),AN148,IF($J148="ANUAL",AN148*(1+Macroindicadores!K$7),IF(AND($I148="NOVO",MONTH($O148)=MONTH(BB$4)),AN148*(1+Macroindicadores!K$7),IF(AND($J148="PONTUAL",MONTH($O148)=MONTH(BB$4)),AN148*(1+Macroindicadores!K$7),IF(AND($J148="PONTUAL",MONTH($O148)&lt;MONTH(BB$4)),MIN($AS148:BA148),IF(AND($I148="NOVO",MONTH($O148)&gt;MONTH(BB$4)),AN148,IF(MONTH($O148)&gt;MONTH(BB$4),AN148,IF(MONTH($O148)=MONTH(BB$4),AN148*(1+Macroindicadores!K$7),BA148)))))))))</f>
        <v>3</v>
      </c>
      <c r="BC148" s="39">
        <f>IF(ISBLANK(AA148),"",IF(ISBLANK($O148),AO148,IF($J148="ANUAL",AO148*(1+Macroindicadores!L$7),IF(AND($I148="NOVO",MONTH($O148)=MONTH(BC$4)),AO148*(1+Macroindicadores!L$7),IF(AND($J148="PONTUAL",MONTH($O148)=MONTH(BC$4)),AO148*(1+Macroindicadores!L$7),IF(AND($J148="PONTUAL",MONTH($O148)&lt;MONTH(BC$4)),MIN($AS148:BB148),IF(AND($I148="NOVO",MONTH($O148)&gt;MONTH(BC$4)),AO148,IF(MONTH($O148)&gt;MONTH(BC$4),AO148,IF(MONTH($O148)=MONTH(BC$4),AO148*(1+Macroindicadores!L$7),BB148)))))))))</f>
        <v>3</v>
      </c>
      <c r="BD148" s="39">
        <f>IF(ISBLANK(AB148),"",IF(ISBLANK($O148),AP148,IF($J148="ANUAL",AP148*(1+Macroindicadores!M$7),IF(AND($I148="NOVO",MONTH($O148)=MONTH(BD$4)),AP148*(1+Macroindicadores!M$7),IF(AND($J148="PONTUAL",MONTH($O148)=MONTH(BD$4)),AP148*(1+Macroindicadores!M$7),IF(AND($J148="PONTUAL",MONTH($O148)&lt;MONTH(BD$4)),MIN($AS148:BC148),IF(AND($I148="NOVO",MONTH($O148)&gt;MONTH(BD$4)),AP148,IF(MONTH($O148)&gt;MONTH(BD$4),AP148,IF(MONTH($O148)=MONTH(BD$4),AP148*(1+Macroindicadores!M$7),BC148)))))))))</f>
        <v>3</v>
      </c>
      <c r="BE148" s="40">
        <f t="shared" si="71"/>
        <v>36</v>
      </c>
      <c r="BG148" s="39">
        <f>IF(ISBLANK(Q148),"",AS148/Macroindicadores!B$2)</f>
        <v>0.51020408163265307</v>
      </c>
      <c r="BH148" s="39">
        <f>IF(ISBLANK(R148),"",AT148/Macroindicadores!C$2)</f>
        <v>0.51020408163265307</v>
      </c>
      <c r="BI148" s="39">
        <f>IF(ISBLANK(S148),"",AU148/Macroindicadores!D$2)</f>
        <v>0.51020408163265307</v>
      </c>
      <c r="BJ148" s="39">
        <f>IF(ISBLANK(T148),"",AV148/Macroindicadores!E$2)</f>
        <v>0.51020408163265307</v>
      </c>
      <c r="BK148" s="39">
        <f>IF(ISBLANK(U148),"",AW148/Macroindicadores!F$2)</f>
        <v>0.51020408163265307</v>
      </c>
      <c r="BL148" s="39">
        <f>IF(ISBLANK(V148),"",AX148/Macroindicadores!G$2)</f>
        <v>0.51020408163265307</v>
      </c>
      <c r="BM148" s="39">
        <f>IF(ISBLANK(W148),"",AY148/Macroindicadores!H$2)</f>
        <v>0.51020408163265307</v>
      </c>
      <c r="BN148" s="39">
        <f>IF(ISBLANK(X148),"",AZ148/Macroindicadores!I$2)</f>
        <v>0.51020408163265307</v>
      </c>
      <c r="BO148" s="39">
        <f>IF(ISBLANK(Y148),"",BA148/Macroindicadores!J$2)</f>
        <v>0.51020408163265307</v>
      </c>
      <c r="BP148" s="39">
        <f>IF(ISBLANK(Z148),"",BB148/Macroindicadores!K$2)</f>
        <v>0.51020408163265307</v>
      </c>
      <c r="BQ148" s="39">
        <f>IF(ISBLANK(AA148),"",BC148/Macroindicadores!L$2)</f>
        <v>0.51020408163265307</v>
      </c>
      <c r="BR148" s="39">
        <f>IF(ISBLANK(AB148),"",BD148/Macroindicadores!M$2)</f>
        <v>0.51020408163265307</v>
      </c>
      <c r="BS148" s="40">
        <f>IF(AND(ISBLANK($Q148),ISBLANK($R148),ISBLANK($S148),ISBLANK($T148),ISBLANK($U148),ISBLANK($V148),ISBLANK($W148),ISBLANK($X148),ISBLANK($Y148),ISBLANK($Z148),ISBLANK($AA148),ISBLANK($AB148)),"",SUM(BG148:BR148))</f>
        <v>6.1224489795918382</v>
      </c>
      <c r="BT148" s="25" t="str">
        <f>IF(ISBLANK($L148),"",_xlfn.XLOOKUP($L148,'CENTRO CUSTO'!$A:$A,'CENTRO CUSTO'!$E:$E,FALSE,0))</f>
        <v>Custo Fixo</v>
      </c>
    </row>
    <row r="149" spans="1:72">
      <c r="A149" s="9" t="str">
        <f t="shared" si="72"/>
        <v>Budget</v>
      </c>
      <c r="B149" s="9">
        <f t="shared" si="74"/>
        <v>2026</v>
      </c>
      <c r="C149" s="18" t="str">
        <f>IF(ISBLANK($L149),"",_xlfn.XLOOKUP($L149,'CENTRO CUSTO'!$A:$A,'CENTRO CUSTO'!F:F,FALSE,0))</f>
        <v>MRV</v>
      </c>
      <c r="D149" s="111" t="str">
        <f>IF(ISBLANK($L149),"",_xlfn.XLOOKUP($L149,'CENTRO CUSTO'!$A:$A,'CENTRO CUSTO'!G:G,FALSE,0))</f>
        <v>Velopark</v>
      </c>
      <c r="E149" s="18" t="str">
        <f>IF(ISBLANK($L149),"",_xlfn.XLOOKUP($L149,'CENTRO CUSTO'!$A:$A,'CENTRO CUSTO'!H:H,FALSE,0))</f>
        <v>Frigorífico</v>
      </c>
      <c r="F149" s="10" t="s">
        <v>171</v>
      </c>
      <c r="G149" s="10" t="s">
        <v>75</v>
      </c>
      <c r="H149" s="10" t="s">
        <v>172</v>
      </c>
      <c r="I149" s="11" t="s">
        <v>84</v>
      </c>
      <c r="J149" s="11" t="s">
        <v>78</v>
      </c>
      <c r="K149" s="11" t="s">
        <v>121</v>
      </c>
      <c r="L149" s="11" t="s">
        <v>43</v>
      </c>
      <c r="M149" s="18" t="str">
        <f>IF(ISBLANK($L149),"",_xlfn.XLOOKUP($L149,'CENTRO CUSTO'!$A:$A,'CENTRO CUSTO'!D:D,FALSE,0))</f>
        <v>Alexandre Ayabe</v>
      </c>
      <c r="N149" s="11" t="s">
        <v>106</v>
      </c>
      <c r="O149" s="12"/>
      <c r="P149" s="11" t="s">
        <v>81</v>
      </c>
      <c r="Q149" s="41">
        <v>3000</v>
      </c>
      <c r="R149" s="41">
        <v>3000</v>
      </c>
      <c r="S149" s="41">
        <v>3000</v>
      </c>
      <c r="T149" s="41">
        <v>3000</v>
      </c>
      <c r="U149" s="41">
        <v>3000</v>
      </c>
      <c r="V149" s="41">
        <v>3000</v>
      </c>
      <c r="W149" s="41">
        <v>3000</v>
      </c>
      <c r="X149" s="41">
        <v>3000</v>
      </c>
      <c r="Y149" s="41">
        <v>3000</v>
      </c>
      <c r="Z149" s="41">
        <v>3000</v>
      </c>
      <c r="AA149" s="41">
        <v>3000</v>
      </c>
      <c r="AB149" s="41">
        <v>3000</v>
      </c>
      <c r="AC149" s="116">
        <f t="shared" si="73"/>
        <v>36000</v>
      </c>
      <c r="AE149" s="39">
        <f>IF(ISBLANK(Q149),"",IF($P149="BRL",Q149,Q149*Macroindicadores!B$2)/1000)</f>
        <v>3</v>
      </c>
      <c r="AF149" s="39">
        <f>IF(ISBLANK(R149),"",IF($P149="BRL",R149,R149*Macroindicadores!C$2)/1000)</f>
        <v>3</v>
      </c>
      <c r="AG149" s="39">
        <f>IF(ISBLANK(S149),"",IF($P149="BRL",S149,S149*Macroindicadores!D$2)/1000)</f>
        <v>3</v>
      </c>
      <c r="AH149" s="39">
        <f>IF(ISBLANK(T149),"",IF($P149="BRL",T149,T149*Macroindicadores!E$2)/1000)</f>
        <v>3</v>
      </c>
      <c r="AI149" s="39">
        <f>IF(ISBLANK(U149),"",IF($P149="BRL",U149,U149*Macroindicadores!F$2)/1000)</f>
        <v>3</v>
      </c>
      <c r="AJ149" s="39">
        <f>IF(ISBLANK(V149),"",IF($P149="BRL",V149,V149*Macroindicadores!G$2)/1000)</f>
        <v>3</v>
      </c>
      <c r="AK149" s="39">
        <f>IF(ISBLANK(W149),"",IF($P149="BRL",W149,W149*Macroindicadores!H$2)/1000)</f>
        <v>3</v>
      </c>
      <c r="AL149" s="39">
        <f>IF(ISBLANK(X149),"",IF($P149="BRL",X149,X149*Macroindicadores!I$2)/1000)</f>
        <v>3</v>
      </c>
      <c r="AM149" s="39">
        <f>IF(ISBLANK(Y149),"",IF($P149="BRL",Y149,Y149*Macroindicadores!J$2)/1000)</f>
        <v>3</v>
      </c>
      <c r="AN149" s="39">
        <f>IF(ISBLANK(Z149),"",IF($P149="BRL",Z149,Z149*Macroindicadores!K$2)/1000)</f>
        <v>3</v>
      </c>
      <c r="AO149" s="39">
        <f>IF(ISBLANK(AA149),"",IF($P149="BRL",AA149,AA149*Macroindicadores!L$2)/1000)</f>
        <v>3</v>
      </c>
      <c r="AP149" s="39">
        <f>IF(ISBLANK(AB149),"",IF($P149="BRL",AB149,AB149*Macroindicadores!M$2)/1000)</f>
        <v>3</v>
      </c>
      <c r="AQ149" s="40">
        <f t="shared" si="70"/>
        <v>36</v>
      </c>
      <c r="AS149" s="39">
        <f>IF(ISBLANK(Q149),"",IF(ISBLANK($O149),AE149,IF($J149="ANUAL",AE149*(1+Macroindicadores!B$7),IF(AND($I149="NOVO",MONTH($O149)=MONTH(AS$4)),AE149*(1+Macroindicadores!B$7),IF(AND($J149="PONTUAL",MONTH($O149)=MONTH(AS$4)),AE149*(1+Macroindicadores!B$7),IF(AND($J149="PONTUAL",MONTH($O149)&lt;MONTH(AS$4)),MIN(AR149:$AS149),IF(AND($I149="NOVO",MONTH($O149)&gt;MONTH(AS$4)),AE149,IF(MONTH($O149)&gt;MONTH(AS$4),AE149,IF(MONTH($O149)=MONTH(AS$4),AE149*(1+Macroindicadores!B$7),AR149)))))))))</f>
        <v>3</v>
      </c>
      <c r="AT149" s="39">
        <f>IF(ISBLANK(R149),"",IF(ISBLANK($O149),AF149,IF($J149="ANUAL",AF149*(1+Macroindicadores!C$7),IF(AND($I149="NOVO",MONTH($O149)=MONTH(AT$4)),AF149*(1+Macroindicadores!C$7),IF(AND($J149="PONTUAL",MONTH($O149)=MONTH(AT$4)),AF149*(1+Macroindicadores!C$7),IF(AND($J149="PONTUAL",MONTH($O149)&lt;MONTH(AT$4)),MIN($AS149:AS149),IF(AND($I149="NOVO",MONTH($O149)&gt;MONTH(AT$4)),AF149,IF(MONTH($O149)&gt;MONTH(AT$4),AF149,IF(MONTH($O149)=MONTH(AT$4),AF149*(1+Macroindicadores!C$7),AS149)))))))))</f>
        <v>3</v>
      </c>
      <c r="AU149" s="39">
        <f>IF(ISBLANK(S149),"",IF(ISBLANK($O149),AG149,IF($J149="ANUAL",AG149*(1+Macroindicadores!D$7),IF(AND($I149="NOVO",MONTH($O149)=MONTH(AU$4)),AG149*(1+Macroindicadores!D$7),IF(AND($J149="PONTUAL",MONTH($O149)=MONTH(AU$4)),AG149*(1+Macroindicadores!D$7),IF(AND($J149="PONTUAL",MONTH($O149)&lt;MONTH(AU$4)),MIN($AS149:AT149),IF(AND($I149="NOVO",MONTH($O149)&gt;MONTH(AU$4)),AG149,IF(MONTH($O149)&gt;MONTH(AU$4),AG149,IF(MONTH($O149)=MONTH(AU$4),AG149*(1+Macroindicadores!D$7),AT149)))))))))</f>
        <v>3</v>
      </c>
      <c r="AV149" s="39">
        <f>IF(ISBLANK(T149),"",IF(ISBLANK($O149),AH149,IF($J149="ANUAL",AH149*(1+Macroindicadores!E$7),IF(AND($I149="NOVO",MONTH($O149)=MONTH(AV$4)),AH149*(1+Macroindicadores!E$7),IF(AND($J149="PONTUAL",MONTH($O149)=MONTH(AV$4)),AH149*(1+Macroindicadores!E$7),IF(AND($J149="PONTUAL",MONTH($O149)&lt;MONTH(AV$4)),MIN($AS149:AU149),IF(AND($I149="NOVO",MONTH($O149)&gt;MONTH(AV$4)),AH149,IF(MONTH($O149)&gt;MONTH(AV$4),AH149,IF(MONTH($O149)=MONTH(AV$4),AH149*(1+Macroindicadores!E$7),AU149)))))))))</f>
        <v>3</v>
      </c>
      <c r="AW149" s="39">
        <f>IF(ISBLANK(U149),"",IF(ISBLANK($O149),AI149,IF($J149="ANUAL",AI149*(1+Macroindicadores!F$7),IF(AND($I149="NOVO",MONTH($O149)=MONTH(AW$4)),AI149*(1+Macroindicadores!F$7),IF(AND($J149="PONTUAL",MONTH($O149)=MONTH(AW$4)),AI149*(1+Macroindicadores!F$7),IF(AND($J149="PONTUAL",MONTH($O149)&lt;MONTH(AW$4)),MIN($AS149:AV149),IF(AND($I149="NOVO",MONTH($O149)&gt;MONTH(AW$4)),AI149,IF(MONTH($O149)&gt;MONTH(AW$4),AI149,IF(MONTH($O149)=MONTH(AW$4),AI149*(1+Macroindicadores!F$7),AV149)))))))))</f>
        <v>3</v>
      </c>
      <c r="AX149" s="39">
        <f>IF(ISBLANK(V149),"",IF(ISBLANK($O149),AJ149,IF($J149="ANUAL",AJ149*(1+Macroindicadores!G$7),IF(AND($I149="NOVO",MONTH($O149)=MONTH(AX$4)),AJ149*(1+Macroindicadores!G$7),IF(AND($J149="PONTUAL",MONTH($O149)=MONTH(AX$4)),AJ149*(1+Macroindicadores!G$7),IF(AND($J149="PONTUAL",MONTH($O149)&lt;MONTH(AX$4)),MIN($AS149:AW149),IF(AND($I149="NOVO",MONTH($O149)&gt;MONTH(AX$4)),AJ149,IF(MONTH($O149)&gt;MONTH(AX$4),AJ149,IF(MONTH($O149)=MONTH(AX$4),AJ149*(1+Macroindicadores!G$7),AW149)))))))))</f>
        <v>3</v>
      </c>
      <c r="AY149" s="39">
        <f>IF(ISBLANK(W149),"",IF(ISBLANK($O149),AK149,IF($J149="ANUAL",AK149*(1+Macroindicadores!H$7),IF(AND($I149="NOVO",MONTH($O149)=MONTH(AY$4)),AK149*(1+Macroindicadores!H$7),IF(AND($J149="PONTUAL",MONTH($O149)=MONTH(AY$4)),AK149*(1+Macroindicadores!H$7),IF(AND($J149="PONTUAL",MONTH($O149)&lt;MONTH(AY$4)),MIN($AS149:AX149),IF(AND($I149="NOVO",MONTH($O149)&gt;MONTH(AY$4)),AK149,IF(MONTH($O149)&gt;MONTH(AY$4),AK149,IF(MONTH($O149)=MONTH(AY$4),AK149*(1+Macroindicadores!H$7),AX149)))))))))</f>
        <v>3</v>
      </c>
      <c r="AZ149" s="39">
        <f>IF(ISBLANK(X149),"",IF(ISBLANK($O149),AL149,IF($J149="ANUAL",AL149*(1+Macroindicadores!I$7),IF(AND($I149="NOVO",MONTH($O149)=MONTH(AZ$4)),AL149*(1+Macroindicadores!I$7),IF(AND($J149="PONTUAL",MONTH($O149)=MONTH(AZ$4)),AL149*(1+Macroindicadores!I$7),IF(AND($J149="PONTUAL",MONTH($O149)&lt;MONTH(AZ$4)),MIN($AS149:AY149),IF(AND($I149="NOVO",MONTH($O149)&gt;MONTH(AZ$4)),AL149,IF(MONTH($O149)&gt;MONTH(AZ$4),AL149,IF(MONTH($O149)=MONTH(AZ$4),AL149*(1+Macroindicadores!I$7),AY149)))))))))</f>
        <v>3</v>
      </c>
      <c r="BA149" s="39">
        <f>IF(ISBLANK(Y149),"",IF(ISBLANK($O149),AM149,IF($J149="ANUAL",AM149*(1+Macroindicadores!J$7),IF(AND($I149="NOVO",MONTH($O149)=MONTH(BA$4)),AM149*(1+Macroindicadores!J$7),IF(AND($J149="PONTUAL",MONTH($O149)=MONTH(BA$4)),AM149*(1+Macroindicadores!J$7),IF(AND($J149="PONTUAL",MONTH($O149)&lt;MONTH(BA$4)),MIN($AS149:AZ149),IF(AND($I149="NOVO",MONTH($O149)&gt;MONTH(BA$4)),AM149,IF(MONTH($O149)&gt;MONTH(BA$4),AM149,IF(MONTH($O149)=MONTH(BA$4),AM149*(1+Macroindicadores!J$7),AZ149)))))))))</f>
        <v>3</v>
      </c>
      <c r="BB149" s="39">
        <f>IF(ISBLANK(Z149),"",IF(ISBLANK($O149),AN149,IF($J149="ANUAL",AN149*(1+Macroindicadores!K$7),IF(AND($I149="NOVO",MONTH($O149)=MONTH(BB$4)),AN149*(1+Macroindicadores!K$7),IF(AND($J149="PONTUAL",MONTH($O149)=MONTH(BB$4)),AN149*(1+Macroindicadores!K$7),IF(AND($J149="PONTUAL",MONTH($O149)&lt;MONTH(BB$4)),MIN($AS149:BA149),IF(AND($I149="NOVO",MONTH($O149)&gt;MONTH(BB$4)),AN149,IF(MONTH($O149)&gt;MONTH(BB$4),AN149,IF(MONTH($O149)=MONTH(BB$4),AN149*(1+Macroindicadores!K$7),BA149)))))))))</f>
        <v>3</v>
      </c>
      <c r="BC149" s="39">
        <f>IF(ISBLANK(AA149),"",IF(ISBLANK($O149),AO149,IF($J149="ANUAL",AO149*(1+Macroindicadores!L$7),IF(AND($I149="NOVO",MONTH($O149)=MONTH(BC$4)),AO149*(1+Macroindicadores!L$7),IF(AND($J149="PONTUAL",MONTH($O149)=MONTH(BC$4)),AO149*(1+Macroindicadores!L$7),IF(AND($J149="PONTUAL",MONTH($O149)&lt;MONTH(BC$4)),MIN($AS149:BB149),IF(AND($I149="NOVO",MONTH($O149)&gt;MONTH(BC$4)),AO149,IF(MONTH($O149)&gt;MONTH(BC$4),AO149,IF(MONTH($O149)=MONTH(BC$4),AO149*(1+Macroindicadores!L$7),BB149)))))))))</f>
        <v>3</v>
      </c>
      <c r="BD149" s="39">
        <f>IF(ISBLANK(AB149),"",IF(ISBLANK($O149),AP149,IF($J149="ANUAL",AP149*(1+Macroindicadores!M$7),IF(AND($I149="NOVO",MONTH($O149)=MONTH(BD$4)),AP149*(1+Macroindicadores!M$7),IF(AND($J149="PONTUAL",MONTH($O149)=MONTH(BD$4)),AP149*(1+Macroindicadores!M$7),IF(AND($J149="PONTUAL",MONTH($O149)&lt;MONTH(BD$4)),MIN($AS149:BC149),IF(AND($I149="NOVO",MONTH($O149)&gt;MONTH(BD$4)),AP149,IF(MONTH($O149)&gt;MONTH(BD$4),AP149,IF(MONTH($O149)=MONTH(BD$4),AP149*(1+Macroindicadores!M$7),BC149)))))))))</f>
        <v>3</v>
      </c>
      <c r="BE149" s="40">
        <f t="shared" si="71"/>
        <v>36</v>
      </c>
      <c r="BG149" s="39">
        <f>IF(ISBLANK(Q149),"",AS149/Macroindicadores!B$2)</f>
        <v>0.51020408163265307</v>
      </c>
      <c r="BH149" s="39">
        <f>IF(ISBLANK(R149),"",AT149/Macroindicadores!C$2)</f>
        <v>0.51020408163265307</v>
      </c>
      <c r="BI149" s="39">
        <f>IF(ISBLANK(S149),"",AU149/Macroindicadores!D$2)</f>
        <v>0.51020408163265307</v>
      </c>
      <c r="BJ149" s="39">
        <f>IF(ISBLANK(T149),"",AV149/Macroindicadores!E$2)</f>
        <v>0.51020408163265307</v>
      </c>
      <c r="BK149" s="39">
        <f>IF(ISBLANK(U149),"",AW149/Macroindicadores!F$2)</f>
        <v>0.51020408163265307</v>
      </c>
      <c r="BL149" s="39">
        <f>IF(ISBLANK(V149),"",AX149/Macroindicadores!G$2)</f>
        <v>0.51020408163265307</v>
      </c>
      <c r="BM149" s="39">
        <f>IF(ISBLANK(W149),"",AY149/Macroindicadores!H$2)</f>
        <v>0.51020408163265307</v>
      </c>
      <c r="BN149" s="39">
        <f>IF(ISBLANK(X149),"",AZ149/Macroindicadores!I$2)</f>
        <v>0.51020408163265307</v>
      </c>
      <c r="BO149" s="39">
        <f>IF(ISBLANK(Y149),"",BA149/Macroindicadores!J$2)</f>
        <v>0.51020408163265307</v>
      </c>
      <c r="BP149" s="39">
        <f>IF(ISBLANK(Z149),"",BB149/Macroindicadores!K$2)</f>
        <v>0.51020408163265307</v>
      </c>
      <c r="BQ149" s="39">
        <f>IF(ISBLANK(AA149),"",BC149/Macroindicadores!L$2)</f>
        <v>0.51020408163265307</v>
      </c>
      <c r="BR149" s="39">
        <f>IF(ISBLANK(AB149),"",BD149/Macroindicadores!M$2)</f>
        <v>0.51020408163265307</v>
      </c>
      <c r="BS149" s="40">
        <f>IF(AND(ISBLANK($Q149),ISBLANK($R149),ISBLANK($S149),ISBLANK($T149),ISBLANK($U149),ISBLANK($V149),ISBLANK($W149),ISBLANK($X149),ISBLANK($Y149),ISBLANK($Z149),ISBLANK($AA149),ISBLANK($AB149)),"",SUM(BG149:BR149))</f>
        <v>6.1224489795918382</v>
      </c>
      <c r="BT149" s="25" t="str">
        <f>IF(ISBLANK($L149),"",_xlfn.XLOOKUP($L149,'CENTRO CUSTO'!$A:$A,'CENTRO CUSTO'!$E:$E,FALSE,0))</f>
        <v>Custo Fixo</v>
      </c>
    </row>
    <row r="150" spans="1:72">
      <c r="A150" s="9" t="str">
        <f t="shared" si="72"/>
        <v>Budget</v>
      </c>
      <c r="B150" s="9">
        <f t="shared" si="74"/>
        <v>2026</v>
      </c>
      <c r="C150" s="18" t="str">
        <f>IF(ISBLANK($L150),"",_xlfn.XLOOKUP($L150,'CENTRO CUSTO'!$A:$A,'CENTRO CUSTO'!F:F,FALSE,0))</f>
        <v>MRV</v>
      </c>
      <c r="D150" s="111" t="str">
        <f>IF(ISBLANK($L150),"",_xlfn.XLOOKUP($L150,'CENTRO CUSTO'!$A:$A,'CENTRO CUSTO'!G:G,FALSE,0))</f>
        <v>Passo Fundo</v>
      </c>
      <c r="E150" s="18" t="str">
        <f>IF(ISBLANK($L150),"",_xlfn.XLOOKUP($L150,'CENTRO CUSTO'!$A:$A,'CENTRO CUSTO'!H:H,FALSE,0))</f>
        <v>Frigorífico</v>
      </c>
      <c r="F150" s="10" t="s">
        <v>171</v>
      </c>
      <c r="G150" s="10" t="s">
        <v>75</v>
      </c>
      <c r="H150" s="10" t="s">
        <v>172</v>
      </c>
      <c r="I150" s="11" t="s">
        <v>84</v>
      </c>
      <c r="J150" s="11" t="s">
        <v>78</v>
      </c>
      <c r="K150" s="11" t="s">
        <v>121</v>
      </c>
      <c r="L150" s="11" t="s">
        <v>41</v>
      </c>
      <c r="M150" s="18" t="str">
        <f>IF(ISBLANK($L150),"",_xlfn.XLOOKUP($L150,'CENTRO CUSTO'!$A:$A,'CENTRO CUSTO'!D:D,FALSE,0))</f>
        <v>Alexandre Ayabe</v>
      </c>
      <c r="N150" s="11" t="s">
        <v>106</v>
      </c>
      <c r="O150" s="12"/>
      <c r="P150" s="11" t="s">
        <v>81</v>
      </c>
      <c r="Q150" s="41">
        <v>0</v>
      </c>
      <c r="R150" s="41">
        <v>0</v>
      </c>
      <c r="S150" s="41">
        <v>0</v>
      </c>
      <c r="T150" s="41">
        <v>0</v>
      </c>
      <c r="U150" s="41">
        <v>0</v>
      </c>
      <c r="V150" s="41">
        <v>0</v>
      </c>
      <c r="W150" s="41">
        <v>0</v>
      </c>
      <c r="X150" s="41">
        <v>0</v>
      </c>
      <c r="Y150" s="41">
        <v>0</v>
      </c>
      <c r="Z150" s="41">
        <v>0</v>
      </c>
      <c r="AA150" s="41">
        <v>0</v>
      </c>
      <c r="AB150" s="41">
        <v>0</v>
      </c>
      <c r="AC150" s="116">
        <f t="shared" si="73"/>
        <v>0</v>
      </c>
      <c r="AE150" s="39">
        <f>IF(ISBLANK(Q150),"",IF($P150="BRL",Q150,Q150*Macroindicadores!B$2)/1000)</f>
        <v>0</v>
      </c>
      <c r="AF150" s="39">
        <f>IF(ISBLANK(R150),"",IF($P150="BRL",R150,R150*Macroindicadores!C$2)/1000)</f>
        <v>0</v>
      </c>
      <c r="AG150" s="39">
        <f>IF(ISBLANK(S150),"",IF($P150="BRL",S150,S150*Macroindicadores!D$2)/1000)</f>
        <v>0</v>
      </c>
      <c r="AH150" s="39">
        <f>IF(ISBLANK(T150),"",IF($P150="BRL",T150,T150*Macroindicadores!E$2)/1000)</f>
        <v>0</v>
      </c>
      <c r="AI150" s="39">
        <f>IF(ISBLANK(U150),"",IF($P150="BRL",U150,U150*Macroindicadores!F$2)/1000)</f>
        <v>0</v>
      </c>
      <c r="AJ150" s="39">
        <f>IF(ISBLANK(V150),"",IF($P150="BRL",V150,V150*Macroindicadores!G$2)/1000)</f>
        <v>0</v>
      </c>
      <c r="AK150" s="39">
        <f>IF(ISBLANK(W150),"",IF($P150="BRL",W150,W150*Macroindicadores!H$2)/1000)</f>
        <v>0</v>
      </c>
      <c r="AL150" s="39">
        <f>IF(ISBLANK(X150),"",IF($P150="BRL",X150,X150*Macroindicadores!I$2)/1000)</f>
        <v>0</v>
      </c>
      <c r="AM150" s="39">
        <f>IF(ISBLANK(Y150),"",IF($P150="BRL",Y150,Y150*Macroindicadores!J$2)/1000)</f>
        <v>0</v>
      </c>
      <c r="AN150" s="39">
        <f>IF(ISBLANK(Z150),"",IF($P150="BRL",Z150,Z150*Macroindicadores!K$2)/1000)</f>
        <v>0</v>
      </c>
      <c r="AO150" s="39">
        <f>IF(ISBLANK(AA150),"",IF($P150="BRL",AA150,AA150*Macroindicadores!L$2)/1000)</f>
        <v>0</v>
      </c>
      <c r="AP150" s="39">
        <f>IF(ISBLANK(AB150),"",IF($P150="BRL",AB150,AB150*Macroindicadores!M$2)/1000)</f>
        <v>0</v>
      </c>
      <c r="AQ150" s="40">
        <f t="shared" si="70"/>
        <v>0</v>
      </c>
      <c r="AS150" s="39">
        <f>IF(ISBLANK(Q150),"",IF(ISBLANK($O150),AE150,IF($J150="ANUAL",AE150*(1+Macroindicadores!B$7),IF(AND($I150="NOVO",MONTH($O150)=MONTH(AS$4)),AE150*(1+Macroindicadores!B$7),IF(AND($J150="PONTUAL",MONTH($O150)=MONTH(AS$4)),AE150*(1+Macroindicadores!B$7),IF(AND($J150="PONTUAL",MONTH($O150)&lt;MONTH(AS$4)),MIN(AR150:$AS150),IF(AND($I150="NOVO",MONTH($O150)&gt;MONTH(AS$4)),AE150,IF(MONTH($O150)&gt;MONTH(AS$4),AE150,IF(MONTH($O150)=MONTH(AS$4),AE150*(1+Macroindicadores!B$7),AR150)))))))))</f>
        <v>0</v>
      </c>
      <c r="AT150" s="39">
        <f>IF(ISBLANK(R150),"",IF(ISBLANK($O150),AF150,IF($J150="ANUAL",AF150*(1+Macroindicadores!C$7),IF(AND($I150="NOVO",MONTH($O150)=MONTH(AT$4)),AF150*(1+Macroindicadores!C$7),IF(AND($J150="PONTUAL",MONTH($O150)=MONTH(AT$4)),AF150*(1+Macroindicadores!C$7),IF(AND($J150="PONTUAL",MONTH($O150)&lt;MONTH(AT$4)),MIN($AS150:AS150),IF(AND($I150="NOVO",MONTH($O150)&gt;MONTH(AT$4)),AF150,IF(MONTH($O150)&gt;MONTH(AT$4),AF150,IF(MONTH($O150)=MONTH(AT$4),AF150*(1+Macroindicadores!C$7),AS150)))))))))</f>
        <v>0</v>
      </c>
      <c r="AU150" s="39">
        <f>IF(ISBLANK(S150),"",IF(ISBLANK($O150),AG150,IF($J150="ANUAL",AG150*(1+Macroindicadores!D$7),IF(AND($I150="NOVO",MONTH($O150)=MONTH(AU$4)),AG150*(1+Macroindicadores!D$7),IF(AND($J150="PONTUAL",MONTH($O150)=MONTH(AU$4)),AG150*(1+Macroindicadores!D$7),IF(AND($J150="PONTUAL",MONTH($O150)&lt;MONTH(AU$4)),MIN($AS150:AT150),IF(AND($I150="NOVO",MONTH($O150)&gt;MONTH(AU$4)),AG150,IF(MONTH($O150)&gt;MONTH(AU$4),AG150,IF(MONTH($O150)=MONTH(AU$4),AG150*(1+Macroindicadores!D$7),AT150)))))))))</f>
        <v>0</v>
      </c>
      <c r="AV150" s="39">
        <f>IF(ISBLANK(T150),"",IF(ISBLANK($O150),AH150,IF($J150="ANUAL",AH150*(1+Macroindicadores!E$7),IF(AND($I150="NOVO",MONTH($O150)=MONTH(AV$4)),AH150*(1+Macroindicadores!E$7),IF(AND($J150="PONTUAL",MONTH($O150)=MONTH(AV$4)),AH150*(1+Macroindicadores!E$7),IF(AND($J150="PONTUAL",MONTH($O150)&lt;MONTH(AV$4)),MIN($AS150:AU150),IF(AND($I150="NOVO",MONTH($O150)&gt;MONTH(AV$4)),AH150,IF(MONTH($O150)&gt;MONTH(AV$4),AH150,IF(MONTH($O150)=MONTH(AV$4),AH150*(1+Macroindicadores!E$7),AU150)))))))))</f>
        <v>0</v>
      </c>
      <c r="AW150" s="39">
        <f>IF(ISBLANK(U150),"",IF(ISBLANK($O150),AI150,IF($J150="ANUAL",AI150*(1+Macroindicadores!F$7),IF(AND($I150="NOVO",MONTH($O150)=MONTH(AW$4)),AI150*(1+Macroindicadores!F$7),IF(AND($J150="PONTUAL",MONTH($O150)=MONTH(AW$4)),AI150*(1+Macroindicadores!F$7),IF(AND($J150="PONTUAL",MONTH($O150)&lt;MONTH(AW$4)),MIN($AS150:AV150),IF(AND($I150="NOVO",MONTH($O150)&gt;MONTH(AW$4)),AI150,IF(MONTH($O150)&gt;MONTH(AW$4),AI150,IF(MONTH($O150)=MONTH(AW$4),AI150*(1+Macroindicadores!F$7),AV150)))))))))</f>
        <v>0</v>
      </c>
      <c r="AX150" s="39">
        <f>IF(ISBLANK(V150),"",IF(ISBLANK($O150),AJ150,IF($J150="ANUAL",AJ150*(1+Macroindicadores!G$7),IF(AND($I150="NOVO",MONTH($O150)=MONTH(AX$4)),AJ150*(1+Macroindicadores!G$7),IF(AND($J150="PONTUAL",MONTH($O150)=MONTH(AX$4)),AJ150*(1+Macroindicadores!G$7),IF(AND($J150="PONTUAL",MONTH($O150)&lt;MONTH(AX$4)),MIN($AS150:AW150),IF(AND($I150="NOVO",MONTH($O150)&gt;MONTH(AX$4)),AJ150,IF(MONTH($O150)&gt;MONTH(AX$4),AJ150,IF(MONTH($O150)=MONTH(AX$4),AJ150*(1+Macroindicadores!G$7),AW150)))))))))</f>
        <v>0</v>
      </c>
      <c r="AY150" s="39">
        <f>IF(ISBLANK(W150),"",IF(ISBLANK($O150),AK150,IF($J150="ANUAL",AK150*(1+Macroindicadores!H$7),IF(AND($I150="NOVO",MONTH($O150)=MONTH(AY$4)),AK150*(1+Macroindicadores!H$7),IF(AND($J150="PONTUAL",MONTH($O150)=MONTH(AY$4)),AK150*(1+Macroindicadores!H$7),IF(AND($J150="PONTUAL",MONTH($O150)&lt;MONTH(AY$4)),MIN($AS150:AX150),IF(AND($I150="NOVO",MONTH($O150)&gt;MONTH(AY$4)),AK150,IF(MONTH($O150)&gt;MONTH(AY$4),AK150,IF(MONTH($O150)=MONTH(AY$4),AK150*(1+Macroindicadores!H$7),AX150)))))))))</f>
        <v>0</v>
      </c>
      <c r="AZ150" s="39">
        <f>IF(ISBLANK(X150),"",IF(ISBLANK($O150),AL150,IF($J150="ANUAL",AL150*(1+Macroindicadores!I$7),IF(AND($I150="NOVO",MONTH($O150)=MONTH(AZ$4)),AL150*(1+Macroindicadores!I$7),IF(AND($J150="PONTUAL",MONTH($O150)=MONTH(AZ$4)),AL150*(1+Macroindicadores!I$7),IF(AND($J150="PONTUAL",MONTH($O150)&lt;MONTH(AZ$4)),MIN($AS150:AY150),IF(AND($I150="NOVO",MONTH($O150)&gt;MONTH(AZ$4)),AL150,IF(MONTH($O150)&gt;MONTH(AZ$4),AL150,IF(MONTH($O150)=MONTH(AZ$4),AL150*(1+Macroindicadores!I$7),AY150)))))))))</f>
        <v>0</v>
      </c>
      <c r="BA150" s="39">
        <f>IF(ISBLANK(Y150),"",IF(ISBLANK($O150),AM150,IF($J150="ANUAL",AM150*(1+Macroindicadores!J$7),IF(AND($I150="NOVO",MONTH($O150)=MONTH(BA$4)),AM150*(1+Macroindicadores!J$7),IF(AND($J150="PONTUAL",MONTH($O150)=MONTH(BA$4)),AM150*(1+Macroindicadores!J$7),IF(AND($J150="PONTUAL",MONTH($O150)&lt;MONTH(BA$4)),MIN($AS150:AZ150),IF(AND($I150="NOVO",MONTH($O150)&gt;MONTH(BA$4)),AM150,IF(MONTH($O150)&gt;MONTH(BA$4),AM150,IF(MONTH($O150)=MONTH(BA$4),AM150*(1+Macroindicadores!J$7),AZ150)))))))))</f>
        <v>0</v>
      </c>
      <c r="BB150" s="39">
        <f>IF(ISBLANK(Z150),"",IF(ISBLANK($O150),AN150,IF($J150="ANUAL",AN150*(1+Macroindicadores!K$7),IF(AND($I150="NOVO",MONTH($O150)=MONTH(BB$4)),AN150*(1+Macroindicadores!K$7),IF(AND($J150="PONTUAL",MONTH($O150)=MONTH(BB$4)),AN150*(1+Macroindicadores!K$7),IF(AND($J150="PONTUAL",MONTH($O150)&lt;MONTH(BB$4)),MIN($AS150:BA150),IF(AND($I150="NOVO",MONTH($O150)&gt;MONTH(BB$4)),AN150,IF(MONTH($O150)&gt;MONTH(BB$4),AN150,IF(MONTH($O150)=MONTH(BB$4),AN150*(1+Macroindicadores!K$7),BA150)))))))))</f>
        <v>0</v>
      </c>
      <c r="BC150" s="39">
        <f>IF(ISBLANK(AA150),"",IF(ISBLANK($O150),AO150,IF($J150="ANUAL",AO150*(1+Macroindicadores!L$7),IF(AND($I150="NOVO",MONTH($O150)=MONTH(BC$4)),AO150*(1+Macroindicadores!L$7),IF(AND($J150="PONTUAL",MONTH($O150)=MONTH(BC$4)),AO150*(1+Macroindicadores!L$7),IF(AND($J150="PONTUAL",MONTH($O150)&lt;MONTH(BC$4)),MIN($AS150:BB150),IF(AND($I150="NOVO",MONTH($O150)&gt;MONTH(BC$4)),AO150,IF(MONTH($O150)&gt;MONTH(BC$4),AO150,IF(MONTH($O150)=MONTH(BC$4),AO150*(1+Macroindicadores!L$7),BB150)))))))))</f>
        <v>0</v>
      </c>
      <c r="BD150" s="39">
        <f>IF(ISBLANK(AB150),"",IF(ISBLANK($O150),AP150,IF($J150="ANUAL",AP150*(1+Macroindicadores!M$7),IF(AND($I150="NOVO",MONTH($O150)=MONTH(BD$4)),AP150*(1+Macroindicadores!M$7),IF(AND($J150="PONTUAL",MONTH($O150)=MONTH(BD$4)),AP150*(1+Macroindicadores!M$7),IF(AND($J150="PONTUAL",MONTH($O150)&lt;MONTH(BD$4)),MIN($AS150:BC150),IF(AND($I150="NOVO",MONTH($O150)&gt;MONTH(BD$4)),AP150,IF(MONTH($O150)&gt;MONTH(BD$4),AP150,IF(MONTH($O150)=MONTH(BD$4),AP150*(1+Macroindicadores!M$7),BC150)))))))))</f>
        <v>0</v>
      </c>
      <c r="BE150" s="40">
        <f t="shared" si="71"/>
        <v>0</v>
      </c>
      <c r="BG150" s="39">
        <f>IF(ISBLANK(Q150),"",AS150/Macroindicadores!B$2)</f>
        <v>0</v>
      </c>
      <c r="BH150" s="39">
        <f>IF(ISBLANK(R150),"",AT150/Macroindicadores!C$2)</f>
        <v>0</v>
      </c>
      <c r="BI150" s="39">
        <f>IF(ISBLANK(S150),"",AU150/Macroindicadores!D$2)</f>
        <v>0</v>
      </c>
      <c r="BJ150" s="39">
        <f>IF(ISBLANK(T150),"",AV150/Macroindicadores!E$2)</f>
        <v>0</v>
      </c>
      <c r="BK150" s="39">
        <f>IF(ISBLANK(U150),"",AW150/Macroindicadores!F$2)</f>
        <v>0</v>
      </c>
      <c r="BL150" s="39">
        <f>IF(ISBLANK(V150),"",AX150/Macroindicadores!G$2)</f>
        <v>0</v>
      </c>
      <c r="BM150" s="39">
        <f>IF(ISBLANK(W150),"",AY150/Macroindicadores!H$2)</f>
        <v>0</v>
      </c>
      <c r="BN150" s="39">
        <f>IF(ISBLANK(X150),"",AZ150/Macroindicadores!I$2)</f>
        <v>0</v>
      </c>
      <c r="BO150" s="39">
        <f>IF(ISBLANK(Y150),"",BA150/Macroindicadores!J$2)</f>
        <v>0</v>
      </c>
      <c r="BP150" s="39">
        <f>IF(ISBLANK(Z150),"",BB150/Macroindicadores!K$2)</f>
        <v>0</v>
      </c>
      <c r="BQ150" s="39">
        <f>IF(ISBLANK(AA150),"",BC150/Macroindicadores!L$2)</f>
        <v>0</v>
      </c>
      <c r="BR150" s="39">
        <f>IF(ISBLANK(AB150),"",BD150/Macroindicadores!M$2)</f>
        <v>0</v>
      </c>
      <c r="BS150" s="40">
        <f>IF(AND(ISBLANK($Q150),ISBLANK($R150),ISBLANK($S150),ISBLANK($T150),ISBLANK($U150),ISBLANK($V150),ISBLANK($W150),ISBLANK($X150),ISBLANK($Y150),ISBLANK($Z150),ISBLANK($AA150),ISBLANK($AB150)),"",SUM(BG150:BR150))</f>
        <v>0</v>
      </c>
      <c r="BT150" s="25" t="str">
        <f>IF(ISBLANK($L150),"",_xlfn.XLOOKUP($L150,'CENTRO CUSTO'!$A:$A,'CENTRO CUSTO'!$E:$E,FALSE,0))</f>
        <v>Custo Fixo</v>
      </c>
    </row>
    <row r="151" spans="1:72">
      <c r="A151" s="9" t="str">
        <f t="shared" si="72"/>
        <v>Budget</v>
      </c>
      <c r="B151" s="9">
        <f t="shared" si="74"/>
        <v>2026</v>
      </c>
      <c r="C151" s="18" t="str">
        <f>IF(ISBLANK($L151),"",_xlfn.XLOOKUP($L151,'CENTRO CUSTO'!$A:$A,'CENTRO CUSTO'!F:F,FALSE,0))</f>
        <v>SKM</v>
      </c>
      <c r="D151" s="111" t="str">
        <f>IF(ISBLANK($L151),"",_xlfn.XLOOKUP($L151,'CENTRO CUSTO'!$A:$A,'CENTRO CUSTO'!G:G,FALSE,0))</f>
        <v>G100B</v>
      </c>
      <c r="E151" s="18" t="str">
        <f>IF(ISBLANK($L151),"",_xlfn.XLOOKUP($L151,'CENTRO CUSTO'!$A:$A,'CENTRO CUSTO'!H:H,FALSE,0))</f>
        <v>Frigorífico</v>
      </c>
      <c r="F151" s="10" t="s">
        <v>171</v>
      </c>
      <c r="G151" s="10" t="s">
        <v>75</v>
      </c>
      <c r="H151" s="10" t="s">
        <v>172</v>
      </c>
      <c r="I151" s="11" t="s">
        <v>84</v>
      </c>
      <c r="J151" s="11" t="s">
        <v>78</v>
      </c>
      <c r="K151" s="11" t="s">
        <v>121</v>
      </c>
      <c r="L151" s="11" t="s">
        <v>48</v>
      </c>
      <c r="M151" s="18" t="str">
        <f>IF(ISBLANK($L151),"",_xlfn.XLOOKUP($L151,'CENTRO CUSTO'!$A:$A,'CENTRO CUSTO'!D:D,FALSE,0))</f>
        <v>Alexandre Ayabe</v>
      </c>
      <c r="N151" s="11" t="s">
        <v>106</v>
      </c>
      <c r="O151" s="12"/>
      <c r="P151" s="11" t="s">
        <v>81</v>
      </c>
      <c r="Q151" s="41">
        <v>3000</v>
      </c>
      <c r="R151" s="41">
        <v>3000</v>
      </c>
      <c r="S151" s="41">
        <v>3000</v>
      </c>
      <c r="T151" s="41">
        <v>3000</v>
      </c>
      <c r="U151" s="41">
        <v>3000</v>
      </c>
      <c r="V151" s="41">
        <v>3000</v>
      </c>
      <c r="W151" s="41">
        <v>3000</v>
      </c>
      <c r="X151" s="41">
        <v>3000</v>
      </c>
      <c r="Y151" s="41">
        <v>3000</v>
      </c>
      <c r="Z151" s="41">
        <v>3000</v>
      </c>
      <c r="AA151" s="41">
        <v>3000</v>
      </c>
      <c r="AB151" s="41">
        <v>3000</v>
      </c>
      <c r="AC151" s="116">
        <f t="shared" si="73"/>
        <v>36000</v>
      </c>
      <c r="AE151" s="39">
        <f>IF(ISBLANK(Q151),"",IF($P151="BRL",Q151,Q151*Macroindicadores!B$2)/1000)</f>
        <v>3</v>
      </c>
      <c r="AF151" s="39">
        <f>IF(ISBLANK(R151),"",IF($P151="BRL",R151,R151*Macroindicadores!C$2)/1000)</f>
        <v>3</v>
      </c>
      <c r="AG151" s="39">
        <f>IF(ISBLANK(S151),"",IF($P151="BRL",S151,S151*Macroindicadores!D$2)/1000)</f>
        <v>3</v>
      </c>
      <c r="AH151" s="39">
        <f>IF(ISBLANK(T151),"",IF($P151="BRL",T151,T151*Macroindicadores!E$2)/1000)</f>
        <v>3</v>
      </c>
      <c r="AI151" s="39">
        <f>IF(ISBLANK(U151),"",IF($P151="BRL",U151,U151*Macroindicadores!F$2)/1000)</f>
        <v>3</v>
      </c>
      <c r="AJ151" s="39">
        <f>IF(ISBLANK(V151),"",IF($P151="BRL",V151,V151*Macroindicadores!G$2)/1000)</f>
        <v>3</v>
      </c>
      <c r="AK151" s="39">
        <f>IF(ISBLANK(W151),"",IF($P151="BRL",W151,W151*Macroindicadores!H$2)/1000)</f>
        <v>3</v>
      </c>
      <c r="AL151" s="39">
        <f>IF(ISBLANK(X151),"",IF($P151="BRL",X151,X151*Macroindicadores!I$2)/1000)</f>
        <v>3</v>
      </c>
      <c r="AM151" s="39">
        <f>IF(ISBLANK(Y151),"",IF($P151="BRL",Y151,Y151*Macroindicadores!J$2)/1000)</f>
        <v>3</v>
      </c>
      <c r="AN151" s="39">
        <f>IF(ISBLANK(Z151),"",IF($P151="BRL",Z151,Z151*Macroindicadores!K$2)/1000)</f>
        <v>3</v>
      </c>
      <c r="AO151" s="39">
        <f>IF(ISBLANK(AA151),"",IF($P151="BRL",AA151,AA151*Macroindicadores!L$2)/1000)</f>
        <v>3</v>
      </c>
      <c r="AP151" s="39">
        <f>IF(ISBLANK(AB151),"",IF($P151="BRL",AB151,AB151*Macroindicadores!M$2)/1000)</f>
        <v>3</v>
      </c>
      <c r="AQ151" s="40">
        <f t="shared" si="70"/>
        <v>36</v>
      </c>
      <c r="AS151" s="39">
        <f>IF(ISBLANK(Q151),"",IF(ISBLANK($O151),AE151,IF($J151="ANUAL",AE151*(1+Macroindicadores!B$7),IF(AND($I151="NOVO",MONTH($O151)=MONTH(AS$4)),AE151*(1+Macroindicadores!B$7),IF(AND($J151="PONTUAL",MONTH($O151)=MONTH(AS$4)),AE151*(1+Macroindicadores!B$7),IF(AND($J151="PONTUAL",MONTH($O151)&lt;MONTH(AS$4)),MIN(AR151:$AS151),IF(AND($I151="NOVO",MONTH($O151)&gt;MONTH(AS$4)),AE151,IF(MONTH($O151)&gt;MONTH(AS$4),AE151,IF(MONTH($O151)=MONTH(AS$4),AE151*(1+Macroindicadores!B$7),AR151)))))))))</f>
        <v>3</v>
      </c>
      <c r="AT151" s="39">
        <f>IF(ISBLANK(R151),"",IF(ISBLANK($O151),AF151,IF($J151="ANUAL",AF151*(1+Macroindicadores!C$7),IF(AND($I151="NOVO",MONTH($O151)=MONTH(AT$4)),AF151*(1+Macroindicadores!C$7),IF(AND($J151="PONTUAL",MONTH($O151)=MONTH(AT$4)),AF151*(1+Macroindicadores!C$7),IF(AND($J151="PONTUAL",MONTH($O151)&lt;MONTH(AT$4)),MIN($AS151:AS151),IF(AND($I151="NOVO",MONTH($O151)&gt;MONTH(AT$4)),AF151,IF(MONTH($O151)&gt;MONTH(AT$4),AF151,IF(MONTH($O151)=MONTH(AT$4),AF151*(1+Macroindicadores!C$7),AS151)))))))))</f>
        <v>3</v>
      </c>
      <c r="AU151" s="39">
        <f>IF(ISBLANK(S151),"",IF(ISBLANK($O151),AG151,IF($J151="ANUAL",AG151*(1+Macroindicadores!D$7),IF(AND($I151="NOVO",MONTH($O151)=MONTH(AU$4)),AG151*(1+Macroindicadores!D$7),IF(AND($J151="PONTUAL",MONTH($O151)=MONTH(AU$4)),AG151*(1+Macroindicadores!D$7),IF(AND($J151="PONTUAL",MONTH($O151)&lt;MONTH(AU$4)),MIN($AS151:AT151),IF(AND($I151="NOVO",MONTH($O151)&gt;MONTH(AU$4)),AG151,IF(MONTH($O151)&gt;MONTH(AU$4),AG151,IF(MONTH($O151)=MONTH(AU$4),AG151*(1+Macroindicadores!D$7),AT151)))))))))</f>
        <v>3</v>
      </c>
      <c r="AV151" s="39">
        <f>IF(ISBLANK(T151),"",IF(ISBLANK($O151),AH151,IF($J151="ANUAL",AH151*(1+Macroindicadores!E$7),IF(AND($I151="NOVO",MONTH($O151)=MONTH(AV$4)),AH151*(1+Macroindicadores!E$7),IF(AND($J151="PONTUAL",MONTH($O151)=MONTH(AV$4)),AH151*(1+Macroindicadores!E$7),IF(AND($J151="PONTUAL",MONTH($O151)&lt;MONTH(AV$4)),MIN($AS151:AU151),IF(AND($I151="NOVO",MONTH($O151)&gt;MONTH(AV$4)),AH151,IF(MONTH($O151)&gt;MONTH(AV$4),AH151,IF(MONTH($O151)=MONTH(AV$4),AH151*(1+Macroindicadores!E$7),AU151)))))))))</f>
        <v>3</v>
      </c>
      <c r="AW151" s="39">
        <f>IF(ISBLANK(U151),"",IF(ISBLANK($O151),AI151,IF($J151="ANUAL",AI151*(1+Macroindicadores!F$7),IF(AND($I151="NOVO",MONTH($O151)=MONTH(AW$4)),AI151*(1+Macroindicadores!F$7),IF(AND($J151="PONTUAL",MONTH($O151)=MONTH(AW$4)),AI151*(1+Macroindicadores!F$7),IF(AND($J151="PONTUAL",MONTH($O151)&lt;MONTH(AW$4)),MIN($AS151:AV151),IF(AND($I151="NOVO",MONTH($O151)&gt;MONTH(AW$4)),AI151,IF(MONTH($O151)&gt;MONTH(AW$4),AI151,IF(MONTH($O151)=MONTH(AW$4),AI151*(1+Macroindicadores!F$7),AV151)))))))))</f>
        <v>3</v>
      </c>
      <c r="AX151" s="39">
        <f>IF(ISBLANK(V151),"",IF(ISBLANK($O151),AJ151,IF($J151="ANUAL",AJ151*(1+Macroindicadores!G$7),IF(AND($I151="NOVO",MONTH($O151)=MONTH(AX$4)),AJ151*(1+Macroindicadores!G$7),IF(AND($J151="PONTUAL",MONTH($O151)=MONTH(AX$4)),AJ151*(1+Macroindicadores!G$7),IF(AND($J151="PONTUAL",MONTH($O151)&lt;MONTH(AX$4)),MIN($AS151:AW151),IF(AND($I151="NOVO",MONTH($O151)&gt;MONTH(AX$4)),AJ151,IF(MONTH($O151)&gt;MONTH(AX$4),AJ151,IF(MONTH($O151)=MONTH(AX$4),AJ151*(1+Macroindicadores!G$7),AW151)))))))))</f>
        <v>3</v>
      </c>
      <c r="AY151" s="39">
        <f>IF(ISBLANK(W151),"",IF(ISBLANK($O151),AK151,IF($J151="ANUAL",AK151*(1+Macroindicadores!H$7),IF(AND($I151="NOVO",MONTH($O151)=MONTH(AY$4)),AK151*(1+Macroindicadores!H$7),IF(AND($J151="PONTUAL",MONTH($O151)=MONTH(AY$4)),AK151*(1+Macroindicadores!H$7),IF(AND($J151="PONTUAL",MONTH($O151)&lt;MONTH(AY$4)),MIN($AS151:AX151),IF(AND($I151="NOVO",MONTH($O151)&gt;MONTH(AY$4)),AK151,IF(MONTH($O151)&gt;MONTH(AY$4),AK151,IF(MONTH($O151)=MONTH(AY$4),AK151*(1+Macroindicadores!H$7),AX151)))))))))</f>
        <v>3</v>
      </c>
      <c r="AZ151" s="39">
        <f>IF(ISBLANK(X151),"",IF(ISBLANK($O151),AL151,IF($J151="ANUAL",AL151*(1+Macroindicadores!I$7),IF(AND($I151="NOVO",MONTH($O151)=MONTH(AZ$4)),AL151*(1+Macroindicadores!I$7),IF(AND($J151="PONTUAL",MONTH($O151)=MONTH(AZ$4)),AL151*(1+Macroindicadores!I$7),IF(AND($J151="PONTUAL",MONTH($O151)&lt;MONTH(AZ$4)),MIN($AS151:AY151),IF(AND($I151="NOVO",MONTH($O151)&gt;MONTH(AZ$4)),AL151,IF(MONTH($O151)&gt;MONTH(AZ$4),AL151,IF(MONTH($O151)=MONTH(AZ$4),AL151*(1+Macroindicadores!I$7),AY151)))))))))</f>
        <v>3</v>
      </c>
      <c r="BA151" s="39">
        <f>IF(ISBLANK(Y151),"",IF(ISBLANK($O151),AM151,IF($J151="ANUAL",AM151*(1+Macroindicadores!J$7),IF(AND($I151="NOVO",MONTH($O151)=MONTH(BA$4)),AM151*(1+Macroindicadores!J$7),IF(AND($J151="PONTUAL",MONTH($O151)=MONTH(BA$4)),AM151*(1+Macroindicadores!J$7),IF(AND($J151="PONTUAL",MONTH($O151)&lt;MONTH(BA$4)),MIN($AS151:AZ151),IF(AND($I151="NOVO",MONTH($O151)&gt;MONTH(BA$4)),AM151,IF(MONTH($O151)&gt;MONTH(BA$4),AM151,IF(MONTH($O151)=MONTH(BA$4),AM151*(1+Macroindicadores!J$7),AZ151)))))))))</f>
        <v>3</v>
      </c>
      <c r="BB151" s="39">
        <f>IF(ISBLANK(Z151),"",IF(ISBLANK($O151),AN151,IF($J151="ANUAL",AN151*(1+Macroindicadores!K$7),IF(AND($I151="NOVO",MONTH($O151)=MONTH(BB$4)),AN151*(1+Macroindicadores!K$7),IF(AND($J151="PONTUAL",MONTH($O151)=MONTH(BB$4)),AN151*(1+Macroindicadores!K$7),IF(AND($J151="PONTUAL",MONTH($O151)&lt;MONTH(BB$4)),MIN($AS151:BA151),IF(AND($I151="NOVO",MONTH($O151)&gt;MONTH(BB$4)),AN151,IF(MONTH($O151)&gt;MONTH(BB$4),AN151,IF(MONTH($O151)=MONTH(BB$4),AN151*(1+Macroindicadores!K$7),BA151)))))))))</f>
        <v>3</v>
      </c>
      <c r="BC151" s="39">
        <f>IF(ISBLANK(AA151),"",IF(ISBLANK($O151),AO151,IF($J151="ANUAL",AO151*(1+Macroindicadores!L$7),IF(AND($I151="NOVO",MONTH($O151)=MONTH(BC$4)),AO151*(1+Macroindicadores!L$7),IF(AND($J151="PONTUAL",MONTH($O151)=MONTH(BC$4)),AO151*(1+Macroindicadores!L$7),IF(AND($J151="PONTUAL",MONTH($O151)&lt;MONTH(BC$4)),MIN($AS151:BB151),IF(AND($I151="NOVO",MONTH($O151)&gt;MONTH(BC$4)),AO151,IF(MONTH($O151)&gt;MONTH(BC$4),AO151,IF(MONTH($O151)=MONTH(BC$4),AO151*(1+Macroindicadores!L$7),BB151)))))))))</f>
        <v>3</v>
      </c>
      <c r="BD151" s="39">
        <f>IF(ISBLANK(AB151),"",IF(ISBLANK($O151),AP151,IF($J151="ANUAL",AP151*(1+Macroindicadores!M$7),IF(AND($I151="NOVO",MONTH($O151)=MONTH(BD$4)),AP151*(1+Macroindicadores!M$7),IF(AND($J151="PONTUAL",MONTH($O151)=MONTH(BD$4)),AP151*(1+Macroindicadores!M$7),IF(AND($J151="PONTUAL",MONTH($O151)&lt;MONTH(BD$4)),MIN($AS151:BC151),IF(AND($I151="NOVO",MONTH($O151)&gt;MONTH(BD$4)),AP151,IF(MONTH($O151)&gt;MONTH(BD$4),AP151,IF(MONTH($O151)=MONTH(BD$4),AP151*(1+Macroindicadores!M$7),BC151)))))))))</f>
        <v>3</v>
      </c>
      <c r="BE151" s="40">
        <f t="shared" si="71"/>
        <v>36</v>
      </c>
      <c r="BG151" s="39">
        <f>IF(ISBLANK(Q151),"",AS151/Macroindicadores!B$2)</f>
        <v>0.51020408163265307</v>
      </c>
      <c r="BH151" s="39">
        <f>IF(ISBLANK(R151),"",AT151/Macroindicadores!C$2)</f>
        <v>0.51020408163265307</v>
      </c>
      <c r="BI151" s="39">
        <f>IF(ISBLANK(S151),"",AU151/Macroindicadores!D$2)</f>
        <v>0.51020408163265307</v>
      </c>
      <c r="BJ151" s="39">
        <f>IF(ISBLANK(T151),"",AV151/Macroindicadores!E$2)</f>
        <v>0.51020408163265307</v>
      </c>
      <c r="BK151" s="39">
        <f>IF(ISBLANK(U151),"",AW151/Macroindicadores!F$2)</f>
        <v>0.51020408163265307</v>
      </c>
      <c r="BL151" s="39">
        <f>IF(ISBLANK(V151),"",AX151/Macroindicadores!G$2)</f>
        <v>0.51020408163265307</v>
      </c>
      <c r="BM151" s="39">
        <f>IF(ISBLANK(W151),"",AY151/Macroindicadores!H$2)</f>
        <v>0.51020408163265307</v>
      </c>
      <c r="BN151" s="39">
        <f>IF(ISBLANK(X151),"",AZ151/Macroindicadores!I$2)</f>
        <v>0.51020408163265307</v>
      </c>
      <c r="BO151" s="39">
        <f>IF(ISBLANK(Y151),"",BA151/Macroindicadores!J$2)</f>
        <v>0.51020408163265307</v>
      </c>
      <c r="BP151" s="39">
        <f>IF(ISBLANK(Z151),"",BB151/Macroindicadores!K$2)</f>
        <v>0.51020408163265307</v>
      </c>
      <c r="BQ151" s="39">
        <f>IF(ISBLANK(AA151),"",BC151/Macroindicadores!L$2)</f>
        <v>0.51020408163265307</v>
      </c>
      <c r="BR151" s="39">
        <f>IF(ISBLANK(AB151),"",BD151/Macroindicadores!M$2)</f>
        <v>0.51020408163265307</v>
      </c>
      <c r="BS151" s="40">
        <f>IF(AND(ISBLANK($Q151),ISBLANK($R151),ISBLANK($S151),ISBLANK($T151),ISBLANK($U151),ISBLANK($V151),ISBLANK($W151),ISBLANK($X151),ISBLANK($Y151),ISBLANK($Z151),ISBLANK($AA151),ISBLANK($AB151)),"",SUM(BG151:BR151))</f>
        <v>6.1224489795918382</v>
      </c>
      <c r="BT151" s="25" t="str">
        <f>IF(ISBLANK($L151),"",_xlfn.XLOOKUP($L151,'CENTRO CUSTO'!$A:$A,'CENTRO CUSTO'!$E:$E,FALSE,0))</f>
        <v>Custo Fixo</v>
      </c>
    </row>
    <row r="152" spans="1:72">
      <c r="A152" s="9" t="str">
        <f t="shared" si="72"/>
        <v>Budget</v>
      </c>
      <c r="B152" s="9">
        <f t="shared" si="74"/>
        <v>2026</v>
      </c>
      <c r="C152" s="18" t="str">
        <f>IF(ISBLANK($L152),"",_xlfn.XLOOKUP($L152,'CENTRO CUSTO'!$A:$A,'CENTRO CUSTO'!F:F,FALSE,0))</f>
        <v>Martini Meat</v>
      </c>
      <c r="D152" s="111" t="str">
        <f>IF(ISBLANK($L152),"",_xlfn.XLOOKUP($L152,'CENTRO CUSTO'!$A:$A,'CENTRO CUSTO'!G:G,FALSE,0))</f>
        <v>Paranaguá</v>
      </c>
      <c r="E152" s="18" t="str">
        <f>IF(ISBLANK($L152),"",_xlfn.XLOOKUP($L152,'CENTRO CUSTO'!$A:$A,'CENTRO CUSTO'!H:H,FALSE,0))</f>
        <v>Frigorífico</v>
      </c>
      <c r="F152" s="10" t="s">
        <v>173</v>
      </c>
      <c r="G152" s="10" t="s">
        <v>123</v>
      </c>
      <c r="H152" s="10" t="s">
        <v>174</v>
      </c>
      <c r="I152" s="11" t="s">
        <v>77</v>
      </c>
      <c r="J152" s="11" t="s">
        <v>78</v>
      </c>
      <c r="K152" s="11" t="s">
        <v>79</v>
      </c>
      <c r="L152" s="11" t="s">
        <v>15</v>
      </c>
      <c r="M152" s="18" t="str">
        <f>IF(ISBLANK($L152),"",_xlfn.XLOOKUP($L152,'CENTRO CUSTO'!$A:$A,'CENTRO CUSTO'!D:D,FALSE,0))</f>
        <v>Alexandre Ayabe</v>
      </c>
      <c r="N152" s="11" t="s">
        <v>175</v>
      </c>
      <c r="O152" s="12"/>
      <c r="P152" s="11" t="s">
        <v>81</v>
      </c>
      <c r="Q152" s="41">
        <v>18000</v>
      </c>
      <c r="R152" s="41">
        <v>18000</v>
      </c>
      <c r="S152" s="41">
        <v>18000</v>
      </c>
      <c r="T152" s="41">
        <v>18000</v>
      </c>
      <c r="U152" s="41">
        <v>18000</v>
      </c>
      <c r="V152" s="41">
        <v>18000</v>
      </c>
      <c r="W152" s="41">
        <v>18000</v>
      </c>
      <c r="X152" s="41">
        <v>18000</v>
      </c>
      <c r="Y152" s="41">
        <v>18000</v>
      </c>
      <c r="Z152" s="41">
        <v>18000</v>
      </c>
      <c r="AA152" s="41">
        <v>18000</v>
      </c>
      <c r="AB152" s="41">
        <v>18000</v>
      </c>
      <c r="AC152" s="116">
        <f t="shared" si="73"/>
        <v>216000</v>
      </c>
      <c r="AE152" s="39">
        <f>IF(ISBLANK(Q152),"",IF($P152="BRL",Q152,Q152*Macroindicadores!B$2)/1000)</f>
        <v>18</v>
      </c>
      <c r="AF152" s="39">
        <f>IF(ISBLANK(R152),"",IF($P152="BRL",R152,R152*Macroindicadores!C$2)/1000)</f>
        <v>18</v>
      </c>
      <c r="AG152" s="39">
        <f>IF(ISBLANK(S152),"",IF($P152="BRL",S152,S152*Macroindicadores!D$2)/1000)</f>
        <v>18</v>
      </c>
      <c r="AH152" s="39">
        <f>IF(ISBLANK(T152),"",IF($P152="BRL",T152,T152*Macroindicadores!E$2)/1000)</f>
        <v>18</v>
      </c>
      <c r="AI152" s="39">
        <f>IF(ISBLANK(U152),"",IF($P152="BRL",U152,U152*Macroindicadores!F$2)/1000)</f>
        <v>18</v>
      </c>
      <c r="AJ152" s="39">
        <f>IF(ISBLANK(V152),"",IF($P152="BRL",V152,V152*Macroindicadores!G$2)/1000)</f>
        <v>18</v>
      </c>
      <c r="AK152" s="39">
        <f>IF(ISBLANK(W152),"",IF($P152="BRL",W152,W152*Macroindicadores!H$2)/1000)</f>
        <v>18</v>
      </c>
      <c r="AL152" s="39">
        <f>IF(ISBLANK(X152),"",IF($P152="BRL",X152,X152*Macroindicadores!I$2)/1000)</f>
        <v>18</v>
      </c>
      <c r="AM152" s="39">
        <f>IF(ISBLANK(Y152),"",IF($P152="BRL",Y152,Y152*Macroindicadores!J$2)/1000)</f>
        <v>18</v>
      </c>
      <c r="AN152" s="39">
        <f>IF(ISBLANK(Z152),"",IF($P152="BRL",Z152,Z152*Macroindicadores!K$2)/1000)</f>
        <v>18</v>
      </c>
      <c r="AO152" s="39">
        <f>IF(ISBLANK(AA152),"",IF($P152="BRL",AA152,AA152*Macroindicadores!L$2)/1000)</f>
        <v>18</v>
      </c>
      <c r="AP152" s="39">
        <f>IF(ISBLANK(AB152),"",IF($P152="BRL",AB152,AB152*Macroindicadores!M$2)/1000)</f>
        <v>18</v>
      </c>
      <c r="AQ152" s="40">
        <f t="shared" si="70"/>
        <v>216</v>
      </c>
      <c r="AS152" s="39">
        <f>IF(ISBLANK(Q152),"",IF(ISBLANK($O152),AE152,IF($J152="ANUAL",AE152*(1+Macroindicadores!B$7),IF(AND($I152="NOVO",MONTH($O152)=MONTH(AS$4)),AE152*(1+Macroindicadores!B$7),IF(AND($J152="PONTUAL",MONTH($O152)=MONTH(AS$4)),AE152*(1+Macroindicadores!B$7),IF(AND($J152="PONTUAL",MONTH($O152)&lt;MONTH(AS$4)),MIN(AR152:$AS152),IF(AND($I152="NOVO",MONTH($O152)&gt;MONTH(AS$4)),AE152,IF(MONTH($O152)&gt;MONTH(AS$4),AE152,IF(MONTH($O152)=MONTH(AS$4),AE152*(1+Macroindicadores!B$7),AR152)))))))))</f>
        <v>18</v>
      </c>
      <c r="AT152" s="39">
        <f>IF(ISBLANK(R152),"",IF(ISBLANK($O152),AF152,IF($J152="ANUAL",AF152*(1+Macroindicadores!C$7),IF(AND($I152="NOVO",MONTH($O152)=MONTH(AT$4)),AF152*(1+Macroindicadores!C$7),IF(AND($J152="PONTUAL",MONTH($O152)=MONTH(AT$4)),AF152*(1+Macroindicadores!C$7),IF(AND($J152="PONTUAL",MONTH($O152)&lt;MONTH(AT$4)),MIN($AS152:AS152),IF(AND($I152="NOVO",MONTH($O152)&gt;MONTH(AT$4)),AF152,IF(MONTH($O152)&gt;MONTH(AT$4),AF152,IF(MONTH($O152)=MONTH(AT$4),AF152*(1+Macroindicadores!C$7),AS152)))))))))</f>
        <v>18</v>
      </c>
      <c r="AU152" s="39">
        <f>IF(ISBLANK(S152),"",IF(ISBLANK($O152),AG152,IF($J152="ANUAL",AG152*(1+Macroindicadores!D$7),IF(AND($I152="NOVO",MONTH($O152)=MONTH(AU$4)),AG152*(1+Macroindicadores!D$7),IF(AND($J152="PONTUAL",MONTH($O152)=MONTH(AU$4)),AG152*(1+Macroindicadores!D$7),IF(AND($J152="PONTUAL",MONTH($O152)&lt;MONTH(AU$4)),MIN($AS152:AT152),IF(AND($I152="NOVO",MONTH($O152)&gt;MONTH(AU$4)),AG152,IF(MONTH($O152)&gt;MONTH(AU$4),AG152,IF(MONTH($O152)=MONTH(AU$4),AG152*(1+Macroindicadores!D$7),AT152)))))))))</f>
        <v>18</v>
      </c>
      <c r="AV152" s="39">
        <f>IF(ISBLANK(T152),"",IF(ISBLANK($O152),AH152,IF($J152="ANUAL",AH152*(1+Macroindicadores!E$7),IF(AND($I152="NOVO",MONTH($O152)=MONTH(AV$4)),AH152*(1+Macroindicadores!E$7),IF(AND($J152="PONTUAL",MONTH($O152)=MONTH(AV$4)),AH152*(1+Macroindicadores!E$7),IF(AND($J152="PONTUAL",MONTH($O152)&lt;MONTH(AV$4)),MIN($AS152:AU152),IF(AND($I152="NOVO",MONTH($O152)&gt;MONTH(AV$4)),AH152,IF(MONTH($O152)&gt;MONTH(AV$4),AH152,IF(MONTH($O152)=MONTH(AV$4),AH152*(1+Macroindicadores!E$7),AU152)))))))))</f>
        <v>18</v>
      </c>
      <c r="AW152" s="39">
        <f>IF(ISBLANK(U152),"",IF(ISBLANK($O152),AI152,IF($J152="ANUAL",AI152*(1+Macroindicadores!F$7),IF(AND($I152="NOVO",MONTH($O152)=MONTH(AW$4)),AI152*(1+Macroindicadores!F$7),IF(AND($J152="PONTUAL",MONTH($O152)=MONTH(AW$4)),AI152*(1+Macroindicadores!F$7),IF(AND($J152="PONTUAL",MONTH($O152)&lt;MONTH(AW$4)),MIN($AS152:AV152),IF(AND($I152="NOVO",MONTH($O152)&gt;MONTH(AW$4)),AI152,IF(MONTH($O152)&gt;MONTH(AW$4),AI152,IF(MONTH($O152)=MONTH(AW$4),AI152*(1+Macroindicadores!F$7),AV152)))))))))</f>
        <v>18</v>
      </c>
      <c r="AX152" s="39">
        <f>IF(ISBLANK(V152),"",IF(ISBLANK($O152),AJ152,IF($J152="ANUAL",AJ152*(1+Macroindicadores!G$7),IF(AND($I152="NOVO",MONTH($O152)=MONTH(AX$4)),AJ152*(1+Macroindicadores!G$7),IF(AND($J152="PONTUAL",MONTH($O152)=MONTH(AX$4)),AJ152*(1+Macroindicadores!G$7),IF(AND($J152="PONTUAL",MONTH($O152)&lt;MONTH(AX$4)),MIN($AS152:AW152),IF(AND($I152="NOVO",MONTH($O152)&gt;MONTH(AX$4)),AJ152,IF(MONTH($O152)&gt;MONTH(AX$4),AJ152,IF(MONTH($O152)=MONTH(AX$4),AJ152*(1+Macroindicadores!G$7),AW152)))))))))</f>
        <v>18</v>
      </c>
      <c r="AY152" s="39">
        <f>IF(ISBLANK(W152),"",IF(ISBLANK($O152),AK152,IF($J152="ANUAL",AK152*(1+Macroindicadores!H$7),IF(AND($I152="NOVO",MONTH($O152)=MONTH(AY$4)),AK152*(1+Macroindicadores!H$7),IF(AND($J152="PONTUAL",MONTH($O152)=MONTH(AY$4)),AK152*(1+Macroindicadores!H$7),IF(AND($J152="PONTUAL",MONTH($O152)&lt;MONTH(AY$4)),MIN($AS152:AX152),IF(AND($I152="NOVO",MONTH($O152)&gt;MONTH(AY$4)),AK152,IF(MONTH($O152)&gt;MONTH(AY$4),AK152,IF(MONTH($O152)=MONTH(AY$4),AK152*(1+Macroindicadores!H$7),AX152)))))))))</f>
        <v>18</v>
      </c>
      <c r="AZ152" s="39">
        <f>IF(ISBLANK(X152),"",IF(ISBLANK($O152),AL152,IF($J152="ANUAL",AL152*(1+Macroindicadores!I$7),IF(AND($I152="NOVO",MONTH($O152)=MONTH(AZ$4)),AL152*(1+Macroindicadores!I$7),IF(AND($J152="PONTUAL",MONTH($O152)=MONTH(AZ$4)),AL152*(1+Macroindicadores!I$7),IF(AND($J152="PONTUAL",MONTH($O152)&lt;MONTH(AZ$4)),MIN($AS152:AY152),IF(AND($I152="NOVO",MONTH($O152)&gt;MONTH(AZ$4)),AL152,IF(MONTH($O152)&gt;MONTH(AZ$4),AL152,IF(MONTH($O152)=MONTH(AZ$4),AL152*(1+Macroindicadores!I$7),AY152)))))))))</f>
        <v>18</v>
      </c>
      <c r="BA152" s="39">
        <f>IF(ISBLANK(Y152),"",IF(ISBLANK($O152),AM152,IF($J152="ANUAL",AM152*(1+Macroindicadores!J$7),IF(AND($I152="NOVO",MONTH($O152)=MONTH(BA$4)),AM152*(1+Macroindicadores!J$7),IF(AND($J152="PONTUAL",MONTH($O152)=MONTH(BA$4)),AM152*(1+Macroindicadores!J$7),IF(AND($J152="PONTUAL",MONTH($O152)&lt;MONTH(BA$4)),MIN($AS152:AZ152),IF(AND($I152="NOVO",MONTH($O152)&gt;MONTH(BA$4)),AM152,IF(MONTH($O152)&gt;MONTH(BA$4),AM152,IF(MONTH($O152)=MONTH(BA$4),AM152*(1+Macroindicadores!J$7),AZ152)))))))))</f>
        <v>18</v>
      </c>
      <c r="BB152" s="39">
        <f>IF(ISBLANK(Z152),"",IF(ISBLANK($O152),AN152,IF($J152="ANUAL",AN152*(1+Macroindicadores!K$7),IF(AND($I152="NOVO",MONTH($O152)=MONTH(BB$4)),AN152*(1+Macroindicadores!K$7),IF(AND($J152="PONTUAL",MONTH($O152)=MONTH(BB$4)),AN152*(1+Macroindicadores!K$7),IF(AND($J152="PONTUAL",MONTH($O152)&lt;MONTH(BB$4)),MIN($AS152:BA152),IF(AND($I152="NOVO",MONTH($O152)&gt;MONTH(BB$4)),AN152,IF(MONTH($O152)&gt;MONTH(BB$4),AN152,IF(MONTH($O152)=MONTH(BB$4),AN152*(1+Macroindicadores!K$7),BA152)))))))))</f>
        <v>18</v>
      </c>
      <c r="BC152" s="39">
        <f>IF(ISBLANK(AA152),"",IF(ISBLANK($O152),AO152,IF($J152="ANUAL",AO152*(1+Macroindicadores!L$7),IF(AND($I152="NOVO",MONTH($O152)=MONTH(BC$4)),AO152*(1+Macroindicadores!L$7),IF(AND($J152="PONTUAL",MONTH($O152)=MONTH(BC$4)),AO152*(1+Macroindicadores!L$7),IF(AND($J152="PONTUAL",MONTH($O152)&lt;MONTH(BC$4)),MIN($AS152:BB152),IF(AND($I152="NOVO",MONTH($O152)&gt;MONTH(BC$4)),AO152,IF(MONTH($O152)&gt;MONTH(BC$4),AO152,IF(MONTH($O152)=MONTH(BC$4),AO152*(1+Macroindicadores!L$7),BB152)))))))))</f>
        <v>18</v>
      </c>
      <c r="BD152" s="39">
        <f>IF(ISBLANK(AB152),"",IF(ISBLANK($O152),AP152,IF($J152="ANUAL",AP152*(1+Macroindicadores!M$7),IF(AND($I152="NOVO",MONTH($O152)=MONTH(BD$4)),AP152*(1+Macroindicadores!M$7),IF(AND($J152="PONTUAL",MONTH($O152)=MONTH(BD$4)),AP152*(1+Macroindicadores!M$7),IF(AND($J152="PONTUAL",MONTH($O152)&lt;MONTH(BD$4)),MIN($AS152:BC152),IF(AND($I152="NOVO",MONTH($O152)&gt;MONTH(BD$4)),AP152,IF(MONTH($O152)&gt;MONTH(BD$4),AP152,IF(MONTH($O152)=MONTH(BD$4),AP152*(1+Macroindicadores!M$7),BC152)))))))))</f>
        <v>18</v>
      </c>
      <c r="BE152" s="40">
        <f t="shared" si="71"/>
        <v>216</v>
      </c>
      <c r="BG152" s="39">
        <f>IF(ISBLANK(Q152),"",AS152/Macroindicadores!B$2)</f>
        <v>3.0612244897959182</v>
      </c>
      <c r="BH152" s="39">
        <f>IF(ISBLANK(R152),"",AT152/Macroindicadores!C$2)</f>
        <v>3.0612244897959182</v>
      </c>
      <c r="BI152" s="39">
        <f>IF(ISBLANK(S152),"",AU152/Macroindicadores!D$2)</f>
        <v>3.0612244897959182</v>
      </c>
      <c r="BJ152" s="39">
        <f>IF(ISBLANK(T152),"",AV152/Macroindicadores!E$2)</f>
        <v>3.0612244897959182</v>
      </c>
      <c r="BK152" s="39">
        <f>IF(ISBLANK(U152),"",AW152/Macroindicadores!F$2)</f>
        <v>3.0612244897959182</v>
      </c>
      <c r="BL152" s="39">
        <f>IF(ISBLANK(V152),"",AX152/Macroindicadores!G$2)</f>
        <v>3.0612244897959182</v>
      </c>
      <c r="BM152" s="39">
        <f>IF(ISBLANK(W152),"",AY152/Macroindicadores!H$2)</f>
        <v>3.0612244897959182</v>
      </c>
      <c r="BN152" s="39">
        <f>IF(ISBLANK(X152),"",AZ152/Macroindicadores!I$2)</f>
        <v>3.0612244897959182</v>
      </c>
      <c r="BO152" s="39">
        <f>IF(ISBLANK(Y152),"",BA152/Macroindicadores!J$2)</f>
        <v>3.0612244897959182</v>
      </c>
      <c r="BP152" s="39">
        <f>IF(ISBLANK(Z152),"",BB152/Macroindicadores!K$2)</f>
        <v>3.0612244897959182</v>
      </c>
      <c r="BQ152" s="39">
        <f>IF(ISBLANK(AA152),"",BC152/Macroindicadores!L$2)</f>
        <v>3.0612244897959182</v>
      </c>
      <c r="BR152" s="39">
        <f>IF(ISBLANK(AB152),"",BD152/Macroindicadores!M$2)</f>
        <v>3.0612244897959182</v>
      </c>
      <c r="BS152" s="40">
        <f>IF(AND(ISBLANK($Q152),ISBLANK($R152),ISBLANK($S152),ISBLANK($T152),ISBLANK($U152),ISBLANK($V152),ISBLANK($W152),ISBLANK($X152),ISBLANK($Y152),ISBLANK($Z152),ISBLANK($AA152),ISBLANK($AB152)),"",SUM(BG152:BR152))</f>
        <v>36.734693877551017</v>
      </c>
      <c r="BT152" s="25" t="str">
        <f>IF(ISBLANK($L152),"",_xlfn.XLOOKUP($L152,'CENTRO CUSTO'!$A:$A,'CENTRO CUSTO'!$E:$E,FALSE,0))</f>
        <v>Custo Fixo</v>
      </c>
    </row>
    <row r="153" spans="1:72">
      <c r="A153" s="9" t="str">
        <f t="shared" si="72"/>
        <v>Budget</v>
      </c>
      <c r="B153" s="9">
        <f t="shared" si="74"/>
        <v>2026</v>
      </c>
      <c r="C153" s="18" t="str">
        <f>IF(ISBLANK($L153),"",_xlfn.XLOOKUP($L153,'CENTRO CUSTO'!$A:$A,'CENTRO CUSTO'!F:F,FALSE,0))</f>
        <v>Martini Meat</v>
      </c>
      <c r="D153" s="111" t="str">
        <f>IF(ISBLANK($L153),"",_xlfn.XLOOKUP($L153,'CENTRO CUSTO'!$A:$A,'CENTRO CUSTO'!G:G,FALSE,0))</f>
        <v>Itajaí</v>
      </c>
      <c r="E153" s="18" t="str">
        <f>IF(ISBLANK($L153),"",_xlfn.XLOOKUP($L153,'CENTRO CUSTO'!$A:$A,'CENTRO CUSTO'!H:H,FALSE,0))</f>
        <v>Frigorífico</v>
      </c>
      <c r="F153" s="10" t="s">
        <v>173</v>
      </c>
      <c r="G153" s="10" t="s">
        <v>123</v>
      </c>
      <c r="H153" s="10" t="s">
        <v>174</v>
      </c>
      <c r="I153" s="11" t="s">
        <v>77</v>
      </c>
      <c r="J153" s="11" t="s">
        <v>78</v>
      </c>
      <c r="K153" s="11" t="s">
        <v>79</v>
      </c>
      <c r="L153" s="11" t="s">
        <v>27</v>
      </c>
      <c r="M153" s="18" t="str">
        <f>IF(ISBLANK($L153),"",_xlfn.XLOOKUP($L153,'CENTRO CUSTO'!$A:$A,'CENTRO CUSTO'!D:D,FALSE,0))</f>
        <v>Alexandre Ayabe</v>
      </c>
      <c r="N153" s="11" t="s">
        <v>175</v>
      </c>
      <c r="O153" s="12"/>
      <c r="P153" s="11" t="s">
        <v>81</v>
      </c>
      <c r="Q153" s="41">
        <v>11000</v>
      </c>
      <c r="R153" s="41">
        <v>11000</v>
      </c>
      <c r="S153" s="41">
        <v>11000</v>
      </c>
      <c r="T153" s="41">
        <v>11000</v>
      </c>
      <c r="U153" s="41">
        <v>11000</v>
      </c>
      <c r="V153" s="41">
        <v>11000</v>
      </c>
      <c r="W153" s="41">
        <v>11000</v>
      </c>
      <c r="X153" s="41">
        <v>11000</v>
      </c>
      <c r="Y153" s="41">
        <v>11000</v>
      </c>
      <c r="Z153" s="41">
        <v>11000</v>
      </c>
      <c r="AA153" s="41">
        <v>11000</v>
      </c>
      <c r="AB153" s="41">
        <v>11000</v>
      </c>
      <c r="AC153" s="116">
        <f t="shared" si="73"/>
        <v>132000</v>
      </c>
      <c r="AE153" s="39">
        <f>IF(ISBLANK(Q153),"",IF($P153="BRL",Q153,Q153*Macroindicadores!B$2)/1000)</f>
        <v>11</v>
      </c>
      <c r="AF153" s="39">
        <f>IF(ISBLANK(R153),"",IF($P153="BRL",R153,R153*Macroindicadores!C$2)/1000)</f>
        <v>11</v>
      </c>
      <c r="AG153" s="39">
        <f>IF(ISBLANK(S153),"",IF($P153="BRL",S153,S153*Macroindicadores!D$2)/1000)</f>
        <v>11</v>
      </c>
      <c r="AH153" s="39">
        <f>IF(ISBLANK(T153),"",IF($P153="BRL",T153,T153*Macroindicadores!E$2)/1000)</f>
        <v>11</v>
      </c>
      <c r="AI153" s="39">
        <f>IF(ISBLANK(U153),"",IF($P153="BRL",U153,U153*Macroindicadores!F$2)/1000)</f>
        <v>11</v>
      </c>
      <c r="AJ153" s="39">
        <f>IF(ISBLANK(V153),"",IF($P153="BRL",V153,V153*Macroindicadores!G$2)/1000)</f>
        <v>11</v>
      </c>
      <c r="AK153" s="39">
        <f>IF(ISBLANK(W153),"",IF($P153="BRL",W153,W153*Macroindicadores!H$2)/1000)</f>
        <v>11</v>
      </c>
      <c r="AL153" s="39">
        <f>IF(ISBLANK(X153),"",IF($P153="BRL",X153,X153*Macroindicadores!I$2)/1000)</f>
        <v>11</v>
      </c>
      <c r="AM153" s="39">
        <f>IF(ISBLANK(Y153),"",IF($P153="BRL",Y153,Y153*Macroindicadores!J$2)/1000)</f>
        <v>11</v>
      </c>
      <c r="AN153" s="39">
        <f>IF(ISBLANK(Z153),"",IF($P153="BRL",Z153,Z153*Macroindicadores!K$2)/1000)</f>
        <v>11</v>
      </c>
      <c r="AO153" s="39">
        <f>IF(ISBLANK(AA153),"",IF($P153="BRL",AA153,AA153*Macroindicadores!L$2)/1000)</f>
        <v>11</v>
      </c>
      <c r="AP153" s="39">
        <f>IF(ISBLANK(AB153),"",IF($P153="BRL",AB153,AB153*Macroindicadores!M$2)/1000)</f>
        <v>11</v>
      </c>
      <c r="AQ153" s="40">
        <f t="shared" si="70"/>
        <v>132</v>
      </c>
      <c r="AS153" s="39">
        <f>IF(ISBLANK(Q153),"",IF(ISBLANK($O153),AE153,IF($J153="ANUAL",AE153*(1+Macroindicadores!B$7),IF(AND($I153="NOVO",MONTH($O153)=MONTH(AS$4)),AE153*(1+Macroindicadores!B$7),IF(AND($J153="PONTUAL",MONTH($O153)=MONTH(AS$4)),AE153*(1+Macroindicadores!B$7),IF(AND($J153="PONTUAL",MONTH($O153)&lt;MONTH(AS$4)),MIN(AR153:$AS153),IF(AND($I153="NOVO",MONTH($O153)&gt;MONTH(AS$4)),AE153,IF(MONTH($O153)&gt;MONTH(AS$4),AE153,IF(MONTH($O153)=MONTH(AS$4),AE153*(1+Macroindicadores!B$7),AR153)))))))))</f>
        <v>11</v>
      </c>
      <c r="AT153" s="39">
        <f>IF(ISBLANK(R153),"",IF(ISBLANK($O153),AF153,IF($J153="ANUAL",AF153*(1+Macroindicadores!C$7),IF(AND($I153="NOVO",MONTH($O153)=MONTH(AT$4)),AF153*(1+Macroindicadores!C$7),IF(AND($J153="PONTUAL",MONTH($O153)=MONTH(AT$4)),AF153*(1+Macroindicadores!C$7),IF(AND($J153="PONTUAL",MONTH($O153)&lt;MONTH(AT$4)),MIN($AS153:AS153),IF(AND($I153="NOVO",MONTH($O153)&gt;MONTH(AT$4)),AF153,IF(MONTH($O153)&gt;MONTH(AT$4),AF153,IF(MONTH($O153)=MONTH(AT$4),AF153*(1+Macroindicadores!C$7),AS153)))))))))</f>
        <v>11</v>
      </c>
      <c r="AU153" s="39">
        <f>IF(ISBLANK(S153),"",IF(ISBLANK($O153),AG153,IF($J153="ANUAL",AG153*(1+Macroindicadores!D$7),IF(AND($I153="NOVO",MONTH($O153)=MONTH(AU$4)),AG153*(1+Macroindicadores!D$7),IF(AND($J153="PONTUAL",MONTH($O153)=MONTH(AU$4)),AG153*(1+Macroindicadores!D$7),IF(AND($J153="PONTUAL",MONTH($O153)&lt;MONTH(AU$4)),MIN($AS153:AT153),IF(AND($I153="NOVO",MONTH($O153)&gt;MONTH(AU$4)),AG153,IF(MONTH($O153)&gt;MONTH(AU$4),AG153,IF(MONTH($O153)=MONTH(AU$4),AG153*(1+Macroindicadores!D$7),AT153)))))))))</f>
        <v>11</v>
      </c>
      <c r="AV153" s="39">
        <f>IF(ISBLANK(T153),"",IF(ISBLANK($O153),AH153,IF($J153="ANUAL",AH153*(1+Macroindicadores!E$7),IF(AND($I153="NOVO",MONTH($O153)=MONTH(AV$4)),AH153*(1+Macroindicadores!E$7),IF(AND($J153="PONTUAL",MONTH($O153)=MONTH(AV$4)),AH153*(1+Macroindicadores!E$7),IF(AND($J153="PONTUAL",MONTH($O153)&lt;MONTH(AV$4)),MIN($AS153:AU153),IF(AND($I153="NOVO",MONTH($O153)&gt;MONTH(AV$4)),AH153,IF(MONTH($O153)&gt;MONTH(AV$4),AH153,IF(MONTH($O153)=MONTH(AV$4),AH153*(1+Macroindicadores!E$7),AU153)))))))))</f>
        <v>11</v>
      </c>
      <c r="AW153" s="39">
        <f>IF(ISBLANK(U153),"",IF(ISBLANK($O153),AI153,IF($J153="ANUAL",AI153*(1+Macroindicadores!F$7),IF(AND($I153="NOVO",MONTH($O153)=MONTH(AW$4)),AI153*(1+Macroindicadores!F$7),IF(AND($J153="PONTUAL",MONTH($O153)=MONTH(AW$4)),AI153*(1+Macroindicadores!F$7),IF(AND($J153="PONTUAL",MONTH($O153)&lt;MONTH(AW$4)),MIN($AS153:AV153),IF(AND($I153="NOVO",MONTH($O153)&gt;MONTH(AW$4)),AI153,IF(MONTH($O153)&gt;MONTH(AW$4),AI153,IF(MONTH($O153)=MONTH(AW$4),AI153*(1+Macroindicadores!F$7),AV153)))))))))</f>
        <v>11</v>
      </c>
      <c r="AX153" s="39">
        <f>IF(ISBLANK(V153),"",IF(ISBLANK($O153),AJ153,IF($J153="ANUAL",AJ153*(1+Macroindicadores!G$7),IF(AND($I153="NOVO",MONTH($O153)=MONTH(AX$4)),AJ153*(1+Macroindicadores!G$7),IF(AND($J153="PONTUAL",MONTH($O153)=MONTH(AX$4)),AJ153*(1+Macroindicadores!G$7),IF(AND($J153="PONTUAL",MONTH($O153)&lt;MONTH(AX$4)),MIN($AS153:AW153),IF(AND($I153="NOVO",MONTH($O153)&gt;MONTH(AX$4)),AJ153,IF(MONTH($O153)&gt;MONTH(AX$4),AJ153,IF(MONTH($O153)=MONTH(AX$4),AJ153*(1+Macroindicadores!G$7),AW153)))))))))</f>
        <v>11</v>
      </c>
      <c r="AY153" s="39">
        <f>IF(ISBLANK(W153),"",IF(ISBLANK($O153),AK153,IF($J153="ANUAL",AK153*(1+Macroindicadores!H$7),IF(AND($I153="NOVO",MONTH($O153)=MONTH(AY$4)),AK153*(1+Macroindicadores!H$7),IF(AND($J153="PONTUAL",MONTH($O153)=MONTH(AY$4)),AK153*(1+Macroindicadores!H$7),IF(AND($J153="PONTUAL",MONTH($O153)&lt;MONTH(AY$4)),MIN($AS153:AX153),IF(AND($I153="NOVO",MONTH($O153)&gt;MONTH(AY$4)),AK153,IF(MONTH($O153)&gt;MONTH(AY$4),AK153,IF(MONTH($O153)=MONTH(AY$4),AK153*(1+Macroindicadores!H$7),AX153)))))))))</f>
        <v>11</v>
      </c>
      <c r="AZ153" s="39">
        <f>IF(ISBLANK(X153),"",IF(ISBLANK($O153),AL153,IF($J153="ANUAL",AL153*(1+Macroindicadores!I$7),IF(AND($I153="NOVO",MONTH($O153)=MONTH(AZ$4)),AL153*(1+Macroindicadores!I$7),IF(AND($J153="PONTUAL",MONTH($O153)=MONTH(AZ$4)),AL153*(1+Macroindicadores!I$7),IF(AND($J153="PONTUAL",MONTH($O153)&lt;MONTH(AZ$4)),MIN($AS153:AY153),IF(AND($I153="NOVO",MONTH($O153)&gt;MONTH(AZ$4)),AL153,IF(MONTH($O153)&gt;MONTH(AZ$4),AL153,IF(MONTH($O153)=MONTH(AZ$4),AL153*(1+Macroindicadores!I$7),AY153)))))))))</f>
        <v>11</v>
      </c>
      <c r="BA153" s="39">
        <f>IF(ISBLANK(Y153),"",IF(ISBLANK($O153),AM153,IF($J153="ANUAL",AM153*(1+Macroindicadores!J$7),IF(AND($I153="NOVO",MONTH($O153)=MONTH(BA$4)),AM153*(1+Macroindicadores!J$7),IF(AND($J153="PONTUAL",MONTH($O153)=MONTH(BA$4)),AM153*(1+Macroindicadores!J$7),IF(AND($J153="PONTUAL",MONTH($O153)&lt;MONTH(BA$4)),MIN($AS153:AZ153),IF(AND($I153="NOVO",MONTH($O153)&gt;MONTH(BA$4)),AM153,IF(MONTH($O153)&gt;MONTH(BA$4),AM153,IF(MONTH($O153)=MONTH(BA$4),AM153*(1+Macroindicadores!J$7),AZ153)))))))))</f>
        <v>11</v>
      </c>
      <c r="BB153" s="39">
        <f>IF(ISBLANK(Z153),"",IF(ISBLANK($O153),AN153,IF($J153="ANUAL",AN153*(1+Macroindicadores!K$7),IF(AND($I153="NOVO",MONTH($O153)=MONTH(BB$4)),AN153*(1+Macroindicadores!K$7),IF(AND($J153="PONTUAL",MONTH($O153)=MONTH(BB$4)),AN153*(1+Macroindicadores!K$7),IF(AND($J153="PONTUAL",MONTH($O153)&lt;MONTH(BB$4)),MIN($AS153:BA153),IF(AND($I153="NOVO",MONTH($O153)&gt;MONTH(BB$4)),AN153,IF(MONTH($O153)&gt;MONTH(BB$4),AN153,IF(MONTH($O153)=MONTH(BB$4),AN153*(1+Macroindicadores!K$7),BA153)))))))))</f>
        <v>11</v>
      </c>
      <c r="BC153" s="39">
        <f>IF(ISBLANK(AA153),"",IF(ISBLANK($O153),AO153,IF($J153="ANUAL",AO153*(1+Macroindicadores!L$7),IF(AND($I153="NOVO",MONTH($O153)=MONTH(BC$4)),AO153*(1+Macroindicadores!L$7),IF(AND($J153="PONTUAL",MONTH($O153)=MONTH(BC$4)),AO153*(1+Macroindicadores!L$7),IF(AND($J153="PONTUAL",MONTH($O153)&lt;MONTH(BC$4)),MIN($AS153:BB153),IF(AND($I153="NOVO",MONTH($O153)&gt;MONTH(BC$4)),AO153,IF(MONTH($O153)&gt;MONTH(BC$4),AO153,IF(MONTH($O153)=MONTH(BC$4),AO153*(1+Macroindicadores!L$7),BB153)))))))))</f>
        <v>11</v>
      </c>
      <c r="BD153" s="39">
        <f>IF(ISBLANK(AB153),"",IF(ISBLANK($O153),AP153,IF($J153="ANUAL",AP153*(1+Macroindicadores!M$7),IF(AND($I153="NOVO",MONTH($O153)=MONTH(BD$4)),AP153*(1+Macroindicadores!M$7),IF(AND($J153="PONTUAL",MONTH($O153)=MONTH(BD$4)),AP153*(1+Macroindicadores!M$7),IF(AND($J153="PONTUAL",MONTH($O153)&lt;MONTH(BD$4)),MIN($AS153:BC153),IF(AND($I153="NOVO",MONTH($O153)&gt;MONTH(BD$4)),AP153,IF(MONTH($O153)&gt;MONTH(BD$4),AP153,IF(MONTH($O153)=MONTH(BD$4),AP153*(1+Macroindicadores!M$7),BC153)))))))))</f>
        <v>11</v>
      </c>
      <c r="BE153" s="40">
        <f t="shared" si="71"/>
        <v>132</v>
      </c>
      <c r="BG153" s="39">
        <f>IF(ISBLANK(Q153),"",AS153/Macroindicadores!B$2)</f>
        <v>1.870748299319728</v>
      </c>
      <c r="BH153" s="39">
        <f>IF(ISBLANK(R153),"",AT153/Macroindicadores!C$2)</f>
        <v>1.870748299319728</v>
      </c>
      <c r="BI153" s="39">
        <f>IF(ISBLANK(S153),"",AU153/Macroindicadores!D$2)</f>
        <v>1.870748299319728</v>
      </c>
      <c r="BJ153" s="39">
        <f>IF(ISBLANK(T153),"",AV153/Macroindicadores!E$2)</f>
        <v>1.870748299319728</v>
      </c>
      <c r="BK153" s="39">
        <f>IF(ISBLANK(U153),"",AW153/Macroindicadores!F$2)</f>
        <v>1.870748299319728</v>
      </c>
      <c r="BL153" s="39">
        <f>IF(ISBLANK(V153),"",AX153/Macroindicadores!G$2)</f>
        <v>1.870748299319728</v>
      </c>
      <c r="BM153" s="39">
        <f>IF(ISBLANK(W153),"",AY153/Macroindicadores!H$2)</f>
        <v>1.870748299319728</v>
      </c>
      <c r="BN153" s="39">
        <f>IF(ISBLANK(X153),"",AZ153/Macroindicadores!I$2)</f>
        <v>1.870748299319728</v>
      </c>
      <c r="BO153" s="39">
        <f>IF(ISBLANK(Y153),"",BA153/Macroindicadores!J$2)</f>
        <v>1.870748299319728</v>
      </c>
      <c r="BP153" s="39">
        <f>IF(ISBLANK(Z153),"",BB153/Macroindicadores!K$2)</f>
        <v>1.870748299319728</v>
      </c>
      <c r="BQ153" s="39">
        <f>IF(ISBLANK(AA153),"",BC153/Macroindicadores!L$2)</f>
        <v>1.870748299319728</v>
      </c>
      <c r="BR153" s="39">
        <f>IF(ISBLANK(AB153),"",BD153/Macroindicadores!M$2)</f>
        <v>1.870748299319728</v>
      </c>
      <c r="BS153" s="40">
        <f>IF(AND(ISBLANK($Q153),ISBLANK($R153),ISBLANK($S153),ISBLANK($T153),ISBLANK($U153),ISBLANK($V153),ISBLANK($W153),ISBLANK($X153),ISBLANK($Y153),ISBLANK($Z153),ISBLANK($AA153),ISBLANK($AB153)),"",SUM(BG153:BR153))</f>
        <v>22.448979591836743</v>
      </c>
      <c r="BT153" s="25" t="str">
        <f>IF(ISBLANK($L153),"",_xlfn.XLOOKUP($L153,'CENTRO CUSTO'!$A:$A,'CENTRO CUSTO'!$E:$E,FALSE,0))</f>
        <v>Custo Fixo</v>
      </c>
    </row>
    <row r="154" spans="1:72">
      <c r="A154" s="9" t="str">
        <f t="shared" si="72"/>
        <v>Budget</v>
      </c>
      <c r="B154" s="9">
        <f t="shared" si="74"/>
        <v>2026</v>
      </c>
      <c r="C154" s="18" t="str">
        <f>IF(ISBLANK($L154),"",_xlfn.XLOOKUP($L154,'CENTRO CUSTO'!$A:$A,'CENTRO CUSTO'!F:F,FALSE,0))</f>
        <v>Martini Meat</v>
      </c>
      <c r="D154" s="111" t="str">
        <f>IF(ISBLANK($L154),"",_xlfn.XLOOKUP($L154,'CENTRO CUSTO'!$A:$A,'CENTRO CUSTO'!G:G,FALSE,0))</f>
        <v>Rio Grande</v>
      </c>
      <c r="E154" s="18" t="str">
        <f>IF(ISBLANK($L154),"",_xlfn.XLOOKUP($L154,'CENTRO CUSTO'!$A:$A,'CENTRO CUSTO'!H:H,FALSE,0))</f>
        <v>Frigorífico</v>
      </c>
      <c r="F154" s="10" t="s">
        <v>173</v>
      </c>
      <c r="G154" s="10" t="s">
        <v>123</v>
      </c>
      <c r="H154" s="10" t="s">
        <v>174</v>
      </c>
      <c r="I154" s="11" t="s">
        <v>77</v>
      </c>
      <c r="J154" s="11" t="s">
        <v>78</v>
      </c>
      <c r="K154" s="11" t="s">
        <v>79</v>
      </c>
      <c r="L154" s="11" t="s">
        <v>21</v>
      </c>
      <c r="M154" s="18" t="str">
        <f>IF(ISBLANK($L154),"",_xlfn.XLOOKUP($L154,'CENTRO CUSTO'!$A:$A,'CENTRO CUSTO'!D:D,FALSE,0))</f>
        <v>Alexandre Ayabe</v>
      </c>
      <c r="N154" s="11" t="s">
        <v>175</v>
      </c>
      <c r="O154" s="12"/>
      <c r="P154" s="11" t="s">
        <v>81</v>
      </c>
      <c r="Q154" s="41">
        <v>10000</v>
      </c>
      <c r="R154" s="41">
        <v>10000</v>
      </c>
      <c r="S154" s="41">
        <v>10000</v>
      </c>
      <c r="T154" s="41">
        <v>10000</v>
      </c>
      <c r="U154" s="41">
        <v>10000</v>
      </c>
      <c r="V154" s="41">
        <v>10000</v>
      </c>
      <c r="W154" s="41">
        <v>10000</v>
      </c>
      <c r="X154" s="41">
        <v>10000</v>
      </c>
      <c r="Y154" s="41">
        <v>10000</v>
      </c>
      <c r="Z154" s="41">
        <v>10000</v>
      </c>
      <c r="AA154" s="41">
        <v>10000</v>
      </c>
      <c r="AB154" s="41">
        <v>10000</v>
      </c>
      <c r="AC154" s="116">
        <f t="shared" si="73"/>
        <v>120000</v>
      </c>
      <c r="AE154" s="39">
        <f>IF(ISBLANK(Q154),"",IF($P154="BRL",Q154,Q154*Macroindicadores!B$2)/1000)</f>
        <v>10</v>
      </c>
      <c r="AF154" s="39">
        <f>IF(ISBLANK(R154),"",IF($P154="BRL",R154,R154*Macroindicadores!C$2)/1000)</f>
        <v>10</v>
      </c>
      <c r="AG154" s="39">
        <f>IF(ISBLANK(S154),"",IF($P154="BRL",S154,S154*Macroindicadores!D$2)/1000)</f>
        <v>10</v>
      </c>
      <c r="AH154" s="39">
        <f>IF(ISBLANK(T154),"",IF($P154="BRL",T154,T154*Macroindicadores!E$2)/1000)</f>
        <v>10</v>
      </c>
      <c r="AI154" s="39">
        <f>IF(ISBLANK(U154),"",IF($P154="BRL",U154,U154*Macroindicadores!F$2)/1000)</f>
        <v>10</v>
      </c>
      <c r="AJ154" s="39">
        <f>IF(ISBLANK(V154),"",IF($P154="BRL",V154,V154*Macroindicadores!G$2)/1000)</f>
        <v>10</v>
      </c>
      <c r="AK154" s="39">
        <f>IF(ISBLANK(W154),"",IF($P154="BRL",W154,W154*Macroindicadores!H$2)/1000)</f>
        <v>10</v>
      </c>
      <c r="AL154" s="39">
        <f>IF(ISBLANK(X154),"",IF($P154="BRL",X154,X154*Macroindicadores!I$2)/1000)</f>
        <v>10</v>
      </c>
      <c r="AM154" s="39">
        <f>IF(ISBLANK(Y154),"",IF($P154="BRL",Y154,Y154*Macroindicadores!J$2)/1000)</f>
        <v>10</v>
      </c>
      <c r="AN154" s="39">
        <f>IF(ISBLANK(Z154),"",IF($P154="BRL",Z154,Z154*Macroindicadores!K$2)/1000)</f>
        <v>10</v>
      </c>
      <c r="AO154" s="39">
        <f>IF(ISBLANK(AA154),"",IF($P154="BRL",AA154,AA154*Macroindicadores!L$2)/1000)</f>
        <v>10</v>
      </c>
      <c r="AP154" s="39">
        <f>IF(ISBLANK(AB154),"",IF($P154="BRL",AB154,AB154*Macroindicadores!M$2)/1000)</f>
        <v>10</v>
      </c>
      <c r="AQ154" s="40">
        <f t="shared" si="70"/>
        <v>120</v>
      </c>
      <c r="AS154" s="39">
        <f>IF(ISBLANK(Q154),"",IF(ISBLANK($O154),AE154,IF($J154="ANUAL",AE154*(1+Macroindicadores!B$7),IF(AND($I154="NOVO",MONTH($O154)=MONTH(AS$4)),AE154*(1+Macroindicadores!B$7),IF(AND($J154="PONTUAL",MONTH($O154)=MONTH(AS$4)),AE154*(1+Macroindicadores!B$7),IF(AND($J154="PONTUAL",MONTH($O154)&lt;MONTH(AS$4)),MIN(AR154:$AS154),IF(AND($I154="NOVO",MONTH($O154)&gt;MONTH(AS$4)),AE154,IF(MONTH($O154)&gt;MONTH(AS$4),AE154,IF(MONTH($O154)=MONTH(AS$4),AE154*(1+Macroindicadores!B$7),AR154)))))))))</f>
        <v>10</v>
      </c>
      <c r="AT154" s="39">
        <f>IF(ISBLANK(R154),"",IF(ISBLANK($O154),AF154,IF($J154="ANUAL",AF154*(1+Macroindicadores!C$7),IF(AND($I154="NOVO",MONTH($O154)=MONTH(AT$4)),AF154*(1+Macroindicadores!C$7),IF(AND($J154="PONTUAL",MONTH($O154)=MONTH(AT$4)),AF154*(1+Macroindicadores!C$7),IF(AND($J154="PONTUAL",MONTH($O154)&lt;MONTH(AT$4)),MIN($AS154:AS154),IF(AND($I154="NOVO",MONTH($O154)&gt;MONTH(AT$4)),AF154,IF(MONTH($O154)&gt;MONTH(AT$4),AF154,IF(MONTH($O154)=MONTH(AT$4),AF154*(1+Macroindicadores!C$7),AS154)))))))))</f>
        <v>10</v>
      </c>
      <c r="AU154" s="39">
        <f>IF(ISBLANK(S154),"",IF(ISBLANK($O154),AG154,IF($J154="ANUAL",AG154*(1+Macroindicadores!D$7),IF(AND($I154="NOVO",MONTH($O154)=MONTH(AU$4)),AG154*(1+Macroindicadores!D$7),IF(AND($J154="PONTUAL",MONTH($O154)=MONTH(AU$4)),AG154*(1+Macroindicadores!D$7),IF(AND($J154="PONTUAL",MONTH($O154)&lt;MONTH(AU$4)),MIN($AS154:AT154),IF(AND($I154="NOVO",MONTH($O154)&gt;MONTH(AU$4)),AG154,IF(MONTH($O154)&gt;MONTH(AU$4),AG154,IF(MONTH($O154)=MONTH(AU$4),AG154*(1+Macroindicadores!D$7),AT154)))))))))</f>
        <v>10</v>
      </c>
      <c r="AV154" s="39">
        <f>IF(ISBLANK(T154),"",IF(ISBLANK($O154),AH154,IF($J154="ANUAL",AH154*(1+Macroindicadores!E$7),IF(AND($I154="NOVO",MONTH($O154)=MONTH(AV$4)),AH154*(1+Macroindicadores!E$7),IF(AND($J154="PONTUAL",MONTH($O154)=MONTH(AV$4)),AH154*(1+Macroindicadores!E$7),IF(AND($J154="PONTUAL",MONTH($O154)&lt;MONTH(AV$4)),MIN($AS154:AU154),IF(AND($I154="NOVO",MONTH($O154)&gt;MONTH(AV$4)),AH154,IF(MONTH($O154)&gt;MONTH(AV$4),AH154,IF(MONTH($O154)=MONTH(AV$4),AH154*(1+Macroindicadores!E$7),AU154)))))))))</f>
        <v>10</v>
      </c>
      <c r="AW154" s="39">
        <f>IF(ISBLANK(U154),"",IF(ISBLANK($O154),AI154,IF($J154="ANUAL",AI154*(1+Macroindicadores!F$7),IF(AND($I154="NOVO",MONTH($O154)=MONTH(AW$4)),AI154*(1+Macroindicadores!F$7),IF(AND($J154="PONTUAL",MONTH($O154)=MONTH(AW$4)),AI154*(1+Macroindicadores!F$7),IF(AND($J154="PONTUAL",MONTH($O154)&lt;MONTH(AW$4)),MIN($AS154:AV154),IF(AND($I154="NOVO",MONTH($O154)&gt;MONTH(AW$4)),AI154,IF(MONTH($O154)&gt;MONTH(AW$4),AI154,IF(MONTH($O154)=MONTH(AW$4),AI154*(1+Macroindicadores!F$7),AV154)))))))))</f>
        <v>10</v>
      </c>
      <c r="AX154" s="39">
        <f>IF(ISBLANK(V154),"",IF(ISBLANK($O154),AJ154,IF($J154="ANUAL",AJ154*(1+Macroindicadores!G$7),IF(AND($I154="NOVO",MONTH($O154)=MONTH(AX$4)),AJ154*(1+Macroindicadores!G$7),IF(AND($J154="PONTUAL",MONTH($O154)=MONTH(AX$4)),AJ154*(1+Macroindicadores!G$7),IF(AND($J154="PONTUAL",MONTH($O154)&lt;MONTH(AX$4)),MIN($AS154:AW154),IF(AND($I154="NOVO",MONTH($O154)&gt;MONTH(AX$4)),AJ154,IF(MONTH($O154)&gt;MONTH(AX$4),AJ154,IF(MONTH($O154)=MONTH(AX$4),AJ154*(1+Macroindicadores!G$7),AW154)))))))))</f>
        <v>10</v>
      </c>
      <c r="AY154" s="39">
        <f>IF(ISBLANK(W154),"",IF(ISBLANK($O154),AK154,IF($J154="ANUAL",AK154*(1+Macroindicadores!H$7),IF(AND($I154="NOVO",MONTH($O154)=MONTH(AY$4)),AK154*(1+Macroindicadores!H$7),IF(AND($J154="PONTUAL",MONTH($O154)=MONTH(AY$4)),AK154*(1+Macroindicadores!H$7),IF(AND($J154="PONTUAL",MONTH($O154)&lt;MONTH(AY$4)),MIN($AS154:AX154),IF(AND($I154="NOVO",MONTH($O154)&gt;MONTH(AY$4)),AK154,IF(MONTH($O154)&gt;MONTH(AY$4),AK154,IF(MONTH($O154)=MONTH(AY$4),AK154*(1+Macroindicadores!H$7),AX154)))))))))</f>
        <v>10</v>
      </c>
      <c r="AZ154" s="39">
        <f>IF(ISBLANK(X154),"",IF(ISBLANK($O154),AL154,IF($J154="ANUAL",AL154*(1+Macroindicadores!I$7),IF(AND($I154="NOVO",MONTH($O154)=MONTH(AZ$4)),AL154*(1+Macroindicadores!I$7),IF(AND($J154="PONTUAL",MONTH($O154)=MONTH(AZ$4)),AL154*(1+Macroindicadores!I$7),IF(AND($J154="PONTUAL",MONTH($O154)&lt;MONTH(AZ$4)),MIN($AS154:AY154),IF(AND($I154="NOVO",MONTH($O154)&gt;MONTH(AZ$4)),AL154,IF(MONTH($O154)&gt;MONTH(AZ$4),AL154,IF(MONTH($O154)=MONTH(AZ$4),AL154*(1+Macroindicadores!I$7),AY154)))))))))</f>
        <v>10</v>
      </c>
      <c r="BA154" s="39">
        <f>IF(ISBLANK(Y154),"",IF(ISBLANK($O154),AM154,IF($J154="ANUAL",AM154*(1+Macroindicadores!J$7),IF(AND($I154="NOVO",MONTH($O154)=MONTH(BA$4)),AM154*(1+Macroindicadores!J$7),IF(AND($J154="PONTUAL",MONTH($O154)=MONTH(BA$4)),AM154*(1+Macroindicadores!J$7),IF(AND($J154="PONTUAL",MONTH($O154)&lt;MONTH(BA$4)),MIN($AS154:AZ154),IF(AND($I154="NOVO",MONTH($O154)&gt;MONTH(BA$4)),AM154,IF(MONTH($O154)&gt;MONTH(BA$4),AM154,IF(MONTH($O154)=MONTH(BA$4),AM154*(1+Macroindicadores!J$7),AZ154)))))))))</f>
        <v>10</v>
      </c>
      <c r="BB154" s="39">
        <f>IF(ISBLANK(Z154),"",IF(ISBLANK($O154),AN154,IF($J154="ANUAL",AN154*(1+Macroindicadores!K$7),IF(AND($I154="NOVO",MONTH($O154)=MONTH(BB$4)),AN154*(1+Macroindicadores!K$7),IF(AND($J154="PONTUAL",MONTH($O154)=MONTH(BB$4)),AN154*(1+Macroindicadores!K$7),IF(AND($J154="PONTUAL",MONTH($O154)&lt;MONTH(BB$4)),MIN($AS154:BA154),IF(AND($I154="NOVO",MONTH($O154)&gt;MONTH(BB$4)),AN154,IF(MONTH($O154)&gt;MONTH(BB$4),AN154,IF(MONTH($O154)=MONTH(BB$4),AN154*(1+Macroindicadores!K$7),BA154)))))))))</f>
        <v>10</v>
      </c>
      <c r="BC154" s="39">
        <f>IF(ISBLANK(AA154),"",IF(ISBLANK($O154),AO154,IF($J154="ANUAL",AO154*(1+Macroindicadores!L$7),IF(AND($I154="NOVO",MONTH($O154)=MONTH(BC$4)),AO154*(1+Macroindicadores!L$7),IF(AND($J154="PONTUAL",MONTH($O154)=MONTH(BC$4)),AO154*(1+Macroindicadores!L$7),IF(AND($J154="PONTUAL",MONTH($O154)&lt;MONTH(BC$4)),MIN($AS154:BB154),IF(AND($I154="NOVO",MONTH($O154)&gt;MONTH(BC$4)),AO154,IF(MONTH($O154)&gt;MONTH(BC$4),AO154,IF(MONTH($O154)=MONTH(BC$4),AO154*(1+Macroindicadores!L$7),BB154)))))))))</f>
        <v>10</v>
      </c>
      <c r="BD154" s="39">
        <f>IF(ISBLANK(AB154),"",IF(ISBLANK($O154),AP154,IF($J154="ANUAL",AP154*(1+Macroindicadores!M$7),IF(AND($I154="NOVO",MONTH($O154)=MONTH(BD$4)),AP154*(1+Macroindicadores!M$7),IF(AND($J154="PONTUAL",MONTH($O154)=MONTH(BD$4)),AP154*(1+Macroindicadores!M$7),IF(AND($J154="PONTUAL",MONTH($O154)&lt;MONTH(BD$4)),MIN($AS154:BC154),IF(AND($I154="NOVO",MONTH($O154)&gt;MONTH(BD$4)),AP154,IF(MONTH($O154)&gt;MONTH(BD$4),AP154,IF(MONTH($O154)=MONTH(BD$4),AP154*(1+Macroindicadores!M$7),BC154)))))))))</f>
        <v>10</v>
      </c>
      <c r="BE154" s="40">
        <f t="shared" si="71"/>
        <v>120</v>
      </c>
      <c r="BG154" s="39">
        <f>IF(ISBLANK(Q154),"",AS154/Macroindicadores!B$2)</f>
        <v>1.7006802721088436</v>
      </c>
      <c r="BH154" s="39">
        <f>IF(ISBLANK(R154),"",AT154/Macroindicadores!C$2)</f>
        <v>1.7006802721088436</v>
      </c>
      <c r="BI154" s="39">
        <f>IF(ISBLANK(S154),"",AU154/Macroindicadores!D$2)</f>
        <v>1.7006802721088436</v>
      </c>
      <c r="BJ154" s="39">
        <f>IF(ISBLANK(T154),"",AV154/Macroindicadores!E$2)</f>
        <v>1.7006802721088436</v>
      </c>
      <c r="BK154" s="39">
        <f>IF(ISBLANK(U154),"",AW154/Macroindicadores!F$2)</f>
        <v>1.7006802721088436</v>
      </c>
      <c r="BL154" s="39">
        <f>IF(ISBLANK(V154),"",AX154/Macroindicadores!G$2)</f>
        <v>1.7006802721088436</v>
      </c>
      <c r="BM154" s="39">
        <f>IF(ISBLANK(W154),"",AY154/Macroindicadores!H$2)</f>
        <v>1.7006802721088436</v>
      </c>
      <c r="BN154" s="39">
        <f>IF(ISBLANK(X154),"",AZ154/Macroindicadores!I$2)</f>
        <v>1.7006802721088436</v>
      </c>
      <c r="BO154" s="39">
        <f>IF(ISBLANK(Y154),"",BA154/Macroindicadores!J$2)</f>
        <v>1.7006802721088436</v>
      </c>
      <c r="BP154" s="39">
        <f>IF(ISBLANK(Z154),"",BB154/Macroindicadores!K$2)</f>
        <v>1.7006802721088436</v>
      </c>
      <c r="BQ154" s="39">
        <f>IF(ISBLANK(AA154),"",BC154/Macroindicadores!L$2)</f>
        <v>1.7006802721088436</v>
      </c>
      <c r="BR154" s="39">
        <f>IF(ISBLANK(AB154),"",BD154/Macroindicadores!M$2)</f>
        <v>1.7006802721088436</v>
      </c>
      <c r="BS154" s="40">
        <f>IF(AND(ISBLANK($Q154),ISBLANK($R154),ISBLANK($S154),ISBLANK($T154),ISBLANK($U154),ISBLANK($V154),ISBLANK($W154),ISBLANK($X154),ISBLANK($Y154),ISBLANK($Z154),ISBLANK($AA154),ISBLANK($AB154)),"",SUM(BG154:BR154))</f>
        <v>20.408163265306126</v>
      </c>
      <c r="BT154" s="25" t="str">
        <f>IF(ISBLANK($L154),"",_xlfn.XLOOKUP($L154,'CENTRO CUSTO'!$A:$A,'CENTRO CUSTO'!$E:$E,FALSE,0))</f>
        <v>Custo Fixo</v>
      </c>
    </row>
    <row r="155" spans="1:72">
      <c r="A155" s="9" t="str">
        <f t="shared" si="72"/>
        <v>Budget</v>
      </c>
      <c r="B155" s="9">
        <f t="shared" si="74"/>
        <v>2026</v>
      </c>
      <c r="C155" s="18" t="str">
        <f>IF(ISBLANK($L155),"",_xlfn.XLOOKUP($L155,'CENTRO CUSTO'!$A:$A,'CENTRO CUSTO'!F:F,FALSE,0))</f>
        <v>Martini Meat</v>
      </c>
      <c r="D155" s="111" t="str">
        <f>IF(ISBLANK($L155),"",_xlfn.XLOOKUP($L155,'CENTRO CUSTO'!$A:$A,'CENTRO CUSTO'!G:G,FALSE,0))</f>
        <v>Recife 2</v>
      </c>
      <c r="E155" s="18" t="str">
        <f>IF(ISBLANK($L155),"",_xlfn.XLOOKUP($L155,'CENTRO CUSTO'!$A:$A,'CENTRO CUSTO'!H:H,FALSE,0))</f>
        <v>Frigorífico</v>
      </c>
      <c r="F155" s="10" t="s">
        <v>173</v>
      </c>
      <c r="G155" s="10" t="s">
        <v>123</v>
      </c>
      <c r="H155" s="10" t="s">
        <v>174</v>
      </c>
      <c r="I155" s="11" t="s">
        <v>77</v>
      </c>
      <c r="J155" s="11" t="s">
        <v>78</v>
      </c>
      <c r="K155" s="11" t="s">
        <v>79</v>
      </c>
      <c r="L155" s="11" t="s">
        <v>31</v>
      </c>
      <c r="M155" s="18" t="str">
        <f>IF(ISBLANK($L155),"",_xlfn.XLOOKUP($L155,'CENTRO CUSTO'!$A:$A,'CENTRO CUSTO'!D:D,FALSE,0))</f>
        <v>Alexandre Ayabe</v>
      </c>
      <c r="N155" s="11" t="s">
        <v>175</v>
      </c>
      <c r="O155" s="12"/>
      <c r="P155" s="11" t="s">
        <v>81</v>
      </c>
      <c r="Q155" s="41">
        <v>0</v>
      </c>
      <c r="R155" s="41">
        <v>0</v>
      </c>
      <c r="S155" s="41">
        <v>0</v>
      </c>
      <c r="T155" s="41">
        <v>0</v>
      </c>
      <c r="U155" s="41">
        <v>0</v>
      </c>
      <c r="V155" s="41">
        <v>0</v>
      </c>
      <c r="W155" s="41">
        <v>0</v>
      </c>
      <c r="X155" s="41">
        <v>0</v>
      </c>
      <c r="Y155" s="41">
        <v>0</v>
      </c>
      <c r="Z155" s="41">
        <v>0</v>
      </c>
      <c r="AA155" s="41">
        <v>0</v>
      </c>
      <c r="AB155" s="41">
        <v>0</v>
      </c>
      <c r="AC155" s="116">
        <f t="shared" si="73"/>
        <v>0</v>
      </c>
      <c r="AE155" s="39">
        <f>IF(ISBLANK(Q155),"",IF($P155="BRL",Q155,Q155*Macroindicadores!B$2)/1000)</f>
        <v>0</v>
      </c>
      <c r="AF155" s="39">
        <f>IF(ISBLANK(R155),"",IF($P155="BRL",R155,R155*Macroindicadores!C$2)/1000)</f>
        <v>0</v>
      </c>
      <c r="AG155" s="39">
        <f>IF(ISBLANK(S155),"",IF($P155="BRL",S155,S155*Macroindicadores!D$2)/1000)</f>
        <v>0</v>
      </c>
      <c r="AH155" s="39">
        <f>IF(ISBLANK(T155),"",IF($P155="BRL",T155,T155*Macroindicadores!E$2)/1000)</f>
        <v>0</v>
      </c>
      <c r="AI155" s="39">
        <f>IF(ISBLANK(U155),"",IF($P155="BRL",U155,U155*Macroindicadores!F$2)/1000)</f>
        <v>0</v>
      </c>
      <c r="AJ155" s="39">
        <f>IF(ISBLANK(V155),"",IF($P155="BRL",V155,V155*Macroindicadores!G$2)/1000)</f>
        <v>0</v>
      </c>
      <c r="AK155" s="39">
        <f>IF(ISBLANK(W155),"",IF($P155="BRL",W155,W155*Macroindicadores!H$2)/1000)</f>
        <v>0</v>
      </c>
      <c r="AL155" s="39">
        <f>IF(ISBLANK(X155),"",IF($P155="BRL",X155,X155*Macroindicadores!I$2)/1000)</f>
        <v>0</v>
      </c>
      <c r="AM155" s="39">
        <f>IF(ISBLANK(Y155),"",IF($P155="BRL",Y155,Y155*Macroindicadores!J$2)/1000)</f>
        <v>0</v>
      </c>
      <c r="AN155" s="39">
        <f>IF(ISBLANK(Z155),"",IF($P155="BRL",Z155,Z155*Macroindicadores!K$2)/1000)</f>
        <v>0</v>
      </c>
      <c r="AO155" s="39">
        <f>IF(ISBLANK(AA155),"",IF($P155="BRL",AA155,AA155*Macroindicadores!L$2)/1000)</f>
        <v>0</v>
      </c>
      <c r="AP155" s="39">
        <f>IF(ISBLANK(AB155),"",IF($P155="BRL",AB155,AB155*Macroindicadores!M$2)/1000)</f>
        <v>0</v>
      </c>
      <c r="AQ155" s="40">
        <f t="shared" si="70"/>
        <v>0</v>
      </c>
      <c r="AS155" s="39">
        <f>IF(ISBLANK(Q155),"",IF(ISBLANK($O155),AE155,IF($J155="ANUAL",AE155*(1+Macroindicadores!B$7),IF(AND($I155="NOVO",MONTH($O155)=MONTH(AS$4)),AE155*(1+Macroindicadores!B$7),IF(AND($J155="PONTUAL",MONTH($O155)=MONTH(AS$4)),AE155*(1+Macroindicadores!B$7),IF(AND($J155="PONTUAL",MONTH($O155)&lt;MONTH(AS$4)),MIN(AR155:$AS155),IF(AND($I155="NOVO",MONTH($O155)&gt;MONTH(AS$4)),AE155,IF(MONTH($O155)&gt;MONTH(AS$4),AE155,IF(MONTH($O155)=MONTH(AS$4),AE155*(1+Macroindicadores!B$7),AR155)))))))))</f>
        <v>0</v>
      </c>
      <c r="AT155" s="39">
        <f>IF(ISBLANK(R155),"",IF(ISBLANK($O155),AF155,IF($J155="ANUAL",AF155*(1+Macroindicadores!C$7),IF(AND($I155="NOVO",MONTH($O155)=MONTH(AT$4)),AF155*(1+Macroindicadores!C$7),IF(AND($J155="PONTUAL",MONTH($O155)=MONTH(AT$4)),AF155*(1+Macroindicadores!C$7),IF(AND($J155="PONTUAL",MONTH($O155)&lt;MONTH(AT$4)),MIN($AS155:AS155),IF(AND($I155="NOVO",MONTH($O155)&gt;MONTH(AT$4)),AF155,IF(MONTH($O155)&gt;MONTH(AT$4),AF155,IF(MONTH($O155)=MONTH(AT$4),AF155*(1+Macroindicadores!C$7),AS155)))))))))</f>
        <v>0</v>
      </c>
      <c r="AU155" s="39">
        <f>IF(ISBLANK(S155),"",IF(ISBLANK($O155),AG155,IF($J155="ANUAL",AG155*(1+Macroindicadores!D$7),IF(AND($I155="NOVO",MONTH($O155)=MONTH(AU$4)),AG155*(1+Macroindicadores!D$7),IF(AND($J155="PONTUAL",MONTH($O155)=MONTH(AU$4)),AG155*(1+Macroindicadores!D$7),IF(AND($J155="PONTUAL",MONTH($O155)&lt;MONTH(AU$4)),MIN($AS155:AT155),IF(AND($I155="NOVO",MONTH($O155)&gt;MONTH(AU$4)),AG155,IF(MONTH($O155)&gt;MONTH(AU$4),AG155,IF(MONTH($O155)=MONTH(AU$4),AG155*(1+Macroindicadores!D$7),AT155)))))))))</f>
        <v>0</v>
      </c>
      <c r="AV155" s="39">
        <f>IF(ISBLANK(T155),"",IF(ISBLANK($O155),AH155,IF($J155="ANUAL",AH155*(1+Macroindicadores!E$7),IF(AND($I155="NOVO",MONTH($O155)=MONTH(AV$4)),AH155*(1+Macroindicadores!E$7),IF(AND($J155="PONTUAL",MONTH($O155)=MONTH(AV$4)),AH155*(1+Macroindicadores!E$7),IF(AND($J155="PONTUAL",MONTH($O155)&lt;MONTH(AV$4)),MIN($AS155:AU155),IF(AND($I155="NOVO",MONTH($O155)&gt;MONTH(AV$4)),AH155,IF(MONTH($O155)&gt;MONTH(AV$4),AH155,IF(MONTH($O155)=MONTH(AV$4),AH155*(1+Macroindicadores!E$7),AU155)))))))))</f>
        <v>0</v>
      </c>
      <c r="AW155" s="39">
        <f>IF(ISBLANK(U155),"",IF(ISBLANK($O155),AI155,IF($J155="ANUAL",AI155*(1+Macroindicadores!F$7),IF(AND($I155="NOVO",MONTH($O155)=MONTH(AW$4)),AI155*(1+Macroindicadores!F$7),IF(AND($J155="PONTUAL",MONTH($O155)=MONTH(AW$4)),AI155*(1+Macroindicadores!F$7),IF(AND($J155="PONTUAL",MONTH($O155)&lt;MONTH(AW$4)),MIN($AS155:AV155),IF(AND($I155="NOVO",MONTH($O155)&gt;MONTH(AW$4)),AI155,IF(MONTH($O155)&gt;MONTH(AW$4),AI155,IF(MONTH($O155)=MONTH(AW$4),AI155*(1+Macroindicadores!F$7),AV155)))))))))</f>
        <v>0</v>
      </c>
      <c r="AX155" s="39">
        <f>IF(ISBLANK(V155),"",IF(ISBLANK($O155),AJ155,IF($J155="ANUAL",AJ155*(1+Macroindicadores!G$7),IF(AND($I155="NOVO",MONTH($O155)=MONTH(AX$4)),AJ155*(1+Macroindicadores!G$7),IF(AND($J155="PONTUAL",MONTH($O155)=MONTH(AX$4)),AJ155*(1+Macroindicadores!G$7),IF(AND($J155="PONTUAL",MONTH($O155)&lt;MONTH(AX$4)),MIN($AS155:AW155),IF(AND($I155="NOVO",MONTH($O155)&gt;MONTH(AX$4)),AJ155,IF(MONTH($O155)&gt;MONTH(AX$4),AJ155,IF(MONTH($O155)=MONTH(AX$4),AJ155*(1+Macroindicadores!G$7),AW155)))))))))</f>
        <v>0</v>
      </c>
      <c r="AY155" s="39">
        <f>IF(ISBLANK(W155),"",IF(ISBLANK($O155),AK155,IF($J155="ANUAL",AK155*(1+Macroindicadores!H$7),IF(AND($I155="NOVO",MONTH($O155)=MONTH(AY$4)),AK155*(1+Macroindicadores!H$7),IF(AND($J155="PONTUAL",MONTH($O155)=MONTH(AY$4)),AK155*(1+Macroindicadores!H$7),IF(AND($J155="PONTUAL",MONTH($O155)&lt;MONTH(AY$4)),MIN($AS155:AX155),IF(AND($I155="NOVO",MONTH($O155)&gt;MONTH(AY$4)),AK155,IF(MONTH($O155)&gt;MONTH(AY$4),AK155,IF(MONTH($O155)=MONTH(AY$4),AK155*(1+Macroindicadores!H$7),AX155)))))))))</f>
        <v>0</v>
      </c>
      <c r="AZ155" s="39">
        <f>IF(ISBLANK(X155),"",IF(ISBLANK($O155),AL155,IF($J155="ANUAL",AL155*(1+Macroindicadores!I$7),IF(AND($I155="NOVO",MONTH($O155)=MONTH(AZ$4)),AL155*(1+Macroindicadores!I$7),IF(AND($J155="PONTUAL",MONTH($O155)=MONTH(AZ$4)),AL155*(1+Macroindicadores!I$7),IF(AND($J155="PONTUAL",MONTH($O155)&lt;MONTH(AZ$4)),MIN($AS155:AY155),IF(AND($I155="NOVO",MONTH($O155)&gt;MONTH(AZ$4)),AL155,IF(MONTH($O155)&gt;MONTH(AZ$4),AL155,IF(MONTH($O155)=MONTH(AZ$4),AL155*(1+Macroindicadores!I$7),AY155)))))))))</f>
        <v>0</v>
      </c>
      <c r="BA155" s="39">
        <f>IF(ISBLANK(Y155),"",IF(ISBLANK($O155),AM155,IF($J155="ANUAL",AM155*(1+Macroindicadores!J$7),IF(AND($I155="NOVO",MONTH($O155)=MONTH(BA$4)),AM155*(1+Macroindicadores!J$7),IF(AND($J155="PONTUAL",MONTH($O155)=MONTH(BA$4)),AM155*(1+Macroindicadores!J$7),IF(AND($J155="PONTUAL",MONTH($O155)&lt;MONTH(BA$4)),MIN($AS155:AZ155),IF(AND($I155="NOVO",MONTH($O155)&gt;MONTH(BA$4)),AM155,IF(MONTH($O155)&gt;MONTH(BA$4),AM155,IF(MONTH($O155)=MONTH(BA$4),AM155*(1+Macroindicadores!J$7),AZ155)))))))))</f>
        <v>0</v>
      </c>
      <c r="BB155" s="39">
        <f>IF(ISBLANK(Z155),"",IF(ISBLANK($O155),AN155,IF($J155="ANUAL",AN155*(1+Macroindicadores!K$7),IF(AND($I155="NOVO",MONTH($O155)=MONTH(BB$4)),AN155*(1+Macroindicadores!K$7),IF(AND($J155="PONTUAL",MONTH($O155)=MONTH(BB$4)),AN155*(1+Macroindicadores!K$7),IF(AND($J155="PONTUAL",MONTH($O155)&lt;MONTH(BB$4)),MIN($AS155:BA155),IF(AND($I155="NOVO",MONTH($O155)&gt;MONTH(BB$4)),AN155,IF(MONTH($O155)&gt;MONTH(BB$4),AN155,IF(MONTH($O155)=MONTH(BB$4),AN155*(1+Macroindicadores!K$7),BA155)))))))))</f>
        <v>0</v>
      </c>
      <c r="BC155" s="39">
        <f>IF(ISBLANK(AA155),"",IF(ISBLANK($O155),AO155,IF($J155="ANUAL",AO155*(1+Macroindicadores!L$7),IF(AND($I155="NOVO",MONTH($O155)=MONTH(BC$4)),AO155*(1+Macroindicadores!L$7),IF(AND($J155="PONTUAL",MONTH($O155)=MONTH(BC$4)),AO155*(1+Macroindicadores!L$7),IF(AND($J155="PONTUAL",MONTH($O155)&lt;MONTH(BC$4)),MIN($AS155:BB155),IF(AND($I155="NOVO",MONTH($O155)&gt;MONTH(BC$4)),AO155,IF(MONTH($O155)&gt;MONTH(BC$4),AO155,IF(MONTH($O155)=MONTH(BC$4),AO155*(1+Macroindicadores!L$7),BB155)))))))))</f>
        <v>0</v>
      </c>
      <c r="BD155" s="39">
        <f>IF(ISBLANK(AB155),"",IF(ISBLANK($O155),AP155,IF($J155="ANUAL",AP155*(1+Macroindicadores!M$7),IF(AND($I155="NOVO",MONTH($O155)=MONTH(BD$4)),AP155*(1+Macroindicadores!M$7),IF(AND($J155="PONTUAL",MONTH($O155)=MONTH(BD$4)),AP155*(1+Macroindicadores!M$7),IF(AND($J155="PONTUAL",MONTH($O155)&lt;MONTH(BD$4)),MIN($AS155:BC155),IF(AND($I155="NOVO",MONTH($O155)&gt;MONTH(BD$4)),AP155,IF(MONTH($O155)&gt;MONTH(BD$4),AP155,IF(MONTH($O155)=MONTH(BD$4),AP155*(1+Macroindicadores!M$7),BC155)))))))))</f>
        <v>0</v>
      </c>
      <c r="BE155" s="40">
        <f t="shared" si="71"/>
        <v>0</v>
      </c>
      <c r="BG155" s="39">
        <f>IF(ISBLANK(Q155),"",AS155/Macroindicadores!B$2)</f>
        <v>0</v>
      </c>
      <c r="BH155" s="39">
        <f>IF(ISBLANK(R155),"",AT155/Macroindicadores!C$2)</f>
        <v>0</v>
      </c>
      <c r="BI155" s="39">
        <f>IF(ISBLANK(S155),"",AU155/Macroindicadores!D$2)</f>
        <v>0</v>
      </c>
      <c r="BJ155" s="39">
        <f>IF(ISBLANK(T155),"",AV155/Macroindicadores!E$2)</f>
        <v>0</v>
      </c>
      <c r="BK155" s="39">
        <f>IF(ISBLANK(U155),"",AW155/Macroindicadores!F$2)</f>
        <v>0</v>
      </c>
      <c r="BL155" s="39">
        <f>IF(ISBLANK(V155),"",AX155/Macroindicadores!G$2)</f>
        <v>0</v>
      </c>
      <c r="BM155" s="39">
        <f>IF(ISBLANK(W155),"",AY155/Macroindicadores!H$2)</f>
        <v>0</v>
      </c>
      <c r="BN155" s="39">
        <f>IF(ISBLANK(X155),"",AZ155/Macroindicadores!I$2)</f>
        <v>0</v>
      </c>
      <c r="BO155" s="39">
        <f>IF(ISBLANK(Y155),"",BA155/Macroindicadores!J$2)</f>
        <v>0</v>
      </c>
      <c r="BP155" s="39">
        <f>IF(ISBLANK(Z155),"",BB155/Macroindicadores!K$2)</f>
        <v>0</v>
      </c>
      <c r="BQ155" s="39">
        <f>IF(ISBLANK(AA155),"",BC155/Macroindicadores!L$2)</f>
        <v>0</v>
      </c>
      <c r="BR155" s="39">
        <f>IF(ISBLANK(AB155),"",BD155/Macroindicadores!M$2)</f>
        <v>0</v>
      </c>
      <c r="BS155" s="40">
        <f>IF(AND(ISBLANK($Q155),ISBLANK($R155),ISBLANK($S155),ISBLANK($T155),ISBLANK($U155),ISBLANK($V155),ISBLANK($W155),ISBLANK($X155),ISBLANK($Y155),ISBLANK($Z155),ISBLANK($AA155),ISBLANK($AB155)),"",SUM(BG155:BR155))</f>
        <v>0</v>
      </c>
      <c r="BT155" s="25" t="str">
        <f>IF(ISBLANK($L155),"",_xlfn.XLOOKUP($L155,'CENTRO CUSTO'!$A:$A,'CENTRO CUSTO'!$E:$E,FALSE,0))</f>
        <v>Custo Fixo</v>
      </c>
    </row>
    <row r="156" spans="1:72">
      <c r="A156" s="9" t="str">
        <f t="shared" si="72"/>
        <v>Budget</v>
      </c>
      <c r="B156" s="9">
        <f t="shared" si="74"/>
        <v>2026</v>
      </c>
      <c r="C156" s="18" t="str">
        <f>IF(ISBLANK($L156),"",_xlfn.XLOOKUP($L156,'CENTRO CUSTO'!$A:$A,'CENTRO CUSTO'!F:F,FALSE,0))</f>
        <v>Martini Meat</v>
      </c>
      <c r="D156" s="111" t="str">
        <f>IF(ISBLANK($L156),"",_xlfn.XLOOKUP($L156,'CENTRO CUSTO'!$A:$A,'CENTRO CUSTO'!G:G,FALSE,0))</f>
        <v>Recife 2</v>
      </c>
      <c r="E156" s="18" t="str">
        <f>IF(ISBLANK($L156),"",_xlfn.XLOOKUP($L156,'CENTRO CUSTO'!$A:$A,'CENTRO CUSTO'!H:H,FALSE,0))</f>
        <v>Frigorífico</v>
      </c>
      <c r="F156" s="10" t="s">
        <v>173</v>
      </c>
      <c r="G156" s="10" t="s">
        <v>123</v>
      </c>
      <c r="H156" s="10" t="s">
        <v>174</v>
      </c>
      <c r="I156" s="11" t="s">
        <v>77</v>
      </c>
      <c r="J156" s="11" t="s">
        <v>78</v>
      </c>
      <c r="K156" s="11" t="s">
        <v>79</v>
      </c>
      <c r="L156" s="11" t="s">
        <v>31</v>
      </c>
      <c r="M156" s="18" t="str">
        <f>IF(ISBLANK($L156),"",_xlfn.XLOOKUP($L156,'CENTRO CUSTO'!$A:$A,'CENTRO CUSTO'!D:D,FALSE,0))</f>
        <v>Alexandre Ayabe</v>
      </c>
      <c r="N156" s="11" t="s">
        <v>175</v>
      </c>
      <c r="O156" s="12"/>
      <c r="P156" s="11" t="s">
        <v>81</v>
      </c>
      <c r="Q156" s="41">
        <v>0</v>
      </c>
      <c r="R156" s="41">
        <v>0</v>
      </c>
      <c r="S156" s="41">
        <v>0</v>
      </c>
      <c r="T156" s="41">
        <v>0</v>
      </c>
      <c r="U156" s="41">
        <v>0</v>
      </c>
      <c r="V156" s="41">
        <v>0</v>
      </c>
      <c r="W156" s="41">
        <v>0</v>
      </c>
      <c r="X156" s="41">
        <v>0</v>
      </c>
      <c r="Y156" s="41">
        <v>0</v>
      </c>
      <c r="Z156" s="41">
        <v>0</v>
      </c>
      <c r="AA156" s="41">
        <v>0</v>
      </c>
      <c r="AB156" s="41">
        <v>0</v>
      </c>
      <c r="AC156" s="116">
        <f t="shared" si="73"/>
        <v>0</v>
      </c>
      <c r="AE156" s="39">
        <f>IF(ISBLANK(Q156),"",IF($P156="BRL",Q156,Q156*Macroindicadores!B$2)/1000)</f>
        <v>0</v>
      </c>
      <c r="AF156" s="39">
        <f>IF(ISBLANK(R156),"",IF($P156="BRL",R156,R156*Macroindicadores!C$2)/1000)</f>
        <v>0</v>
      </c>
      <c r="AG156" s="39">
        <f>IF(ISBLANK(S156),"",IF($P156="BRL",S156,S156*Macroindicadores!D$2)/1000)</f>
        <v>0</v>
      </c>
      <c r="AH156" s="39">
        <f>IF(ISBLANK(T156),"",IF($P156="BRL",T156,T156*Macroindicadores!E$2)/1000)</f>
        <v>0</v>
      </c>
      <c r="AI156" s="39">
        <f>IF(ISBLANK(U156),"",IF($P156="BRL",U156,U156*Macroindicadores!F$2)/1000)</f>
        <v>0</v>
      </c>
      <c r="AJ156" s="39">
        <f>IF(ISBLANK(V156),"",IF($P156="BRL",V156,V156*Macroindicadores!G$2)/1000)</f>
        <v>0</v>
      </c>
      <c r="AK156" s="39">
        <f>IF(ISBLANK(W156),"",IF($P156="BRL",W156,W156*Macroindicadores!H$2)/1000)</f>
        <v>0</v>
      </c>
      <c r="AL156" s="39">
        <f>IF(ISBLANK(X156),"",IF($P156="BRL",X156,X156*Macroindicadores!I$2)/1000)</f>
        <v>0</v>
      </c>
      <c r="AM156" s="39">
        <f>IF(ISBLANK(Y156),"",IF($P156="BRL",Y156,Y156*Macroindicadores!J$2)/1000)</f>
        <v>0</v>
      </c>
      <c r="AN156" s="39">
        <f>IF(ISBLANK(Z156),"",IF($P156="BRL",Z156,Z156*Macroindicadores!K$2)/1000)</f>
        <v>0</v>
      </c>
      <c r="AO156" s="39">
        <f>IF(ISBLANK(AA156),"",IF($P156="BRL",AA156,AA156*Macroindicadores!L$2)/1000)</f>
        <v>0</v>
      </c>
      <c r="AP156" s="39">
        <f>IF(ISBLANK(AB156),"",IF($P156="BRL",AB156,AB156*Macroindicadores!M$2)/1000)</f>
        <v>0</v>
      </c>
      <c r="AQ156" s="40">
        <f t="shared" si="70"/>
        <v>0</v>
      </c>
      <c r="AS156" s="39">
        <f>IF(ISBLANK(Q156),"",IF(ISBLANK($O156),AE156,IF($J156="ANUAL",AE156*(1+Macroindicadores!B$7),IF(AND($I156="NOVO",MONTH($O156)=MONTH(AS$4)),AE156*(1+Macroindicadores!B$7),IF(AND($J156="PONTUAL",MONTH($O156)=MONTH(AS$4)),AE156*(1+Macroindicadores!B$7),IF(AND($J156="PONTUAL",MONTH($O156)&lt;MONTH(AS$4)),MIN(AR156:$AS156),IF(AND($I156="NOVO",MONTH($O156)&gt;MONTH(AS$4)),AE156,IF(MONTH($O156)&gt;MONTH(AS$4),AE156,IF(MONTH($O156)=MONTH(AS$4),AE156*(1+Macroindicadores!B$7),AR156)))))))))</f>
        <v>0</v>
      </c>
      <c r="AT156" s="39">
        <f>IF(ISBLANK(R156),"",IF(ISBLANK($O156),AF156,IF($J156="ANUAL",AF156*(1+Macroindicadores!C$7),IF(AND($I156="NOVO",MONTH($O156)=MONTH(AT$4)),AF156*(1+Macroindicadores!C$7),IF(AND($J156="PONTUAL",MONTH($O156)=MONTH(AT$4)),AF156*(1+Macroindicadores!C$7),IF(AND($J156="PONTUAL",MONTH($O156)&lt;MONTH(AT$4)),MIN($AS156:AS156),IF(AND($I156="NOVO",MONTH($O156)&gt;MONTH(AT$4)),AF156,IF(MONTH($O156)&gt;MONTH(AT$4),AF156,IF(MONTH($O156)=MONTH(AT$4),AF156*(1+Macroindicadores!C$7),AS156)))))))))</f>
        <v>0</v>
      </c>
      <c r="AU156" s="39">
        <f>IF(ISBLANK(S156),"",IF(ISBLANK($O156),AG156,IF($J156="ANUAL",AG156*(1+Macroindicadores!D$7),IF(AND($I156="NOVO",MONTH($O156)=MONTH(AU$4)),AG156*(1+Macroindicadores!D$7),IF(AND($J156="PONTUAL",MONTH($O156)=MONTH(AU$4)),AG156*(1+Macroindicadores!D$7),IF(AND($J156="PONTUAL",MONTH($O156)&lt;MONTH(AU$4)),MIN($AS156:AT156),IF(AND($I156="NOVO",MONTH($O156)&gt;MONTH(AU$4)),AG156,IF(MONTH($O156)&gt;MONTH(AU$4),AG156,IF(MONTH($O156)=MONTH(AU$4),AG156*(1+Macroindicadores!D$7),AT156)))))))))</f>
        <v>0</v>
      </c>
      <c r="AV156" s="39">
        <f>IF(ISBLANK(T156),"",IF(ISBLANK($O156),AH156,IF($J156="ANUAL",AH156*(1+Macroindicadores!E$7),IF(AND($I156="NOVO",MONTH($O156)=MONTH(AV$4)),AH156*(1+Macroindicadores!E$7),IF(AND($J156="PONTUAL",MONTH($O156)=MONTH(AV$4)),AH156*(1+Macroindicadores!E$7),IF(AND($J156="PONTUAL",MONTH($O156)&lt;MONTH(AV$4)),MIN($AS156:AU156),IF(AND($I156="NOVO",MONTH($O156)&gt;MONTH(AV$4)),AH156,IF(MONTH($O156)&gt;MONTH(AV$4),AH156,IF(MONTH($O156)=MONTH(AV$4),AH156*(1+Macroindicadores!E$7),AU156)))))))))</f>
        <v>0</v>
      </c>
      <c r="AW156" s="39">
        <f>IF(ISBLANK(U156),"",IF(ISBLANK($O156),AI156,IF($J156="ANUAL",AI156*(1+Macroindicadores!F$7),IF(AND($I156="NOVO",MONTH($O156)=MONTH(AW$4)),AI156*(1+Macroindicadores!F$7),IF(AND($J156="PONTUAL",MONTH($O156)=MONTH(AW$4)),AI156*(1+Macroindicadores!F$7),IF(AND($J156="PONTUAL",MONTH($O156)&lt;MONTH(AW$4)),MIN($AS156:AV156),IF(AND($I156="NOVO",MONTH($O156)&gt;MONTH(AW$4)),AI156,IF(MONTH($O156)&gt;MONTH(AW$4),AI156,IF(MONTH($O156)=MONTH(AW$4),AI156*(1+Macroindicadores!F$7),AV156)))))))))</f>
        <v>0</v>
      </c>
      <c r="AX156" s="39">
        <f>IF(ISBLANK(V156),"",IF(ISBLANK($O156),AJ156,IF($J156="ANUAL",AJ156*(1+Macroindicadores!G$7),IF(AND($I156="NOVO",MONTH($O156)=MONTH(AX$4)),AJ156*(1+Macroindicadores!G$7),IF(AND($J156="PONTUAL",MONTH($O156)=MONTH(AX$4)),AJ156*(1+Macroindicadores!G$7),IF(AND($J156="PONTUAL",MONTH($O156)&lt;MONTH(AX$4)),MIN($AS156:AW156),IF(AND($I156="NOVO",MONTH($O156)&gt;MONTH(AX$4)),AJ156,IF(MONTH($O156)&gt;MONTH(AX$4),AJ156,IF(MONTH($O156)=MONTH(AX$4),AJ156*(1+Macroindicadores!G$7),AW156)))))))))</f>
        <v>0</v>
      </c>
      <c r="AY156" s="39">
        <f>IF(ISBLANK(W156),"",IF(ISBLANK($O156),AK156,IF($J156="ANUAL",AK156*(1+Macroindicadores!H$7),IF(AND($I156="NOVO",MONTH($O156)=MONTH(AY$4)),AK156*(1+Macroindicadores!H$7),IF(AND($J156="PONTUAL",MONTH($O156)=MONTH(AY$4)),AK156*(1+Macroindicadores!H$7),IF(AND($J156="PONTUAL",MONTH($O156)&lt;MONTH(AY$4)),MIN($AS156:AX156),IF(AND($I156="NOVO",MONTH($O156)&gt;MONTH(AY$4)),AK156,IF(MONTH($O156)&gt;MONTH(AY$4),AK156,IF(MONTH($O156)=MONTH(AY$4),AK156*(1+Macroindicadores!H$7),AX156)))))))))</f>
        <v>0</v>
      </c>
      <c r="AZ156" s="39">
        <f>IF(ISBLANK(X156),"",IF(ISBLANK($O156),AL156,IF($J156="ANUAL",AL156*(1+Macroindicadores!I$7),IF(AND($I156="NOVO",MONTH($O156)=MONTH(AZ$4)),AL156*(1+Macroindicadores!I$7),IF(AND($J156="PONTUAL",MONTH($O156)=MONTH(AZ$4)),AL156*(1+Macroindicadores!I$7),IF(AND($J156="PONTUAL",MONTH($O156)&lt;MONTH(AZ$4)),MIN($AS156:AY156),IF(AND($I156="NOVO",MONTH($O156)&gt;MONTH(AZ$4)),AL156,IF(MONTH($O156)&gt;MONTH(AZ$4),AL156,IF(MONTH($O156)=MONTH(AZ$4),AL156*(1+Macroindicadores!I$7),AY156)))))))))</f>
        <v>0</v>
      </c>
      <c r="BA156" s="39">
        <f>IF(ISBLANK(Y156),"",IF(ISBLANK($O156),AM156,IF($J156="ANUAL",AM156*(1+Macroindicadores!J$7),IF(AND($I156="NOVO",MONTH($O156)=MONTH(BA$4)),AM156*(1+Macroindicadores!J$7),IF(AND($J156="PONTUAL",MONTH($O156)=MONTH(BA$4)),AM156*(1+Macroindicadores!J$7),IF(AND($J156="PONTUAL",MONTH($O156)&lt;MONTH(BA$4)),MIN($AS156:AZ156),IF(AND($I156="NOVO",MONTH($O156)&gt;MONTH(BA$4)),AM156,IF(MONTH($O156)&gt;MONTH(BA$4),AM156,IF(MONTH($O156)=MONTH(BA$4),AM156*(1+Macroindicadores!J$7),AZ156)))))))))</f>
        <v>0</v>
      </c>
      <c r="BB156" s="39">
        <f>IF(ISBLANK(Z156),"",IF(ISBLANK($O156),AN156,IF($J156="ANUAL",AN156*(1+Macroindicadores!K$7),IF(AND($I156="NOVO",MONTH($O156)=MONTH(BB$4)),AN156*(1+Macroindicadores!K$7),IF(AND($J156="PONTUAL",MONTH($O156)=MONTH(BB$4)),AN156*(1+Macroindicadores!K$7),IF(AND($J156="PONTUAL",MONTH($O156)&lt;MONTH(BB$4)),MIN($AS156:BA156),IF(AND($I156="NOVO",MONTH($O156)&gt;MONTH(BB$4)),AN156,IF(MONTH($O156)&gt;MONTH(BB$4),AN156,IF(MONTH($O156)=MONTH(BB$4),AN156*(1+Macroindicadores!K$7),BA156)))))))))</f>
        <v>0</v>
      </c>
      <c r="BC156" s="39">
        <f>IF(ISBLANK(AA156),"",IF(ISBLANK($O156),AO156,IF($J156="ANUAL",AO156*(1+Macroindicadores!L$7),IF(AND($I156="NOVO",MONTH($O156)=MONTH(BC$4)),AO156*(1+Macroindicadores!L$7),IF(AND($J156="PONTUAL",MONTH($O156)=MONTH(BC$4)),AO156*(1+Macroindicadores!L$7),IF(AND($J156="PONTUAL",MONTH($O156)&lt;MONTH(BC$4)),MIN($AS156:BB156),IF(AND($I156="NOVO",MONTH($O156)&gt;MONTH(BC$4)),AO156,IF(MONTH($O156)&gt;MONTH(BC$4),AO156,IF(MONTH($O156)=MONTH(BC$4),AO156*(1+Macroindicadores!L$7),BB156)))))))))</f>
        <v>0</v>
      </c>
      <c r="BD156" s="39">
        <f>IF(ISBLANK(AB156),"",IF(ISBLANK($O156),AP156,IF($J156="ANUAL",AP156*(1+Macroindicadores!M$7),IF(AND($I156="NOVO",MONTH($O156)=MONTH(BD$4)),AP156*(1+Macroindicadores!M$7),IF(AND($J156="PONTUAL",MONTH($O156)=MONTH(BD$4)),AP156*(1+Macroindicadores!M$7),IF(AND($J156="PONTUAL",MONTH($O156)&lt;MONTH(BD$4)),MIN($AS156:BC156),IF(AND($I156="NOVO",MONTH($O156)&gt;MONTH(BD$4)),AP156,IF(MONTH($O156)&gt;MONTH(BD$4),AP156,IF(MONTH($O156)=MONTH(BD$4),AP156*(1+Macroindicadores!M$7),BC156)))))))))</f>
        <v>0</v>
      </c>
      <c r="BE156" s="40">
        <f t="shared" si="71"/>
        <v>0</v>
      </c>
      <c r="BG156" s="39">
        <f>IF(ISBLANK(Q156),"",AS156/Macroindicadores!B$2)</f>
        <v>0</v>
      </c>
      <c r="BH156" s="39">
        <f>IF(ISBLANK(R156),"",AT156/Macroindicadores!C$2)</f>
        <v>0</v>
      </c>
      <c r="BI156" s="39">
        <f>IF(ISBLANK(S156),"",AU156/Macroindicadores!D$2)</f>
        <v>0</v>
      </c>
      <c r="BJ156" s="39">
        <f>IF(ISBLANK(T156),"",AV156/Macroindicadores!E$2)</f>
        <v>0</v>
      </c>
      <c r="BK156" s="39">
        <f>IF(ISBLANK(U156),"",AW156/Macroindicadores!F$2)</f>
        <v>0</v>
      </c>
      <c r="BL156" s="39">
        <f>IF(ISBLANK(V156),"",AX156/Macroindicadores!G$2)</f>
        <v>0</v>
      </c>
      <c r="BM156" s="39">
        <f>IF(ISBLANK(W156),"",AY156/Macroindicadores!H$2)</f>
        <v>0</v>
      </c>
      <c r="BN156" s="39">
        <f>IF(ISBLANK(X156),"",AZ156/Macroindicadores!I$2)</f>
        <v>0</v>
      </c>
      <c r="BO156" s="39">
        <f>IF(ISBLANK(Y156),"",BA156/Macroindicadores!J$2)</f>
        <v>0</v>
      </c>
      <c r="BP156" s="39">
        <f>IF(ISBLANK(Z156),"",BB156/Macroindicadores!K$2)</f>
        <v>0</v>
      </c>
      <c r="BQ156" s="39">
        <f>IF(ISBLANK(AA156),"",BC156/Macroindicadores!L$2)</f>
        <v>0</v>
      </c>
      <c r="BR156" s="39">
        <f>IF(ISBLANK(AB156),"",BD156/Macroindicadores!M$2)</f>
        <v>0</v>
      </c>
      <c r="BS156" s="40">
        <f>IF(AND(ISBLANK($Q156),ISBLANK($R156),ISBLANK($S156),ISBLANK($T156),ISBLANK($U156),ISBLANK($V156),ISBLANK($W156),ISBLANK($X156),ISBLANK($Y156),ISBLANK($Z156),ISBLANK($AA156),ISBLANK($AB156)),"",SUM(BG156:BR156))</f>
        <v>0</v>
      </c>
      <c r="BT156" s="25" t="str">
        <f>IF(ISBLANK($L156),"",_xlfn.XLOOKUP($L156,'CENTRO CUSTO'!$A:$A,'CENTRO CUSTO'!$E:$E,FALSE,0))</f>
        <v>Custo Fixo</v>
      </c>
    </row>
    <row r="157" spans="1:72">
      <c r="A157" s="9" t="str">
        <f t="shared" si="72"/>
        <v>Budget</v>
      </c>
      <c r="B157" s="9">
        <f t="shared" si="74"/>
        <v>2026</v>
      </c>
      <c r="C157" s="18" t="str">
        <f>IF(ISBLANK($L157),"",_xlfn.XLOOKUP($L157,'CENTRO CUSTO'!$A:$A,'CENTRO CUSTO'!F:F,FALSE,0))</f>
        <v>Martini Meat</v>
      </c>
      <c r="D157" s="111" t="str">
        <f>IF(ISBLANK($L157),"",_xlfn.XLOOKUP($L157,'CENTRO CUSTO'!$A:$A,'CENTRO CUSTO'!G:G,FALSE,0))</f>
        <v>Recife 2</v>
      </c>
      <c r="E157" s="18" t="str">
        <f>IF(ISBLANK($L157),"",_xlfn.XLOOKUP($L157,'CENTRO CUSTO'!$A:$A,'CENTRO CUSTO'!H:H,FALSE,0))</f>
        <v>Frigorífico</v>
      </c>
      <c r="F157" s="10" t="s">
        <v>173</v>
      </c>
      <c r="G157" s="10" t="s">
        <v>123</v>
      </c>
      <c r="H157" s="10" t="s">
        <v>174</v>
      </c>
      <c r="I157" s="11" t="s">
        <v>77</v>
      </c>
      <c r="J157" s="11" t="s">
        <v>78</v>
      </c>
      <c r="K157" s="11" t="s">
        <v>79</v>
      </c>
      <c r="L157" s="11" t="s">
        <v>31</v>
      </c>
      <c r="M157" s="18" t="str">
        <f>IF(ISBLANK($L157),"",_xlfn.XLOOKUP($L157,'CENTRO CUSTO'!$A:$A,'CENTRO CUSTO'!D:D,FALSE,0))</f>
        <v>Alexandre Ayabe</v>
      </c>
      <c r="N157" s="11" t="s">
        <v>175</v>
      </c>
      <c r="O157" s="12"/>
      <c r="P157" s="11" t="s">
        <v>81</v>
      </c>
      <c r="Q157" s="41">
        <v>12000</v>
      </c>
      <c r="R157" s="41">
        <v>12000</v>
      </c>
      <c r="S157" s="41">
        <v>12000</v>
      </c>
      <c r="T157" s="41">
        <v>12000</v>
      </c>
      <c r="U157" s="41">
        <v>12000</v>
      </c>
      <c r="V157" s="41">
        <v>12000</v>
      </c>
      <c r="W157" s="41">
        <v>12000</v>
      </c>
      <c r="X157" s="41">
        <v>12000</v>
      </c>
      <c r="Y157" s="41">
        <v>12000</v>
      </c>
      <c r="Z157" s="41">
        <v>12000</v>
      </c>
      <c r="AA157" s="41">
        <v>12000</v>
      </c>
      <c r="AB157" s="41">
        <v>12000</v>
      </c>
      <c r="AC157" s="116">
        <f t="shared" si="73"/>
        <v>144000</v>
      </c>
      <c r="AE157" s="39">
        <f>IF(ISBLANK(Q157),"",IF($P157="BRL",Q157,Q157*Macroindicadores!B$2)/1000)</f>
        <v>12</v>
      </c>
      <c r="AF157" s="39">
        <f>IF(ISBLANK(R157),"",IF($P157="BRL",R157,R157*Macroindicadores!C$2)/1000)</f>
        <v>12</v>
      </c>
      <c r="AG157" s="39">
        <f>IF(ISBLANK(S157),"",IF($P157="BRL",S157,S157*Macroindicadores!D$2)/1000)</f>
        <v>12</v>
      </c>
      <c r="AH157" s="39">
        <f>IF(ISBLANK(T157),"",IF($P157="BRL",T157,T157*Macroindicadores!E$2)/1000)</f>
        <v>12</v>
      </c>
      <c r="AI157" s="39">
        <f>IF(ISBLANK(U157),"",IF($P157="BRL",U157,U157*Macroindicadores!F$2)/1000)</f>
        <v>12</v>
      </c>
      <c r="AJ157" s="39">
        <f>IF(ISBLANK(V157),"",IF($P157="BRL",V157,V157*Macroindicadores!G$2)/1000)</f>
        <v>12</v>
      </c>
      <c r="AK157" s="39">
        <f>IF(ISBLANK(W157),"",IF($P157="BRL",W157,W157*Macroindicadores!H$2)/1000)</f>
        <v>12</v>
      </c>
      <c r="AL157" s="39">
        <f>IF(ISBLANK(X157),"",IF($P157="BRL",X157,X157*Macroindicadores!I$2)/1000)</f>
        <v>12</v>
      </c>
      <c r="AM157" s="39">
        <f>IF(ISBLANK(Y157),"",IF($P157="BRL",Y157,Y157*Macroindicadores!J$2)/1000)</f>
        <v>12</v>
      </c>
      <c r="AN157" s="39">
        <f>IF(ISBLANK(Z157),"",IF($P157="BRL",Z157,Z157*Macroindicadores!K$2)/1000)</f>
        <v>12</v>
      </c>
      <c r="AO157" s="39">
        <f>IF(ISBLANK(AA157),"",IF($P157="BRL",AA157,AA157*Macroindicadores!L$2)/1000)</f>
        <v>12</v>
      </c>
      <c r="AP157" s="39">
        <f>IF(ISBLANK(AB157),"",IF($P157="BRL",AB157,AB157*Macroindicadores!M$2)/1000)</f>
        <v>12</v>
      </c>
      <c r="AQ157" s="40">
        <f t="shared" si="70"/>
        <v>144</v>
      </c>
      <c r="AS157" s="39">
        <f>IF(ISBLANK(Q157),"",IF(ISBLANK($O157),AE157,IF($J157="ANUAL",AE157*(1+Macroindicadores!B$7),IF(AND($I157="NOVO",MONTH($O157)=MONTH(AS$4)),AE157*(1+Macroindicadores!B$7),IF(AND($J157="PONTUAL",MONTH($O157)=MONTH(AS$4)),AE157*(1+Macroindicadores!B$7),IF(AND($J157="PONTUAL",MONTH($O157)&lt;MONTH(AS$4)),MIN(AR157:$AS157),IF(AND($I157="NOVO",MONTH($O157)&gt;MONTH(AS$4)),AE157,IF(MONTH($O157)&gt;MONTH(AS$4),AE157,IF(MONTH($O157)=MONTH(AS$4),AE157*(1+Macroindicadores!B$7),AR157)))))))))</f>
        <v>12</v>
      </c>
      <c r="AT157" s="39">
        <f>IF(ISBLANK(R157),"",IF(ISBLANK($O157),AF157,IF($J157="ANUAL",AF157*(1+Macroindicadores!C$7),IF(AND($I157="NOVO",MONTH($O157)=MONTH(AT$4)),AF157*(1+Macroindicadores!C$7),IF(AND($J157="PONTUAL",MONTH($O157)=MONTH(AT$4)),AF157*(1+Macroindicadores!C$7),IF(AND($J157="PONTUAL",MONTH($O157)&lt;MONTH(AT$4)),MIN($AS157:AS157),IF(AND($I157="NOVO",MONTH($O157)&gt;MONTH(AT$4)),AF157,IF(MONTH($O157)&gt;MONTH(AT$4),AF157,IF(MONTH($O157)=MONTH(AT$4),AF157*(1+Macroindicadores!C$7),AS157)))))))))</f>
        <v>12</v>
      </c>
      <c r="AU157" s="39">
        <f>IF(ISBLANK(S157),"",IF(ISBLANK($O157),AG157,IF($J157="ANUAL",AG157*(1+Macroindicadores!D$7),IF(AND($I157="NOVO",MONTH($O157)=MONTH(AU$4)),AG157*(1+Macroindicadores!D$7),IF(AND($J157="PONTUAL",MONTH($O157)=MONTH(AU$4)),AG157*(1+Macroindicadores!D$7),IF(AND($J157="PONTUAL",MONTH($O157)&lt;MONTH(AU$4)),MIN($AS157:AT157),IF(AND($I157="NOVO",MONTH($O157)&gt;MONTH(AU$4)),AG157,IF(MONTH($O157)&gt;MONTH(AU$4),AG157,IF(MONTH($O157)=MONTH(AU$4),AG157*(1+Macroindicadores!D$7),AT157)))))))))</f>
        <v>12</v>
      </c>
      <c r="AV157" s="39">
        <f>IF(ISBLANK(T157),"",IF(ISBLANK($O157),AH157,IF($J157="ANUAL",AH157*(1+Macroindicadores!E$7),IF(AND($I157="NOVO",MONTH($O157)=MONTH(AV$4)),AH157*(1+Macroindicadores!E$7),IF(AND($J157="PONTUAL",MONTH($O157)=MONTH(AV$4)),AH157*(1+Macroindicadores!E$7),IF(AND($J157="PONTUAL",MONTH($O157)&lt;MONTH(AV$4)),MIN($AS157:AU157),IF(AND($I157="NOVO",MONTH($O157)&gt;MONTH(AV$4)),AH157,IF(MONTH($O157)&gt;MONTH(AV$4),AH157,IF(MONTH($O157)=MONTH(AV$4),AH157*(1+Macroindicadores!E$7),AU157)))))))))</f>
        <v>12</v>
      </c>
      <c r="AW157" s="39">
        <f>IF(ISBLANK(U157),"",IF(ISBLANK($O157),AI157,IF($J157="ANUAL",AI157*(1+Macroindicadores!F$7),IF(AND($I157="NOVO",MONTH($O157)=MONTH(AW$4)),AI157*(1+Macroindicadores!F$7),IF(AND($J157="PONTUAL",MONTH($O157)=MONTH(AW$4)),AI157*(1+Macroindicadores!F$7),IF(AND($J157="PONTUAL",MONTH($O157)&lt;MONTH(AW$4)),MIN($AS157:AV157),IF(AND($I157="NOVO",MONTH($O157)&gt;MONTH(AW$4)),AI157,IF(MONTH($O157)&gt;MONTH(AW$4),AI157,IF(MONTH($O157)=MONTH(AW$4),AI157*(1+Macroindicadores!F$7),AV157)))))))))</f>
        <v>12</v>
      </c>
      <c r="AX157" s="39">
        <f>IF(ISBLANK(V157),"",IF(ISBLANK($O157),AJ157,IF($J157="ANUAL",AJ157*(1+Macroindicadores!G$7),IF(AND($I157="NOVO",MONTH($O157)=MONTH(AX$4)),AJ157*(1+Macroindicadores!G$7),IF(AND($J157="PONTUAL",MONTH($O157)=MONTH(AX$4)),AJ157*(1+Macroindicadores!G$7),IF(AND($J157="PONTUAL",MONTH($O157)&lt;MONTH(AX$4)),MIN($AS157:AW157),IF(AND($I157="NOVO",MONTH($O157)&gt;MONTH(AX$4)),AJ157,IF(MONTH($O157)&gt;MONTH(AX$4),AJ157,IF(MONTH($O157)=MONTH(AX$4),AJ157*(1+Macroindicadores!G$7),AW157)))))))))</f>
        <v>12</v>
      </c>
      <c r="AY157" s="39">
        <f>IF(ISBLANK(W157),"",IF(ISBLANK($O157),AK157,IF($J157="ANUAL",AK157*(1+Macroindicadores!H$7),IF(AND($I157="NOVO",MONTH($O157)=MONTH(AY$4)),AK157*(1+Macroindicadores!H$7),IF(AND($J157="PONTUAL",MONTH($O157)=MONTH(AY$4)),AK157*(1+Macroindicadores!H$7),IF(AND($J157="PONTUAL",MONTH($O157)&lt;MONTH(AY$4)),MIN($AS157:AX157),IF(AND($I157="NOVO",MONTH($O157)&gt;MONTH(AY$4)),AK157,IF(MONTH($O157)&gt;MONTH(AY$4),AK157,IF(MONTH($O157)=MONTH(AY$4),AK157*(1+Macroindicadores!H$7),AX157)))))))))</f>
        <v>12</v>
      </c>
      <c r="AZ157" s="39">
        <f>IF(ISBLANK(X157),"",IF(ISBLANK($O157),AL157,IF($J157="ANUAL",AL157*(1+Macroindicadores!I$7),IF(AND($I157="NOVO",MONTH($O157)=MONTH(AZ$4)),AL157*(1+Macroindicadores!I$7),IF(AND($J157="PONTUAL",MONTH($O157)=MONTH(AZ$4)),AL157*(1+Macroindicadores!I$7),IF(AND($J157="PONTUAL",MONTH($O157)&lt;MONTH(AZ$4)),MIN($AS157:AY157),IF(AND($I157="NOVO",MONTH($O157)&gt;MONTH(AZ$4)),AL157,IF(MONTH($O157)&gt;MONTH(AZ$4),AL157,IF(MONTH($O157)=MONTH(AZ$4),AL157*(1+Macroindicadores!I$7),AY157)))))))))</f>
        <v>12</v>
      </c>
      <c r="BA157" s="39">
        <f>IF(ISBLANK(Y157),"",IF(ISBLANK($O157),AM157,IF($J157="ANUAL",AM157*(1+Macroindicadores!J$7),IF(AND($I157="NOVO",MONTH($O157)=MONTH(BA$4)),AM157*(1+Macroindicadores!J$7),IF(AND($J157="PONTUAL",MONTH($O157)=MONTH(BA$4)),AM157*(1+Macroindicadores!J$7),IF(AND($J157="PONTUAL",MONTH($O157)&lt;MONTH(BA$4)),MIN($AS157:AZ157),IF(AND($I157="NOVO",MONTH($O157)&gt;MONTH(BA$4)),AM157,IF(MONTH($O157)&gt;MONTH(BA$4),AM157,IF(MONTH($O157)=MONTH(BA$4),AM157*(1+Macroindicadores!J$7),AZ157)))))))))</f>
        <v>12</v>
      </c>
      <c r="BB157" s="39">
        <f>IF(ISBLANK(Z157),"",IF(ISBLANK($O157),AN157,IF($J157="ANUAL",AN157*(1+Macroindicadores!K$7),IF(AND($I157="NOVO",MONTH($O157)=MONTH(BB$4)),AN157*(1+Macroindicadores!K$7),IF(AND($J157="PONTUAL",MONTH($O157)=MONTH(BB$4)),AN157*(1+Macroindicadores!K$7),IF(AND($J157="PONTUAL",MONTH($O157)&lt;MONTH(BB$4)),MIN($AS157:BA157),IF(AND($I157="NOVO",MONTH($O157)&gt;MONTH(BB$4)),AN157,IF(MONTH($O157)&gt;MONTH(BB$4),AN157,IF(MONTH($O157)=MONTH(BB$4),AN157*(1+Macroindicadores!K$7),BA157)))))))))</f>
        <v>12</v>
      </c>
      <c r="BC157" s="39">
        <f>IF(ISBLANK(AA157),"",IF(ISBLANK($O157),AO157,IF($J157="ANUAL",AO157*(1+Macroindicadores!L$7),IF(AND($I157="NOVO",MONTH($O157)=MONTH(BC$4)),AO157*(1+Macroindicadores!L$7),IF(AND($J157="PONTUAL",MONTH($O157)=MONTH(BC$4)),AO157*(1+Macroindicadores!L$7),IF(AND($J157="PONTUAL",MONTH($O157)&lt;MONTH(BC$4)),MIN($AS157:BB157),IF(AND($I157="NOVO",MONTH($O157)&gt;MONTH(BC$4)),AO157,IF(MONTH($O157)&gt;MONTH(BC$4),AO157,IF(MONTH($O157)=MONTH(BC$4),AO157*(1+Macroindicadores!L$7),BB157)))))))))</f>
        <v>12</v>
      </c>
      <c r="BD157" s="39">
        <f>IF(ISBLANK(AB157),"",IF(ISBLANK($O157),AP157,IF($J157="ANUAL",AP157*(1+Macroindicadores!M$7),IF(AND($I157="NOVO",MONTH($O157)=MONTH(BD$4)),AP157*(1+Macroindicadores!M$7),IF(AND($J157="PONTUAL",MONTH($O157)=MONTH(BD$4)),AP157*(1+Macroindicadores!M$7),IF(AND($J157="PONTUAL",MONTH($O157)&lt;MONTH(BD$4)),MIN($AS157:BC157),IF(AND($I157="NOVO",MONTH($O157)&gt;MONTH(BD$4)),AP157,IF(MONTH($O157)&gt;MONTH(BD$4),AP157,IF(MONTH($O157)=MONTH(BD$4),AP157*(1+Macroindicadores!M$7),BC157)))))))))</f>
        <v>12</v>
      </c>
      <c r="BE157" s="40">
        <f t="shared" si="71"/>
        <v>144</v>
      </c>
      <c r="BG157" s="39">
        <f>IF(ISBLANK(Q157),"",AS157/Macroindicadores!B$2)</f>
        <v>2.0408163265306123</v>
      </c>
      <c r="BH157" s="39">
        <f>IF(ISBLANK(R157),"",AT157/Macroindicadores!C$2)</f>
        <v>2.0408163265306123</v>
      </c>
      <c r="BI157" s="39">
        <f>IF(ISBLANK(S157),"",AU157/Macroindicadores!D$2)</f>
        <v>2.0408163265306123</v>
      </c>
      <c r="BJ157" s="39">
        <f>IF(ISBLANK(T157),"",AV157/Macroindicadores!E$2)</f>
        <v>2.0408163265306123</v>
      </c>
      <c r="BK157" s="39">
        <f>IF(ISBLANK(U157),"",AW157/Macroindicadores!F$2)</f>
        <v>2.0408163265306123</v>
      </c>
      <c r="BL157" s="39">
        <f>IF(ISBLANK(V157),"",AX157/Macroindicadores!G$2)</f>
        <v>2.0408163265306123</v>
      </c>
      <c r="BM157" s="39">
        <f>IF(ISBLANK(W157),"",AY157/Macroindicadores!H$2)</f>
        <v>2.0408163265306123</v>
      </c>
      <c r="BN157" s="39">
        <f>IF(ISBLANK(X157),"",AZ157/Macroindicadores!I$2)</f>
        <v>2.0408163265306123</v>
      </c>
      <c r="BO157" s="39">
        <f>IF(ISBLANK(Y157),"",BA157/Macroindicadores!J$2)</f>
        <v>2.0408163265306123</v>
      </c>
      <c r="BP157" s="39">
        <f>IF(ISBLANK(Z157),"",BB157/Macroindicadores!K$2)</f>
        <v>2.0408163265306123</v>
      </c>
      <c r="BQ157" s="39">
        <f>IF(ISBLANK(AA157),"",BC157/Macroindicadores!L$2)</f>
        <v>2.0408163265306123</v>
      </c>
      <c r="BR157" s="39">
        <f>IF(ISBLANK(AB157),"",BD157/Macroindicadores!M$2)</f>
        <v>2.0408163265306123</v>
      </c>
      <c r="BS157" s="40">
        <f>IF(AND(ISBLANK($Q157),ISBLANK($R157),ISBLANK($S157),ISBLANK($T157),ISBLANK($U157),ISBLANK($V157),ISBLANK($W157),ISBLANK($X157),ISBLANK($Y157),ISBLANK($Z157),ISBLANK($AA157),ISBLANK($AB157)),"",SUM(BG157:BR157))</f>
        <v>24.489795918367353</v>
      </c>
      <c r="BT157" s="25" t="str">
        <f>IF(ISBLANK($L157),"",_xlfn.XLOOKUP($L157,'CENTRO CUSTO'!$A:$A,'CENTRO CUSTO'!$E:$E,FALSE,0))</f>
        <v>Custo Fixo</v>
      </c>
    </row>
    <row r="158" spans="1:72">
      <c r="A158" s="9" t="str">
        <f t="shared" si="72"/>
        <v>Budget</v>
      </c>
      <c r="B158" s="9">
        <f t="shared" si="74"/>
        <v>2026</v>
      </c>
      <c r="C158" s="18" t="str">
        <f>IF(ISBLANK($L158),"",_xlfn.XLOOKUP($L158,'CENTRO CUSTO'!$A:$A,'CENTRO CUSTO'!F:F,FALSE,0))</f>
        <v>MRV</v>
      </c>
      <c r="D158" s="111" t="str">
        <f>IF(ISBLANK($L158),"",_xlfn.XLOOKUP($L158,'CENTRO CUSTO'!$A:$A,'CENTRO CUSTO'!G:G,FALSE,0))</f>
        <v>Velopark</v>
      </c>
      <c r="E158" s="18" t="str">
        <f>IF(ISBLANK($L158),"",_xlfn.XLOOKUP($L158,'CENTRO CUSTO'!$A:$A,'CENTRO CUSTO'!H:H,FALSE,0))</f>
        <v>Frigorífico</v>
      </c>
      <c r="F158" s="10" t="s">
        <v>173</v>
      </c>
      <c r="G158" s="10" t="s">
        <v>123</v>
      </c>
      <c r="H158" s="10" t="s">
        <v>174</v>
      </c>
      <c r="I158" s="11" t="s">
        <v>77</v>
      </c>
      <c r="J158" s="11" t="s">
        <v>78</v>
      </c>
      <c r="K158" s="11" t="s">
        <v>79</v>
      </c>
      <c r="L158" s="11" t="s">
        <v>43</v>
      </c>
      <c r="M158" s="18" t="str">
        <f>IF(ISBLANK($L158),"",_xlfn.XLOOKUP($L158,'CENTRO CUSTO'!$A:$A,'CENTRO CUSTO'!D:D,FALSE,0))</f>
        <v>Alexandre Ayabe</v>
      </c>
      <c r="N158" s="11" t="s">
        <v>175</v>
      </c>
      <c r="O158" s="12"/>
      <c r="P158" s="11" t="s">
        <v>81</v>
      </c>
      <c r="Q158" s="41">
        <v>6000</v>
      </c>
      <c r="R158" s="41">
        <v>6000</v>
      </c>
      <c r="S158" s="41">
        <v>6000</v>
      </c>
      <c r="T158" s="41">
        <v>6000</v>
      </c>
      <c r="U158" s="41">
        <v>6000</v>
      </c>
      <c r="V158" s="41">
        <v>6000</v>
      </c>
      <c r="W158" s="41">
        <v>6000</v>
      </c>
      <c r="X158" s="41">
        <v>6000</v>
      </c>
      <c r="Y158" s="41">
        <v>6000</v>
      </c>
      <c r="Z158" s="41">
        <v>6000</v>
      </c>
      <c r="AA158" s="41">
        <v>6000</v>
      </c>
      <c r="AB158" s="41">
        <v>6000</v>
      </c>
      <c r="AC158" s="116">
        <f t="shared" si="73"/>
        <v>72000</v>
      </c>
      <c r="AE158" s="39">
        <f>IF(ISBLANK(Q158),"",IF($P158="BRL",Q158,Q158*Macroindicadores!B$2)/1000)</f>
        <v>6</v>
      </c>
      <c r="AF158" s="39">
        <f>IF(ISBLANK(R158),"",IF($P158="BRL",R158,R158*Macroindicadores!C$2)/1000)</f>
        <v>6</v>
      </c>
      <c r="AG158" s="39">
        <f>IF(ISBLANK(S158),"",IF($P158="BRL",S158,S158*Macroindicadores!D$2)/1000)</f>
        <v>6</v>
      </c>
      <c r="AH158" s="39">
        <f>IF(ISBLANK(T158),"",IF($P158="BRL",T158,T158*Macroindicadores!E$2)/1000)</f>
        <v>6</v>
      </c>
      <c r="AI158" s="39">
        <f>IF(ISBLANK(U158),"",IF($P158="BRL",U158,U158*Macroindicadores!F$2)/1000)</f>
        <v>6</v>
      </c>
      <c r="AJ158" s="39">
        <f>IF(ISBLANK(V158),"",IF($P158="BRL",V158,V158*Macroindicadores!G$2)/1000)</f>
        <v>6</v>
      </c>
      <c r="AK158" s="39">
        <f>IF(ISBLANK(W158),"",IF($P158="BRL",W158,W158*Macroindicadores!H$2)/1000)</f>
        <v>6</v>
      </c>
      <c r="AL158" s="39">
        <f>IF(ISBLANK(X158),"",IF($P158="BRL",X158,X158*Macroindicadores!I$2)/1000)</f>
        <v>6</v>
      </c>
      <c r="AM158" s="39">
        <f>IF(ISBLANK(Y158),"",IF($P158="BRL",Y158,Y158*Macroindicadores!J$2)/1000)</f>
        <v>6</v>
      </c>
      <c r="AN158" s="39">
        <f>IF(ISBLANK(Z158),"",IF($P158="BRL",Z158,Z158*Macroindicadores!K$2)/1000)</f>
        <v>6</v>
      </c>
      <c r="AO158" s="39">
        <f>IF(ISBLANK(AA158),"",IF($P158="BRL",AA158,AA158*Macroindicadores!L$2)/1000)</f>
        <v>6</v>
      </c>
      <c r="AP158" s="39">
        <f>IF(ISBLANK(AB158),"",IF($P158="BRL",AB158,AB158*Macroindicadores!M$2)/1000)</f>
        <v>6</v>
      </c>
      <c r="AQ158" s="40">
        <f t="shared" si="70"/>
        <v>72</v>
      </c>
      <c r="AS158" s="39">
        <f>IF(ISBLANK(Q158),"",IF(ISBLANK($O158),AE158,IF($J158="ANUAL",AE158*(1+Macroindicadores!B$7),IF(AND($I158="NOVO",MONTH($O158)=MONTH(AS$4)),AE158*(1+Macroindicadores!B$7),IF(AND($J158="PONTUAL",MONTH($O158)=MONTH(AS$4)),AE158*(1+Macroindicadores!B$7),IF(AND($J158="PONTUAL",MONTH($O158)&lt;MONTH(AS$4)),MIN(AR158:$AS158),IF(AND($I158="NOVO",MONTH($O158)&gt;MONTH(AS$4)),AE158,IF(MONTH($O158)&gt;MONTH(AS$4),AE158,IF(MONTH($O158)=MONTH(AS$4),AE158*(1+Macroindicadores!B$7),AR158)))))))))</f>
        <v>6</v>
      </c>
      <c r="AT158" s="39">
        <f>IF(ISBLANK(R158),"",IF(ISBLANK($O158),AF158,IF($J158="ANUAL",AF158*(1+Macroindicadores!C$7),IF(AND($I158="NOVO",MONTH($O158)=MONTH(AT$4)),AF158*(1+Macroindicadores!C$7),IF(AND($J158="PONTUAL",MONTH($O158)=MONTH(AT$4)),AF158*(1+Macroindicadores!C$7),IF(AND($J158="PONTUAL",MONTH($O158)&lt;MONTH(AT$4)),MIN($AS158:AS158),IF(AND($I158="NOVO",MONTH($O158)&gt;MONTH(AT$4)),AF158,IF(MONTH($O158)&gt;MONTH(AT$4),AF158,IF(MONTH($O158)=MONTH(AT$4),AF158*(1+Macroindicadores!C$7),AS158)))))))))</f>
        <v>6</v>
      </c>
      <c r="AU158" s="39">
        <f>IF(ISBLANK(S158),"",IF(ISBLANK($O158),AG158,IF($J158="ANUAL",AG158*(1+Macroindicadores!D$7),IF(AND($I158="NOVO",MONTH($O158)=MONTH(AU$4)),AG158*(1+Macroindicadores!D$7),IF(AND($J158="PONTUAL",MONTH($O158)=MONTH(AU$4)),AG158*(1+Macroindicadores!D$7),IF(AND($J158="PONTUAL",MONTH($O158)&lt;MONTH(AU$4)),MIN($AS158:AT158),IF(AND($I158="NOVO",MONTH($O158)&gt;MONTH(AU$4)),AG158,IF(MONTH($O158)&gt;MONTH(AU$4),AG158,IF(MONTH($O158)=MONTH(AU$4),AG158*(1+Macroindicadores!D$7),AT158)))))))))</f>
        <v>6</v>
      </c>
      <c r="AV158" s="39">
        <f>IF(ISBLANK(T158),"",IF(ISBLANK($O158),AH158,IF($J158="ANUAL",AH158*(1+Macroindicadores!E$7),IF(AND($I158="NOVO",MONTH($O158)=MONTH(AV$4)),AH158*(1+Macroindicadores!E$7),IF(AND($J158="PONTUAL",MONTH($O158)=MONTH(AV$4)),AH158*(1+Macroindicadores!E$7),IF(AND($J158="PONTUAL",MONTH($O158)&lt;MONTH(AV$4)),MIN($AS158:AU158),IF(AND($I158="NOVO",MONTH($O158)&gt;MONTH(AV$4)),AH158,IF(MONTH($O158)&gt;MONTH(AV$4),AH158,IF(MONTH($O158)=MONTH(AV$4),AH158*(1+Macroindicadores!E$7),AU158)))))))))</f>
        <v>6</v>
      </c>
      <c r="AW158" s="39">
        <f>IF(ISBLANK(U158),"",IF(ISBLANK($O158),AI158,IF($J158="ANUAL",AI158*(1+Macroindicadores!F$7),IF(AND($I158="NOVO",MONTH($O158)=MONTH(AW$4)),AI158*(1+Macroindicadores!F$7),IF(AND($J158="PONTUAL",MONTH($O158)=MONTH(AW$4)),AI158*(1+Macroindicadores!F$7),IF(AND($J158="PONTUAL",MONTH($O158)&lt;MONTH(AW$4)),MIN($AS158:AV158),IF(AND($I158="NOVO",MONTH($O158)&gt;MONTH(AW$4)),AI158,IF(MONTH($O158)&gt;MONTH(AW$4),AI158,IF(MONTH($O158)=MONTH(AW$4),AI158*(1+Macroindicadores!F$7),AV158)))))))))</f>
        <v>6</v>
      </c>
      <c r="AX158" s="39">
        <f>IF(ISBLANK(V158),"",IF(ISBLANK($O158),AJ158,IF($J158="ANUAL",AJ158*(1+Macroindicadores!G$7),IF(AND($I158="NOVO",MONTH($O158)=MONTH(AX$4)),AJ158*(1+Macroindicadores!G$7),IF(AND($J158="PONTUAL",MONTH($O158)=MONTH(AX$4)),AJ158*(1+Macroindicadores!G$7),IF(AND($J158="PONTUAL",MONTH($O158)&lt;MONTH(AX$4)),MIN($AS158:AW158),IF(AND($I158="NOVO",MONTH($O158)&gt;MONTH(AX$4)),AJ158,IF(MONTH($O158)&gt;MONTH(AX$4),AJ158,IF(MONTH($O158)=MONTH(AX$4),AJ158*(1+Macroindicadores!G$7),AW158)))))))))</f>
        <v>6</v>
      </c>
      <c r="AY158" s="39">
        <f>IF(ISBLANK(W158),"",IF(ISBLANK($O158),AK158,IF($J158="ANUAL",AK158*(1+Macroindicadores!H$7),IF(AND($I158="NOVO",MONTH($O158)=MONTH(AY$4)),AK158*(1+Macroindicadores!H$7),IF(AND($J158="PONTUAL",MONTH($O158)=MONTH(AY$4)),AK158*(1+Macroindicadores!H$7),IF(AND($J158="PONTUAL",MONTH($O158)&lt;MONTH(AY$4)),MIN($AS158:AX158),IF(AND($I158="NOVO",MONTH($O158)&gt;MONTH(AY$4)),AK158,IF(MONTH($O158)&gt;MONTH(AY$4),AK158,IF(MONTH($O158)=MONTH(AY$4),AK158*(1+Macroindicadores!H$7),AX158)))))))))</f>
        <v>6</v>
      </c>
      <c r="AZ158" s="39">
        <f>IF(ISBLANK(X158),"",IF(ISBLANK($O158),AL158,IF($J158="ANUAL",AL158*(1+Macroindicadores!I$7),IF(AND($I158="NOVO",MONTH($O158)=MONTH(AZ$4)),AL158*(1+Macroindicadores!I$7),IF(AND($J158="PONTUAL",MONTH($O158)=MONTH(AZ$4)),AL158*(1+Macroindicadores!I$7),IF(AND($J158="PONTUAL",MONTH($O158)&lt;MONTH(AZ$4)),MIN($AS158:AY158),IF(AND($I158="NOVO",MONTH($O158)&gt;MONTH(AZ$4)),AL158,IF(MONTH($O158)&gt;MONTH(AZ$4),AL158,IF(MONTH($O158)=MONTH(AZ$4),AL158*(1+Macroindicadores!I$7),AY158)))))))))</f>
        <v>6</v>
      </c>
      <c r="BA158" s="39">
        <f>IF(ISBLANK(Y158),"",IF(ISBLANK($O158),AM158,IF($J158="ANUAL",AM158*(1+Macroindicadores!J$7),IF(AND($I158="NOVO",MONTH($O158)=MONTH(BA$4)),AM158*(1+Macroindicadores!J$7),IF(AND($J158="PONTUAL",MONTH($O158)=MONTH(BA$4)),AM158*(1+Macroindicadores!J$7),IF(AND($J158="PONTUAL",MONTH($O158)&lt;MONTH(BA$4)),MIN($AS158:AZ158),IF(AND($I158="NOVO",MONTH($O158)&gt;MONTH(BA$4)),AM158,IF(MONTH($O158)&gt;MONTH(BA$4),AM158,IF(MONTH($O158)=MONTH(BA$4),AM158*(1+Macroindicadores!J$7),AZ158)))))))))</f>
        <v>6</v>
      </c>
      <c r="BB158" s="39">
        <f>IF(ISBLANK(Z158),"",IF(ISBLANK($O158),AN158,IF($J158="ANUAL",AN158*(1+Macroindicadores!K$7),IF(AND($I158="NOVO",MONTH($O158)=MONTH(BB$4)),AN158*(1+Macroindicadores!K$7),IF(AND($J158="PONTUAL",MONTH($O158)=MONTH(BB$4)),AN158*(1+Macroindicadores!K$7),IF(AND($J158="PONTUAL",MONTH($O158)&lt;MONTH(BB$4)),MIN($AS158:BA158),IF(AND($I158="NOVO",MONTH($O158)&gt;MONTH(BB$4)),AN158,IF(MONTH($O158)&gt;MONTH(BB$4),AN158,IF(MONTH($O158)=MONTH(BB$4),AN158*(1+Macroindicadores!K$7),BA158)))))))))</f>
        <v>6</v>
      </c>
      <c r="BC158" s="39">
        <f>IF(ISBLANK(AA158),"",IF(ISBLANK($O158),AO158,IF($J158="ANUAL",AO158*(1+Macroindicadores!L$7),IF(AND($I158="NOVO",MONTH($O158)=MONTH(BC$4)),AO158*(1+Macroindicadores!L$7),IF(AND($J158="PONTUAL",MONTH($O158)=MONTH(BC$4)),AO158*(1+Macroindicadores!L$7),IF(AND($J158="PONTUAL",MONTH($O158)&lt;MONTH(BC$4)),MIN($AS158:BB158),IF(AND($I158="NOVO",MONTH($O158)&gt;MONTH(BC$4)),AO158,IF(MONTH($O158)&gt;MONTH(BC$4),AO158,IF(MONTH($O158)=MONTH(BC$4),AO158*(1+Macroindicadores!L$7),BB158)))))))))</f>
        <v>6</v>
      </c>
      <c r="BD158" s="39">
        <f>IF(ISBLANK(AB158),"",IF(ISBLANK($O158),AP158,IF($J158="ANUAL",AP158*(1+Macroindicadores!M$7),IF(AND($I158="NOVO",MONTH($O158)=MONTH(BD$4)),AP158*(1+Macroindicadores!M$7),IF(AND($J158="PONTUAL",MONTH($O158)=MONTH(BD$4)),AP158*(1+Macroindicadores!M$7),IF(AND($J158="PONTUAL",MONTH($O158)&lt;MONTH(BD$4)),MIN($AS158:BC158),IF(AND($I158="NOVO",MONTH($O158)&gt;MONTH(BD$4)),AP158,IF(MONTH($O158)&gt;MONTH(BD$4),AP158,IF(MONTH($O158)=MONTH(BD$4),AP158*(1+Macroindicadores!M$7),BC158)))))))))</f>
        <v>6</v>
      </c>
      <c r="BE158" s="40">
        <f t="shared" si="71"/>
        <v>72</v>
      </c>
      <c r="BG158" s="39">
        <f>IF(ISBLANK(Q158),"",AS158/Macroindicadores!B$2)</f>
        <v>1.0204081632653061</v>
      </c>
      <c r="BH158" s="39">
        <f>IF(ISBLANK(R158),"",AT158/Macroindicadores!C$2)</f>
        <v>1.0204081632653061</v>
      </c>
      <c r="BI158" s="39">
        <f>IF(ISBLANK(S158),"",AU158/Macroindicadores!D$2)</f>
        <v>1.0204081632653061</v>
      </c>
      <c r="BJ158" s="39">
        <f>IF(ISBLANK(T158),"",AV158/Macroindicadores!E$2)</f>
        <v>1.0204081632653061</v>
      </c>
      <c r="BK158" s="39">
        <f>IF(ISBLANK(U158),"",AW158/Macroindicadores!F$2)</f>
        <v>1.0204081632653061</v>
      </c>
      <c r="BL158" s="39">
        <f>IF(ISBLANK(V158),"",AX158/Macroindicadores!G$2)</f>
        <v>1.0204081632653061</v>
      </c>
      <c r="BM158" s="39">
        <f>IF(ISBLANK(W158),"",AY158/Macroindicadores!H$2)</f>
        <v>1.0204081632653061</v>
      </c>
      <c r="BN158" s="39">
        <f>IF(ISBLANK(X158),"",AZ158/Macroindicadores!I$2)</f>
        <v>1.0204081632653061</v>
      </c>
      <c r="BO158" s="39">
        <f>IF(ISBLANK(Y158),"",BA158/Macroindicadores!J$2)</f>
        <v>1.0204081632653061</v>
      </c>
      <c r="BP158" s="39">
        <f>IF(ISBLANK(Z158),"",BB158/Macroindicadores!K$2)</f>
        <v>1.0204081632653061</v>
      </c>
      <c r="BQ158" s="39">
        <f>IF(ISBLANK(AA158),"",BC158/Macroindicadores!L$2)</f>
        <v>1.0204081632653061</v>
      </c>
      <c r="BR158" s="39">
        <f>IF(ISBLANK(AB158),"",BD158/Macroindicadores!M$2)</f>
        <v>1.0204081632653061</v>
      </c>
      <c r="BS158" s="40">
        <f>IF(AND(ISBLANK($Q158),ISBLANK($R158),ISBLANK($S158),ISBLANK($T158),ISBLANK($U158),ISBLANK($V158),ISBLANK($W158),ISBLANK($X158),ISBLANK($Y158),ISBLANK($Z158),ISBLANK($AA158),ISBLANK($AB158)),"",SUM(BG158:BR158))</f>
        <v>12.244897959183676</v>
      </c>
      <c r="BT158" s="25" t="str">
        <f>IF(ISBLANK($L158),"",_xlfn.XLOOKUP($L158,'CENTRO CUSTO'!$A:$A,'CENTRO CUSTO'!$E:$E,FALSE,0))</f>
        <v>Custo Fixo</v>
      </c>
    </row>
    <row r="159" spans="1:72">
      <c r="A159" s="9" t="str">
        <f t="shared" si="72"/>
        <v>Budget</v>
      </c>
      <c r="B159" s="9">
        <f t="shared" si="74"/>
        <v>2026</v>
      </c>
      <c r="C159" s="18" t="str">
        <f>IF(ISBLANK($L159),"",_xlfn.XLOOKUP($L159,'CENTRO CUSTO'!$A:$A,'CENTRO CUSTO'!F:F,FALSE,0))</f>
        <v>MRV</v>
      </c>
      <c r="D159" s="111" t="str">
        <f>IF(ISBLANK($L159),"",_xlfn.XLOOKUP($L159,'CENTRO CUSTO'!$A:$A,'CENTRO CUSTO'!G:G,FALSE,0))</f>
        <v>Passo Fundo</v>
      </c>
      <c r="E159" s="18" t="str">
        <f>IF(ISBLANK($L159),"",_xlfn.XLOOKUP($L159,'CENTRO CUSTO'!$A:$A,'CENTRO CUSTO'!H:H,FALSE,0))</f>
        <v>Frigorífico</v>
      </c>
      <c r="F159" s="10" t="s">
        <v>173</v>
      </c>
      <c r="G159" s="10" t="s">
        <v>123</v>
      </c>
      <c r="H159" s="10" t="s">
        <v>174</v>
      </c>
      <c r="I159" s="11" t="s">
        <v>77</v>
      </c>
      <c r="J159" s="11" t="s">
        <v>78</v>
      </c>
      <c r="K159" s="11" t="s">
        <v>79</v>
      </c>
      <c r="L159" s="11" t="s">
        <v>41</v>
      </c>
      <c r="M159" s="18" t="str">
        <f>IF(ISBLANK($L159),"",_xlfn.XLOOKUP($L159,'CENTRO CUSTO'!$A:$A,'CENTRO CUSTO'!D:D,FALSE,0))</f>
        <v>Alexandre Ayabe</v>
      </c>
      <c r="N159" s="11" t="s">
        <v>175</v>
      </c>
      <c r="O159" s="12"/>
      <c r="P159" s="11" t="s">
        <v>81</v>
      </c>
      <c r="Q159" s="41">
        <v>6000</v>
      </c>
      <c r="R159" s="41">
        <v>6000</v>
      </c>
      <c r="S159" s="41">
        <v>6000</v>
      </c>
      <c r="T159" s="41">
        <v>6000</v>
      </c>
      <c r="U159" s="41">
        <v>6000</v>
      </c>
      <c r="V159" s="41">
        <v>6000</v>
      </c>
      <c r="W159" s="41">
        <v>6000</v>
      </c>
      <c r="X159" s="41">
        <v>6000</v>
      </c>
      <c r="Y159" s="41">
        <v>6000</v>
      </c>
      <c r="Z159" s="41">
        <v>6000</v>
      </c>
      <c r="AA159" s="41">
        <v>6000</v>
      </c>
      <c r="AB159" s="41">
        <v>6000</v>
      </c>
      <c r="AC159" s="116">
        <f t="shared" si="73"/>
        <v>72000</v>
      </c>
      <c r="AE159" s="39">
        <f>IF(ISBLANK(Q159),"",IF($P159="BRL",Q159,Q159*Macroindicadores!B$2)/1000)</f>
        <v>6</v>
      </c>
      <c r="AF159" s="39">
        <f>IF(ISBLANK(R159),"",IF($P159="BRL",R159,R159*Macroindicadores!C$2)/1000)</f>
        <v>6</v>
      </c>
      <c r="AG159" s="39">
        <f>IF(ISBLANK(S159),"",IF($P159="BRL",S159,S159*Macroindicadores!D$2)/1000)</f>
        <v>6</v>
      </c>
      <c r="AH159" s="39">
        <f>IF(ISBLANK(T159),"",IF($P159="BRL",T159,T159*Macroindicadores!E$2)/1000)</f>
        <v>6</v>
      </c>
      <c r="AI159" s="39">
        <f>IF(ISBLANK(U159),"",IF($P159="BRL",U159,U159*Macroindicadores!F$2)/1000)</f>
        <v>6</v>
      </c>
      <c r="AJ159" s="39">
        <f>IF(ISBLANK(V159),"",IF($P159="BRL",V159,V159*Macroindicadores!G$2)/1000)</f>
        <v>6</v>
      </c>
      <c r="AK159" s="39">
        <f>IF(ISBLANK(W159),"",IF($P159="BRL",W159,W159*Macroindicadores!H$2)/1000)</f>
        <v>6</v>
      </c>
      <c r="AL159" s="39">
        <f>IF(ISBLANK(X159),"",IF($P159="BRL",X159,X159*Macroindicadores!I$2)/1000)</f>
        <v>6</v>
      </c>
      <c r="AM159" s="39">
        <f>IF(ISBLANK(Y159),"",IF($P159="BRL",Y159,Y159*Macroindicadores!J$2)/1000)</f>
        <v>6</v>
      </c>
      <c r="AN159" s="39">
        <f>IF(ISBLANK(Z159),"",IF($P159="BRL",Z159,Z159*Macroindicadores!K$2)/1000)</f>
        <v>6</v>
      </c>
      <c r="AO159" s="39">
        <f>IF(ISBLANK(AA159),"",IF($P159="BRL",AA159,AA159*Macroindicadores!L$2)/1000)</f>
        <v>6</v>
      </c>
      <c r="AP159" s="39">
        <f>IF(ISBLANK(AB159),"",IF($P159="BRL",AB159,AB159*Macroindicadores!M$2)/1000)</f>
        <v>6</v>
      </c>
      <c r="AQ159" s="40">
        <f t="shared" si="70"/>
        <v>72</v>
      </c>
      <c r="AS159" s="39">
        <f>IF(ISBLANK(Q159),"",IF(ISBLANK($O159),AE159,IF($J159="ANUAL",AE159*(1+Macroindicadores!B$7),IF(AND($I159="NOVO",MONTH($O159)=MONTH(AS$4)),AE159*(1+Macroindicadores!B$7),IF(AND($J159="PONTUAL",MONTH($O159)=MONTH(AS$4)),AE159*(1+Macroindicadores!B$7),IF(AND($J159="PONTUAL",MONTH($O159)&lt;MONTH(AS$4)),MIN(AR159:$AS159),IF(AND($I159="NOVO",MONTH($O159)&gt;MONTH(AS$4)),AE159,IF(MONTH($O159)&gt;MONTH(AS$4),AE159,IF(MONTH($O159)=MONTH(AS$4),AE159*(1+Macroindicadores!B$7),AR159)))))))))</f>
        <v>6</v>
      </c>
      <c r="AT159" s="39">
        <f>IF(ISBLANK(R159),"",IF(ISBLANK($O159),AF159,IF($J159="ANUAL",AF159*(1+Macroindicadores!C$7),IF(AND($I159="NOVO",MONTH($O159)=MONTH(AT$4)),AF159*(1+Macroindicadores!C$7),IF(AND($J159="PONTUAL",MONTH($O159)=MONTH(AT$4)),AF159*(1+Macroindicadores!C$7),IF(AND($J159="PONTUAL",MONTH($O159)&lt;MONTH(AT$4)),MIN($AS159:AS159),IF(AND($I159="NOVO",MONTH($O159)&gt;MONTH(AT$4)),AF159,IF(MONTH($O159)&gt;MONTH(AT$4),AF159,IF(MONTH($O159)=MONTH(AT$4),AF159*(1+Macroindicadores!C$7),AS159)))))))))</f>
        <v>6</v>
      </c>
      <c r="AU159" s="39">
        <f>IF(ISBLANK(S159),"",IF(ISBLANK($O159),AG159,IF($J159="ANUAL",AG159*(1+Macroindicadores!D$7),IF(AND($I159="NOVO",MONTH($O159)=MONTH(AU$4)),AG159*(1+Macroindicadores!D$7),IF(AND($J159="PONTUAL",MONTH($O159)=MONTH(AU$4)),AG159*(1+Macroindicadores!D$7),IF(AND($J159="PONTUAL",MONTH($O159)&lt;MONTH(AU$4)),MIN($AS159:AT159),IF(AND($I159="NOVO",MONTH($O159)&gt;MONTH(AU$4)),AG159,IF(MONTH($O159)&gt;MONTH(AU$4),AG159,IF(MONTH($O159)=MONTH(AU$4),AG159*(1+Macroindicadores!D$7),AT159)))))))))</f>
        <v>6</v>
      </c>
      <c r="AV159" s="39">
        <f>IF(ISBLANK(T159),"",IF(ISBLANK($O159),AH159,IF($J159="ANUAL",AH159*(1+Macroindicadores!E$7),IF(AND($I159="NOVO",MONTH($O159)=MONTH(AV$4)),AH159*(1+Macroindicadores!E$7),IF(AND($J159="PONTUAL",MONTH($O159)=MONTH(AV$4)),AH159*(1+Macroindicadores!E$7),IF(AND($J159="PONTUAL",MONTH($O159)&lt;MONTH(AV$4)),MIN($AS159:AU159),IF(AND($I159="NOVO",MONTH($O159)&gt;MONTH(AV$4)),AH159,IF(MONTH($O159)&gt;MONTH(AV$4),AH159,IF(MONTH($O159)=MONTH(AV$4),AH159*(1+Macroindicadores!E$7),AU159)))))))))</f>
        <v>6</v>
      </c>
      <c r="AW159" s="39">
        <f>IF(ISBLANK(U159),"",IF(ISBLANK($O159),AI159,IF($J159="ANUAL",AI159*(1+Macroindicadores!F$7),IF(AND($I159="NOVO",MONTH($O159)=MONTH(AW$4)),AI159*(1+Macroindicadores!F$7),IF(AND($J159="PONTUAL",MONTH($O159)=MONTH(AW$4)),AI159*(1+Macroindicadores!F$7),IF(AND($J159="PONTUAL",MONTH($O159)&lt;MONTH(AW$4)),MIN($AS159:AV159),IF(AND($I159="NOVO",MONTH($O159)&gt;MONTH(AW$4)),AI159,IF(MONTH($O159)&gt;MONTH(AW$4),AI159,IF(MONTH($O159)=MONTH(AW$4),AI159*(1+Macroindicadores!F$7),AV159)))))))))</f>
        <v>6</v>
      </c>
      <c r="AX159" s="39">
        <f>IF(ISBLANK(V159),"",IF(ISBLANK($O159),AJ159,IF($J159="ANUAL",AJ159*(1+Macroindicadores!G$7),IF(AND($I159="NOVO",MONTH($O159)=MONTH(AX$4)),AJ159*(1+Macroindicadores!G$7),IF(AND($J159="PONTUAL",MONTH($O159)=MONTH(AX$4)),AJ159*(1+Macroindicadores!G$7),IF(AND($J159="PONTUAL",MONTH($O159)&lt;MONTH(AX$4)),MIN($AS159:AW159),IF(AND($I159="NOVO",MONTH($O159)&gt;MONTH(AX$4)),AJ159,IF(MONTH($O159)&gt;MONTH(AX$4),AJ159,IF(MONTH($O159)=MONTH(AX$4),AJ159*(1+Macroindicadores!G$7),AW159)))))))))</f>
        <v>6</v>
      </c>
      <c r="AY159" s="39">
        <f>IF(ISBLANK(W159),"",IF(ISBLANK($O159),AK159,IF($J159="ANUAL",AK159*(1+Macroindicadores!H$7),IF(AND($I159="NOVO",MONTH($O159)=MONTH(AY$4)),AK159*(1+Macroindicadores!H$7),IF(AND($J159="PONTUAL",MONTH($O159)=MONTH(AY$4)),AK159*(1+Macroindicadores!H$7),IF(AND($J159="PONTUAL",MONTH($O159)&lt;MONTH(AY$4)),MIN($AS159:AX159),IF(AND($I159="NOVO",MONTH($O159)&gt;MONTH(AY$4)),AK159,IF(MONTH($O159)&gt;MONTH(AY$4),AK159,IF(MONTH($O159)=MONTH(AY$4),AK159*(1+Macroindicadores!H$7),AX159)))))))))</f>
        <v>6</v>
      </c>
      <c r="AZ159" s="39">
        <f>IF(ISBLANK(X159),"",IF(ISBLANK($O159),AL159,IF($J159="ANUAL",AL159*(1+Macroindicadores!I$7),IF(AND($I159="NOVO",MONTH($O159)=MONTH(AZ$4)),AL159*(1+Macroindicadores!I$7),IF(AND($J159="PONTUAL",MONTH($O159)=MONTH(AZ$4)),AL159*(1+Macroindicadores!I$7),IF(AND($J159="PONTUAL",MONTH($O159)&lt;MONTH(AZ$4)),MIN($AS159:AY159),IF(AND($I159="NOVO",MONTH($O159)&gt;MONTH(AZ$4)),AL159,IF(MONTH($O159)&gt;MONTH(AZ$4),AL159,IF(MONTH($O159)=MONTH(AZ$4),AL159*(1+Macroindicadores!I$7),AY159)))))))))</f>
        <v>6</v>
      </c>
      <c r="BA159" s="39">
        <f>IF(ISBLANK(Y159),"",IF(ISBLANK($O159),AM159,IF($J159="ANUAL",AM159*(1+Macroindicadores!J$7),IF(AND($I159="NOVO",MONTH($O159)=MONTH(BA$4)),AM159*(1+Macroindicadores!J$7),IF(AND($J159="PONTUAL",MONTH($O159)=MONTH(BA$4)),AM159*(1+Macroindicadores!J$7),IF(AND($J159="PONTUAL",MONTH($O159)&lt;MONTH(BA$4)),MIN($AS159:AZ159),IF(AND($I159="NOVO",MONTH($O159)&gt;MONTH(BA$4)),AM159,IF(MONTH($O159)&gt;MONTH(BA$4),AM159,IF(MONTH($O159)=MONTH(BA$4),AM159*(1+Macroindicadores!J$7),AZ159)))))))))</f>
        <v>6</v>
      </c>
      <c r="BB159" s="39">
        <f>IF(ISBLANK(Z159),"",IF(ISBLANK($O159),AN159,IF($J159="ANUAL",AN159*(1+Macroindicadores!K$7),IF(AND($I159="NOVO",MONTH($O159)=MONTH(BB$4)),AN159*(1+Macroindicadores!K$7),IF(AND($J159="PONTUAL",MONTH($O159)=MONTH(BB$4)),AN159*(1+Macroindicadores!K$7),IF(AND($J159="PONTUAL",MONTH($O159)&lt;MONTH(BB$4)),MIN($AS159:BA159),IF(AND($I159="NOVO",MONTH($O159)&gt;MONTH(BB$4)),AN159,IF(MONTH($O159)&gt;MONTH(BB$4),AN159,IF(MONTH($O159)=MONTH(BB$4),AN159*(1+Macroindicadores!K$7),BA159)))))))))</f>
        <v>6</v>
      </c>
      <c r="BC159" s="39">
        <f>IF(ISBLANK(AA159),"",IF(ISBLANK($O159),AO159,IF($J159="ANUAL",AO159*(1+Macroindicadores!L$7),IF(AND($I159="NOVO",MONTH($O159)=MONTH(BC$4)),AO159*(1+Macroindicadores!L$7),IF(AND($J159="PONTUAL",MONTH($O159)=MONTH(BC$4)),AO159*(1+Macroindicadores!L$7),IF(AND($J159="PONTUAL",MONTH($O159)&lt;MONTH(BC$4)),MIN($AS159:BB159),IF(AND($I159="NOVO",MONTH($O159)&gt;MONTH(BC$4)),AO159,IF(MONTH($O159)&gt;MONTH(BC$4),AO159,IF(MONTH($O159)=MONTH(BC$4),AO159*(1+Macroindicadores!L$7),BB159)))))))))</f>
        <v>6</v>
      </c>
      <c r="BD159" s="39">
        <f>IF(ISBLANK(AB159),"",IF(ISBLANK($O159),AP159,IF($J159="ANUAL",AP159*(1+Macroindicadores!M$7),IF(AND($I159="NOVO",MONTH($O159)=MONTH(BD$4)),AP159*(1+Macroindicadores!M$7),IF(AND($J159="PONTUAL",MONTH($O159)=MONTH(BD$4)),AP159*(1+Macroindicadores!M$7),IF(AND($J159="PONTUAL",MONTH($O159)&lt;MONTH(BD$4)),MIN($AS159:BC159),IF(AND($I159="NOVO",MONTH($O159)&gt;MONTH(BD$4)),AP159,IF(MONTH($O159)&gt;MONTH(BD$4),AP159,IF(MONTH($O159)=MONTH(BD$4),AP159*(1+Macroindicadores!M$7),BC159)))))))))</f>
        <v>6</v>
      </c>
      <c r="BE159" s="40">
        <f t="shared" si="71"/>
        <v>72</v>
      </c>
      <c r="BG159" s="39">
        <f>IF(ISBLANK(Q159),"",AS159/Macroindicadores!B$2)</f>
        <v>1.0204081632653061</v>
      </c>
      <c r="BH159" s="39">
        <f>IF(ISBLANK(R159),"",AT159/Macroindicadores!C$2)</f>
        <v>1.0204081632653061</v>
      </c>
      <c r="BI159" s="39">
        <f>IF(ISBLANK(S159),"",AU159/Macroindicadores!D$2)</f>
        <v>1.0204081632653061</v>
      </c>
      <c r="BJ159" s="39">
        <f>IF(ISBLANK(T159),"",AV159/Macroindicadores!E$2)</f>
        <v>1.0204081632653061</v>
      </c>
      <c r="BK159" s="39">
        <f>IF(ISBLANK(U159),"",AW159/Macroindicadores!F$2)</f>
        <v>1.0204081632653061</v>
      </c>
      <c r="BL159" s="39">
        <f>IF(ISBLANK(V159),"",AX159/Macroindicadores!G$2)</f>
        <v>1.0204081632653061</v>
      </c>
      <c r="BM159" s="39">
        <f>IF(ISBLANK(W159),"",AY159/Macroindicadores!H$2)</f>
        <v>1.0204081632653061</v>
      </c>
      <c r="BN159" s="39">
        <f>IF(ISBLANK(X159),"",AZ159/Macroindicadores!I$2)</f>
        <v>1.0204081632653061</v>
      </c>
      <c r="BO159" s="39">
        <f>IF(ISBLANK(Y159),"",BA159/Macroindicadores!J$2)</f>
        <v>1.0204081632653061</v>
      </c>
      <c r="BP159" s="39">
        <f>IF(ISBLANK(Z159),"",BB159/Macroindicadores!K$2)</f>
        <v>1.0204081632653061</v>
      </c>
      <c r="BQ159" s="39">
        <f>IF(ISBLANK(AA159),"",BC159/Macroindicadores!L$2)</f>
        <v>1.0204081632653061</v>
      </c>
      <c r="BR159" s="39">
        <f>IF(ISBLANK(AB159),"",BD159/Macroindicadores!M$2)</f>
        <v>1.0204081632653061</v>
      </c>
      <c r="BS159" s="40">
        <f>IF(AND(ISBLANK($Q159),ISBLANK($R159),ISBLANK($S159),ISBLANK($T159),ISBLANK($U159),ISBLANK($V159),ISBLANK($W159),ISBLANK($X159),ISBLANK($Y159),ISBLANK($Z159),ISBLANK($AA159),ISBLANK($AB159)),"",SUM(BG159:BR159))</f>
        <v>12.244897959183676</v>
      </c>
      <c r="BT159" s="25" t="str">
        <f>IF(ISBLANK($L159),"",_xlfn.XLOOKUP($L159,'CENTRO CUSTO'!$A:$A,'CENTRO CUSTO'!$E:$E,FALSE,0))</f>
        <v>Custo Fixo</v>
      </c>
    </row>
    <row r="160" spans="1:72">
      <c r="A160" s="9" t="str">
        <f t="shared" si="72"/>
        <v>Budget</v>
      </c>
      <c r="B160" s="9">
        <f t="shared" si="74"/>
        <v>2026</v>
      </c>
      <c r="C160" s="18" t="str">
        <f>IF(ISBLANK($L160),"",_xlfn.XLOOKUP($L160,'CENTRO CUSTO'!$A:$A,'CENTRO CUSTO'!F:F,FALSE,0))</f>
        <v>SKM</v>
      </c>
      <c r="D160" s="111" t="str">
        <f>IF(ISBLANK($L160),"",_xlfn.XLOOKUP($L160,'CENTRO CUSTO'!$A:$A,'CENTRO CUSTO'!G:G,FALSE,0))</f>
        <v>G100B</v>
      </c>
      <c r="E160" s="18" t="str">
        <f>IF(ISBLANK($L160),"",_xlfn.XLOOKUP($L160,'CENTRO CUSTO'!$A:$A,'CENTRO CUSTO'!H:H,FALSE,0))</f>
        <v>Frigorífico</v>
      </c>
      <c r="F160" s="10" t="s">
        <v>173</v>
      </c>
      <c r="G160" s="10" t="s">
        <v>123</v>
      </c>
      <c r="H160" s="10" t="s">
        <v>174</v>
      </c>
      <c r="I160" s="11" t="s">
        <v>77</v>
      </c>
      <c r="J160" s="11" t="s">
        <v>78</v>
      </c>
      <c r="K160" s="11" t="s">
        <v>79</v>
      </c>
      <c r="L160" s="11" t="s">
        <v>48</v>
      </c>
      <c r="M160" s="18" t="str">
        <f>IF(ISBLANK($L160),"",_xlfn.XLOOKUP($L160,'CENTRO CUSTO'!$A:$A,'CENTRO CUSTO'!D:D,FALSE,0))</f>
        <v>Alexandre Ayabe</v>
      </c>
      <c r="N160" s="11" t="s">
        <v>175</v>
      </c>
      <c r="O160" s="12"/>
      <c r="P160" s="11" t="s">
        <v>81</v>
      </c>
      <c r="Q160" s="41">
        <v>0</v>
      </c>
      <c r="R160" s="41">
        <v>0</v>
      </c>
      <c r="S160" s="41">
        <v>0</v>
      </c>
      <c r="T160" s="41">
        <v>0</v>
      </c>
      <c r="U160" s="41">
        <v>0</v>
      </c>
      <c r="V160" s="41">
        <v>0</v>
      </c>
      <c r="W160" s="41">
        <v>0</v>
      </c>
      <c r="X160" s="41">
        <v>0</v>
      </c>
      <c r="Y160" s="41">
        <v>0</v>
      </c>
      <c r="Z160" s="41">
        <v>0</v>
      </c>
      <c r="AA160" s="41">
        <v>0</v>
      </c>
      <c r="AB160" s="41">
        <v>0</v>
      </c>
      <c r="AC160" s="116">
        <f t="shared" si="73"/>
        <v>0</v>
      </c>
      <c r="AE160" s="39">
        <f>IF(ISBLANK(Q160),"",IF($P160="BRL",Q160,Q160*Macroindicadores!B$2)/1000)</f>
        <v>0</v>
      </c>
      <c r="AF160" s="39">
        <f>IF(ISBLANK(R160),"",IF($P160="BRL",R160,R160*Macroindicadores!C$2)/1000)</f>
        <v>0</v>
      </c>
      <c r="AG160" s="39">
        <f>IF(ISBLANK(S160),"",IF($P160="BRL",S160,S160*Macroindicadores!D$2)/1000)</f>
        <v>0</v>
      </c>
      <c r="AH160" s="39">
        <f>IF(ISBLANK(T160),"",IF($P160="BRL",T160,T160*Macroindicadores!E$2)/1000)</f>
        <v>0</v>
      </c>
      <c r="AI160" s="39">
        <f>IF(ISBLANK(U160),"",IF($P160="BRL",U160,U160*Macroindicadores!F$2)/1000)</f>
        <v>0</v>
      </c>
      <c r="AJ160" s="39">
        <f>IF(ISBLANK(V160),"",IF($P160="BRL",V160,V160*Macroindicadores!G$2)/1000)</f>
        <v>0</v>
      </c>
      <c r="AK160" s="39">
        <f>IF(ISBLANK(W160),"",IF($P160="BRL",W160,W160*Macroindicadores!H$2)/1000)</f>
        <v>0</v>
      </c>
      <c r="AL160" s="39">
        <f>IF(ISBLANK(X160),"",IF($P160="BRL",X160,X160*Macroindicadores!I$2)/1000)</f>
        <v>0</v>
      </c>
      <c r="AM160" s="39">
        <f>IF(ISBLANK(Y160),"",IF($P160="BRL",Y160,Y160*Macroindicadores!J$2)/1000)</f>
        <v>0</v>
      </c>
      <c r="AN160" s="39">
        <f>IF(ISBLANK(Z160),"",IF($P160="BRL",Z160,Z160*Macroindicadores!K$2)/1000)</f>
        <v>0</v>
      </c>
      <c r="AO160" s="39">
        <f>IF(ISBLANK(AA160),"",IF($P160="BRL",AA160,AA160*Macroindicadores!L$2)/1000)</f>
        <v>0</v>
      </c>
      <c r="AP160" s="39">
        <f>IF(ISBLANK(AB160),"",IF($P160="BRL",AB160,AB160*Macroindicadores!M$2)/1000)</f>
        <v>0</v>
      </c>
      <c r="AQ160" s="40">
        <f t="shared" si="70"/>
        <v>0</v>
      </c>
      <c r="AS160" s="39">
        <f>IF(ISBLANK(Q160),"",IF(ISBLANK($O160),AE160,IF($J160="ANUAL",AE160*(1+Macroindicadores!B$7),IF(AND($I160="NOVO",MONTH($O160)=MONTH(AS$4)),AE160*(1+Macroindicadores!B$7),IF(AND($J160="PONTUAL",MONTH($O160)=MONTH(AS$4)),AE160*(1+Macroindicadores!B$7),IF(AND($J160="PONTUAL",MONTH($O160)&lt;MONTH(AS$4)),MIN(AR160:$AS160),IF(AND($I160="NOVO",MONTH($O160)&gt;MONTH(AS$4)),AE160,IF(MONTH($O160)&gt;MONTH(AS$4),AE160,IF(MONTH($O160)=MONTH(AS$4),AE160*(1+Macroindicadores!B$7),AR160)))))))))</f>
        <v>0</v>
      </c>
      <c r="AT160" s="39">
        <f>IF(ISBLANK(R160),"",IF(ISBLANK($O160),AF160,IF($J160="ANUAL",AF160*(1+Macroindicadores!C$7),IF(AND($I160="NOVO",MONTH($O160)=MONTH(AT$4)),AF160*(1+Macroindicadores!C$7),IF(AND($J160="PONTUAL",MONTH($O160)=MONTH(AT$4)),AF160*(1+Macroindicadores!C$7),IF(AND($J160="PONTUAL",MONTH($O160)&lt;MONTH(AT$4)),MIN($AS160:AS160),IF(AND($I160="NOVO",MONTH($O160)&gt;MONTH(AT$4)),AF160,IF(MONTH($O160)&gt;MONTH(AT$4),AF160,IF(MONTH($O160)=MONTH(AT$4),AF160*(1+Macroindicadores!C$7),AS160)))))))))</f>
        <v>0</v>
      </c>
      <c r="AU160" s="39">
        <f>IF(ISBLANK(S160),"",IF(ISBLANK($O160),AG160,IF($J160="ANUAL",AG160*(1+Macroindicadores!D$7),IF(AND($I160="NOVO",MONTH($O160)=MONTH(AU$4)),AG160*(1+Macroindicadores!D$7),IF(AND($J160="PONTUAL",MONTH($O160)=MONTH(AU$4)),AG160*(1+Macroindicadores!D$7),IF(AND($J160="PONTUAL",MONTH($O160)&lt;MONTH(AU$4)),MIN($AS160:AT160),IF(AND($I160="NOVO",MONTH($O160)&gt;MONTH(AU$4)),AG160,IF(MONTH($O160)&gt;MONTH(AU$4),AG160,IF(MONTH($O160)=MONTH(AU$4),AG160*(1+Macroindicadores!D$7),AT160)))))))))</f>
        <v>0</v>
      </c>
      <c r="AV160" s="39">
        <f>IF(ISBLANK(T160),"",IF(ISBLANK($O160),AH160,IF($J160="ANUAL",AH160*(1+Macroindicadores!E$7),IF(AND($I160="NOVO",MONTH($O160)=MONTH(AV$4)),AH160*(1+Macroindicadores!E$7),IF(AND($J160="PONTUAL",MONTH($O160)=MONTH(AV$4)),AH160*(1+Macroindicadores!E$7),IF(AND($J160="PONTUAL",MONTH($O160)&lt;MONTH(AV$4)),MIN($AS160:AU160),IF(AND($I160="NOVO",MONTH($O160)&gt;MONTH(AV$4)),AH160,IF(MONTH($O160)&gt;MONTH(AV$4),AH160,IF(MONTH($O160)=MONTH(AV$4),AH160*(1+Macroindicadores!E$7),AU160)))))))))</f>
        <v>0</v>
      </c>
      <c r="AW160" s="39">
        <f>IF(ISBLANK(U160),"",IF(ISBLANK($O160),AI160,IF($J160="ANUAL",AI160*(1+Macroindicadores!F$7),IF(AND($I160="NOVO",MONTH($O160)=MONTH(AW$4)),AI160*(1+Macroindicadores!F$7),IF(AND($J160="PONTUAL",MONTH($O160)=MONTH(AW$4)),AI160*(1+Macroindicadores!F$7),IF(AND($J160="PONTUAL",MONTH($O160)&lt;MONTH(AW$4)),MIN($AS160:AV160),IF(AND($I160="NOVO",MONTH($O160)&gt;MONTH(AW$4)),AI160,IF(MONTH($O160)&gt;MONTH(AW$4),AI160,IF(MONTH($O160)=MONTH(AW$4),AI160*(1+Macroindicadores!F$7),AV160)))))))))</f>
        <v>0</v>
      </c>
      <c r="AX160" s="39">
        <f>IF(ISBLANK(V160),"",IF(ISBLANK($O160),AJ160,IF($J160="ANUAL",AJ160*(1+Macroindicadores!G$7),IF(AND($I160="NOVO",MONTH($O160)=MONTH(AX$4)),AJ160*(1+Macroindicadores!G$7),IF(AND($J160="PONTUAL",MONTH($O160)=MONTH(AX$4)),AJ160*(1+Macroindicadores!G$7),IF(AND($J160="PONTUAL",MONTH($O160)&lt;MONTH(AX$4)),MIN($AS160:AW160),IF(AND($I160="NOVO",MONTH($O160)&gt;MONTH(AX$4)),AJ160,IF(MONTH($O160)&gt;MONTH(AX$4),AJ160,IF(MONTH($O160)=MONTH(AX$4),AJ160*(1+Macroindicadores!G$7),AW160)))))))))</f>
        <v>0</v>
      </c>
      <c r="AY160" s="39">
        <f>IF(ISBLANK(W160),"",IF(ISBLANK($O160),AK160,IF($J160="ANUAL",AK160*(1+Macroindicadores!H$7),IF(AND($I160="NOVO",MONTH($O160)=MONTH(AY$4)),AK160*(1+Macroindicadores!H$7),IF(AND($J160="PONTUAL",MONTH($O160)=MONTH(AY$4)),AK160*(1+Macroindicadores!H$7),IF(AND($J160="PONTUAL",MONTH($O160)&lt;MONTH(AY$4)),MIN($AS160:AX160),IF(AND($I160="NOVO",MONTH($O160)&gt;MONTH(AY$4)),AK160,IF(MONTH($O160)&gt;MONTH(AY$4),AK160,IF(MONTH($O160)=MONTH(AY$4),AK160*(1+Macroindicadores!H$7),AX160)))))))))</f>
        <v>0</v>
      </c>
      <c r="AZ160" s="39">
        <f>IF(ISBLANK(X160),"",IF(ISBLANK($O160),AL160,IF($J160="ANUAL",AL160*(1+Macroindicadores!I$7),IF(AND($I160="NOVO",MONTH($O160)=MONTH(AZ$4)),AL160*(1+Macroindicadores!I$7),IF(AND($J160="PONTUAL",MONTH($O160)=MONTH(AZ$4)),AL160*(1+Macroindicadores!I$7),IF(AND($J160="PONTUAL",MONTH($O160)&lt;MONTH(AZ$4)),MIN($AS160:AY160),IF(AND($I160="NOVO",MONTH($O160)&gt;MONTH(AZ$4)),AL160,IF(MONTH($O160)&gt;MONTH(AZ$4),AL160,IF(MONTH($O160)=MONTH(AZ$4),AL160*(1+Macroindicadores!I$7),AY160)))))))))</f>
        <v>0</v>
      </c>
      <c r="BA160" s="39">
        <f>IF(ISBLANK(Y160),"",IF(ISBLANK($O160),AM160,IF($J160="ANUAL",AM160*(1+Macroindicadores!J$7),IF(AND($I160="NOVO",MONTH($O160)=MONTH(BA$4)),AM160*(1+Macroindicadores!J$7),IF(AND($J160="PONTUAL",MONTH($O160)=MONTH(BA$4)),AM160*(1+Macroindicadores!J$7),IF(AND($J160="PONTUAL",MONTH($O160)&lt;MONTH(BA$4)),MIN($AS160:AZ160),IF(AND($I160="NOVO",MONTH($O160)&gt;MONTH(BA$4)),AM160,IF(MONTH($O160)&gt;MONTH(BA$4),AM160,IF(MONTH($O160)=MONTH(BA$4),AM160*(1+Macroindicadores!J$7),AZ160)))))))))</f>
        <v>0</v>
      </c>
      <c r="BB160" s="39">
        <f>IF(ISBLANK(Z160),"",IF(ISBLANK($O160),AN160,IF($J160="ANUAL",AN160*(1+Macroindicadores!K$7),IF(AND($I160="NOVO",MONTH($O160)=MONTH(BB$4)),AN160*(1+Macroindicadores!K$7),IF(AND($J160="PONTUAL",MONTH($O160)=MONTH(BB$4)),AN160*(1+Macroindicadores!K$7),IF(AND($J160="PONTUAL",MONTH($O160)&lt;MONTH(BB$4)),MIN($AS160:BA160),IF(AND($I160="NOVO",MONTH($O160)&gt;MONTH(BB$4)),AN160,IF(MONTH($O160)&gt;MONTH(BB$4),AN160,IF(MONTH($O160)=MONTH(BB$4),AN160*(1+Macroindicadores!K$7),BA160)))))))))</f>
        <v>0</v>
      </c>
      <c r="BC160" s="39">
        <f>IF(ISBLANK(AA160),"",IF(ISBLANK($O160),AO160,IF($J160="ANUAL",AO160*(1+Macroindicadores!L$7),IF(AND($I160="NOVO",MONTH($O160)=MONTH(BC$4)),AO160*(1+Macroindicadores!L$7),IF(AND($J160="PONTUAL",MONTH($O160)=MONTH(BC$4)),AO160*(1+Macroindicadores!L$7),IF(AND($J160="PONTUAL",MONTH($O160)&lt;MONTH(BC$4)),MIN($AS160:BB160),IF(AND($I160="NOVO",MONTH($O160)&gt;MONTH(BC$4)),AO160,IF(MONTH($O160)&gt;MONTH(BC$4),AO160,IF(MONTH($O160)=MONTH(BC$4),AO160*(1+Macroindicadores!L$7),BB160)))))))))</f>
        <v>0</v>
      </c>
      <c r="BD160" s="39">
        <f>IF(ISBLANK(AB160),"",IF(ISBLANK($O160),AP160,IF($J160="ANUAL",AP160*(1+Macroindicadores!M$7),IF(AND($I160="NOVO",MONTH($O160)=MONTH(BD$4)),AP160*(1+Macroindicadores!M$7),IF(AND($J160="PONTUAL",MONTH($O160)=MONTH(BD$4)),AP160*(1+Macroindicadores!M$7),IF(AND($J160="PONTUAL",MONTH($O160)&lt;MONTH(BD$4)),MIN($AS160:BC160),IF(AND($I160="NOVO",MONTH($O160)&gt;MONTH(BD$4)),AP160,IF(MONTH($O160)&gt;MONTH(BD$4),AP160,IF(MONTH($O160)=MONTH(BD$4),AP160*(1+Macroindicadores!M$7),BC160)))))))))</f>
        <v>0</v>
      </c>
      <c r="BE160" s="40">
        <f t="shared" si="71"/>
        <v>0</v>
      </c>
      <c r="BG160" s="39">
        <f>IF(ISBLANK(Q160),"",AS160/Macroindicadores!B$2)</f>
        <v>0</v>
      </c>
      <c r="BH160" s="39">
        <f>IF(ISBLANK(R160),"",AT160/Macroindicadores!C$2)</f>
        <v>0</v>
      </c>
      <c r="BI160" s="39">
        <f>IF(ISBLANK(S160),"",AU160/Macroindicadores!D$2)</f>
        <v>0</v>
      </c>
      <c r="BJ160" s="39">
        <f>IF(ISBLANK(T160),"",AV160/Macroindicadores!E$2)</f>
        <v>0</v>
      </c>
      <c r="BK160" s="39">
        <f>IF(ISBLANK(U160),"",AW160/Macroindicadores!F$2)</f>
        <v>0</v>
      </c>
      <c r="BL160" s="39">
        <f>IF(ISBLANK(V160),"",AX160/Macroindicadores!G$2)</f>
        <v>0</v>
      </c>
      <c r="BM160" s="39">
        <f>IF(ISBLANK(W160),"",AY160/Macroindicadores!H$2)</f>
        <v>0</v>
      </c>
      <c r="BN160" s="39">
        <f>IF(ISBLANK(X160),"",AZ160/Macroindicadores!I$2)</f>
        <v>0</v>
      </c>
      <c r="BO160" s="39">
        <f>IF(ISBLANK(Y160),"",BA160/Macroindicadores!J$2)</f>
        <v>0</v>
      </c>
      <c r="BP160" s="39">
        <f>IF(ISBLANK(Z160),"",BB160/Macroindicadores!K$2)</f>
        <v>0</v>
      </c>
      <c r="BQ160" s="39">
        <f>IF(ISBLANK(AA160),"",BC160/Macroindicadores!L$2)</f>
        <v>0</v>
      </c>
      <c r="BR160" s="39">
        <f>IF(ISBLANK(AB160),"",BD160/Macroindicadores!M$2)</f>
        <v>0</v>
      </c>
      <c r="BS160" s="40">
        <f>IF(AND(ISBLANK($Q160),ISBLANK($R160),ISBLANK($S160),ISBLANK($T160),ISBLANK($U160),ISBLANK($V160),ISBLANK($W160),ISBLANK($X160),ISBLANK($Y160),ISBLANK($Z160),ISBLANK($AA160),ISBLANK($AB160)),"",SUM(BG160:BR160))</f>
        <v>0</v>
      </c>
      <c r="BT160" s="25" t="str">
        <f>IF(ISBLANK($L160),"",_xlfn.XLOOKUP($L160,'CENTRO CUSTO'!$A:$A,'CENTRO CUSTO'!$E:$E,FALSE,0))</f>
        <v>Custo Fixo</v>
      </c>
    </row>
    <row r="161" spans="1:72">
      <c r="A161" s="9" t="str">
        <f t="shared" si="72"/>
        <v>Budget</v>
      </c>
      <c r="B161" s="9">
        <f t="shared" si="74"/>
        <v>2026</v>
      </c>
      <c r="C161" s="18" t="str">
        <f>IF(ISBLANK($L161),"",_xlfn.XLOOKUP($L161,'CENTRO CUSTO'!$A:$A,'CENTRO CUSTO'!F:F,FALSE,0))</f>
        <v>Cone Sul</v>
      </c>
      <c r="D161" s="111" t="str">
        <f>IF(ISBLANK($L161),"",_xlfn.XLOOKUP($L161,'CENTRO CUSTO'!$A:$A,'CENTRO CUSTO'!G:G,FALSE,0))</f>
        <v>Plataforma</v>
      </c>
      <c r="E161" s="18" t="str">
        <f>IF(ISBLANK($L161),"",_xlfn.XLOOKUP($L161,'CENTRO CUSTO'!$A:$A,'CENTRO CUSTO'!H:H,FALSE,0))</f>
        <v>G&amp;A</v>
      </c>
      <c r="F161" s="10" t="s">
        <v>176</v>
      </c>
      <c r="G161" s="10" t="s">
        <v>123</v>
      </c>
      <c r="H161" s="10" t="s">
        <v>177</v>
      </c>
      <c r="I161" s="11" t="s">
        <v>77</v>
      </c>
      <c r="J161" s="11" t="s">
        <v>78</v>
      </c>
      <c r="K161" s="11" t="s">
        <v>79</v>
      </c>
      <c r="L161" s="11" t="s">
        <v>54</v>
      </c>
      <c r="M161" s="18" t="str">
        <f>IF(ISBLANK($L161),"",_xlfn.XLOOKUP($L161,'CENTRO CUSTO'!$A:$A,'CENTRO CUSTO'!D:D,FALSE,0))</f>
        <v>Alexandre Ayabe</v>
      </c>
      <c r="N161" s="11" t="s">
        <v>178</v>
      </c>
      <c r="O161" s="12"/>
      <c r="P161" s="11" t="s">
        <v>81</v>
      </c>
      <c r="Q161" s="41">
        <v>30000</v>
      </c>
      <c r="R161" s="41">
        <v>30000</v>
      </c>
      <c r="S161" s="41">
        <v>30000</v>
      </c>
      <c r="T161" s="41">
        <v>30000</v>
      </c>
      <c r="U161" s="41">
        <v>30000</v>
      </c>
      <c r="V161" s="41">
        <v>30000</v>
      </c>
      <c r="W161" s="41">
        <v>30000</v>
      </c>
      <c r="X161" s="41">
        <v>30000</v>
      </c>
      <c r="Y161" s="41">
        <v>30000</v>
      </c>
      <c r="Z161" s="41">
        <v>30000</v>
      </c>
      <c r="AA161" s="41">
        <v>30000</v>
      </c>
      <c r="AB161" s="41">
        <v>30000</v>
      </c>
      <c r="AC161" s="116">
        <f t="shared" si="73"/>
        <v>360000</v>
      </c>
      <c r="AE161" s="39">
        <f>IF(ISBLANK(Q161),"",IF($P161="BRL",Q161,Q161*Macroindicadores!B$2)/1000)</f>
        <v>30</v>
      </c>
      <c r="AF161" s="39">
        <f>IF(ISBLANK(R161),"",IF($P161="BRL",R161,R161*Macroindicadores!C$2)/1000)</f>
        <v>30</v>
      </c>
      <c r="AG161" s="39">
        <f>IF(ISBLANK(S161),"",IF($P161="BRL",S161,S161*Macroindicadores!D$2)/1000)</f>
        <v>30</v>
      </c>
      <c r="AH161" s="39">
        <f>IF(ISBLANK(T161),"",IF($P161="BRL",T161,T161*Macroindicadores!E$2)/1000)</f>
        <v>30</v>
      </c>
      <c r="AI161" s="39">
        <f>IF(ISBLANK(U161),"",IF($P161="BRL",U161,U161*Macroindicadores!F$2)/1000)</f>
        <v>30</v>
      </c>
      <c r="AJ161" s="39">
        <f>IF(ISBLANK(V161),"",IF($P161="BRL",V161,V161*Macroindicadores!G$2)/1000)</f>
        <v>30</v>
      </c>
      <c r="AK161" s="39">
        <f>IF(ISBLANK(W161),"",IF($P161="BRL",W161,W161*Macroindicadores!H$2)/1000)</f>
        <v>30</v>
      </c>
      <c r="AL161" s="39">
        <f>IF(ISBLANK(X161),"",IF($P161="BRL",X161,X161*Macroindicadores!I$2)/1000)</f>
        <v>30</v>
      </c>
      <c r="AM161" s="39">
        <f>IF(ISBLANK(Y161),"",IF($P161="BRL",Y161,Y161*Macroindicadores!J$2)/1000)</f>
        <v>30</v>
      </c>
      <c r="AN161" s="39">
        <f>IF(ISBLANK(Z161),"",IF($P161="BRL",Z161,Z161*Macroindicadores!K$2)/1000)</f>
        <v>30</v>
      </c>
      <c r="AO161" s="39">
        <f>IF(ISBLANK(AA161),"",IF($P161="BRL",AA161,AA161*Macroindicadores!L$2)/1000)</f>
        <v>30</v>
      </c>
      <c r="AP161" s="39">
        <f>IF(ISBLANK(AB161),"",IF($P161="BRL",AB161,AB161*Macroindicadores!M$2)/1000)</f>
        <v>30</v>
      </c>
      <c r="AQ161" s="40">
        <f t="shared" si="70"/>
        <v>360</v>
      </c>
      <c r="AS161" s="39">
        <f>IF(ISBLANK(Q161),"",IF(ISBLANK($O161),AE161,IF($J161="ANUAL",AE161*(1+Macroindicadores!B$7),IF(AND($I161="NOVO",MONTH($O161)=MONTH(AS$4)),AE161*(1+Macroindicadores!B$7),IF(AND($J161="PONTUAL",MONTH($O161)=MONTH(AS$4)),AE161*(1+Macroindicadores!B$7),IF(AND($J161="PONTUAL",MONTH($O161)&lt;MONTH(AS$4)),MIN(AR161:$AS161),IF(AND($I161="NOVO",MONTH($O161)&gt;MONTH(AS$4)),AE161,IF(MONTH($O161)&gt;MONTH(AS$4),AE161,IF(MONTH($O161)=MONTH(AS$4),AE161*(1+Macroindicadores!B$7),AR161)))))))))</f>
        <v>30</v>
      </c>
      <c r="AT161" s="39">
        <f>IF(ISBLANK(R161),"",IF(ISBLANK($O161),AF161,IF($J161="ANUAL",AF161*(1+Macroindicadores!C$7),IF(AND($I161="NOVO",MONTH($O161)=MONTH(AT$4)),AF161*(1+Macroindicadores!C$7),IF(AND($J161="PONTUAL",MONTH($O161)=MONTH(AT$4)),AF161*(1+Macroindicadores!C$7),IF(AND($J161="PONTUAL",MONTH($O161)&lt;MONTH(AT$4)),MIN($AS161:AS161),IF(AND($I161="NOVO",MONTH($O161)&gt;MONTH(AT$4)),AF161,IF(MONTH($O161)&gt;MONTH(AT$4),AF161,IF(MONTH($O161)=MONTH(AT$4),AF161*(1+Macroindicadores!C$7),AS161)))))))))</f>
        <v>30</v>
      </c>
      <c r="AU161" s="39">
        <f>IF(ISBLANK(S161),"",IF(ISBLANK($O161),AG161,IF($J161="ANUAL",AG161*(1+Macroindicadores!D$7),IF(AND($I161="NOVO",MONTH($O161)=MONTH(AU$4)),AG161*(1+Macroindicadores!D$7),IF(AND($J161="PONTUAL",MONTH($O161)=MONTH(AU$4)),AG161*(1+Macroindicadores!D$7),IF(AND($J161="PONTUAL",MONTH($O161)&lt;MONTH(AU$4)),MIN($AS161:AT161),IF(AND($I161="NOVO",MONTH($O161)&gt;MONTH(AU$4)),AG161,IF(MONTH($O161)&gt;MONTH(AU$4),AG161,IF(MONTH($O161)=MONTH(AU$4),AG161*(1+Macroindicadores!D$7),AT161)))))))))</f>
        <v>30</v>
      </c>
      <c r="AV161" s="39">
        <f>IF(ISBLANK(T161),"",IF(ISBLANK($O161),AH161,IF($J161="ANUAL",AH161*(1+Macroindicadores!E$7),IF(AND($I161="NOVO",MONTH($O161)=MONTH(AV$4)),AH161*(1+Macroindicadores!E$7),IF(AND($J161="PONTUAL",MONTH($O161)=MONTH(AV$4)),AH161*(1+Macroindicadores!E$7),IF(AND($J161="PONTUAL",MONTH($O161)&lt;MONTH(AV$4)),MIN($AS161:AU161),IF(AND($I161="NOVO",MONTH($O161)&gt;MONTH(AV$4)),AH161,IF(MONTH($O161)&gt;MONTH(AV$4),AH161,IF(MONTH($O161)=MONTH(AV$4),AH161*(1+Macroindicadores!E$7),AU161)))))))))</f>
        <v>30</v>
      </c>
      <c r="AW161" s="39">
        <f>IF(ISBLANK(U161),"",IF(ISBLANK($O161),AI161,IF($J161="ANUAL",AI161*(1+Macroindicadores!F$7),IF(AND($I161="NOVO",MONTH($O161)=MONTH(AW$4)),AI161*(1+Macroindicadores!F$7),IF(AND($J161="PONTUAL",MONTH($O161)=MONTH(AW$4)),AI161*(1+Macroindicadores!F$7),IF(AND($J161="PONTUAL",MONTH($O161)&lt;MONTH(AW$4)),MIN($AS161:AV161),IF(AND($I161="NOVO",MONTH($O161)&gt;MONTH(AW$4)),AI161,IF(MONTH($O161)&gt;MONTH(AW$4),AI161,IF(MONTH($O161)=MONTH(AW$4),AI161*(1+Macroindicadores!F$7),AV161)))))))))</f>
        <v>30</v>
      </c>
      <c r="AX161" s="39">
        <f>IF(ISBLANK(V161),"",IF(ISBLANK($O161),AJ161,IF($J161="ANUAL",AJ161*(1+Macroindicadores!G$7),IF(AND($I161="NOVO",MONTH($O161)=MONTH(AX$4)),AJ161*(1+Macroindicadores!G$7),IF(AND($J161="PONTUAL",MONTH($O161)=MONTH(AX$4)),AJ161*(1+Macroindicadores!G$7),IF(AND($J161="PONTUAL",MONTH($O161)&lt;MONTH(AX$4)),MIN($AS161:AW161),IF(AND($I161="NOVO",MONTH($O161)&gt;MONTH(AX$4)),AJ161,IF(MONTH($O161)&gt;MONTH(AX$4),AJ161,IF(MONTH($O161)=MONTH(AX$4),AJ161*(1+Macroindicadores!G$7),AW161)))))))))</f>
        <v>30</v>
      </c>
      <c r="AY161" s="39">
        <f>IF(ISBLANK(W161),"",IF(ISBLANK($O161),AK161,IF($J161="ANUAL",AK161*(1+Macroindicadores!H$7),IF(AND($I161="NOVO",MONTH($O161)=MONTH(AY$4)),AK161*(1+Macroindicadores!H$7),IF(AND($J161="PONTUAL",MONTH($O161)=MONTH(AY$4)),AK161*(1+Macroindicadores!H$7),IF(AND($J161="PONTUAL",MONTH($O161)&lt;MONTH(AY$4)),MIN($AS161:AX161),IF(AND($I161="NOVO",MONTH($O161)&gt;MONTH(AY$4)),AK161,IF(MONTH($O161)&gt;MONTH(AY$4),AK161,IF(MONTH($O161)=MONTH(AY$4),AK161*(1+Macroindicadores!H$7),AX161)))))))))</f>
        <v>30</v>
      </c>
      <c r="AZ161" s="39">
        <f>IF(ISBLANK(X161),"",IF(ISBLANK($O161),AL161,IF($J161="ANUAL",AL161*(1+Macroindicadores!I$7),IF(AND($I161="NOVO",MONTH($O161)=MONTH(AZ$4)),AL161*(1+Macroindicadores!I$7),IF(AND($J161="PONTUAL",MONTH($O161)=MONTH(AZ$4)),AL161*(1+Macroindicadores!I$7),IF(AND($J161="PONTUAL",MONTH($O161)&lt;MONTH(AZ$4)),MIN($AS161:AY161),IF(AND($I161="NOVO",MONTH($O161)&gt;MONTH(AZ$4)),AL161,IF(MONTH($O161)&gt;MONTH(AZ$4),AL161,IF(MONTH($O161)=MONTH(AZ$4),AL161*(1+Macroindicadores!I$7),AY161)))))))))</f>
        <v>30</v>
      </c>
      <c r="BA161" s="39">
        <f>IF(ISBLANK(Y161),"",IF(ISBLANK($O161),AM161,IF($J161="ANUAL",AM161*(1+Macroindicadores!J$7),IF(AND($I161="NOVO",MONTH($O161)=MONTH(BA$4)),AM161*(1+Macroindicadores!J$7),IF(AND($J161="PONTUAL",MONTH($O161)=MONTH(BA$4)),AM161*(1+Macroindicadores!J$7),IF(AND($J161="PONTUAL",MONTH($O161)&lt;MONTH(BA$4)),MIN($AS161:AZ161),IF(AND($I161="NOVO",MONTH($O161)&gt;MONTH(BA$4)),AM161,IF(MONTH($O161)&gt;MONTH(BA$4),AM161,IF(MONTH($O161)=MONTH(BA$4),AM161*(1+Macroindicadores!J$7),AZ161)))))))))</f>
        <v>30</v>
      </c>
      <c r="BB161" s="39">
        <f>IF(ISBLANK(Z161),"",IF(ISBLANK($O161),AN161,IF($J161="ANUAL",AN161*(1+Macroindicadores!K$7),IF(AND($I161="NOVO",MONTH($O161)=MONTH(BB$4)),AN161*(1+Macroindicadores!K$7),IF(AND($J161="PONTUAL",MONTH($O161)=MONTH(BB$4)),AN161*(1+Macroindicadores!K$7),IF(AND($J161="PONTUAL",MONTH($O161)&lt;MONTH(BB$4)),MIN($AS161:BA161),IF(AND($I161="NOVO",MONTH($O161)&gt;MONTH(BB$4)),AN161,IF(MONTH($O161)&gt;MONTH(BB$4),AN161,IF(MONTH($O161)=MONTH(BB$4),AN161*(1+Macroindicadores!K$7),BA161)))))))))</f>
        <v>30</v>
      </c>
      <c r="BC161" s="39">
        <f>IF(ISBLANK(AA161),"",IF(ISBLANK($O161),AO161,IF($J161="ANUAL",AO161*(1+Macroindicadores!L$7),IF(AND($I161="NOVO",MONTH($O161)=MONTH(BC$4)),AO161*(1+Macroindicadores!L$7),IF(AND($J161="PONTUAL",MONTH($O161)=MONTH(BC$4)),AO161*(1+Macroindicadores!L$7),IF(AND($J161="PONTUAL",MONTH($O161)&lt;MONTH(BC$4)),MIN($AS161:BB161),IF(AND($I161="NOVO",MONTH($O161)&gt;MONTH(BC$4)),AO161,IF(MONTH($O161)&gt;MONTH(BC$4),AO161,IF(MONTH($O161)=MONTH(BC$4),AO161*(1+Macroindicadores!L$7),BB161)))))))))</f>
        <v>30</v>
      </c>
      <c r="BD161" s="39">
        <f>IF(ISBLANK(AB161),"",IF(ISBLANK($O161),AP161,IF($J161="ANUAL",AP161*(1+Macroindicadores!M$7),IF(AND($I161="NOVO",MONTH($O161)=MONTH(BD$4)),AP161*(1+Macroindicadores!M$7),IF(AND($J161="PONTUAL",MONTH($O161)=MONTH(BD$4)),AP161*(1+Macroindicadores!M$7),IF(AND($J161="PONTUAL",MONTH($O161)&lt;MONTH(BD$4)),MIN($AS161:BC161),IF(AND($I161="NOVO",MONTH($O161)&gt;MONTH(BD$4)),AP161,IF(MONTH($O161)&gt;MONTH(BD$4),AP161,IF(MONTH($O161)=MONTH(BD$4),AP161*(1+Macroindicadores!M$7),BC161)))))))))</f>
        <v>30</v>
      </c>
      <c r="BE161" s="40">
        <f t="shared" si="71"/>
        <v>360</v>
      </c>
      <c r="BG161" s="39">
        <f>IF(ISBLANK(Q161),"",AS161/Macroindicadores!B$2)</f>
        <v>5.1020408163265305</v>
      </c>
      <c r="BH161" s="39">
        <f>IF(ISBLANK(R161),"",AT161/Macroindicadores!C$2)</f>
        <v>5.1020408163265305</v>
      </c>
      <c r="BI161" s="39">
        <f>IF(ISBLANK(S161),"",AU161/Macroindicadores!D$2)</f>
        <v>5.1020408163265305</v>
      </c>
      <c r="BJ161" s="39">
        <f>IF(ISBLANK(T161),"",AV161/Macroindicadores!E$2)</f>
        <v>5.1020408163265305</v>
      </c>
      <c r="BK161" s="39">
        <f>IF(ISBLANK(U161),"",AW161/Macroindicadores!F$2)</f>
        <v>5.1020408163265305</v>
      </c>
      <c r="BL161" s="39">
        <f>IF(ISBLANK(V161),"",AX161/Macroindicadores!G$2)</f>
        <v>5.1020408163265305</v>
      </c>
      <c r="BM161" s="39">
        <f>IF(ISBLANK(W161),"",AY161/Macroindicadores!H$2)</f>
        <v>5.1020408163265305</v>
      </c>
      <c r="BN161" s="39">
        <f>IF(ISBLANK(X161),"",AZ161/Macroindicadores!I$2)</f>
        <v>5.1020408163265305</v>
      </c>
      <c r="BO161" s="39">
        <f>IF(ISBLANK(Y161),"",BA161/Macroindicadores!J$2)</f>
        <v>5.1020408163265305</v>
      </c>
      <c r="BP161" s="39">
        <f>IF(ISBLANK(Z161),"",BB161/Macroindicadores!K$2)</f>
        <v>5.1020408163265305</v>
      </c>
      <c r="BQ161" s="39">
        <f>IF(ISBLANK(AA161),"",BC161/Macroindicadores!L$2)</f>
        <v>5.1020408163265305</v>
      </c>
      <c r="BR161" s="39">
        <f>IF(ISBLANK(AB161),"",BD161/Macroindicadores!M$2)</f>
        <v>5.1020408163265305</v>
      </c>
      <c r="BS161" s="40">
        <f>IF(AND(ISBLANK($Q161),ISBLANK($R161),ISBLANK($S161),ISBLANK($T161),ISBLANK($U161),ISBLANK($V161),ISBLANK($W161),ISBLANK($X161),ISBLANK($Y161),ISBLANK($Z161),ISBLANK($AA161),ISBLANK($AB161)),"",SUM(BG161:BR161))</f>
        <v>61.224489795918352</v>
      </c>
      <c r="BT161" s="25" t="str">
        <f>IF(ISBLANK($L161),"",_xlfn.XLOOKUP($L161,'CENTRO CUSTO'!$A:$A,'CENTRO CUSTO'!$E:$E,FALSE,0))</f>
        <v>G&amp;A PL</v>
      </c>
    </row>
    <row r="162" spans="1:72">
      <c r="A162" s="9" t="str">
        <f t="shared" si="72"/>
        <v>Budget</v>
      </c>
      <c r="B162" s="9">
        <f t="shared" si="74"/>
        <v>2026</v>
      </c>
      <c r="C162" s="18" t="str">
        <f>IF(ISBLANK($L162),"",_xlfn.XLOOKUP($L162,'CENTRO CUSTO'!$A:$A,'CENTRO CUSTO'!F:F,FALSE,0))</f>
        <v>Transporte</v>
      </c>
      <c r="D162" s="111" t="str">
        <f>IF(ISBLANK($L162),"",_xlfn.XLOOKUP($L162,'CENTRO CUSTO'!$A:$A,'CENTRO CUSTO'!G:G,FALSE,0))</f>
        <v>Transportes</v>
      </c>
      <c r="E162" s="18" t="str">
        <f>IF(ISBLANK($L162),"",_xlfn.XLOOKUP($L162,'CENTRO CUSTO'!$A:$A,'CENTRO CUSTO'!H:H,FALSE,0))</f>
        <v>Transportes</v>
      </c>
      <c r="F162" s="10" t="s">
        <v>179</v>
      </c>
      <c r="G162" s="10" t="s">
        <v>123</v>
      </c>
      <c r="H162" s="10" t="s">
        <v>180</v>
      </c>
      <c r="I162" s="11" t="s">
        <v>84</v>
      </c>
      <c r="J162" s="11" t="s">
        <v>181</v>
      </c>
      <c r="K162" s="11" t="s">
        <v>121</v>
      </c>
      <c r="L162" s="11" t="s">
        <v>111</v>
      </c>
      <c r="M162" s="18" t="str">
        <f>IF(ISBLANK($L162),"",_xlfn.XLOOKUP($L162,'CENTRO CUSTO'!$A:$A,'CENTRO CUSTO'!D:D,FALSE,0))</f>
        <v>Alexandre Ayabe</v>
      </c>
      <c r="N162" s="11" t="s">
        <v>91</v>
      </c>
      <c r="O162" s="12"/>
      <c r="P162" s="11" t="s">
        <v>81</v>
      </c>
      <c r="Q162" s="41">
        <v>0</v>
      </c>
      <c r="R162" s="41">
        <v>0</v>
      </c>
      <c r="S162" s="41">
        <v>8000</v>
      </c>
      <c r="T162" s="41">
        <v>0</v>
      </c>
      <c r="U162" s="41">
        <v>0</v>
      </c>
      <c r="V162" s="41">
        <v>8000</v>
      </c>
      <c r="W162" s="41">
        <v>0</v>
      </c>
      <c r="X162" s="41">
        <v>0</v>
      </c>
      <c r="Y162" s="41">
        <v>8000</v>
      </c>
      <c r="Z162" s="41">
        <v>0</v>
      </c>
      <c r="AA162" s="41">
        <v>0</v>
      </c>
      <c r="AB162" s="41">
        <v>8000</v>
      </c>
      <c r="AC162" s="116">
        <f t="shared" si="73"/>
        <v>32000</v>
      </c>
      <c r="AE162" s="39">
        <f>IF(ISBLANK(Q162),"",IF($P162="BRL",Q162,Q162*Macroindicadores!B$2)/1000)</f>
        <v>0</v>
      </c>
      <c r="AF162" s="39">
        <f>IF(ISBLANK(R162),"",IF($P162="BRL",R162,R162*Macroindicadores!C$2)/1000)</f>
        <v>0</v>
      </c>
      <c r="AG162" s="39">
        <f>IF(ISBLANK(S162),"",IF($P162="BRL",S162,S162*Macroindicadores!D$2)/1000)</f>
        <v>8</v>
      </c>
      <c r="AH162" s="39">
        <f>IF(ISBLANK(T162),"",IF($P162="BRL",T162,T162*Macroindicadores!E$2)/1000)</f>
        <v>0</v>
      </c>
      <c r="AI162" s="39">
        <f>IF(ISBLANK(U162),"",IF($P162="BRL",U162,U162*Macroindicadores!F$2)/1000)</f>
        <v>0</v>
      </c>
      <c r="AJ162" s="39">
        <f>IF(ISBLANK(V162),"",IF($P162="BRL",V162,V162*Macroindicadores!G$2)/1000)</f>
        <v>8</v>
      </c>
      <c r="AK162" s="39">
        <f>IF(ISBLANK(W162),"",IF($P162="BRL",W162,W162*Macroindicadores!H$2)/1000)</f>
        <v>0</v>
      </c>
      <c r="AL162" s="39">
        <f>IF(ISBLANK(X162),"",IF($P162="BRL",X162,X162*Macroindicadores!I$2)/1000)</f>
        <v>0</v>
      </c>
      <c r="AM162" s="39">
        <f>IF(ISBLANK(Y162),"",IF($P162="BRL",Y162,Y162*Macroindicadores!J$2)/1000)</f>
        <v>8</v>
      </c>
      <c r="AN162" s="39">
        <f>IF(ISBLANK(Z162),"",IF($P162="BRL",Z162,Z162*Macroindicadores!K$2)/1000)</f>
        <v>0</v>
      </c>
      <c r="AO162" s="39">
        <f>IF(ISBLANK(AA162),"",IF($P162="BRL",AA162,AA162*Macroindicadores!L$2)/1000)</f>
        <v>0</v>
      </c>
      <c r="AP162" s="39">
        <f>IF(ISBLANK(AB162),"",IF($P162="BRL",AB162,AB162*Macroindicadores!M$2)/1000)</f>
        <v>8</v>
      </c>
      <c r="AQ162" s="40">
        <f t="shared" si="70"/>
        <v>32</v>
      </c>
      <c r="AS162" s="39">
        <f>IF(ISBLANK(Q162),"",IF(ISBLANK($O162),AE162,IF($J162="ANUAL",AE162*(1+Macroindicadores!B$7),IF(AND($I162="NOVO",MONTH($O162)=MONTH(AS$4)),AE162*(1+Macroindicadores!B$7),IF(AND($J162="PONTUAL",MONTH($O162)=MONTH(AS$4)),AE162*(1+Macroindicadores!B$7),IF(AND($J162="PONTUAL",MONTH($O162)&lt;MONTH(AS$4)),MIN(AR162:$AS162),IF(AND($I162="NOVO",MONTH($O162)&gt;MONTH(AS$4)),AE162,IF(MONTH($O162)&gt;MONTH(AS$4),AE162,IF(MONTH($O162)=MONTH(AS$4),AE162*(1+Macroindicadores!B$7),AR162)))))))))</f>
        <v>0</v>
      </c>
      <c r="AT162" s="39">
        <f>IF(ISBLANK(R162),"",IF(ISBLANK($O162),AF162,IF($J162="ANUAL",AF162*(1+Macroindicadores!C$7),IF(AND($I162="NOVO",MONTH($O162)=MONTH(AT$4)),AF162*(1+Macroindicadores!C$7),IF(AND($J162="PONTUAL",MONTH($O162)=MONTH(AT$4)),AF162*(1+Macroindicadores!C$7),IF(AND($J162="PONTUAL",MONTH($O162)&lt;MONTH(AT$4)),MIN($AS162:AS162),IF(AND($I162="NOVO",MONTH($O162)&gt;MONTH(AT$4)),AF162,IF(MONTH($O162)&gt;MONTH(AT$4),AF162,IF(MONTH($O162)=MONTH(AT$4),AF162*(1+Macroindicadores!C$7),AS162)))))))))</f>
        <v>0</v>
      </c>
      <c r="AU162" s="39">
        <f>IF(ISBLANK(S162),"",IF(ISBLANK($O162),AG162,IF($J162="ANUAL",AG162*(1+Macroindicadores!D$7),IF(AND($I162="NOVO",MONTH($O162)=MONTH(AU$4)),AG162*(1+Macroindicadores!D$7),IF(AND($J162="PONTUAL",MONTH($O162)=MONTH(AU$4)),AG162*(1+Macroindicadores!D$7),IF(AND($J162="PONTUAL",MONTH($O162)&lt;MONTH(AU$4)),MIN($AS162:AT162),IF(AND($I162="NOVO",MONTH($O162)&gt;MONTH(AU$4)),AG162,IF(MONTH($O162)&gt;MONTH(AU$4),AG162,IF(MONTH($O162)=MONTH(AU$4),AG162*(1+Macroindicadores!D$7),AT162)))))))))</f>
        <v>8</v>
      </c>
      <c r="AV162" s="39">
        <f>IF(ISBLANK(T162),"",IF(ISBLANK($O162),AH162,IF($J162="ANUAL",AH162*(1+Macroindicadores!E$7),IF(AND($I162="NOVO",MONTH($O162)=MONTH(AV$4)),AH162*(1+Macroindicadores!E$7),IF(AND($J162="PONTUAL",MONTH($O162)=MONTH(AV$4)),AH162*(1+Macroindicadores!E$7),IF(AND($J162="PONTUAL",MONTH($O162)&lt;MONTH(AV$4)),MIN($AS162:AU162),IF(AND($I162="NOVO",MONTH($O162)&gt;MONTH(AV$4)),AH162,IF(MONTH($O162)&gt;MONTH(AV$4),AH162,IF(MONTH($O162)=MONTH(AV$4),AH162*(1+Macroindicadores!E$7),AU162)))))))))</f>
        <v>0</v>
      </c>
      <c r="AW162" s="39">
        <f>IF(ISBLANK(U162),"",IF(ISBLANK($O162),AI162,IF($J162="ANUAL",AI162*(1+Macroindicadores!F$7),IF(AND($I162="NOVO",MONTH($O162)=MONTH(AW$4)),AI162*(1+Macroindicadores!F$7),IF(AND($J162="PONTUAL",MONTH($O162)=MONTH(AW$4)),AI162*(1+Macroindicadores!F$7),IF(AND($J162="PONTUAL",MONTH($O162)&lt;MONTH(AW$4)),MIN($AS162:AV162),IF(AND($I162="NOVO",MONTH($O162)&gt;MONTH(AW$4)),AI162,IF(MONTH($O162)&gt;MONTH(AW$4),AI162,IF(MONTH($O162)=MONTH(AW$4),AI162*(1+Macroindicadores!F$7),AV162)))))))))</f>
        <v>0</v>
      </c>
      <c r="AX162" s="39">
        <f>IF(ISBLANK(V162),"",IF(ISBLANK($O162),AJ162,IF($J162="ANUAL",AJ162*(1+Macroindicadores!G$7),IF(AND($I162="NOVO",MONTH($O162)=MONTH(AX$4)),AJ162*(1+Macroindicadores!G$7),IF(AND($J162="PONTUAL",MONTH($O162)=MONTH(AX$4)),AJ162*(1+Macroindicadores!G$7),IF(AND($J162="PONTUAL",MONTH($O162)&lt;MONTH(AX$4)),MIN($AS162:AW162),IF(AND($I162="NOVO",MONTH($O162)&gt;MONTH(AX$4)),AJ162,IF(MONTH($O162)&gt;MONTH(AX$4),AJ162,IF(MONTH($O162)=MONTH(AX$4),AJ162*(1+Macroindicadores!G$7),AW162)))))))))</f>
        <v>8</v>
      </c>
      <c r="AY162" s="39">
        <f>IF(ISBLANK(W162),"",IF(ISBLANK($O162),AK162,IF($J162="ANUAL",AK162*(1+Macroindicadores!H$7),IF(AND($I162="NOVO",MONTH($O162)=MONTH(AY$4)),AK162*(1+Macroindicadores!H$7),IF(AND($J162="PONTUAL",MONTH($O162)=MONTH(AY$4)),AK162*(1+Macroindicadores!H$7),IF(AND($J162="PONTUAL",MONTH($O162)&lt;MONTH(AY$4)),MIN($AS162:AX162),IF(AND($I162="NOVO",MONTH($O162)&gt;MONTH(AY$4)),AK162,IF(MONTH($O162)&gt;MONTH(AY$4),AK162,IF(MONTH($O162)=MONTH(AY$4),AK162*(1+Macroindicadores!H$7),AX162)))))))))</f>
        <v>0</v>
      </c>
      <c r="AZ162" s="39">
        <f>IF(ISBLANK(X162),"",IF(ISBLANK($O162),AL162,IF($J162="ANUAL",AL162*(1+Macroindicadores!I$7),IF(AND($I162="NOVO",MONTH($O162)=MONTH(AZ$4)),AL162*(1+Macroindicadores!I$7),IF(AND($J162="PONTUAL",MONTH($O162)=MONTH(AZ$4)),AL162*(1+Macroindicadores!I$7),IF(AND($J162="PONTUAL",MONTH($O162)&lt;MONTH(AZ$4)),MIN($AS162:AY162),IF(AND($I162="NOVO",MONTH($O162)&gt;MONTH(AZ$4)),AL162,IF(MONTH($O162)&gt;MONTH(AZ$4),AL162,IF(MONTH($O162)=MONTH(AZ$4),AL162*(1+Macroindicadores!I$7),AY162)))))))))</f>
        <v>0</v>
      </c>
      <c r="BA162" s="39">
        <f>IF(ISBLANK(Y162),"",IF(ISBLANK($O162),AM162,IF($J162="ANUAL",AM162*(1+Macroindicadores!J$7),IF(AND($I162="NOVO",MONTH($O162)=MONTH(BA$4)),AM162*(1+Macroindicadores!J$7),IF(AND($J162="PONTUAL",MONTH($O162)=MONTH(BA$4)),AM162*(1+Macroindicadores!J$7),IF(AND($J162="PONTUAL",MONTH($O162)&lt;MONTH(BA$4)),MIN($AS162:AZ162),IF(AND($I162="NOVO",MONTH($O162)&gt;MONTH(BA$4)),AM162,IF(MONTH($O162)&gt;MONTH(BA$4),AM162,IF(MONTH($O162)=MONTH(BA$4),AM162*(1+Macroindicadores!J$7),AZ162)))))))))</f>
        <v>8</v>
      </c>
      <c r="BB162" s="39">
        <f>IF(ISBLANK(Z162),"",IF(ISBLANK($O162),AN162,IF($J162="ANUAL",AN162*(1+Macroindicadores!K$7),IF(AND($I162="NOVO",MONTH($O162)=MONTH(BB$4)),AN162*(1+Macroindicadores!K$7),IF(AND($J162="PONTUAL",MONTH($O162)=MONTH(BB$4)),AN162*(1+Macroindicadores!K$7),IF(AND($J162="PONTUAL",MONTH($O162)&lt;MONTH(BB$4)),MIN($AS162:BA162),IF(AND($I162="NOVO",MONTH($O162)&gt;MONTH(BB$4)),AN162,IF(MONTH($O162)&gt;MONTH(BB$4),AN162,IF(MONTH($O162)=MONTH(BB$4),AN162*(1+Macroindicadores!K$7),BA162)))))))))</f>
        <v>0</v>
      </c>
      <c r="BC162" s="39">
        <f>IF(ISBLANK(AA162),"",IF(ISBLANK($O162),AO162,IF($J162="ANUAL",AO162*(1+Macroindicadores!L$7),IF(AND($I162="NOVO",MONTH($O162)=MONTH(BC$4)),AO162*(1+Macroindicadores!L$7),IF(AND($J162="PONTUAL",MONTH($O162)=MONTH(BC$4)),AO162*(1+Macroindicadores!L$7),IF(AND($J162="PONTUAL",MONTH($O162)&lt;MONTH(BC$4)),MIN($AS162:BB162),IF(AND($I162="NOVO",MONTH($O162)&gt;MONTH(BC$4)),AO162,IF(MONTH($O162)&gt;MONTH(BC$4),AO162,IF(MONTH($O162)=MONTH(BC$4),AO162*(1+Macroindicadores!L$7),BB162)))))))))</f>
        <v>0</v>
      </c>
      <c r="BD162" s="39">
        <f>IF(ISBLANK(AB162),"",IF(ISBLANK($O162),AP162,IF($J162="ANUAL",AP162*(1+Macroindicadores!M$7),IF(AND($I162="NOVO",MONTH($O162)=MONTH(BD$4)),AP162*(1+Macroindicadores!M$7),IF(AND($J162="PONTUAL",MONTH($O162)=MONTH(BD$4)),AP162*(1+Macroindicadores!M$7),IF(AND($J162="PONTUAL",MONTH($O162)&lt;MONTH(BD$4)),MIN($AS162:BC162),IF(AND($I162="NOVO",MONTH($O162)&gt;MONTH(BD$4)),AP162,IF(MONTH($O162)&gt;MONTH(BD$4),AP162,IF(MONTH($O162)=MONTH(BD$4),AP162*(1+Macroindicadores!M$7),BC162)))))))))</f>
        <v>8</v>
      </c>
      <c r="BE162" s="40">
        <f t="shared" si="71"/>
        <v>32</v>
      </c>
      <c r="BG162" s="39">
        <f>IF(ISBLANK(Q162),"",AS162/Macroindicadores!B$2)</f>
        <v>0</v>
      </c>
      <c r="BH162" s="39">
        <f>IF(ISBLANK(R162),"",AT162/Macroindicadores!C$2)</f>
        <v>0</v>
      </c>
      <c r="BI162" s="39">
        <f>IF(ISBLANK(S162),"",AU162/Macroindicadores!D$2)</f>
        <v>1.3605442176870748</v>
      </c>
      <c r="BJ162" s="39">
        <f>IF(ISBLANK(T162),"",AV162/Macroindicadores!E$2)</f>
        <v>0</v>
      </c>
      <c r="BK162" s="39">
        <f>IF(ISBLANK(U162),"",AW162/Macroindicadores!F$2)</f>
        <v>0</v>
      </c>
      <c r="BL162" s="39">
        <f>IF(ISBLANK(V162),"",AX162/Macroindicadores!G$2)</f>
        <v>1.3605442176870748</v>
      </c>
      <c r="BM162" s="39">
        <f>IF(ISBLANK(W162),"",AY162/Macroindicadores!H$2)</f>
        <v>0</v>
      </c>
      <c r="BN162" s="39">
        <f>IF(ISBLANK(X162),"",AZ162/Macroindicadores!I$2)</f>
        <v>0</v>
      </c>
      <c r="BO162" s="39">
        <f>IF(ISBLANK(Y162),"",BA162/Macroindicadores!J$2)</f>
        <v>1.3605442176870748</v>
      </c>
      <c r="BP162" s="39">
        <f>IF(ISBLANK(Z162),"",BB162/Macroindicadores!K$2)</f>
        <v>0</v>
      </c>
      <c r="BQ162" s="39">
        <f>IF(ISBLANK(AA162),"",BC162/Macroindicadores!L$2)</f>
        <v>0</v>
      </c>
      <c r="BR162" s="39">
        <f>IF(ISBLANK(AB162),"",BD162/Macroindicadores!M$2)</f>
        <v>1.3605442176870748</v>
      </c>
      <c r="BS162" s="40">
        <f>IF(AND(ISBLANK($Q162),ISBLANK($R162),ISBLANK($S162),ISBLANK($T162),ISBLANK($U162),ISBLANK($V162),ISBLANK($W162),ISBLANK($X162),ISBLANK($Y162),ISBLANK($Z162),ISBLANK($AA162),ISBLANK($AB162)),"",SUM(BG162:BR162))</f>
        <v>5.4421768707482991</v>
      </c>
      <c r="BT162" s="25" t="str">
        <f>IF(ISBLANK($L162),"",_xlfn.XLOOKUP($L162,'CENTRO CUSTO'!$A:$A,'CENTRO CUSTO'!$E:$E,FALSE,0))</f>
        <v>Custo Fixo</v>
      </c>
    </row>
    <row r="163" spans="1:72">
      <c r="A163" s="9" t="str">
        <f t="shared" si="72"/>
        <v>Budget</v>
      </c>
      <c r="B163" s="9">
        <f t="shared" si="74"/>
        <v>2026</v>
      </c>
      <c r="C163" s="18" t="str">
        <f>IF(ISBLANK($L163),"",_xlfn.XLOOKUP($L163,'CENTRO CUSTO'!$A:$A,'CENTRO CUSTO'!F:F,FALSE,0))</f>
        <v>Martini Meat</v>
      </c>
      <c r="D163" s="111" t="str">
        <f>IF(ISBLANK($L163),"",_xlfn.XLOOKUP($L163,'CENTRO CUSTO'!$A:$A,'CENTRO CUSTO'!G:G,FALSE,0))</f>
        <v>Paranaguá</v>
      </c>
      <c r="E163" s="18" t="str">
        <f>IF(ISBLANK($L163),"",_xlfn.XLOOKUP($L163,'CENTRO CUSTO'!$A:$A,'CENTRO CUSTO'!H:H,FALSE,0))</f>
        <v>RATEIO Unidade</v>
      </c>
      <c r="F163" s="10" t="s">
        <v>179</v>
      </c>
      <c r="G163" s="10" t="s">
        <v>123</v>
      </c>
      <c r="H163" s="10" t="s">
        <v>180</v>
      </c>
      <c r="I163" s="11" t="s">
        <v>84</v>
      </c>
      <c r="J163" s="11" t="s">
        <v>181</v>
      </c>
      <c r="K163" s="11" t="s">
        <v>121</v>
      </c>
      <c r="L163" s="11" t="s">
        <v>19</v>
      </c>
      <c r="M163" s="18" t="str">
        <f>IF(ISBLANK($L163),"",_xlfn.XLOOKUP($L163,'CENTRO CUSTO'!$A:$A,'CENTRO CUSTO'!D:D,FALSE,0))</f>
        <v>Alexandre Ayabe</v>
      </c>
      <c r="N163" s="11" t="s">
        <v>91</v>
      </c>
      <c r="O163" s="12"/>
      <c r="P163" s="11" t="s">
        <v>81</v>
      </c>
      <c r="Q163" s="41">
        <v>0</v>
      </c>
      <c r="R163" s="41">
        <v>0</v>
      </c>
      <c r="S163" s="41">
        <v>10000</v>
      </c>
      <c r="T163" s="41">
        <v>0</v>
      </c>
      <c r="U163" s="41">
        <v>0</v>
      </c>
      <c r="V163" s="41">
        <v>10000</v>
      </c>
      <c r="W163" s="41">
        <v>0</v>
      </c>
      <c r="X163" s="41">
        <v>0</v>
      </c>
      <c r="Y163" s="41">
        <v>10000</v>
      </c>
      <c r="Z163" s="41">
        <v>0</v>
      </c>
      <c r="AA163" s="41">
        <v>0</v>
      </c>
      <c r="AB163" s="41">
        <v>10000</v>
      </c>
      <c r="AC163" s="116">
        <f t="shared" si="73"/>
        <v>40000</v>
      </c>
      <c r="AE163" s="39">
        <f>IF(ISBLANK(Q163),"",IF($P163="BRL",Q163,Q163*Macroindicadores!B$2)/1000)</f>
        <v>0</v>
      </c>
      <c r="AF163" s="39">
        <f>IF(ISBLANK(R163),"",IF($P163="BRL",R163,R163*Macroindicadores!C$2)/1000)</f>
        <v>0</v>
      </c>
      <c r="AG163" s="39">
        <f>IF(ISBLANK(S163),"",IF($P163="BRL",S163,S163*Macroindicadores!D$2)/1000)</f>
        <v>10</v>
      </c>
      <c r="AH163" s="39">
        <f>IF(ISBLANK(T163),"",IF($P163="BRL",T163,T163*Macroindicadores!E$2)/1000)</f>
        <v>0</v>
      </c>
      <c r="AI163" s="39">
        <f>IF(ISBLANK(U163),"",IF($P163="BRL",U163,U163*Macroindicadores!F$2)/1000)</f>
        <v>0</v>
      </c>
      <c r="AJ163" s="39">
        <f>IF(ISBLANK(V163),"",IF($P163="BRL",V163,V163*Macroindicadores!G$2)/1000)</f>
        <v>10</v>
      </c>
      <c r="AK163" s="39">
        <f>IF(ISBLANK(W163),"",IF($P163="BRL",W163,W163*Macroindicadores!H$2)/1000)</f>
        <v>0</v>
      </c>
      <c r="AL163" s="39">
        <f>IF(ISBLANK(X163),"",IF($P163="BRL",X163,X163*Macroindicadores!I$2)/1000)</f>
        <v>0</v>
      </c>
      <c r="AM163" s="39">
        <f>IF(ISBLANK(Y163),"",IF($P163="BRL",Y163,Y163*Macroindicadores!J$2)/1000)</f>
        <v>10</v>
      </c>
      <c r="AN163" s="39">
        <f>IF(ISBLANK(Z163),"",IF($P163="BRL",Z163,Z163*Macroindicadores!K$2)/1000)</f>
        <v>0</v>
      </c>
      <c r="AO163" s="39">
        <f>IF(ISBLANK(AA163),"",IF($P163="BRL",AA163,AA163*Macroindicadores!L$2)/1000)</f>
        <v>0</v>
      </c>
      <c r="AP163" s="39">
        <f>IF(ISBLANK(AB163),"",IF($P163="BRL",AB163,AB163*Macroindicadores!M$2)/1000)</f>
        <v>10</v>
      </c>
      <c r="AQ163" s="40">
        <f t="shared" si="70"/>
        <v>40</v>
      </c>
      <c r="AS163" s="39">
        <f>IF(ISBLANK(Q163),"",IF(ISBLANK($O163),AE163,IF($J163="ANUAL",AE163*(1+Macroindicadores!B$7),IF(AND($I163="NOVO",MONTH($O163)=MONTH(AS$4)),AE163*(1+Macroindicadores!B$7),IF(AND($J163="PONTUAL",MONTH($O163)=MONTH(AS$4)),AE163*(1+Macroindicadores!B$7),IF(AND($J163="PONTUAL",MONTH($O163)&lt;MONTH(AS$4)),MIN(AR163:$AS163),IF(AND($I163="NOVO",MONTH($O163)&gt;MONTH(AS$4)),AE163,IF(MONTH($O163)&gt;MONTH(AS$4),AE163,IF(MONTH($O163)=MONTH(AS$4),AE163*(1+Macroindicadores!B$7),AR163)))))))))</f>
        <v>0</v>
      </c>
      <c r="AT163" s="39">
        <f>IF(ISBLANK(R163),"",IF(ISBLANK($O163),AF163,IF($J163="ANUAL",AF163*(1+Macroindicadores!C$7),IF(AND($I163="NOVO",MONTH($O163)=MONTH(AT$4)),AF163*(1+Macroindicadores!C$7),IF(AND($J163="PONTUAL",MONTH($O163)=MONTH(AT$4)),AF163*(1+Macroindicadores!C$7),IF(AND($J163="PONTUAL",MONTH($O163)&lt;MONTH(AT$4)),MIN($AS163:AS163),IF(AND($I163="NOVO",MONTH($O163)&gt;MONTH(AT$4)),AF163,IF(MONTH($O163)&gt;MONTH(AT$4),AF163,IF(MONTH($O163)=MONTH(AT$4),AF163*(1+Macroindicadores!C$7),AS163)))))))))</f>
        <v>0</v>
      </c>
      <c r="AU163" s="39">
        <f>IF(ISBLANK(S163),"",IF(ISBLANK($O163),AG163,IF($J163="ANUAL",AG163*(1+Macroindicadores!D$7),IF(AND($I163="NOVO",MONTH($O163)=MONTH(AU$4)),AG163*(1+Macroindicadores!D$7),IF(AND($J163="PONTUAL",MONTH($O163)=MONTH(AU$4)),AG163*(1+Macroindicadores!D$7),IF(AND($J163="PONTUAL",MONTH($O163)&lt;MONTH(AU$4)),MIN($AS163:AT163),IF(AND($I163="NOVO",MONTH($O163)&gt;MONTH(AU$4)),AG163,IF(MONTH($O163)&gt;MONTH(AU$4),AG163,IF(MONTH($O163)=MONTH(AU$4),AG163*(1+Macroindicadores!D$7),AT163)))))))))</f>
        <v>10</v>
      </c>
      <c r="AV163" s="39">
        <f>IF(ISBLANK(T163),"",IF(ISBLANK($O163),AH163,IF($J163="ANUAL",AH163*(1+Macroindicadores!E$7),IF(AND($I163="NOVO",MONTH($O163)=MONTH(AV$4)),AH163*(1+Macroindicadores!E$7),IF(AND($J163="PONTUAL",MONTH($O163)=MONTH(AV$4)),AH163*(1+Macroindicadores!E$7),IF(AND($J163="PONTUAL",MONTH($O163)&lt;MONTH(AV$4)),MIN($AS163:AU163),IF(AND($I163="NOVO",MONTH($O163)&gt;MONTH(AV$4)),AH163,IF(MONTH($O163)&gt;MONTH(AV$4),AH163,IF(MONTH($O163)=MONTH(AV$4),AH163*(1+Macroindicadores!E$7),AU163)))))))))</f>
        <v>0</v>
      </c>
      <c r="AW163" s="39">
        <f>IF(ISBLANK(U163),"",IF(ISBLANK($O163),AI163,IF($J163="ANUAL",AI163*(1+Macroindicadores!F$7),IF(AND($I163="NOVO",MONTH($O163)=MONTH(AW$4)),AI163*(1+Macroindicadores!F$7),IF(AND($J163="PONTUAL",MONTH($O163)=MONTH(AW$4)),AI163*(1+Macroindicadores!F$7),IF(AND($J163="PONTUAL",MONTH($O163)&lt;MONTH(AW$4)),MIN($AS163:AV163),IF(AND($I163="NOVO",MONTH($O163)&gt;MONTH(AW$4)),AI163,IF(MONTH($O163)&gt;MONTH(AW$4),AI163,IF(MONTH($O163)=MONTH(AW$4),AI163*(1+Macroindicadores!F$7),AV163)))))))))</f>
        <v>0</v>
      </c>
      <c r="AX163" s="39">
        <f>IF(ISBLANK(V163),"",IF(ISBLANK($O163),AJ163,IF($J163="ANUAL",AJ163*(1+Macroindicadores!G$7),IF(AND($I163="NOVO",MONTH($O163)=MONTH(AX$4)),AJ163*(1+Macroindicadores!G$7),IF(AND($J163="PONTUAL",MONTH($O163)=MONTH(AX$4)),AJ163*(1+Macroindicadores!G$7),IF(AND($J163="PONTUAL",MONTH($O163)&lt;MONTH(AX$4)),MIN($AS163:AW163),IF(AND($I163="NOVO",MONTH($O163)&gt;MONTH(AX$4)),AJ163,IF(MONTH($O163)&gt;MONTH(AX$4),AJ163,IF(MONTH($O163)=MONTH(AX$4),AJ163*(1+Macroindicadores!G$7),AW163)))))))))</f>
        <v>10</v>
      </c>
      <c r="AY163" s="39">
        <f>IF(ISBLANK(W163),"",IF(ISBLANK($O163),AK163,IF($J163="ANUAL",AK163*(1+Macroindicadores!H$7),IF(AND($I163="NOVO",MONTH($O163)=MONTH(AY$4)),AK163*(1+Macroindicadores!H$7),IF(AND($J163="PONTUAL",MONTH($O163)=MONTH(AY$4)),AK163*(1+Macroindicadores!H$7),IF(AND($J163="PONTUAL",MONTH($O163)&lt;MONTH(AY$4)),MIN($AS163:AX163),IF(AND($I163="NOVO",MONTH($O163)&gt;MONTH(AY$4)),AK163,IF(MONTH($O163)&gt;MONTH(AY$4),AK163,IF(MONTH($O163)=MONTH(AY$4),AK163*(1+Macroindicadores!H$7),AX163)))))))))</f>
        <v>0</v>
      </c>
      <c r="AZ163" s="39">
        <f>IF(ISBLANK(X163),"",IF(ISBLANK($O163),AL163,IF($J163="ANUAL",AL163*(1+Macroindicadores!I$7),IF(AND($I163="NOVO",MONTH($O163)=MONTH(AZ$4)),AL163*(1+Macroindicadores!I$7),IF(AND($J163="PONTUAL",MONTH($O163)=MONTH(AZ$4)),AL163*(1+Macroindicadores!I$7),IF(AND($J163="PONTUAL",MONTH($O163)&lt;MONTH(AZ$4)),MIN($AS163:AY163),IF(AND($I163="NOVO",MONTH($O163)&gt;MONTH(AZ$4)),AL163,IF(MONTH($O163)&gt;MONTH(AZ$4),AL163,IF(MONTH($O163)=MONTH(AZ$4),AL163*(1+Macroindicadores!I$7),AY163)))))))))</f>
        <v>0</v>
      </c>
      <c r="BA163" s="39">
        <f>IF(ISBLANK(Y163),"",IF(ISBLANK($O163),AM163,IF($J163="ANUAL",AM163*(1+Macroindicadores!J$7),IF(AND($I163="NOVO",MONTH($O163)=MONTH(BA$4)),AM163*(1+Macroindicadores!J$7),IF(AND($J163="PONTUAL",MONTH($O163)=MONTH(BA$4)),AM163*(1+Macroindicadores!J$7),IF(AND($J163="PONTUAL",MONTH($O163)&lt;MONTH(BA$4)),MIN($AS163:AZ163),IF(AND($I163="NOVO",MONTH($O163)&gt;MONTH(BA$4)),AM163,IF(MONTH($O163)&gt;MONTH(BA$4),AM163,IF(MONTH($O163)=MONTH(BA$4),AM163*(1+Macroindicadores!J$7),AZ163)))))))))</f>
        <v>10</v>
      </c>
      <c r="BB163" s="39">
        <f>IF(ISBLANK(Z163),"",IF(ISBLANK($O163),AN163,IF($J163="ANUAL",AN163*(1+Macroindicadores!K$7),IF(AND($I163="NOVO",MONTH($O163)=MONTH(BB$4)),AN163*(1+Macroindicadores!K$7),IF(AND($J163="PONTUAL",MONTH($O163)=MONTH(BB$4)),AN163*(1+Macroindicadores!K$7),IF(AND($J163="PONTUAL",MONTH($O163)&lt;MONTH(BB$4)),MIN($AS163:BA163),IF(AND($I163="NOVO",MONTH($O163)&gt;MONTH(BB$4)),AN163,IF(MONTH($O163)&gt;MONTH(BB$4),AN163,IF(MONTH($O163)=MONTH(BB$4),AN163*(1+Macroindicadores!K$7),BA163)))))))))</f>
        <v>0</v>
      </c>
      <c r="BC163" s="39">
        <f>IF(ISBLANK(AA163),"",IF(ISBLANK($O163),AO163,IF($J163="ANUAL",AO163*(1+Macroindicadores!L$7),IF(AND($I163="NOVO",MONTH($O163)=MONTH(BC$4)),AO163*(1+Macroindicadores!L$7),IF(AND($J163="PONTUAL",MONTH($O163)=MONTH(BC$4)),AO163*(1+Macroindicadores!L$7),IF(AND($J163="PONTUAL",MONTH($O163)&lt;MONTH(BC$4)),MIN($AS163:BB163),IF(AND($I163="NOVO",MONTH($O163)&gt;MONTH(BC$4)),AO163,IF(MONTH($O163)&gt;MONTH(BC$4),AO163,IF(MONTH($O163)=MONTH(BC$4),AO163*(1+Macroindicadores!L$7),BB163)))))))))</f>
        <v>0</v>
      </c>
      <c r="BD163" s="39">
        <f>IF(ISBLANK(AB163),"",IF(ISBLANK($O163),AP163,IF($J163="ANUAL",AP163*(1+Macroindicadores!M$7),IF(AND($I163="NOVO",MONTH($O163)=MONTH(BD$4)),AP163*(1+Macroindicadores!M$7),IF(AND($J163="PONTUAL",MONTH($O163)=MONTH(BD$4)),AP163*(1+Macroindicadores!M$7),IF(AND($J163="PONTUAL",MONTH($O163)&lt;MONTH(BD$4)),MIN($AS163:BC163),IF(AND($I163="NOVO",MONTH($O163)&gt;MONTH(BD$4)),AP163,IF(MONTH($O163)&gt;MONTH(BD$4),AP163,IF(MONTH($O163)=MONTH(BD$4),AP163*(1+Macroindicadores!M$7),BC163)))))))))</f>
        <v>10</v>
      </c>
      <c r="BE163" s="40">
        <f t="shared" si="71"/>
        <v>40</v>
      </c>
      <c r="BG163" s="39">
        <f>IF(ISBLANK(Q163),"",AS163/Macroindicadores!B$2)</f>
        <v>0</v>
      </c>
      <c r="BH163" s="39">
        <f>IF(ISBLANK(R163),"",AT163/Macroindicadores!C$2)</f>
        <v>0</v>
      </c>
      <c r="BI163" s="39">
        <f>IF(ISBLANK(S163),"",AU163/Macroindicadores!D$2)</f>
        <v>1.7006802721088436</v>
      </c>
      <c r="BJ163" s="39">
        <f>IF(ISBLANK(T163),"",AV163/Macroindicadores!E$2)</f>
        <v>0</v>
      </c>
      <c r="BK163" s="39">
        <f>IF(ISBLANK(U163),"",AW163/Macroindicadores!F$2)</f>
        <v>0</v>
      </c>
      <c r="BL163" s="39">
        <f>IF(ISBLANK(V163),"",AX163/Macroindicadores!G$2)</f>
        <v>1.7006802721088436</v>
      </c>
      <c r="BM163" s="39">
        <f>IF(ISBLANK(W163),"",AY163/Macroindicadores!H$2)</f>
        <v>0</v>
      </c>
      <c r="BN163" s="39">
        <f>IF(ISBLANK(X163),"",AZ163/Macroindicadores!I$2)</f>
        <v>0</v>
      </c>
      <c r="BO163" s="39">
        <f>IF(ISBLANK(Y163),"",BA163/Macroindicadores!J$2)</f>
        <v>1.7006802721088436</v>
      </c>
      <c r="BP163" s="39">
        <f>IF(ISBLANK(Z163),"",BB163/Macroindicadores!K$2)</f>
        <v>0</v>
      </c>
      <c r="BQ163" s="39">
        <f>IF(ISBLANK(AA163),"",BC163/Macroindicadores!L$2)</f>
        <v>0</v>
      </c>
      <c r="BR163" s="39">
        <f>IF(ISBLANK(AB163),"",BD163/Macroindicadores!M$2)</f>
        <v>1.7006802721088436</v>
      </c>
      <c r="BS163" s="40">
        <f>IF(AND(ISBLANK($Q163),ISBLANK($R163),ISBLANK($S163),ISBLANK($T163),ISBLANK($U163),ISBLANK($V163),ISBLANK($W163),ISBLANK($X163),ISBLANK($Y163),ISBLANK($Z163),ISBLANK($AA163),ISBLANK($AB163)),"",SUM(BG163:BR163))</f>
        <v>6.8027210884353746</v>
      </c>
      <c r="BT163" s="25" t="str">
        <f>IF(ISBLANK($L163),"",_xlfn.XLOOKUP($L163,'CENTRO CUSTO'!$A:$A,'CENTRO CUSTO'!$E:$E,FALSE,0))</f>
        <v>Custo Fixo</v>
      </c>
    </row>
    <row r="164" spans="1:72">
      <c r="A164" s="9" t="str">
        <f t="shared" si="72"/>
        <v>Budget</v>
      </c>
      <c r="B164" s="9">
        <f t="shared" si="74"/>
        <v>2026</v>
      </c>
      <c r="C164" s="18" t="str">
        <f>IF(ISBLANK($L164),"",_xlfn.XLOOKUP($L164,'CENTRO CUSTO'!$A:$A,'CENTRO CUSTO'!F:F,FALSE,0))</f>
        <v>Martini Meat</v>
      </c>
      <c r="D164" s="111" t="str">
        <f>IF(ISBLANK($L164),"",_xlfn.XLOOKUP($L164,'CENTRO CUSTO'!$A:$A,'CENTRO CUSTO'!G:G,FALSE,0))</f>
        <v>Paranaguá</v>
      </c>
      <c r="E164" s="18" t="str">
        <f>IF(ISBLANK($L164),"",_xlfn.XLOOKUP($L164,'CENTRO CUSTO'!$A:$A,'CENTRO CUSTO'!H:H,FALSE,0))</f>
        <v>Carga Geral</v>
      </c>
      <c r="F164" s="10" t="s">
        <v>179</v>
      </c>
      <c r="G164" s="10" t="s">
        <v>123</v>
      </c>
      <c r="H164" s="10" t="s">
        <v>180</v>
      </c>
      <c r="I164" s="11" t="s">
        <v>84</v>
      </c>
      <c r="J164" s="11" t="s">
        <v>181</v>
      </c>
      <c r="K164" s="11" t="s">
        <v>121</v>
      </c>
      <c r="L164" s="11" t="s">
        <v>12</v>
      </c>
      <c r="M164" s="18" t="str">
        <f>IF(ISBLANK($L164),"",_xlfn.XLOOKUP($L164,'CENTRO CUSTO'!$A:$A,'CENTRO CUSTO'!D:D,FALSE,0))</f>
        <v>Alexandre Ayabe</v>
      </c>
      <c r="N164" s="11" t="s">
        <v>91</v>
      </c>
      <c r="O164" s="12"/>
      <c r="P164" s="11" t="s">
        <v>81</v>
      </c>
      <c r="Q164" s="41">
        <v>0</v>
      </c>
      <c r="R164" s="41">
        <v>0</v>
      </c>
      <c r="S164" s="41">
        <v>0</v>
      </c>
      <c r="T164" s="41">
        <v>0</v>
      </c>
      <c r="U164" s="41">
        <v>0</v>
      </c>
      <c r="V164" s="41">
        <v>0</v>
      </c>
      <c r="W164" s="41">
        <v>0</v>
      </c>
      <c r="X164" s="41">
        <v>0</v>
      </c>
      <c r="Y164" s="41">
        <v>0</v>
      </c>
      <c r="Z164" s="41">
        <v>0</v>
      </c>
      <c r="AA164" s="41">
        <v>0</v>
      </c>
      <c r="AB164" s="41">
        <v>0</v>
      </c>
      <c r="AC164" s="116">
        <f t="shared" si="73"/>
        <v>0</v>
      </c>
      <c r="AE164" s="39">
        <f>IF(ISBLANK(Q164),"",IF($P164="BRL",Q164,Q164*Macroindicadores!B$2)/1000)</f>
        <v>0</v>
      </c>
      <c r="AF164" s="39">
        <f>IF(ISBLANK(R164),"",IF($P164="BRL",R164,R164*Macroindicadores!C$2)/1000)</f>
        <v>0</v>
      </c>
      <c r="AG164" s="39">
        <f>IF(ISBLANK(S164),"",IF($P164="BRL",S164,S164*Macroindicadores!D$2)/1000)</f>
        <v>0</v>
      </c>
      <c r="AH164" s="39">
        <f>IF(ISBLANK(T164),"",IF($P164="BRL",T164,T164*Macroindicadores!E$2)/1000)</f>
        <v>0</v>
      </c>
      <c r="AI164" s="39">
        <f>IF(ISBLANK(U164),"",IF($P164="BRL",U164,U164*Macroindicadores!F$2)/1000)</f>
        <v>0</v>
      </c>
      <c r="AJ164" s="39">
        <f>IF(ISBLANK(V164),"",IF($P164="BRL",V164,V164*Macroindicadores!G$2)/1000)</f>
        <v>0</v>
      </c>
      <c r="AK164" s="39">
        <f>IF(ISBLANK(W164),"",IF($P164="BRL",W164,W164*Macroindicadores!H$2)/1000)</f>
        <v>0</v>
      </c>
      <c r="AL164" s="39">
        <f>IF(ISBLANK(X164),"",IF($P164="BRL",X164,X164*Macroindicadores!I$2)/1000)</f>
        <v>0</v>
      </c>
      <c r="AM164" s="39">
        <f>IF(ISBLANK(Y164),"",IF($P164="BRL",Y164,Y164*Macroindicadores!J$2)/1000)</f>
        <v>0</v>
      </c>
      <c r="AN164" s="39">
        <f>IF(ISBLANK(Z164),"",IF($P164="BRL",Z164,Z164*Macroindicadores!K$2)/1000)</f>
        <v>0</v>
      </c>
      <c r="AO164" s="39">
        <f>IF(ISBLANK(AA164),"",IF($P164="BRL",AA164,AA164*Macroindicadores!L$2)/1000)</f>
        <v>0</v>
      </c>
      <c r="AP164" s="39">
        <f>IF(ISBLANK(AB164),"",IF($P164="BRL",AB164,AB164*Macroindicadores!M$2)/1000)</f>
        <v>0</v>
      </c>
      <c r="AQ164" s="40">
        <f t="shared" si="70"/>
        <v>0</v>
      </c>
      <c r="AS164" s="39">
        <f>IF(ISBLANK(Q164),"",IF(ISBLANK($O164),AE164,IF($J164="ANUAL",AE164*(1+Macroindicadores!B$7),IF(AND($I164="NOVO",MONTH($O164)=MONTH(AS$4)),AE164*(1+Macroindicadores!B$7),IF(AND($J164="PONTUAL",MONTH($O164)=MONTH(AS$4)),AE164*(1+Macroindicadores!B$7),IF(AND($J164="PONTUAL",MONTH($O164)&lt;MONTH(AS$4)),MIN(AR164:$AS164),IF(AND($I164="NOVO",MONTH($O164)&gt;MONTH(AS$4)),AE164,IF(MONTH($O164)&gt;MONTH(AS$4),AE164,IF(MONTH($O164)=MONTH(AS$4),AE164*(1+Macroindicadores!B$7),AR164)))))))))</f>
        <v>0</v>
      </c>
      <c r="AT164" s="39">
        <f>IF(ISBLANK(R164),"",IF(ISBLANK($O164),AF164,IF($J164="ANUAL",AF164*(1+Macroindicadores!C$7),IF(AND($I164="NOVO",MONTH($O164)=MONTH(AT$4)),AF164*(1+Macroindicadores!C$7),IF(AND($J164="PONTUAL",MONTH($O164)=MONTH(AT$4)),AF164*(1+Macroindicadores!C$7),IF(AND($J164="PONTUAL",MONTH($O164)&lt;MONTH(AT$4)),MIN($AS164:AS164),IF(AND($I164="NOVO",MONTH($O164)&gt;MONTH(AT$4)),AF164,IF(MONTH($O164)&gt;MONTH(AT$4),AF164,IF(MONTH($O164)=MONTH(AT$4),AF164*(1+Macroindicadores!C$7),AS164)))))))))</f>
        <v>0</v>
      </c>
      <c r="AU164" s="39">
        <f>IF(ISBLANK(S164),"",IF(ISBLANK($O164),AG164,IF($J164="ANUAL",AG164*(1+Macroindicadores!D$7),IF(AND($I164="NOVO",MONTH($O164)=MONTH(AU$4)),AG164*(1+Macroindicadores!D$7),IF(AND($J164="PONTUAL",MONTH($O164)=MONTH(AU$4)),AG164*(1+Macroindicadores!D$7),IF(AND($J164="PONTUAL",MONTH($O164)&lt;MONTH(AU$4)),MIN($AS164:AT164),IF(AND($I164="NOVO",MONTH($O164)&gt;MONTH(AU$4)),AG164,IF(MONTH($O164)&gt;MONTH(AU$4),AG164,IF(MONTH($O164)=MONTH(AU$4),AG164*(1+Macroindicadores!D$7),AT164)))))))))</f>
        <v>0</v>
      </c>
      <c r="AV164" s="39">
        <f>IF(ISBLANK(T164),"",IF(ISBLANK($O164),AH164,IF($J164="ANUAL",AH164*(1+Macroindicadores!E$7),IF(AND($I164="NOVO",MONTH($O164)=MONTH(AV$4)),AH164*(1+Macroindicadores!E$7),IF(AND($J164="PONTUAL",MONTH($O164)=MONTH(AV$4)),AH164*(1+Macroindicadores!E$7),IF(AND($J164="PONTUAL",MONTH($O164)&lt;MONTH(AV$4)),MIN($AS164:AU164),IF(AND($I164="NOVO",MONTH($O164)&gt;MONTH(AV$4)),AH164,IF(MONTH($O164)&gt;MONTH(AV$4),AH164,IF(MONTH($O164)=MONTH(AV$4),AH164*(1+Macroindicadores!E$7),AU164)))))))))</f>
        <v>0</v>
      </c>
      <c r="AW164" s="39">
        <f>IF(ISBLANK(U164),"",IF(ISBLANK($O164),AI164,IF($J164="ANUAL",AI164*(1+Macroindicadores!F$7),IF(AND($I164="NOVO",MONTH($O164)=MONTH(AW$4)),AI164*(1+Macroindicadores!F$7),IF(AND($J164="PONTUAL",MONTH($O164)=MONTH(AW$4)),AI164*(1+Macroindicadores!F$7),IF(AND($J164="PONTUAL",MONTH($O164)&lt;MONTH(AW$4)),MIN($AS164:AV164),IF(AND($I164="NOVO",MONTH($O164)&gt;MONTH(AW$4)),AI164,IF(MONTH($O164)&gt;MONTH(AW$4),AI164,IF(MONTH($O164)=MONTH(AW$4),AI164*(1+Macroindicadores!F$7),AV164)))))))))</f>
        <v>0</v>
      </c>
      <c r="AX164" s="39">
        <f>IF(ISBLANK(V164),"",IF(ISBLANK($O164),AJ164,IF($J164="ANUAL",AJ164*(1+Macroindicadores!G$7),IF(AND($I164="NOVO",MONTH($O164)=MONTH(AX$4)),AJ164*(1+Macroindicadores!G$7),IF(AND($J164="PONTUAL",MONTH($O164)=MONTH(AX$4)),AJ164*(1+Macroindicadores!G$7),IF(AND($J164="PONTUAL",MONTH($O164)&lt;MONTH(AX$4)),MIN($AS164:AW164),IF(AND($I164="NOVO",MONTH($O164)&gt;MONTH(AX$4)),AJ164,IF(MONTH($O164)&gt;MONTH(AX$4),AJ164,IF(MONTH($O164)=MONTH(AX$4),AJ164*(1+Macroindicadores!G$7),AW164)))))))))</f>
        <v>0</v>
      </c>
      <c r="AY164" s="39">
        <f>IF(ISBLANK(W164),"",IF(ISBLANK($O164),AK164,IF($J164="ANUAL",AK164*(1+Macroindicadores!H$7),IF(AND($I164="NOVO",MONTH($O164)=MONTH(AY$4)),AK164*(1+Macroindicadores!H$7),IF(AND($J164="PONTUAL",MONTH($O164)=MONTH(AY$4)),AK164*(1+Macroindicadores!H$7),IF(AND($J164="PONTUAL",MONTH($O164)&lt;MONTH(AY$4)),MIN($AS164:AX164),IF(AND($I164="NOVO",MONTH($O164)&gt;MONTH(AY$4)),AK164,IF(MONTH($O164)&gt;MONTH(AY$4),AK164,IF(MONTH($O164)=MONTH(AY$4),AK164*(1+Macroindicadores!H$7),AX164)))))))))</f>
        <v>0</v>
      </c>
      <c r="AZ164" s="39">
        <f>IF(ISBLANK(X164),"",IF(ISBLANK($O164),AL164,IF($J164="ANUAL",AL164*(1+Macroindicadores!I$7),IF(AND($I164="NOVO",MONTH($O164)=MONTH(AZ$4)),AL164*(1+Macroindicadores!I$7),IF(AND($J164="PONTUAL",MONTH($O164)=MONTH(AZ$4)),AL164*(1+Macroindicadores!I$7),IF(AND($J164="PONTUAL",MONTH($O164)&lt;MONTH(AZ$4)),MIN($AS164:AY164),IF(AND($I164="NOVO",MONTH($O164)&gt;MONTH(AZ$4)),AL164,IF(MONTH($O164)&gt;MONTH(AZ$4),AL164,IF(MONTH($O164)=MONTH(AZ$4),AL164*(1+Macroindicadores!I$7),AY164)))))))))</f>
        <v>0</v>
      </c>
      <c r="BA164" s="39">
        <f>IF(ISBLANK(Y164),"",IF(ISBLANK($O164),AM164,IF($J164="ANUAL",AM164*(1+Macroindicadores!J$7),IF(AND($I164="NOVO",MONTH($O164)=MONTH(BA$4)),AM164*(1+Macroindicadores!J$7),IF(AND($J164="PONTUAL",MONTH($O164)=MONTH(BA$4)),AM164*(1+Macroindicadores!J$7),IF(AND($J164="PONTUAL",MONTH($O164)&lt;MONTH(BA$4)),MIN($AS164:AZ164),IF(AND($I164="NOVO",MONTH($O164)&gt;MONTH(BA$4)),AM164,IF(MONTH($O164)&gt;MONTH(BA$4),AM164,IF(MONTH($O164)=MONTH(BA$4),AM164*(1+Macroindicadores!J$7),AZ164)))))))))</f>
        <v>0</v>
      </c>
      <c r="BB164" s="39">
        <f>IF(ISBLANK(Z164),"",IF(ISBLANK($O164),AN164,IF($J164="ANUAL",AN164*(1+Macroindicadores!K$7),IF(AND($I164="NOVO",MONTH($O164)=MONTH(BB$4)),AN164*(1+Macroindicadores!K$7),IF(AND($J164="PONTUAL",MONTH($O164)=MONTH(BB$4)),AN164*(1+Macroindicadores!K$7),IF(AND($J164="PONTUAL",MONTH($O164)&lt;MONTH(BB$4)),MIN($AS164:BA164),IF(AND($I164="NOVO",MONTH($O164)&gt;MONTH(BB$4)),AN164,IF(MONTH($O164)&gt;MONTH(BB$4),AN164,IF(MONTH($O164)=MONTH(BB$4),AN164*(1+Macroindicadores!K$7),BA164)))))))))</f>
        <v>0</v>
      </c>
      <c r="BC164" s="39">
        <f>IF(ISBLANK(AA164),"",IF(ISBLANK($O164),AO164,IF($J164="ANUAL",AO164*(1+Macroindicadores!L$7),IF(AND($I164="NOVO",MONTH($O164)=MONTH(BC$4)),AO164*(1+Macroindicadores!L$7),IF(AND($J164="PONTUAL",MONTH($O164)=MONTH(BC$4)),AO164*(1+Macroindicadores!L$7),IF(AND($J164="PONTUAL",MONTH($O164)&lt;MONTH(BC$4)),MIN($AS164:BB164),IF(AND($I164="NOVO",MONTH($O164)&gt;MONTH(BC$4)),AO164,IF(MONTH($O164)&gt;MONTH(BC$4),AO164,IF(MONTH($O164)=MONTH(BC$4),AO164*(1+Macroindicadores!L$7),BB164)))))))))</f>
        <v>0</v>
      </c>
      <c r="BD164" s="39">
        <f>IF(ISBLANK(AB164),"",IF(ISBLANK($O164),AP164,IF($J164="ANUAL",AP164*(1+Macroindicadores!M$7),IF(AND($I164="NOVO",MONTH($O164)=MONTH(BD$4)),AP164*(1+Macroindicadores!M$7),IF(AND($J164="PONTUAL",MONTH($O164)=MONTH(BD$4)),AP164*(1+Macroindicadores!M$7),IF(AND($J164="PONTUAL",MONTH($O164)&lt;MONTH(BD$4)),MIN($AS164:BC164),IF(AND($I164="NOVO",MONTH($O164)&gt;MONTH(BD$4)),AP164,IF(MONTH($O164)&gt;MONTH(BD$4),AP164,IF(MONTH($O164)=MONTH(BD$4),AP164*(1+Macroindicadores!M$7),BC164)))))))))</f>
        <v>0</v>
      </c>
      <c r="BE164" s="40">
        <f t="shared" si="71"/>
        <v>0</v>
      </c>
      <c r="BG164" s="39">
        <f>IF(ISBLANK(Q164),"",AS164/Macroindicadores!B$2)</f>
        <v>0</v>
      </c>
      <c r="BH164" s="39">
        <f>IF(ISBLANK(R164),"",AT164/Macroindicadores!C$2)</f>
        <v>0</v>
      </c>
      <c r="BI164" s="39">
        <f>IF(ISBLANK(S164),"",AU164/Macroindicadores!D$2)</f>
        <v>0</v>
      </c>
      <c r="BJ164" s="39">
        <f>IF(ISBLANK(T164),"",AV164/Macroindicadores!E$2)</f>
        <v>0</v>
      </c>
      <c r="BK164" s="39">
        <f>IF(ISBLANK(U164),"",AW164/Macroindicadores!F$2)</f>
        <v>0</v>
      </c>
      <c r="BL164" s="39">
        <f>IF(ISBLANK(V164),"",AX164/Macroindicadores!G$2)</f>
        <v>0</v>
      </c>
      <c r="BM164" s="39">
        <f>IF(ISBLANK(W164),"",AY164/Macroindicadores!H$2)</f>
        <v>0</v>
      </c>
      <c r="BN164" s="39">
        <f>IF(ISBLANK(X164),"",AZ164/Macroindicadores!I$2)</f>
        <v>0</v>
      </c>
      <c r="BO164" s="39">
        <f>IF(ISBLANK(Y164),"",BA164/Macroindicadores!J$2)</f>
        <v>0</v>
      </c>
      <c r="BP164" s="39">
        <f>IF(ISBLANK(Z164),"",BB164/Macroindicadores!K$2)</f>
        <v>0</v>
      </c>
      <c r="BQ164" s="39">
        <f>IF(ISBLANK(AA164),"",BC164/Macroindicadores!L$2)</f>
        <v>0</v>
      </c>
      <c r="BR164" s="39">
        <f>IF(ISBLANK(AB164),"",BD164/Macroindicadores!M$2)</f>
        <v>0</v>
      </c>
      <c r="BS164" s="40">
        <f>IF(AND(ISBLANK($Q164),ISBLANK($R164),ISBLANK($S164),ISBLANK($T164),ISBLANK($U164),ISBLANK($V164),ISBLANK($W164),ISBLANK($X164),ISBLANK($Y164),ISBLANK($Z164),ISBLANK($AA164),ISBLANK($AB164)),"",SUM(BG164:BR164))</f>
        <v>0</v>
      </c>
      <c r="BT164" s="25" t="str">
        <f>IF(ISBLANK($L164),"",_xlfn.XLOOKUP($L164,'CENTRO CUSTO'!$A:$A,'CENTRO CUSTO'!$E:$E,FALSE,0))</f>
        <v>Custo Fixo</v>
      </c>
    </row>
    <row r="165" spans="1:72">
      <c r="A165" s="9" t="str">
        <f t="shared" si="72"/>
        <v>Budget</v>
      </c>
      <c r="B165" s="9">
        <f t="shared" si="74"/>
        <v>2026</v>
      </c>
      <c r="C165" s="18" t="str">
        <f>IF(ISBLANK($L165),"",_xlfn.XLOOKUP($L165,'CENTRO CUSTO'!$A:$A,'CENTRO CUSTO'!F:F,FALSE,0))</f>
        <v>Martini Meat</v>
      </c>
      <c r="D165" s="111" t="str">
        <f>IF(ISBLANK($L165),"",_xlfn.XLOOKUP($L165,'CENTRO CUSTO'!$A:$A,'CENTRO CUSTO'!G:G,FALSE,0))</f>
        <v>Itajaí</v>
      </c>
      <c r="E165" s="18" t="str">
        <f>IF(ISBLANK($L165),"",_xlfn.XLOOKUP($L165,'CENTRO CUSTO'!$A:$A,'CENTRO CUSTO'!H:H,FALSE,0))</f>
        <v>RATEIO Unidade</v>
      </c>
      <c r="F165" s="10" t="s">
        <v>179</v>
      </c>
      <c r="G165" s="10" t="s">
        <v>123</v>
      </c>
      <c r="H165" s="10" t="s">
        <v>180</v>
      </c>
      <c r="I165" s="11" t="s">
        <v>84</v>
      </c>
      <c r="J165" s="11" t="s">
        <v>181</v>
      </c>
      <c r="K165" s="11" t="s">
        <v>121</v>
      </c>
      <c r="L165" s="11" t="s">
        <v>29</v>
      </c>
      <c r="M165" s="18" t="str">
        <f>IF(ISBLANK($L165),"",_xlfn.XLOOKUP($L165,'CENTRO CUSTO'!$A:$A,'CENTRO CUSTO'!D:D,FALSE,0))</f>
        <v>Alexandre Ayabe</v>
      </c>
      <c r="N165" s="11" t="s">
        <v>91</v>
      </c>
      <c r="O165" s="12"/>
      <c r="P165" s="11" t="s">
        <v>81</v>
      </c>
      <c r="Q165" s="41">
        <v>0</v>
      </c>
      <c r="R165" s="41">
        <v>0</v>
      </c>
      <c r="S165" s="41">
        <v>10000</v>
      </c>
      <c r="T165" s="41">
        <v>0</v>
      </c>
      <c r="U165" s="41">
        <v>0</v>
      </c>
      <c r="V165" s="41">
        <v>10000</v>
      </c>
      <c r="W165" s="41">
        <v>0</v>
      </c>
      <c r="X165" s="41">
        <v>0</v>
      </c>
      <c r="Y165" s="41">
        <v>10000</v>
      </c>
      <c r="Z165" s="41">
        <v>0</v>
      </c>
      <c r="AA165" s="41">
        <v>0</v>
      </c>
      <c r="AB165" s="41">
        <v>10000</v>
      </c>
      <c r="AC165" s="116">
        <f t="shared" si="73"/>
        <v>40000</v>
      </c>
      <c r="AE165" s="39">
        <f>IF(ISBLANK(Q165),"",IF($P165="BRL",Q165,Q165*Macroindicadores!B$2)/1000)</f>
        <v>0</v>
      </c>
      <c r="AF165" s="39">
        <f>IF(ISBLANK(R165),"",IF($P165="BRL",R165,R165*Macroindicadores!C$2)/1000)</f>
        <v>0</v>
      </c>
      <c r="AG165" s="39">
        <f>IF(ISBLANK(S165),"",IF($P165="BRL",S165,S165*Macroindicadores!D$2)/1000)</f>
        <v>10</v>
      </c>
      <c r="AH165" s="39">
        <f>IF(ISBLANK(T165),"",IF($P165="BRL",T165,T165*Macroindicadores!E$2)/1000)</f>
        <v>0</v>
      </c>
      <c r="AI165" s="39">
        <f>IF(ISBLANK(U165),"",IF($P165="BRL",U165,U165*Macroindicadores!F$2)/1000)</f>
        <v>0</v>
      </c>
      <c r="AJ165" s="39">
        <f>IF(ISBLANK(V165),"",IF($P165="BRL",V165,V165*Macroindicadores!G$2)/1000)</f>
        <v>10</v>
      </c>
      <c r="AK165" s="39">
        <f>IF(ISBLANK(W165),"",IF($P165="BRL",W165,W165*Macroindicadores!H$2)/1000)</f>
        <v>0</v>
      </c>
      <c r="AL165" s="39">
        <f>IF(ISBLANK(X165),"",IF($P165="BRL",X165,X165*Macroindicadores!I$2)/1000)</f>
        <v>0</v>
      </c>
      <c r="AM165" s="39">
        <f>IF(ISBLANK(Y165),"",IF($P165="BRL",Y165,Y165*Macroindicadores!J$2)/1000)</f>
        <v>10</v>
      </c>
      <c r="AN165" s="39">
        <f>IF(ISBLANK(Z165),"",IF($P165="BRL",Z165,Z165*Macroindicadores!K$2)/1000)</f>
        <v>0</v>
      </c>
      <c r="AO165" s="39">
        <f>IF(ISBLANK(AA165),"",IF($P165="BRL",AA165,AA165*Macroindicadores!L$2)/1000)</f>
        <v>0</v>
      </c>
      <c r="AP165" s="39">
        <f>IF(ISBLANK(AB165),"",IF($P165="BRL",AB165,AB165*Macroindicadores!M$2)/1000)</f>
        <v>10</v>
      </c>
      <c r="AQ165" s="40">
        <f t="shared" si="70"/>
        <v>40</v>
      </c>
      <c r="AS165" s="39">
        <f>IF(ISBLANK(Q165),"",IF(ISBLANK($O165),AE165,IF($J165="ANUAL",AE165*(1+Macroindicadores!B$7),IF(AND($I165="NOVO",MONTH($O165)=MONTH(AS$4)),AE165*(1+Macroindicadores!B$7),IF(AND($J165="PONTUAL",MONTH($O165)=MONTH(AS$4)),AE165*(1+Macroindicadores!B$7),IF(AND($J165="PONTUAL",MONTH($O165)&lt;MONTH(AS$4)),MIN(AR165:$AS165),IF(AND($I165="NOVO",MONTH($O165)&gt;MONTH(AS$4)),AE165,IF(MONTH($O165)&gt;MONTH(AS$4),AE165,IF(MONTH($O165)=MONTH(AS$4),AE165*(1+Macroindicadores!B$7),AR165)))))))))</f>
        <v>0</v>
      </c>
      <c r="AT165" s="39">
        <f>IF(ISBLANK(R165),"",IF(ISBLANK($O165),AF165,IF($J165="ANUAL",AF165*(1+Macroindicadores!C$7),IF(AND($I165="NOVO",MONTH($O165)=MONTH(AT$4)),AF165*(1+Macroindicadores!C$7),IF(AND($J165="PONTUAL",MONTH($O165)=MONTH(AT$4)),AF165*(1+Macroindicadores!C$7),IF(AND($J165="PONTUAL",MONTH($O165)&lt;MONTH(AT$4)),MIN($AS165:AS165),IF(AND($I165="NOVO",MONTH($O165)&gt;MONTH(AT$4)),AF165,IF(MONTH($O165)&gt;MONTH(AT$4),AF165,IF(MONTH($O165)=MONTH(AT$4),AF165*(1+Macroindicadores!C$7),AS165)))))))))</f>
        <v>0</v>
      </c>
      <c r="AU165" s="39">
        <f>IF(ISBLANK(S165),"",IF(ISBLANK($O165),AG165,IF($J165="ANUAL",AG165*(1+Macroindicadores!D$7),IF(AND($I165="NOVO",MONTH($O165)=MONTH(AU$4)),AG165*(1+Macroindicadores!D$7),IF(AND($J165="PONTUAL",MONTH($O165)=MONTH(AU$4)),AG165*(1+Macroindicadores!D$7),IF(AND($J165="PONTUAL",MONTH($O165)&lt;MONTH(AU$4)),MIN($AS165:AT165),IF(AND($I165="NOVO",MONTH($O165)&gt;MONTH(AU$4)),AG165,IF(MONTH($O165)&gt;MONTH(AU$4),AG165,IF(MONTH($O165)=MONTH(AU$4),AG165*(1+Macroindicadores!D$7),AT165)))))))))</f>
        <v>10</v>
      </c>
      <c r="AV165" s="39">
        <f>IF(ISBLANK(T165),"",IF(ISBLANK($O165),AH165,IF($J165="ANUAL",AH165*(1+Macroindicadores!E$7),IF(AND($I165="NOVO",MONTH($O165)=MONTH(AV$4)),AH165*(1+Macroindicadores!E$7),IF(AND($J165="PONTUAL",MONTH($O165)=MONTH(AV$4)),AH165*(1+Macroindicadores!E$7),IF(AND($J165="PONTUAL",MONTH($O165)&lt;MONTH(AV$4)),MIN($AS165:AU165),IF(AND($I165="NOVO",MONTH($O165)&gt;MONTH(AV$4)),AH165,IF(MONTH($O165)&gt;MONTH(AV$4),AH165,IF(MONTH($O165)=MONTH(AV$4),AH165*(1+Macroindicadores!E$7),AU165)))))))))</f>
        <v>0</v>
      </c>
      <c r="AW165" s="39">
        <f>IF(ISBLANK(U165),"",IF(ISBLANK($O165),AI165,IF($J165="ANUAL",AI165*(1+Macroindicadores!F$7),IF(AND($I165="NOVO",MONTH($O165)=MONTH(AW$4)),AI165*(1+Macroindicadores!F$7),IF(AND($J165="PONTUAL",MONTH($O165)=MONTH(AW$4)),AI165*(1+Macroindicadores!F$7),IF(AND($J165="PONTUAL",MONTH($O165)&lt;MONTH(AW$4)),MIN($AS165:AV165),IF(AND($I165="NOVO",MONTH($O165)&gt;MONTH(AW$4)),AI165,IF(MONTH($O165)&gt;MONTH(AW$4),AI165,IF(MONTH($O165)=MONTH(AW$4),AI165*(1+Macroindicadores!F$7),AV165)))))))))</f>
        <v>0</v>
      </c>
      <c r="AX165" s="39">
        <f>IF(ISBLANK(V165),"",IF(ISBLANK($O165),AJ165,IF($J165="ANUAL",AJ165*(1+Macroindicadores!G$7),IF(AND($I165="NOVO",MONTH($O165)=MONTH(AX$4)),AJ165*(1+Macroindicadores!G$7),IF(AND($J165="PONTUAL",MONTH($O165)=MONTH(AX$4)),AJ165*(1+Macroindicadores!G$7),IF(AND($J165="PONTUAL",MONTH($O165)&lt;MONTH(AX$4)),MIN($AS165:AW165),IF(AND($I165="NOVO",MONTH($O165)&gt;MONTH(AX$4)),AJ165,IF(MONTH($O165)&gt;MONTH(AX$4),AJ165,IF(MONTH($O165)=MONTH(AX$4),AJ165*(1+Macroindicadores!G$7),AW165)))))))))</f>
        <v>10</v>
      </c>
      <c r="AY165" s="39">
        <f>IF(ISBLANK(W165),"",IF(ISBLANK($O165),AK165,IF($J165="ANUAL",AK165*(1+Macroindicadores!H$7),IF(AND($I165="NOVO",MONTH($O165)=MONTH(AY$4)),AK165*(1+Macroindicadores!H$7),IF(AND($J165="PONTUAL",MONTH($O165)=MONTH(AY$4)),AK165*(1+Macroindicadores!H$7),IF(AND($J165="PONTUAL",MONTH($O165)&lt;MONTH(AY$4)),MIN($AS165:AX165),IF(AND($I165="NOVO",MONTH($O165)&gt;MONTH(AY$4)),AK165,IF(MONTH($O165)&gt;MONTH(AY$4),AK165,IF(MONTH($O165)=MONTH(AY$4),AK165*(1+Macroindicadores!H$7),AX165)))))))))</f>
        <v>0</v>
      </c>
      <c r="AZ165" s="39">
        <f>IF(ISBLANK(X165),"",IF(ISBLANK($O165),AL165,IF($J165="ANUAL",AL165*(1+Macroindicadores!I$7),IF(AND($I165="NOVO",MONTH($O165)=MONTH(AZ$4)),AL165*(1+Macroindicadores!I$7),IF(AND($J165="PONTUAL",MONTH($O165)=MONTH(AZ$4)),AL165*(1+Macroindicadores!I$7),IF(AND($J165="PONTUAL",MONTH($O165)&lt;MONTH(AZ$4)),MIN($AS165:AY165),IF(AND($I165="NOVO",MONTH($O165)&gt;MONTH(AZ$4)),AL165,IF(MONTH($O165)&gt;MONTH(AZ$4),AL165,IF(MONTH($O165)=MONTH(AZ$4),AL165*(1+Macroindicadores!I$7),AY165)))))))))</f>
        <v>0</v>
      </c>
      <c r="BA165" s="39">
        <f>IF(ISBLANK(Y165),"",IF(ISBLANK($O165),AM165,IF($J165="ANUAL",AM165*(1+Macroindicadores!J$7),IF(AND($I165="NOVO",MONTH($O165)=MONTH(BA$4)),AM165*(1+Macroindicadores!J$7),IF(AND($J165="PONTUAL",MONTH($O165)=MONTH(BA$4)),AM165*(1+Macroindicadores!J$7),IF(AND($J165="PONTUAL",MONTH($O165)&lt;MONTH(BA$4)),MIN($AS165:AZ165),IF(AND($I165="NOVO",MONTH($O165)&gt;MONTH(BA$4)),AM165,IF(MONTH($O165)&gt;MONTH(BA$4),AM165,IF(MONTH($O165)=MONTH(BA$4),AM165*(1+Macroindicadores!J$7),AZ165)))))))))</f>
        <v>10</v>
      </c>
      <c r="BB165" s="39">
        <f>IF(ISBLANK(Z165),"",IF(ISBLANK($O165),AN165,IF($J165="ANUAL",AN165*(1+Macroindicadores!K$7),IF(AND($I165="NOVO",MONTH($O165)=MONTH(BB$4)),AN165*(1+Macroindicadores!K$7),IF(AND($J165="PONTUAL",MONTH($O165)=MONTH(BB$4)),AN165*(1+Macroindicadores!K$7),IF(AND($J165="PONTUAL",MONTH($O165)&lt;MONTH(BB$4)),MIN($AS165:BA165),IF(AND($I165="NOVO",MONTH($O165)&gt;MONTH(BB$4)),AN165,IF(MONTH($O165)&gt;MONTH(BB$4),AN165,IF(MONTH($O165)=MONTH(BB$4),AN165*(1+Macroindicadores!K$7),BA165)))))))))</f>
        <v>0</v>
      </c>
      <c r="BC165" s="39">
        <f>IF(ISBLANK(AA165),"",IF(ISBLANK($O165),AO165,IF($J165="ANUAL",AO165*(1+Macroindicadores!L$7),IF(AND($I165="NOVO",MONTH($O165)=MONTH(BC$4)),AO165*(1+Macroindicadores!L$7),IF(AND($J165="PONTUAL",MONTH($O165)=MONTH(BC$4)),AO165*(1+Macroindicadores!L$7),IF(AND($J165="PONTUAL",MONTH($O165)&lt;MONTH(BC$4)),MIN($AS165:BB165),IF(AND($I165="NOVO",MONTH($O165)&gt;MONTH(BC$4)),AO165,IF(MONTH($O165)&gt;MONTH(BC$4),AO165,IF(MONTH($O165)=MONTH(BC$4),AO165*(1+Macroindicadores!L$7),BB165)))))))))</f>
        <v>0</v>
      </c>
      <c r="BD165" s="39">
        <f>IF(ISBLANK(AB165),"",IF(ISBLANK($O165),AP165,IF($J165="ANUAL",AP165*(1+Macroindicadores!M$7),IF(AND($I165="NOVO",MONTH($O165)=MONTH(BD$4)),AP165*(1+Macroindicadores!M$7),IF(AND($J165="PONTUAL",MONTH($O165)=MONTH(BD$4)),AP165*(1+Macroindicadores!M$7),IF(AND($J165="PONTUAL",MONTH($O165)&lt;MONTH(BD$4)),MIN($AS165:BC165),IF(AND($I165="NOVO",MONTH($O165)&gt;MONTH(BD$4)),AP165,IF(MONTH($O165)&gt;MONTH(BD$4),AP165,IF(MONTH($O165)=MONTH(BD$4),AP165*(1+Macroindicadores!M$7),BC165)))))))))</f>
        <v>10</v>
      </c>
      <c r="BE165" s="40">
        <f t="shared" si="71"/>
        <v>40</v>
      </c>
      <c r="BG165" s="39">
        <f>IF(ISBLANK(Q165),"",AS165/Macroindicadores!B$2)</f>
        <v>0</v>
      </c>
      <c r="BH165" s="39">
        <f>IF(ISBLANK(R165),"",AT165/Macroindicadores!C$2)</f>
        <v>0</v>
      </c>
      <c r="BI165" s="39">
        <f>IF(ISBLANK(S165),"",AU165/Macroindicadores!D$2)</f>
        <v>1.7006802721088436</v>
      </c>
      <c r="BJ165" s="39">
        <f>IF(ISBLANK(T165),"",AV165/Macroindicadores!E$2)</f>
        <v>0</v>
      </c>
      <c r="BK165" s="39">
        <f>IF(ISBLANK(U165),"",AW165/Macroindicadores!F$2)</f>
        <v>0</v>
      </c>
      <c r="BL165" s="39">
        <f>IF(ISBLANK(V165),"",AX165/Macroindicadores!G$2)</f>
        <v>1.7006802721088436</v>
      </c>
      <c r="BM165" s="39">
        <f>IF(ISBLANK(W165),"",AY165/Macroindicadores!H$2)</f>
        <v>0</v>
      </c>
      <c r="BN165" s="39">
        <f>IF(ISBLANK(X165),"",AZ165/Macroindicadores!I$2)</f>
        <v>0</v>
      </c>
      <c r="BO165" s="39">
        <f>IF(ISBLANK(Y165),"",BA165/Macroindicadores!J$2)</f>
        <v>1.7006802721088436</v>
      </c>
      <c r="BP165" s="39">
        <f>IF(ISBLANK(Z165),"",BB165/Macroindicadores!K$2)</f>
        <v>0</v>
      </c>
      <c r="BQ165" s="39">
        <f>IF(ISBLANK(AA165),"",BC165/Macroindicadores!L$2)</f>
        <v>0</v>
      </c>
      <c r="BR165" s="39">
        <f>IF(ISBLANK(AB165),"",BD165/Macroindicadores!M$2)</f>
        <v>1.7006802721088436</v>
      </c>
      <c r="BS165" s="40">
        <f>IF(AND(ISBLANK($Q165),ISBLANK($R165),ISBLANK($S165),ISBLANK($T165),ISBLANK($U165),ISBLANK($V165),ISBLANK($W165),ISBLANK($X165),ISBLANK($Y165),ISBLANK($Z165),ISBLANK($AA165),ISBLANK($AB165)),"",SUM(BG165:BR165))</f>
        <v>6.8027210884353746</v>
      </c>
      <c r="BT165" s="25" t="str">
        <f>IF(ISBLANK($L165),"",_xlfn.XLOOKUP($L165,'CENTRO CUSTO'!$A:$A,'CENTRO CUSTO'!$E:$E,FALSE,0))</f>
        <v>Custo Fixo</v>
      </c>
    </row>
    <row r="166" spans="1:72">
      <c r="A166" s="9" t="str">
        <f t="shared" si="72"/>
        <v>Budget</v>
      </c>
      <c r="B166" s="9">
        <f t="shared" si="74"/>
        <v>2026</v>
      </c>
      <c r="C166" s="18" t="str">
        <f>IF(ISBLANK($L166),"",_xlfn.XLOOKUP($L166,'CENTRO CUSTO'!$A:$A,'CENTRO CUSTO'!F:F,FALSE,0))</f>
        <v>Martini Meat</v>
      </c>
      <c r="D166" s="111" t="str">
        <f>IF(ISBLANK($L166),"",_xlfn.XLOOKUP($L166,'CENTRO CUSTO'!$A:$A,'CENTRO CUSTO'!G:G,FALSE,0))</f>
        <v>Rio Grande</v>
      </c>
      <c r="E166" s="18" t="str">
        <f>IF(ISBLANK($L166),"",_xlfn.XLOOKUP($L166,'CENTRO CUSTO'!$A:$A,'CENTRO CUSTO'!H:H,FALSE,0))</f>
        <v>RATEIO Unidade</v>
      </c>
      <c r="F166" s="10" t="s">
        <v>179</v>
      </c>
      <c r="G166" s="10" t="s">
        <v>123</v>
      </c>
      <c r="H166" s="10" t="s">
        <v>180</v>
      </c>
      <c r="I166" s="11" t="s">
        <v>84</v>
      </c>
      <c r="J166" s="11" t="s">
        <v>181</v>
      </c>
      <c r="K166" s="11" t="s">
        <v>121</v>
      </c>
      <c r="L166" s="11" t="s">
        <v>23</v>
      </c>
      <c r="M166" s="18" t="str">
        <f>IF(ISBLANK($L166),"",_xlfn.XLOOKUP($L166,'CENTRO CUSTO'!$A:$A,'CENTRO CUSTO'!D:D,FALSE,0))</f>
        <v>Alexandre Ayabe</v>
      </c>
      <c r="N166" s="11" t="s">
        <v>91</v>
      </c>
      <c r="O166" s="12"/>
      <c r="P166" s="11" t="s">
        <v>81</v>
      </c>
      <c r="Q166" s="41">
        <v>0</v>
      </c>
      <c r="R166" s="41">
        <v>0</v>
      </c>
      <c r="S166" s="41">
        <v>4000</v>
      </c>
      <c r="T166" s="41">
        <v>0</v>
      </c>
      <c r="U166" s="41">
        <v>0</v>
      </c>
      <c r="V166" s="41">
        <v>4000</v>
      </c>
      <c r="W166" s="41">
        <v>0</v>
      </c>
      <c r="X166" s="41">
        <v>0</v>
      </c>
      <c r="Y166" s="41">
        <v>4000</v>
      </c>
      <c r="Z166" s="41">
        <v>0</v>
      </c>
      <c r="AA166" s="41">
        <v>0</v>
      </c>
      <c r="AB166" s="41">
        <v>4000</v>
      </c>
      <c r="AC166" s="116">
        <f t="shared" si="73"/>
        <v>16000</v>
      </c>
      <c r="AE166" s="39">
        <f>IF(ISBLANK(Q166),"",IF($P166="BRL",Q166,Q166*Macroindicadores!B$2)/1000)</f>
        <v>0</v>
      </c>
      <c r="AF166" s="39">
        <f>IF(ISBLANK(R166),"",IF($P166="BRL",R166,R166*Macroindicadores!C$2)/1000)</f>
        <v>0</v>
      </c>
      <c r="AG166" s="39">
        <f>IF(ISBLANK(S166),"",IF($P166="BRL",S166,S166*Macroindicadores!D$2)/1000)</f>
        <v>4</v>
      </c>
      <c r="AH166" s="39">
        <f>IF(ISBLANK(T166),"",IF($P166="BRL",T166,T166*Macroindicadores!E$2)/1000)</f>
        <v>0</v>
      </c>
      <c r="AI166" s="39">
        <f>IF(ISBLANK(U166),"",IF($P166="BRL",U166,U166*Macroindicadores!F$2)/1000)</f>
        <v>0</v>
      </c>
      <c r="AJ166" s="39">
        <f>IF(ISBLANK(V166),"",IF($P166="BRL",V166,V166*Macroindicadores!G$2)/1000)</f>
        <v>4</v>
      </c>
      <c r="AK166" s="39">
        <f>IF(ISBLANK(W166),"",IF($P166="BRL",W166,W166*Macroindicadores!H$2)/1000)</f>
        <v>0</v>
      </c>
      <c r="AL166" s="39">
        <f>IF(ISBLANK(X166),"",IF($P166="BRL",X166,X166*Macroindicadores!I$2)/1000)</f>
        <v>0</v>
      </c>
      <c r="AM166" s="39">
        <f>IF(ISBLANK(Y166),"",IF($P166="BRL",Y166,Y166*Macroindicadores!J$2)/1000)</f>
        <v>4</v>
      </c>
      <c r="AN166" s="39">
        <f>IF(ISBLANK(Z166),"",IF($P166="BRL",Z166,Z166*Macroindicadores!K$2)/1000)</f>
        <v>0</v>
      </c>
      <c r="AO166" s="39">
        <f>IF(ISBLANK(AA166),"",IF($P166="BRL",AA166,AA166*Macroindicadores!L$2)/1000)</f>
        <v>0</v>
      </c>
      <c r="AP166" s="39">
        <f>IF(ISBLANK(AB166),"",IF($P166="BRL",AB166,AB166*Macroindicadores!M$2)/1000)</f>
        <v>4</v>
      </c>
      <c r="AQ166" s="40">
        <f t="shared" si="70"/>
        <v>16</v>
      </c>
      <c r="AS166" s="39">
        <f>IF(ISBLANK(Q166),"",IF(ISBLANK($O166),AE166,IF($J166="ANUAL",AE166*(1+Macroindicadores!B$7),IF(AND($I166="NOVO",MONTH($O166)=MONTH(AS$4)),AE166*(1+Macroindicadores!B$7),IF(AND($J166="PONTUAL",MONTH($O166)=MONTH(AS$4)),AE166*(1+Macroindicadores!B$7),IF(AND($J166="PONTUAL",MONTH($O166)&lt;MONTH(AS$4)),MIN(AR166:$AS166),IF(AND($I166="NOVO",MONTH($O166)&gt;MONTH(AS$4)),AE166,IF(MONTH($O166)&gt;MONTH(AS$4),AE166,IF(MONTH($O166)=MONTH(AS$4),AE166*(1+Macroindicadores!B$7),AR166)))))))))</f>
        <v>0</v>
      </c>
      <c r="AT166" s="39">
        <f>IF(ISBLANK(R166),"",IF(ISBLANK($O166),AF166,IF($J166="ANUAL",AF166*(1+Macroindicadores!C$7),IF(AND($I166="NOVO",MONTH($O166)=MONTH(AT$4)),AF166*(1+Macroindicadores!C$7),IF(AND($J166="PONTUAL",MONTH($O166)=MONTH(AT$4)),AF166*(1+Macroindicadores!C$7),IF(AND($J166="PONTUAL",MONTH($O166)&lt;MONTH(AT$4)),MIN($AS166:AS166),IF(AND($I166="NOVO",MONTH($O166)&gt;MONTH(AT$4)),AF166,IF(MONTH($O166)&gt;MONTH(AT$4),AF166,IF(MONTH($O166)=MONTH(AT$4),AF166*(1+Macroindicadores!C$7),AS166)))))))))</f>
        <v>0</v>
      </c>
      <c r="AU166" s="39">
        <f>IF(ISBLANK(S166),"",IF(ISBLANK($O166),AG166,IF($J166="ANUAL",AG166*(1+Macroindicadores!D$7),IF(AND($I166="NOVO",MONTH($O166)=MONTH(AU$4)),AG166*(1+Macroindicadores!D$7),IF(AND($J166="PONTUAL",MONTH($O166)=MONTH(AU$4)),AG166*(1+Macroindicadores!D$7),IF(AND($J166="PONTUAL",MONTH($O166)&lt;MONTH(AU$4)),MIN($AS166:AT166),IF(AND($I166="NOVO",MONTH($O166)&gt;MONTH(AU$4)),AG166,IF(MONTH($O166)&gt;MONTH(AU$4),AG166,IF(MONTH($O166)=MONTH(AU$4),AG166*(1+Macroindicadores!D$7),AT166)))))))))</f>
        <v>4</v>
      </c>
      <c r="AV166" s="39">
        <f>IF(ISBLANK(T166),"",IF(ISBLANK($O166),AH166,IF($J166="ANUAL",AH166*(1+Macroindicadores!E$7),IF(AND($I166="NOVO",MONTH($O166)=MONTH(AV$4)),AH166*(1+Macroindicadores!E$7),IF(AND($J166="PONTUAL",MONTH($O166)=MONTH(AV$4)),AH166*(1+Macroindicadores!E$7),IF(AND($J166="PONTUAL",MONTH($O166)&lt;MONTH(AV$4)),MIN($AS166:AU166),IF(AND($I166="NOVO",MONTH($O166)&gt;MONTH(AV$4)),AH166,IF(MONTH($O166)&gt;MONTH(AV$4),AH166,IF(MONTH($O166)=MONTH(AV$4),AH166*(1+Macroindicadores!E$7),AU166)))))))))</f>
        <v>0</v>
      </c>
      <c r="AW166" s="39">
        <f>IF(ISBLANK(U166),"",IF(ISBLANK($O166),AI166,IF($J166="ANUAL",AI166*(1+Macroindicadores!F$7),IF(AND($I166="NOVO",MONTH($O166)=MONTH(AW$4)),AI166*(1+Macroindicadores!F$7),IF(AND($J166="PONTUAL",MONTH($O166)=MONTH(AW$4)),AI166*(1+Macroindicadores!F$7),IF(AND($J166="PONTUAL",MONTH($O166)&lt;MONTH(AW$4)),MIN($AS166:AV166),IF(AND($I166="NOVO",MONTH($O166)&gt;MONTH(AW$4)),AI166,IF(MONTH($O166)&gt;MONTH(AW$4),AI166,IF(MONTH($O166)=MONTH(AW$4),AI166*(1+Macroindicadores!F$7),AV166)))))))))</f>
        <v>0</v>
      </c>
      <c r="AX166" s="39">
        <f>IF(ISBLANK(V166),"",IF(ISBLANK($O166),AJ166,IF($J166="ANUAL",AJ166*(1+Macroindicadores!G$7),IF(AND($I166="NOVO",MONTH($O166)=MONTH(AX$4)),AJ166*(1+Macroindicadores!G$7),IF(AND($J166="PONTUAL",MONTH($O166)=MONTH(AX$4)),AJ166*(1+Macroindicadores!G$7),IF(AND($J166="PONTUAL",MONTH($O166)&lt;MONTH(AX$4)),MIN($AS166:AW166),IF(AND($I166="NOVO",MONTH($O166)&gt;MONTH(AX$4)),AJ166,IF(MONTH($O166)&gt;MONTH(AX$4),AJ166,IF(MONTH($O166)=MONTH(AX$4),AJ166*(1+Macroindicadores!G$7),AW166)))))))))</f>
        <v>4</v>
      </c>
      <c r="AY166" s="39">
        <f>IF(ISBLANK(W166),"",IF(ISBLANK($O166),AK166,IF($J166="ANUAL",AK166*(1+Macroindicadores!H$7),IF(AND($I166="NOVO",MONTH($O166)=MONTH(AY$4)),AK166*(1+Macroindicadores!H$7),IF(AND($J166="PONTUAL",MONTH($O166)=MONTH(AY$4)),AK166*(1+Macroindicadores!H$7),IF(AND($J166="PONTUAL",MONTH($O166)&lt;MONTH(AY$4)),MIN($AS166:AX166),IF(AND($I166="NOVO",MONTH($O166)&gt;MONTH(AY$4)),AK166,IF(MONTH($O166)&gt;MONTH(AY$4),AK166,IF(MONTH($O166)=MONTH(AY$4),AK166*(1+Macroindicadores!H$7),AX166)))))))))</f>
        <v>0</v>
      </c>
      <c r="AZ166" s="39">
        <f>IF(ISBLANK(X166),"",IF(ISBLANK($O166),AL166,IF($J166="ANUAL",AL166*(1+Macroindicadores!I$7),IF(AND($I166="NOVO",MONTH($O166)=MONTH(AZ$4)),AL166*(1+Macroindicadores!I$7),IF(AND($J166="PONTUAL",MONTH($O166)=MONTH(AZ$4)),AL166*(1+Macroindicadores!I$7),IF(AND($J166="PONTUAL",MONTH($O166)&lt;MONTH(AZ$4)),MIN($AS166:AY166),IF(AND($I166="NOVO",MONTH($O166)&gt;MONTH(AZ$4)),AL166,IF(MONTH($O166)&gt;MONTH(AZ$4),AL166,IF(MONTH($O166)=MONTH(AZ$4),AL166*(1+Macroindicadores!I$7),AY166)))))))))</f>
        <v>0</v>
      </c>
      <c r="BA166" s="39">
        <f>IF(ISBLANK(Y166),"",IF(ISBLANK($O166),AM166,IF($J166="ANUAL",AM166*(1+Macroindicadores!J$7),IF(AND($I166="NOVO",MONTH($O166)=MONTH(BA$4)),AM166*(1+Macroindicadores!J$7),IF(AND($J166="PONTUAL",MONTH($O166)=MONTH(BA$4)),AM166*(1+Macroindicadores!J$7),IF(AND($J166="PONTUAL",MONTH($O166)&lt;MONTH(BA$4)),MIN($AS166:AZ166),IF(AND($I166="NOVO",MONTH($O166)&gt;MONTH(BA$4)),AM166,IF(MONTH($O166)&gt;MONTH(BA$4),AM166,IF(MONTH($O166)=MONTH(BA$4),AM166*(1+Macroindicadores!J$7),AZ166)))))))))</f>
        <v>4</v>
      </c>
      <c r="BB166" s="39">
        <f>IF(ISBLANK(Z166),"",IF(ISBLANK($O166),AN166,IF($J166="ANUAL",AN166*(1+Macroindicadores!K$7),IF(AND($I166="NOVO",MONTH($O166)=MONTH(BB$4)),AN166*(1+Macroindicadores!K$7),IF(AND($J166="PONTUAL",MONTH($O166)=MONTH(BB$4)),AN166*(1+Macroindicadores!K$7),IF(AND($J166="PONTUAL",MONTH($O166)&lt;MONTH(BB$4)),MIN($AS166:BA166),IF(AND($I166="NOVO",MONTH($O166)&gt;MONTH(BB$4)),AN166,IF(MONTH($O166)&gt;MONTH(BB$4),AN166,IF(MONTH($O166)=MONTH(BB$4),AN166*(1+Macroindicadores!K$7),BA166)))))))))</f>
        <v>0</v>
      </c>
      <c r="BC166" s="39">
        <f>IF(ISBLANK(AA166),"",IF(ISBLANK($O166),AO166,IF($J166="ANUAL",AO166*(1+Macroindicadores!L$7),IF(AND($I166="NOVO",MONTH($O166)=MONTH(BC$4)),AO166*(1+Macroindicadores!L$7),IF(AND($J166="PONTUAL",MONTH($O166)=MONTH(BC$4)),AO166*(1+Macroindicadores!L$7),IF(AND($J166="PONTUAL",MONTH($O166)&lt;MONTH(BC$4)),MIN($AS166:BB166),IF(AND($I166="NOVO",MONTH($O166)&gt;MONTH(BC$4)),AO166,IF(MONTH($O166)&gt;MONTH(BC$4),AO166,IF(MONTH($O166)=MONTH(BC$4),AO166*(1+Macroindicadores!L$7),BB166)))))))))</f>
        <v>0</v>
      </c>
      <c r="BD166" s="39">
        <f>IF(ISBLANK(AB166),"",IF(ISBLANK($O166),AP166,IF($J166="ANUAL",AP166*(1+Macroindicadores!M$7),IF(AND($I166="NOVO",MONTH($O166)=MONTH(BD$4)),AP166*(1+Macroindicadores!M$7),IF(AND($J166="PONTUAL",MONTH($O166)=MONTH(BD$4)),AP166*(1+Macroindicadores!M$7),IF(AND($J166="PONTUAL",MONTH($O166)&lt;MONTH(BD$4)),MIN($AS166:BC166),IF(AND($I166="NOVO",MONTH($O166)&gt;MONTH(BD$4)),AP166,IF(MONTH($O166)&gt;MONTH(BD$4),AP166,IF(MONTH($O166)=MONTH(BD$4),AP166*(1+Macroindicadores!M$7),BC166)))))))))</f>
        <v>4</v>
      </c>
      <c r="BE166" s="40">
        <f t="shared" si="71"/>
        <v>16</v>
      </c>
      <c r="BG166" s="39">
        <f>IF(ISBLANK(Q166),"",AS166/Macroindicadores!B$2)</f>
        <v>0</v>
      </c>
      <c r="BH166" s="39">
        <f>IF(ISBLANK(R166),"",AT166/Macroindicadores!C$2)</f>
        <v>0</v>
      </c>
      <c r="BI166" s="39">
        <f>IF(ISBLANK(S166),"",AU166/Macroindicadores!D$2)</f>
        <v>0.68027210884353739</v>
      </c>
      <c r="BJ166" s="39">
        <f>IF(ISBLANK(T166),"",AV166/Macroindicadores!E$2)</f>
        <v>0</v>
      </c>
      <c r="BK166" s="39">
        <f>IF(ISBLANK(U166),"",AW166/Macroindicadores!F$2)</f>
        <v>0</v>
      </c>
      <c r="BL166" s="39">
        <f>IF(ISBLANK(V166),"",AX166/Macroindicadores!G$2)</f>
        <v>0.68027210884353739</v>
      </c>
      <c r="BM166" s="39">
        <f>IF(ISBLANK(W166),"",AY166/Macroindicadores!H$2)</f>
        <v>0</v>
      </c>
      <c r="BN166" s="39">
        <f>IF(ISBLANK(X166),"",AZ166/Macroindicadores!I$2)</f>
        <v>0</v>
      </c>
      <c r="BO166" s="39">
        <f>IF(ISBLANK(Y166),"",BA166/Macroindicadores!J$2)</f>
        <v>0.68027210884353739</v>
      </c>
      <c r="BP166" s="39">
        <f>IF(ISBLANK(Z166),"",BB166/Macroindicadores!K$2)</f>
        <v>0</v>
      </c>
      <c r="BQ166" s="39">
        <f>IF(ISBLANK(AA166),"",BC166/Macroindicadores!L$2)</f>
        <v>0</v>
      </c>
      <c r="BR166" s="39">
        <f>IF(ISBLANK(AB166),"",BD166/Macroindicadores!M$2)</f>
        <v>0.68027210884353739</v>
      </c>
      <c r="BS166" s="40">
        <f>IF(AND(ISBLANK($Q166),ISBLANK($R166),ISBLANK($S166),ISBLANK($T166),ISBLANK($U166),ISBLANK($V166),ISBLANK($W166),ISBLANK($X166),ISBLANK($Y166),ISBLANK($Z166),ISBLANK($AA166),ISBLANK($AB166)),"",SUM(BG166:BR166))</f>
        <v>2.7210884353741496</v>
      </c>
      <c r="BT166" s="25" t="str">
        <f>IF(ISBLANK($L166),"",_xlfn.XLOOKUP($L166,'CENTRO CUSTO'!$A:$A,'CENTRO CUSTO'!$E:$E,FALSE,0))</f>
        <v>Custo Fixo</v>
      </c>
    </row>
    <row r="167" spans="1:72">
      <c r="A167" s="9" t="str">
        <f t="shared" si="72"/>
        <v>Budget</v>
      </c>
      <c r="B167" s="9">
        <f t="shared" si="74"/>
        <v>2026</v>
      </c>
      <c r="C167" s="18" t="str">
        <f>IF(ISBLANK($L167),"",_xlfn.XLOOKUP($L167,'CENTRO CUSTO'!$A:$A,'CENTRO CUSTO'!F:F,FALSE,0))</f>
        <v>Martini Meat</v>
      </c>
      <c r="D167" s="111" t="str">
        <f>IF(ISBLANK($L167),"",_xlfn.XLOOKUP($L167,'CENTRO CUSTO'!$A:$A,'CENTRO CUSTO'!G:G,FALSE,0))</f>
        <v>Ponta Grossa</v>
      </c>
      <c r="E167" s="18" t="str">
        <f>IF(ISBLANK($L167),"",_xlfn.XLOOKUP($L167,'CENTRO CUSTO'!$A:$A,'CENTRO CUSTO'!H:H,FALSE,0))</f>
        <v>Carga Geral</v>
      </c>
      <c r="F167" s="10" t="s">
        <v>179</v>
      </c>
      <c r="G167" s="10" t="s">
        <v>123</v>
      </c>
      <c r="H167" s="10" t="s">
        <v>180</v>
      </c>
      <c r="I167" s="11" t="s">
        <v>84</v>
      </c>
      <c r="J167" s="11" t="s">
        <v>181</v>
      </c>
      <c r="K167" s="11" t="s">
        <v>121</v>
      </c>
      <c r="L167" s="11" t="s">
        <v>25</v>
      </c>
      <c r="M167" s="18" t="str">
        <f>IF(ISBLANK($L167),"",_xlfn.XLOOKUP($L167,'CENTRO CUSTO'!$A:$A,'CENTRO CUSTO'!D:D,FALSE,0))</f>
        <v>Alexandre Ayabe</v>
      </c>
      <c r="N167" s="11" t="s">
        <v>91</v>
      </c>
      <c r="O167" s="12"/>
      <c r="P167" s="11" t="s">
        <v>81</v>
      </c>
      <c r="Q167" s="41">
        <v>0</v>
      </c>
      <c r="R167" s="41">
        <v>0</v>
      </c>
      <c r="S167" s="41">
        <v>2000</v>
      </c>
      <c r="T167" s="41">
        <v>0</v>
      </c>
      <c r="U167" s="41">
        <v>0</v>
      </c>
      <c r="V167" s="41">
        <v>2000</v>
      </c>
      <c r="W167" s="41">
        <v>0</v>
      </c>
      <c r="X167" s="41">
        <v>0</v>
      </c>
      <c r="Y167" s="41">
        <v>2000</v>
      </c>
      <c r="Z167" s="41">
        <v>0</v>
      </c>
      <c r="AA167" s="41">
        <v>0</v>
      </c>
      <c r="AB167" s="41">
        <v>2000</v>
      </c>
      <c r="AC167" s="116">
        <f t="shared" si="73"/>
        <v>8000</v>
      </c>
      <c r="AE167" s="39">
        <f>IF(ISBLANK(Q167),"",IF($P167="BRL",Q167,Q167*Macroindicadores!B$2)/1000)</f>
        <v>0</v>
      </c>
      <c r="AF167" s="39">
        <f>IF(ISBLANK(R167),"",IF($P167="BRL",R167,R167*Macroindicadores!C$2)/1000)</f>
        <v>0</v>
      </c>
      <c r="AG167" s="39">
        <f>IF(ISBLANK(S167),"",IF($P167="BRL",S167,S167*Macroindicadores!D$2)/1000)</f>
        <v>2</v>
      </c>
      <c r="AH167" s="39">
        <f>IF(ISBLANK(T167),"",IF($P167="BRL",T167,T167*Macroindicadores!E$2)/1000)</f>
        <v>0</v>
      </c>
      <c r="AI167" s="39">
        <f>IF(ISBLANK(U167),"",IF($P167="BRL",U167,U167*Macroindicadores!F$2)/1000)</f>
        <v>0</v>
      </c>
      <c r="AJ167" s="39">
        <f>IF(ISBLANK(V167),"",IF($P167="BRL",V167,V167*Macroindicadores!G$2)/1000)</f>
        <v>2</v>
      </c>
      <c r="AK167" s="39">
        <f>IF(ISBLANK(W167),"",IF($P167="BRL",W167,W167*Macroindicadores!H$2)/1000)</f>
        <v>0</v>
      </c>
      <c r="AL167" s="39">
        <f>IF(ISBLANK(X167),"",IF($P167="BRL",X167,X167*Macroindicadores!I$2)/1000)</f>
        <v>0</v>
      </c>
      <c r="AM167" s="39">
        <f>IF(ISBLANK(Y167),"",IF($P167="BRL",Y167,Y167*Macroindicadores!J$2)/1000)</f>
        <v>2</v>
      </c>
      <c r="AN167" s="39">
        <f>IF(ISBLANK(Z167),"",IF($P167="BRL",Z167,Z167*Macroindicadores!K$2)/1000)</f>
        <v>0</v>
      </c>
      <c r="AO167" s="39">
        <f>IF(ISBLANK(AA167),"",IF($P167="BRL",AA167,AA167*Macroindicadores!L$2)/1000)</f>
        <v>0</v>
      </c>
      <c r="AP167" s="39">
        <f>IF(ISBLANK(AB167),"",IF($P167="BRL",AB167,AB167*Macroindicadores!M$2)/1000)</f>
        <v>2</v>
      </c>
      <c r="AQ167" s="40">
        <f t="shared" si="70"/>
        <v>8</v>
      </c>
      <c r="AS167" s="39">
        <f>IF(ISBLANK(Q167),"",IF(ISBLANK($O167),AE167,IF($J167="ANUAL",AE167*(1+Macroindicadores!B$7),IF(AND($I167="NOVO",MONTH($O167)=MONTH(AS$4)),AE167*(1+Macroindicadores!B$7),IF(AND($J167="PONTUAL",MONTH($O167)=MONTH(AS$4)),AE167*(1+Macroindicadores!B$7),IF(AND($J167="PONTUAL",MONTH($O167)&lt;MONTH(AS$4)),MIN(AR167:$AS167),IF(AND($I167="NOVO",MONTH($O167)&gt;MONTH(AS$4)),AE167,IF(MONTH($O167)&gt;MONTH(AS$4),AE167,IF(MONTH($O167)=MONTH(AS$4),AE167*(1+Macroindicadores!B$7),AR167)))))))))</f>
        <v>0</v>
      </c>
      <c r="AT167" s="39">
        <f>IF(ISBLANK(R167),"",IF(ISBLANK($O167),AF167,IF($J167="ANUAL",AF167*(1+Macroindicadores!C$7),IF(AND($I167="NOVO",MONTH($O167)=MONTH(AT$4)),AF167*(1+Macroindicadores!C$7),IF(AND($J167="PONTUAL",MONTH($O167)=MONTH(AT$4)),AF167*(1+Macroindicadores!C$7),IF(AND($J167="PONTUAL",MONTH($O167)&lt;MONTH(AT$4)),MIN($AS167:AS167),IF(AND($I167="NOVO",MONTH($O167)&gt;MONTH(AT$4)),AF167,IF(MONTH($O167)&gt;MONTH(AT$4),AF167,IF(MONTH($O167)=MONTH(AT$4),AF167*(1+Macroindicadores!C$7),AS167)))))))))</f>
        <v>0</v>
      </c>
      <c r="AU167" s="39">
        <f>IF(ISBLANK(S167),"",IF(ISBLANK($O167),AG167,IF($J167="ANUAL",AG167*(1+Macroindicadores!D$7),IF(AND($I167="NOVO",MONTH($O167)=MONTH(AU$4)),AG167*(1+Macroindicadores!D$7),IF(AND($J167="PONTUAL",MONTH($O167)=MONTH(AU$4)),AG167*(1+Macroindicadores!D$7),IF(AND($J167="PONTUAL",MONTH($O167)&lt;MONTH(AU$4)),MIN($AS167:AT167),IF(AND($I167="NOVO",MONTH($O167)&gt;MONTH(AU$4)),AG167,IF(MONTH($O167)&gt;MONTH(AU$4),AG167,IF(MONTH($O167)=MONTH(AU$4),AG167*(1+Macroindicadores!D$7),AT167)))))))))</f>
        <v>2</v>
      </c>
      <c r="AV167" s="39">
        <f>IF(ISBLANK(T167),"",IF(ISBLANK($O167),AH167,IF($J167="ANUAL",AH167*(1+Macroindicadores!E$7),IF(AND($I167="NOVO",MONTH($O167)=MONTH(AV$4)),AH167*(1+Macroindicadores!E$7),IF(AND($J167="PONTUAL",MONTH($O167)=MONTH(AV$4)),AH167*(1+Macroindicadores!E$7),IF(AND($J167="PONTUAL",MONTH($O167)&lt;MONTH(AV$4)),MIN($AS167:AU167),IF(AND($I167="NOVO",MONTH($O167)&gt;MONTH(AV$4)),AH167,IF(MONTH($O167)&gt;MONTH(AV$4),AH167,IF(MONTH($O167)=MONTH(AV$4),AH167*(1+Macroindicadores!E$7),AU167)))))))))</f>
        <v>0</v>
      </c>
      <c r="AW167" s="39">
        <f>IF(ISBLANK(U167),"",IF(ISBLANK($O167),AI167,IF($J167="ANUAL",AI167*(1+Macroindicadores!F$7),IF(AND($I167="NOVO",MONTH($O167)=MONTH(AW$4)),AI167*(1+Macroindicadores!F$7),IF(AND($J167="PONTUAL",MONTH($O167)=MONTH(AW$4)),AI167*(1+Macroindicadores!F$7),IF(AND($J167="PONTUAL",MONTH($O167)&lt;MONTH(AW$4)),MIN($AS167:AV167),IF(AND($I167="NOVO",MONTH($O167)&gt;MONTH(AW$4)),AI167,IF(MONTH($O167)&gt;MONTH(AW$4),AI167,IF(MONTH($O167)=MONTH(AW$4),AI167*(1+Macroindicadores!F$7),AV167)))))))))</f>
        <v>0</v>
      </c>
      <c r="AX167" s="39">
        <f>IF(ISBLANK(V167),"",IF(ISBLANK($O167),AJ167,IF($J167="ANUAL",AJ167*(1+Macroindicadores!G$7),IF(AND($I167="NOVO",MONTH($O167)=MONTH(AX$4)),AJ167*(1+Macroindicadores!G$7),IF(AND($J167="PONTUAL",MONTH($O167)=MONTH(AX$4)),AJ167*(1+Macroindicadores!G$7),IF(AND($J167="PONTUAL",MONTH($O167)&lt;MONTH(AX$4)),MIN($AS167:AW167),IF(AND($I167="NOVO",MONTH($O167)&gt;MONTH(AX$4)),AJ167,IF(MONTH($O167)&gt;MONTH(AX$4),AJ167,IF(MONTH($O167)=MONTH(AX$4),AJ167*(1+Macroindicadores!G$7),AW167)))))))))</f>
        <v>2</v>
      </c>
      <c r="AY167" s="39">
        <f>IF(ISBLANK(W167),"",IF(ISBLANK($O167),AK167,IF($J167="ANUAL",AK167*(1+Macroindicadores!H$7),IF(AND($I167="NOVO",MONTH($O167)=MONTH(AY$4)),AK167*(1+Macroindicadores!H$7),IF(AND($J167="PONTUAL",MONTH($O167)=MONTH(AY$4)),AK167*(1+Macroindicadores!H$7),IF(AND($J167="PONTUAL",MONTH($O167)&lt;MONTH(AY$4)),MIN($AS167:AX167),IF(AND($I167="NOVO",MONTH($O167)&gt;MONTH(AY$4)),AK167,IF(MONTH($O167)&gt;MONTH(AY$4),AK167,IF(MONTH($O167)=MONTH(AY$4),AK167*(1+Macroindicadores!H$7),AX167)))))))))</f>
        <v>0</v>
      </c>
      <c r="AZ167" s="39">
        <f>IF(ISBLANK(X167),"",IF(ISBLANK($O167),AL167,IF($J167="ANUAL",AL167*(1+Macroindicadores!I$7),IF(AND($I167="NOVO",MONTH($O167)=MONTH(AZ$4)),AL167*(1+Macroindicadores!I$7),IF(AND($J167="PONTUAL",MONTH($O167)=MONTH(AZ$4)),AL167*(1+Macroindicadores!I$7),IF(AND($J167="PONTUAL",MONTH($O167)&lt;MONTH(AZ$4)),MIN($AS167:AY167),IF(AND($I167="NOVO",MONTH($O167)&gt;MONTH(AZ$4)),AL167,IF(MONTH($O167)&gt;MONTH(AZ$4),AL167,IF(MONTH($O167)=MONTH(AZ$4),AL167*(1+Macroindicadores!I$7),AY167)))))))))</f>
        <v>0</v>
      </c>
      <c r="BA167" s="39">
        <f>IF(ISBLANK(Y167),"",IF(ISBLANK($O167),AM167,IF($J167="ANUAL",AM167*(1+Macroindicadores!J$7),IF(AND($I167="NOVO",MONTH($O167)=MONTH(BA$4)),AM167*(1+Macroindicadores!J$7),IF(AND($J167="PONTUAL",MONTH($O167)=MONTH(BA$4)),AM167*(1+Macroindicadores!J$7),IF(AND($J167="PONTUAL",MONTH($O167)&lt;MONTH(BA$4)),MIN($AS167:AZ167),IF(AND($I167="NOVO",MONTH($O167)&gt;MONTH(BA$4)),AM167,IF(MONTH($O167)&gt;MONTH(BA$4),AM167,IF(MONTH($O167)=MONTH(BA$4),AM167*(1+Macroindicadores!J$7),AZ167)))))))))</f>
        <v>2</v>
      </c>
      <c r="BB167" s="39">
        <f>IF(ISBLANK(Z167),"",IF(ISBLANK($O167),AN167,IF($J167="ANUAL",AN167*(1+Macroindicadores!K$7),IF(AND($I167="NOVO",MONTH($O167)=MONTH(BB$4)),AN167*(1+Macroindicadores!K$7),IF(AND($J167="PONTUAL",MONTH($O167)=MONTH(BB$4)),AN167*(1+Macroindicadores!K$7),IF(AND($J167="PONTUAL",MONTH($O167)&lt;MONTH(BB$4)),MIN($AS167:BA167),IF(AND($I167="NOVO",MONTH($O167)&gt;MONTH(BB$4)),AN167,IF(MONTH($O167)&gt;MONTH(BB$4),AN167,IF(MONTH($O167)=MONTH(BB$4),AN167*(1+Macroindicadores!K$7),BA167)))))))))</f>
        <v>0</v>
      </c>
      <c r="BC167" s="39">
        <f>IF(ISBLANK(AA167),"",IF(ISBLANK($O167),AO167,IF($J167="ANUAL",AO167*(1+Macroindicadores!L$7),IF(AND($I167="NOVO",MONTH($O167)=MONTH(BC$4)),AO167*(1+Macroindicadores!L$7),IF(AND($J167="PONTUAL",MONTH($O167)=MONTH(BC$4)),AO167*(1+Macroindicadores!L$7),IF(AND($J167="PONTUAL",MONTH($O167)&lt;MONTH(BC$4)),MIN($AS167:BB167),IF(AND($I167="NOVO",MONTH($O167)&gt;MONTH(BC$4)),AO167,IF(MONTH($O167)&gt;MONTH(BC$4),AO167,IF(MONTH($O167)=MONTH(BC$4),AO167*(1+Macroindicadores!L$7),BB167)))))))))</f>
        <v>0</v>
      </c>
      <c r="BD167" s="39">
        <f>IF(ISBLANK(AB167),"",IF(ISBLANK($O167),AP167,IF($J167="ANUAL",AP167*(1+Macroindicadores!M$7),IF(AND($I167="NOVO",MONTH($O167)=MONTH(BD$4)),AP167*(1+Macroindicadores!M$7),IF(AND($J167="PONTUAL",MONTH($O167)=MONTH(BD$4)),AP167*(1+Macroindicadores!M$7),IF(AND($J167="PONTUAL",MONTH($O167)&lt;MONTH(BD$4)),MIN($AS167:BC167),IF(AND($I167="NOVO",MONTH($O167)&gt;MONTH(BD$4)),AP167,IF(MONTH($O167)&gt;MONTH(BD$4),AP167,IF(MONTH($O167)=MONTH(BD$4),AP167*(1+Macroindicadores!M$7),BC167)))))))))</f>
        <v>2</v>
      </c>
      <c r="BE167" s="40">
        <f t="shared" si="71"/>
        <v>8</v>
      </c>
      <c r="BG167" s="39">
        <f>IF(ISBLANK(Q167),"",AS167/Macroindicadores!B$2)</f>
        <v>0</v>
      </c>
      <c r="BH167" s="39">
        <f>IF(ISBLANK(R167),"",AT167/Macroindicadores!C$2)</f>
        <v>0</v>
      </c>
      <c r="BI167" s="39">
        <f>IF(ISBLANK(S167),"",AU167/Macroindicadores!D$2)</f>
        <v>0.3401360544217687</v>
      </c>
      <c r="BJ167" s="39">
        <f>IF(ISBLANK(T167),"",AV167/Macroindicadores!E$2)</f>
        <v>0</v>
      </c>
      <c r="BK167" s="39">
        <f>IF(ISBLANK(U167),"",AW167/Macroindicadores!F$2)</f>
        <v>0</v>
      </c>
      <c r="BL167" s="39">
        <f>IF(ISBLANK(V167),"",AX167/Macroindicadores!G$2)</f>
        <v>0.3401360544217687</v>
      </c>
      <c r="BM167" s="39">
        <f>IF(ISBLANK(W167),"",AY167/Macroindicadores!H$2)</f>
        <v>0</v>
      </c>
      <c r="BN167" s="39">
        <f>IF(ISBLANK(X167),"",AZ167/Macroindicadores!I$2)</f>
        <v>0</v>
      </c>
      <c r="BO167" s="39">
        <f>IF(ISBLANK(Y167),"",BA167/Macroindicadores!J$2)</f>
        <v>0.3401360544217687</v>
      </c>
      <c r="BP167" s="39">
        <f>IF(ISBLANK(Z167),"",BB167/Macroindicadores!K$2)</f>
        <v>0</v>
      </c>
      <c r="BQ167" s="39">
        <f>IF(ISBLANK(AA167),"",BC167/Macroindicadores!L$2)</f>
        <v>0</v>
      </c>
      <c r="BR167" s="39">
        <f>IF(ISBLANK(AB167),"",BD167/Macroindicadores!M$2)</f>
        <v>0.3401360544217687</v>
      </c>
      <c r="BS167" s="40">
        <f>IF(AND(ISBLANK($Q167),ISBLANK($R167),ISBLANK($S167),ISBLANK($T167),ISBLANK($U167),ISBLANK($V167),ISBLANK($W167),ISBLANK($X167),ISBLANK($Y167),ISBLANK($Z167),ISBLANK($AA167),ISBLANK($AB167)),"",SUM(BG167:BR167))</f>
        <v>1.3605442176870748</v>
      </c>
      <c r="BT167" s="25" t="str">
        <f>IF(ISBLANK($L167),"",_xlfn.XLOOKUP($L167,'CENTRO CUSTO'!$A:$A,'CENTRO CUSTO'!$E:$E,FALSE,0))</f>
        <v>Custo Fixo</v>
      </c>
    </row>
    <row r="168" spans="1:72">
      <c r="A168" s="9" t="str">
        <f t="shared" si="72"/>
        <v>Budget</v>
      </c>
      <c r="B168" s="9">
        <f t="shared" ref="B168:B328" si="77">IF(ISBLANK($F168),"",$F$1)</f>
        <v>2026</v>
      </c>
      <c r="C168" s="18" t="str">
        <f>IF(ISBLANK($L168),"",_xlfn.XLOOKUP($L168,'CENTRO CUSTO'!$A:$A,'CENTRO CUSTO'!F:F,FALSE,0))</f>
        <v>MRV</v>
      </c>
      <c r="D168" s="111" t="str">
        <f>IF(ISBLANK($L168),"",_xlfn.XLOOKUP($L168,'CENTRO CUSTO'!$A:$A,'CENTRO CUSTO'!G:G,FALSE,0))</f>
        <v>Velopark</v>
      </c>
      <c r="E168" s="18" t="str">
        <f>IF(ISBLANK($L168),"",_xlfn.XLOOKUP($L168,'CENTRO CUSTO'!$A:$A,'CENTRO CUSTO'!H:H,FALSE,0))</f>
        <v>Frigorífico</v>
      </c>
      <c r="F168" s="10" t="s">
        <v>179</v>
      </c>
      <c r="G168" s="10" t="s">
        <v>123</v>
      </c>
      <c r="H168" s="10" t="s">
        <v>180</v>
      </c>
      <c r="I168" s="11" t="s">
        <v>84</v>
      </c>
      <c r="J168" s="11" t="s">
        <v>181</v>
      </c>
      <c r="K168" s="11" t="s">
        <v>121</v>
      </c>
      <c r="L168" s="11" t="s">
        <v>43</v>
      </c>
      <c r="M168" s="18" t="str">
        <f>IF(ISBLANK($L168),"",_xlfn.XLOOKUP($L168,'CENTRO CUSTO'!$A:$A,'CENTRO CUSTO'!D:D,FALSE,0))</f>
        <v>Alexandre Ayabe</v>
      </c>
      <c r="N168" s="11" t="s">
        <v>91</v>
      </c>
      <c r="O168" s="12"/>
      <c r="P168" s="11" t="s">
        <v>81</v>
      </c>
      <c r="Q168" s="41">
        <v>0</v>
      </c>
      <c r="R168" s="41">
        <v>0</v>
      </c>
      <c r="S168" s="41">
        <v>3500</v>
      </c>
      <c r="T168" s="41">
        <v>0</v>
      </c>
      <c r="U168" s="41">
        <v>0</v>
      </c>
      <c r="V168" s="41">
        <v>3500</v>
      </c>
      <c r="W168" s="41">
        <v>0</v>
      </c>
      <c r="X168" s="41">
        <v>0</v>
      </c>
      <c r="Y168" s="41">
        <v>3500</v>
      </c>
      <c r="Z168" s="41">
        <v>0</v>
      </c>
      <c r="AA168" s="41">
        <v>0</v>
      </c>
      <c r="AB168" s="41">
        <v>3500</v>
      </c>
      <c r="AC168" s="116">
        <f t="shared" si="73"/>
        <v>14000</v>
      </c>
      <c r="AE168" s="39">
        <f>IF(ISBLANK(Q168),"",IF($P168="BRL",Q168,Q168*Macroindicadores!B$2)/1000)</f>
        <v>0</v>
      </c>
      <c r="AF168" s="39">
        <f>IF(ISBLANK(R168),"",IF($P168="BRL",R168,R168*Macroindicadores!C$2)/1000)</f>
        <v>0</v>
      </c>
      <c r="AG168" s="39">
        <f>IF(ISBLANK(S168),"",IF($P168="BRL",S168,S168*Macroindicadores!D$2)/1000)</f>
        <v>3.5</v>
      </c>
      <c r="AH168" s="39">
        <f>IF(ISBLANK(T168),"",IF($P168="BRL",T168,T168*Macroindicadores!E$2)/1000)</f>
        <v>0</v>
      </c>
      <c r="AI168" s="39">
        <f>IF(ISBLANK(U168),"",IF($P168="BRL",U168,U168*Macroindicadores!F$2)/1000)</f>
        <v>0</v>
      </c>
      <c r="AJ168" s="39">
        <f>IF(ISBLANK(V168),"",IF($P168="BRL",V168,V168*Macroindicadores!G$2)/1000)</f>
        <v>3.5</v>
      </c>
      <c r="AK168" s="39">
        <f>IF(ISBLANK(W168),"",IF($P168="BRL",W168,W168*Macroindicadores!H$2)/1000)</f>
        <v>0</v>
      </c>
      <c r="AL168" s="39">
        <f>IF(ISBLANK(X168),"",IF($P168="BRL",X168,X168*Macroindicadores!I$2)/1000)</f>
        <v>0</v>
      </c>
      <c r="AM168" s="39">
        <f>IF(ISBLANK(Y168),"",IF($P168="BRL",Y168,Y168*Macroindicadores!J$2)/1000)</f>
        <v>3.5</v>
      </c>
      <c r="AN168" s="39">
        <f>IF(ISBLANK(Z168),"",IF($P168="BRL",Z168,Z168*Macroindicadores!K$2)/1000)</f>
        <v>0</v>
      </c>
      <c r="AO168" s="39">
        <f>IF(ISBLANK(AA168),"",IF($P168="BRL",AA168,AA168*Macroindicadores!L$2)/1000)</f>
        <v>0</v>
      </c>
      <c r="AP168" s="39">
        <f>IF(ISBLANK(AB168),"",IF($P168="BRL",AB168,AB168*Macroindicadores!M$2)/1000)</f>
        <v>3.5</v>
      </c>
      <c r="AQ168" s="40">
        <f t="shared" si="70"/>
        <v>14</v>
      </c>
      <c r="AS168" s="39">
        <f>IF(ISBLANK(Q168),"",IF(ISBLANK($O168),AE168,IF($J168="ANUAL",AE168*(1+Macroindicadores!B$7),IF(AND($I168="NOVO",MONTH($O168)=MONTH(AS$4)),AE168*(1+Macroindicadores!B$7),IF(AND($J168="PONTUAL",MONTH($O168)=MONTH(AS$4)),AE168*(1+Macroindicadores!B$7),IF(AND($J168="PONTUAL",MONTH($O168)&lt;MONTH(AS$4)),MIN(AR168:$AS168),IF(AND($I168="NOVO",MONTH($O168)&gt;MONTH(AS$4)),AE168,IF(MONTH($O168)&gt;MONTH(AS$4),AE168,IF(MONTH($O168)=MONTH(AS$4),AE168*(1+Macroindicadores!B$7),AR168)))))))))</f>
        <v>0</v>
      </c>
      <c r="AT168" s="39">
        <f>IF(ISBLANK(R168),"",IF(ISBLANK($O168),AF168,IF($J168="ANUAL",AF168*(1+Macroindicadores!C$7),IF(AND($I168="NOVO",MONTH($O168)=MONTH(AT$4)),AF168*(1+Macroindicadores!C$7),IF(AND($J168="PONTUAL",MONTH($O168)=MONTH(AT$4)),AF168*(1+Macroindicadores!C$7),IF(AND($J168="PONTUAL",MONTH($O168)&lt;MONTH(AT$4)),MIN($AS168:AS168),IF(AND($I168="NOVO",MONTH($O168)&gt;MONTH(AT$4)),AF168,IF(MONTH($O168)&gt;MONTH(AT$4),AF168,IF(MONTH($O168)=MONTH(AT$4),AF168*(1+Macroindicadores!C$7),AS168)))))))))</f>
        <v>0</v>
      </c>
      <c r="AU168" s="39">
        <f>IF(ISBLANK(S168),"",IF(ISBLANK($O168),AG168,IF($J168="ANUAL",AG168*(1+Macroindicadores!D$7),IF(AND($I168="NOVO",MONTH($O168)=MONTH(AU$4)),AG168*(1+Macroindicadores!D$7),IF(AND($J168="PONTUAL",MONTH($O168)=MONTH(AU$4)),AG168*(1+Macroindicadores!D$7),IF(AND($J168="PONTUAL",MONTH($O168)&lt;MONTH(AU$4)),MIN($AS168:AT168),IF(AND($I168="NOVO",MONTH($O168)&gt;MONTH(AU$4)),AG168,IF(MONTH($O168)&gt;MONTH(AU$4),AG168,IF(MONTH($O168)=MONTH(AU$4),AG168*(1+Macroindicadores!D$7),AT168)))))))))</f>
        <v>3.5</v>
      </c>
      <c r="AV168" s="39">
        <f>IF(ISBLANK(T168),"",IF(ISBLANK($O168),AH168,IF($J168="ANUAL",AH168*(1+Macroindicadores!E$7),IF(AND($I168="NOVO",MONTH($O168)=MONTH(AV$4)),AH168*(1+Macroindicadores!E$7),IF(AND($J168="PONTUAL",MONTH($O168)=MONTH(AV$4)),AH168*(1+Macroindicadores!E$7),IF(AND($J168="PONTUAL",MONTH($O168)&lt;MONTH(AV$4)),MIN($AS168:AU168),IF(AND($I168="NOVO",MONTH($O168)&gt;MONTH(AV$4)),AH168,IF(MONTH($O168)&gt;MONTH(AV$4),AH168,IF(MONTH($O168)=MONTH(AV$4),AH168*(1+Macroindicadores!E$7),AU168)))))))))</f>
        <v>0</v>
      </c>
      <c r="AW168" s="39">
        <f>IF(ISBLANK(U168),"",IF(ISBLANK($O168),AI168,IF($J168="ANUAL",AI168*(1+Macroindicadores!F$7),IF(AND($I168="NOVO",MONTH($O168)=MONTH(AW$4)),AI168*(1+Macroindicadores!F$7),IF(AND($J168="PONTUAL",MONTH($O168)=MONTH(AW$4)),AI168*(1+Macroindicadores!F$7),IF(AND($J168="PONTUAL",MONTH($O168)&lt;MONTH(AW$4)),MIN($AS168:AV168),IF(AND($I168="NOVO",MONTH($O168)&gt;MONTH(AW$4)),AI168,IF(MONTH($O168)&gt;MONTH(AW$4),AI168,IF(MONTH($O168)=MONTH(AW$4),AI168*(1+Macroindicadores!F$7),AV168)))))))))</f>
        <v>0</v>
      </c>
      <c r="AX168" s="39">
        <f>IF(ISBLANK(V168),"",IF(ISBLANK($O168),AJ168,IF($J168="ANUAL",AJ168*(1+Macroindicadores!G$7),IF(AND($I168="NOVO",MONTH($O168)=MONTH(AX$4)),AJ168*(1+Macroindicadores!G$7),IF(AND($J168="PONTUAL",MONTH($O168)=MONTH(AX$4)),AJ168*(1+Macroindicadores!G$7),IF(AND($J168="PONTUAL",MONTH($O168)&lt;MONTH(AX$4)),MIN($AS168:AW168),IF(AND($I168="NOVO",MONTH($O168)&gt;MONTH(AX$4)),AJ168,IF(MONTH($O168)&gt;MONTH(AX$4),AJ168,IF(MONTH($O168)=MONTH(AX$4),AJ168*(1+Macroindicadores!G$7),AW168)))))))))</f>
        <v>3.5</v>
      </c>
      <c r="AY168" s="39">
        <f>IF(ISBLANK(W168),"",IF(ISBLANK($O168),AK168,IF($J168="ANUAL",AK168*(1+Macroindicadores!H$7),IF(AND($I168="NOVO",MONTH($O168)=MONTH(AY$4)),AK168*(1+Macroindicadores!H$7),IF(AND($J168="PONTUAL",MONTH($O168)=MONTH(AY$4)),AK168*(1+Macroindicadores!H$7),IF(AND($J168="PONTUAL",MONTH($O168)&lt;MONTH(AY$4)),MIN($AS168:AX168),IF(AND($I168="NOVO",MONTH($O168)&gt;MONTH(AY$4)),AK168,IF(MONTH($O168)&gt;MONTH(AY$4),AK168,IF(MONTH($O168)=MONTH(AY$4),AK168*(1+Macroindicadores!H$7),AX168)))))))))</f>
        <v>0</v>
      </c>
      <c r="AZ168" s="39">
        <f>IF(ISBLANK(X168),"",IF(ISBLANK($O168),AL168,IF($J168="ANUAL",AL168*(1+Macroindicadores!I$7),IF(AND($I168="NOVO",MONTH($O168)=MONTH(AZ$4)),AL168*(1+Macroindicadores!I$7),IF(AND($J168="PONTUAL",MONTH($O168)=MONTH(AZ$4)),AL168*(1+Macroindicadores!I$7),IF(AND($J168="PONTUAL",MONTH($O168)&lt;MONTH(AZ$4)),MIN($AS168:AY168),IF(AND($I168="NOVO",MONTH($O168)&gt;MONTH(AZ$4)),AL168,IF(MONTH($O168)&gt;MONTH(AZ$4),AL168,IF(MONTH($O168)=MONTH(AZ$4),AL168*(1+Macroindicadores!I$7),AY168)))))))))</f>
        <v>0</v>
      </c>
      <c r="BA168" s="39">
        <f>IF(ISBLANK(Y168),"",IF(ISBLANK($O168),AM168,IF($J168="ANUAL",AM168*(1+Macroindicadores!J$7),IF(AND($I168="NOVO",MONTH($O168)=MONTH(BA$4)),AM168*(1+Macroindicadores!J$7),IF(AND($J168="PONTUAL",MONTH($O168)=MONTH(BA$4)),AM168*(1+Macroindicadores!J$7),IF(AND($J168="PONTUAL",MONTH($O168)&lt;MONTH(BA$4)),MIN($AS168:AZ168),IF(AND($I168="NOVO",MONTH($O168)&gt;MONTH(BA$4)),AM168,IF(MONTH($O168)&gt;MONTH(BA$4),AM168,IF(MONTH($O168)=MONTH(BA$4),AM168*(1+Macroindicadores!J$7),AZ168)))))))))</f>
        <v>3.5</v>
      </c>
      <c r="BB168" s="39">
        <f>IF(ISBLANK(Z168),"",IF(ISBLANK($O168),AN168,IF($J168="ANUAL",AN168*(1+Macroindicadores!K$7),IF(AND($I168="NOVO",MONTH($O168)=MONTH(BB$4)),AN168*(1+Macroindicadores!K$7),IF(AND($J168="PONTUAL",MONTH($O168)=MONTH(BB$4)),AN168*(1+Macroindicadores!K$7),IF(AND($J168="PONTUAL",MONTH($O168)&lt;MONTH(BB$4)),MIN($AS168:BA168),IF(AND($I168="NOVO",MONTH($O168)&gt;MONTH(BB$4)),AN168,IF(MONTH($O168)&gt;MONTH(BB$4),AN168,IF(MONTH($O168)=MONTH(BB$4),AN168*(1+Macroindicadores!K$7),BA168)))))))))</f>
        <v>0</v>
      </c>
      <c r="BC168" s="39">
        <f>IF(ISBLANK(AA168),"",IF(ISBLANK($O168),AO168,IF($J168="ANUAL",AO168*(1+Macroindicadores!L$7),IF(AND($I168="NOVO",MONTH($O168)=MONTH(BC$4)),AO168*(1+Macroindicadores!L$7),IF(AND($J168="PONTUAL",MONTH($O168)=MONTH(BC$4)),AO168*(1+Macroindicadores!L$7),IF(AND($J168="PONTUAL",MONTH($O168)&lt;MONTH(BC$4)),MIN($AS168:BB168),IF(AND($I168="NOVO",MONTH($O168)&gt;MONTH(BC$4)),AO168,IF(MONTH($O168)&gt;MONTH(BC$4),AO168,IF(MONTH($O168)=MONTH(BC$4),AO168*(1+Macroindicadores!L$7),BB168)))))))))</f>
        <v>0</v>
      </c>
      <c r="BD168" s="39">
        <f>IF(ISBLANK(AB168),"",IF(ISBLANK($O168),AP168,IF($J168="ANUAL",AP168*(1+Macroindicadores!M$7),IF(AND($I168="NOVO",MONTH($O168)=MONTH(BD$4)),AP168*(1+Macroindicadores!M$7),IF(AND($J168="PONTUAL",MONTH($O168)=MONTH(BD$4)),AP168*(1+Macroindicadores!M$7),IF(AND($J168="PONTUAL",MONTH($O168)&lt;MONTH(BD$4)),MIN($AS168:BC168),IF(AND($I168="NOVO",MONTH($O168)&gt;MONTH(BD$4)),AP168,IF(MONTH($O168)&gt;MONTH(BD$4),AP168,IF(MONTH($O168)=MONTH(BD$4),AP168*(1+Macroindicadores!M$7),BC168)))))))))</f>
        <v>3.5</v>
      </c>
      <c r="BE168" s="40">
        <f t="shared" ref="BE168:BE328" si="78">IF(AND(ISBLANK($Q168),ISBLANK($R168),ISBLANK($S168),ISBLANK($T168),ISBLANK($U168),ISBLANK($V168),ISBLANK($W168),ISBLANK($X168),ISBLANK($Y168),ISBLANK($Z168),ISBLANK($AA168),ISBLANK($AB168)),"",SUM(AS168:BD168))</f>
        <v>14</v>
      </c>
      <c r="BG168" s="39">
        <f>IF(ISBLANK(Q168),"",AS168/Macroindicadores!B$2)</f>
        <v>0</v>
      </c>
      <c r="BH168" s="39">
        <f>IF(ISBLANK(R168),"",AT168/Macroindicadores!C$2)</f>
        <v>0</v>
      </c>
      <c r="BI168" s="39">
        <f>IF(ISBLANK(S168),"",AU168/Macroindicadores!D$2)</f>
        <v>0.59523809523809523</v>
      </c>
      <c r="BJ168" s="39">
        <f>IF(ISBLANK(T168),"",AV168/Macroindicadores!E$2)</f>
        <v>0</v>
      </c>
      <c r="BK168" s="39">
        <f>IF(ISBLANK(U168),"",AW168/Macroindicadores!F$2)</f>
        <v>0</v>
      </c>
      <c r="BL168" s="39">
        <f>IF(ISBLANK(V168),"",AX168/Macroindicadores!G$2)</f>
        <v>0.59523809523809523</v>
      </c>
      <c r="BM168" s="39">
        <f>IF(ISBLANK(W168),"",AY168/Macroindicadores!H$2)</f>
        <v>0</v>
      </c>
      <c r="BN168" s="39">
        <f>IF(ISBLANK(X168),"",AZ168/Macroindicadores!I$2)</f>
        <v>0</v>
      </c>
      <c r="BO168" s="39">
        <f>IF(ISBLANK(Y168),"",BA168/Macroindicadores!J$2)</f>
        <v>0.59523809523809523</v>
      </c>
      <c r="BP168" s="39">
        <f>IF(ISBLANK(Z168),"",BB168/Macroindicadores!K$2)</f>
        <v>0</v>
      </c>
      <c r="BQ168" s="39">
        <f>IF(ISBLANK(AA168),"",BC168/Macroindicadores!L$2)</f>
        <v>0</v>
      </c>
      <c r="BR168" s="39">
        <f>IF(ISBLANK(AB168),"",BD168/Macroindicadores!M$2)</f>
        <v>0.59523809523809523</v>
      </c>
      <c r="BS168" s="40">
        <f>IF(AND(ISBLANK($Q168),ISBLANK($R168),ISBLANK($S168),ISBLANK($T168),ISBLANK($U168),ISBLANK($V168),ISBLANK($W168),ISBLANK($X168),ISBLANK($Y168),ISBLANK($Z168),ISBLANK($AA168),ISBLANK($AB168)),"",SUM(BG168:BR168))</f>
        <v>2.3809523809523809</v>
      </c>
      <c r="BT168" s="25" t="str">
        <f>IF(ISBLANK($L168),"",_xlfn.XLOOKUP($L168,'CENTRO CUSTO'!$A:$A,'CENTRO CUSTO'!$E:$E,FALSE,0))</f>
        <v>Custo Fixo</v>
      </c>
    </row>
    <row r="169" spans="1:72">
      <c r="A169" s="9" t="str">
        <f t="shared" si="72"/>
        <v>Budget</v>
      </c>
      <c r="B169" s="9">
        <f t="shared" si="77"/>
        <v>2026</v>
      </c>
      <c r="C169" s="18" t="str">
        <f>IF(ISBLANK($L169),"",_xlfn.XLOOKUP($L169,'CENTRO CUSTO'!$A:$A,'CENTRO CUSTO'!F:F,FALSE,0))</f>
        <v>MRV</v>
      </c>
      <c r="D169" s="111" t="str">
        <f>IF(ISBLANK($L169),"",_xlfn.XLOOKUP($L169,'CENTRO CUSTO'!$A:$A,'CENTRO CUSTO'!G:G,FALSE,0))</f>
        <v>Passo Fundo</v>
      </c>
      <c r="E169" s="18" t="str">
        <f>IF(ISBLANK($L169),"",_xlfn.XLOOKUP($L169,'CENTRO CUSTO'!$A:$A,'CENTRO CUSTO'!H:H,FALSE,0))</f>
        <v>Frigorífico</v>
      </c>
      <c r="F169" s="10" t="s">
        <v>179</v>
      </c>
      <c r="G169" s="10" t="s">
        <v>123</v>
      </c>
      <c r="H169" s="10" t="s">
        <v>180</v>
      </c>
      <c r="I169" s="11" t="s">
        <v>84</v>
      </c>
      <c r="J169" s="11" t="s">
        <v>181</v>
      </c>
      <c r="K169" s="11" t="s">
        <v>121</v>
      </c>
      <c r="L169" s="11" t="s">
        <v>41</v>
      </c>
      <c r="M169" s="18" t="str">
        <f>IF(ISBLANK($L169),"",_xlfn.XLOOKUP($L169,'CENTRO CUSTO'!$A:$A,'CENTRO CUSTO'!D:D,FALSE,0))</f>
        <v>Alexandre Ayabe</v>
      </c>
      <c r="N169" s="11" t="s">
        <v>91</v>
      </c>
      <c r="O169" s="12"/>
      <c r="P169" s="11" t="s">
        <v>81</v>
      </c>
      <c r="Q169" s="41">
        <v>0</v>
      </c>
      <c r="R169" s="41">
        <v>0</v>
      </c>
      <c r="S169" s="41">
        <v>3500</v>
      </c>
      <c r="T169" s="41">
        <v>0</v>
      </c>
      <c r="U169" s="41">
        <v>0</v>
      </c>
      <c r="V169" s="41">
        <v>3500</v>
      </c>
      <c r="W169" s="41">
        <v>0</v>
      </c>
      <c r="X169" s="41">
        <v>0</v>
      </c>
      <c r="Y169" s="41">
        <v>3500</v>
      </c>
      <c r="Z169" s="41">
        <v>0</v>
      </c>
      <c r="AA169" s="41">
        <v>0</v>
      </c>
      <c r="AB169" s="41">
        <v>3500</v>
      </c>
      <c r="AC169" s="116">
        <f t="shared" si="73"/>
        <v>14000</v>
      </c>
      <c r="AE169" s="39">
        <f>IF(ISBLANK(Q169),"",IF($P169="BRL",Q169,Q169*Macroindicadores!B$2)/1000)</f>
        <v>0</v>
      </c>
      <c r="AF169" s="39">
        <f>IF(ISBLANK(R169),"",IF($P169="BRL",R169,R169*Macroindicadores!C$2)/1000)</f>
        <v>0</v>
      </c>
      <c r="AG169" s="39">
        <f>IF(ISBLANK(S169),"",IF($P169="BRL",S169,S169*Macroindicadores!D$2)/1000)</f>
        <v>3.5</v>
      </c>
      <c r="AH169" s="39">
        <f>IF(ISBLANK(T169),"",IF($P169="BRL",T169,T169*Macroindicadores!E$2)/1000)</f>
        <v>0</v>
      </c>
      <c r="AI169" s="39">
        <f>IF(ISBLANK(U169),"",IF($P169="BRL",U169,U169*Macroindicadores!F$2)/1000)</f>
        <v>0</v>
      </c>
      <c r="AJ169" s="39">
        <f>IF(ISBLANK(V169),"",IF($P169="BRL",V169,V169*Macroindicadores!G$2)/1000)</f>
        <v>3.5</v>
      </c>
      <c r="AK169" s="39">
        <f>IF(ISBLANK(W169),"",IF($P169="BRL",W169,W169*Macroindicadores!H$2)/1000)</f>
        <v>0</v>
      </c>
      <c r="AL169" s="39">
        <f>IF(ISBLANK(X169),"",IF($P169="BRL",X169,X169*Macroindicadores!I$2)/1000)</f>
        <v>0</v>
      </c>
      <c r="AM169" s="39">
        <f>IF(ISBLANK(Y169),"",IF($P169="BRL",Y169,Y169*Macroindicadores!J$2)/1000)</f>
        <v>3.5</v>
      </c>
      <c r="AN169" s="39">
        <f>IF(ISBLANK(Z169),"",IF($P169="BRL",Z169,Z169*Macroindicadores!K$2)/1000)</f>
        <v>0</v>
      </c>
      <c r="AO169" s="39">
        <f>IF(ISBLANK(AA169),"",IF($P169="BRL",AA169,AA169*Macroindicadores!L$2)/1000)</f>
        <v>0</v>
      </c>
      <c r="AP169" s="39">
        <f>IF(ISBLANK(AB169),"",IF($P169="BRL",AB169,AB169*Macroindicadores!M$2)/1000)</f>
        <v>3.5</v>
      </c>
      <c r="AQ169" s="40">
        <f t="shared" ref="AQ169:AQ328" si="79">IF(AND(ISBLANK($Q169),ISBLANK($R169),ISBLANK($S169),ISBLANK($T169),ISBLANK($U169),ISBLANK($V169),ISBLANK($W169),ISBLANK($X169),ISBLANK($Y169),ISBLANK($Z169),ISBLANK($AA169),ISBLANK($AB169)),"",SUM(AE169:AP169))</f>
        <v>14</v>
      </c>
      <c r="AS169" s="39">
        <f>IF(ISBLANK(Q169),"",IF(ISBLANK($O169),AE169,IF($J169="ANUAL",AE169*(1+Macroindicadores!B$7),IF(AND($I169="NOVO",MONTH($O169)=MONTH(AS$4)),AE169*(1+Macroindicadores!B$7),IF(AND($J169="PONTUAL",MONTH($O169)=MONTH(AS$4)),AE169*(1+Macroindicadores!B$7),IF(AND($J169="PONTUAL",MONTH($O169)&lt;MONTH(AS$4)),MIN(AR169:$AS169),IF(AND($I169="NOVO",MONTH($O169)&gt;MONTH(AS$4)),AE169,IF(MONTH($O169)&gt;MONTH(AS$4),AE169,IF(MONTH($O169)=MONTH(AS$4),AE169*(1+Macroindicadores!B$7),AR169)))))))))</f>
        <v>0</v>
      </c>
      <c r="AT169" s="39">
        <f>IF(ISBLANK(R169),"",IF(ISBLANK($O169),AF169,IF($J169="ANUAL",AF169*(1+Macroindicadores!C$7),IF(AND($I169="NOVO",MONTH($O169)=MONTH(AT$4)),AF169*(1+Macroindicadores!C$7),IF(AND($J169="PONTUAL",MONTH($O169)=MONTH(AT$4)),AF169*(1+Macroindicadores!C$7),IF(AND($J169="PONTUAL",MONTH($O169)&lt;MONTH(AT$4)),MIN($AS169:AS169),IF(AND($I169="NOVO",MONTH($O169)&gt;MONTH(AT$4)),AF169,IF(MONTH($O169)&gt;MONTH(AT$4),AF169,IF(MONTH($O169)=MONTH(AT$4),AF169*(1+Macroindicadores!C$7),AS169)))))))))</f>
        <v>0</v>
      </c>
      <c r="AU169" s="39">
        <f>IF(ISBLANK(S169),"",IF(ISBLANK($O169),AG169,IF($J169="ANUAL",AG169*(1+Macroindicadores!D$7),IF(AND($I169="NOVO",MONTH($O169)=MONTH(AU$4)),AG169*(1+Macroindicadores!D$7),IF(AND($J169="PONTUAL",MONTH($O169)=MONTH(AU$4)),AG169*(1+Macroindicadores!D$7),IF(AND($J169="PONTUAL",MONTH($O169)&lt;MONTH(AU$4)),MIN($AS169:AT169),IF(AND($I169="NOVO",MONTH($O169)&gt;MONTH(AU$4)),AG169,IF(MONTH($O169)&gt;MONTH(AU$4),AG169,IF(MONTH($O169)=MONTH(AU$4),AG169*(1+Macroindicadores!D$7),AT169)))))))))</f>
        <v>3.5</v>
      </c>
      <c r="AV169" s="39">
        <f>IF(ISBLANK(T169),"",IF(ISBLANK($O169),AH169,IF($J169="ANUAL",AH169*(1+Macroindicadores!E$7),IF(AND($I169="NOVO",MONTH($O169)=MONTH(AV$4)),AH169*(1+Macroindicadores!E$7),IF(AND($J169="PONTUAL",MONTH($O169)=MONTH(AV$4)),AH169*(1+Macroindicadores!E$7),IF(AND($J169="PONTUAL",MONTH($O169)&lt;MONTH(AV$4)),MIN($AS169:AU169),IF(AND($I169="NOVO",MONTH($O169)&gt;MONTH(AV$4)),AH169,IF(MONTH($O169)&gt;MONTH(AV$4),AH169,IF(MONTH($O169)=MONTH(AV$4),AH169*(1+Macroindicadores!E$7),AU169)))))))))</f>
        <v>0</v>
      </c>
      <c r="AW169" s="39">
        <f>IF(ISBLANK(U169),"",IF(ISBLANK($O169),AI169,IF($J169="ANUAL",AI169*(1+Macroindicadores!F$7),IF(AND($I169="NOVO",MONTH($O169)=MONTH(AW$4)),AI169*(1+Macroindicadores!F$7),IF(AND($J169="PONTUAL",MONTH($O169)=MONTH(AW$4)),AI169*(1+Macroindicadores!F$7),IF(AND($J169="PONTUAL",MONTH($O169)&lt;MONTH(AW$4)),MIN($AS169:AV169),IF(AND($I169="NOVO",MONTH($O169)&gt;MONTH(AW$4)),AI169,IF(MONTH($O169)&gt;MONTH(AW$4),AI169,IF(MONTH($O169)=MONTH(AW$4),AI169*(1+Macroindicadores!F$7),AV169)))))))))</f>
        <v>0</v>
      </c>
      <c r="AX169" s="39">
        <f>IF(ISBLANK(V169),"",IF(ISBLANK($O169),AJ169,IF($J169="ANUAL",AJ169*(1+Macroindicadores!G$7),IF(AND($I169="NOVO",MONTH($O169)=MONTH(AX$4)),AJ169*(1+Macroindicadores!G$7),IF(AND($J169="PONTUAL",MONTH($O169)=MONTH(AX$4)),AJ169*(1+Macroindicadores!G$7),IF(AND($J169="PONTUAL",MONTH($O169)&lt;MONTH(AX$4)),MIN($AS169:AW169),IF(AND($I169="NOVO",MONTH($O169)&gt;MONTH(AX$4)),AJ169,IF(MONTH($O169)&gt;MONTH(AX$4),AJ169,IF(MONTH($O169)=MONTH(AX$4),AJ169*(1+Macroindicadores!G$7),AW169)))))))))</f>
        <v>3.5</v>
      </c>
      <c r="AY169" s="39">
        <f>IF(ISBLANK(W169),"",IF(ISBLANK($O169),AK169,IF($J169="ANUAL",AK169*(1+Macroindicadores!H$7),IF(AND($I169="NOVO",MONTH($O169)=MONTH(AY$4)),AK169*(1+Macroindicadores!H$7),IF(AND($J169="PONTUAL",MONTH($O169)=MONTH(AY$4)),AK169*(1+Macroindicadores!H$7),IF(AND($J169="PONTUAL",MONTH($O169)&lt;MONTH(AY$4)),MIN($AS169:AX169),IF(AND($I169="NOVO",MONTH($O169)&gt;MONTH(AY$4)),AK169,IF(MONTH($O169)&gt;MONTH(AY$4),AK169,IF(MONTH($O169)=MONTH(AY$4),AK169*(1+Macroindicadores!H$7),AX169)))))))))</f>
        <v>0</v>
      </c>
      <c r="AZ169" s="39">
        <f>IF(ISBLANK(X169),"",IF(ISBLANK($O169),AL169,IF($J169="ANUAL",AL169*(1+Macroindicadores!I$7),IF(AND($I169="NOVO",MONTH($O169)=MONTH(AZ$4)),AL169*(1+Macroindicadores!I$7),IF(AND($J169="PONTUAL",MONTH($O169)=MONTH(AZ$4)),AL169*(1+Macroindicadores!I$7),IF(AND($J169="PONTUAL",MONTH($O169)&lt;MONTH(AZ$4)),MIN($AS169:AY169),IF(AND($I169="NOVO",MONTH($O169)&gt;MONTH(AZ$4)),AL169,IF(MONTH($O169)&gt;MONTH(AZ$4),AL169,IF(MONTH($O169)=MONTH(AZ$4),AL169*(1+Macroindicadores!I$7),AY169)))))))))</f>
        <v>0</v>
      </c>
      <c r="BA169" s="39">
        <f>IF(ISBLANK(Y169),"",IF(ISBLANK($O169),AM169,IF($J169="ANUAL",AM169*(1+Macroindicadores!J$7),IF(AND($I169="NOVO",MONTH($O169)=MONTH(BA$4)),AM169*(1+Macroindicadores!J$7),IF(AND($J169="PONTUAL",MONTH($O169)=MONTH(BA$4)),AM169*(1+Macroindicadores!J$7),IF(AND($J169="PONTUAL",MONTH($O169)&lt;MONTH(BA$4)),MIN($AS169:AZ169),IF(AND($I169="NOVO",MONTH($O169)&gt;MONTH(BA$4)),AM169,IF(MONTH($O169)&gt;MONTH(BA$4),AM169,IF(MONTH($O169)=MONTH(BA$4),AM169*(1+Macroindicadores!J$7),AZ169)))))))))</f>
        <v>3.5</v>
      </c>
      <c r="BB169" s="39">
        <f>IF(ISBLANK(Z169),"",IF(ISBLANK($O169),AN169,IF($J169="ANUAL",AN169*(1+Macroindicadores!K$7),IF(AND($I169="NOVO",MONTH($O169)=MONTH(BB$4)),AN169*(1+Macroindicadores!K$7),IF(AND($J169="PONTUAL",MONTH($O169)=MONTH(BB$4)),AN169*(1+Macroindicadores!K$7),IF(AND($J169="PONTUAL",MONTH($O169)&lt;MONTH(BB$4)),MIN($AS169:BA169),IF(AND($I169="NOVO",MONTH($O169)&gt;MONTH(BB$4)),AN169,IF(MONTH($O169)&gt;MONTH(BB$4),AN169,IF(MONTH($O169)=MONTH(BB$4),AN169*(1+Macroindicadores!K$7),BA169)))))))))</f>
        <v>0</v>
      </c>
      <c r="BC169" s="39">
        <f>IF(ISBLANK(AA169),"",IF(ISBLANK($O169),AO169,IF($J169="ANUAL",AO169*(1+Macroindicadores!L$7),IF(AND($I169="NOVO",MONTH($O169)=MONTH(BC$4)),AO169*(1+Macroindicadores!L$7),IF(AND($J169="PONTUAL",MONTH($O169)=MONTH(BC$4)),AO169*(1+Macroindicadores!L$7),IF(AND($J169="PONTUAL",MONTH($O169)&lt;MONTH(BC$4)),MIN($AS169:BB169),IF(AND($I169="NOVO",MONTH($O169)&gt;MONTH(BC$4)),AO169,IF(MONTH($O169)&gt;MONTH(BC$4),AO169,IF(MONTH($O169)=MONTH(BC$4),AO169*(1+Macroindicadores!L$7),BB169)))))))))</f>
        <v>0</v>
      </c>
      <c r="BD169" s="39">
        <f>IF(ISBLANK(AB169),"",IF(ISBLANK($O169),AP169,IF($J169="ANUAL",AP169*(1+Macroindicadores!M$7),IF(AND($I169="NOVO",MONTH($O169)=MONTH(BD$4)),AP169*(1+Macroindicadores!M$7),IF(AND($J169="PONTUAL",MONTH($O169)=MONTH(BD$4)),AP169*(1+Macroindicadores!M$7),IF(AND($J169="PONTUAL",MONTH($O169)&lt;MONTH(BD$4)),MIN($AS169:BC169),IF(AND($I169="NOVO",MONTH($O169)&gt;MONTH(BD$4)),AP169,IF(MONTH($O169)&gt;MONTH(BD$4),AP169,IF(MONTH($O169)=MONTH(BD$4),AP169*(1+Macroindicadores!M$7),BC169)))))))))</f>
        <v>3.5</v>
      </c>
      <c r="BE169" s="40">
        <f t="shared" si="78"/>
        <v>14</v>
      </c>
      <c r="BG169" s="39">
        <f>IF(ISBLANK(Q169),"",AS169/Macroindicadores!B$2)</f>
        <v>0</v>
      </c>
      <c r="BH169" s="39">
        <f>IF(ISBLANK(R169),"",AT169/Macroindicadores!C$2)</f>
        <v>0</v>
      </c>
      <c r="BI169" s="39">
        <f>IF(ISBLANK(S169),"",AU169/Macroindicadores!D$2)</f>
        <v>0.59523809523809523</v>
      </c>
      <c r="BJ169" s="39">
        <f>IF(ISBLANK(T169),"",AV169/Macroindicadores!E$2)</f>
        <v>0</v>
      </c>
      <c r="BK169" s="39">
        <f>IF(ISBLANK(U169),"",AW169/Macroindicadores!F$2)</f>
        <v>0</v>
      </c>
      <c r="BL169" s="39">
        <f>IF(ISBLANK(V169),"",AX169/Macroindicadores!G$2)</f>
        <v>0.59523809523809523</v>
      </c>
      <c r="BM169" s="39">
        <f>IF(ISBLANK(W169),"",AY169/Macroindicadores!H$2)</f>
        <v>0</v>
      </c>
      <c r="BN169" s="39">
        <f>IF(ISBLANK(X169),"",AZ169/Macroindicadores!I$2)</f>
        <v>0</v>
      </c>
      <c r="BO169" s="39">
        <f>IF(ISBLANK(Y169),"",BA169/Macroindicadores!J$2)</f>
        <v>0.59523809523809523</v>
      </c>
      <c r="BP169" s="39">
        <f>IF(ISBLANK(Z169),"",BB169/Macroindicadores!K$2)</f>
        <v>0</v>
      </c>
      <c r="BQ169" s="39">
        <f>IF(ISBLANK(AA169),"",BC169/Macroindicadores!L$2)</f>
        <v>0</v>
      </c>
      <c r="BR169" s="39">
        <f>IF(ISBLANK(AB169),"",BD169/Macroindicadores!M$2)</f>
        <v>0.59523809523809523</v>
      </c>
      <c r="BS169" s="40">
        <f>IF(AND(ISBLANK($Q169),ISBLANK($R169),ISBLANK($S169),ISBLANK($T169),ISBLANK($U169),ISBLANK($V169),ISBLANK($W169),ISBLANK($X169),ISBLANK($Y169),ISBLANK($Z169),ISBLANK($AA169),ISBLANK($AB169)),"",SUM(BG169:BR169))</f>
        <v>2.3809523809523809</v>
      </c>
      <c r="BT169" s="25" t="str">
        <f>IF(ISBLANK($L169),"",_xlfn.XLOOKUP($L169,'CENTRO CUSTO'!$A:$A,'CENTRO CUSTO'!$E:$E,FALSE,0))</f>
        <v>Custo Fixo</v>
      </c>
    </row>
    <row r="170" spans="1:72">
      <c r="A170" s="9" t="str">
        <f t="shared" ref="A170:A328" si="80">IF(ISBLANK($F170),"","Budget")</f>
        <v>Budget</v>
      </c>
      <c r="B170" s="9">
        <f t="shared" si="77"/>
        <v>2026</v>
      </c>
      <c r="C170" s="18" t="str">
        <f>IF(ISBLANK($L170),"",_xlfn.XLOOKUP($L170,'CENTRO CUSTO'!$A:$A,'CENTRO CUSTO'!F:F,FALSE,0))</f>
        <v>Martini Meat</v>
      </c>
      <c r="D170" s="111" t="str">
        <f>IF(ISBLANK($L170),"",_xlfn.XLOOKUP($L170,'CENTRO CUSTO'!$A:$A,'CENTRO CUSTO'!G:G,FALSE,0))</f>
        <v>Recife 1</v>
      </c>
      <c r="E170" s="18" t="str">
        <f>IF(ISBLANK($L170),"",_xlfn.XLOOKUP($L170,'CENTRO CUSTO'!$A:$A,'CENTRO CUSTO'!H:H,FALSE,0))</f>
        <v>Locação</v>
      </c>
      <c r="F170" s="10" t="s">
        <v>179</v>
      </c>
      <c r="G170" s="10" t="s">
        <v>123</v>
      </c>
      <c r="H170" s="10" t="s">
        <v>180</v>
      </c>
      <c r="I170" s="11" t="s">
        <v>84</v>
      </c>
      <c r="J170" s="11" t="s">
        <v>181</v>
      </c>
      <c r="K170" s="11" t="s">
        <v>121</v>
      </c>
      <c r="L170" s="11" t="s">
        <v>182</v>
      </c>
      <c r="M170" s="18" t="str">
        <f>IF(ISBLANK($L170),"",_xlfn.XLOOKUP($L170,'CENTRO CUSTO'!$A:$A,'CENTRO CUSTO'!D:D,FALSE,0))</f>
        <v>Alexandre Ayabe</v>
      </c>
      <c r="N170" s="11" t="s">
        <v>91</v>
      </c>
      <c r="O170" s="12"/>
      <c r="P170" s="11" t="s">
        <v>81</v>
      </c>
      <c r="Q170" s="41">
        <v>0</v>
      </c>
      <c r="R170" s="41">
        <v>0</v>
      </c>
      <c r="S170" s="41">
        <v>6000</v>
      </c>
      <c r="T170" s="41">
        <v>0</v>
      </c>
      <c r="U170" s="41">
        <v>0</v>
      </c>
      <c r="V170" s="41">
        <v>6000</v>
      </c>
      <c r="W170" s="41">
        <v>0</v>
      </c>
      <c r="X170" s="41">
        <v>0</v>
      </c>
      <c r="Y170" s="41">
        <v>6000</v>
      </c>
      <c r="Z170" s="41">
        <v>0</v>
      </c>
      <c r="AA170" s="41">
        <v>0</v>
      </c>
      <c r="AB170" s="41">
        <v>6000</v>
      </c>
      <c r="AC170" s="116">
        <f t="shared" si="73"/>
        <v>24000</v>
      </c>
      <c r="AE170" s="39">
        <f>IF(ISBLANK(Q170),"",IF($P170="BRL",Q170,Q170*Macroindicadores!B$2)/1000)</f>
        <v>0</v>
      </c>
      <c r="AF170" s="39">
        <f>IF(ISBLANK(R170),"",IF($P170="BRL",R170,R170*Macroindicadores!C$2)/1000)</f>
        <v>0</v>
      </c>
      <c r="AG170" s="39">
        <f>IF(ISBLANK(S170),"",IF($P170="BRL",S170,S170*Macroindicadores!D$2)/1000)</f>
        <v>6</v>
      </c>
      <c r="AH170" s="39">
        <f>IF(ISBLANK(T170),"",IF($P170="BRL",T170,T170*Macroindicadores!E$2)/1000)</f>
        <v>0</v>
      </c>
      <c r="AI170" s="39">
        <f>IF(ISBLANK(U170),"",IF($P170="BRL",U170,U170*Macroindicadores!F$2)/1000)</f>
        <v>0</v>
      </c>
      <c r="AJ170" s="39">
        <f>IF(ISBLANK(V170),"",IF($P170="BRL",V170,V170*Macroindicadores!G$2)/1000)</f>
        <v>6</v>
      </c>
      <c r="AK170" s="39">
        <f>IF(ISBLANK(W170),"",IF($P170="BRL",W170,W170*Macroindicadores!H$2)/1000)</f>
        <v>0</v>
      </c>
      <c r="AL170" s="39">
        <f>IF(ISBLANK(X170),"",IF($P170="BRL",X170,X170*Macroindicadores!I$2)/1000)</f>
        <v>0</v>
      </c>
      <c r="AM170" s="39">
        <f>IF(ISBLANK(Y170),"",IF($P170="BRL",Y170,Y170*Macroindicadores!J$2)/1000)</f>
        <v>6</v>
      </c>
      <c r="AN170" s="39">
        <f>IF(ISBLANK(Z170),"",IF($P170="BRL",Z170,Z170*Macroindicadores!K$2)/1000)</f>
        <v>0</v>
      </c>
      <c r="AO170" s="39">
        <f>IF(ISBLANK(AA170),"",IF($P170="BRL",AA170,AA170*Macroindicadores!L$2)/1000)</f>
        <v>0</v>
      </c>
      <c r="AP170" s="39">
        <f>IF(ISBLANK(AB170),"",IF($P170="BRL",AB170,AB170*Macroindicadores!M$2)/1000)</f>
        <v>6</v>
      </c>
      <c r="AQ170" s="40">
        <f t="shared" si="79"/>
        <v>24</v>
      </c>
      <c r="AS170" s="39">
        <f>IF(ISBLANK(Q170),"",IF(ISBLANK($O170),AE170,IF($J170="ANUAL",AE170*(1+Macroindicadores!B$7),IF(AND($I170="NOVO",MONTH($O170)=MONTH(AS$4)),AE170*(1+Macroindicadores!B$7),IF(AND($J170="PONTUAL",MONTH($O170)=MONTH(AS$4)),AE170*(1+Macroindicadores!B$7),IF(AND($J170="PONTUAL",MONTH($O170)&lt;MONTH(AS$4)),MIN(AR170:$AS170),IF(AND($I170="NOVO",MONTH($O170)&gt;MONTH(AS$4)),AE170,IF(MONTH($O170)&gt;MONTH(AS$4),AE170,IF(MONTH($O170)=MONTH(AS$4),AE170*(1+Macroindicadores!B$7),AR170)))))))))</f>
        <v>0</v>
      </c>
      <c r="AT170" s="39">
        <f>IF(ISBLANK(R170),"",IF(ISBLANK($O170),AF170,IF($J170="ANUAL",AF170*(1+Macroindicadores!C$7),IF(AND($I170="NOVO",MONTH($O170)=MONTH(AT$4)),AF170*(1+Macroindicadores!C$7),IF(AND($J170="PONTUAL",MONTH($O170)=MONTH(AT$4)),AF170*(1+Macroindicadores!C$7),IF(AND($J170="PONTUAL",MONTH($O170)&lt;MONTH(AT$4)),MIN($AS170:AS170),IF(AND($I170="NOVO",MONTH($O170)&gt;MONTH(AT$4)),AF170,IF(MONTH($O170)&gt;MONTH(AT$4),AF170,IF(MONTH($O170)=MONTH(AT$4),AF170*(1+Macroindicadores!C$7),AS170)))))))))</f>
        <v>0</v>
      </c>
      <c r="AU170" s="39">
        <f>IF(ISBLANK(S170),"",IF(ISBLANK($O170),AG170,IF($J170="ANUAL",AG170*(1+Macroindicadores!D$7),IF(AND($I170="NOVO",MONTH($O170)=MONTH(AU$4)),AG170*(1+Macroindicadores!D$7),IF(AND($J170="PONTUAL",MONTH($O170)=MONTH(AU$4)),AG170*(1+Macroindicadores!D$7),IF(AND($J170="PONTUAL",MONTH($O170)&lt;MONTH(AU$4)),MIN($AS170:AT170),IF(AND($I170="NOVO",MONTH($O170)&gt;MONTH(AU$4)),AG170,IF(MONTH($O170)&gt;MONTH(AU$4),AG170,IF(MONTH($O170)=MONTH(AU$4),AG170*(1+Macroindicadores!D$7),AT170)))))))))</f>
        <v>6</v>
      </c>
      <c r="AV170" s="39">
        <f>IF(ISBLANK(T170),"",IF(ISBLANK($O170),AH170,IF($J170="ANUAL",AH170*(1+Macroindicadores!E$7),IF(AND($I170="NOVO",MONTH($O170)=MONTH(AV$4)),AH170*(1+Macroindicadores!E$7),IF(AND($J170="PONTUAL",MONTH($O170)=MONTH(AV$4)),AH170*(1+Macroindicadores!E$7),IF(AND($J170="PONTUAL",MONTH($O170)&lt;MONTH(AV$4)),MIN($AS170:AU170),IF(AND($I170="NOVO",MONTH($O170)&gt;MONTH(AV$4)),AH170,IF(MONTH($O170)&gt;MONTH(AV$4),AH170,IF(MONTH($O170)=MONTH(AV$4),AH170*(1+Macroindicadores!E$7),AU170)))))))))</f>
        <v>0</v>
      </c>
      <c r="AW170" s="39">
        <f>IF(ISBLANK(U170),"",IF(ISBLANK($O170),AI170,IF($J170="ANUAL",AI170*(1+Macroindicadores!F$7),IF(AND($I170="NOVO",MONTH($O170)=MONTH(AW$4)),AI170*(1+Macroindicadores!F$7),IF(AND($J170="PONTUAL",MONTH($O170)=MONTH(AW$4)),AI170*(1+Macroindicadores!F$7),IF(AND($J170="PONTUAL",MONTH($O170)&lt;MONTH(AW$4)),MIN($AS170:AV170),IF(AND($I170="NOVO",MONTH($O170)&gt;MONTH(AW$4)),AI170,IF(MONTH($O170)&gt;MONTH(AW$4),AI170,IF(MONTH($O170)=MONTH(AW$4),AI170*(1+Macroindicadores!F$7),AV170)))))))))</f>
        <v>0</v>
      </c>
      <c r="AX170" s="39">
        <f>IF(ISBLANK(V170),"",IF(ISBLANK($O170),AJ170,IF($J170="ANUAL",AJ170*(1+Macroindicadores!G$7),IF(AND($I170="NOVO",MONTH($O170)=MONTH(AX$4)),AJ170*(1+Macroindicadores!G$7),IF(AND($J170="PONTUAL",MONTH($O170)=MONTH(AX$4)),AJ170*(1+Macroindicadores!G$7),IF(AND($J170="PONTUAL",MONTH($O170)&lt;MONTH(AX$4)),MIN($AS170:AW170),IF(AND($I170="NOVO",MONTH($O170)&gt;MONTH(AX$4)),AJ170,IF(MONTH($O170)&gt;MONTH(AX$4),AJ170,IF(MONTH($O170)=MONTH(AX$4),AJ170*(1+Macroindicadores!G$7),AW170)))))))))</f>
        <v>6</v>
      </c>
      <c r="AY170" s="39">
        <f>IF(ISBLANK(W170),"",IF(ISBLANK($O170),AK170,IF($J170="ANUAL",AK170*(1+Macroindicadores!H$7),IF(AND($I170="NOVO",MONTH($O170)=MONTH(AY$4)),AK170*(1+Macroindicadores!H$7),IF(AND($J170="PONTUAL",MONTH($O170)=MONTH(AY$4)),AK170*(1+Macroindicadores!H$7),IF(AND($J170="PONTUAL",MONTH($O170)&lt;MONTH(AY$4)),MIN($AS170:AX170),IF(AND($I170="NOVO",MONTH($O170)&gt;MONTH(AY$4)),AK170,IF(MONTH($O170)&gt;MONTH(AY$4),AK170,IF(MONTH($O170)=MONTH(AY$4),AK170*(1+Macroindicadores!H$7),AX170)))))))))</f>
        <v>0</v>
      </c>
      <c r="AZ170" s="39">
        <f>IF(ISBLANK(X170),"",IF(ISBLANK($O170),AL170,IF($J170="ANUAL",AL170*(1+Macroindicadores!I$7),IF(AND($I170="NOVO",MONTH($O170)=MONTH(AZ$4)),AL170*(1+Macroindicadores!I$7),IF(AND($J170="PONTUAL",MONTH($O170)=MONTH(AZ$4)),AL170*(1+Macroindicadores!I$7),IF(AND($J170="PONTUAL",MONTH($O170)&lt;MONTH(AZ$4)),MIN($AS170:AY170),IF(AND($I170="NOVO",MONTH($O170)&gt;MONTH(AZ$4)),AL170,IF(MONTH($O170)&gt;MONTH(AZ$4),AL170,IF(MONTH($O170)=MONTH(AZ$4),AL170*(1+Macroindicadores!I$7),AY170)))))))))</f>
        <v>0</v>
      </c>
      <c r="BA170" s="39">
        <f>IF(ISBLANK(Y170),"",IF(ISBLANK($O170),AM170,IF($J170="ANUAL",AM170*(1+Macroindicadores!J$7),IF(AND($I170="NOVO",MONTH($O170)=MONTH(BA$4)),AM170*(1+Macroindicadores!J$7),IF(AND($J170="PONTUAL",MONTH($O170)=MONTH(BA$4)),AM170*(1+Macroindicadores!J$7),IF(AND($J170="PONTUAL",MONTH($O170)&lt;MONTH(BA$4)),MIN($AS170:AZ170),IF(AND($I170="NOVO",MONTH($O170)&gt;MONTH(BA$4)),AM170,IF(MONTH($O170)&gt;MONTH(BA$4),AM170,IF(MONTH($O170)=MONTH(BA$4),AM170*(1+Macroindicadores!J$7),AZ170)))))))))</f>
        <v>6</v>
      </c>
      <c r="BB170" s="39">
        <f>IF(ISBLANK(Z170),"",IF(ISBLANK($O170),AN170,IF($J170="ANUAL",AN170*(1+Macroindicadores!K$7),IF(AND($I170="NOVO",MONTH($O170)=MONTH(BB$4)),AN170*(1+Macroindicadores!K$7),IF(AND($J170="PONTUAL",MONTH($O170)=MONTH(BB$4)),AN170*(1+Macroindicadores!K$7),IF(AND($J170="PONTUAL",MONTH($O170)&lt;MONTH(BB$4)),MIN($AS170:BA170),IF(AND($I170="NOVO",MONTH($O170)&gt;MONTH(BB$4)),AN170,IF(MONTH($O170)&gt;MONTH(BB$4),AN170,IF(MONTH($O170)=MONTH(BB$4),AN170*(1+Macroindicadores!K$7),BA170)))))))))</f>
        <v>0</v>
      </c>
      <c r="BC170" s="39">
        <f>IF(ISBLANK(AA170),"",IF(ISBLANK($O170),AO170,IF($J170="ANUAL",AO170*(1+Macroindicadores!L$7),IF(AND($I170="NOVO",MONTH($O170)=MONTH(BC$4)),AO170*(1+Macroindicadores!L$7),IF(AND($J170="PONTUAL",MONTH($O170)=MONTH(BC$4)),AO170*(1+Macroindicadores!L$7),IF(AND($J170="PONTUAL",MONTH($O170)&lt;MONTH(BC$4)),MIN($AS170:BB170),IF(AND($I170="NOVO",MONTH($O170)&gt;MONTH(BC$4)),AO170,IF(MONTH($O170)&gt;MONTH(BC$4),AO170,IF(MONTH($O170)=MONTH(BC$4),AO170*(1+Macroindicadores!L$7),BB170)))))))))</f>
        <v>0</v>
      </c>
      <c r="BD170" s="39">
        <f>IF(ISBLANK(AB170),"",IF(ISBLANK($O170),AP170,IF($J170="ANUAL",AP170*(1+Macroindicadores!M$7),IF(AND($I170="NOVO",MONTH($O170)=MONTH(BD$4)),AP170*(1+Macroindicadores!M$7),IF(AND($J170="PONTUAL",MONTH($O170)=MONTH(BD$4)),AP170*(1+Macroindicadores!M$7),IF(AND($J170="PONTUAL",MONTH($O170)&lt;MONTH(BD$4)),MIN($AS170:BC170),IF(AND($I170="NOVO",MONTH($O170)&gt;MONTH(BD$4)),AP170,IF(MONTH($O170)&gt;MONTH(BD$4),AP170,IF(MONTH($O170)=MONTH(BD$4),AP170*(1+Macroindicadores!M$7),BC170)))))))))</f>
        <v>6</v>
      </c>
      <c r="BE170" s="40">
        <f t="shared" si="78"/>
        <v>24</v>
      </c>
      <c r="BG170" s="39">
        <f>IF(ISBLANK(Q170),"",AS170/Macroindicadores!B$2)</f>
        <v>0</v>
      </c>
      <c r="BH170" s="39">
        <f>IF(ISBLANK(R170),"",AT170/Macroindicadores!C$2)</f>
        <v>0</v>
      </c>
      <c r="BI170" s="39">
        <f>IF(ISBLANK(S170),"",AU170/Macroindicadores!D$2)</f>
        <v>1.0204081632653061</v>
      </c>
      <c r="BJ170" s="39">
        <f>IF(ISBLANK(T170),"",AV170/Macroindicadores!E$2)</f>
        <v>0</v>
      </c>
      <c r="BK170" s="39">
        <f>IF(ISBLANK(U170),"",AW170/Macroindicadores!F$2)</f>
        <v>0</v>
      </c>
      <c r="BL170" s="39">
        <f>IF(ISBLANK(V170),"",AX170/Macroindicadores!G$2)</f>
        <v>1.0204081632653061</v>
      </c>
      <c r="BM170" s="39">
        <f>IF(ISBLANK(W170),"",AY170/Macroindicadores!H$2)</f>
        <v>0</v>
      </c>
      <c r="BN170" s="39">
        <f>IF(ISBLANK(X170),"",AZ170/Macroindicadores!I$2)</f>
        <v>0</v>
      </c>
      <c r="BO170" s="39">
        <f>IF(ISBLANK(Y170),"",BA170/Macroindicadores!J$2)</f>
        <v>1.0204081632653061</v>
      </c>
      <c r="BP170" s="39">
        <f>IF(ISBLANK(Z170),"",BB170/Macroindicadores!K$2)</f>
        <v>0</v>
      </c>
      <c r="BQ170" s="39">
        <f>IF(ISBLANK(AA170),"",BC170/Macroindicadores!L$2)</f>
        <v>0</v>
      </c>
      <c r="BR170" s="39">
        <f>IF(ISBLANK(AB170),"",BD170/Macroindicadores!M$2)</f>
        <v>1.0204081632653061</v>
      </c>
      <c r="BS170" s="40">
        <f>IF(AND(ISBLANK($Q170),ISBLANK($R170),ISBLANK($S170),ISBLANK($T170),ISBLANK($U170),ISBLANK($V170),ISBLANK($W170),ISBLANK($X170),ISBLANK($Y170),ISBLANK($Z170),ISBLANK($AA170),ISBLANK($AB170)),"",SUM(BG170:BR170))</f>
        <v>4.0816326530612246</v>
      </c>
      <c r="BT170" s="25" t="str">
        <f>IF(ISBLANK($L170),"",_xlfn.XLOOKUP($L170,'CENTRO CUSTO'!$A:$A,'CENTRO CUSTO'!$E:$E,FALSE,0))</f>
        <v>Custo Fixo</v>
      </c>
    </row>
    <row r="171" spans="1:72">
      <c r="A171" s="9" t="str">
        <f t="shared" si="80"/>
        <v>Budget</v>
      </c>
      <c r="B171" s="9">
        <f t="shared" si="77"/>
        <v>2026</v>
      </c>
      <c r="C171" s="18" t="str">
        <f>IF(ISBLANK($L171),"",_xlfn.XLOOKUP($L171,'CENTRO CUSTO'!$A:$A,'CENTRO CUSTO'!F:F,FALSE,0))</f>
        <v>Martini Meat</v>
      </c>
      <c r="D171" s="111" t="str">
        <f>IF(ISBLANK($L171),"",_xlfn.XLOOKUP($L171,'CENTRO CUSTO'!$A:$A,'CENTRO CUSTO'!G:G,FALSE,0))</f>
        <v>Recife 2</v>
      </c>
      <c r="E171" s="18" t="str">
        <f>IF(ISBLANK($L171),"",_xlfn.XLOOKUP($L171,'CENTRO CUSTO'!$A:$A,'CENTRO CUSTO'!H:H,FALSE,0))</f>
        <v>Frigorífico</v>
      </c>
      <c r="F171" s="10" t="s">
        <v>179</v>
      </c>
      <c r="G171" s="10" t="s">
        <v>123</v>
      </c>
      <c r="H171" s="10" t="s">
        <v>180</v>
      </c>
      <c r="I171" s="11" t="s">
        <v>84</v>
      </c>
      <c r="J171" s="11" t="s">
        <v>181</v>
      </c>
      <c r="K171" s="11" t="s">
        <v>121</v>
      </c>
      <c r="L171" s="11" t="s">
        <v>31</v>
      </c>
      <c r="M171" s="18" t="str">
        <f>IF(ISBLANK($L171),"",_xlfn.XLOOKUP($L171,'CENTRO CUSTO'!$A:$A,'CENTRO CUSTO'!D:D,FALSE,0))</f>
        <v>Alexandre Ayabe</v>
      </c>
      <c r="N171" s="11" t="s">
        <v>91</v>
      </c>
      <c r="O171" s="12"/>
      <c r="P171" s="11" t="s">
        <v>81</v>
      </c>
      <c r="Q171" s="41">
        <v>0</v>
      </c>
      <c r="R171" s="41">
        <v>0</v>
      </c>
      <c r="S171" s="41">
        <v>0</v>
      </c>
      <c r="T171" s="41">
        <v>0</v>
      </c>
      <c r="U171" s="41">
        <v>0</v>
      </c>
      <c r="V171" s="41">
        <v>0</v>
      </c>
      <c r="W171" s="41">
        <v>0</v>
      </c>
      <c r="X171" s="41">
        <v>0</v>
      </c>
      <c r="Y171" s="41">
        <v>0</v>
      </c>
      <c r="Z171" s="41">
        <v>0</v>
      </c>
      <c r="AA171" s="41">
        <v>0</v>
      </c>
      <c r="AB171" s="41">
        <v>0</v>
      </c>
      <c r="AC171" s="116">
        <f t="shared" si="73"/>
        <v>0</v>
      </c>
      <c r="AE171" s="39">
        <f>IF(ISBLANK(Q171),"",IF($P171="BRL",Q171,Q171*Macroindicadores!B$2)/1000)</f>
        <v>0</v>
      </c>
      <c r="AF171" s="39">
        <f>IF(ISBLANK(R171),"",IF($P171="BRL",R171,R171*Macroindicadores!C$2)/1000)</f>
        <v>0</v>
      </c>
      <c r="AG171" s="39">
        <f>IF(ISBLANK(S171),"",IF($P171="BRL",S171,S171*Macroindicadores!D$2)/1000)</f>
        <v>0</v>
      </c>
      <c r="AH171" s="39">
        <f>IF(ISBLANK(T171),"",IF($P171="BRL",T171,T171*Macroindicadores!E$2)/1000)</f>
        <v>0</v>
      </c>
      <c r="AI171" s="39">
        <f>IF(ISBLANK(U171),"",IF($P171="BRL",U171,U171*Macroindicadores!F$2)/1000)</f>
        <v>0</v>
      </c>
      <c r="AJ171" s="39">
        <f>IF(ISBLANK(V171),"",IF($P171="BRL",V171,V171*Macroindicadores!G$2)/1000)</f>
        <v>0</v>
      </c>
      <c r="AK171" s="39">
        <f>IF(ISBLANK(W171),"",IF($P171="BRL",W171,W171*Macroindicadores!H$2)/1000)</f>
        <v>0</v>
      </c>
      <c r="AL171" s="39">
        <f>IF(ISBLANK(X171),"",IF($P171="BRL",X171,X171*Macroindicadores!I$2)/1000)</f>
        <v>0</v>
      </c>
      <c r="AM171" s="39">
        <f>IF(ISBLANK(Y171),"",IF($P171="BRL",Y171,Y171*Macroindicadores!J$2)/1000)</f>
        <v>0</v>
      </c>
      <c r="AN171" s="39">
        <f>IF(ISBLANK(Z171),"",IF($P171="BRL",Z171,Z171*Macroindicadores!K$2)/1000)</f>
        <v>0</v>
      </c>
      <c r="AO171" s="39">
        <f>IF(ISBLANK(AA171),"",IF($P171="BRL",AA171,AA171*Macroindicadores!L$2)/1000)</f>
        <v>0</v>
      </c>
      <c r="AP171" s="39">
        <f>IF(ISBLANK(AB171),"",IF($P171="BRL",AB171,AB171*Macroindicadores!M$2)/1000)</f>
        <v>0</v>
      </c>
      <c r="AQ171" s="40">
        <f t="shared" si="79"/>
        <v>0</v>
      </c>
      <c r="AS171" s="39">
        <f>IF(ISBLANK(Q171),"",IF(ISBLANK($O171),AE171,IF($J171="ANUAL",AE171*(1+Macroindicadores!B$7),IF(AND($I171="NOVO",MONTH($O171)=MONTH(AS$4)),AE171*(1+Macroindicadores!B$7),IF(AND($J171="PONTUAL",MONTH($O171)=MONTH(AS$4)),AE171*(1+Macroindicadores!B$7),IF(AND($J171="PONTUAL",MONTH($O171)&lt;MONTH(AS$4)),MIN(AR171:$AS171),IF(AND($I171="NOVO",MONTH($O171)&gt;MONTH(AS$4)),AE171,IF(MONTH($O171)&gt;MONTH(AS$4),AE171,IF(MONTH($O171)=MONTH(AS$4),AE171*(1+Macroindicadores!B$7),AR171)))))))))</f>
        <v>0</v>
      </c>
      <c r="AT171" s="39">
        <f>IF(ISBLANK(R171),"",IF(ISBLANK($O171),AF171,IF($J171="ANUAL",AF171*(1+Macroindicadores!C$7),IF(AND($I171="NOVO",MONTH($O171)=MONTH(AT$4)),AF171*(1+Macroindicadores!C$7),IF(AND($J171="PONTUAL",MONTH($O171)=MONTH(AT$4)),AF171*(1+Macroindicadores!C$7),IF(AND($J171="PONTUAL",MONTH($O171)&lt;MONTH(AT$4)),MIN($AS171:AS171),IF(AND($I171="NOVO",MONTH($O171)&gt;MONTH(AT$4)),AF171,IF(MONTH($O171)&gt;MONTH(AT$4),AF171,IF(MONTH($O171)=MONTH(AT$4),AF171*(1+Macroindicadores!C$7),AS171)))))))))</f>
        <v>0</v>
      </c>
      <c r="AU171" s="39">
        <f>IF(ISBLANK(S171),"",IF(ISBLANK($O171),AG171,IF($J171="ANUAL",AG171*(1+Macroindicadores!D$7),IF(AND($I171="NOVO",MONTH($O171)=MONTH(AU$4)),AG171*(1+Macroindicadores!D$7),IF(AND($J171="PONTUAL",MONTH($O171)=MONTH(AU$4)),AG171*(1+Macroindicadores!D$7),IF(AND($J171="PONTUAL",MONTH($O171)&lt;MONTH(AU$4)),MIN($AS171:AT171),IF(AND($I171="NOVO",MONTH($O171)&gt;MONTH(AU$4)),AG171,IF(MONTH($O171)&gt;MONTH(AU$4),AG171,IF(MONTH($O171)=MONTH(AU$4),AG171*(1+Macroindicadores!D$7),AT171)))))))))</f>
        <v>0</v>
      </c>
      <c r="AV171" s="39">
        <f>IF(ISBLANK(T171),"",IF(ISBLANK($O171),AH171,IF($J171="ANUAL",AH171*(1+Macroindicadores!E$7),IF(AND($I171="NOVO",MONTH($O171)=MONTH(AV$4)),AH171*(1+Macroindicadores!E$7),IF(AND($J171="PONTUAL",MONTH($O171)=MONTH(AV$4)),AH171*(1+Macroindicadores!E$7),IF(AND($J171="PONTUAL",MONTH($O171)&lt;MONTH(AV$4)),MIN($AS171:AU171),IF(AND($I171="NOVO",MONTH($O171)&gt;MONTH(AV$4)),AH171,IF(MONTH($O171)&gt;MONTH(AV$4),AH171,IF(MONTH($O171)=MONTH(AV$4),AH171*(1+Macroindicadores!E$7),AU171)))))))))</f>
        <v>0</v>
      </c>
      <c r="AW171" s="39">
        <f>IF(ISBLANK(U171),"",IF(ISBLANK($O171),AI171,IF($J171="ANUAL",AI171*(1+Macroindicadores!F$7),IF(AND($I171="NOVO",MONTH($O171)=MONTH(AW$4)),AI171*(1+Macroindicadores!F$7),IF(AND($J171="PONTUAL",MONTH($O171)=MONTH(AW$4)),AI171*(1+Macroindicadores!F$7),IF(AND($J171="PONTUAL",MONTH($O171)&lt;MONTH(AW$4)),MIN($AS171:AV171),IF(AND($I171="NOVO",MONTH($O171)&gt;MONTH(AW$4)),AI171,IF(MONTH($O171)&gt;MONTH(AW$4),AI171,IF(MONTH($O171)=MONTH(AW$4),AI171*(1+Macroindicadores!F$7),AV171)))))))))</f>
        <v>0</v>
      </c>
      <c r="AX171" s="39">
        <f>IF(ISBLANK(V171),"",IF(ISBLANK($O171),AJ171,IF($J171="ANUAL",AJ171*(1+Macroindicadores!G$7),IF(AND($I171="NOVO",MONTH($O171)=MONTH(AX$4)),AJ171*(1+Macroindicadores!G$7),IF(AND($J171="PONTUAL",MONTH($O171)=MONTH(AX$4)),AJ171*(1+Macroindicadores!G$7),IF(AND($J171="PONTUAL",MONTH($O171)&lt;MONTH(AX$4)),MIN($AS171:AW171),IF(AND($I171="NOVO",MONTH($O171)&gt;MONTH(AX$4)),AJ171,IF(MONTH($O171)&gt;MONTH(AX$4),AJ171,IF(MONTH($O171)=MONTH(AX$4),AJ171*(1+Macroindicadores!G$7),AW171)))))))))</f>
        <v>0</v>
      </c>
      <c r="AY171" s="39">
        <f>IF(ISBLANK(W171),"",IF(ISBLANK($O171),AK171,IF($J171="ANUAL",AK171*(1+Macroindicadores!H$7),IF(AND($I171="NOVO",MONTH($O171)=MONTH(AY$4)),AK171*(1+Macroindicadores!H$7),IF(AND($J171="PONTUAL",MONTH($O171)=MONTH(AY$4)),AK171*(1+Macroindicadores!H$7),IF(AND($J171="PONTUAL",MONTH($O171)&lt;MONTH(AY$4)),MIN($AS171:AX171),IF(AND($I171="NOVO",MONTH($O171)&gt;MONTH(AY$4)),AK171,IF(MONTH($O171)&gt;MONTH(AY$4),AK171,IF(MONTH($O171)=MONTH(AY$4),AK171*(1+Macroindicadores!H$7),AX171)))))))))</f>
        <v>0</v>
      </c>
      <c r="AZ171" s="39">
        <f>IF(ISBLANK(X171),"",IF(ISBLANK($O171),AL171,IF($J171="ANUAL",AL171*(1+Macroindicadores!I$7),IF(AND($I171="NOVO",MONTH($O171)=MONTH(AZ$4)),AL171*(1+Macroindicadores!I$7),IF(AND($J171="PONTUAL",MONTH($O171)=MONTH(AZ$4)),AL171*(1+Macroindicadores!I$7),IF(AND($J171="PONTUAL",MONTH($O171)&lt;MONTH(AZ$4)),MIN($AS171:AY171),IF(AND($I171="NOVO",MONTH($O171)&gt;MONTH(AZ$4)),AL171,IF(MONTH($O171)&gt;MONTH(AZ$4),AL171,IF(MONTH($O171)=MONTH(AZ$4),AL171*(1+Macroindicadores!I$7),AY171)))))))))</f>
        <v>0</v>
      </c>
      <c r="BA171" s="39">
        <f>IF(ISBLANK(Y171),"",IF(ISBLANK($O171),AM171,IF($J171="ANUAL",AM171*(1+Macroindicadores!J$7),IF(AND($I171="NOVO",MONTH($O171)=MONTH(BA$4)),AM171*(1+Macroindicadores!J$7),IF(AND($J171="PONTUAL",MONTH($O171)=MONTH(BA$4)),AM171*(1+Macroindicadores!J$7),IF(AND($J171="PONTUAL",MONTH($O171)&lt;MONTH(BA$4)),MIN($AS171:AZ171),IF(AND($I171="NOVO",MONTH($O171)&gt;MONTH(BA$4)),AM171,IF(MONTH($O171)&gt;MONTH(BA$4),AM171,IF(MONTH($O171)=MONTH(BA$4),AM171*(1+Macroindicadores!J$7),AZ171)))))))))</f>
        <v>0</v>
      </c>
      <c r="BB171" s="39">
        <f>IF(ISBLANK(Z171),"",IF(ISBLANK($O171),AN171,IF($J171="ANUAL",AN171*(1+Macroindicadores!K$7),IF(AND($I171="NOVO",MONTH($O171)=MONTH(BB$4)),AN171*(1+Macroindicadores!K$7),IF(AND($J171="PONTUAL",MONTH($O171)=MONTH(BB$4)),AN171*(1+Macroindicadores!K$7),IF(AND($J171="PONTUAL",MONTH($O171)&lt;MONTH(BB$4)),MIN($AS171:BA171),IF(AND($I171="NOVO",MONTH($O171)&gt;MONTH(BB$4)),AN171,IF(MONTH($O171)&gt;MONTH(BB$4),AN171,IF(MONTH($O171)=MONTH(BB$4),AN171*(1+Macroindicadores!K$7),BA171)))))))))</f>
        <v>0</v>
      </c>
      <c r="BC171" s="39">
        <f>IF(ISBLANK(AA171),"",IF(ISBLANK($O171),AO171,IF($J171="ANUAL",AO171*(1+Macroindicadores!L$7),IF(AND($I171="NOVO",MONTH($O171)=MONTH(BC$4)),AO171*(1+Macroindicadores!L$7),IF(AND($J171="PONTUAL",MONTH($O171)=MONTH(BC$4)),AO171*(1+Macroindicadores!L$7),IF(AND($J171="PONTUAL",MONTH($O171)&lt;MONTH(BC$4)),MIN($AS171:BB171),IF(AND($I171="NOVO",MONTH($O171)&gt;MONTH(BC$4)),AO171,IF(MONTH($O171)&gt;MONTH(BC$4),AO171,IF(MONTH($O171)=MONTH(BC$4),AO171*(1+Macroindicadores!L$7),BB171)))))))))</f>
        <v>0</v>
      </c>
      <c r="BD171" s="39">
        <f>IF(ISBLANK(AB171),"",IF(ISBLANK($O171),AP171,IF($J171="ANUAL",AP171*(1+Macroindicadores!M$7),IF(AND($I171="NOVO",MONTH($O171)=MONTH(BD$4)),AP171*(1+Macroindicadores!M$7),IF(AND($J171="PONTUAL",MONTH($O171)=MONTH(BD$4)),AP171*(1+Macroindicadores!M$7),IF(AND($J171="PONTUAL",MONTH($O171)&lt;MONTH(BD$4)),MIN($AS171:BC171),IF(AND($I171="NOVO",MONTH($O171)&gt;MONTH(BD$4)),AP171,IF(MONTH($O171)&gt;MONTH(BD$4),AP171,IF(MONTH($O171)=MONTH(BD$4),AP171*(1+Macroindicadores!M$7),BC171)))))))))</f>
        <v>0</v>
      </c>
      <c r="BE171" s="40">
        <f t="shared" si="78"/>
        <v>0</v>
      </c>
      <c r="BG171" s="39">
        <f>IF(ISBLANK(Q171),"",AS171/Macroindicadores!B$2)</f>
        <v>0</v>
      </c>
      <c r="BH171" s="39">
        <f>IF(ISBLANK(R171),"",AT171/Macroindicadores!C$2)</f>
        <v>0</v>
      </c>
      <c r="BI171" s="39">
        <f>IF(ISBLANK(S171),"",AU171/Macroindicadores!D$2)</f>
        <v>0</v>
      </c>
      <c r="BJ171" s="39">
        <f>IF(ISBLANK(T171),"",AV171/Macroindicadores!E$2)</f>
        <v>0</v>
      </c>
      <c r="BK171" s="39">
        <f>IF(ISBLANK(U171),"",AW171/Macroindicadores!F$2)</f>
        <v>0</v>
      </c>
      <c r="BL171" s="39">
        <f>IF(ISBLANK(V171),"",AX171/Macroindicadores!G$2)</f>
        <v>0</v>
      </c>
      <c r="BM171" s="39">
        <f>IF(ISBLANK(W171),"",AY171/Macroindicadores!H$2)</f>
        <v>0</v>
      </c>
      <c r="BN171" s="39">
        <f>IF(ISBLANK(X171),"",AZ171/Macroindicadores!I$2)</f>
        <v>0</v>
      </c>
      <c r="BO171" s="39">
        <f>IF(ISBLANK(Y171),"",BA171/Macroindicadores!J$2)</f>
        <v>0</v>
      </c>
      <c r="BP171" s="39">
        <f>IF(ISBLANK(Z171),"",BB171/Macroindicadores!K$2)</f>
        <v>0</v>
      </c>
      <c r="BQ171" s="39">
        <f>IF(ISBLANK(AA171),"",BC171/Macroindicadores!L$2)</f>
        <v>0</v>
      </c>
      <c r="BR171" s="39">
        <f>IF(ISBLANK(AB171),"",BD171/Macroindicadores!M$2)</f>
        <v>0</v>
      </c>
      <c r="BS171" s="40">
        <f>IF(AND(ISBLANK($Q171),ISBLANK($R171),ISBLANK($S171),ISBLANK($T171),ISBLANK($U171),ISBLANK($V171),ISBLANK($W171),ISBLANK($X171),ISBLANK($Y171),ISBLANK($Z171),ISBLANK($AA171),ISBLANK($AB171)),"",SUM(BG171:BR171))</f>
        <v>0</v>
      </c>
      <c r="BT171" s="25" t="str">
        <f>IF(ISBLANK($L171),"",_xlfn.XLOOKUP($L171,'CENTRO CUSTO'!$A:$A,'CENTRO CUSTO'!$E:$E,FALSE,0))</f>
        <v>Custo Fixo</v>
      </c>
    </row>
    <row r="172" spans="1:72">
      <c r="A172" s="9" t="str">
        <f t="shared" si="80"/>
        <v>Budget</v>
      </c>
      <c r="B172" s="9">
        <f t="shared" si="77"/>
        <v>2026</v>
      </c>
      <c r="C172" s="18" t="str">
        <f>IF(ISBLANK($L172),"",_xlfn.XLOOKUP($L172,'CENTRO CUSTO'!$A:$A,'CENTRO CUSTO'!F:F,FALSE,0))</f>
        <v>SKM</v>
      </c>
      <c r="D172" s="111" t="str">
        <f>IF(ISBLANK($L172),"",_xlfn.XLOOKUP($L172,'CENTRO CUSTO'!$A:$A,'CENTRO CUSTO'!G:G,FALSE,0))</f>
        <v>G100B</v>
      </c>
      <c r="E172" s="18" t="str">
        <f>IF(ISBLANK($L172),"",_xlfn.XLOOKUP($L172,'CENTRO CUSTO'!$A:$A,'CENTRO CUSTO'!H:H,FALSE,0))</f>
        <v>Frigorífico</v>
      </c>
      <c r="F172" s="10" t="s">
        <v>179</v>
      </c>
      <c r="G172" s="10" t="s">
        <v>123</v>
      </c>
      <c r="H172" s="10" t="s">
        <v>180</v>
      </c>
      <c r="I172" s="11" t="s">
        <v>84</v>
      </c>
      <c r="J172" s="11" t="s">
        <v>181</v>
      </c>
      <c r="K172" s="11" t="s">
        <v>121</v>
      </c>
      <c r="L172" s="11" t="s">
        <v>48</v>
      </c>
      <c r="M172" s="18" t="str">
        <f>IF(ISBLANK($L172),"",_xlfn.XLOOKUP($L172,'CENTRO CUSTO'!$A:$A,'CENTRO CUSTO'!D:D,FALSE,0))</f>
        <v>Alexandre Ayabe</v>
      </c>
      <c r="N172" s="11" t="s">
        <v>91</v>
      </c>
      <c r="O172" s="12"/>
      <c r="P172" s="11" t="s">
        <v>81</v>
      </c>
      <c r="Q172" s="41">
        <v>0</v>
      </c>
      <c r="R172" s="41">
        <v>0</v>
      </c>
      <c r="S172" s="41">
        <v>2000</v>
      </c>
      <c r="T172" s="41">
        <v>0</v>
      </c>
      <c r="U172" s="41">
        <v>0</v>
      </c>
      <c r="V172" s="41">
        <v>2000</v>
      </c>
      <c r="W172" s="41">
        <v>0</v>
      </c>
      <c r="X172" s="41">
        <v>0</v>
      </c>
      <c r="Y172" s="41">
        <v>2000</v>
      </c>
      <c r="Z172" s="41">
        <v>0</v>
      </c>
      <c r="AA172" s="41">
        <v>0</v>
      </c>
      <c r="AB172" s="41">
        <v>2000</v>
      </c>
      <c r="AC172" s="116">
        <f t="shared" si="73"/>
        <v>8000</v>
      </c>
      <c r="AE172" s="39">
        <f>IF(ISBLANK(Q172),"",IF($P172="BRL",Q172,Q172*Macroindicadores!B$2)/1000)</f>
        <v>0</v>
      </c>
      <c r="AF172" s="39">
        <f>IF(ISBLANK(R172),"",IF($P172="BRL",R172,R172*Macroindicadores!C$2)/1000)</f>
        <v>0</v>
      </c>
      <c r="AG172" s="39">
        <f>IF(ISBLANK(S172),"",IF($P172="BRL",S172,S172*Macroindicadores!D$2)/1000)</f>
        <v>2</v>
      </c>
      <c r="AH172" s="39">
        <f>IF(ISBLANK(T172),"",IF($P172="BRL",T172,T172*Macroindicadores!E$2)/1000)</f>
        <v>0</v>
      </c>
      <c r="AI172" s="39">
        <f>IF(ISBLANK(U172),"",IF($P172="BRL",U172,U172*Macroindicadores!F$2)/1000)</f>
        <v>0</v>
      </c>
      <c r="AJ172" s="39">
        <f>IF(ISBLANK(V172),"",IF($P172="BRL",V172,V172*Macroindicadores!G$2)/1000)</f>
        <v>2</v>
      </c>
      <c r="AK172" s="39">
        <f>IF(ISBLANK(W172),"",IF($P172="BRL",W172,W172*Macroindicadores!H$2)/1000)</f>
        <v>0</v>
      </c>
      <c r="AL172" s="39">
        <f>IF(ISBLANK(X172),"",IF($P172="BRL",X172,X172*Macroindicadores!I$2)/1000)</f>
        <v>0</v>
      </c>
      <c r="AM172" s="39">
        <f>IF(ISBLANK(Y172),"",IF($P172="BRL",Y172,Y172*Macroindicadores!J$2)/1000)</f>
        <v>2</v>
      </c>
      <c r="AN172" s="39">
        <f>IF(ISBLANK(Z172),"",IF($P172="BRL",Z172,Z172*Macroindicadores!K$2)/1000)</f>
        <v>0</v>
      </c>
      <c r="AO172" s="39">
        <f>IF(ISBLANK(AA172),"",IF($P172="BRL",AA172,AA172*Macroindicadores!L$2)/1000)</f>
        <v>0</v>
      </c>
      <c r="AP172" s="39">
        <f>IF(ISBLANK(AB172),"",IF($P172="BRL",AB172,AB172*Macroindicadores!M$2)/1000)</f>
        <v>2</v>
      </c>
      <c r="AQ172" s="40">
        <f t="shared" si="79"/>
        <v>8</v>
      </c>
      <c r="AS172" s="39">
        <f>IF(ISBLANK(Q172),"",IF(ISBLANK($O172),AE172,IF($J172="ANUAL",AE172*(1+Macroindicadores!B$7),IF(AND($I172="NOVO",MONTH($O172)=MONTH(AS$4)),AE172*(1+Macroindicadores!B$7),IF(AND($J172="PONTUAL",MONTH($O172)=MONTH(AS$4)),AE172*(1+Macroindicadores!B$7),IF(AND($J172="PONTUAL",MONTH($O172)&lt;MONTH(AS$4)),MIN(AR172:$AS172),IF(AND($I172="NOVO",MONTH($O172)&gt;MONTH(AS$4)),AE172,IF(MONTH($O172)&gt;MONTH(AS$4),AE172,IF(MONTH($O172)=MONTH(AS$4),AE172*(1+Macroindicadores!B$7),AR172)))))))))</f>
        <v>0</v>
      </c>
      <c r="AT172" s="39">
        <f>IF(ISBLANK(R172),"",IF(ISBLANK($O172),AF172,IF($J172="ANUAL",AF172*(1+Macroindicadores!C$7),IF(AND($I172="NOVO",MONTH($O172)=MONTH(AT$4)),AF172*(1+Macroindicadores!C$7),IF(AND($J172="PONTUAL",MONTH($O172)=MONTH(AT$4)),AF172*(1+Macroindicadores!C$7),IF(AND($J172="PONTUAL",MONTH($O172)&lt;MONTH(AT$4)),MIN($AS172:AS172),IF(AND($I172="NOVO",MONTH($O172)&gt;MONTH(AT$4)),AF172,IF(MONTH($O172)&gt;MONTH(AT$4),AF172,IF(MONTH($O172)=MONTH(AT$4),AF172*(1+Macroindicadores!C$7),AS172)))))))))</f>
        <v>0</v>
      </c>
      <c r="AU172" s="39">
        <f>IF(ISBLANK(S172),"",IF(ISBLANK($O172),AG172,IF($J172="ANUAL",AG172*(1+Macroindicadores!D$7),IF(AND($I172="NOVO",MONTH($O172)=MONTH(AU$4)),AG172*(1+Macroindicadores!D$7),IF(AND($J172="PONTUAL",MONTH($O172)=MONTH(AU$4)),AG172*(1+Macroindicadores!D$7),IF(AND($J172="PONTUAL",MONTH($O172)&lt;MONTH(AU$4)),MIN($AS172:AT172),IF(AND($I172="NOVO",MONTH($O172)&gt;MONTH(AU$4)),AG172,IF(MONTH($O172)&gt;MONTH(AU$4),AG172,IF(MONTH($O172)=MONTH(AU$4),AG172*(1+Macroindicadores!D$7),AT172)))))))))</f>
        <v>2</v>
      </c>
      <c r="AV172" s="39">
        <f>IF(ISBLANK(T172),"",IF(ISBLANK($O172),AH172,IF($J172="ANUAL",AH172*(1+Macroindicadores!E$7),IF(AND($I172="NOVO",MONTH($O172)=MONTH(AV$4)),AH172*(1+Macroindicadores!E$7),IF(AND($J172="PONTUAL",MONTH($O172)=MONTH(AV$4)),AH172*(1+Macroindicadores!E$7),IF(AND($J172="PONTUAL",MONTH($O172)&lt;MONTH(AV$4)),MIN($AS172:AU172),IF(AND($I172="NOVO",MONTH($O172)&gt;MONTH(AV$4)),AH172,IF(MONTH($O172)&gt;MONTH(AV$4),AH172,IF(MONTH($O172)=MONTH(AV$4),AH172*(1+Macroindicadores!E$7),AU172)))))))))</f>
        <v>0</v>
      </c>
      <c r="AW172" s="39">
        <f>IF(ISBLANK(U172),"",IF(ISBLANK($O172),AI172,IF($J172="ANUAL",AI172*(1+Macroindicadores!F$7),IF(AND($I172="NOVO",MONTH($O172)=MONTH(AW$4)),AI172*(1+Macroindicadores!F$7),IF(AND($J172="PONTUAL",MONTH($O172)=MONTH(AW$4)),AI172*(1+Macroindicadores!F$7),IF(AND($J172="PONTUAL",MONTH($O172)&lt;MONTH(AW$4)),MIN($AS172:AV172),IF(AND($I172="NOVO",MONTH($O172)&gt;MONTH(AW$4)),AI172,IF(MONTH($O172)&gt;MONTH(AW$4),AI172,IF(MONTH($O172)=MONTH(AW$4),AI172*(1+Macroindicadores!F$7),AV172)))))))))</f>
        <v>0</v>
      </c>
      <c r="AX172" s="39">
        <f>IF(ISBLANK(V172),"",IF(ISBLANK($O172),AJ172,IF($J172="ANUAL",AJ172*(1+Macroindicadores!G$7),IF(AND($I172="NOVO",MONTH($O172)=MONTH(AX$4)),AJ172*(1+Macroindicadores!G$7),IF(AND($J172="PONTUAL",MONTH($O172)=MONTH(AX$4)),AJ172*(1+Macroindicadores!G$7),IF(AND($J172="PONTUAL",MONTH($O172)&lt;MONTH(AX$4)),MIN($AS172:AW172),IF(AND($I172="NOVO",MONTH($O172)&gt;MONTH(AX$4)),AJ172,IF(MONTH($O172)&gt;MONTH(AX$4),AJ172,IF(MONTH($O172)=MONTH(AX$4),AJ172*(1+Macroindicadores!G$7),AW172)))))))))</f>
        <v>2</v>
      </c>
      <c r="AY172" s="39">
        <f>IF(ISBLANK(W172),"",IF(ISBLANK($O172),AK172,IF($J172="ANUAL",AK172*(1+Macroindicadores!H$7),IF(AND($I172="NOVO",MONTH($O172)=MONTH(AY$4)),AK172*(1+Macroindicadores!H$7),IF(AND($J172="PONTUAL",MONTH($O172)=MONTH(AY$4)),AK172*(1+Macroindicadores!H$7),IF(AND($J172="PONTUAL",MONTH($O172)&lt;MONTH(AY$4)),MIN($AS172:AX172),IF(AND($I172="NOVO",MONTH($O172)&gt;MONTH(AY$4)),AK172,IF(MONTH($O172)&gt;MONTH(AY$4),AK172,IF(MONTH($O172)=MONTH(AY$4),AK172*(1+Macroindicadores!H$7),AX172)))))))))</f>
        <v>0</v>
      </c>
      <c r="AZ172" s="39">
        <f>IF(ISBLANK(X172),"",IF(ISBLANK($O172),AL172,IF($J172="ANUAL",AL172*(1+Macroindicadores!I$7),IF(AND($I172="NOVO",MONTH($O172)=MONTH(AZ$4)),AL172*(1+Macroindicadores!I$7),IF(AND($J172="PONTUAL",MONTH($O172)=MONTH(AZ$4)),AL172*(1+Macroindicadores!I$7),IF(AND($J172="PONTUAL",MONTH($O172)&lt;MONTH(AZ$4)),MIN($AS172:AY172),IF(AND($I172="NOVO",MONTH($O172)&gt;MONTH(AZ$4)),AL172,IF(MONTH($O172)&gt;MONTH(AZ$4),AL172,IF(MONTH($O172)=MONTH(AZ$4),AL172*(1+Macroindicadores!I$7),AY172)))))))))</f>
        <v>0</v>
      </c>
      <c r="BA172" s="39">
        <f>IF(ISBLANK(Y172),"",IF(ISBLANK($O172),AM172,IF($J172="ANUAL",AM172*(1+Macroindicadores!J$7),IF(AND($I172="NOVO",MONTH($O172)=MONTH(BA$4)),AM172*(1+Macroindicadores!J$7),IF(AND($J172="PONTUAL",MONTH($O172)=MONTH(BA$4)),AM172*(1+Macroindicadores!J$7),IF(AND($J172="PONTUAL",MONTH($O172)&lt;MONTH(BA$4)),MIN($AS172:AZ172),IF(AND($I172="NOVO",MONTH($O172)&gt;MONTH(BA$4)),AM172,IF(MONTH($O172)&gt;MONTH(BA$4),AM172,IF(MONTH($O172)=MONTH(BA$4),AM172*(1+Macroindicadores!J$7),AZ172)))))))))</f>
        <v>2</v>
      </c>
      <c r="BB172" s="39">
        <f>IF(ISBLANK(Z172),"",IF(ISBLANK($O172),AN172,IF($J172="ANUAL",AN172*(1+Macroindicadores!K$7),IF(AND($I172="NOVO",MONTH($O172)=MONTH(BB$4)),AN172*(1+Macroindicadores!K$7),IF(AND($J172="PONTUAL",MONTH($O172)=MONTH(BB$4)),AN172*(1+Macroindicadores!K$7),IF(AND($J172="PONTUAL",MONTH($O172)&lt;MONTH(BB$4)),MIN($AS172:BA172),IF(AND($I172="NOVO",MONTH($O172)&gt;MONTH(BB$4)),AN172,IF(MONTH($O172)&gt;MONTH(BB$4),AN172,IF(MONTH($O172)=MONTH(BB$4),AN172*(1+Macroindicadores!K$7),BA172)))))))))</f>
        <v>0</v>
      </c>
      <c r="BC172" s="39">
        <f>IF(ISBLANK(AA172),"",IF(ISBLANK($O172),AO172,IF($J172="ANUAL",AO172*(1+Macroindicadores!L$7),IF(AND($I172="NOVO",MONTH($O172)=MONTH(BC$4)),AO172*(1+Macroindicadores!L$7),IF(AND($J172="PONTUAL",MONTH($O172)=MONTH(BC$4)),AO172*(1+Macroindicadores!L$7),IF(AND($J172="PONTUAL",MONTH($O172)&lt;MONTH(BC$4)),MIN($AS172:BB172),IF(AND($I172="NOVO",MONTH($O172)&gt;MONTH(BC$4)),AO172,IF(MONTH($O172)&gt;MONTH(BC$4),AO172,IF(MONTH($O172)=MONTH(BC$4),AO172*(1+Macroindicadores!L$7),BB172)))))))))</f>
        <v>0</v>
      </c>
      <c r="BD172" s="39">
        <f>IF(ISBLANK(AB172),"",IF(ISBLANK($O172),AP172,IF($J172="ANUAL",AP172*(1+Macroindicadores!M$7),IF(AND($I172="NOVO",MONTH($O172)=MONTH(BD$4)),AP172*(1+Macroindicadores!M$7),IF(AND($J172="PONTUAL",MONTH($O172)=MONTH(BD$4)),AP172*(1+Macroindicadores!M$7),IF(AND($J172="PONTUAL",MONTH($O172)&lt;MONTH(BD$4)),MIN($AS172:BC172),IF(AND($I172="NOVO",MONTH($O172)&gt;MONTH(BD$4)),AP172,IF(MONTH($O172)&gt;MONTH(BD$4),AP172,IF(MONTH($O172)=MONTH(BD$4),AP172*(1+Macroindicadores!M$7),BC172)))))))))</f>
        <v>2</v>
      </c>
      <c r="BE172" s="40">
        <f t="shared" si="78"/>
        <v>8</v>
      </c>
      <c r="BG172" s="39">
        <f>IF(ISBLANK(Q172),"",AS172/Macroindicadores!B$2)</f>
        <v>0</v>
      </c>
      <c r="BH172" s="39">
        <f>IF(ISBLANK(R172),"",AT172/Macroindicadores!C$2)</f>
        <v>0</v>
      </c>
      <c r="BI172" s="39">
        <f>IF(ISBLANK(S172),"",AU172/Macroindicadores!D$2)</f>
        <v>0.3401360544217687</v>
      </c>
      <c r="BJ172" s="39">
        <f>IF(ISBLANK(T172),"",AV172/Macroindicadores!E$2)</f>
        <v>0</v>
      </c>
      <c r="BK172" s="39">
        <f>IF(ISBLANK(U172),"",AW172/Macroindicadores!F$2)</f>
        <v>0</v>
      </c>
      <c r="BL172" s="39">
        <f>IF(ISBLANK(V172),"",AX172/Macroindicadores!G$2)</f>
        <v>0.3401360544217687</v>
      </c>
      <c r="BM172" s="39">
        <f>IF(ISBLANK(W172),"",AY172/Macroindicadores!H$2)</f>
        <v>0</v>
      </c>
      <c r="BN172" s="39">
        <f>IF(ISBLANK(X172),"",AZ172/Macroindicadores!I$2)</f>
        <v>0</v>
      </c>
      <c r="BO172" s="39">
        <f>IF(ISBLANK(Y172),"",BA172/Macroindicadores!J$2)</f>
        <v>0.3401360544217687</v>
      </c>
      <c r="BP172" s="39">
        <f>IF(ISBLANK(Z172),"",BB172/Macroindicadores!K$2)</f>
        <v>0</v>
      </c>
      <c r="BQ172" s="39">
        <f>IF(ISBLANK(AA172),"",BC172/Macroindicadores!L$2)</f>
        <v>0</v>
      </c>
      <c r="BR172" s="39">
        <f>IF(ISBLANK(AB172),"",BD172/Macroindicadores!M$2)</f>
        <v>0.3401360544217687</v>
      </c>
      <c r="BS172" s="40">
        <f>IF(AND(ISBLANK($Q172),ISBLANK($R172),ISBLANK($S172),ISBLANK($T172),ISBLANK($U172),ISBLANK($V172),ISBLANK($W172),ISBLANK($X172),ISBLANK($Y172),ISBLANK($Z172),ISBLANK($AA172),ISBLANK($AB172)),"",SUM(BG172:BR172))</f>
        <v>1.3605442176870748</v>
      </c>
      <c r="BT172" s="25" t="str">
        <f>IF(ISBLANK($L172),"",_xlfn.XLOOKUP($L172,'CENTRO CUSTO'!$A:$A,'CENTRO CUSTO'!$E:$E,FALSE,0))</f>
        <v>Custo Fixo</v>
      </c>
    </row>
    <row r="173" spans="1:72">
      <c r="A173" s="9" t="str">
        <f t="shared" si="80"/>
        <v>Budget</v>
      </c>
      <c r="B173" s="9">
        <f t="shared" si="77"/>
        <v>2026</v>
      </c>
      <c r="C173" s="18" t="str">
        <f>IF(ISBLANK($L173),"",_xlfn.XLOOKUP($L173,'CENTRO CUSTO'!$A:$A,'CENTRO CUSTO'!F:F,FALSE,0))</f>
        <v>Cone Sul</v>
      </c>
      <c r="D173" s="111" t="str">
        <f>IF(ISBLANK($L173),"",_xlfn.XLOOKUP($L173,'CENTRO CUSTO'!$A:$A,'CENTRO CUSTO'!G:G,FALSE,0))</f>
        <v>Plataforma</v>
      </c>
      <c r="E173" s="18" t="str">
        <f>IF(ISBLANK($L173),"",_xlfn.XLOOKUP($L173,'CENTRO CUSTO'!$A:$A,'CENTRO CUSTO'!H:H,FALSE,0))</f>
        <v>G&amp;A</v>
      </c>
      <c r="F173" s="10" t="s">
        <v>179</v>
      </c>
      <c r="G173" s="10" t="s">
        <v>123</v>
      </c>
      <c r="H173" s="10" t="s">
        <v>180</v>
      </c>
      <c r="I173" s="11" t="s">
        <v>84</v>
      </c>
      <c r="J173" s="11" t="s">
        <v>181</v>
      </c>
      <c r="K173" s="11" t="s">
        <v>121</v>
      </c>
      <c r="L173" s="11" t="s">
        <v>54</v>
      </c>
      <c r="M173" s="18" t="str">
        <f>IF(ISBLANK($L173),"",_xlfn.XLOOKUP($L173,'CENTRO CUSTO'!$A:$A,'CENTRO CUSTO'!D:D,FALSE,0))</f>
        <v>Alexandre Ayabe</v>
      </c>
      <c r="N173" s="11" t="s">
        <v>91</v>
      </c>
      <c r="O173" s="12"/>
      <c r="P173" s="11" t="s">
        <v>81</v>
      </c>
      <c r="Q173" s="41">
        <v>0</v>
      </c>
      <c r="R173" s="41">
        <v>0</v>
      </c>
      <c r="S173" s="41">
        <v>8000</v>
      </c>
      <c r="T173" s="41">
        <v>0</v>
      </c>
      <c r="U173" s="41">
        <v>0</v>
      </c>
      <c r="V173" s="41">
        <v>8000</v>
      </c>
      <c r="W173" s="41">
        <v>0</v>
      </c>
      <c r="X173" s="41">
        <v>0</v>
      </c>
      <c r="Y173" s="41">
        <v>8000</v>
      </c>
      <c r="Z173" s="41">
        <v>0</v>
      </c>
      <c r="AA173" s="41">
        <v>0</v>
      </c>
      <c r="AB173" s="41">
        <v>8000</v>
      </c>
      <c r="AC173" s="116">
        <f t="shared" si="73"/>
        <v>32000</v>
      </c>
      <c r="AE173" s="39">
        <f>IF(ISBLANK(Q173),"",IF($P173="BRL",Q173,Q173*Macroindicadores!B$2)/1000)</f>
        <v>0</v>
      </c>
      <c r="AF173" s="39">
        <f>IF(ISBLANK(R173),"",IF($P173="BRL",R173,R173*Macroindicadores!C$2)/1000)</f>
        <v>0</v>
      </c>
      <c r="AG173" s="39">
        <f>IF(ISBLANK(S173),"",IF($P173="BRL",S173,S173*Macroindicadores!D$2)/1000)</f>
        <v>8</v>
      </c>
      <c r="AH173" s="39">
        <f>IF(ISBLANK(T173),"",IF($P173="BRL",T173,T173*Macroindicadores!E$2)/1000)</f>
        <v>0</v>
      </c>
      <c r="AI173" s="39">
        <f>IF(ISBLANK(U173),"",IF($P173="BRL",U173,U173*Macroindicadores!F$2)/1000)</f>
        <v>0</v>
      </c>
      <c r="AJ173" s="39">
        <f>IF(ISBLANK(V173),"",IF($P173="BRL",V173,V173*Macroindicadores!G$2)/1000)</f>
        <v>8</v>
      </c>
      <c r="AK173" s="39">
        <f>IF(ISBLANK(W173),"",IF($P173="BRL",W173,W173*Macroindicadores!H$2)/1000)</f>
        <v>0</v>
      </c>
      <c r="AL173" s="39">
        <f>IF(ISBLANK(X173),"",IF($P173="BRL",X173,X173*Macroindicadores!I$2)/1000)</f>
        <v>0</v>
      </c>
      <c r="AM173" s="39">
        <f>IF(ISBLANK(Y173),"",IF($P173="BRL",Y173,Y173*Macroindicadores!J$2)/1000)</f>
        <v>8</v>
      </c>
      <c r="AN173" s="39">
        <f>IF(ISBLANK(Z173),"",IF($P173="BRL",Z173,Z173*Macroindicadores!K$2)/1000)</f>
        <v>0</v>
      </c>
      <c r="AO173" s="39">
        <f>IF(ISBLANK(AA173),"",IF($P173="BRL",AA173,AA173*Macroindicadores!L$2)/1000)</f>
        <v>0</v>
      </c>
      <c r="AP173" s="39">
        <f>IF(ISBLANK(AB173),"",IF($P173="BRL",AB173,AB173*Macroindicadores!M$2)/1000)</f>
        <v>8</v>
      </c>
      <c r="AQ173" s="40">
        <f t="shared" si="79"/>
        <v>32</v>
      </c>
      <c r="AS173" s="39">
        <f>IF(ISBLANK(Q173),"",IF(ISBLANK($O173),AE173,IF($J173="ANUAL",AE173*(1+Macroindicadores!B$7),IF(AND($I173="NOVO",MONTH($O173)=MONTH(AS$4)),AE173*(1+Macroindicadores!B$7),IF(AND($J173="PONTUAL",MONTH($O173)=MONTH(AS$4)),AE173*(1+Macroindicadores!B$7),IF(AND($J173="PONTUAL",MONTH($O173)&lt;MONTH(AS$4)),MIN(AR173:$AS173),IF(AND($I173="NOVO",MONTH($O173)&gt;MONTH(AS$4)),AE173,IF(MONTH($O173)&gt;MONTH(AS$4),AE173,IF(MONTH($O173)=MONTH(AS$4),AE173*(1+Macroindicadores!B$7),AR173)))))))))</f>
        <v>0</v>
      </c>
      <c r="AT173" s="39">
        <f>IF(ISBLANK(R173),"",IF(ISBLANK($O173),AF173,IF($J173="ANUAL",AF173*(1+Macroindicadores!C$7),IF(AND($I173="NOVO",MONTH($O173)=MONTH(AT$4)),AF173*(1+Macroindicadores!C$7),IF(AND($J173="PONTUAL",MONTH($O173)=MONTH(AT$4)),AF173*(1+Macroindicadores!C$7),IF(AND($J173="PONTUAL",MONTH($O173)&lt;MONTH(AT$4)),MIN($AS173:AS173),IF(AND($I173="NOVO",MONTH($O173)&gt;MONTH(AT$4)),AF173,IF(MONTH($O173)&gt;MONTH(AT$4),AF173,IF(MONTH($O173)=MONTH(AT$4),AF173*(1+Macroindicadores!C$7),AS173)))))))))</f>
        <v>0</v>
      </c>
      <c r="AU173" s="39">
        <f>IF(ISBLANK(S173),"",IF(ISBLANK($O173),AG173,IF($J173="ANUAL",AG173*(1+Macroindicadores!D$7),IF(AND($I173="NOVO",MONTH($O173)=MONTH(AU$4)),AG173*(1+Macroindicadores!D$7),IF(AND($J173="PONTUAL",MONTH($O173)=MONTH(AU$4)),AG173*(1+Macroindicadores!D$7),IF(AND($J173="PONTUAL",MONTH($O173)&lt;MONTH(AU$4)),MIN($AS173:AT173),IF(AND($I173="NOVO",MONTH($O173)&gt;MONTH(AU$4)),AG173,IF(MONTH($O173)&gt;MONTH(AU$4),AG173,IF(MONTH($O173)=MONTH(AU$4),AG173*(1+Macroindicadores!D$7),AT173)))))))))</f>
        <v>8</v>
      </c>
      <c r="AV173" s="39">
        <f>IF(ISBLANK(T173),"",IF(ISBLANK($O173),AH173,IF($J173="ANUAL",AH173*(1+Macroindicadores!E$7),IF(AND($I173="NOVO",MONTH($O173)=MONTH(AV$4)),AH173*(1+Macroindicadores!E$7),IF(AND($J173="PONTUAL",MONTH($O173)=MONTH(AV$4)),AH173*(1+Macroindicadores!E$7),IF(AND($J173="PONTUAL",MONTH($O173)&lt;MONTH(AV$4)),MIN($AS173:AU173),IF(AND($I173="NOVO",MONTH($O173)&gt;MONTH(AV$4)),AH173,IF(MONTH($O173)&gt;MONTH(AV$4),AH173,IF(MONTH($O173)=MONTH(AV$4),AH173*(1+Macroindicadores!E$7),AU173)))))))))</f>
        <v>0</v>
      </c>
      <c r="AW173" s="39">
        <f>IF(ISBLANK(U173),"",IF(ISBLANK($O173),AI173,IF($J173="ANUAL",AI173*(1+Macroindicadores!F$7),IF(AND($I173="NOVO",MONTH($O173)=MONTH(AW$4)),AI173*(1+Macroindicadores!F$7),IF(AND($J173="PONTUAL",MONTH($O173)=MONTH(AW$4)),AI173*(1+Macroindicadores!F$7),IF(AND($J173="PONTUAL",MONTH($O173)&lt;MONTH(AW$4)),MIN($AS173:AV173),IF(AND($I173="NOVO",MONTH($O173)&gt;MONTH(AW$4)),AI173,IF(MONTH($O173)&gt;MONTH(AW$4),AI173,IF(MONTH($O173)=MONTH(AW$4),AI173*(1+Macroindicadores!F$7),AV173)))))))))</f>
        <v>0</v>
      </c>
      <c r="AX173" s="39">
        <f>IF(ISBLANK(V173),"",IF(ISBLANK($O173),AJ173,IF($J173="ANUAL",AJ173*(1+Macroindicadores!G$7),IF(AND($I173="NOVO",MONTH($O173)=MONTH(AX$4)),AJ173*(1+Macroindicadores!G$7),IF(AND($J173="PONTUAL",MONTH($O173)=MONTH(AX$4)),AJ173*(1+Macroindicadores!G$7),IF(AND($J173="PONTUAL",MONTH($O173)&lt;MONTH(AX$4)),MIN($AS173:AW173),IF(AND($I173="NOVO",MONTH($O173)&gt;MONTH(AX$4)),AJ173,IF(MONTH($O173)&gt;MONTH(AX$4),AJ173,IF(MONTH($O173)=MONTH(AX$4),AJ173*(1+Macroindicadores!G$7),AW173)))))))))</f>
        <v>8</v>
      </c>
      <c r="AY173" s="39">
        <f>IF(ISBLANK(W173),"",IF(ISBLANK($O173),AK173,IF($J173="ANUAL",AK173*(1+Macroindicadores!H$7),IF(AND($I173="NOVO",MONTH($O173)=MONTH(AY$4)),AK173*(1+Macroindicadores!H$7),IF(AND($J173="PONTUAL",MONTH($O173)=MONTH(AY$4)),AK173*(1+Macroindicadores!H$7),IF(AND($J173="PONTUAL",MONTH($O173)&lt;MONTH(AY$4)),MIN($AS173:AX173),IF(AND($I173="NOVO",MONTH($O173)&gt;MONTH(AY$4)),AK173,IF(MONTH($O173)&gt;MONTH(AY$4),AK173,IF(MONTH($O173)=MONTH(AY$4),AK173*(1+Macroindicadores!H$7),AX173)))))))))</f>
        <v>0</v>
      </c>
      <c r="AZ173" s="39">
        <f>IF(ISBLANK(X173),"",IF(ISBLANK($O173),AL173,IF($J173="ANUAL",AL173*(1+Macroindicadores!I$7),IF(AND($I173="NOVO",MONTH($O173)=MONTH(AZ$4)),AL173*(1+Macroindicadores!I$7),IF(AND($J173="PONTUAL",MONTH($O173)=MONTH(AZ$4)),AL173*(1+Macroindicadores!I$7),IF(AND($J173="PONTUAL",MONTH($O173)&lt;MONTH(AZ$4)),MIN($AS173:AY173),IF(AND($I173="NOVO",MONTH($O173)&gt;MONTH(AZ$4)),AL173,IF(MONTH($O173)&gt;MONTH(AZ$4),AL173,IF(MONTH($O173)=MONTH(AZ$4),AL173*(1+Macroindicadores!I$7),AY173)))))))))</f>
        <v>0</v>
      </c>
      <c r="BA173" s="39">
        <f>IF(ISBLANK(Y173),"",IF(ISBLANK($O173),AM173,IF($J173="ANUAL",AM173*(1+Macroindicadores!J$7),IF(AND($I173="NOVO",MONTH($O173)=MONTH(BA$4)),AM173*(1+Macroindicadores!J$7),IF(AND($J173="PONTUAL",MONTH($O173)=MONTH(BA$4)),AM173*(1+Macroindicadores!J$7),IF(AND($J173="PONTUAL",MONTH($O173)&lt;MONTH(BA$4)),MIN($AS173:AZ173),IF(AND($I173="NOVO",MONTH($O173)&gt;MONTH(BA$4)),AM173,IF(MONTH($O173)&gt;MONTH(BA$4),AM173,IF(MONTH($O173)=MONTH(BA$4),AM173*(1+Macroindicadores!J$7),AZ173)))))))))</f>
        <v>8</v>
      </c>
      <c r="BB173" s="39">
        <f>IF(ISBLANK(Z173),"",IF(ISBLANK($O173),AN173,IF($J173="ANUAL",AN173*(1+Macroindicadores!K$7),IF(AND($I173="NOVO",MONTH($O173)=MONTH(BB$4)),AN173*(1+Macroindicadores!K$7),IF(AND($J173="PONTUAL",MONTH($O173)=MONTH(BB$4)),AN173*(1+Macroindicadores!K$7),IF(AND($J173="PONTUAL",MONTH($O173)&lt;MONTH(BB$4)),MIN($AS173:BA173),IF(AND($I173="NOVO",MONTH($O173)&gt;MONTH(BB$4)),AN173,IF(MONTH($O173)&gt;MONTH(BB$4),AN173,IF(MONTH($O173)=MONTH(BB$4),AN173*(1+Macroindicadores!K$7),BA173)))))))))</f>
        <v>0</v>
      </c>
      <c r="BC173" s="39">
        <f>IF(ISBLANK(AA173),"",IF(ISBLANK($O173),AO173,IF($J173="ANUAL",AO173*(1+Macroindicadores!L$7),IF(AND($I173="NOVO",MONTH($O173)=MONTH(BC$4)),AO173*(1+Macroindicadores!L$7),IF(AND($J173="PONTUAL",MONTH($O173)=MONTH(BC$4)),AO173*(1+Macroindicadores!L$7),IF(AND($J173="PONTUAL",MONTH($O173)&lt;MONTH(BC$4)),MIN($AS173:BB173),IF(AND($I173="NOVO",MONTH($O173)&gt;MONTH(BC$4)),AO173,IF(MONTH($O173)&gt;MONTH(BC$4),AO173,IF(MONTH($O173)=MONTH(BC$4),AO173*(1+Macroindicadores!L$7),BB173)))))))))</f>
        <v>0</v>
      </c>
      <c r="BD173" s="39">
        <f>IF(ISBLANK(AB173),"",IF(ISBLANK($O173),AP173,IF($J173="ANUAL",AP173*(1+Macroindicadores!M$7),IF(AND($I173="NOVO",MONTH($O173)=MONTH(BD$4)),AP173*(1+Macroindicadores!M$7),IF(AND($J173="PONTUAL",MONTH($O173)=MONTH(BD$4)),AP173*(1+Macroindicadores!M$7),IF(AND($J173="PONTUAL",MONTH($O173)&lt;MONTH(BD$4)),MIN($AS173:BC173),IF(AND($I173="NOVO",MONTH($O173)&gt;MONTH(BD$4)),AP173,IF(MONTH($O173)&gt;MONTH(BD$4),AP173,IF(MONTH($O173)=MONTH(BD$4),AP173*(1+Macroindicadores!M$7),BC173)))))))))</f>
        <v>8</v>
      </c>
      <c r="BE173" s="40">
        <f t="shared" si="78"/>
        <v>32</v>
      </c>
      <c r="BG173" s="39">
        <f>IF(ISBLANK(Q173),"",AS173/Macroindicadores!B$2)</f>
        <v>0</v>
      </c>
      <c r="BH173" s="39">
        <f>IF(ISBLANK(R173),"",AT173/Macroindicadores!C$2)</f>
        <v>0</v>
      </c>
      <c r="BI173" s="39">
        <f>IF(ISBLANK(S173),"",AU173/Macroindicadores!D$2)</f>
        <v>1.3605442176870748</v>
      </c>
      <c r="BJ173" s="39">
        <f>IF(ISBLANK(T173),"",AV173/Macroindicadores!E$2)</f>
        <v>0</v>
      </c>
      <c r="BK173" s="39">
        <f>IF(ISBLANK(U173),"",AW173/Macroindicadores!F$2)</f>
        <v>0</v>
      </c>
      <c r="BL173" s="39">
        <f>IF(ISBLANK(V173),"",AX173/Macroindicadores!G$2)</f>
        <v>1.3605442176870748</v>
      </c>
      <c r="BM173" s="39">
        <f>IF(ISBLANK(W173),"",AY173/Macroindicadores!H$2)</f>
        <v>0</v>
      </c>
      <c r="BN173" s="39">
        <f>IF(ISBLANK(X173),"",AZ173/Macroindicadores!I$2)</f>
        <v>0</v>
      </c>
      <c r="BO173" s="39">
        <f>IF(ISBLANK(Y173),"",BA173/Macroindicadores!J$2)</f>
        <v>1.3605442176870748</v>
      </c>
      <c r="BP173" s="39">
        <f>IF(ISBLANK(Z173),"",BB173/Macroindicadores!K$2)</f>
        <v>0</v>
      </c>
      <c r="BQ173" s="39">
        <f>IF(ISBLANK(AA173),"",BC173/Macroindicadores!L$2)</f>
        <v>0</v>
      </c>
      <c r="BR173" s="39">
        <f>IF(ISBLANK(AB173),"",BD173/Macroindicadores!M$2)</f>
        <v>1.3605442176870748</v>
      </c>
      <c r="BS173" s="40">
        <f>IF(AND(ISBLANK($Q173),ISBLANK($R173),ISBLANK($S173),ISBLANK($T173),ISBLANK($U173),ISBLANK($V173),ISBLANK($W173),ISBLANK($X173),ISBLANK($Y173),ISBLANK($Z173),ISBLANK($AA173),ISBLANK($AB173)),"",SUM(BG173:BR173))</f>
        <v>5.4421768707482991</v>
      </c>
      <c r="BT173" s="25" t="str">
        <f>IF(ISBLANK($L173),"",_xlfn.XLOOKUP($L173,'CENTRO CUSTO'!$A:$A,'CENTRO CUSTO'!$E:$E,FALSE,0))</f>
        <v>G&amp;A PL</v>
      </c>
    </row>
    <row r="174" spans="1:72">
      <c r="A174" s="9" t="str">
        <f t="shared" si="80"/>
        <v>Budget</v>
      </c>
      <c r="B174" s="9">
        <f t="shared" si="77"/>
        <v>2026</v>
      </c>
      <c r="C174" s="18" t="str">
        <f>IF(ISBLANK($L174),"",_xlfn.XLOOKUP($L174,'CENTRO CUSTO'!$A:$A,'CENTRO CUSTO'!F:F,FALSE,0))</f>
        <v>LATAM</v>
      </c>
      <c r="D174" s="111" t="str">
        <f>IF(ISBLANK($L174),"",_xlfn.XLOOKUP($L174,'CENTRO CUSTO'!$A:$A,'CENTRO CUSTO'!G:G,FALSE,0))</f>
        <v>Corporativo</v>
      </c>
      <c r="E174" s="18" t="str">
        <f>IF(ISBLANK($L174),"",_xlfn.XLOOKUP($L174,'CENTRO CUSTO'!$A:$A,'CENTRO CUSTO'!H:H,FALSE,0))</f>
        <v>G&amp;A</v>
      </c>
      <c r="F174" s="10" t="s">
        <v>179</v>
      </c>
      <c r="G174" s="10" t="s">
        <v>123</v>
      </c>
      <c r="H174" s="10" t="s">
        <v>180</v>
      </c>
      <c r="I174" s="11" t="s">
        <v>84</v>
      </c>
      <c r="J174" s="11" t="s">
        <v>181</v>
      </c>
      <c r="K174" s="11" t="s">
        <v>121</v>
      </c>
      <c r="L174" s="11" t="s">
        <v>96</v>
      </c>
      <c r="M174" s="18" t="str">
        <f>IF(ISBLANK($L174),"",_xlfn.XLOOKUP($L174,'CENTRO CUSTO'!$A:$A,'CENTRO CUSTO'!D:D,FALSE,0))</f>
        <v>Jimmy Espinosa</v>
      </c>
      <c r="N174" s="11" t="s">
        <v>91</v>
      </c>
      <c r="O174" s="12"/>
      <c r="P174" s="11" t="s">
        <v>81</v>
      </c>
      <c r="Q174" s="41">
        <v>0</v>
      </c>
      <c r="R174" s="41">
        <v>0</v>
      </c>
      <c r="S174" s="41">
        <v>2000</v>
      </c>
      <c r="T174" s="41">
        <v>0</v>
      </c>
      <c r="U174" s="41">
        <v>0</v>
      </c>
      <c r="V174" s="41">
        <v>2000</v>
      </c>
      <c r="W174" s="41">
        <v>0</v>
      </c>
      <c r="X174" s="41">
        <v>0</v>
      </c>
      <c r="Y174" s="41">
        <v>2000</v>
      </c>
      <c r="Z174" s="41">
        <v>0</v>
      </c>
      <c r="AA174" s="41">
        <v>0</v>
      </c>
      <c r="AB174" s="41">
        <v>2000</v>
      </c>
      <c r="AC174" s="116">
        <f t="shared" si="73"/>
        <v>8000</v>
      </c>
      <c r="AE174" s="39">
        <f>IF(ISBLANK(Q174),"",IF($P174="BRL",Q174,Q174*Macroindicadores!B$2)/1000)</f>
        <v>0</v>
      </c>
      <c r="AF174" s="39">
        <f>IF(ISBLANK(R174),"",IF($P174="BRL",R174,R174*Macroindicadores!C$2)/1000)</f>
        <v>0</v>
      </c>
      <c r="AG174" s="39">
        <f>IF(ISBLANK(S174),"",IF($P174="BRL",S174,S174*Macroindicadores!D$2)/1000)</f>
        <v>2</v>
      </c>
      <c r="AH174" s="39">
        <f>IF(ISBLANK(T174),"",IF($P174="BRL",T174,T174*Macroindicadores!E$2)/1000)</f>
        <v>0</v>
      </c>
      <c r="AI174" s="39">
        <f>IF(ISBLANK(U174),"",IF($P174="BRL",U174,U174*Macroindicadores!F$2)/1000)</f>
        <v>0</v>
      </c>
      <c r="AJ174" s="39">
        <f>IF(ISBLANK(V174),"",IF($P174="BRL",V174,V174*Macroindicadores!G$2)/1000)</f>
        <v>2</v>
      </c>
      <c r="AK174" s="39">
        <f>IF(ISBLANK(W174),"",IF($P174="BRL",W174,W174*Macroindicadores!H$2)/1000)</f>
        <v>0</v>
      </c>
      <c r="AL174" s="39">
        <f>IF(ISBLANK(X174),"",IF($P174="BRL",X174,X174*Macroindicadores!I$2)/1000)</f>
        <v>0</v>
      </c>
      <c r="AM174" s="39">
        <f>IF(ISBLANK(Y174),"",IF($P174="BRL",Y174,Y174*Macroindicadores!J$2)/1000)</f>
        <v>2</v>
      </c>
      <c r="AN174" s="39">
        <f>IF(ISBLANK(Z174),"",IF($P174="BRL",Z174,Z174*Macroindicadores!K$2)/1000)</f>
        <v>0</v>
      </c>
      <c r="AO174" s="39">
        <f>IF(ISBLANK(AA174),"",IF($P174="BRL",AA174,AA174*Macroindicadores!L$2)/1000)</f>
        <v>0</v>
      </c>
      <c r="AP174" s="39">
        <f>IF(ISBLANK(AB174),"",IF($P174="BRL",AB174,AB174*Macroindicadores!M$2)/1000)</f>
        <v>2</v>
      </c>
      <c r="AQ174" s="40">
        <f t="shared" si="79"/>
        <v>8</v>
      </c>
      <c r="AS174" s="39">
        <f>IF(ISBLANK(Q174),"",IF(ISBLANK($O174),AE174,IF($J174="ANUAL",AE174*(1+Macroindicadores!B$7),IF(AND($I174="NOVO",MONTH($O174)=MONTH(AS$4)),AE174*(1+Macroindicadores!B$7),IF(AND($J174="PONTUAL",MONTH($O174)=MONTH(AS$4)),AE174*(1+Macroindicadores!B$7),IF(AND($J174="PONTUAL",MONTH($O174)&lt;MONTH(AS$4)),MIN(AR174:$AS174),IF(AND($I174="NOVO",MONTH($O174)&gt;MONTH(AS$4)),AE174,IF(MONTH($O174)&gt;MONTH(AS$4),AE174,IF(MONTH($O174)=MONTH(AS$4),AE174*(1+Macroindicadores!B$7),AR174)))))))))</f>
        <v>0</v>
      </c>
      <c r="AT174" s="39">
        <f>IF(ISBLANK(R174),"",IF(ISBLANK($O174),AF174,IF($J174="ANUAL",AF174*(1+Macroindicadores!C$7),IF(AND($I174="NOVO",MONTH($O174)=MONTH(AT$4)),AF174*(1+Macroindicadores!C$7),IF(AND($J174="PONTUAL",MONTH($O174)=MONTH(AT$4)),AF174*(1+Macroindicadores!C$7),IF(AND($J174="PONTUAL",MONTH($O174)&lt;MONTH(AT$4)),MIN($AS174:AS174),IF(AND($I174="NOVO",MONTH($O174)&gt;MONTH(AT$4)),AF174,IF(MONTH($O174)&gt;MONTH(AT$4),AF174,IF(MONTH($O174)=MONTH(AT$4),AF174*(1+Macroindicadores!C$7),AS174)))))))))</f>
        <v>0</v>
      </c>
      <c r="AU174" s="39">
        <f>IF(ISBLANK(S174),"",IF(ISBLANK($O174),AG174,IF($J174="ANUAL",AG174*(1+Macroindicadores!D$7),IF(AND($I174="NOVO",MONTH($O174)=MONTH(AU$4)),AG174*(1+Macroindicadores!D$7),IF(AND($J174="PONTUAL",MONTH($O174)=MONTH(AU$4)),AG174*(1+Macroindicadores!D$7),IF(AND($J174="PONTUAL",MONTH($O174)&lt;MONTH(AU$4)),MIN($AS174:AT174),IF(AND($I174="NOVO",MONTH($O174)&gt;MONTH(AU$4)),AG174,IF(MONTH($O174)&gt;MONTH(AU$4),AG174,IF(MONTH($O174)=MONTH(AU$4),AG174*(1+Macroindicadores!D$7),AT174)))))))))</f>
        <v>2</v>
      </c>
      <c r="AV174" s="39">
        <f>IF(ISBLANK(T174),"",IF(ISBLANK($O174),AH174,IF($J174="ANUAL",AH174*(1+Macroindicadores!E$7),IF(AND($I174="NOVO",MONTH($O174)=MONTH(AV$4)),AH174*(1+Macroindicadores!E$7),IF(AND($J174="PONTUAL",MONTH($O174)=MONTH(AV$4)),AH174*(1+Macroindicadores!E$7),IF(AND($J174="PONTUAL",MONTH($O174)&lt;MONTH(AV$4)),MIN($AS174:AU174),IF(AND($I174="NOVO",MONTH($O174)&gt;MONTH(AV$4)),AH174,IF(MONTH($O174)&gt;MONTH(AV$4),AH174,IF(MONTH($O174)=MONTH(AV$4),AH174*(1+Macroindicadores!E$7),AU174)))))))))</f>
        <v>0</v>
      </c>
      <c r="AW174" s="39">
        <f>IF(ISBLANK(U174),"",IF(ISBLANK($O174),AI174,IF($J174="ANUAL",AI174*(1+Macroindicadores!F$7),IF(AND($I174="NOVO",MONTH($O174)=MONTH(AW$4)),AI174*(1+Macroindicadores!F$7),IF(AND($J174="PONTUAL",MONTH($O174)=MONTH(AW$4)),AI174*(1+Macroindicadores!F$7),IF(AND($J174="PONTUAL",MONTH($O174)&lt;MONTH(AW$4)),MIN($AS174:AV174),IF(AND($I174="NOVO",MONTH($O174)&gt;MONTH(AW$4)),AI174,IF(MONTH($O174)&gt;MONTH(AW$4),AI174,IF(MONTH($O174)=MONTH(AW$4),AI174*(1+Macroindicadores!F$7),AV174)))))))))</f>
        <v>0</v>
      </c>
      <c r="AX174" s="39">
        <f>IF(ISBLANK(V174),"",IF(ISBLANK($O174),AJ174,IF($J174="ANUAL",AJ174*(1+Macroindicadores!G$7),IF(AND($I174="NOVO",MONTH($O174)=MONTH(AX$4)),AJ174*(1+Macroindicadores!G$7),IF(AND($J174="PONTUAL",MONTH($O174)=MONTH(AX$4)),AJ174*(1+Macroindicadores!G$7),IF(AND($J174="PONTUAL",MONTH($O174)&lt;MONTH(AX$4)),MIN($AS174:AW174),IF(AND($I174="NOVO",MONTH($O174)&gt;MONTH(AX$4)),AJ174,IF(MONTH($O174)&gt;MONTH(AX$4),AJ174,IF(MONTH($O174)=MONTH(AX$4),AJ174*(1+Macroindicadores!G$7),AW174)))))))))</f>
        <v>2</v>
      </c>
      <c r="AY174" s="39">
        <f>IF(ISBLANK(W174),"",IF(ISBLANK($O174),AK174,IF($J174="ANUAL",AK174*(1+Macroindicadores!H$7),IF(AND($I174="NOVO",MONTH($O174)=MONTH(AY$4)),AK174*(1+Macroindicadores!H$7),IF(AND($J174="PONTUAL",MONTH($O174)=MONTH(AY$4)),AK174*(1+Macroindicadores!H$7),IF(AND($J174="PONTUAL",MONTH($O174)&lt;MONTH(AY$4)),MIN($AS174:AX174),IF(AND($I174="NOVO",MONTH($O174)&gt;MONTH(AY$4)),AK174,IF(MONTH($O174)&gt;MONTH(AY$4),AK174,IF(MONTH($O174)=MONTH(AY$4),AK174*(1+Macroindicadores!H$7),AX174)))))))))</f>
        <v>0</v>
      </c>
      <c r="AZ174" s="39">
        <f>IF(ISBLANK(X174),"",IF(ISBLANK($O174),AL174,IF($J174="ANUAL",AL174*(1+Macroindicadores!I$7),IF(AND($I174="NOVO",MONTH($O174)=MONTH(AZ$4)),AL174*(1+Macroindicadores!I$7),IF(AND($J174="PONTUAL",MONTH($O174)=MONTH(AZ$4)),AL174*(1+Macroindicadores!I$7),IF(AND($J174="PONTUAL",MONTH($O174)&lt;MONTH(AZ$4)),MIN($AS174:AY174),IF(AND($I174="NOVO",MONTH($O174)&gt;MONTH(AZ$4)),AL174,IF(MONTH($O174)&gt;MONTH(AZ$4),AL174,IF(MONTH($O174)=MONTH(AZ$4),AL174*(1+Macroindicadores!I$7),AY174)))))))))</f>
        <v>0</v>
      </c>
      <c r="BA174" s="39">
        <f>IF(ISBLANK(Y174),"",IF(ISBLANK($O174),AM174,IF($J174="ANUAL",AM174*(1+Macroindicadores!J$7),IF(AND($I174="NOVO",MONTH($O174)=MONTH(BA$4)),AM174*(1+Macroindicadores!J$7),IF(AND($J174="PONTUAL",MONTH($O174)=MONTH(BA$4)),AM174*(1+Macroindicadores!J$7),IF(AND($J174="PONTUAL",MONTH($O174)&lt;MONTH(BA$4)),MIN($AS174:AZ174),IF(AND($I174="NOVO",MONTH($O174)&gt;MONTH(BA$4)),AM174,IF(MONTH($O174)&gt;MONTH(BA$4),AM174,IF(MONTH($O174)=MONTH(BA$4),AM174*(1+Macroindicadores!J$7),AZ174)))))))))</f>
        <v>2</v>
      </c>
      <c r="BB174" s="39">
        <f>IF(ISBLANK(Z174),"",IF(ISBLANK($O174),AN174,IF($J174="ANUAL",AN174*(1+Macroindicadores!K$7),IF(AND($I174="NOVO",MONTH($O174)=MONTH(BB$4)),AN174*(1+Macroindicadores!K$7),IF(AND($J174="PONTUAL",MONTH($O174)=MONTH(BB$4)),AN174*(1+Macroindicadores!K$7),IF(AND($J174="PONTUAL",MONTH($O174)&lt;MONTH(BB$4)),MIN($AS174:BA174),IF(AND($I174="NOVO",MONTH($O174)&gt;MONTH(BB$4)),AN174,IF(MONTH($O174)&gt;MONTH(BB$4),AN174,IF(MONTH($O174)=MONTH(BB$4),AN174*(1+Macroindicadores!K$7),BA174)))))))))</f>
        <v>0</v>
      </c>
      <c r="BC174" s="39">
        <f>IF(ISBLANK(AA174),"",IF(ISBLANK($O174),AO174,IF($J174="ANUAL",AO174*(1+Macroindicadores!L$7),IF(AND($I174="NOVO",MONTH($O174)=MONTH(BC$4)),AO174*(1+Macroindicadores!L$7),IF(AND($J174="PONTUAL",MONTH($O174)=MONTH(BC$4)),AO174*(1+Macroindicadores!L$7),IF(AND($J174="PONTUAL",MONTH($O174)&lt;MONTH(BC$4)),MIN($AS174:BB174),IF(AND($I174="NOVO",MONTH($O174)&gt;MONTH(BC$4)),AO174,IF(MONTH($O174)&gt;MONTH(BC$4),AO174,IF(MONTH($O174)=MONTH(BC$4),AO174*(1+Macroindicadores!L$7),BB174)))))))))</f>
        <v>0</v>
      </c>
      <c r="BD174" s="39">
        <f>IF(ISBLANK(AB174),"",IF(ISBLANK($O174),AP174,IF($J174="ANUAL",AP174*(1+Macroindicadores!M$7),IF(AND($I174="NOVO",MONTH($O174)=MONTH(BD$4)),AP174*(1+Macroindicadores!M$7),IF(AND($J174="PONTUAL",MONTH($O174)=MONTH(BD$4)),AP174*(1+Macroindicadores!M$7),IF(AND($J174="PONTUAL",MONTH($O174)&lt;MONTH(BD$4)),MIN($AS174:BC174),IF(AND($I174="NOVO",MONTH($O174)&gt;MONTH(BD$4)),AP174,IF(MONTH($O174)&gt;MONTH(BD$4),AP174,IF(MONTH($O174)=MONTH(BD$4),AP174*(1+Macroindicadores!M$7),BC174)))))))))</f>
        <v>2</v>
      </c>
      <c r="BE174" s="40">
        <f t="shared" si="78"/>
        <v>8</v>
      </c>
      <c r="BG174" s="39">
        <f>IF(ISBLANK(Q174),"",AS174/Macroindicadores!B$2)</f>
        <v>0</v>
      </c>
      <c r="BH174" s="39">
        <f>IF(ISBLANK(R174),"",AT174/Macroindicadores!C$2)</f>
        <v>0</v>
      </c>
      <c r="BI174" s="39">
        <f>IF(ISBLANK(S174),"",AU174/Macroindicadores!D$2)</f>
        <v>0.3401360544217687</v>
      </c>
      <c r="BJ174" s="39">
        <f>IF(ISBLANK(T174),"",AV174/Macroindicadores!E$2)</f>
        <v>0</v>
      </c>
      <c r="BK174" s="39">
        <f>IF(ISBLANK(U174),"",AW174/Macroindicadores!F$2)</f>
        <v>0</v>
      </c>
      <c r="BL174" s="39">
        <f>IF(ISBLANK(V174),"",AX174/Macroindicadores!G$2)</f>
        <v>0.3401360544217687</v>
      </c>
      <c r="BM174" s="39">
        <f>IF(ISBLANK(W174),"",AY174/Macroindicadores!H$2)</f>
        <v>0</v>
      </c>
      <c r="BN174" s="39">
        <f>IF(ISBLANK(X174),"",AZ174/Macroindicadores!I$2)</f>
        <v>0</v>
      </c>
      <c r="BO174" s="39">
        <f>IF(ISBLANK(Y174),"",BA174/Macroindicadores!J$2)</f>
        <v>0.3401360544217687</v>
      </c>
      <c r="BP174" s="39">
        <f>IF(ISBLANK(Z174),"",BB174/Macroindicadores!K$2)</f>
        <v>0</v>
      </c>
      <c r="BQ174" s="39">
        <f>IF(ISBLANK(AA174),"",BC174/Macroindicadores!L$2)</f>
        <v>0</v>
      </c>
      <c r="BR174" s="39">
        <f>IF(ISBLANK(AB174),"",BD174/Macroindicadores!M$2)</f>
        <v>0.3401360544217687</v>
      </c>
      <c r="BS174" s="40">
        <f>IF(AND(ISBLANK($Q174),ISBLANK($R174),ISBLANK($S174),ISBLANK($T174),ISBLANK($U174),ISBLANK($V174),ISBLANK($W174),ISBLANK($X174),ISBLANK($Y174),ISBLANK($Z174),ISBLANK($AA174),ISBLANK($AB174)),"",SUM(BG174:BR174))</f>
        <v>1.3605442176870748</v>
      </c>
      <c r="BT174" s="25" t="str">
        <f>IF(ISBLANK($L174),"",_xlfn.XLOOKUP($L174,'CENTRO CUSTO'!$A:$A,'CENTRO CUSTO'!$E:$E,FALSE,0))</f>
        <v>G&amp;A CP</v>
      </c>
    </row>
    <row r="175" spans="1:72">
      <c r="A175" s="9" t="str">
        <f t="shared" si="80"/>
        <v>Budget</v>
      </c>
      <c r="B175" s="9">
        <f t="shared" si="77"/>
        <v>2026</v>
      </c>
      <c r="C175" s="18" t="str">
        <f>IF(ISBLANK($L175),"",_xlfn.XLOOKUP($L175,'CENTRO CUSTO'!$A:$A,'CENTRO CUSTO'!F:F,FALSE,0))</f>
        <v>Transporte</v>
      </c>
      <c r="D175" s="111" t="str">
        <f>IF(ISBLANK($L175),"",_xlfn.XLOOKUP($L175,'CENTRO CUSTO'!$A:$A,'CENTRO CUSTO'!G:G,FALSE,0))</f>
        <v>BU-TR</v>
      </c>
      <c r="E175" s="18" t="str">
        <f>IF(ISBLANK($L175),"",_xlfn.XLOOKUP($L175,'CENTRO CUSTO'!$A:$A,'CENTRO CUSTO'!H:H,FALSE,0))</f>
        <v>G&amp;A</v>
      </c>
      <c r="F175" s="10" t="s">
        <v>183</v>
      </c>
      <c r="G175" s="10" t="s">
        <v>123</v>
      </c>
      <c r="H175" s="10" t="s">
        <v>184</v>
      </c>
      <c r="I175" s="11" t="s">
        <v>77</v>
      </c>
      <c r="J175" s="11" t="s">
        <v>78</v>
      </c>
      <c r="K175" s="11" t="s">
        <v>79</v>
      </c>
      <c r="L175" s="11" t="s">
        <v>38</v>
      </c>
      <c r="M175" s="18" t="str">
        <f>IF(ISBLANK($L175),"",_xlfn.XLOOKUP($L175,'CENTRO CUSTO'!$A:$A,'CENTRO CUSTO'!D:D,FALSE,0))</f>
        <v>Alexandre Ayabe</v>
      </c>
      <c r="N175" s="11" t="s">
        <v>87</v>
      </c>
      <c r="O175" s="12"/>
      <c r="P175" s="11" t="s">
        <v>81</v>
      </c>
      <c r="Q175" s="41">
        <v>0</v>
      </c>
      <c r="R175" s="41">
        <v>0</v>
      </c>
      <c r="S175" s="41">
        <v>0</v>
      </c>
      <c r="T175" s="41">
        <v>0</v>
      </c>
      <c r="U175" s="41">
        <v>0</v>
      </c>
      <c r="V175" s="41">
        <v>0</v>
      </c>
      <c r="W175" s="41">
        <v>0</v>
      </c>
      <c r="X175" s="41">
        <v>0</v>
      </c>
      <c r="Y175" s="41">
        <v>0</v>
      </c>
      <c r="Z175" s="41">
        <v>0</v>
      </c>
      <c r="AA175" s="41">
        <v>0</v>
      </c>
      <c r="AB175" s="41">
        <v>0</v>
      </c>
      <c r="AC175" s="116">
        <f t="shared" ref="AC175:AC176" si="81">IF(AND(ISBLANK($Q175),ISBLANK($R175),ISBLANK($S175),ISBLANK($T175),ISBLANK($U175),ISBLANK($V175),ISBLANK($W175),ISBLANK($X175),ISBLANK($Y175),ISBLANK($Z175),ISBLANK($AA175),ISBLANK($AB175)),"",SUM(Q175:AB175))</f>
        <v>0</v>
      </c>
      <c r="AE175" s="39">
        <f>IF(ISBLANK(Q175),"",IF($P175="BRL",Q175,Q175*Macroindicadores!B$2)/1000)</f>
        <v>0</v>
      </c>
      <c r="AF175" s="39">
        <f>IF(ISBLANK(R175),"",IF($P175="BRL",R175,R175*Macroindicadores!C$2)/1000)</f>
        <v>0</v>
      </c>
      <c r="AG175" s="39">
        <f>IF(ISBLANK(S175),"",IF($P175="BRL",S175,S175*Macroindicadores!D$2)/1000)</f>
        <v>0</v>
      </c>
      <c r="AH175" s="39">
        <f>IF(ISBLANK(T175),"",IF($P175="BRL",T175,T175*Macroindicadores!E$2)/1000)</f>
        <v>0</v>
      </c>
      <c r="AI175" s="39">
        <f>IF(ISBLANK(U175),"",IF($P175="BRL",U175,U175*Macroindicadores!F$2)/1000)</f>
        <v>0</v>
      </c>
      <c r="AJ175" s="39">
        <f>IF(ISBLANK(V175),"",IF($P175="BRL",V175,V175*Macroindicadores!G$2)/1000)</f>
        <v>0</v>
      </c>
      <c r="AK175" s="39">
        <f>IF(ISBLANK(W175),"",IF($P175="BRL",W175,W175*Macroindicadores!H$2)/1000)</f>
        <v>0</v>
      </c>
      <c r="AL175" s="39">
        <f>IF(ISBLANK(X175),"",IF($P175="BRL",X175,X175*Macroindicadores!I$2)/1000)</f>
        <v>0</v>
      </c>
      <c r="AM175" s="39">
        <f>IF(ISBLANK(Y175),"",IF($P175="BRL",Y175,Y175*Macroindicadores!J$2)/1000)</f>
        <v>0</v>
      </c>
      <c r="AN175" s="39">
        <f>IF(ISBLANK(Z175),"",IF($P175="BRL",Z175,Z175*Macroindicadores!K$2)/1000)</f>
        <v>0</v>
      </c>
      <c r="AO175" s="39">
        <f>IF(ISBLANK(AA175),"",IF($P175="BRL",AA175,AA175*Macroindicadores!L$2)/1000)</f>
        <v>0</v>
      </c>
      <c r="AP175" s="39">
        <f>IF(ISBLANK(AB175),"",IF($P175="BRL",AB175,AB175*Macroindicadores!M$2)/1000)</f>
        <v>0</v>
      </c>
      <c r="AQ175" s="40">
        <f t="shared" ref="AQ175:AQ176" si="82">IF(AND(ISBLANK($Q175),ISBLANK($R175),ISBLANK($S175),ISBLANK($T175),ISBLANK($U175),ISBLANK($V175),ISBLANK($W175),ISBLANK($X175),ISBLANK($Y175),ISBLANK($Z175),ISBLANK($AA175),ISBLANK($AB175)),"",SUM(AE175:AP175))</f>
        <v>0</v>
      </c>
      <c r="AS175" s="39">
        <f>IF(ISBLANK(Q175),"",IF(ISBLANK($O175),AE175,IF($J175="ANUAL",AE175*(1+Macroindicadores!B$7),IF(AND($I175="NOVO",MONTH($O175)=MONTH(AS$4)),AE175*(1+Macroindicadores!B$7),IF(AND($J175="PONTUAL",MONTH($O175)=MONTH(AS$4)),AE175*(1+Macroindicadores!B$7),IF(AND($J175="PONTUAL",MONTH($O175)&lt;MONTH(AS$4)),MIN(AR175:$AS175),IF(AND($I175="NOVO",MONTH($O175)&gt;MONTH(AS$4)),AE175,IF(MONTH($O175)&gt;MONTH(AS$4),AE175,IF(MONTH($O175)=MONTH(AS$4),AE175*(1+Macroindicadores!B$7),AR175)))))))))</f>
        <v>0</v>
      </c>
      <c r="AT175" s="39">
        <f>IF(ISBLANK(R175),"",IF(ISBLANK($O175),AF175,IF($J175="ANUAL",AF175*(1+Macroindicadores!C$7),IF(AND($I175="NOVO",MONTH($O175)=MONTH(AT$4)),AF175*(1+Macroindicadores!C$7),IF(AND($J175="PONTUAL",MONTH($O175)=MONTH(AT$4)),AF175*(1+Macroindicadores!C$7),IF(AND($J175="PONTUAL",MONTH($O175)&lt;MONTH(AT$4)),MIN($AS175:AS175),IF(AND($I175="NOVO",MONTH($O175)&gt;MONTH(AT$4)),AF175,IF(MONTH($O175)&gt;MONTH(AT$4),AF175,IF(MONTH($O175)=MONTH(AT$4),AF175*(1+Macroindicadores!C$7),AS175)))))))))</f>
        <v>0</v>
      </c>
      <c r="AU175" s="39">
        <f>IF(ISBLANK(S175),"",IF(ISBLANK($O175),AG175,IF($J175="ANUAL",AG175*(1+Macroindicadores!D$7),IF(AND($I175="NOVO",MONTH($O175)=MONTH(AU$4)),AG175*(1+Macroindicadores!D$7),IF(AND($J175="PONTUAL",MONTH($O175)=MONTH(AU$4)),AG175*(1+Macroindicadores!D$7),IF(AND($J175="PONTUAL",MONTH($O175)&lt;MONTH(AU$4)),MIN($AS175:AT175),IF(AND($I175="NOVO",MONTH($O175)&gt;MONTH(AU$4)),AG175,IF(MONTH($O175)&gt;MONTH(AU$4),AG175,IF(MONTH($O175)=MONTH(AU$4),AG175*(1+Macroindicadores!D$7),AT175)))))))))</f>
        <v>0</v>
      </c>
      <c r="AV175" s="39">
        <f>IF(ISBLANK(T175),"",IF(ISBLANK($O175),AH175,IF($J175="ANUAL",AH175*(1+Macroindicadores!E$7),IF(AND($I175="NOVO",MONTH($O175)=MONTH(AV$4)),AH175*(1+Macroindicadores!E$7),IF(AND($J175="PONTUAL",MONTH($O175)=MONTH(AV$4)),AH175*(1+Macroindicadores!E$7),IF(AND($J175="PONTUAL",MONTH($O175)&lt;MONTH(AV$4)),MIN($AS175:AU175),IF(AND($I175="NOVO",MONTH($O175)&gt;MONTH(AV$4)),AH175,IF(MONTH($O175)&gt;MONTH(AV$4),AH175,IF(MONTH($O175)=MONTH(AV$4),AH175*(1+Macroindicadores!E$7),AU175)))))))))</f>
        <v>0</v>
      </c>
      <c r="AW175" s="39">
        <f>IF(ISBLANK(U175),"",IF(ISBLANK($O175),AI175,IF($J175="ANUAL",AI175*(1+Macroindicadores!F$7),IF(AND($I175="NOVO",MONTH($O175)=MONTH(AW$4)),AI175*(1+Macroindicadores!F$7),IF(AND($J175="PONTUAL",MONTH($O175)=MONTH(AW$4)),AI175*(1+Macroindicadores!F$7),IF(AND($J175="PONTUAL",MONTH($O175)&lt;MONTH(AW$4)),MIN($AS175:AV175),IF(AND($I175="NOVO",MONTH($O175)&gt;MONTH(AW$4)),AI175,IF(MONTH($O175)&gt;MONTH(AW$4),AI175,IF(MONTH($O175)=MONTH(AW$4),AI175*(1+Macroindicadores!F$7),AV175)))))))))</f>
        <v>0</v>
      </c>
      <c r="AX175" s="39">
        <f>IF(ISBLANK(V175),"",IF(ISBLANK($O175),AJ175,IF($J175="ANUAL",AJ175*(1+Macroindicadores!G$7),IF(AND($I175="NOVO",MONTH($O175)=MONTH(AX$4)),AJ175*(1+Macroindicadores!G$7),IF(AND($J175="PONTUAL",MONTH($O175)=MONTH(AX$4)),AJ175*(1+Macroindicadores!G$7),IF(AND($J175="PONTUAL",MONTH($O175)&lt;MONTH(AX$4)),MIN($AS175:AW175),IF(AND($I175="NOVO",MONTH($O175)&gt;MONTH(AX$4)),AJ175,IF(MONTH($O175)&gt;MONTH(AX$4),AJ175,IF(MONTH($O175)=MONTH(AX$4),AJ175*(1+Macroindicadores!G$7),AW175)))))))))</f>
        <v>0</v>
      </c>
      <c r="AY175" s="39">
        <f>IF(ISBLANK(W175),"",IF(ISBLANK($O175),AK175,IF($J175="ANUAL",AK175*(1+Macroindicadores!H$7),IF(AND($I175="NOVO",MONTH($O175)=MONTH(AY$4)),AK175*(1+Macroindicadores!H$7),IF(AND($J175="PONTUAL",MONTH($O175)=MONTH(AY$4)),AK175*(1+Macroindicadores!H$7),IF(AND($J175="PONTUAL",MONTH($O175)&lt;MONTH(AY$4)),MIN($AS175:AX175),IF(AND($I175="NOVO",MONTH($O175)&gt;MONTH(AY$4)),AK175,IF(MONTH($O175)&gt;MONTH(AY$4),AK175,IF(MONTH($O175)=MONTH(AY$4),AK175*(1+Macroindicadores!H$7),AX175)))))))))</f>
        <v>0</v>
      </c>
      <c r="AZ175" s="39">
        <f>IF(ISBLANK(X175),"",IF(ISBLANK($O175),AL175,IF($J175="ANUAL",AL175*(1+Macroindicadores!I$7),IF(AND($I175="NOVO",MONTH($O175)=MONTH(AZ$4)),AL175*(1+Macroindicadores!I$7),IF(AND($J175="PONTUAL",MONTH($O175)=MONTH(AZ$4)),AL175*(1+Macroindicadores!I$7),IF(AND($J175="PONTUAL",MONTH($O175)&lt;MONTH(AZ$4)),MIN($AS175:AY175),IF(AND($I175="NOVO",MONTH($O175)&gt;MONTH(AZ$4)),AL175,IF(MONTH($O175)&gt;MONTH(AZ$4),AL175,IF(MONTH($O175)=MONTH(AZ$4),AL175*(1+Macroindicadores!I$7),AY175)))))))))</f>
        <v>0</v>
      </c>
      <c r="BA175" s="39">
        <f>IF(ISBLANK(Y175),"",IF(ISBLANK($O175),AM175,IF($J175="ANUAL",AM175*(1+Macroindicadores!J$7),IF(AND($I175="NOVO",MONTH($O175)=MONTH(BA$4)),AM175*(1+Macroindicadores!J$7),IF(AND($J175="PONTUAL",MONTH($O175)=MONTH(BA$4)),AM175*(1+Macroindicadores!J$7),IF(AND($J175="PONTUAL",MONTH($O175)&lt;MONTH(BA$4)),MIN($AS175:AZ175),IF(AND($I175="NOVO",MONTH($O175)&gt;MONTH(BA$4)),AM175,IF(MONTH($O175)&gt;MONTH(BA$4),AM175,IF(MONTH($O175)=MONTH(BA$4),AM175*(1+Macroindicadores!J$7),AZ175)))))))))</f>
        <v>0</v>
      </c>
      <c r="BB175" s="39">
        <f>IF(ISBLANK(Z175),"",IF(ISBLANK($O175),AN175,IF($J175="ANUAL",AN175*(1+Macroindicadores!K$7),IF(AND($I175="NOVO",MONTH($O175)=MONTH(BB$4)),AN175*(1+Macroindicadores!K$7),IF(AND($J175="PONTUAL",MONTH($O175)=MONTH(BB$4)),AN175*(1+Macroindicadores!K$7),IF(AND($J175="PONTUAL",MONTH($O175)&lt;MONTH(BB$4)),MIN($AS175:BA175),IF(AND($I175="NOVO",MONTH($O175)&gt;MONTH(BB$4)),AN175,IF(MONTH($O175)&gt;MONTH(BB$4),AN175,IF(MONTH($O175)=MONTH(BB$4),AN175*(1+Macroindicadores!K$7),BA175)))))))))</f>
        <v>0</v>
      </c>
      <c r="BC175" s="39">
        <f>IF(ISBLANK(AA175),"",IF(ISBLANK($O175),AO175,IF($J175="ANUAL",AO175*(1+Macroindicadores!L$7),IF(AND($I175="NOVO",MONTH($O175)=MONTH(BC$4)),AO175*(1+Macroindicadores!L$7),IF(AND($J175="PONTUAL",MONTH($O175)=MONTH(BC$4)),AO175*(1+Macroindicadores!L$7),IF(AND($J175="PONTUAL",MONTH($O175)&lt;MONTH(BC$4)),MIN($AS175:BB175),IF(AND($I175="NOVO",MONTH($O175)&gt;MONTH(BC$4)),AO175,IF(MONTH($O175)&gt;MONTH(BC$4),AO175,IF(MONTH($O175)=MONTH(BC$4),AO175*(1+Macroindicadores!L$7),BB175)))))))))</f>
        <v>0</v>
      </c>
      <c r="BD175" s="39">
        <f>IF(ISBLANK(AB175),"",IF(ISBLANK($O175),AP175,IF($J175="ANUAL",AP175*(1+Macroindicadores!M$7),IF(AND($I175="NOVO",MONTH($O175)=MONTH(BD$4)),AP175*(1+Macroindicadores!M$7),IF(AND($J175="PONTUAL",MONTH($O175)=MONTH(BD$4)),AP175*(1+Macroindicadores!M$7),IF(AND($J175="PONTUAL",MONTH($O175)&lt;MONTH(BD$4)),MIN($AS175:BC175),IF(AND($I175="NOVO",MONTH($O175)&gt;MONTH(BD$4)),AP175,IF(MONTH($O175)&gt;MONTH(BD$4),AP175,IF(MONTH($O175)=MONTH(BD$4),AP175*(1+Macroindicadores!M$7),BC175)))))))))</f>
        <v>0</v>
      </c>
      <c r="BE175" s="40">
        <f t="shared" ref="BE175:BE176" si="83">IF(AND(ISBLANK($Q175),ISBLANK($R175),ISBLANK($S175),ISBLANK($T175),ISBLANK($U175),ISBLANK($V175),ISBLANK($W175),ISBLANK($X175),ISBLANK($Y175),ISBLANK($Z175),ISBLANK($AA175),ISBLANK($AB175)),"",SUM(AS175:BD175))</f>
        <v>0</v>
      </c>
      <c r="BG175" s="39">
        <f>IF(ISBLANK(Q175),"",AS175/Macroindicadores!B$2)</f>
        <v>0</v>
      </c>
      <c r="BH175" s="39">
        <f>IF(ISBLANK(R175),"",AT175/Macroindicadores!C$2)</f>
        <v>0</v>
      </c>
      <c r="BI175" s="39">
        <f>IF(ISBLANK(S175),"",AU175/Macroindicadores!D$2)</f>
        <v>0</v>
      </c>
      <c r="BJ175" s="39">
        <f>IF(ISBLANK(T175),"",AV175/Macroindicadores!E$2)</f>
        <v>0</v>
      </c>
      <c r="BK175" s="39">
        <f>IF(ISBLANK(U175),"",AW175/Macroindicadores!F$2)</f>
        <v>0</v>
      </c>
      <c r="BL175" s="39">
        <f>IF(ISBLANK(V175),"",AX175/Macroindicadores!G$2)</f>
        <v>0</v>
      </c>
      <c r="BM175" s="39">
        <f>IF(ISBLANK(W175),"",AY175/Macroindicadores!H$2)</f>
        <v>0</v>
      </c>
      <c r="BN175" s="39">
        <f>IF(ISBLANK(X175),"",AZ175/Macroindicadores!I$2)</f>
        <v>0</v>
      </c>
      <c r="BO175" s="39">
        <f>IF(ISBLANK(Y175),"",BA175/Macroindicadores!J$2)</f>
        <v>0</v>
      </c>
      <c r="BP175" s="39">
        <f>IF(ISBLANK(Z175),"",BB175/Macroindicadores!K$2)</f>
        <v>0</v>
      </c>
      <c r="BQ175" s="39">
        <f>IF(ISBLANK(AA175),"",BC175/Macroindicadores!L$2)</f>
        <v>0</v>
      </c>
      <c r="BR175" s="39">
        <f>IF(ISBLANK(AB175),"",BD175/Macroindicadores!M$2)</f>
        <v>0</v>
      </c>
      <c r="BS175" s="40">
        <f>IF(AND(ISBLANK($Q175),ISBLANK($R175),ISBLANK($S175),ISBLANK($T175),ISBLANK($U175),ISBLANK($V175),ISBLANK($W175),ISBLANK($X175),ISBLANK($Y175),ISBLANK($Z175),ISBLANK($AA175),ISBLANK($AB175)),"",SUM(BG175:BR175))</f>
        <v>0</v>
      </c>
      <c r="BT175" s="25" t="str">
        <f>IF(ISBLANK($L175),"",_xlfn.XLOOKUP($L175,'CENTRO CUSTO'!$A:$A,'CENTRO CUSTO'!$E:$E,FALSE,0))</f>
        <v>G&amp;A BU</v>
      </c>
    </row>
    <row r="176" spans="1:72">
      <c r="A176" s="9" t="str">
        <f t="shared" si="80"/>
        <v>Budget</v>
      </c>
      <c r="B176" s="9">
        <f t="shared" si="77"/>
        <v>2026</v>
      </c>
      <c r="C176" s="18" t="str">
        <f>IF(ISBLANK($L176),"",_xlfn.XLOOKUP($L176,'CENTRO CUSTO'!$A:$A,'CENTRO CUSTO'!F:F,FALSE,0))</f>
        <v>Martini Meat</v>
      </c>
      <c r="D176" s="111" t="str">
        <f>IF(ISBLANK($L176),"",_xlfn.XLOOKUP($L176,'CENTRO CUSTO'!$A:$A,'CENTRO CUSTO'!G:G,FALSE,0))</f>
        <v>BU-MMAZ</v>
      </c>
      <c r="E176" s="18" t="str">
        <f>IF(ISBLANK($L176),"",_xlfn.XLOOKUP($L176,'CENTRO CUSTO'!$A:$A,'CENTRO CUSTO'!H:H,FALSE,0))</f>
        <v>G&amp;A</v>
      </c>
      <c r="F176" s="10" t="s">
        <v>183</v>
      </c>
      <c r="G176" s="10" t="s">
        <v>123</v>
      </c>
      <c r="H176" s="10" t="s">
        <v>184</v>
      </c>
      <c r="I176" s="11" t="s">
        <v>77</v>
      </c>
      <c r="J176" s="11" t="s">
        <v>78</v>
      </c>
      <c r="K176" s="11" t="s">
        <v>79</v>
      </c>
      <c r="L176" s="11" t="s">
        <v>35</v>
      </c>
      <c r="M176" s="18" t="str">
        <f>IF(ISBLANK($L176),"",_xlfn.XLOOKUP($L176,'CENTRO CUSTO'!$A:$A,'CENTRO CUSTO'!D:D,FALSE,0))</f>
        <v>Alexandre Ayabe</v>
      </c>
      <c r="N176" s="11" t="s">
        <v>87</v>
      </c>
      <c r="O176" s="12"/>
      <c r="P176" s="11" t="s">
        <v>81</v>
      </c>
      <c r="Q176" s="41">
        <v>2000</v>
      </c>
      <c r="R176" s="41">
        <v>2000</v>
      </c>
      <c r="S176" s="41">
        <v>2000</v>
      </c>
      <c r="T176" s="41">
        <v>2000</v>
      </c>
      <c r="U176" s="41">
        <v>2000</v>
      </c>
      <c r="V176" s="41">
        <v>2000</v>
      </c>
      <c r="W176" s="41">
        <v>2000</v>
      </c>
      <c r="X176" s="41">
        <v>2000</v>
      </c>
      <c r="Y176" s="41">
        <v>2000</v>
      </c>
      <c r="Z176" s="41">
        <v>2000</v>
      </c>
      <c r="AA176" s="41">
        <v>2000</v>
      </c>
      <c r="AB176" s="41">
        <v>2000</v>
      </c>
      <c r="AC176" s="116">
        <f t="shared" si="81"/>
        <v>24000</v>
      </c>
      <c r="AE176" s="39">
        <f>IF(ISBLANK(Q176),"",IF($P176="BRL",Q176,Q176*Macroindicadores!B$2)/1000)</f>
        <v>2</v>
      </c>
      <c r="AF176" s="39">
        <f>IF(ISBLANK(R176),"",IF($P176="BRL",R176,R176*Macroindicadores!C$2)/1000)</f>
        <v>2</v>
      </c>
      <c r="AG176" s="39">
        <f>IF(ISBLANK(S176),"",IF($P176="BRL",S176,S176*Macroindicadores!D$2)/1000)</f>
        <v>2</v>
      </c>
      <c r="AH176" s="39">
        <f>IF(ISBLANK(T176),"",IF($P176="BRL",T176,T176*Macroindicadores!E$2)/1000)</f>
        <v>2</v>
      </c>
      <c r="AI176" s="39">
        <f>IF(ISBLANK(U176),"",IF($P176="BRL",U176,U176*Macroindicadores!F$2)/1000)</f>
        <v>2</v>
      </c>
      <c r="AJ176" s="39">
        <f>IF(ISBLANK(V176),"",IF($P176="BRL",V176,V176*Macroindicadores!G$2)/1000)</f>
        <v>2</v>
      </c>
      <c r="AK176" s="39">
        <f>IF(ISBLANK(W176),"",IF($P176="BRL",W176,W176*Macroindicadores!H$2)/1000)</f>
        <v>2</v>
      </c>
      <c r="AL176" s="39">
        <f>IF(ISBLANK(X176),"",IF($P176="BRL",X176,X176*Macroindicadores!I$2)/1000)</f>
        <v>2</v>
      </c>
      <c r="AM176" s="39">
        <f>IF(ISBLANK(Y176),"",IF($P176="BRL",Y176,Y176*Macroindicadores!J$2)/1000)</f>
        <v>2</v>
      </c>
      <c r="AN176" s="39">
        <f>IF(ISBLANK(Z176),"",IF($P176="BRL",Z176,Z176*Macroindicadores!K$2)/1000)</f>
        <v>2</v>
      </c>
      <c r="AO176" s="39">
        <f>IF(ISBLANK(AA176),"",IF($P176="BRL",AA176,AA176*Macroindicadores!L$2)/1000)</f>
        <v>2</v>
      </c>
      <c r="AP176" s="39">
        <f>IF(ISBLANK(AB176),"",IF($P176="BRL",AB176,AB176*Macroindicadores!M$2)/1000)</f>
        <v>2</v>
      </c>
      <c r="AQ176" s="40">
        <f t="shared" si="82"/>
        <v>24</v>
      </c>
      <c r="AS176" s="39">
        <f>IF(ISBLANK(Q176),"",IF(ISBLANK($O176),AE176,IF($J176="ANUAL",AE176*(1+Macroindicadores!B$7),IF(AND($I176="NOVO",MONTH($O176)=MONTH(AS$4)),AE176*(1+Macroindicadores!B$7),IF(AND($J176="PONTUAL",MONTH($O176)=MONTH(AS$4)),AE176*(1+Macroindicadores!B$7),IF(AND($J176="PONTUAL",MONTH($O176)&lt;MONTH(AS$4)),MIN(AR176:$AS176),IF(AND($I176="NOVO",MONTH($O176)&gt;MONTH(AS$4)),AE176,IF(MONTH($O176)&gt;MONTH(AS$4),AE176,IF(MONTH($O176)=MONTH(AS$4),AE176*(1+Macroindicadores!B$7),AR176)))))))))</f>
        <v>2</v>
      </c>
      <c r="AT176" s="39">
        <f>IF(ISBLANK(R176),"",IF(ISBLANK($O176),AF176,IF($J176="ANUAL",AF176*(1+Macroindicadores!C$7),IF(AND($I176="NOVO",MONTH($O176)=MONTH(AT$4)),AF176*(1+Macroindicadores!C$7),IF(AND($J176="PONTUAL",MONTH($O176)=MONTH(AT$4)),AF176*(1+Macroindicadores!C$7),IF(AND($J176="PONTUAL",MONTH($O176)&lt;MONTH(AT$4)),MIN($AS176:AS176),IF(AND($I176="NOVO",MONTH($O176)&gt;MONTH(AT$4)),AF176,IF(MONTH($O176)&gt;MONTH(AT$4),AF176,IF(MONTH($O176)=MONTH(AT$4),AF176*(1+Macroindicadores!C$7),AS176)))))))))</f>
        <v>2</v>
      </c>
      <c r="AU176" s="39">
        <f>IF(ISBLANK(S176),"",IF(ISBLANK($O176),AG176,IF($J176="ANUAL",AG176*(1+Macroindicadores!D$7),IF(AND($I176="NOVO",MONTH($O176)=MONTH(AU$4)),AG176*(1+Macroindicadores!D$7),IF(AND($J176="PONTUAL",MONTH($O176)=MONTH(AU$4)),AG176*(1+Macroindicadores!D$7),IF(AND($J176="PONTUAL",MONTH($O176)&lt;MONTH(AU$4)),MIN($AS176:AT176),IF(AND($I176="NOVO",MONTH($O176)&gt;MONTH(AU$4)),AG176,IF(MONTH($O176)&gt;MONTH(AU$4),AG176,IF(MONTH($O176)=MONTH(AU$4),AG176*(1+Macroindicadores!D$7),AT176)))))))))</f>
        <v>2</v>
      </c>
      <c r="AV176" s="39">
        <f>IF(ISBLANK(T176),"",IF(ISBLANK($O176),AH176,IF($J176="ANUAL",AH176*(1+Macroindicadores!E$7),IF(AND($I176="NOVO",MONTH($O176)=MONTH(AV$4)),AH176*(1+Macroindicadores!E$7),IF(AND($J176="PONTUAL",MONTH($O176)=MONTH(AV$4)),AH176*(1+Macroindicadores!E$7),IF(AND($J176="PONTUAL",MONTH($O176)&lt;MONTH(AV$4)),MIN($AS176:AU176),IF(AND($I176="NOVO",MONTH($O176)&gt;MONTH(AV$4)),AH176,IF(MONTH($O176)&gt;MONTH(AV$4),AH176,IF(MONTH($O176)=MONTH(AV$4),AH176*(1+Macroindicadores!E$7),AU176)))))))))</f>
        <v>2</v>
      </c>
      <c r="AW176" s="39">
        <f>IF(ISBLANK(U176),"",IF(ISBLANK($O176),AI176,IF($J176="ANUAL",AI176*(1+Macroindicadores!F$7),IF(AND($I176="NOVO",MONTH($O176)=MONTH(AW$4)),AI176*(1+Macroindicadores!F$7),IF(AND($J176="PONTUAL",MONTH($O176)=MONTH(AW$4)),AI176*(1+Macroindicadores!F$7),IF(AND($J176="PONTUAL",MONTH($O176)&lt;MONTH(AW$4)),MIN($AS176:AV176),IF(AND($I176="NOVO",MONTH($O176)&gt;MONTH(AW$4)),AI176,IF(MONTH($O176)&gt;MONTH(AW$4),AI176,IF(MONTH($O176)=MONTH(AW$4),AI176*(1+Macroindicadores!F$7),AV176)))))))))</f>
        <v>2</v>
      </c>
      <c r="AX176" s="39">
        <f>IF(ISBLANK(V176),"",IF(ISBLANK($O176),AJ176,IF($J176="ANUAL",AJ176*(1+Macroindicadores!G$7),IF(AND($I176="NOVO",MONTH($O176)=MONTH(AX$4)),AJ176*(1+Macroindicadores!G$7),IF(AND($J176="PONTUAL",MONTH($O176)=MONTH(AX$4)),AJ176*(1+Macroindicadores!G$7),IF(AND($J176="PONTUAL",MONTH($O176)&lt;MONTH(AX$4)),MIN($AS176:AW176),IF(AND($I176="NOVO",MONTH($O176)&gt;MONTH(AX$4)),AJ176,IF(MONTH($O176)&gt;MONTH(AX$4),AJ176,IF(MONTH($O176)=MONTH(AX$4),AJ176*(1+Macroindicadores!G$7),AW176)))))))))</f>
        <v>2</v>
      </c>
      <c r="AY176" s="39">
        <f>IF(ISBLANK(W176),"",IF(ISBLANK($O176),AK176,IF($J176="ANUAL",AK176*(1+Macroindicadores!H$7),IF(AND($I176="NOVO",MONTH($O176)=MONTH(AY$4)),AK176*(1+Macroindicadores!H$7),IF(AND($J176="PONTUAL",MONTH($O176)=MONTH(AY$4)),AK176*(1+Macroindicadores!H$7),IF(AND($J176="PONTUAL",MONTH($O176)&lt;MONTH(AY$4)),MIN($AS176:AX176),IF(AND($I176="NOVO",MONTH($O176)&gt;MONTH(AY$4)),AK176,IF(MONTH($O176)&gt;MONTH(AY$4),AK176,IF(MONTH($O176)=MONTH(AY$4),AK176*(1+Macroindicadores!H$7),AX176)))))))))</f>
        <v>2</v>
      </c>
      <c r="AZ176" s="39">
        <f>IF(ISBLANK(X176),"",IF(ISBLANK($O176),AL176,IF($J176="ANUAL",AL176*(1+Macroindicadores!I$7),IF(AND($I176="NOVO",MONTH($O176)=MONTH(AZ$4)),AL176*(1+Macroindicadores!I$7),IF(AND($J176="PONTUAL",MONTH($O176)=MONTH(AZ$4)),AL176*(1+Macroindicadores!I$7),IF(AND($J176="PONTUAL",MONTH($O176)&lt;MONTH(AZ$4)),MIN($AS176:AY176),IF(AND($I176="NOVO",MONTH($O176)&gt;MONTH(AZ$4)),AL176,IF(MONTH($O176)&gt;MONTH(AZ$4),AL176,IF(MONTH($O176)=MONTH(AZ$4),AL176*(1+Macroindicadores!I$7),AY176)))))))))</f>
        <v>2</v>
      </c>
      <c r="BA176" s="39">
        <f>IF(ISBLANK(Y176),"",IF(ISBLANK($O176),AM176,IF($J176="ANUAL",AM176*(1+Macroindicadores!J$7),IF(AND($I176="NOVO",MONTH($O176)=MONTH(BA$4)),AM176*(1+Macroindicadores!J$7),IF(AND($J176="PONTUAL",MONTH($O176)=MONTH(BA$4)),AM176*(1+Macroindicadores!J$7),IF(AND($J176="PONTUAL",MONTH($O176)&lt;MONTH(BA$4)),MIN($AS176:AZ176),IF(AND($I176="NOVO",MONTH($O176)&gt;MONTH(BA$4)),AM176,IF(MONTH($O176)&gt;MONTH(BA$4),AM176,IF(MONTH($O176)=MONTH(BA$4),AM176*(1+Macroindicadores!J$7),AZ176)))))))))</f>
        <v>2</v>
      </c>
      <c r="BB176" s="39">
        <f>IF(ISBLANK(Z176),"",IF(ISBLANK($O176),AN176,IF($J176="ANUAL",AN176*(1+Macroindicadores!K$7),IF(AND($I176="NOVO",MONTH($O176)=MONTH(BB$4)),AN176*(1+Macroindicadores!K$7),IF(AND($J176="PONTUAL",MONTH($O176)=MONTH(BB$4)),AN176*(1+Macroindicadores!K$7),IF(AND($J176="PONTUAL",MONTH($O176)&lt;MONTH(BB$4)),MIN($AS176:BA176),IF(AND($I176="NOVO",MONTH($O176)&gt;MONTH(BB$4)),AN176,IF(MONTH($O176)&gt;MONTH(BB$4),AN176,IF(MONTH($O176)=MONTH(BB$4),AN176*(1+Macroindicadores!K$7),BA176)))))))))</f>
        <v>2</v>
      </c>
      <c r="BC176" s="39">
        <f>IF(ISBLANK(AA176),"",IF(ISBLANK($O176),AO176,IF($J176="ANUAL",AO176*(1+Macroindicadores!L$7),IF(AND($I176="NOVO",MONTH($O176)=MONTH(BC$4)),AO176*(1+Macroindicadores!L$7),IF(AND($J176="PONTUAL",MONTH($O176)=MONTH(BC$4)),AO176*(1+Macroindicadores!L$7),IF(AND($J176="PONTUAL",MONTH($O176)&lt;MONTH(BC$4)),MIN($AS176:BB176),IF(AND($I176="NOVO",MONTH($O176)&gt;MONTH(BC$4)),AO176,IF(MONTH($O176)&gt;MONTH(BC$4),AO176,IF(MONTH($O176)=MONTH(BC$4),AO176*(1+Macroindicadores!L$7),BB176)))))))))</f>
        <v>2</v>
      </c>
      <c r="BD176" s="39">
        <f>IF(ISBLANK(AB176),"",IF(ISBLANK($O176),AP176,IF($J176="ANUAL",AP176*(1+Macroindicadores!M$7),IF(AND($I176="NOVO",MONTH($O176)=MONTH(BD$4)),AP176*(1+Macroindicadores!M$7),IF(AND($J176="PONTUAL",MONTH($O176)=MONTH(BD$4)),AP176*(1+Macroindicadores!M$7),IF(AND($J176="PONTUAL",MONTH($O176)&lt;MONTH(BD$4)),MIN($AS176:BC176),IF(AND($I176="NOVO",MONTH($O176)&gt;MONTH(BD$4)),AP176,IF(MONTH($O176)&gt;MONTH(BD$4),AP176,IF(MONTH($O176)=MONTH(BD$4),AP176*(1+Macroindicadores!M$7),BC176)))))))))</f>
        <v>2</v>
      </c>
      <c r="BE176" s="40">
        <f t="shared" si="83"/>
        <v>24</v>
      </c>
      <c r="BG176" s="39">
        <f>IF(ISBLANK(Q176),"",AS176/Macroindicadores!B$2)</f>
        <v>0.3401360544217687</v>
      </c>
      <c r="BH176" s="39">
        <f>IF(ISBLANK(R176),"",AT176/Macroindicadores!C$2)</f>
        <v>0.3401360544217687</v>
      </c>
      <c r="BI176" s="39">
        <f>IF(ISBLANK(S176),"",AU176/Macroindicadores!D$2)</f>
        <v>0.3401360544217687</v>
      </c>
      <c r="BJ176" s="39">
        <f>IF(ISBLANK(T176),"",AV176/Macroindicadores!E$2)</f>
        <v>0.3401360544217687</v>
      </c>
      <c r="BK176" s="39">
        <f>IF(ISBLANK(U176),"",AW176/Macroindicadores!F$2)</f>
        <v>0.3401360544217687</v>
      </c>
      <c r="BL176" s="39">
        <f>IF(ISBLANK(V176),"",AX176/Macroindicadores!G$2)</f>
        <v>0.3401360544217687</v>
      </c>
      <c r="BM176" s="39">
        <f>IF(ISBLANK(W176),"",AY176/Macroindicadores!H$2)</f>
        <v>0.3401360544217687</v>
      </c>
      <c r="BN176" s="39">
        <f>IF(ISBLANK(X176),"",AZ176/Macroindicadores!I$2)</f>
        <v>0.3401360544217687</v>
      </c>
      <c r="BO176" s="39">
        <f>IF(ISBLANK(Y176),"",BA176/Macroindicadores!J$2)</f>
        <v>0.3401360544217687</v>
      </c>
      <c r="BP176" s="39">
        <f>IF(ISBLANK(Z176),"",BB176/Macroindicadores!K$2)</f>
        <v>0.3401360544217687</v>
      </c>
      <c r="BQ176" s="39">
        <f>IF(ISBLANK(AA176),"",BC176/Macroindicadores!L$2)</f>
        <v>0.3401360544217687</v>
      </c>
      <c r="BR176" s="39">
        <f>IF(ISBLANK(AB176),"",BD176/Macroindicadores!M$2)</f>
        <v>0.3401360544217687</v>
      </c>
      <c r="BS176" s="40">
        <f>IF(AND(ISBLANK($Q176),ISBLANK($R176),ISBLANK($S176),ISBLANK($T176),ISBLANK($U176),ISBLANK($V176),ISBLANK($W176),ISBLANK($X176),ISBLANK($Y176),ISBLANK($Z176),ISBLANK($AA176),ISBLANK($AB176)),"",SUM(BG176:BR176))</f>
        <v>4.0816326530612246</v>
      </c>
      <c r="BT176" s="25" t="str">
        <f>IF(ISBLANK($L176),"",_xlfn.XLOOKUP($L176,'CENTRO CUSTO'!$A:$A,'CENTRO CUSTO'!$E:$E,FALSE,0))</f>
        <v>G&amp;A BU</v>
      </c>
    </row>
    <row r="177" spans="1:72">
      <c r="A177" s="9" t="str">
        <f t="shared" si="80"/>
        <v>Budget</v>
      </c>
      <c r="B177" s="9">
        <f t="shared" si="77"/>
        <v>2026</v>
      </c>
      <c r="C177" s="18" t="str">
        <f>IF(ISBLANK($L177),"",_xlfn.XLOOKUP($L177,'CENTRO CUSTO'!$A:$A,'CENTRO CUSTO'!F:F,FALSE,0))</f>
        <v>Transporte</v>
      </c>
      <c r="D177" s="111" t="str">
        <f>IF(ISBLANK($L177),"",_xlfn.XLOOKUP($L177,'CENTRO CUSTO'!$A:$A,'CENTRO CUSTO'!G:G,FALSE,0))</f>
        <v>BU-TR</v>
      </c>
      <c r="E177" s="18" t="str">
        <f>IF(ISBLANK($L177),"",_xlfn.XLOOKUP($L177,'CENTRO CUSTO'!$A:$A,'CENTRO CUSTO'!H:H,FALSE,0))</f>
        <v>G&amp;A</v>
      </c>
      <c r="F177" s="10" t="s">
        <v>179</v>
      </c>
      <c r="G177" s="10" t="s">
        <v>75</v>
      </c>
      <c r="H177" s="10" t="s">
        <v>185</v>
      </c>
      <c r="I177" s="11" t="s">
        <v>77</v>
      </c>
      <c r="J177" s="11" t="s">
        <v>181</v>
      </c>
      <c r="K177" s="11" t="s">
        <v>121</v>
      </c>
      <c r="L177" s="11" t="s">
        <v>38</v>
      </c>
      <c r="M177" s="18" t="str">
        <f>IF(ISBLANK($L177),"",_xlfn.XLOOKUP($L177,'CENTRO CUSTO'!$A:$A,'CENTRO CUSTO'!D:D,FALSE,0))</f>
        <v>Alexandre Ayabe</v>
      </c>
      <c r="N177" s="11" t="s">
        <v>91</v>
      </c>
      <c r="O177" s="12"/>
      <c r="P177" s="11" t="s">
        <v>81</v>
      </c>
      <c r="Q177" s="41">
        <f>228000*Rateio!$E$212/12</f>
        <v>3420</v>
      </c>
      <c r="R177" s="41">
        <f>228000*Rateio!$E$212/12</f>
        <v>3420</v>
      </c>
      <c r="S177" s="41">
        <f>228000*Rateio!$E$212/12</f>
        <v>3420</v>
      </c>
      <c r="T177" s="41">
        <f>228000*Rateio!$E$212/12</f>
        <v>3420</v>
      </c>
      <c r="U177" s="41">
        <f>228000*Rateio!$E$212/12</f>
        <v>3420</v>
      </c>
      <c r="V177" s="41">
        <f>228000*Rateio!$E$212/12</f>
        <v>3420</v>
      </c>
      <c r="W177" s="41">
        <f>228000*Rateio!$E$212/12</f>
        <v>3420</v>
      </c>
      <c r="X177" s="41">
        <f>228000*Rateio!$E$212/12</f>
        <v>3420</v>
      </c>
      <c r="Y177" s="41">
        <f>228000*Rateio!$E$212/12</f>
        <v>3420</v>
      </c>
      <c r="Z177" s="41">
        <f>228000*Rateio!$E$212/12</f>
        <v>3420</v>
      </c>
      <c r="AA177" s="41">
        <f>228000*Rateio!$E$212/12</f>
        <v>3420</v>
      </c>
      <c r="AB177" s="41">
        <f>228000*Rateio!$E$212/12</f>
        <v>3420</v>
      </c>
      <c r="AC177" s="116">
        <f t="shared" si="73"/>
        <v>41040</v>
      </c>
      <c r="AE177" s="39">
        <f>IF(ISBLANK(Q177),"",IF($P177="BRL",Q177,Q177*Macroindicadores!B$2)/1000)</f>
        <v>3.42</v>
      </c>
      <c r="AF177" s="39">
        <f>IF(ISBLANK(R177),"",IF($P177="BRL",R177,R177*Macroindicadores!C$2)/1000)</f>
        <v>3.42</v>
      </c>
      <c r="AG177" s="39">
        <f>IF(ISBLANK(S177),"",IF($P177="BRL",S177,S177*Macroindicadores!D$2)/1000)</f>
        <v>3.42</v>
      </c>
      <c r="AH177" s="39">
        <f>IF(ISBLANK(T177),"",IF($P177="BRL",T177,T177*Macroindicadores!E$2)/1000)</f>
        <v>3.42</v>
      </c>
      <c r="AI177" s="39">
        <f>IF(ISBLANK(U177),"",IF($P177="BRL",U177,U177*Macroindicadores!F$2)/1000)</f>
        <v>3.42</v>
      </c>
      <c r="AJ177" s="39">
        <f>IF(ISBLANK(V177),"",IF($P177="BRL",V177,V177*Macroindicadores!G$2)/1000)</f>
        <v>3.42</v>
      </c>
      <c r="AK177" s="39">
        <f>IF(ISBLANK(W177),"",IF($P177="BRL",W177,W177*Macroindicadores!H$2)/1000)</f>
        <v>3.42</v>
      </c>
      <c r="AL177" s="39">
        <f>IF(ISBLANK(X177),"",IF($P177="BRL",X177,X177*Macroindicadores!I$2)/1000)</f>
        <v>3.42</v>
      </c>
      <c r="AM177" s="39">
        <f>IF(ISBLANK(Y177),"",IF($P177="BRL",Y177,Y177*Macroindicadores!J$2)/1000)</f>
        <v>3.42</v>
      </c>
      <c r="AN177" s="39">
        <f>IF(ISBLANK(Z177),"",IF($P177="BRL",Z177,Z177*Macroindicadores!K$2)/1000)</f>
        <v>3.42</v>
      </c>
      <c r="AO177" s="39">
        <f>IF(ISBLANK(AA177),"",IF($P177="BRL",AA177,AA177*Macroindicadores!L$2)/1000)</f>
        <v>3.42</v>
      </c>
      <c r="AP177" s="39">
        <f>IF(ISBLANK(AB177),"",IF($P177="BRL",AB177,AB177*Macroindicadores!M$2)/1000)</f>
        <v>3.42</v>
      </c>
      <c r="AQ177" s="40">
        <f t="shared" si="79"/>
        <v>41.040000000000013</v>
      </c>
      <c r="AS177" s="39">
        <f>IF(ISBLANK(Q177),"",IF(ISBLANK($O177),AE177,IF($J177="ANUAL",AE177*(1+Macroindicadores!B$7),IF(AND($I177="NOVO",MONTH($O177)=MONTH(AS$4)),AE177*(1+Macroindicadores!B$7),IF(AND($J177="PONTUAL",MONTH($O177)=MONTH(AS$4)),AE177*(1+Macroindicadores!B$7),IF(AND($J177="PONTUAL",MONTH($O177)&lt;MONTH(AS$4)),MIN(AR177:$AS177),IF(AND($I177="NOVO",MONTH($O177)&gt;MONTH(AS$4)),AE177,IF(MONTH($O177)&gt;MONTH(AS$4),AE177,IF(MONTH($O177)=MONTH(AS$4),AE177*(1+Macroindicadores!B$7),AR177)))))))))</f>
        <v>3.42</v>
      </c>
      <c r="AT177" s="39">
        <f>IF(ISBLANK(R177),"",IF(ISBLANK($O177),AF177,IF($J177="ANUAL",AF177*(1+Macroindicadores!C$7),IF(AND($I177="NOVO",MONTH($O177)=MONTH(AT$4)),AF177*(1+Macroindicadores!C$7),IF(AND($J177="PONTUAL",MONTH($O177)=MONTH(AT$4)),AF177*(1+Macroindicadores!C$7),IF(AND($J177="PONTUAL",MONTH($O177)&lt;MONTH(AT$4)),MIN($AS177:AS177),IF(AND($I177="NOVO",MONTH($O177)&gt;MONTH(AT$4)),AF177,IF(MONTH($O177)&gt;MONTH(AT$4),AF177,IF(MONTH($O177)=MONTH(AT$4),AF177*(1+Macroindicadores!C$7),AS177)))))))))</f>
        <v>3.42</v>
      </c>
      <c r="AU177" s="39">
        <f>IF(ISBLANK(S177),"",IF(ISBLANK($O177),AG177,IF($J177="ANUAL",AG177*(1+Macroindicadores!D$7),IF(AND($I177="NOVO",MONTH($O177)=MONTH(AU$4)),AG177*(1+Macroindicadores!D$7),IF(AND($J177="PONTUAL",MONTH($O177)=MONTH(AU$4)),AG177*(1+Macroindicadores!D$7),IF(AND($J177="PONTUAL",MONTH($O177)&lt;MONTH(AU$4)),MIN($AS177:AT177),IF(AND($I177="NOVO",MONTH($O177)&gt;MONTH(AU$4)),AG177,IF(MONTH($O177)&gt;MONTH(AU$4),AG177,IF(MONTH($O177)=MONTH(AU$4),AG177*(1+Macroindicadores!D$7),AT177)))))))))</f>
        <v>3.42</v>
      </c>
      <c r="AV177" s="39">
        <f>IF(ISBLANK(T177),"",IF(ISBLANK($O177),AH177,IF($J177="ANUAL",AH177*(1+Macroindicadores!E$7),IF(AND($I177="NOVO",MONTH($O177)=MONTH(AV$4)),AH177*(1+Macroindicadores!E$7),IF(AND($J177="PONTUAL",MONTH($O177)=MONTH(AV$4)),AH177*(1+Macroindicadores!E$7),IF(AND($J177="PONTUAL",MONTH($O177)&lt;MONTH(AV$4)),MIN($AS177:AU177),IF(AND($I177="NOVO",MONTH($O177)&gt;MONTH(AV$4)),AH177,IF(MONTH($O177)&gt;MONTH(AV$4),AH177,IF(MONTH($O177)=MONTH(AV$4),AH177*(1+Macroindicadores!E$7),AU177)))))))))</f>
        <v>3.42</v>
      </c>
      <c r="AW177" s="39">
        <f>IF(ISBLANK(U177),"",IF(ISBLANK($O177),AI177,IF($J177="ANUAL",AI177*(1+Macroindicadores!F$7),IF(AND($I177="NOVO",MONTH($O177)=MONTH(AW$4)),AI177*(1+Macroindicadores!F$7),IF(AND($J177="PONTUAL",MONTH($O177)=MONTH(AW$4)),AI177*(1+Macroindicadores!F$7),IF(AND($J177="PONTUAL",MONTH($O177)&lt;MONTH(AW$4)),MIN($AS177:AV177),IF(AND($I177="NOVO",MONTH($O177)&gt;MONTH(AW$4)),AI177,IF(MONTH($O177)&gt;MONTH(AW$4),AI177,IF(MONTH($O177)=MONTH(AW$4),AI177*(1+Macroindicadores!F$7),AV177)))))))))</f>
        <v>3.42</v>
      </c>
      <c r="AX177" s="39">
        <f>IF(ISBLANK(V177),"",IF(ISBLANK($O177),AJ177,IF($J177="ANUAL",AJ177*(1+Macroindicadores!G$7),IF(AND($I177="NOVO",MONTH($O177)=MONTH(AX$4)),AJ177*(1+Macroindicadores!G$7),IF(AND($J177="PONTUAL",MONTH($O177)=MONTH(AX$4)),AJ177*(1+Macroindicadores!G$7),IF(AND($J177="PONTUAL",MONTH($O177)&lt;MONTH(AX$4)),MIN($AS177:AW177),IF(AND($I177="NOVO",MONTH($O177)&gt;MONTH(AX$4)),AJ177,IF(MONTH($O177)&gt;MONTH(AX$4),AJ177,IF(MONTH($O177)=MONTH(AX$4),AJ177*(1+Macroindicadores!G$7),AW177)))))))))</f>
        <v>3.42</v>
      </c>
      <c r="AY177" s="39">
        <f>IF(ISBLANK(W177),"",IF(ISBLANK($O177),AK177,IF($J177="ANUAL",AK177*(1+Macroindicadores!H$7),IF(AND($I177="NOVO",MONTH($O177)=MONTH(AY$4)),AK177*(1+Macroindicadores!H$7),IF(AND($J177="PONTUAL",MONTH($O177)=MONTH(AY$4)),AK177*(1+Macroindicadores!H$7),IF(AND($J177="PONTUAL",MONTH($O177)&lt;MONTH(AY$4)),MIN($AS177:AX177),IF(AND($I177="NOVO",MONTH($O177)&gt;MONTH(AY$4)),AK177,IF(MONTH($O177)&gt;MONTH(AY$4),AK177,IF(MONTH($O177)=MONTH(AY$4),AK177*(1+Macroindicadores!H$7),AX177)))))))))</f>
        <v>3.42</v>
      </c>
      <c r="AZ177" s="39">
        <f>IF(ISBLANK(X177),"",IF(ISBLANK($O177),AL177,IF($J177="ANUAL",AL177*(1+Macroindicadores!I$7),IF(AND($I177="NOVO",MONTH($O177)=MONTH(AZ$4)),AL177*(1+Macroindicadores!I$7),IF(AND($J177="PONTUAL",MONTH($O177)=MONTH(AZ$4)),AL177*(1+Macroindicadores!I$7),IF(AND($J177="PONTUAL",MONTH($O177)&lt;MONTH(AZ$4)),MIN($AS177:AY177),IF(AND($I177="NOVO",MONTH($O177)&gt;MONTH(AZ$4)),AL177,IF(MONTH($O177)&gt;MONTH(AZ$4),AL177,IF(MONTH($O177)=MONTH(AZ$4),AL177*(1+Macroindicadores!I$7),AY177)))))))))</f>
        <v>3.42</v>
      </c>
      <c r="BA177" s="39">
        <f>IF(ISBLANK(Y177),"",IF(ISBLANK($O177),AM177,IF($J177="ANUAL",AM177*(1+Macroindicadores!J$7),IF(AND($I177="NOVO",MONTH($O177)=MONTH(BA$4)),AM177*(1+Macroindicadores!J$7),IF(AND($J177="PONTUAL",MONTH($O177)=MONTH(BA$4)),AM177*(1+Macroindicadores!J$7),IF(AND($J177="PONTUAL",MONTH($O177)&lt;MONTH(BA$4)),MIN($AS177:AZ177),IF(AND($I177="NOVO",MONTH($O177)&gt;MONTH(BA$4)),AM177,IF(MONTH($O177)&gt;MONTH(BA$4),AM177,IF(MONTH($O177)=MONTH(BA$4),AM177*(1+Macroindicadores!J$7),AZ177)))))))))</f>
        <v>3.42</v>
      </c>
      <c r="BB177" s="39">
        <f>IF(ISBLANK(Z177),"",IF(ISBLANK($O177),AN177,IF($J177="ANUAL",AN177*(1+Macroindicadores!K$7),IF(AND($I177="NOVO",MONTH($O177)=MONTH(BB$4)),AN177*(1+Macroindicadores!K$7),IF(AND($J177="PONTUAL",MONTH($O177)=MONTH(BB$4)),AN177*(1+Macroindicadores!K$7),IF(AND($J177="PONTUAL",MONTH($O177)&lt;MONTH(BB$4)),MIN($AS177:BA177),IF(AND($I177="NOVO",MONTH($O177)&gt;MONTH(BB$4)),AN177,IF(MONTH($O177)&gt;MONTH(BB$4),AN177,IF(MONTH($O177)=MONTH(BB$4),AN177*(1+Macroindicadores!K$7),BA177)))))))))</f>
        <v>3.42</v>
      </c>
      <c r="BC177" s="39">
        <f>IF(ISBLANK(AA177),"",IF(ISBLANK($O177),AO177,IF($J177="ANUAL",AO177*(1+Macroindicadores!L$7),IF(AND($I177="NOVO",MONTH($O177)=MONTH(BC$4)),AO177*(1+Macroindicadores!L$7),IF(AND($J177="PONTUAL",MONTH($O177)=MONTH(BC$4)),AO177*(1+Macroindicadores!L$7),IF(AND($J177="PONTUAL",MONTH($O177)&lt;MONTH(BC$4)),MIN($AS177:BB177),IF(AND($I177="NOVO",MONTH($O177)&gt;MONTH(BC$4)),AO177,IF(MONTH($O177)&gt;MONTH(BC$4),AO177,IF(MONTH($O177)=MONTH(BC$4),AO177*(1+Macroindicadores!L$7),BB177)))))))))</f>
        <v>3.42</v>
      </c>
      <c r="BD177" s="39">
        <f>IF(ISBLANK(AB177),"",IF(ISBLANK($O177),AP177,IF($J177="ANUAL",AP177*(1+Macroindicadores!M$7),IF(AND($I177="NOVO",MONTH($O177)=MONTH(BD$4)),AP177*(1+Macroindicadores!M$7),IF(AND($J177="PONTUAL",MONTH($O177)=MONTH(BD$4)),AP177*(1+Macroindicadores!M$7),IF(AND($J177="PONTUAL",MONTH($O177)&lt;MONTH(BD$4)),MIN($AS177:BC177),IF(AND($I177="NOVO",MONTH($O177)&gt;MONTH(BD$4)),AP177,IF(MONTH($O177)&gt;MONTH(BD$4),AP177,IF(MONTH($O177)=MONTH(BD$4),AP177*(1+Macroindicadores!M$7),BC177)))))))))</f>
        <v>3.42</v>
      </c>
      <c r="BE177" s="40">
        <f t="shared" si="78"/>
        <v>41.040000000000013</v>
      </c>
      <c r="BG177" s="39">
        <f>IF(ISBLANK(Q177),"",AS177/Macroindicadores!B$2)</f>
        <v>0.58163265306122447</v>
      </c>
      <c r="BH177" s="39">
        <f>IF(ISBLANK(R177),"",AT177/Macroindicadores!C$2)</f>
        <v>0.58163265306122447</v>
      </c>
      <c r="BI177" s="39">
        <f>IF(ISBLANK(S177),"",AU177/Macroindicadores!D$2)</f>
        <v>0.58163265306122447</v>
      </c>
      <c r="BJ177" s="39">
        <f>IF(ISBLANK(T177),"",AV177/Macroindicadores!E$2)</f>
        <v>0.58163265306122447</v>
      </c>
      <c r="BK177" s="39">
        <f>IF(ISBLANK(U177),"",AW177/Macroindicadores!F$2)</f>
        <v>0.58163265306122447</v>
      </c>
      <c r="BL177" s="39">
        <f>IF(ISBLANK(V177),"",AX177/Macroindicadores!G$2)</f>
        <v>0.58163265306122447</v>
      </c>
      <c r="BM177" s="39">
        <f>IF(ISBLANK(W177),"",AY177/Macroindicadores!H$2)</f>
        <v>0.58163265306122447</v>
      </c>
      <c r="BN177" s="39">
        <f>IF(ISBLANK(X177),"",AZ177/Macroindicadores!I$2)</f>
        <v>0.58163265306122447</v>
      </c>
      <c r="BO177" s="39">
        <f>IF(ISBLANK(Y177),"",BA177/Macroindicadores!J$2)</f>
        <v>0.58163265306122447</v>
      </c>
      <c r="BP177" s="39">
        <f>IF(ISBLANK(Z177),"",BB177/Macroindicadores!K$2)</f>
        <v>0.58163265306122447</v>
      </c>
      <c r="BQ177" s="39">
        <f>IF(ISBLANK(AA177),"",BC177/Macroindicadores!L$2)</f>
        <v>0.58163265306122447</v>
      </c>
      <c r="BR177" s="39">
        <f>IF(ISBLANK(AB177),"",BD177/Macroindicadores!M$2)</f>
        <v>0.58163265306122447</v>
      </c>
      <c r="BS177" s="40">
        <f>IF(AND(ISBLANK($Q177),ISBLANK($R177),ISBLANK($S177),ISBLANK($T177),ISBLANK($U177),ISBLANK($V177),ISBLANK($W177),ISBLANK($X177),ISBLANK($Y177),ISBLANK($Z177),ISBLANK($AA177),ISBLANK($AB177)),"",SUM(BG177:BR177))</f>
        <v>6.9795918367346941</v>
      </c>
      <c r="BT177" s="25" t="str">
        <f>IF(ISBLANK($L177),"",_xlfn.XLOOKUP($L177,'CENTRO CUSTO'!$A:$A,'CENTRO CUSTO'!$E:$E,FALSE,0))</f>
        <v>G&amp;A BU</v>
      </c>
    </row>
    <row r="178" spans="1:72">
      <c r="A178" s="9" t="str">
        <f t="shared" si="80"/>
        <v>Budget</v>
      </c>
      <c r="B178" s="9">
        <f t="shared" si="77"/>
        <v>2026</v>
      </c>
      <c r="C178" s="18" t="str">
        <f>IF(ISBLANK($L178),"",_xlfn.XLOOKUP($L178,'CENTRO CUSTO'!$A:$A,'CENTRO CUSTO'!F:F,FALSE,0))</f>
        <v>Martini Meat</v>
      </c>
      <c r="D178" s="111" t="str">
        <f>IF(ISBLANK($L178),"",_xlfn.XLOOKUP($L178,'CENTRO CUSTO'!$A:$A,'CENTRO CUSTO'!G:G,FALSE,0))</f>
        <v>BU-MMAZ</v>
      </c>
      <c r="E178" s="18" t="str">
        <f>IF(ISBLANK($L178),"",_xlfn.XLOOKUP($L178,'CENTRO CUSTO'!$A:$A,'CENTRO CUSTO'!H:H,FALSE,0))</f>
        <v>G&amp;A</v>
      </c>
      <c r="F178" s="10" t="s">
        <v>179</v>
      </c>
      <c r="G178" s="10" t="s">
        <v>75</v>
      </c>
      <c r="H178" s="10" t="s">
        <v>185</v>
      </c>
      <c r="I178" s="11" t="s">
        <v>77</v>
      </c>
      <c r="J178" s="11" t="s">
        <v>181</v>
      </c>
      <c r="K178" s="11" t="s">
        <v>121</v>
      </c>
      <c r="L178" s="11" t="s">
        <v>35</v>
      </c>
      <c r="M178" s="18" t="str">
        <f>IF(ISBLANK($L178),"",_xlfn.XLOOKUP($L178,'CENTRO CUSTO'!$A:$A,'CENTRO CUSTO'!D:D,FALSE,0))</f>
        <v>Alexandre Ayabe</v>
      </c>
      <c r="N178" s="11" t="s">
        <v>91</v>
      </c>
      <c r="O178" s="12"/>
      <c r="P178" s="11" t="s">
        <v>81</v>
      </c>
      <c r="Q178" s="41">
        <f>228000*Rateio!$E$214/12</f>
        <v>9500</v>
      </c>
      <c r="R178" s="41">
        <f>228000*Rateio!$E$214/12</f>
        <v>9500</v>
      </c>
      <c r="S178" s="41">
        <f>228000*Rateio!$E$214/12</f>
        <v>9500</v>
      </c>
      <c r="T178" s="41">
        <f>228000*Rateio!$E$214/12</f>
        <v>9500</v>
      </c>
      <c r="U178" s="41">
        <f>228000*Rateio!$E$214/12</f>
        <v>9500</v>
      </c>
      <c r="V178" s="41">
        <f>228000*Rateio!$E$214/12</f>
        <v>9500</v>
      </c>
      <c r="W178" s="41">
        <f>228000*Rateio!$E$214/12</f>
        <v>9500</v>
      </c>
      <c r="X178" s="41">
        <f>228000*Rateio!$E$214/12</f>
        <v>9500</v>
      </c>
      <c r="Y178" s="41">
        <f>228000*Rateio!$E$214/12</f>
        <v>9500</v>
      </c>
      <c r="Z178" s="41">
        <f>228000*Rateio!$E$214/12</f>
        <v>9500</v>
      </c>
      <c r="AA178" s="41">
        <f>228000*Rateio!$E$214/12</f>
        <v>9500</v>
      </c>
      <c r="AB178" s="41">
        <f>228000*Rateio!$E$214/12</f>
        <v>9500</v>
      </c>
      <c r="AC178" s="116">
        <f t="shared" si="73"/>
        <v>114000</v>
      </c>
      <c r="AE178" s="39">
        <f>IF(ISBLANK(Q178),"",IF($P178="BRL",Q178,Q178*Macroindicadores!B$2)/1000)</f>
        <v>9.5</v>
      </c>
      <c r="AF178" s="39">
        <f>IF(ISBLANK(R178),"",IF($P178="BRL",R178,R178*Macroindicadores!C$2)/1000)</f>
        <v>9.5</v>
      </c>
      <c r="AG178" s="39">
        <f>IF(ISBLANK(S178),"",IF($P178="BRL",S178,S178*Macroindicadores!D$2)/1000)</f>
        <v>9.5</v>
      </c>
      <c r="AH178" s="39">
        <f>IF(ISBLANK(T178),"",IF($P178="BRL",T178,T178*Macroindicadores!E$2)/1000)</f>
        <v>9.5</v>
      </c>
      <c r="AI178" s="39">
        <f>IF(ISBLANK(U178),"",IF($P178="BRL",U178,U178*Macroindicadores!F$2)/1000)</f>
        <v>9.5</v>
      </c>
      <c r="AJ178" s="39">
        <f>IF(ISBLANK(V178),"",IF($P178="BRL",V178,V178*Macroindicadores!G$2)/1000)</f>
        <v>9.5</v>
      </c>
      <c r="AK178" s="39">
        <f>IF(ISBLANK(W178),"",IF($P178="BRL",W178,W178*Macroindicadores!H$2)/1000)</f>
        <v>9.5</v>
      </c>
      <c r="AL178" s="39">
        <f>IF(ISBLANK(X178),"",IF($P178="BRL",X178,X178*Macroindicadores!I$2)/1000)</f>
        <v>9.5</v>
      </c>
      <c r="AM178" s="39">
        <f>IF(ISBLANK(Y178),"",IF($P178="BRL",Y178,Y178*Macroindicadores!J$2)/1000)</f>
        <v>9.5</v>
      </c>
      <c r="AN178" s="39">
        <f>IF(ISBLANK(Z178),"",IF($P178="BRL",Z178,Z178*Macroindicadores!K$2)/1000)</f>
        <v>9.5</v>
      </c>
      <c r="AO178" s="39">
        <f>IF(ISBLANK(AA178),"",IF($P178="BRL",AA178,AA178*Macroindicadores!L$2)/1000)</f>
        <v>9.5</v>
      </c>
      <c r="AP178" s="39">
        <f>IF(ISBLANK(AB178),"",IF($P178="BRL",AB178,AB178*Macroindicadores!M$2)/1000)</f>
        <v>9.5</v>
      </c>
      <c r="AQ178" s="40">
        <f t="shared" si="79"/>
        <v>114</v>
      </c>
      <c r="AS178" s="39">
        <f>IF(ISBLANK(Q178),"",IF(ISBLANK($O178),AE178,IF($J178="ANUAL",AE178*(1+Macroindicadores!B$7),IF(AND($I178="NOVO",MONTH($O178)=MONTH(AS$4)),AE178*(1+Macroindicadores!B$7),IF(AND($J178="PONTUAL",MONTH($O178)=MONTH(AS$4)),AE178*(1+Macroindicadores!B$7),IF(AND($J178="PONTUAL",MONTH($O178)&lt;MONTH(AS$4)),MIN(AR178:$AS178),IF(AND($I178="NOVO",MONTH($O178)&gt;MONTH(AS$4)),AE178,IF(MONTH($O178)&gt;MONTH(AS$4),AE178,IF(MONTH($O178)=MONTH(AS$4),AE178*(1+Macroindicadores!B$7),AR178)))))))))</f>
        <v>9.5</v>
      </c>
      <c r="AT178" s="39">
        <f>IF(ISBLANK(R178),"",IF(ISBLANK($O178),AF178,IF($J178="ANUAL",AF178*(1+Macroindicadores!C$7),IF(AND($I178="NOVO",MONTH($O178)=MONTH(AT$4)),AF178*(1+Macroindicadores!C$7),IF(AND($J178="PONTUAL",MONTH($O178)=MONTH(AT$4)),AF178*(1+Macroindicadores!C$7),IF(AND($J178="PONTUAL",MONTH($O178)&lt;MONTH(AT$4)),MIN($AS178:AS178),IF(AND($I178="NOVO",MONTH($O178)&gt;MONTH(AT$4)),AF178,IF(MONTH($O178)&gt;MONTH(AT$4),AF178,IF(MONTH($O178)=MONTH(AT$4),AF178*(1+Macroindicadores!C$7),AS178)))))))))</f>
        <v>9.5</v>
      </c>
      <c r="AU178" s="39">
        <f>IF(ISBLANK(S178),"",IF(ISBLANK($O178),AG178,IF($J178="ANUAL",AG178*(1+Macroindicadores!D$7),IF(AND($I178="NOVO",MONTH($O178)=MONTH(AU$4)),AG178*(1+Macroindicadores!D$7),IF(AND($J178="PONTUAL",MONTH($O178)=MONTH(AU$4)),AG178*(1+Macroindicadores!D$7),IF(AND($J178="PONTUAL",MONTH($O178)&lt;MONTH(AU$4)),MIN($AS178:AT178),IF(AND($I178="NOVO",MONTH($O178)&gt;MONTH(AU$4)),AG178,IF(MONTH($O178)&gt;MONTH(AU$4),AG178,IF(MONTH($O178)=MONTH(AU$4),AG178*(1+Macroindicadores!D$7),AT178)))))))))</f>
        <v>9.5</v>
      </c>
      <c r="AV178" s="39">
        <f>IF(ISBLANK(T178),"",IF(ISBLANK($O178),AH178,IF($J178="ANUAL",AH178*(1+Macroindicadores!E$7),IF(AND($I178="NOVO",MONTH($O178)=MONTH(AV$4)),AH178*(1+Macroindicadores!E$7),IF(AND($J178="PONTUAL",MONTH($O178)=MONTH(AV$4)),AH178*(1+Macroindicadores!E$7),IF(AND($J178="PONTUAL",MONTH($O178)&lt;MONTH(AV$4)),MIN($AS178:AU178),IF(AND($I178="NOVO",MONTH($O178)&gt;MONTH(AV$4)),AH178,IF(MONTH($O178)&gt;MONTH(AV$4),AH178,IF(MONTH($O178)=MONTH(AV$4),AH178*(1+Macroindicadores!E$7),AU178)))))))))</f>
        <v>9.5</v>
      </c>
      <c r="AW178" s="39">
        <f>IF(ISBLANK(U178),"",IF(ISBLANK($O178),AI178,IF($J178="ANUAL",AI178*(1+Macroindicadores!F$7),IF(AND($I178="NOVO",MONTH($O178)=MONTH(AW$4)),AI178*(1+Macroindicadores!F$7),IF(AND($J178="PONTUAL",MONTH($O178)=MONTH(AW$4)),AI178*(1+Macroindicadores!F$7),IF(AND($J178="PONTUAL",MONTH($O178)&lt;MONTH(AW$4)),MIN($AS178:AV178),IF(AND($I178="NOVO",MONTH($O178)&gt;MONTH(AW$4)),AI178,IF(MONTH($O178)&gt;MONTH(AW$4),AI178,IF(MONTH($O178)=MONTH(AW$4),AI178*(1+Macroindicadores!F$7),AV178)))))))))</f>
        <v>9.5</v>
      </c>
      <c r="AX178" s="39">
        <f>IF(ISBLANK(V178),"",IF(ISBLANK($O178),AJ178,IF($J178="ANUAL",AJ178*(1+Macroindicadores!G$7),IF(AND($I178="NOVO",MONTH($O178)=MONTH(AX$4)),AJ178*(1+Macroindicadores!G$7),IF(AND($J178="PONTUAL",MONTH($O178)=MONTH(AX$4)),AJ178*(1+Macroindicadores!G$7),IF(AND($J178="PONTUAL",MONTH($O178)&lt;MONTH(AX$4)),MIN($AS178:AW178),IF(AND($I178="NOVO",MONTH($O178)&gt;MONTH(AX$4)),AJ178,IF(MONTH($O178)&gt;MONTH(AX$4),AJ178,IF(MONTH($O178)=MONTH(AX$4),AJ178*(1+Macroindicadores!G$7),AW178)))))))))</f>
        <v>9.5</v>
      </c>
      <c r="AY178" s="39">
        <f>IF(ISBLANK(W178),"",IF(ISBLANK($O178),AK178,IF($J178="ANUAL",AK178*(1+Macroindicadores!H$7),IF(AND($I178="NOVO",MONTH($O178)=MONTH(AY$4)),AK178*(1+Macroindicadores!H$7),IF(AND($J178="PONTUAL",MONTH($O178)=MONTH(AY$4)),AK178*(1+Macroindicadores!H$7),IF(AND($J178="PONTUAL",MONTH($O178)&lt;MONTH(AY$4)),MIN($AS178:AX178),IF(AND($I178="NOVO",MONTH($O178)&gt;MONTH(AY$4)),AK178,IF(MONTH($O178)&gt;MONTH(AY$4),AK178,IF(MONTH($O178)=MONTH(AY$4),AK178*(1+Macroindicadores!H$7),AX178)))))))))</f>
        <v>9.5</v>
      </c>
      <c r="AZ178" s="39">
        <f>IF(ISBLANK(X178),"",IF(ISBLANK($O178),AL178,IF($J178="ANUAL",AL178*(1+Macroindicadores!I$7),IF(AND($I178="NOVO",MONTH($O178)=MONTH(AZ$4)),AL178*(1+Macroindicadores!I$7),IF(AND($J178="PONTUAL",MONTH($O178)=MONTH(AZ$4)),AL178*(1+Macroindicadores!I$7),IF(AND($J178="PONTUAL",MONTH($O178)&lt;MONTH(AZ$4)),MIN($AS178:AY178),IF(AND($I178="NOVO",MONTH($O178)&gt;MONTH(AZ$4)),AL178,IF(MONTH($O178)&gt;MONTH(AZ$4),AL178,IF(MONTH($O178)=MONTH(AZ$4),AL178*(1+Macroindicadores!I$7),AY178)))))))))</f>
        <v>9.5</v>
      </c>
      <c r="BA178" s="39">
        <f>IF(ISBLANK(Y178),"",IF(ISBLANK($O178),AM178,IF($J178="ANUAL",AM178*(1+Macroindicadores!J$7),IF(AND($I178="NOVO",MONTH($O178)=MONTH(BA$4)),AM178*(1+Macroindicadores!J$7),IF(AND($J178="PONTUAL",MONTH($O178)=MONTH(BA$4)),AM178*(1+Macroindicadores!J$7),IF(AND($J178="PONTUAL",MONTH($O178)&lt;MONTH(BA$4)),MIN($AS178:AZ178),IF(AND($I178="NOVO",MONTH($O178)&gt;MONTH(BA$4)),AM178,IF(MONTH($O178)&gt;MONTH(BA$4),AM178,IF(MONTH($O178)=MONTH(BA$4),AM178*(1+Macroindicadores!J$7),AZ178)))))))))</f>
        <v>9.5</v>
      </c>
      <c r="BB178" s="39">
        <f>IF(ISBLANK(Z178),"",IF(ISBLANK($O178),AN178,IF($J178="ANUAL",AN178*(1+Macroindicadores!K$7),IF(AND($I178="NOVO",MONTH($O178)=MONTH(BB$4)),AN178*(1+Macroindicadores!K$7),IF(AND($J178="PONTUAL",MONTH($O178)=MONTH(BB$4)),AN178*(1+Macroindicadores!K$7),IF(AND($J178="PONTUAL",MONTH($O178)&lt;MONTH(BB$4)),MIN($AS178:BA178),IF(AND($I178="NOVO",MONTH($O178)&gt;MONTH(BB$4)),AN178,IF(MONTH($O178)&gt;MONTH(BB$4),AN178,IF(MONTH($O178)=MONTH(BB$4),AN178*(1+Macroindicadores!K$7),BA178)))))))))</f>
        <v>9.5</v>
      </c>
      <c r="BC178" s="39">
        <f>IF(ISBLANK(AA178),"",IF(ISBLANK($O178),AO178,IF($J178="ANUAL",AO178*(1+Macroindicadores!L$7),IF(AND($I178="NOVO",MONTH($O178)=MONTH(BC$4)),AO178*(1+Macroindicadores!L$7),IF(AND($J178="PONTUAL",MONTH($O178)=MONTH(BC$4)),AO178*(1+Macroindicadores!L$7),IF(AND($J178="PONTUAL",MONTH($O178)&lt;MONTH(BC$4)),MIN($AS178:BB178),IF(AND($I178="NOVO",MONTH($O178)&gt;MONTH(BC$4)),AO178,IF(MONTH($O178)&gt;MONTH(BC$4),AO178,IF(MONTH($O178)=MONTH(BC$4),AO178*(1+Macroindicadores!L$7),BB178)))))))))</f>
        <v>9.5</v>
      </c>
      <c r="BD178" s="39">
        <f>IF(ISBLANK(AB178),"",IF(ISBLANK($O178),AP178,IF($J178="ANUAL",AP178*(1+Macroindicadores!M$7),IF(AND($I178="NOVO",MONTH($O178)=MONTH(BD$4)),AP178*(1+Macroindicadores!M$7),IF(AND($J178="PONTUAL",MONTH($O178)=MONTH(BD$4)),AP178*(1+Macroindicadores!M$7),IF(AND($J178="PONTUAL",MONTH($O178)&lt;MONTH(BD$4)),MIN($AS178:BC178),IF(AND($I178="NOVO",MONTH($O178)&gt;MONTH(BD$4)),AP178,IF(MONTH($O178)&gt;MONTH(BD$4),AP178,IF(MONTH($O178)=MONTH(BD$4),AP178*(1+Macroindicadores!M$7),BC178)))))))))</f>
        <v>9.5</v>
      </c>
      <c r="BE178" s="40">
        <f t="shared" si="78"/>
        <v>114</v>
      </c>
      <c r="BG178" s="39">
        <f>IF(ISBLANK(Q178),"",AS178/Macroindicadores!B$2)</f>
        <v>1.6156462585034015</v>
      </c>
      <c r="BH178" s="39">
        <f>IF(ISBLANK(R178),"",AT178/Macroindicadores!C$2)</f>
        <v>1.6156462585034015</v>
      </c>
      <c r="BI178" s="39">
        <f>IF(ISBLANK(S178),"",AU178/Macroindicadores!D$2)</f>
        <v>1.6156462585034015</v>
      </c>
      <c r="BJ178" s="39">
        <f>IF(ISBLANK(T178),"",AV178/Macroindicadores!E$2)</f>
        <v>1.6156462585034015</v>
      </c>
      <c r="BK178" s="39">
        <f>IF(ISBLANK(U178),"",AW178/Macroindicadores!F$2)</f>
        <v>1.6156462585034015</v>
      </c>
      <c r="BL178" s="39">
        <f>IF(ISBLANK(V178),"",AX178/Macroindicadores!G$2)</f>
        <v>1.6156462585034015</v>
      </c>
      <c r="BM178" s="39">
        <f>IF(ISBLANK(W178),"",AY178/Macroindicadores!H$2)</f>
        <v>1.6156462585034015</v>
      </c>
      <c r="BN178" s="39">
        <f>IF(ISBLANK(X178),"",AZ178/Macroindicadores!I$2)</f>
        <v>1.6156462585034015</v>
      </c>
      <c r="BO178" s="39">
        <f>IF(ISBLANK(Y178),"",BA178/Macroindicadores!J$2)</f>
        <v>1.6156462585034015</v>
      </c>
      <c r="BP178" s="39">
        <f>IF(ISBLANK(Z178),"",BB178/Macroindicadores!K$2)</f>
        <v>1.6156462585034015</v>
      </c>
      <c r="BQ178" s="39">
        <f>IF(ISBLANK(AA178),"",BC178/Macroindicadores!L$2)</f>
        <v>1.6156462585034015</v>
      </c>
      <c r="BR178" s="39">
        <f>IF(ISBLANK(AB178),"",BD178/Macroindicadores!M$2)</f>
        <v>1.6156462585034015</v>
      </c>
      <c r="BS178" s="40">
        <f>IF(AND(ISBLANK($Q178),ISBLANK($R178),ISBLANK($S178),ISBLANK($T178),ISBLANK($U178),ISBLANK($V178),ISBLANK($W178),ISBLANK($X178),ISBLANK($Y178),ISBLANK($Z178),ISBLANK($AA178),ISBLANK($AB178)),"",SUM(BG178:BR178))</f>
        <v>19.387755102040813</v>
      </c>
      <c r="BT178" s="25" t="str">
        <f>IF(ISBLANK($L178),"",_xlfn.XLOOKUP($L178,'CENTRO CUSTO'!$A:$A,'CENTRO CUSTO'!$E:$E,FALSE,0))</f>
        <v>G&amp;A BU</v>
      </c>
    </row>
    <row r="179" spans="1:72">
      <c r="A179" s="9" t="str">
        <f t="shared" si="80"/>
        <v>Budget</v>
      </c>
      <c r="B179" s="9">
        <f t="shared" si="77"/>
        <v>2026</v>
      </c>
      <c r="C179" s="18" t="str">
        <f>IF(ISBLANK($L179),"",_xlfn.XLOOKUP($L179,'CENTRO CUSTO'!$A:$A,'CENTRO CUSTO'!F:F,FALSE,0))</f>
        <v>MRV</v>
      </c>
      <c r="D179" s="111" t="str">
        <f>IF(ISBLANK($L179),"",_xlfn.XLOOKUP($L179,'CENTRO CUSTO'!$A:$A,'CENTRO CUSTO'!G:G,FALSE,0))</f>
        <v>BU-MRV</v>
      </c>
      <c r="E179" s="18" t="str">
        <f>IF(ISBLANK($L179),"",_xlfn.XLOOKUP($L179,'CENTRO CUSTO'!$A:$A,'CENTRO CUSTO'!H:H,FALSE,0))</f>
        <v>G&amp;A</v>
      </c>
      <c r="F179" s="10" t="s">
        <v>179</v>
      </c>
      <c r="G179" s="10" t="s">
        <v>75</v>
      </c>
      <c r="H179" s="10" t="s">
        <v>185</v>
      </c>
      <c r="I179" s="11" t="s">
        <v>77</v>
      </c>
      <c r="J179" s="11" t="s">
        <v>181</v>
      </c>
      <c r="K179" s="11" t="s">
        <v>121</v>
      </c>
      <c r="L179" s="11" t="s">
        <v>45</v>
      </c>
      <c r="M179" s="18" t="str">
        <f>IF(ISBLANK($L179),"",_xlfn.XLOOKUP($L179,'CENTRO CUSTO'!$A:$A,'CENTRO CUSTO'!D:D,FALSE,0))</f>
        <v>Alexandre Ayabe</v>
      </c>
      <c r="N179" s="11" t="s">
        <v>91</v>
      </c>
      <c r="O179" s="12"/>
      <c r="P179" s="11" t="s">
        <v>81</v>
      </c>
      <c r="Q179" s="41">
        <f>228000*Rateio!$E$230/12</f>
        <v>950</v>
      </c>
      <c r="R179" s="41">
        <f>228000*Rateio!$E$230/12</f>
        <v>950</v>
      </c>
      <c r="S179" s="41">
        <f>228000*Rateio!$E$230/12</f>
        <v>950</v>
      </c>
      <c r="T179" s="41">
        <f>228000*Rateio!$E$230/12</f>
        <v>950</v>
      </c>
      <c r="U179" s="41">
        <f>228000*Rateio!$E$230/12</f>
        <v>950</v>
      </c>
      <c r="V179" s="41">
        <f>228000*Rateio!$E$230/12</f>
        <v>950</v>
      </c>
      <c r="W179" s="41">
        <f>228000*Rateio!$E$230/12</f>
        <v>950</v>
      </c>
      <c r="X179" s="41">
        <f>228000*Rateio!$E$230/12</f>
        <v>950</v>
      </c>
      <c r="Y179" s="41">
        <f>228000*Rateio!$E$230/12</f>
        <v>950</v>
      </c>
      <c r="Z179" s="41">
        <f>228000*Rateio!$E$230/12</f>
        <v>950</v>
      </c>
      <c r="AA179" s="41">
        <f>228000*Rateio!$E$230/12</f>
        <v>950</v>
      </c>
      <c r="AB179" s="41">
        <f>228000*Rateio!$E$230/12</f>
        <v>950</v>
      </c>
      <c r="AC179" s="116">
        <f t="shared" ref="AC179:AC181" si="84">IF(AND(ISBLANK($Q179),ISBLANK($R179),ISBLANK($S179),ISBLANK($T179),ISBLANK($U179),ISBLANK($V179),ISBLANK($W179),ISBLANK($X179),ISBLANK($Y179),ISBLANK($Z179),ISBLANK($AA179),ISBLANK($AB179)),"",SUM(Q179:AB179))</f>
        <v>11400</v>
      </c>
      <c r="AE179" s="39">
        <f>IF(ISBLANK(Q179),"",IF($P179="BRL",Q179,Q179*Macroindicadores!B$2)/1000)</f>
        <v>0.95</v>
      </c>
      <c r="AF179" s="39">
        <f>IF(ISBLANK(R179),"",IF($P179="BRL",R179,R179*Macroindicadores!C$2)/1000)</f>
        <v>0.95</v>
      </c>
      <c r="AG179" s="39">
        <f>IF(ISBLANK(S179),"",IF($P179="BRL",S179,S179*Macroindicadores!D$2)/1000)</f>
        <v>0.95</v>
      </c>
      <c r="AH179" s="39">
        <f>IF(ISBLANK(T179),"",IF($P179="BRL",T179,T179*Macroindicadores!E$2)/1000)</f>
        <v>0.95</v>
      </c>
      <c r="AI179" s="39">
        <f>IF(ISBLANK(U179),"",IF($P179="BRL",U179,U179*Macroindicadores!F$2)/1000)</f>
        <v>0.95</v>
      </c>
      <c r="AJ179" s="39">
        <f>IF(ISBLANK(V179),"",IF($P179="BRL",V179,V179*Macroindicadores!G$2)/1000)</f>
        <v>0.95</v>
      </c>
      <c r="AK179" s="39">
        <f>IF(ISBLANK(W179),"",IF($P179="BRL",W179,W179*Macroindicadores!H$2)/1000)</f>
        <v>0.95</v>
      </c>
      <c r="AL179" s="39">
        <f>IF(ISBLANK(X179),"",IF($P179="BRL",X179,X179*Macroindicadores!I$2)/1000)</f>
        <v>0.95</v>
      </c>
      <c r="AM179" s="39">
        <f>IF(ISBLANK(Y179),"",IF($P179="BRL",Y179,Y179*Macroindicadores!J$2)/1000)</f>
        <v>0.95</v>
      </c>
      <c r="AN179" s="39">
        <f>IF(ISBLANK(Z179),"",IF($P179="BRL",Z179,Z179*Macroindicadores!K$2)/1000)</f>
        <v>0.95</v>
      </c>
      <c r="AO179" s="39">
        <f>IF(ISBLANK(AA179),"",IF($P179="BRL",AA179,AA179*Macroindicadores!L$2)/1000)</f>
        <v>0.95</v>
      </c>
      <c r="AP179" s="39">
        <f>IF(ISBLANK(AB179),"",IF($P179="BRL",AB179,AB179*Macroindicadores!M$2)/1000)</f>
        <v>0.95</v>
      </c>
      <c r="AQ179" s="40">
        <f t="shared" ref="AQ179:AQ181" si="85">IF(AND(ISBLANK($Q179),ISBLANK($R179),ISBLANK($S179),ISBLANK($T179),ISBLANK($U179),ISBLANK($V179),ISBLANK($W179),ISBLANK($X179),ISBLANK($Y179),ISBLANK($Z179),ISBLANK($AA179),ISBLANK($AB179)),"",SUM(AE179:AP179))</f>
        <v>11.399999999999999</v>
      </c>
      <c r="AS179" s="39">
        <f>IF(ISBLANK(Q179),"",IF(ISBLANK($O179),AE179,IF($J179="ANUAL",AE179*(1+Macroindicadores!B$7),IF(AND($I179="NOVO",MONTH($O179)=MONTH(AS$4)),AE179*(1+Macroindicadores!B$7),IF(AND($J179="PONTUAL",MONTH($O179)=MONTH(AS$4)),AE179*(1+Macroindicadores!B$7),IF(AND($J179="PONTUAL",MONTH($O179)&lt;MONTH(AS$4)),MIN(AR179:$AS179),IF(AND($I179="NOVO",MONTH($O179)&gt;MONTH(AS$4)),AE179,IF(MONTH($O179)&gt;MONTH(AS$4),AE179,IF(MONTH($O179)=MONTH(AS$4),AE179*(1+Macroindicadores!B$7),AR179)))))))))</f>
        <v>0.95</v>
      </c>
      <c r="AT179" s="39">
        <f>IF(ISBLANK(R179),"",IF(ISBLANK($O179),AF179,IF($J179="ANUAL",AF179*(1+Macroindicadores!C$7),IF(AND($I179="NOVO",MONTH($O179)=MONTH(AT$4)),AF179*(1+Macroindicadores!C$7),IF(AND($J179="PONTUAL",MONTH($O179)=MONTH(AT$4)),AF179*(1+Macroindicadores!C$7),IF(AND($J179="PONTUAL",MONTH($O179)&lt;MONTH(AT$4)),MIN($AS179:AS179),IF(AND($I179="NOVO",MONTH($O179)&gt;MONTH(AT$4)),AF179,IF(MONTH($O179)&gt;MONTH(AT$4),AF179,IF(MONTH($O179)=MONTH(AT$4),AF179*(1+Macroindicadores!C$7),AS179)))))))))</f>
        <v>0.95</v>
      </c>
      <c r="AU179" s="39">
        <f>IF(ISBLANK(S179),"",IF(ISBLANK($O179),AG179,IF($J179="ANUAL",AG179*(1+Macroindicadores!D$7),IF(AND($I179="NOVO",MONTH($O179)=MONTH(AU$4)),AG179*(1+Macroindicadores!D$7),IF(AND($J179="PONTUAL",MONTH($O179)=MONTH(AU$4)),AG179*(1+Macroindicadores!D$7),IF(AND($J179="PONTUAL",MONTH($O179)&lt;MONTH(AU$4)),MIN($AS179:AT179),IF(AND($I179="NOVO",MONTH($O179)&gt;MONTH(AU$4)),AG179,IF(MONTH($O179)&gt;MONTH(AU$4),AG179,IF(MONTH($O179)=MONTH(AU$4),AG179*(1+Macroindicadores!D$7),AT179)))))))))</f>
        <v>0.95</v>
      </c>
      <c r="AV179" s="39">
        <f>IF(ISBLANK(T179),"",IF(ISBLANK($O179),AH179,IF($J179="ANUAL",AH179*(1+Macroindicadores!E$7),IF(AND($I179="NOVO",MONTH($O179)=MONTH(AV$4)),AH179*(1+Macroindicadores!E$7),IF(AND($J179="PONTUAL",MONTH($O179)=MONTH(AV$4)),AH179*(1+Macroindicadores!E$7),IF(AND($J179="PONTUAL",MONTH($O179)&lt;MONTH(AV$4)),MIN($AS179:AU179),IF(AND($I179="NOVO",MONTH($O179)&gt;MONTH(AV$4)),AH179,IF(MONTH($O179)&gt;MONTH(AV$4),AH179,IF(MONTH($O179)=MONTH(AV$4),AH179*(1+Macroindicadores!E$7),AU179)))))))))</f>
        <v>0.95</v>
      </c>
      <c r="AW179" s="39">
        <f>IF(ISBLANK(U179),"",IF(ISBLANK($O179),AI179,IF($J179="ANUAL",AI179*(1+Macroindicadores!F$7),IF(AND($I179="NOVO",MONTH($O179)=MONTH(AW$4)),AI179*(1+Macroindicadores!F$7),IF(AND($J179="PONTUAL",MONTH($O179)=MONTH(AW$4)),AI179*(1+Macroindicadores!F$7),IF(AND($J179="PONTUAL",MONTH($O179)&lt;MONTH(AW$4)),MIN($AS179:AV179),IF(AND($I179="NOVO",MONTH($O179)&gt;MONTH(AW$4)),AI179,IF(MONTH($O179)&gt;MONTH(AW$4),AI179,IF(MONTH($O179)=MONTH(AW$4),AI179*(1+Macroindicadores!F$7),AV179)))))))))</f>
        <v>0.95</v>
      </c>
      <c r="AX179" s="39">
        <f>IF(ISBLANK(V179),"",IF(ISBLANK($O179),AJ179,IF($J179="ANUAL",AJ179*(1+Macroindicadores!G$7),IF(AND($I179="NOVO",MONTH($O179)=MONTH(AX$4)),AJ179*(1+Macroindicadores!G$7),IF(AND($J179="PONTUAL",MONTH($O179)=MONTH(AX$4)),AJ179*(1+Macroindicadores!G$7),IF(AND($J179="PONTUAL",MONTH($O179)&lt;MONTH(AX$4)),MIN($AS179:AW179),IF(AND($I179="NOVO",MONTH($O179)&gt;MONTH(AX$4)),AJ179,IF(MONTH($O179)&gt;MONTH(AX$4),AJ179,IF(MONTH($O179)=MONTH(AX$4),AJ179*(1+Macroindicadores!G$7),AW179)))))))))</f>
        <v>0.95</v>
      </c>
      <c r="AY179" s="39">
        <f>IF(ISBLANK(W179),"",IF(ISBLANK($O179),AK179,IF($J179="ANUAL",AK179*(1+Macroindicadores!H$7),IF(AND($I179="NOVO",MONTH($O179)=MONTH(AY$4)),AK179*(1+Macroindicadores!H$7),IF(AND($J179="PONTUAL",MONTH($O179)=MONTH(AY$4)),AK179*(1+Macroindicadores!H$7),IF(AND($J179="PONTUAL",MONTH($O179)&lt;MONTH(AY$4)),MIN($AS179:AX179),IF(AND($I179="NOVO",MONTH($O179)&gt;MONTH(AY$4)),AK179,IF(MONTH($O179)&gt;MONTH(AY$4),AK179,IF(MONTH($O179)=MONTH(AY$4),AK179*(1+Macroindicadores!H$7),AX179)))))))))</f>
        <v>0.95</v>
      </c>
      <c r="AZ179" s="39">
        <f>IF(ISBLANK(X179),"",IF(ISBLANK($O179),AL179,IF($J179="ANUAL",AL179*(1+Macroindicadores!I$7),IF(AND($I179="NOVO",MONTH($O179)=MONTH(AZ$4)),AL179*(1+Macroindicadores!I$7),IF(AND($J179="PONTUAL",MONTH($O179)=MONTH(AZ$4)),AL179*(1+Macroindicadores!I$7),IF(AND($J179="PONTUAL",MONTH($O179)&lt;MONTH(AZ$4)),MIN($AS179:AY179),IF(AND($I179="NOVO",MONTH($O179)&gt;MONTH(AZ$4)),AL179,IF(MONTH($O179)&gt;MONTH(AZ$4),AL179,IF(MONTH($O179)=MONTH(AZ$4),AL179*(1+Macroindicadores!I$7),AY179)))))))))</f>
        <v>0.95</v>
      </c>
      <c r="BA179" s="39">
        <f>IF(ISBLANK(Y179),"",IF(ISBLANK($O179),AM179,IF($J179="ANUAL",AM179*(1+Macroindicadores!J$7),IF(AND($I179="NOVO",MONTH($O179)=MONTH(BA$4)),AM179*(1+Macroindicadores!J$7),IF(AND($J179="PONTUAL",MONTH($O179)=MONTH(BA$4)),AM179*(1+Macroindicadores!J$7),IF(AND($J179="PONTUAL",MONTH($O179)&lt;MONTH(BA$4)),MIN($AS179:AZ179),IF(AND($I179="NOVO",MONTH($O179)&gt;MONTH(BA$4)),AM179,IF(MONTH($O179)&gt;MONTH(BA$4),AM179,IF(MONTH($O179)=MONTH(BA$4),AM179*(1+Macroindicadores!J$7),AZ179)))))))))</f>
        <v>0.95</v>
      </c>
      <c r="BB179" s="39">
        <f>IF(ISBLANK(Z179),"",IF(ISBLANK($O179),AN179,IF($J179="ANUAL",AN179*(1+Macroindicadores!K$7),IF(AND($I179="NOVO",MONTH($O179)=MONTH(BB$4)),AN179*(1+Macroindicadores!K$7),IF(AND($J179="PONTUAL",MONTH($O179)=MONTH(BB$4)),AN179*(1+Macroindicadores!K$7),IF(AND($J179="PONTUAL",MONTH($O179)&lt;MONTH(BB$4)),MIN($AS179:BA179),IF(AND($I179="NOVO",MONTH($O179)&gt;MONTH(BB$4)),AN179,IF(MONTH($O179)&gt;MONTH(BB$4),AN179,IF(MONTH($O179)=MONTH(BB$4),AN179*(1+Macroindicadores!K$7),BA179)))))))))</f>
        <v>0.95</v>
      </c>
      <c r="BC179" s="39">
        <f>IF(ISBLANK(AA179),"",IF(ISBLANK($O179),AO179,IF($J179="ANUAL",AO179*(1+Macroindicadores!L$7),IF(AND($I179="NOVO",MONTH($O179)=MONTH(BC$4)),AO179*(1+Macroindicadores!L$7),IF(AND($J179="PONTUAL",MONTH($O179)=MONTH(BC$4)),AO179*(1+Macroindicadores!L$7),IF(AND($J179="PONTUAL",MONTH($O179)&lt;MONTH(BC$4)),MIN($AS179:BB179),IF(AND($I179="NOVO",MONTH($O179)&gt;MONTH(BC$4)),AO179,IF(MONTH($O179)&gt;MONTH(BC$4),AO179,IF(MONTH($O179)=MONTH(BC$4),AO179*(1+Macroindicadores!L$7),BB179)))))))))</f>
        <v>0.95</v>
      </c>
      <c r="BD179" s="39">
        <f>IF(ISBLANK(AB179),"",IF(ISBLANK($O179),AP179,IF($J179="ANUAL",AP179*(1+Macroindicadores!M$7),IF(AND($I179="NOVO",MONTH($O179)=MONTH(BD$4)),AP179*(1+Macroindicadores!M$7),IF(AND($J179="PONTUAL",MONTH($O179)=MONTH(BD$4)),AP179*(1+Macroindicadores!M$7),IF(AND($J179="PONTUAL",MONTH($O179)&lt;MONTH(BD$4)),MIN($AS179:BC179),IF(AND($I179="NOVO",MONTH($O179)&gt;MONTH(BD$4)),AP179,IF(MONTH($O179)&gt;MONTH(BD$4),AP179,IF(MONTH($O179)=MONTH(BD$4),AP179*(1+Macroindicadores!M$7),BC179)))))))))</f>
        <v>0.95</v>
      </c>
      <c r="BE179" s="40">
        <f t="shared" ref="BE179:BE181" si="86">IF(AND(ISBLANK($Q179),ISBLANK($R179),ISBLANK($S179),ISBLANK($T179),ISBLANK($U179),ISBLANK($V179),ISBLANK($W179),ISBLANK($X179),ISBLANK($Y179),ISBLANK($Z179),ISBLANK($AA179),ISBLANK($AB179)),"",SUM(AS179:BD179))</f>
        <v>11.399999999999999</v>
      </c>
      <c r="BG179" s="39">
        <f>IF(ISBLANK(Q179),"",AS179/Macroindicadores!B$2)</f>
        <v>0.16156462585034012</v>
      </c>
      <c r="BH179" s="39">
        <f>IF(ISBLANK(R179),"",AT179/Macroindicadores!C$2)</f>
        <v>0.16156462585034012</v>
      </c>
      <c r="BI179" s="39">
        <f>IF(ISBLANK(S179),"",AU179/Macroindicadores!D$2)</f>
        <v>0.16156462585034012</v>
      </c>
      <c r="BJ179" s="39">
        <f>IF(ISBLANK(T179),"",AV179/Macroindicadores!E$2)</f>
        <v>0.16156462585034012</v>
      </c>
      <c r="BK179" s="39">
        <f>IF(ISBLANK(U179),"",AW179/Macroindicadores!F$2)</f>
        <v>0.16156462585034012</v>
      </c>
      <c r="BL179" s="39">
        <f>IF(ISBLANK(V179),"",AX179/Macroindicadores!G$2)</f>
        <v>0.16156462585034012</v>
      </c>
      <c r="BM179" s="39">
        <f>IF(ISBLANK(W179),"",AY179/Macroindicadores!H$2)</f>
        <v>0.16156462585034012</v>
      </c>
      <c r="BN179" s="39">
        <f>IF(ISBLANK(X179),"",AZ179/Macroindicadores!I$2)</f>
        <v>0.16156462585034012</v>
      </c>
      <c r="BO179" s="39">
        <f>IF(ISBLANK(Y179),"",BA179/Macroindicadores!J$2)</f>
        <v>0.16156462585034012</v>
      </c>
      <c r="BP179" s="39">
        <f>IF(ISBLANK(Z179),"",BB179/Macroindicadores!K$2)</f>
        <v>0.16156462585034012</v>
      </c>
      <c r="BQ179" s="39">
        <f>IF(ISBLANK(AA179),"",BC179/Macroindicadores!L$2)</f>
        <v>0.16156462585034012</v>
      </c>
      <c r="BR179" s="39">
        <f>IF(ISBLANK(AB179),"",BD179/Macroindicadores!M$2)</f>
        <v>0.16156462585034012</v>
      </c>
      <c r="BS179" s="40">
        <f>IF(AND(ISBLANK($Q179),ISBLANK($R179),ISBLANK($S179),ISBLANK($T179),ISBLANK($U179),ISBLANK($V179),ISBLANK($W179),ISBLANK($X179),ISBLANK($Y179),ISBLANK($Z179),ISBLANK($AA179),ISBLANK($AB179)),"",SUM(BG179:BR179))</f>
        <v>1.9387755102040811</v>
      </c>
      <c r="BT179" s="25" t="str">
        <f>IF(ISBLANK($L179),"",_xlfn.XLOOKUP($L179,'CENTRO CUSTO'!$A:$A,'CENTRO CUSTO'!$E:$E,FALSE,0))</f>
        <v>G&amp;A BU</v>
      </c>
    </row>
    <row r="180" spans="1:72">
      <c r="A180" s="9" t="str">
        <f t="shared" si="80"/>
        <v>Budget</v>
      </c>
      <c r="B180" s="9">
        <f t="shared" si="77"/>
        <v>2026</v>
      </c>
      <c r="C180" s="18" t="str">
        <f>IF(ISBLANK($L180),"",_xlfn.XLOOKUP($L180,'CENTRO CUSTO'!$A:$A,'CENTRO CUSTO'!F:F,FALSE,0))</f>
        <v>SKM</v>
      </c>
      <c r="D180" s="111" t="str">
        <f>IF(ISBLANK($L180),"",_xlfn.XLOOKUP($L180,'CENTRO CUSTO'!$A:$A,'CENTRO CUSTO'!G:G,FALSE,0))</f>
        <v>BU-SKM</v>
      </c>
      <c r="E180" s="18" t="str">
        <f>IF(ISBLANK($L180),"",_xlfn.XLOOKUP($L180,'CENTRO CUSTO'!$A:$A,'CENTRO CUSTO'!H:H,FALSE,0))</f>
        <v>G&amp;A</v>
      </c>
      <c r="F180" s="10" t="s">
        <v>179</v>
      </c>
      <c r="G180" s="10" t="s">
        <v>75</v>
      </c>
      <c r="H180" s="10" t="s">
        <v>185</v>
      </c>
      <c r="I180" s="11" t="s">
        <v>77</v>
      </c>
      <c r="J180" s="11" t="s">
        <v>181</v>
      </c>
      <c r="K180" s="11" t="s">
        <v>121</v>
      </c>
      <c r="L180" s="11" t="s">
        <v>50</v>
      </c>
      <c r="M180" s="18" t="str">
        <f>IF(ISBLANK($L180),"",_xlfn.XLOOKUP($L180,'CENTRO CUSTO'!$A:$A,'CENTRO CUSTO'!D:D,FALSE,0))</f>
        <v>Alexandre Ayabe</v>
      </c>
      <c r="N180" s="11" t="s">
        <v>91</v>
      </c>
      <c r="O180" s="12"/>
      <c r="P180" s="11" t="s">
        <v>81</v>
      </c>
      <c r="Q180" s="41">
        <f>228000*Rateio!$E$233/12</f>
        <v>1140</v>
      </c>
      <c r="R180" s="41">
        <f>228000*Rateio!$E$233/12</f>
        <v>1140</v>
      </c>
      <c r="S180" s="41">
        <f>228000*Rateio!$E$233/12</f>
        <v>1140</v>
      </c>
      <c r="T180" s="41">
        <f>228000*Rateio!$E$233/12</f>
        <v>1140</v>
      </c>
      <c r="U180" s="41">
        <f>228000*Rateio!$E$233/12</f>
        <v>1140</v>
      </c>
      <c r="V180" s="41">
        <f>228000*Rateio!$E$233/12</f>
        <v>1140</v>
      </c>
      <c r="W180" s="41">
        <f>228000*Rateio!$E$233/12</f>
        <v>1140</v>
      </c>
      <c r="X180" s="41">
        <f>228000*Rateio!$E$233/12</f>
        <v>1140</v>
      </c>
      <c r="Y180" s="41">
        <f>228000*Rateio!$E$233/12</f>
        <v>1140</v>
      </c>
      <c r="Z180" s="41">
        <f>228000*Rateio!$E$233/12</f>
        <v>1140</v>
      </c>
      <c r="AA180" s="41">
        <f>228000*Rateio!$E$233/12</f>
        <v>1140</v>
      </c>
      <c r="AB180" s="41">
        <f>228000*Rateio!$E$233/12</f>
        <v>1140</v>
      </c>
      <c r="AC180" s="116">
        <f t="shared" si="84"/>
        <v>13680</v>
      </c>
      <c r="AE180" s="39">
        <f>IF(ISBLANK(Q180),"",IF($P180="BRL",Q180,Q180*Macroindicadores!B$2)/1000)</f>
        <v>1.1399999999999999</v>
      </c>
      <c r="AF180" s="39">
        <f>IF(ISBLANK(R180),"",IF($P180="BRL",R180,R180*Macroindicadores!C$2)/1000)</f>
        <v>1.1399999999999999</v>
      </c>
      <c r="AG180" s="39">
        <f>IF(ISBLANK(S180),"",IF($P180="BRL",S180,S180*Macroindicadores!D$2)/1000)</f>
        <v>1.1399999999999999</v>
      </c>
      <c r="AH180" s="39">
        <f>IF(ISBLANK(T180),"",IF($P180="BRL",T180,T180*Macroindicadores!E$2)/1000)</f>
        <v>1.1399999999999999</v>
      </c>
      <c r="AI180" s="39">
        <f>IF(ISBLANK(U180),"",IF($P180="BRL",U180,U180*Macroindicadores!F$2)/1000)</f>
        <v>1.1399999999999999</v>
      </c>
      <c r="AJ180" s="39">
        <f>IF(ISBLANK(V180),"",IF($P180="BRL",V180,V180*Macroindicadores!G$2)/1000)</f>
        <v>1.1399999999999999</v>
      </c>
      <c r="AK180" s="39">
        <f>IF(ISBLANK(W180),"",IF($P180="BRL",W180,W180*Macroindicadores!H$2)/1000)</f>
        <v>1.1399999999999999</v>
      </c>
      <c r="AL180" s="39">
        <f>IF(ISBLANK(X180),"",IF($P180="BRL",X180,X180*Macroindicadores!I$2)/1000)</f>
        <v>1.1399999999999999</v>
      </c>
      <c r="AM180" s="39">
        <f>IF(ISBLANK(Y180),"",IF($P180="BRL",Y180,Y180*Macroindicadores!J$2)/1000)</f>
        <v>1.1399999999999999</v>
      </c>
      <c r="AN180" s="39">
        <f>IF(ISBLANK(Z180),"",IF($P180="BRL",Z180,Z180*Macroindicadores!K$2)/1000)</f>
        <v>1.1399999999999999</v>
      </c>
      <c r="AO180" s="39">
        <f>IF(ISBLANK(AA180),"",IF($P180="BRL",AA180,AA180*Macroindicadores!L$2)/1000)</f>
        <v>1.1399999999999999</v>
      </c>
      <c r="AP180" s="39">
        <f>IF(ISBLANK(AB180),"",IF($P180="BRL",AB180,AB180*Macroindicadores!M$2)/1000)</f>
        <v>1.1399999999999999</v>
      </c>
      <c r="AQ180" s="40">
        <f t="shared" si="85"/>
        <v>13.680000000000001</v>
      </c>
      <c r="AS180" s="39">
        <f>IF(ISBLANK(Q180),"",IF(ISBLANK($O180),AE180,IF($J180="ANUAL",AE180*(1+Macroindicadores!B$7),IF(AND($I180="NOVO",MONTH($O180)=MONTH(AS$4)),AE180*(1+Macroindicadores!B$7),IF(AND($J180="PONTUAL",MONTH($O180)=MONTH(AS$4)),AE180*(1+Macroindicadores!B$7),IF(AND($J180="PONTUAL",MONTH($O180)&lt;MONTH(AS$4)),MIN(AR180:$AS180),IF(AND($I180="NOVO",MONTH($O180)&gt;MONTH(AS$4)),AE180,IF(MONTH($O180)&gt;MONTH(AS$4),AE180,IF(MONTH($O180)=MONTH(AS$4),AE180*(1+Macroindicadores!B$7),AR180)))))))))</f>
        <v>1.1399999999999999</v>
      </c>
      <c r="AT180" s="39">
        <f>IF(ISBLANK(R180),"",IF(ISBLANK($O180),AF180,IF($J180="ANUAL",AF180*(1+Macroindicadores!C$7),IF(AND($I180="NOVO",MONTH($O180)=MONTH(AT$4)),AF180*(1+Macroindicadores!C$7),IF(AND($J180="PONTUAL",MONTH($O180)=MONTH(AT$4)),AF180*(1+Macroindicadores!C$7),IF(AND($J180="PONTUAL",MONTH($O180)&lt;MONTH(AT$4)),MIN($AS180:AS180),IF(AND($I180="NOVO",MONTH($O180)&gt;MONTH(AT$4)),AF180,IF(MONTH($O180)&gt;MONTH(AT$4),AF180,IF(MONTH($O180)=MONTH(AT$4),AF180*(1+Macroindicadores!C$7),AS180)))))))))</f>
        <v>1.1399999999999999</v>
      </c>
      <c r="AU180" s="39">
        <f>IF(ISBLANK(S180),"",IF(ISBLANK($O180),AG180,IF($J180="ANUAL",AG180*(1+Macroindicadores!D$7),IF(AND($I180="NOVO",MONTH($O180)=MONTH(AU$4)),AG180*(1+Macroindicadores!D$7),IF(AND($J180="PONTUAL",MONTH($O180)=MONTH(AU$4)),AG180*(1+Macroindicadores!D$7),IF(AND($J180="PONTUAL",MONTH($O180)&lt;MONTH(AU$4)),MIN($AS180:AT180),IF(AND($I180="NOVO",MONTH($O180)&gt;MONTH(AU$4)),AG180,IF(MONTH($O180)&gt;MONTH(AU$4),AG180,IF(MONTH($O180)=MONTH(AU$4),AG180*(1+Macroindicadores!D$7),AT180)))))))))</f>
        <v>1.1399999999999999</v>
      </c>
      <c r="AV180" s="39">
        <f>IF(ISBLANK(T180),"",IF(ISBLANK($O180),AH180,IF($J180="ANUAL",AH180*(1+Macroindicadores!E$7),IF(AND($I180="NOVO",MONTH($O180)=MONTH(AV$4)),AH180*(1+Macroindicadores!E$7),IF(AND($J180="PONTUAL",MONTH($O180)=MONTH(AV$4)),AH180*(1+Macroindicadores!E$7),IF(AND($J180="PONTUAL",MONTH($O180)&lt;MONTH(AV$4)),MIN($AS180:AU180),IF(AND($I180="NOVO",MONTH($O180)&gt;MONTH(AV$4)),AH180,IF(MONTH($O180)&gt;MONTH(AV$4),AH180,IF(MONTH($O180)=MONTH(AV$4),AH180*(1+Macroindicadores!E$7),AU180)))))))))</f>
        <v>1.1399999999999999</v>
      </c>
      <c r="AW180" s="39">
        <f>IF(ISBLANK(U180),"",IF(ISBLANK($O180),AI180,IF($J180="ANUAL",AI180*(1+Macroindicadores!F$7),IF(AND($I180="NOVO",MONTH($O180)=MONTH(AW$4)),AI180*(1+Macroindicadores!F$7),IF(AND($J180="PONTUAL",MONTH($O180)=MONTH(AW$4)),AI180*(1+Macroindicadores!F$7),IF(AND($J180="PONTUAL",MONTH($O180)&lt;MONTH(AW$4)),MIN($AS180:AV180),IF(AND($I180="NOVO",MONTH($O180)&gt;MONTH(AW$4)),AI180,IF(MONTH($O180)&gt;MONTH(AW$4),AI180,IF(MONTH($O180)=MONTH(AW$4),AI180*(1+Macroindicadores!F$7),AV180)))))))))</f>
        <v>1.1399999999999999</v>
      </c>
      <c r="AX180" s="39">
        <f>IF(ISBLANK(V180),"",IF(ISBLANK($O180),AJ180,IF($J180="ANUAL",AJ180*(1+Macroindicadores!G$7),IF(AND($I180="NOVO",MONTH($O180)=MONTH(AX$4)),AJ180*(1+Macroindicadores!G$7),IF(AND($J180="PONTUAL",MONTH($O180)=MONTH(AX$4)),AJ180*(1+Macroindicadores!G$7),IF(AND($J180="PONTUAL",MONTH($O180)&lt;MONTH(AX$4)),MIN($AS180:AW180),IF(AND($I180="NOVO",MONTH($O180)&gt;MONTH(AX$4)),AJ180,IF(MONTH($O180)&gt;MONTH(AX$4),AJ180,IF(MONTH($O180)=MONTH(AX$4),AJ180*(1+Macroindicadores!G$7),AW180)))))))))</f>
        <v>1.1399999999999999</v>
      </c>
      <c r="AY180" s="39">
        <f>IF(ISBLANK(W180),"",IF(ISBLANK($O180),AK180,IF($J180="ANUAL",AK180*(1+Macroindicadores!H$7),IF(AND($I180="NOVO",MONTH($O180)=MONTH(AY$4)),AK180*(1+Macroindicadores!H$7),IF(AND($J180="PONTUAL",MONTH($O180)=MONTH(AY$4)),AK180*(1+Macroindicadores!H$7),IF(AND($J180="PONTUAL",MONTH($O180)&lt;MONTH(AY$4)),MIN($AS180:AX180),IF(AND($I180="NOVO",MONTH($O180)&gt;MONTH(AY$4)),AK180,IF(MONTH($O180)&gt;MONTH(AY$4),AK180,IF(MONTH($O180)=MONTH(AY$4),AK180*(1+Macroindicadores!H$7),AX180)))))))))</f>
        <v>1.1399999999999999</v>
      </c>
      <c r="AZ180" s="39">
        <f>IF(ISBLANK(X180),"",IF(ISBLANK($O180),AL180,IF($J180="ANUAL",AL180*(1+Macroindicadores!I$7),IF(AND($I180="NOVO",MONTH($O180)=MONTH(AZ$4)),AL180*(1+Macroindicadores!I$7),IF(AND($J180="PONTUAL",MONTH($O180)=MONTH(AZ$4)),AL180*(1+Macroindicadores!I$7),IF(AND($J180="PONTUAL",MONTH($O180)&lt;MONTH(AZ$4)),MIN($AS180:AY180),IF(AND($I180="NOVO",MONTH($O180)&gt;MONTH(AZ$4)),AL180,IF(MONTH($O180)&gt;MONTH(AZ$4),AL180,IF(MONTH($O180)=MONTH(AZ$4),AL180*(1+Macroindicadores!I$7),AY180)))))))))</f>
        <v>1.1399999999999999</v>
      </c>
      <c r="BA180" s="39">
        <f>IF(ISBLANK(Y180),"",IF(ISBLANK($O180),AM180,IF($J180="ANUAL",AM180*(1+Macroindicadores!J$7),IF(AND($I180="NOVO",MONTH($O180)=MONTH(BA$4)),AM180*(1+Macroindicadores!J$7),IF(AND($J180="PONTUAL",MONTH($O180)=MONTH(BA$4)),AM180*(1+Macroindicadores!J$7),IF(AND($J180="PONTUAL",MONTH($O180)&lt;MONTH(BA$4)),MIN($AS180:AZ180),IF(AND($I180="NOVO",MONTH($O180)&gt;MONTH(BA$4)),AM180,IF(MONTH($O180)&gt;MONTH(BA$4),AM180,IF(MONTH($O180)=MONTH(BA$4),AM180*(1+Macroindicadores!J$7),AZ180)))))))))</f>
        <v>1.1399999999999999</v>
      </c>
      <c r="BB180" s="39">
        <f>IF(ISBLANK(Z180),"",IF(ISBLANK($O180),AN180,IF($J180="ANUAL",AN180*(1+Macroindicadores!K$7),IF(AND($I180="NOVO",MONTH($O180)=MONTH(BB$4)),AN180*(1+Macroindicadores!K$7),IF(AND($J180="PONTUAL",MONTH($O180)=MONTH(BB$4)),AN180*(1+Macroindicadores!K$7),IF(AND($J180="PONTUAL",MONTH($O180)&lt;MONTH(BB$4)),MIN($AS180:BA180),IF(AND($I180="NOVO",MONTH($O180)&gt;MONTH(BB$4)),AN180,IF(MONTH($O180)&gt;MONTH(BB$4),AN180,IF(MONTH($O180)=MONTH(BB$4),AN180*(1+Macroindicadores!K$7),BA180)))))))))</f>
        <v>1.1399999999999999</v>
      </c>
      <c r="BC180" s="39">
        <f>IF(ISBLANK(AA180),"",IF(ISBLANK($O180),AO180,IF($J180="ANUAL",AO180*(1+Macroindicadores!L$7),IF(AND($I180="NOVO",MONTH($O180)=MONTH(BC$4)),AO180*(1+Macroindicadores!L$7),IF(AND($J180="PONTUAL",MONTH($O180)=MONTH(BC$4)),AO180*(1+Macroindicadores!L$7),IF(AND($J180="PONTUAL",MONTH($O180)&lt;MONTH(BC$4)),MIN($AS180:BB180),IF(AND($I180="NOVO",MONTH($O180)&gt;MONTH(BC$4)),AO180,IF(MONTH($O180)&gt;MONTH(BC$4),AO180,IF(MONTH($O180)=MONTH(BC$4),AO180*(1+Macroindicadores!L$7),BB180)))))))))</f>
        <v>1.1399999999999999</v>
      </c>
      <c r="BD180" s="39">
        <f>IF(ISBLANK(AB180),"",IF(ISBLANK($O180),AP180,IF($J180="ANUAL",AP180*(1+Macroindicadores!M$7),IF(AND($I180="NOVO",MONTH($O180)=MONTH(BD$4)),AP180*(1+Macroindicadores!M$7),IF(AND($J180="PONTUAL",MONTH($O180)=MONTH(BD$4)),AP180*(1+Macroindicadores!M$7),IF(AND($J180="PONTUAL",MONTH($O180)&lt;MONTH(BD$4)),MIN($AS180:BC180),IF(AND($I180="NOVO",MONTH($O180)&gt;MONTH(BD$4)),AP180,IF(MONTH($O180)&gt;MONTH(BD$4),AP180,IF(MONTH($O180)=MONTH(BD$4),AP180*(1+Macroindicadores!M$7),BC180)))))))))</f>
        <v>1.1399999999999999</v>
      </c>
      <c r="BE180" s="40">
        <f t="shared" si="86"/>
        <v>13.680000000000001</v>
      </c>
      <c r="BG180" s="39">
        <f>IF(ISBLANK(Q180),"",AS180/Macroindicadores!B$2)</f>
        <v>0.19387755102040816</v>
      </c>
      <c r="BH180" s="39">
        <f>IF(ISBLANK(R180),"",AT180/Macroindicadores!C$2)</f>
        <v>0.19387755102040816</v>
      </c>
      <c r="BI180" s="39">
        <f>IF(ISBLANK(S180),"",AU180/Macroindicadores!D$2)</f>
        <v>0.19387755102040816</v>
      </c>
      <c r="BJ180" s="39">
        <f>IF(ISBLANK(T180),"",AV180/Macroindicadores!E$2)</f>
        <v>0.19387755102040816</v>
      </c>
      <c r="BK180" s="39">
        <f>IF(ISBLANK(U180),"",AW180/Macroindicadores!F$2)</f>
        <v>0.19387755102040816</v>
      </c>
      <c r="BL180" s="39">
        <f>IF(ISBLANK(V180),"",AX180/Macroindicadores!G$2)</f>
        <v>0.19387755102040816</v>
      </c>
      <c r="BM180" s="39">
        <f>IF(ISBLANK(W180),"",AY180/Macroindicadores!H$2)</f>
        <v>0.19387755102040816</v>
      </c>
      <c r="BN180" s="39">
        <f>IF(ISBLANK(X180),"",AZ180/Macroindicadores!I$2)</f>
        <v>0.19387755102040816</v>
      </c>
      <c r="BO180" s="39">
        <f>IF(ISBLANK(Y180),"",BA180/Macroindicadores!J$2)</f>
        <v>0.19387755102040816</v>
      </c>
      <c r="BP180" s="39">
        <f>IF(ISBLANK(Z180),"",BB180/Macroindicadores!K$2)</f>
        <v>0.19387755102040816</v>
      </c>
      <c r="BQ180" s="39">
        <f>IF(ISBLANK(AA180),"",BC180/Macroindicadores!L$2)</f>
        <v>0.19387755102040816</v>
      </c>
      <c r="BR180" s="39">
        <f>IF(ISBLANK(AB180),"",BD180/Macroindicadores!M$2)</f>
        <v>0.19387755102040816</v>
      </c>
      <c r="BS180" s="40">
        <f>IF(AND(ISBLANK($Q180),ISBLANK($R180),ISBLANK($S180),ISBLANK($T180),ISBLANK($U180),ISBLANK($V180),ISBLANK($W180),ISBLANK($X180),ISBLANK($Y180),ISBLANK($Z180),ISBLANK($AA180),ISBLANK($AB180)),"",SUM(BG180:BR180))</f>
        <v>2.3265306122448974</v>
      </c>
      <c r="BT180" s="25" t="str">
        <f>IF(ISBLANK($L180),"",_xlfn.XLOOKUP($L180,'CENTRO CUSTO'!$A:$A,'CENTRO CUSTO'!$E:$E,FALSE,0))</f>
        <v>G&amp;A BU</v>
      </c>
    </row>
    <row r="181" spans="1:72">
      <c r="A181" s="9" t="str">
        <f t="shared" si="80"/>
        <v>Budget</v>
      </c>
      <c r="B181" s="9">
        <f t="shared" si="77"/>
        <v>2026</v>
      </c>
      <c r="C181" s="18" t="str">
        <f>IF(ISBLANK($L181),"",_xlfn.XLOOKUP($L181,'CENTRO CUSTO'!$A:$A,'CENTRO CUSTO'!F:F,FALSE,0))</f>
        <v>Cone Sul</v>
      </c>
      <c r="D181" s="111" t="str">
        <f>IF(ISBLANK($L181),"",_xlfn.XLOOKUP($L181,'CENTRO CUSTO'!$A:$A,'CENTRO CUSTO'!G:G,FALSE,0))</f>
        <v>Plataforma</v>
      </c>
      <c r="E181" s="18" t="str">
        <f>IF(ISBLANK($L181),"",_xlfn.XLOOKUP($L181,'CENTRO CUSTO'!$A:$A,'CENTRO CUSTO'!H:H,FALSE,0))</f>
        <v>G&amp;A</v>
      </c>
      <c r="F181" s="10" t="s">
        <v>179</v>
      </c>
      <c r="G181" s="10" t="s">
        <v>75</v>
      </c>
      <c r="H181" s="10" t="s">
        <v>185</v>
      </c>
      <c r="I181" s="11" t="s">
        <v>77</v>
      </c>
      <c r="J181" s="11" t="s">
        <v>181</v>
      </c>
      <c r="K181" s="11" t="s">
        <v>121</v>
      </c>
      <c r="L181" s="11" t="s">
        <v>54</v>
      </c>
      <c r="M181" s="18" t="str">
        <f>IF(ISBLANK($L181),"",_xlfn.XLOOKUP($L181,'CENTRO CUSTO'!$A:$A,'CENTRO CUSTO'!D:D,FALSE,0))</f>
        <v>Alexandre Ayabe</v>
      </c>
      <c r="N181" s="11" t="s">
        <v>91</v>
      </c>
      <c r="O181" s="12"/>
      <c r="P181" s="11" t="s">
        <v>81</v>
      </c>
      <c r="Q181" s="41">
        <f>228000*Rateio!$E$238/12</f>
        <v>3040</v>
      </c>
      <c r="R181" s="41">
        <f>228000*Rateio!$E$238/12</f>
        <v>3040</v>
      </c>
      <c r="S181" s="41">
        <f>228000*Rateio!$E$238/12</f>
        <v>3040</v>
      </c>
      <c r="T181" s="41">
        <f>228000*Rateio!$E$238/12</f>
        <v>3040</v>
      </c>
      <c r="U181" s="41">
        <f>228000*Rateio!$E$238/12</f>
        <v>3040</v>
      </c>
      <c r="V181" s="41">
        <f>228000*Rateio!$E$238/12</f>
        <v>3040</v>
      </c>
      <c r="W181" s="41">
        <f>228000*Rateio!$E$238/12</f>
        <v>3040</v>
      </c>
      <c r="X181" s="41">
        <f>228000*Rateio!$E$238/12</f>
        <v>3040</v>
      </c>
      <c r="Y181" s="41">
        <f>228000*Rateio!$E$238/12</f>
        <v>3040</v>
      </c>
      <c r="Z181" s="41">
        <f>228000*Rateio!$E$238/12</f>
        <v>3040</v>
      </c>
      <c r="AA181" s="41">
        <f>228000*Rateio!$E$238/12</f>
        <v>3040</v>
      </c>
      <c r="AB181" s="41">
        <f>228000*Rateio!$E$238/12</f>
        <v>3040</v>
      </c>
      <c r="AC181" s="116">
        <f t="shared" si="84"/>
        <v>36480</v>
      </c>
      <c r="AE181" s="39">
        <f>IF(ISBLANK(Q181),"",IF($P181="BRL",Q181,Q181*Macroindicadores!B$2)/1000)</f>
        <v>3.04</v>
      </c>
      <c r="AF181" s="39">
        <f>IF(ISBLANK(R181),"",IF($P181="BRL",R181,R181*Macroindicadores!C$2)/1000)</f>
        <v>3.04</v>
      </c>
      <c r="AG181" s="39">
        <f>IF(ISBLANK(S181),"",IF($P181="BRL",S181,S181*Macroindicadores!D$2)/1000)</f>
        <v>3.04</v>
      </c>
      <c r="AH181" s="39">
        <f>IF(ISBLANK(T181),"",IF($P181="BRL",T181,T181*Macroindicadores!E$2)/1000)</f>
        <v>3.04</v>
      </c>
      <c r="AI181" s="39">
        <f>IF(ISBLANK(U181),"",IF($P181="BRL",U181,U181*Macroindicadores!F$2)/1000)</f>
        <v>3.04</v>
      </c>
      <c r="AJ181" s="39">
        <f>IF(ISBLANK(V181),"",IF($P181="BRL",V181,V181*Macroindicadores!G$2)/1000)</f>
        <v>3.04</v>
      </c>
      <c r="AK181" s="39">
        <f>IF(ISBLANK(W181),"",IF($P181="BRL",W181,W181*Macroindicadores!H$2)/1000)</f>
        <v>3.04</v>
      </c>
      <c r="AL181" s="39">
        <f>IF(ISBLANK(X181),"",IF($P181="BRL",X181,X181*Macroindicadores!I$2)/1000)</f>
        <v>3.04</v>
      </c>
      <c r="AM181" s="39">
        <f>IF(ISBLANK(Y181),"",IF($P181="BRL",Y181,Y181*Macroindicadores!J$2)/1000)</f>
        <v>3.04</v>
      </c>
      <c r="AN181" s="39">
        <f>IF(ISBLANK(Z181),"",IF($P181="BRL",Z181,Z181*Macroindicadores!K$2)/1000)</f>
        <v>3.04</v>
      </c>
      <c r="AO181" s="39">
        <f>IF(ISBLANK(AA181),"",IF($P181="BRL",AA181,AA181*Macroindicadores!L$2)/1000)</f>
        <v>3.04</v>
      </c>
      <c r="AP181" s="39">
        <f>IF(ISBLANK(AB181),"",IF($P181="BRL",AB181,AB181*Macroindicadores!M$2)/1000)</f>
        <v>3.04</v>
      </c>
      <c r="AQ181" s="40">
        <f t="shared" si="85"/>
        <v>36.479999999999997</v>
      </c>
      <c r="AS181" s="39">
        <f>IF(ISBLANK(Q181),"",IF(ISBLANK($O181),AE181,IF($J181="ANUAL",AE181*(1+Macroindicadores!B$7),IF(AND($I181="NOVO",MONTH($O181)=MONTH(AS$4)),AE181*(1+Macroindicadores!B$7),IF(AND($J181="PONTUAL",MONTH($O181)=MONTH(AS$4)),AE181*(1+Macroindicadores!B$7),IF(AND($J181="PONTUAL",MONTH($O181)&lt;MONTH(AS$4)),MIN(AR181:$AS181),IF(AND($I181="NOVO",MONTH($O181)&gt;MONTH(AS$4)),AE181,IF(MONTH($O181)&gt;MONTH(AS$4),AE181,IF(MONTH($O181)=MONTH(AS$4),AE181*(1+Macroindicadores!B$7),AR181)))))))))</f>
        <v>3.04</v>
      </c>
      <c r="AT181" s="39">
        <f>IF(ISBLANK(R181),"",IF(ISBLANK($O181),AF181,IF($J181="ANUAL",AF181*(1+Macroindicadores!C$7),IF(AND($I181="NOVO",MONTH($O181)=MONTH(AT$4)),AF181*(1+Macroindicadores!C$7),IF(AND($J181="PONTUAL",MONTH($O181)=MONTH(AT$4)),AF181*(1+Macroindicadores!C$7),IF(AND($J181="PONTUAL",MONTH($O181)&lt;MONTH(AT$4)),MIN($AS181:AS181),IF(AND($I181="NOVO",MONTH($O181)&gt;MONTH(AT$4)),AF181,IF(MONTH($O181)&gt;MONTH(AT$4),AF181,IF(MONTH($O181)=MONTH(AT$4),AF181*(1+Macroindicadores!C$7),AS181)))))))))</f>
        <v>3.04</v>
      </c>
      <c r="AU181" s="39">
        <f>IF(ISBLANK(S181),"",IF(ISBLANK($O181),AG181,IF($J181="ANUAL",AG181*(1+Macroindicadores!D$7),IF(AND($I181="NOVO",MONTH($O181)=MONTH(AU$4)),AG181*(1+Macroindicadores!D$7),IF(AND($J181="PONTUAL",MONTH($O181)=MONTH(AU$4)),AG181*(1+Macroindicadores!D$7),IF(AND($J181="PONTUAL",MONTH($O181)&lt;MONTH(AU$4)),MIN($AS181:AT181),IF(AND($I181="NOVO",MONTH($O181)&gt;MONTH(AU$4)),AG181,IF(MONTH($O181)&gt;MONTH(AU$4),AG181,IF(MONTH($O181)=MONTH(AU$4),AG181*(1+Macroindicadores!D$7),AT181)))))))))</f>
        <v>3.04</v>
      </c>
      <c r="AV181" s="39">
        <f>IF(ISBLANK(T181),"",IF(ISBLANK($O181),AH181,IF($J181="ANUAL",AH181*(1+Macroindicadores!E$7),IF(AND($I181="NOVO",MONTH($O181)=MONTH(AV$4)),AH181*(1+Macroindicadores!E$7),IF(AND($J181="PONTUAL",MONTH($O181)=MONTH(AV$4)),AH181*(1+Macroindicadores!E$7),IF(AND($J181="PONTUAL",MONTH($O181)&lt;MONTH(AV$4)),MIN($AS181:AU181),IF(AND($I181="NOVO",MONTH($O181)&gt;MONTH(AV$4)),AH181,IF(MONTH($O181)&gt;MONTH(AV$4),AH181,IF(MONTH($O181)=MONTH(AV$4),AH181*(1+Macroindicadores!E$7),AU181)))))))))</f>
        <v>3.04</v>
      </c>
      <c r="AW181" s="39">
        <f>IF(ISBLANK(U181),"",IF(ISBLANK($O181),AI181,IF($J181="ANUAL",AI181*(1+Macroindicadores!F$7),IF(AND($I181="NOVO",MONTH($O181)=MONTH(AW$4)),AI181*(1+Macroindicadores!F$7),IF(AND($J181="PONTUAL",MONTH($O181)=MONTH(AW$4)),AI181*(1+Macroindicadores!F$7),IF(AND($J181="PONTUAL",MONTH($O181)&lt;MONTH(AW$4)),MIN($AS181:AV181),IF(AND($I181="NOVO",MONTH($O181)&gt;MONTH(AW$4)),AI181,IF(MONTH($O181)&gt;MONTH(AW$4),AI181,IF(MONTH($O181)=MONTH(AW$4),AI181*(1+Macroindicadores!F$7),AV181)))))))))</f>
        <v>3.04</v>
      </c>
      <c r="AX181" s="39">
        <f>IF(ISBLANK(V181),"",IF(ISBLANK($O181),AJ181,IF($J181="ANUAL",AJ181*(1+Macroindicadores!G$7),IF(AND($I181="NOVO",MONTH($O181)=MONTH(AX$4)),AJ181*(1+Macroindicadores!G$7),IF(AND($J181="PONTUAL",MONTH($O181)=MONTH(AX$4)),AJ181*(1+Macroindicadores!G$7),IF(AND($J181="PONTUAL",MONTH($O181)&lt;MONTH(AX$4)),MIN($AS181:AW181),IF(AND($I181="NOVO",MONTH($O181)&gt;MONTH(AX$4)),AJ181,IF(MONTH($O181)&gt;MONTH(AX$4),AJ181,IF(MONTH($O181)=MONTH(AX$4),AJ181*(1+Macroindicadores!G$7),AW181)))))))))</f>
        <v>3.04</v>
      </c>
      <c r="AY181" s="39">
        <f>IF(ISBLANK(W181),"",IF(ISBLANK($O181),AK181,IF($J181="ANUAL",AK181*(1+Macroindicadores!H$7),IF(AND($I181="NOVO",MONTH($O181)=MONTH(AY$4)),AK181*(1+Macroindicadores!H$7),IF(AND($J181="PONTUAL",MONTH($O181)=MONTH(AY$4)),AK181*(1+Macroindicadores!H$7),IF(AND($J181="PONTUAL",MONTH($O181)&lt;MONTH(AY$4)),MIN($AS181:AX181),IF(AND($I181="NOVO",MONTH($O181)&gt;MONTH(AY$4)),AK181,IF(MONTH($O181)&gt;MONTH(AY$4),AK181,IF(MONTH($O181)=MONTH(AY$4),AK181*(1+Macroindicadores!H$7),AX181)))))))))</f>
        <v>3.04</v>
      </c>
      <c r="AZ181" s="39">
        <f>IF(ISBLANK(X181),"",IF(ISBLANK($O181),AL181,IF($J181="ANUAL",AL181*(1+Macroindicadores!I$7),IF(AND($I181="NOVO",MONTH($O181)=MONTH(AZ$4)),AL181*(1+Macroindicadores!I$7),IF(AND($J181="PONTUAL",MONTH($O181)=MONTH(AZ$4)),AL181*(1+Macroindicadores!I$7),IF(AND($J181="PONTUAL",MONTH($O181)&lt;MONTH(AZ$4)),MIN($AS181:AY181),IF(AND($I181="NOVO",MONTH($O181)&gt;MONTH(AZ$4)),AL181,IF(MONTH($O181)&gt;MONTH(AZ$4),AL181,IF(MONTH($O181)=MONTH(AZ$4),AL181*(1+Macroindicadores!I$7),AY181)))))))))</f>
        <v>3.04</v>
      </c>
      <c r="BA181" s="39">
        <f>IF(ISBLANK(Y181),"",IF(ISBLANK($O181),AM181,IF($J181="ANUAL",AM181*(1+Macroindicadores!J$7),IF(AND($I181="NOVO",MONTH($O181)=MONTH(BA$4)),AM181*(1+Macroindicadores!J$7),IF(AND($J181="PONTUAL",MONTH($O181)=MONTH(BA$4)),AM181*(1+Macroindicadores!J$7),IF(AND($J181="PONTUAL",MONTH($O181)&lt;MONTH(BA$4)),MIN($AS181:AZ181),IF(AND($I181="NOVO",MONTH($O181)&gt;MONTH(BA$4)),AM181,IF(MONTH($O181)&gt;MONTH(BA$4),AM181,IF(MONTH($O181)=MONTH(BA$4),AM181*(1+Macroindicadores!J$7),AZ181)))))))))</f>
        <v>3.04</v>
      </c>
      <c r="BB181" s="39">
        <f>IF(ISBLANK(Z181),"",IF(ISBLANK($O181),AN181,IF($J181="ANUAL",AN181*(1+Macroindicadores!K$7),IF(AND($I181="NOVO",MONTH($O181)=MONTH(BB$4)),AN181*(1+Macroindicadores!K$7),IF(AND($J181="PONTUAL",MONTH($O181)=MONTH(BB$4)),AN181*(1+Macroindicadores!K$7),IF(AND($J181="PONTUAL",MONTH($O181)&lt;MONTH(BB$4)),MIN($AS181:BA181),IF(AND($I181="NOVO",MONTH($O181)&gt;MONTH(BB$4)),AN181,IF(MONTH($O181)&gt;MONTH(BB$4),AN181,IF(MONTH($O181)=MONTH(BB$4),AN181*(1+Macroindicadores!K$7),BA181)))))))))</f>
        <v>3.04</v>
      </c>
      <c r="BC181" s="39">
        <f>IF(ISBLANK(AA181),"",IF(ISBLANK($O181),AO181,IF($J181="ANUAL",AO181*(1+Macroindicadores!L$7),IF(AND($I181="NOVO",MONTH($O181)=MONTH(BC$4)),AO181*(1+Macroindicadores!L$7),IF(AND($J181="PONTUAL",MONTH($O181)=MONTH(BC$4)),AO181*(1+Macroindicadores!L$7),IF(AND($J181="PONTUAL",MONTH($O181)&lt;MONTH(BC$4)),MIN($AS181:BB181),IF(AND($I181="NOVO",MONTH($O181)&gt;MONTH(BC$4)),AO181,IF(MONTH($O181)&gt;MONTH(BC$4),AO181,IF(MONTH($O181)=MONTH(BC$4),AO181*(1+Macroindicadores!L$7),BB181)))))))))</f>
        <v>3.04</v>
      </c>
      <c r="BD181" s="39">
        <f>IF(ISBLANK(AB181),"",IF(ISBLANK($O181),AP181,IF($J181="ANUAL",AP181*(1+Macroindicadores!M$7),IF(AND($I181="NOVO",MONTH($O181)=MONTH(BD$4)),AP181*(1+Macroindicadores!M$7),IF(AND($J181="PONTUAL",MONTH($O181)=MONTH(BD$4)),AP181*(1+Macroindicadores!M$7),IF(AND($J181="PONTUAL",MONTH($O181)&lt;MONTH(BD$4)),MIN($AS181:BC181),IF(AND($I181="NOVO",MONTH($O181)&gt;MONTH(BD$4)),AP181,IF(MONTH($O181)&gt;MONTH(BD$4),AP181,IF(MONTH($O181)=MONTH(BD$4),AP181*(1+Macroindicadores!M$7),BC181)))))))))</f>
        <v>3.04</v>
      </c>
      <c r="BE181" s="40">
        <f t="shared" si="86"/>
        <v>36.479999999999997</v>
      </c>
      <c r="BG181" s="39">
        <f>IF(ISBLANK(Q181),"",AS181/Macroindicadores!B$2)</f>
        <v>0.51700680272108845</v>
      </c>
      <c r="BH181" s="39">
        <f>IF(ISBLANK(R181),"",AT181/Macroindicadores!C$2)</f>
        <v>0.51700680272108845</v>
      </c>
      <c r="BI181" s="39">
        <f>IF(ISBLANK(S181),"",AU181/Macroindicadores!D$2)</f>
        <v>0.51700680272108845</v>
      </c>
      <c r="BJ181" s="39">
        <f>IF(ISBLANK(T181),"",AV181/Macroindicadores!E$2)</f>
        <v>0.51700680272108845</v>
      </c>
      <c r="BK181" s="39">
        <f>IF(ISBLANK(U181),"",AW181/Macroindicadores!F$2)</f>
        <v>0.51700680272108845</v>
      </c>
      <c r="BL181" s="39">
        <f>IF(ISBLANK(V181),"",AX181/Macroindicadores!G$2)</f>
        <v>0.51700680272108845</v>
      </c>
      <c r="BM181" s="39">
        <f>IF(ISBLANK(W181),"",AY181/Macroindicadores!H$2)</f>
        <v>0.51700680272108845</v>
      </c>
      <c r="BN181" s="39">
        <f>IF(ISBLANK(X181),"",AZ181/Macroindicadores!I$2)</f>
        <v>0.51700680272108845</v>
      </c>
      <c r="BO181" s="39">
        <f>IF(ISBLANK(Y181),"",BA181/Macroindicadores!J$2)</f>
        <v>0.51700680272108845</v>
      </c>
      <c r="BP181" s="39">
        <f>IF(ISBLANK(Z181),"",BB181/Macroindicadores!K$2)</f>
        <v>0.51700680272108845</v>
      </c>
      <c r="BQ181" s="39">
        <f>IF(ISBLANK(AA181),"",BC181/Macroindicadores!L$2)</f>
        <v>0.51700680272108845</v>
      </c>
      <c r="BR181" s="39">
        <f>IF(ISBLANK(AB181),"",BD181/Macroindicadores!M$2)</f>
        <v>0.51700680272108845</v>
      </c>
      <c r="BS181" s="40">
        <f>IF(AND(ISBLANK($Q181),ISBLANK($R181),ISBLANK($S181),ISBLANK($T181),ISBLANK($U181),ISBLANK($V181),ISBLANK($W181),ISBLANK($X181),ISBLANK($Y181),ISBLANK($Z181),ISBLANK($AA181),ISBLANK($AB181)),"",SUM(BG181:BR181))</f>
        <v>6.2040816326530601</v>
      </c>
      <c r="BT181" s="25" t="str">
        <f>IF(ISBLANK($L181),"",_xlfn.XLOOKUP($L181,'CENTRO CUSTO'!$A:$A,'CENTRO CUSTO'!$E:$E,FALSE,0))</f>
        <v>G&amp;A PL</v>
      </c>
    </row>
    <row r="182" spans="1:72">
      <c r="A182" s="9" t="str">
        <f t="shared" si="80"/>
        <v>Budget</v>
      </c>
      <c r="B182" s="9">
        <f t="shared" si="77"/>
        <v>2026</v>
      </c>
      <c r="C182" s="18" t="str">
        <f>IF(ISBLANK($L182),"",_xlfn.XLOOKUP($L182,'CENTRO CUSTO'!$A:$A,'CENTRO CUSTO'!F:F,FALSE,0))</f>
        <v>LATAM</v>
      </c>
      <c r="D182" s="111" t="str">
        <f>IF(ISBLANK($L182),"",_xlfn.XLOOKUP($L182,'CENTRO CUSTO'!$A:$A,'CENTRO CUSTO'!G:G,FALSE,0))</f>
        <v>Corporativo</v>
      </c>
      <c r="E182" s="18" t="str">
        <f>IF(ISBLANK($L182),"",_xlfn.XLOOKUP($L182,'CENTRO CUSTO'!$A:$A,'CENTRO CUSTO'!H:H,FALSE,0))</f>
        <v>G&amp;A</v>
      </c>
      <c r="F182" s="10" t="s">
        <v>179</v>
      </c>
      <c r="G182" s="10" t="s">
        <v>75</v>
      </c>
      <c r="H182" s="10" t="s">
        <v>185</v>
      </c>
      <c r="I182" s="11" t="s">
        <v>77</v>
      </c>
      <c r="J182" s="11" t="s">
        <v>181</v>
      </c>
      <c r="K182" s="11" t="s">
        <v>121</v>
      </c>
      <c r="L182" s="11" t="s">
        <v>96</v>
      </c>
      <c r="M182" s="18" t="str">
        <f>IF(ISBLANK($L182),"",_xlfn.XLOOKUP($L182,'CENTRO CUSTO'!$A:$A,'CENTRO CUSTO'!D:D,FALSE,0))</f>
        <v>Jimmy Espinosa</v>
      </c>
      <c r="N182" s="11" t="s">
        <v>91</v>
      </c>
      <c r="O182" s="12"/>
      <c r="P182" s="11" t="s">
        <v>81</v>
      </c>
      <c r="Q182" s="41">
        <f>228000*Rateio!$E$239/12</f>
        <v>950</v>
      </c>
      <c r="R182" s="41">
        <f>228000*Rateio!$E$239/12</f>
        <v>950</v>
      </c>
      <c r="S182" s="41">
        <f>228000*Rateio!$E$239/12</f>
        <v>950</v>
      </c>
      <c r="T182" s="41">
        <f>228000*Rateio!$E$239/12</f>
        <v>950</v>
      </c>
      <c r="U182" s="41">
        <f>228000*Rateio!$E$239/12</f>
        <v>950</v>
      </c>
      <c r="V182" s="41">
        <f>228000*Rateio!$E$239/12</f>
        <v>950</v>
      </c>
      <c r="W182" s="41">
        <f>228000*Rateio!$E$239/12</f>
        <v>950</v>
      </c>
      <c r="X182" s="41">
        <f>228000*Rateio!$E$239/12</f>
        <v>950</v>
      </c>
      <c r="Y182" s="41">
        <f>228000*Rateio!$E$239/12</f>
        <v>950</v>
      </c>
      <c r="Z182" s="41">
        <f>228000*Rateio!$E$239/12</f>
        <v>950</v>
      </c>
      <c r="AA182" s="41">
        <f>228000*Rateio!$E$239/12</f>
        <v>950</v>
      </c>
      <c r="AB182" s="41">
        <f>228000*Rateio!$E$239/12</f>
        <v>950</v>
      </c>
      <c r="AC182" s="116">
        <f t="shared" si="73"/>
        <v>11400</v>
      </c>
      <c r="AE182" s="39">
        <f>IF(ISBLANK(Q182),"",IF($P182="BRL",Q182,Q182*Macroindicadores!B$2)/1000)</f>
        <v>0.95</v>
      </c>
      <c r="AF182" s="39">
        <f>IF(ISBLANK(R182),"",IF($P182="BRL",R182,R182*Macroindicadores!C$2)/1000)</f>
        <v>0.95</v>
      </c>
      <c r="AG182" s="39">
        <f>IF(ISBLANK(S182),"",IF($P182="BRL",S182,S182*Macroindicadores!D$2)/1000)</f>
        <v>0.95</v>
      </c>
      <c r="AH182" s="39">
        <f>IF(ISBLANK(T182),"",IF($P182="BRL",T182,T182*Macroindicadores!E$2)/1000)</f>
        <v>0.95</v>
      </c>
      <c r="AI182" s="39">
        <f>IF(ISBLANK(U182),"",IF($P182="BRL",U182,U182*Macroindicadores!F$2)/1000)</f>
        <v>0.95</v>
      </c>
      <c r="AJ182" s="39">
        <f>IF(ISBLANK(V182),"",IF($P182="BRL",V182,V182*Macroindicadores!G$2)/1000)</f>
        <v>0.95</v>
      </c>
      <c r="AK182" s="39">
        <f>IF(ISBLANK(W182),"",IF($P182="BRL",W182,W182*Macroindicadores!H$2)/1000)</f>
        <v>0.95</v>
      </c>
      <c r="AL182" s="39">
        <f>IF(ISBLANK(X182),"",IF($P182="BRL",X182,X182*Macroindicadores!I$2)/1000)</f>
        <v>0.95</v>
      </c>
      <c r="AM182" s="39">
        <f>IF(ISBLANK(Y182),"",IF($P182="BRL",Y182,Y182*Macroindicadores!J$2)/1000)</f>
        <v>0.95</v>
      </c>
      <c r="AN182" s="39">
        <f>IF(ISBLANK(Z182),"",IF($P182="BRL",Z182,Z182*Macroindicadores!K$2)/1000)</f>
        <v>0.95</v>
      </c>
      <c r="AO182" s="39">
        <f>IF(ISBLANK(AA182),"",IF($P182="BRL",AA182,AA182*Macroindicadores!L$2)/1000)</f>
        <v>0.95</v>
      </c>
      <c r="AP182" s="39">
        <f>IF(ISBLANK(AB182),"",IF($P182="BRL",AB182,AB182*Macroindicadores!M$2)/1000)</f>
        <v>0.95</v>
      </c>
      <c r="AQ182" s="40">
        <f t="shared" si="79"/>
        <v>11.399999999999999</v>
      </c>
      <c r="AS182" s="39">
        <f>IF(ISBLANK(Q182),"",IF(ISBLANK($O182),AE182,IF($J182="ANUAL",AE182*(1+Macroindicadores!B$7),IF(AND($I182="NOVO",MONTH($O182)=MONTH(AS$4)),AE182*(1+Macroindicadores!B$7),IF(AND($J182="PONTUAL",MONTH($O182)=MONTH(AS$4)),AE182*(1+Macroindicadores!B$7),IF(AND($J182="PONTUAL",MONTH($O182)&lt;MONTH(AS$4)),MIN(AR182:$AS182),IF(AND($I182="NOVO",MONTH($O182)&gt;MONTH(AS$4)),AE182,IF(MONTH($O182)&gt;MONTH(AS$4),AE182,IF(MONTH($O182)=MONTH(AS$4),AE182*(1+Macroindicadores!B$7),AR182)))))))))</f>
        <v>0.95</v>
      </c>
      <c r="AT182" s="39">
        <f>IF(ISBLANK(R182),"",IF(ISBLANK($O182),AF182,IF($J182="ANUAL",AF182*(1+Macroindicadores!C$7),IF(AND($I182="NOVO",MONTH($O182)=MONTH(AT$4)),AF182*(1+Macroindicadores!C$7),IF(AND($J182="PONTUAL",MONTH($O182)=MONTH(AT$4)),AF182*(1+Macroindicadores!C$7),IF(AND($J182="PONTUAL",MONTH($O182)&lt;MONTH(AT$4)),MIN($AS182:AS182),IF(AND($I182="NOVO",MONTH($O182)&gt;MONTH(AT$4)),AF182,IF(MONTH($O182)&gt;MONTH(AT$4),AF182,IF(MONTH($O182)=MONTH(AT$4),AF182*(1+Macroindicadores!C$7),AS182)))))))))</f>
        <v>0.95</v>
      </c>
      <c r="AU182" s="39">
        <f>IF(ISBLANK(S182),"",IF(ISBLANK($O182),AG182,IF($J182="ANUAL",AG182*(1+Macroindicadores!D$7),IF(AND($I182="NOVO",MONTH($O182)=MONTH(AU$4)),AG182*(1+Macroindicadores!D$7),IF(AND($J182="PONTUAL",MONTH($O182)=MONTH(AU$4)),AG182*(1+Macroindicadores!D$7),IF(AND($J182="PONTUAL",MONTH($O182)&lt;MONTH(AU$4)),MIN($AS182:AT182),IF(AND($I182="NOVO",MONTH($O182)&gt;MONTH(AU$4)),AG182,IF(MONTH($O182)&gt;MONTH(AU$4),AG182,IF(MONTH($O182)=MONTH(AU$4),AG182*(1+Macroindicadores!D$7),AT182)))))))))</f>
        <v>0.95</v>
      </c>
      <c r="AV182" s="39">
        <f>IF(ISBLANK(T182),"",IF(ISBLANK($O182),AH182,IF($J182="ANUAL",AH182*(1+Macroindicadores!E$7),IF(AND($I182="NOVO",MONTH($O182)=MONTH(AV$4)),AH182*(1+Macroindicadores!E$7),IF(AND($J182="PONTUAL",MONTH($O182)=MONTH(AV$4)),AH182*(1+Macroindicadores!E$7),IF(AND($J182="PONTUAL",MONTH($O182)&lt;MONTH(AV$4)),MIN($AS182:AU182),IF(AND($I182="NOVO",MONTH($O182)&gt;MONTH(AV$4)),AH182,IF(MONTH($O182)&gt;MONTH(AV$4),AH182,IF(MONTH($O182)=MONTH(AV$4),AH182*(1+Macroindicadores!E$7),AU182)))))))))</f>
        <v>0.95</v>
      </c>
      <c r="AW182" s="39">
        <f>IF(ISBLANK(U182),"",IF(ISBLANK($O182),AI182,IF($J182="ANUAL",AI182*(1+Macroindicadores!F$7),IF(AND($I182="NOVO",MONTH($O182)=MONTH(AW$4)),AI182*(1+Macroindicadores!F$7),IF(AND($J182="PONTUAL",MONTH($O182)=MONTH(AW$4)),AI182*(1+Macroindicadores!F$7),IF(AND($J182="PONTUAL",MONTH($O182)&lt;MONTH(AW$4)),MIN($AS182:AV182),IF(AND($I182="NOVO",MONTH($O182)&gt;MONTH(AW$4)),AI182,IF(MONTH($O182)&gt;MONTH(AW$4),AI182,IF(MONTH($O182)=MONTH(AW$4),AI182*(1+Macroindicadores!F$7),AV182)))))))))</f>
        <v>0.95</v>
      </c>
      <c r="AX182" s="39">
        <f>IF(ISBLANK(V182),"",IF(ISBLANK($O182),AJ182,IF($J182="ANUAL",AJ182*(1+Macroindicadores!G$7),IF(AND($I182="NOVO",MONTH($O182)=MONTH(AX$4)),AJ182*(1+Macroindicadores!G$7),IF(AND($J182="PONTUAL",MONTH($O182)=MONTH(AX$4)),AJ182*(1+Macroindicadores!G$7),IF(AND($J182="PONTUAL",MONTH($O182)&lt;MONTH(AX$4)),MIN($AS182:AW182),IF(AND($I182="NOVO",MONTH($O182)&gt;MONTH(AX$4)),AJ182,IF(MONTH($O182)&gt;MONTH(AX$4),AJ182,IF(MONTH($O182)=MONTH(AX$4),AJ182*(1+Macroindicadores!G$7),AW182)))))))))</f>
        <v>0.95</v>
      </c>
      <c r="AY182" s="39">
        <f>IF(ISBLANK(W182),"",IF(ISBLANK($O182),AK182,IF($J182="ANUAL",AK182*(1+Macroindicadores!H$7),IF(AND($I182="NOVO",MONTH($O182)=MONTH(AY$4)),AK182*(1+Macroindicadores!H$7),IF(AND($J182="PONTUAL",MONTH($O182)=MONTH(AY$4)),AK182*(1+Macroindicadores!H$7),IF(AND($J182="PONTUAL",MONTH($O182)&lt;MONTH(AY$4)),MIN($AS182:AX182),IF(AND($I182="NOVO",MONTH($O182)&gt;MONTH(AY$4)),AK182,IF(MONTH($O182)&gt;MONTH(AY$4),AK182,IF(MONTH($O182)=MONTH(AY$4),AK182*(1+Macroindicadores!H$7),AX182)))))))))</f>
        <v>0.95</v>
      </c>
      <c r="AZ182" s="39">
        <f>IF(ISBLANK(X182),"",IF(ISBLANK($O182),AL182,IF($J182="ANUAL",AL182*(1+Macroindicadores!I$7),IF(AND($I182="NOVO",MONTH($O182)=MONTH(AZ$4)),AL182*(1+Macroindicadores!I$7),IF(AND($J182="PONTUAL",MONTH($O182)=MONTH(AZ$4)),AL182*(1+Macroindicadores!I$7),IF(AND($J182="PONTUAL",MONTH($O182)&lt;MONTH(AZ$4)),MIN($AS182:AY182),IF(AND($I182="NOVO",MONTH($O182)&gt;MONTH(AZ$4)),AL182,IF(MONTH($O182)&gt;MONTH(AZ$4),AL182,IF(MONTH($O182)=MONTH(AZ$4),AL182*(1+Macroindicadores!I$7),AY182)))))))))</f>
        <v>0.95</v>
      </c>
      <c r="BA182" s="39">
        <f>IF(ISBLANK(Y182),"",IF(ISBLANK($O182),AM182,IF($J182="ANUAL",AM182*(1+Macroindicadores!J$7),IF(AND($I182="NOVO",MONTH($O182)=MONTH(BA$4)),AM182*(1+Macroindicadores!J$7),IF(AND($J182="PONTUAL",MONTH($O182)=MONTH(BA$4)),AM182*(1+Macroindicadores!J$7),IF(AND($J182="PONTUAL",MONTH($O182)&lt;MONTH(BA$4)),MIN($AS182:AZ182),IF(AND($I182="NOVO",MONTH($O182)&gt;MONTH(BA$4)),AM182,IF(MONTH($O182)&gt;MONTH(BA$4),AM182,IF(MONTH($O182)=MONTH(BA$4),AM182*(1+Macroindicadores!J$7),AZ182)))))))))</f>
        <v>0.95</v>
      </c>
      <c r="BB182" s="39">
        <f>IF(ISBLANK(Z182),"",IF(ISBLANK($O182),AN182,IF($J182="ANUAL",AN182*(1+Macroindicadores!K$7),IF(AND($I182="NOVO",MONTH($O182)=MONTH(BB$4)),AN182*(1+Macroindicadores!K$7),IF(AND($J182="PONTUAL",MONTH($O182)=MONTH(BB$4)),AN182*(1+Macroindicadores!K$7),IF(AND($J182="PONTUAL",MONTH($O182)&lt;MONTH(BB$4)),MIN($AS182:BA182),IF(AND($I182="NOVO",MONTH($O182)&gt;MONTH(BB$4)),AN182,IF(MONTH($O182)&gt;MONTH(BB$4),AN182,IF(MONTH($O182)=MONTH(BB$4),AN182*(1+Macroindicadores!K$7),BA182)))))))))</f>
        <v>0.95</v>
      </c>
      <c r="BC182" s="39">
        <f>IF(ISBLANK(AA182),"",IF(ISBLANK($O182),AO182,IF($J182="ANUAL",AO182*(1+Macroindicadores!L$7),IF(AND($I182="NOVO",MONTH($O182)=MONTH(BC$4)),AO182*(1+Macroindicadores!L$7),IF(AND($J182="PONTUAL",MONTH($O182)=MONTH(BC$4)),AO182*(1+Macroindicadores!L$7),IF(AND($J182="PONTUAL",MONTH($O182)&lt;MONTH(BC$4)),MIN($AS182:BB182),IF(AND($I182="NOVO",MONTH($O182)&gt;MONTH(BC$4)),AO182,IF(MONTH($O182)&gt;MONTH(BC$4),AO182,IF(MONTH($O182)=MONTH(BC$4),AO182*(1+Macroindicadores!L$7),BB182)))))))))</f>
        <v>0.95</v>
      </c>
      <c r="BD182" s="39">
        <f>IF(ISBLANK(AB182),"",IF(ISBLANK($O182),AP182,IF($J182="ANUAL",AP182*(1+Macroindicadores!M$7),IF(AND($I182="NOVO",MONTH($O182)=MONTH(BD$4)),AP182*(1+Macroindicadores!M$7),IF(AND($J182="PONTUAL",MONTH($O182)=MONTH(BD$4)),AP182*(1+Macroindicadores!M$7),IF(AND($J182="PONTUAL",MONTH($O182)&lt;MONTH(BD$4)),MIN($AS182:BC182),IF(AND($I182="NOVO",MONTH($O182)&gt;MONTH(BD$4)),AP182,IF(MONTH($O182)&gt;MONTH(BD$4),AP182,IF(MONTH($O182)=MONTH(BD$4),AP182*(1+Macroindicadores!M$7),BC182)))))))))</f>
        <v>0.95</v>
      </c>
      <c r="BE182" s="40">
        <f t="shared" si="78"/>
        <v>11.399999999999999</v>
      </c>
      <c r="BG182" s="39">
        <f>IF(ISBLANK(Q182),"",AS182/Macroindicadores!B$2)</f>
        <v>0.16156462585034012</v>
      </c>
      <c r="BH182" s="39">
        <f>IF(ISBLANK(R182),"",AT182/Macroindicadores!C$2)</f>
        <v>0.16156462585034012</v>
      </c>
      <c r="BI182" s="39">
        <f>IF(ISBLANK(S182),"",AU182/Macroindicadores!D$2)</f>
        <v>0.16156462585034012</v>
      </c>
      <c r="BJ182" s="39">
        <f>IF(ISBLANK(T182),"",AV182/Macroindicadores!E$2)</f>
        <v>0.16156462585034012</v>
      </c>
      <c r="BK182" s="39">
        <f>IF(ISBLANK(U182),"",AW182/Macroindicadores!F$2)</f>
        <v>0.16156462585034012</v>
      </c>
      <c r="BL182" s="39">
        <f>IF(ISBLANK(V182),"",AX182/Macroindicadores!G$2)</f>
        <v>0.16156462585034012</v>
      </c>
      <c r="BM182" s="39">
        <f>IF(ISBLANK(W182),"",AY182/Macroindicadores!H$2)</f>
        <v>0.16156462585034012</v>
      </c>
      <c r="BN182" s="39">
        <f>IF(ISBLANK(X182),"",AZ182/Macroindicadores!I$2)</f>
        <v>0.16156462585034012</v>
      </c>
      <c r="BO182" s="39">
        <f>IF(ISBLANK(Y182),"",BA182/Macroindicadores!J$2)</f>
        <v>0.16156462585034012</v>
      </c>
      <c r="BP182" s="39">
        <f>IF(ISBLANK(Z182),"",BB182/Macroindicadores!K$2)</f>
        <v>0.16156462585034012</v>
      </c>
      <c r="BQ182" s="39">
        <f>IF(ISBLANK(AA182),"",BC182/Macroindicadores!L$2)</f>
        <v>0.16156462585034012</v>
      </c>
      <c r="BR182" s="39">
        <f>IF(ISBLANK(AB182),"",BD182/Macroindicadores!M$2)</f>
        <v>0.16156462585034012</v>
      </c>
      <c r="BS182" s="40">
        <f>IF(AND(ISBLANK($Q182),ISBLANK($R182),ISBLANK($S182),ISBLANK($T182),ISBLANK($U182),ISBLANK($V182),ISBLANK($W182),ISBLANK($X182),ISBLANK($Y182),ISBLANK($Z182),ISBLANK($AA182),ISBLANK($AB182)),"",SUM(BG182:BR182))</f>
        <v>1.9387755102040811</v>
      </c>
      <c r="BT182" s="25" t="str">
        <f>IF(ISBLANK($L182),"",_xlfn.XLOOKUP($L182,'CENTRO CUSTO'!$A:$A,'CENTRO CUSTO'!$E:$E,FALSE,0))</f>
        <v>G&amp;A CP</v>
      </c>
    </row>
    <row r="183" spans="1:72">
      <c r="A183" s="9" t="str">
        <f t="shared" si="80"/>
        <v>Budget</v>
      </c>
      <c r="B183" s="9">
        <f t="shared" si="77"/>
        <v>2026</v>
      </c>
      <c r="C183" s="18" t="str">
        <f>IF(ISBLANK($L183),"",_xlfn.XLOOKUP($L183,'CENTRO CUSTO'!$A:$A,'CENTRO CUSTO'!F:F,FALSE,0))</f>
        <v>Martini Meat</v>
      </c>
      <c r="D183" s="111" t="str">
        <f>IF(ISBLANK($L183),"",_xlfn.XLOOKUP($L183,'CENTRO CUSTO'!$A:$A,'CENTRO CUSTO'!G:G,FALSE,0))</f>
        <v>Paranaguá</v>
      </c>
      <c r="E183" s="18" t="str">
        <f>IF(ISBLANK($L183),"",_xlfn.XLOOKUP($L183,'CENTRO CUSTO'!$A:$A,'CENTRO CUSTO'!H:H,FALSE,0))</f>
        <v>Frigorífico</v>
      </c>
      <c r="F183" s="10" t="s">
        <v>186</v>
      </c>
      <c r="G183" s="10" t="s">
        <v>123</v>
      </c>
      <c r="H183" s="10" t="s">
        <v>187</v>
      </c>
      <c r="I183" s="11" t="s">
        <v>77</v>
      </c>
      <c r="J183" s="11" t="s">
        <v>78</v>
      </c>
      <c r="K183" s="11" t="s">
        <v>79</v>
      </c>
      <c r="L183" s="11" t="s">
        <v>15</v>
      </c>
      <c r="M183" s="18" t="str">
        <f>IF(ISBLANK($L183),"",_xlfn.XLOOKUP($L183,'CENTRO CUSTO'!$A:$A,'CENTRO CUSTO'!D:D,FALSE,0))</f>
        <v>Alexandre Ayabe</v>
      </c>
      <c r="N183" s="11" t="s">
        <v>91</v>
      </c>
      <c r="O183" s="12"/>
      <c r="P183" s="11" t="s">
        <v>81</v>
      </c>
      <c r="Q183" s="41">
        <v>0</v>
      </c>
      <c r="R183" s="41">
        <v>0</v>
      </c>
      <c r="S183" s="41">
        <v>0</v>
      </c>
      <c r="T183" s="41">
        <v>0</v>
      </c>
      <c r="U183" s="41">
        <v>0</v>
      </c>
      <c r="V183" s="41">
        <v>0</v>
      </c>
      <c r="W183" s="41">
        <v>0</v>
      </c>
      <c r="X183" s="41">
        <v>0</v>
      </c>
      <c r="Y183" s="41">
        <v>0</v>
      </c>
      <c r="Z183" s="41">
        <v>0</v>
      </c>
      <c r="AA183" s="41">
        <v>0</v>
      </c>
      <c r="AB183" s="41">
        <v>0</v>
      </c>
      <c r="AC183" s="116">
        <f t="shared" si="73"/>
        <v>0</v>
      </c>
      <c r="AE183" s="39">
        <f>IF(ISBLANK(Q183),"",IF($P183="BRL",Q183,Q183*Macroindicadores!B$2)/1000)</f>
        <v>0</v>
      </c>
      <c r="AF183" s="39">
        <f>IF(ISBLANK(R183),"",IF($P183="BRL",R183,R183*Macroindicadores!C$2)/1000)</f>
        <v>0</v>
      </c>
      <c r="AG183" s="39">
        <f>IF(ISBLANK(S183),"",IF($P183="BRL",S183,S183*Macroindicadores!D$2)/1000)</f>
        <v>0</v>
      </c>
      <c r="AH183" s="39">
        <f>IF(ISBLANK(T183),"",IF($P183="BRL",T183,T183*Macroindicadores!E$2)/1000)</f>
        <v>0</v>
      </c>
      <c r="AI183" s="39">
        <f>IF(ISBLANK(U183),"",IF($P183="BRL",U183,U183*Macroindicadores!F$2)/1000)</f>
        <v>0</v>
      </c>
      <c r="AJ183" s="39">
        <f>IF(ISBLANK(V183),"",IF($P183="BRL",V183,V183*Macroindicadores!G$2)/1000)</f>
        <v>0</v>
      </c>
      <c r="AK183" s="39">
        <f>IF(ISBLANK(W183),"",IF($P183="BRL",W183,W183*Macroindicadores!H$2)/1000)</f>
        <v>0</v>
      </c>
      <c r="AL183" s="39">
        <f>IF(ISBLANK(X183),"",IF($P183="BRL",X183,X183*Macroindicadores!I$2)/1000)</f>
        <v>0</v>
      </c>
      <c r="AM183" s="39">
        <f>IF(ISBLANK(Y183),"",IF($P183="BRL",Y183,Y183*Macroindicadores!J$2)/1000)</f>
        <v>0</v>
      </c>
      <c r="AN183" s="39">
        <f>IF(ISBLANK(Z183),"",IF($P183="BRL",Z183,Z183*Macroindicadores!K$2)/1000)</f>
        <v>0</v>
      </c>
      <c r="AO183" s="39">
        <f>IF(ISBLANK(AA183),"",IF($P183="BRL",AA183,AA183*Macroindicadores!L$2)/1000)</f>
        <v>0</v>
      </c>
      <c r="AP183" s="39">
        <f>IF(ISBLANK(AB183),"",IF($P183="BRL",AB183,AB183*Macroindicadores!M$2)/1000)</f>
        <v>0</v>
      </c>
      <c r="AQ183" s="40">
        <f t="shared" si="79"/>
        <v>0</v>
      </c>
      <c r="AS183" s="39">
        <f>IF(ISBLANK(Q183),"",IF(ISBLANK($O183),AE183,IF($J183="ANUAL",AE183*(1+Macroindicadores!B$7),IF(AND($I183="NOVO",MONTH($O183)=MONTH(AS$4)),AE183*(1+Macroindicadores!B$7),IF(AND($J183="PONTUAL",MONTH($O183)=MONTH(AS$4)),AE183*(1+Macroindicadores!B$7),IF(AND($J183="PONTUAL",MONTH($O183)&lt;MONTH(AS$4)),MIN(AR183:$AS183),IF(AND($I183="NOVO",MONTH($O183)&gt;MONTH(AS$4)),AE183,IF(MONTH($O183)&gt;MONTH(AS$4),AE183,IF(MONTH($O183)=MONTH(AS$4),AE183*(1+Macroindicadores!B$7),AR183)))))))))</f>
        <v>0</v>
      </c>
      <c r="AT183" s="39">
        <f>IF(ISBLANK(R183),"",IF(ISBLANK($O183),AF183,IF($J183="ANUAL",AF183*(1+Macroindicadores!C$7),IF(AND($I183="NOVO",MONTH($O183)=MONTH(AT$4)),AF183*(1+Macroindicadores!C$7),IF(AND($J183="PONTUAL",MONTH($O183)=MONTH(AT$4)),AF183*(1+Macroindicadores!C$7),IF(AND($J183="PONTUAL",MONTH($O183)&lt;MONTH(AT$4)),MIN($AS183:AS183),IF(AND($I183="NOVO",MONTH($O183)&gt;MONTH(AT$4)),AF183,IF(MONTH($O183)&gt;MONTH(AT$4),AF183,IF(MONTH($O183)=MONTH(AT$4),AF183*(1+Macroindicadores!C$7),AS183)))))))))</f>
        <v>0</v>
      </c>
      <c r="AU183" s="39">
        <f>IF(ISBLANK(S183),"",IF(ISBLANK($O183),AG183,IF($J183="ANUAL",AG183*(1+Macroindicadores!D$7),IF(AND($I183="NOVO",MONTH($O183)=MONTH(AU$4)),AG183*(1+Macroindicadores!D$7),IF(AND($J183="PONTUAL",MONTH($O183)=MONTH(AU$4)),AG183*(1+Macroindicadores!D$7),IF(AND($J183="PONTUAL",MONTH($O183)&lt;MONTH(AU$4)),MIN($AS183:AT183),IF(AND($I183="NOVO",MONTH($O183)&gt;MONTH(AU$4)),AG183,IF(MONTH($O183)&gt;MONTH(AU$4),AG183,IF(MONTH($O183)=MONTH(AU$4),AG183*(1+Macroindicadores!D$7),AT183)))))))))</f>
        <v>0</v>
      </c>
      <c r="AV183" s="39">
        <f>IF(ISBLANK(T183),"",IF(ISBLANK($O183),AH183,IF($J183="ANUAL",AH183*(1+Macroindicadores!E$7),IF(AND($I183="NOVO",MONTH($O183)=MONTH(AV$4)),AH183*(1+Macroindicadores!E$7),IF(AND($J183="PONTUAL",MONTH($O183)=MONTH(AV$4)),AH183*(1+Macroindicadores!E$7),IF(AND($J183="PONTUAL",MONTH($O183)&lt;MONTH(AV$4)),MIN($AS183:AU183),IF(AND($I183="NOVO",MONTH($O183)&gt;MONTH(AV$4)),AH183,IF(MONTH($O183)&gt;MONTH(AV$4),AH183,IF(MONTH($O183)=MONTH(AV$4),AH183*(1+Macroindicadores!E$7),AU183)))))))))</f>
        <v>0</v>
      </c>
      <c r="AW183" s="39">
        <f>IF(ISBLANK(U183),"",IF(ISBLANK($O183),AI183,IF($J183="ANUAL",AI183*(1+Macroindicadores!F$7),IF(AND($I183="NOVO",MONTH($O183)=MONTH(AW$4)),AI183*(1+Macroindicadores!F$7),IF(AND($J183="PONTUAL",MONTH($O183)=MONTH(AW$4)),AI183*(1+Macroindicadores!F$7),IF(AND($J183="PONTUAL",MONTH($O183)&lt;MONTH(AW$4)),MIN($AS183:AV183),IF(AND($I183="NOVO",MONTH($O183)&gt;MONTH(AW$4)),AI183,IF(MONTH($O183)&gt;MONTH(AW$4),AI183,IF(MONTH($O183)=MONTH(AW$4),AI183*(1+Macroindicadores!F$7),AV183)))))))))</f>
        <v>0</v>
      </c>
      <c r="AX183" s="39">
        <f>IF(ISBLANK(V183),"",IF(ISBLANK($O183),AJ183,IF($J183="ANUAL",AJ183*(1+Macroindicadores!G$7),IF(AND($I183="NOVO",MONTH($O183)=MONTH(AX$4)),AJ183*(1+Macroindicadores!G$7),IF(AND($J183="PONTUAL",MONTH($O183)=MONTH(AX$4)),AJ183*(1+Macroindicadores!G$7),IF(AND($J183="PONTUAL",MONTH($O183)&lt;MONTH(AX$4)),MIN($AS183:AW183),IF(AND($I183="NOVO",MONTH($O183)&gt;MONTH(AX$4)),AJ183,IF(MONTH($O183)&gt;MONTH(AX$4),AJ183,IF(MONTH($O183)=MONTH(AX$4),AJ183*(1+Macroindicadores!G$7),AW183)))))))))</f>
        <v>0</v>
      </c>
      <c r="AY183" s="39">
        <f>IF(ISBLANK(W183),"",IF(ISBLANK($O183),AK183,IF($J183="ANUAL",AK183*(1+Macroindicadores!H$7),IF(AND($I183="NOVO",MONTH($O183)=MONTH(AY$4)),AK183*(1+Macroindicadores!H$7),IF(AND($J183="PONTUAL",MONTH($O183)=MONTH(AY$4)),AK183*(1+Macroindicadores!H$7),IF(AND($J183="PONTUAL",MONTH($O183)&lt;MONTH(AY$4)),MIN($AS183:AX183),IF(AND($I183="NOVO",MONTH($O183)&gt;MONTH(AY$4)),AK183,IF(MONTH($O183)&gt;MONTH(AY$4),AK183,IF(MONTH($O183)=MONTH(AY$4),AK183*(1+Macroindicadores!H$7),AX183)))))))))</f>
        <v>0</v>
      </c>
      <c r="AZ183" s="39">
        <f>IF(ISBLANK(X183),"",IF(ISBLANK($O183),AL183,IF($J183="ANUAL",AL183*(1+Macroindicadores!I$7),IF(AND($I183="NOVO",MONTH($O183)=MONTH(AZ$4)),AL183*(1+Macroindicadores!I$7),IF(AND($J183="PONTUAL",MONTH($O183)=MONTH(AZ$4)),AL183*(1+Macroindicadores!I$7),IF(AND($J183="PONTUAL",MONTH($O183)&lt;MONTH(AZ$4)),MIN($AS183:AY183),IF(AND($I183="NOVO",MONTH($O183)&gt;MONTH(AZ$4)),AL183,IF(MONTH($O183)&gt;MONTH(AZ$4),AL183,IF(MONTH($O183)=MONTH(AZ$4),AL183*(1+Macroindicadores!I$7),AY183)))))))))</f>
        <v>0</v>
      </c>
      <c r="BA183" s="39">
        <f>IF(ISBLANK(Y183),"",IF(ISBLANK($O183),AM183,IF($J183="ANUAL",AM183*(1+Macroindicadores!J$7),IF(AND($I183="NOVO",MONTH($O183)=MONTH(BA$4)),AM183*(1+Macroindicadores!J$7),IF(AND($J183="PONTUAL",MONTH($O183)=MONTH(BA$4)),AM183*(1+Macroindicadores!J$7),IF(AND($J183="PONTUAL",MONTH($O183)&lt;MONTH(BA$4)),MIN($AS183:AZ183),IF(AND($I183="NOVO",MONTH($O183)&gt;MONTH(BA$4)),AM183,IF(MONTH($O183)&gt;MONTH(BA$4),AM183,IF(MONTH($O183)=MONTH(BA$4),AM183*(1+Macroindicadores!J$7),AZ183)))))))))</f>
        <v>0</v>
      </c>
      <c r="BB183" s="39">
        <f>IF(ISBLANK(Z183),"",IF(ISBLANK($O183),AN183,IF($J183="ANUAL",AN183*(1+Macroindicadores!K$7),IF(AND($I183="NOVO",MONTH($O183)=MONTH(BB$4)),AN183*(1+Macroindicadores!K$7),IF(AND($J183="PONTUAL",MONTH($O183)=MONTH(BB$4)),AN183*(1+Macroindicadores!K$7),IF(AND($J183="PONTUAL",MONTH($O183)&lt;MONTH(BB$4)),MIN($AS183:BA183),IF(AND($I183="NOVO",MONTH($O183)&gt;MONTH(BB$4)),AN183,IF(MONTH($O183)&gt;MONTH(BB$4),AN183,IF(MONTH($O183)=MONTH(BB$4),AN183*(1+Macroindicadores!K$7),BA183)))))))))</f>
        <v>0</v>
      </c>
      <c r="BC183" s="39">
        <f>IF(ISBLANK(AA183),"",IF(ISBLANK($O183),AO183,IF($J183="ANUAL",AO183*(1+Macroindicadores!L$7),IF(AND($I183="NOVO",MONTH($O183)=MONTH(BC$4)),AO183*(1+Macroindicadores!L$7),IF(AND($J183="PONTUAL",MONTH($O183)=MONTH(BC$4)),AO183*(1+Macroindicadores!L$7),IF(AND($J183="PONTUAL",MONTH($O183)&lt;MONTH(BC$4)),MIN($AS183:BB183),IF(AND($I183="NOVO",MONTH($O183)&gt;MONTH(BC$4)),AO183,IF(MONTH($O183)&gt;MONTH(BC$4),AO183,IF(MONTH($O183)=MONTH(BC$4),AO183*(1+Macroindicadores!L$7),BB183)))))))))</f>
        <v>0</v>
      </c>
      <c r="BD183" s="39">
        <f>IF(ISBLANK(AB183),"",IF(ISBLANK($O183),AP183,IF($J183="ANUAL",AP183*(1+Macroindicadores!M$7),IF(AND($I183="NOVO",MONTH($O183)=MONTH(BD$4)),AP183*(1+Macroindicadores!M$7),IF(AND($J183="PONTUAL",MONTH($O183)=MONTH(BD$4)),AP183*(1+Macroindicadores!M$7),IF(AND($J183="PONTUAL",MONTH($O183)&lt;MONTH(BD$4)),MIN($AS183:BC183),IF(AND($I183="NOVO",MONTH($O183)&gt;MONTH(BD$4)),AP183,IF(MONTH($O183)&gt;MONTH(BD$4),AP183,IF(MONTH($O183)=MONTH(BD$4),AP183*(1+Macroindicadores!M$7),BC183)))))))))</f>
        <v>0</v>
      </c>
      <c r="BE183" s="40">
        <f t="shared" si="78"/>
        <v>0</v>
      </c>
      <c r="BG183" s="39">
        <f>IF(ISBLANK(Q183),"",AS183/Macroindicadores!B$2)</f>
        <v>0</v>
      </c>
      <c r="BH183" s="39">
        <f>IF(ISBLANK(R183),"",AT183/Macroindicadores!C$2)</f>
        <v>0</v>
      </c>
      <c r="BI183" s="39">
        <f>IF(ISBLANK(S183),"",AU183/Macroindicadores!D$2)</f>
        <v>0</v>
      </c>
      <c r="BJ183" s="39">
        <f>IF(ISBLANK(T183),"",AV183/Macroindicadores!E$2)</f>
        <v>0</v>
      </c>
      <c r="BK183" s="39">
        <f>IF(ISBLANK(U183),"",AW183/Macroindicadores!F$2)</f>
        <v>0</v>
      </c>
      <c r="BL183" s="39">
        <f>IF(ISBLANK(V183),"",AX183/Macroindicadores!G$2)</f>
        <v>0</v>
      </c>
      <c r="BM183" s="39">
        <f>IF(ISBLANK(W183),"",AY183/Macroindicadores!H$2)</f>
        <v>0</v>
      </c>
      <c r="BN183" s="39">
        <f>IF(ISBLANK(X183),"",AZ183/Macroindicadores!I$2)</f>
        <v>0</v>
      </c>
      <c r="BO183" s="39">
        <f>IF(ISBLANK(Y183),"",BA183/Macroindicadores!J$2)</f>
        <v>0</v>
      </c>
      <c r="BP183" s="39">
        <f>IF(ISBLANK(Z183),"",BB183/Macroindicadores!K$2)</f>
        <v>0</v>
      </c>
      <c r="BQ183" s="39">
        <f>IF(ISBLANK(AA183),"",BC183/Macroindicadores!L$2)</f>
        <v>0</v>
      </c>
      <c r="BR183" s="39">
        <f>IF(ISBLANK(AB183),"",BD183/Macroindicadores!M$2)</f>
        <v>0</v>
      </c>
      <c r="BS183" s="40">
        <f>IF(AND(ISBLANK($Q183),ISBLANK($R183),ISBLANK($S183),ISBLANK($T183),ISBLANK($U183),ISBLANK($V183),ISBLANK($W183),ISBLANK($X183),ISBLANK($Y183),ISBLANK($Z183),ISBLANK($AA183),ISBLANK($AB183)),"",SUM(BG183:BR183))</f>
        <v>0</v>
      </c>
      <c r="BT183" s="25" t="str">
        <f>IF(ISBLANK($L183),"",_xlfn.XLOOKUP($L183,'CENTRO CUSTO'!$A:$A,'CENTRO CUSTO'!$E:$E,FALSE,0))</f>
        <v>Custo Fixo</v>
      </c>
    </row>
    <row r="184" spans="1:72">
      <c r="A184" s="9" t="str">
        <f t="shared" si="80"/>
        <v>Budget</v>
      </c>
      <c r="B184" s="9">
        <f t="shared" si="77"/>
        <v>2026</v>
      </c>
      <c r="C184" s="18" t="str">
        <f>IF(ISBLANK($L184),"",_xlfn.XLOOKUP($L184,'CENTRO CUSTO'!$A:$A,'CENTRO CUSTO'!F:F,FALSE,0))</f>
        <v>Martini Meat</v>
      </c>
      <c r="D184" s="111" t="str">
        <f>IF(ISBLANK($L184),"",_xlfn.XLOOKUP($L184,'CENTRO CUSTO'!$A:$A,'CENTRO CUSTO'!G:G,FALSE,0))</f>
        <v>Itajaí</v>
      </c>
      <c r="E184" s="18" t="str">
        <f>IF(ISBLANK($L184),"",_xlfn.XLOOKUP($L184,'CENTRO CUSTO'!$A:$A,'CENTRO CUSTO'!H:H,FALSE,0))</f>
        <v>Frigorífico</v>
      </c>
      <c r="F184" s="10" t="s">
        <v>186</v>
      </c>
      <c r="G184" s="10" t="s">
        <v>123</v>
      </c>
      <c r="H184" s="10" t="s">
        <v>187</v>
      </c>
      <c r="I184" s="11" t="s">
        <v>77</v>
      </c>
      <c r="J184" s="11" t="s">
        <v>78</v>
      </c>
      <c r="K184" s="11" t="s">
        <v>79</v>
      </c>
      <c r="L184" s="11" t="s">
        <v>27</v>
      </c>
      <c r="M184" s="18" t="str">
        <f>IF(ISBLANK($L184),"",_xlfn.XLOOKUP($L184,'CENTRO CUSTO'!$A:$A,'CENTRO CUSTO'!D:D,FALSE,0))</f>
        <v>Alexandre Ayabe</v>
      </c>
      <c r="N184" s="11" t="s">
        <v>91</v>
      </c>
      <c r="O184" s="12"/>
      <c r="P184" s="11" t="s">
        <v>81</v>
      </c>
      <c r="Q184" s="41">
        <v>0</v>
      </c>
      <c r="R184" s="41">
        <v>0</v>
      </c>
      <c r="S184" s="41">
        <v>0</v>
      </c>
      <c r="T184" s="41">
        <v>0</v>
      </c>
      <c r="U184" s="41">
        <v>0</v>
      </c>
      <c r="V184" s="41">
        <v>0</v>
      </c>
      <c r="W184" s="41">
        <v>0</v>
      </c>
      <c r="X184" s="41">
        <v>0</v>
      </c>
      <c r="Y184" s="41">
        <v>0</v>
      </c>
      <c r="Z184" s="41">
        <v>0</v>
      </c>
      <c r="AA184" s="41">
        <v>0</v>
      </c>
      <c r="AB184" s="41">
        <v>0</v>
      </c>
      <c r="AC184" s="116">
        <f t="shared" ref="AC184:AC186" si="87">IF(AND(ISBLANK($Q184),ISBLANK($R184),ISBLANK($S184),ISBLANK($T184),ISBLANK($U184),ISBLANK($V184),ISBLANK($W184),ISBLANK($X184),ISBLANK($Y184),ISBLANK($Z184),ISBLANK($AA184),ISBLANK($AB184)),"",SUM(Q184:AB184))</f>
        <v>0</v>
      </c>
      <c r="AE184" s="39">
        <f>IF(ISBLANK(Q184),"",IF($P184="BRL",Q184,Q184*Macroindicadores!B$2)/1000)</f>
        <v>0</v>
      </c>
      <c r="AF184" s="39">
        <f>IF(ISBLANK(R184),"",IF($P184="BRL",R184,R184*Macroindicadores!C$2)/1000)</f>
        <v>0</v>
      </c>
      <c r="AG184" s="39">
        <f>IF(ISBLANK(S184),"",IF($P184="BRL",S184,S184*Macroindicadores!D$2)/1000)</f>
        <v>0</v>
      </c>
      <c r="AH184" s="39">
        <f>IF(ISBLANK(T184),"",IF($P184="BRL",T184,T184*Macroindicadores!E$2)/1000)</f>
        <v>0</v>
      </c>
      <c r="AI184" s="39">
        <f>IF(ISBLANK(U184),"",IF($P184="BRL",U184,U184*Macroindicadores!F$2)/1000)</f>
        <v>0</v>
      </c>
      <c r="AJ184" s="39">
        <f>IF(ISBLANK(V184),"",IF($P184="BRL",V184,V184*Macroindicadores!G$2)/1000)</f>
        <v>0</v>
      </c>
      <c r="AK184" s="39">
        <f>IF(ISBLANK(W184),"",IF($P184="BRL",W184,W184*Macroindicadores!H$2)/1000)</f>
        <v>0</v>
      </c>
      <c r="AL184" s="39">
        <f>IF(ISBLANK(X184),"",IF($P184="BRL",X184,X184*Macroindicadores!I$2)/1000)</f>
        <v>0</v>
      </c>
      <c r="AM184" s="39">
        <f>IF(ISBLANK(Y184),"",IF($P184="BRL",Y184,Y184*Macroindicadores!J$2)/1000)</f>
        <v>0</v>
      </c>
      <c r="AN184" s="39">
        <f>IF(ISBLANK(Z184),"",IF($P184="BRL",Z184,Z184*Macroindicadores!K$2)/1000)</f>
        <v>0</v>
      </c>
      <c r="AO184" s="39">
        <f>IF(ISBLANK(AA184),"",IF($P184="BRL",AA184,AA184*Macroindicadores!L$2)/1000)</f>
        <v>0</v>
      </c>
      <c r="AP184" s="39">
        <f>IF(ISBLANK(AB184),"",IF($P184="BRL",AB184,AB184*Macroindicadores!M$2)/1000)</f>
        <v>0</v>
      </c>
      <c r="AQ184" s="40">
        <f t="shared" ref="AQ184:AQ186" si="88">IF(AND(ISBLANK($Q184),ISBLANK($R184),ISBLANK($S184),ISBLANK($T184),ISBLANK($U184),ISBLANK($V184),ISBLANK($W184),ISBLANK($X184),ISBLANK($Y184),ISBLANK($Z184),ISBLANK($AA184),ISBLANK($AB184)),"",SUM(AE184:AP184))</f>
        <v>0</v>
      </c>
      <c r="AS184" s="39">
        <f>IF(ISBLANK(Q184),"",IF(ISBLANK($O184),AE184,IF($J184="ANUAL",AE184*(1+Macroindicadores!B$7),IF(AND($I184="NOVO",MONTH($O184)=MONTH(AS$4)),AE184*(1+Macroindicadores!B$7),IF(AND($J184="PONTUAL",MONTH($O184)=MONTH(AS$4)),AE184*(1+Macroindicadores!B$7),IF(AND($J184="PONTUAL",MONTH($O184)&lt;MONTH(AS$4)),MIN(AR184:$AS184),IF(AND($I184="NOVO",MONTH($O184)&gt;MONTH(AS$4)),AE184,IF(MONTH($O184)&gt;MONTH(AS$4),AE184,IF(MONTH($O184)=MONTH(AS$4),AE184*(1+Macroindicadores!B$7),AR184)))))))))</f>
        <v>0</v>
      </c>
      <c r="AT184" s="39">
        <f>IF(ISBLANK(R184),"",IF(ISBLANK($O184),AF184,IF($J184="ANUAL",AF184*(1+Macroindicadores!C$7),IF(AND($I184="NOVO",MONTH($O184)=MONTH(AT$4)),AF184*(1+Macroindicadores!C$7),IF(AND($J184="PONTUAL",MONTH($O184)=MONTH(AT$4)),AF184*(1+Macroindicadores!C$7),IF(AND($J184="PONTUAL",MONTH($O184)&lt;MONTH(AT$4)),MIN($AS184:AS184),IF(AND($I184="NOVO",MONTH($O184)&gt;MONTH(AT$4)),AF184,IF(MONTH($O184)&gt;MONTH(AT$4),AF184,IF(MONTH($O184)=MONTH(AT$4),AF184*(1+Macroindicadores!C$7),AS184)))))))))</f>
        <v>0</v>
      </c>
      <c r="AU184" s="39">
        <f>IF(ISBLANK(S184),"",IF(ISBLANK($O184),AG184,IF($J184="ANUAL",AG184*(1+Macroindicadores!D$7),IF(AND($I184="NOVO",MONTH($O184)=MONTH(AU$4)),AG184*(1+Macroindicadores!D$7),IF(AND($J184="PONTUAL",MONTH($O184)=MONTH(AU$4)),AG184*(1+Macroindicadores!D$7),IF(AND($J184="PONTUAL",MONTH($O184)&lt;MONTH(AU$4)),MIN($AS184:AT184),IF(AND($I184="NOVO",MONTH($O184)&gt;MONTH(AU$4)),AG184,IF(MONTH($O184)&gt;MONTH(AU$4),AG184,IF(MONTH($O184)=MONTH(AU$4),AG184*(1+Macroindicadores!D$7),AT184)))))))))</f>
        <v>0</v>
      </c>
      <c r="AV184" s="39">
        <f>IF(ISBLANK(T184),"",IF(ISBLANK($O184),AH184,IF($J184="ANUAL",AH184*(1+Macroindicadores!E$7),IF(AND($I184="NOVO",MONTH($O184)=MONTH(AV$4)),AH184*(1+Macroindicadores!E$7),IF(AND($J184="PONTUAL",MONTH($O184)=MONTH(AV$4)),AH184*(1+Macroindicadores!E$7),IF(AND($J184="PONTUAL",MONTH($O184)&lt;MONTH(AV$4)),MIN($AS184:AU184),IF(AND($I184="NOVO",MONTH($O184)&gt;MONTH(AV$4)),AH184,IF(MONTH($O184)&gt;MONTH(AV$4),AH184,IF(MONTH($O184)=MONTH(AV$4),AH184*(1+Macroindicadores!E$7),AU184)))))))))</f>
        <v>0</v>
      </c>
      <c r="AW184" s="39">
        <f>IF(ISBLANK(U184),"",IF(ISBLANK($O184),AI184,IF($J184="ANUAL",AI184*(1+Macroindicadores!F$7),IF(AND($I184="NOVO",MONTH($O184)=MONTH(AW$4)),AI184*(1+Macroindicadores!F$7),IF(AND($J184="PONTUAL",MONTH($O184)=MONTH(AW$4)),AI184*(1+Macroindicadores!F$7),IF(AND($J184="PONTUAL",MONTH($O184)&lt;MONTH(AW$4)),MIN($AS184:AV184),IF(AND($I184="NOVO",MONTH($O184)&gt;MONTH(AW$4)),AI184,IF(MONTH($O184)&gt;MONTH(AW$4),AI184,IF(MONTH($O184)=MONTH(AW$4),AI184*(1+Macroindicadores!F$7),AV184)))))))))</f>
        <v>0</v>
      </c>
      <c r="AX184" s="39">
        <f>IF(ISBLANK(V184),"",IF(ISBLANK($O184),AJ184,IF($J184="ANUAL",AJ184*(1+Macroindicadores!G$7),IF(AND($I184="NOVO",MONTH($O184)=MONTH(AX$4)),AJ184*(1+Macroindicadores!G$7),IF(AND($J184="PONTUAL",MONTH($O184)=MONTH(AX$4)),AJ184*(1+Macroindicadores!G$7),IF(AND($J184="PONTUAL",MONTH($O184)&lt;MONTH(AX$4)),MIN($AS184:AW184),IF(AND($I184="NOVO",MONTH($O184)&gt;MONTH(AX$4)),AJ184,IF(MONTH($O184)&gt;MONTH(AX$4),AJ184,IF(MONTH($O184)=MONTH(AX$4),AJ184*(1+Macroindicadores!G$7),AW184)))))))))</f>
        <v>0</v>
      </c>
      <c r="AY184" s="39">
        <f>IF(ISBLANK(W184),"",IF(ISBLANK($O184),AK184,IF($J184="ANUAL",AK184*(1+Macroindicadores!H$7),IF(AND($I184="NOVO",MONTH($O184)=MONTH(AY$4)),AK184*(1+Macroindicadores!H$7),IF(AND($J184="PONTUAL",MONTH($O184)=MONTH(AY$4)),AK184*(1+Macroindicadores!H$7),IF(AND($J184="PONTUAL",MONTH($O184)&lt;MONTH(AY$4)),MIN($AS184:AX184),IF(AND($I184="NOVO",MONTH($O184)&gt;MONTH(AY$4)),AK184,IF(MONTH($O184)&gt;MONTH(AY$4),AK184,IF(MONTH($O184)=MONTH(AY$4),AK184*(1+Macroindicadores!H$7),AX184)))))))))</f>
        <v>0</v>
      </c>
      <c r="AZ184" s="39">
        <f>IF(ISBLANK(X184),"",IF(ISBLANK($O184),AL184,IF($J184="ANUAL",AL184*(1+Macroindicadores!I$7),IF(AND($I184="NOVO",MONTH($O184)=MONTH(AZ$4)),AL184*(1+Macroindicadores!I$7),IF(AND($J184="PONTUAL",MONTH($O184)=MONTH(AZ$4)),AL184*(1+Macroindicadores!I$7),IF(AND($J184="PONTUAL",MONTH($O184)&lt;MONTH(AZ$4)),MIN($AS184:AY184),IF(AND($I184="NOVO",MONTH($O184)&gt;MONTH(AZ$4)),AL184,IF(MONTH($O184)&gt;MONTH(AZ$4),AL184,IF(MONTH($O184)=MONTH(AZ$4),AL184*(1+Macroindicadores!I$7),AY184)))))))))</f>
        <v>0</v>
      </c>
      <c r="BA184" s="39">
        <f>IF(ISBLANK(Y184),"",IF(ISBLANK($O184),AM184,IF($J184="ANUAL",AM184*(1+Macroindicadores!J$7),IF(AND($I184="NOVO",MONTH($O184)=MONTH(BA$4)),AM184*(1+Macroindicadores!J$7),IF(AND($J184="PONTUAL",MONTH($O184)=MONTH(BA$4)),AM184*(1+Macroindicadores!J$7),IF(AND($J184="PONTUAL",MONTH($O184)&lt;MONTH(BA$4)),MIN($AS184:AZ184),IF(AND($I184="NOVO",MONTH($O184)&gt;MONTH(BA$4)),AM184,IF(MONTH($O184)&gt;MONTH(BA$4),AM184,IF(MONTH($O184)=MONTH(BA$4),AM184*(1+Macroindicadores!J$7),AZ184)))))))))</f>
        <v>0</v>
      </c>
      <c r="BB184" s="39">
        <f>IF(ISBLANK(Z184),"",IF(ISBLANK($O184),AN184,IF($J184="ANUAL",AN184*(1+Macroindicadores!K$7),IF(AND($I184="NOVO",MONTH($O184)=MONTH(BB$4)),AN184*(1+Macroindicadores!K$7),IF(AND($J184="PONTUAL",MONTH($O184)=MONTH(BB$4)),AN184*(1+Macroindicadores!K$7),IF(AND($J184="PONTUAL",MONTH($O184)&lt;MONTH(BB$4)),MIN($AS184:BA184),IF(AND($I184="NOVO",MONTH($O184)&gt;MONTH(BB$4)),AN184,IF(MONTH($O184)&gt;MONTH(BB$4),AN184,IF(MONTH($O184)=MONTH(BB$4),AN184*(1+Macroindicadores!K$7),BA184)))))))))</f>
        <v>0</v>
      </c>
      <c r="BC184" s="39">
        <f>IF(ISBLANK(AA184),"",IF(ISBLANK($O184),AO184,IF($J184="ANUAL",AO184*(1+Macroindicadores!L$7),IF(AND($I184="NOVO",MONTH($O184)=MONTH(BC$4)),AO184*(1+Macroindicadores!L$7),IF(AND($J184="PONTUAL",MONTH($O184)=MONTH(BC$4)),AO184*(1+Macroindicadores!L$7),IF(AND($J184="PONTUAL",MONTH($O184)&lt;MONTH(BC$4)),MIN($AS184:BB184),IF(AND($I184="NOVO",MONTH($O184)&gt;MONTH(BC$4)),AO184,IF(MONTH($O184)&gt;MONTH(BC$4),AO184,IF(MONTH($O184)=MONTH(BC$4),AO184*(1+Macroindicadores!L$7),BB184)))))))))</f>
        <v>0</v>
      </c>
      <c r="BD184" s="39">
        <f>IF(ISBLANK(AB184),"",IF(ISBLANK($O184),AP184,IF($J184="ANUAL",AP184*(1+Macroindicadores!M$7),IF(AND($I184="NOVO",MONTH($O184)=MONTH(BD$4)),AP184*(1+Macroindicadores!M$7),IF(AND($J184="PONTUAL",MONTH($O184)=MONTH(BD$4)),AP184*(1+Macroindicadores!M$7),IF(AND($J184="PONTUAL",MONTH($O184)&lt;MONTH(BD$4)),MIN($AS184:BC184),IF(AND($I184="NOVO",MONTH($O184)&gt;MONTH(BD$4)),AP184,IF(MONTH($O184)&gt;MONTH(BD$4),AP184,IF(MONTH($O184)=MONTH(BD$4),AP184*(1+Macroindicadores!M$7),BC184)))))))))</f>
        <v>0</v>
      </c>
      <c r="BE184" s="40">
        <f t="shared" ref="BE184:BE186" si="89">IF(AND(ISBLANK($Q184),ISBLANK($R184),ISBLANK($S184),ISBLANK($T184),ISBLANK($U184),ISBLANK($V184),ISBLANK($W184),ISBLANK($X184),ISBLANK($Y184),ISBLANK($Z184),ISBLANK($AA184),ISBLANK($AB184)),"",SUM(AS184:BD184))</f>
        <v>0</v>
      </c>
      <c r="BG184" s="39">
        <f>IF(ISBLANK(Q184),"",AS184/Macroindicadores!B$2)</f>
        <v>0</v>
      </c>
      <c r="BH184" s="39">
        <f>IF(ISBLANK(R184),"",AT184/Macroindicadores!C$2)</f>
        <v>0</v>
      </c>
      <c r="BI184" s="39">
        <f>IF(ISBLANK(S184),"",AU184/Macroindicadores!D$2)</f>
        <v>0</v>
      </c>
      <c r="BJ184" s="39">
        <f>IF(ISBLANK(T184),"",AV184/Macroindicadores!E$2)</f>
        <v>0</v>
      </c>
      <c r="BK184" s="39">
        <f>IF(ISBLANK(U184),"",AW184/Macroindicadores!F$2)</f>
        <v>0</v>
      </c>
      <c r="BL184" s="39">
        <f>IF(ISBLANK(V184),"",AX184/Macroindicadores!G$2)</f>
        <v>0</v>
      </c>
      <c r="BM184" s="39">
        <f>IF(ISBLANK(W184),"",AY184/Macroindicadores!H$2)</f>
        <v>0</v>
      </c>
      <c r="BN184" s="39">
        <f>IF(ISBLANK(X184),"",AZ184/Macroindicadores!I$2)</f>
        <v>0</v>
      </c>
      <c r="BO184" s="39">
        <f>IF(ISBLANK(Y184),"",BA184/Macroindicadores!J$2)</f>
        <v>0</v>
      </c>
      <c r="BP184" s="39">
        <f>IF(ISBLANK(Z184),"",BB184/Macroindicadores!K$2)</f>
        <v>0</v>
      </c>
      <c r="BQ184" s="39">
        <f>IF(ISBLANK(AA184),"",BC184/Macroindicadores!L$2)</f>
        <v>0</v>
      </c>
      <c r="BR184" s="39">
        <f>IF(ISBLANK(AB184),"",BD184/Macroindicadores!M$2)</f>
        <v>0</v>
      </c>
      <c r="BS184" s="40">
        <f>IF(AND(ISBLANK($Q184),ISBLANK($R184),ISBLANK($S184),ISBLANK($T184),ISBLANK($U184),ISBLANK($V184),ISBLANK($W184),ISBLANK($X184),ISBLANK($Y184),ISBLANK($Z184),ISBLANK($AA184),ISBLANK($AB184)),"",SUM(BG184:BR184))</f>
        <v>0</v>
      </c>
      <c r="BT184" s="25" t="str">
        <f>IF(ISBLANK($L184),"",_xlfn.XLOOKUP($L184,'CENTRO CUSTO'!$A:$A,'CENTRO CUSTO'!$E:$E,FALSE,0))</f>
        <v>Custo Fixo</v>
      </c>
    </row>
    <row r="185" spans="1:72">
      <c r="A185" s="9" t="str">
        <f t="shared" si="80"/>
        <v>Budget</v>
      </c>
      <c r="B185" s="9">
        <f t="shared" si="77"/>
        <v>2026</v>
      </c>
      <c r="C185" s="18" t="str">
        <f>IF(ISBLANK($L185),"",_xlfn.XLOOKUP($L185,'CENTRO CUSTO'!$A:$A,'CENTRO CUSTO'!F:F,FALSE,0))</f>
        <v>Martini Meat</v>
      </c>
      <c r="D185" s="111" t="str">
        <f>IF(ISBLANK($L185),"",_xlfn.XLOOKUP($L185,'CENTRO CUSTO'!$A:$A,'CENTRO CUSTO'!G:G,FALSE,0))</f>
        <v>Rio Grande</v>
      </c>
      <c r="E185" s="18" t="str">
        <f>IF(ISBLANK($L185),"",_xlfn.XLOOKUP($L185,'CENTRO CUSTO'!$A:$A,'CENTRO CUSTO'!H:H,FALSE,0))</f>
        <v>Frigorífico</v>
      </c>
      <c r="F185" s="10" t="s">
        <v>186</v>
      </c>
      <c r="G185" s="10" t="s">
        <v>123</v>
      </c>
      <c r="H185" s="10" t="s">
        <v>187</v>
      </c>
      <c r="I185" s="11" t="s">
        <v>77</v>
      </c>
      <c r="J185" s="11" t="s">
        <v>78</v>
      </c>
      <c r="K185" s="11" t="s">
        <v>79</v>
      </c>
      <c r="L185" s="11" t="s">
        <v>21</v>
      </c>
      <c r="M185" s="18" t="str">
        <f>IF(ISBLANK($L185),"",_xlfn.XLOOKUP($L185,'CENTRO CUSTO'!$A:$A,'CENTRO CUSTO'!D:D,FALSE,0))</f>
        <v>Alexandre Ayabe</v>
      </c>
      <c r="N185" s="11" t="s">
        <v>91</v>
      </c>
      <c r="O185" s="12"/>
      <c r="P185" s="11" t="s">
        <v>81</v>
      </c>
      <c r="Q185" s="41">
        <v>142</v>
      </c>
      <c r="R185" s="41">
        <v>142</v>
      </c>
      <c r="S185" s="41">
        <v>142</v>
      </c>
      <c r="T185" s="41">
        <v>142</v>
      </c>
      <c r="U185" s="41">
        <v>142</v>
      </c>
      <c r="V185" s="41">
        <v>142</v>
      </c>
      <c r="W185" s="41">
        <v>142</v>
      </c>
      <c r="X185" s="41">
        <v>142</v>
      </c>
      <c r="Y185" s="41">
        <v>142</v>
      </c>
      <c r="Z185" s="41">
        <v>142</v>
      </c>
      <c r="AA185" s="41">
        <v>142</v>
      </c>
      <c r="AB185" s="41">
        <v>142</v>
      </c>
      <c r="AC185" s="116">
        <f t="shared" si="87"/>
        <v>1704</v>
      </c>
      <c r="AE185" s="39">
        <f>IF(ISBLANK(Q185),"",IF($P185="BRL",Q185,Q185*Macroindicadores!B$2)/1000)</f>
        <v>0.14199999999999999</v>
      </c>
      <c r="AF185" s="39">
        <f>IF(ISBLANK(R185),"",IF($P185="BRL",R185,R185*Macroindicadores!C$2)/1000)</f>
        <v>0.14199999999999999</v>
      </c>
      <c r="AG185" s="39">
        <f>IF(ISBLANK(S185),"",IF($P185="BRL",S185,S185*Macroindicadores!D$2)/1000)</f>
        <v>0.14199999999999999</v>
      </c>
      <c r="AH185" s="39">
        <f>IF(ISBLANK(T185),"",IF($P185="BRL",T185,T185*Macroindicadores!E$2)/1000)</f>
        <v>0.14199999999999999</v>
      </c>
      <c r="AI185" s="39">
        <f>IF(ISBLANK(U185),"",IF($P185="BRL",U185,U185*Macroindicadores!F$2)/1000)</f>
        <v>0.14199999999999999</v>
      </c>
      <c r="AJ185" s="39">
        <f>IF(ISBLANK(V185),"",IF($P185="BRL",V185,V185*Macroindicadores!G$2)/1000)</f>
        <v>0.14199999999999999</v>
      </c>
      <c r="AK185" s="39">
        <f>IF(ISBLANK(W185),"",IF($P185="BRL",W185,W185*Macroindicadores!H$2)/1000)</f>
        <v>0.14199999999999999</v>
      </c>
      <c r="AL185" s="39">
        <f>IF(ISBLANK(X185),"",IF($P185="BRL",X185,X185*Macroindicadores!I$2)/1000)</f>
        <v>0.14199999999999999</v>
      </c>
      <c r="AM185" s="39">
        <f>IF(ISBLANK(Y185),"",IF($P185="BRL",Y185,Y185*Macroindicadores!J$2)/1000)</f>
        <v>0.14199999999999999</v>
      </c>
      <c r="AN185" s="39">
        <f>IF(ISBLANK(Z185),"",IF($P185="BRL",Z185,Z185*Macroindicadores!K$2)/1000)</f>
        <v>0.14199999999999999</v>
      </c>
      <c r="AO185" s="39">
        <f>IF(ISBLANK(AA185),"",IF($P185="BRL",AA185,AA185*Macroindicadores!L$2)/1000)</f>
        <v>0.14199999999999999</v>
      </c>
      <c r="AP185" s="39">
        <f>IF(ISBLANK(AB185),"",IF($P185="BRL",AB185,AB185*Macroindicadores!M$2)/1000)</f>
        <v>0.14199999999999999</v>
      </c>
      <c r="AQ185" s="40">
        <f t="shared" si="88"/>
        <v>1.7039999999999995</v>
      </c>
      <c r="AS185" s="39">
        <f>IF(ISBLANK(Q185),"",IF(ISBLANK($O185),AE185,IF($J185="ANUAL",AE185*(1+Macroindicadores!B$7),IF(AND($I185="NOVO",MONTH($O185)=MONTH(AS$4)),AE185*(1+Macroindicadores!B$7),IF(AND($J185="PONTUAL",MONTH($O185)=MONTH(AS$4)),AE185*(1+Macroindicadores!B$7),IF(AND($J185="PONTUAL",MONTH($O185)&lt;MONTH(AS$4)),MIN(AR185:$AS185),IF(AND($I185="NOVO",MONTH($O185)&gt;MONTH(AS$4)),AE185,IF(MONTH($O185)&gt;MONTH(AS$4),AE185,IF(MONTH($O185)=MONTH(AS$4),AE185*(1+Macroindicadores!B$7),AR185)))))))))</f>
        <v>0.14199999999999999</v>
      </c>
      <c r="AT185" s="39">
        <f>IF(ISBLANK(R185),"",IF(ISBLANK($O185),AF185,IF($J185="ANUAL",AF185*(1+Macroindicadores!C$7),IF(AND($I185="NOVO",MONTH($O185)=MONTH(AT$4)),AF185*(1+Macroindicadores!C$7),IF(AND($J185="PONTUAL",MONTH($O185)=MONTH(AT$4)),AF185*(1+Macroindicadores!C$7),IF(AND($J185="PONTUAL",MONTH($O185)&lt;MONTH(AT$4)),MIN($AS185:AS185),IF(AND($I185="NOVO",MONTH($O185)&gt;MONTH(AT$4)),AF185,IF(MONTH($O185)&gt;MONTH(AT$4),AF185,IF(MONTH($O185)=MONTH(AT$4),AF185*(1+Macroindicadores!C$7),AS185)))))))))</f>
        <v>0.14199999999999999</v>
      </c>
      <c r="AU185" s="39">
        <f>IF(ISBLANK(S185),"",IF(ISBLANK($O185),AG185,IF($J185="ANUAL",AG185*(1+Macroindicadores!D$7),IF(AND($I185="NOVO",MONTH($O185)=MONTH(AU$4)),AG185*(1+Macroindicadores!D$7),IF(AND($J185="PONTUAL",MONTH($O185)=MONTH(AU$4)),AG185*(1+Macroindicadores!D$7),IF(AND($J185="PONTUAL",MONTH($O185)&lt;MONTH(AU$4)),MIN($AS185:AT185),IF(AND($I185="NOVO",MONTH($O185)&gt;MONTH(AU$4)),AG185,IF(MONTH($O185)&gt;MONTH(AU$4),AG185,IF(MONTH($O185)=MONTH(AU$4),AG185*(1+Macroindicadores!D$7),AT185)))))))))</f>
        <v>0.14199999999999999</v>
      </c>
      <c r="AV185" s="39">
        <f>IF(ISBLANK(T185),"",IF(ISBLANK($O185),AH185,IF($J185="ANUAL",AH185*(1+Macroindicadores!E$7),IF(AND($I185="NOVO",MONTH($O185)=MONTH(AV$4)),AH185*(1+Macroindicadores!E$7),IF(AND($J185="PONTUAL",MONTH($O185)=MONTH(AV$4)),AH185*(1+Macroindicadores!E$7),IF(AND($J185="PONTUAL",MONTH($O185)&lt;MONTH(AV$4)),MIN($AS185:AU185),IF(AND($I185="NOVO",MONTH($O185)&gt;MONTH(AV$4)),AH185,IF(MONTH($O185)&gt;MONTH(AV$4),AH185,IF(MONTH($O185)=MONTH(AV$4),AH185*(1+Macroindicadores!E$7),AU185)))))))))</f>
        <v>0.14199999999999999</v>
      </c>
      <c r="AW185" s="39">
        <f>IF(ISBLANK(U185),"",IF(ISBLANK($O185),AI185,IF($J185="ANUAL",AI185*(1+Macroindicadores!F$7),IF(AND($I185="NOVO",MONTH($O185)=MONTH(AW$4)),AI185*(1+Macroindicadores!F$7),IF(AND($J185="PONTUAL",MONTH($O185)=MONTH(AW$4)),AI185*(1+Macroindicadores!F$7),IF(AND($J185="PONTUAL",MONTH($O185)&lt;MONTH(AW$4)),MIN($AS185:AV185),IF(AND($I185="NOVO",MONTH($O185)&gt;MONTH(AW$4)),AI185,IF(MONTH($O185)&gt;MONTH(AW$4),AI185,IF(MONTH($O185)=MONTH(AW$4),AI185*(1+Macroindicadores!F$7),AV185)))))))))</f>
        <v>0.14199999999999999</v>
      </c>
      <c r="AX185" s="39">
        <f>IF(ISBLANK(V185),"",IF(ISBLANK($O185),AJ185,IF($J185="ANUAL",AJ185*(1+Macroindicadores!G$7),IF(AND($I185="NOVO",MONTH($O185)=MONTH(AX$4)),AJ185*(1+Macroindicadores!G$7),IF(AND($J185="PONTUAL",MONTH($O185)=MONTH(AX$4)),AJ185*(1+Macroindicadores!G$7),IF(AND($J185="PONTUAL",MONTH($O185)&lt;MONTH(AX$4)),MIN($AS185:AW185),IF(AND($I185="NOVO",MONTH($O185)&gt;MONTH(AX$4)),AJ185,IF(MONTH($O185)&gt;MONTH(AX$4),AJ185,IF(MONTH($O185)=MONTH(AX$4),AJ185*(1+Macroindicadores!G$7),AW185)))))))))</f>
        <v>0.14199999999999999</v>
      </c>
      <c r="AY185" s="39">
        <f>IF(ISBLANK(W185),"",IF(ISBLANK($O185),AK185,IF($J185="ANUAL",AK185*(1+Macroindicadores!H$7),IF(AND($I185="NOVO",MONTH($O185)=MONTH(AY$4)),AK185*(1+Macroindicadores!H$7),IF(AND($J185="PONTUAL",MONTH($O185)=MONTH(AY$4)),AK185*(1+Macroindicadores!H$7),IF(AND($J185="PONTUAL",MONTH($O185)&lt;MONTH(AY$4)),MIN($AS185:AX185),IF(AND($I185="NOVO",MONTH($O185)&gt;MONTH(AY$4)),AK185,IF(MONTH($O185)&gt;MONTH(AY$4),AK185,IF(MONTH($O185)=MONTH(AY$4),AK185*(1+Macroindicadores!H$7),AX185)))))))))</f>
        <v>0.14199999999999999</v>
      </c>
      <c r="AZ185" s="39">
        <f>IF(ISBLANK(X185),"",IF(ISBLANK($O185),AL185,IF($J185="ANUAL",AL185*(1+Macroindicadores!I$7),IF(AND($I185="NOVO",MONTH($O185)=MONTH(AZ$4)),AL185*(1+Macroindicadores!I$7),IF(AND($J185="PONTUAL",MONTH($O185)=MONTH(AZ$4)),AL185*(1+Macroindicadores!I$7),IF(AND($J185="PONTUAL",MONTH($O185)&lt;MONTH(AZ$4)),MIN($AS185:AY185),IF(AND($I185="NOVO",MONTH($O185)&gt;MONTH(AZ$4)),AL185,IF(MONTH($O185)&gt;MONTH(AZ$4),AL185,IF(MONTH($O185)=MONTH(AZ$4),AL185*(1+Macroindicadores!I$7),AY185)))))))))</f>
        <v>0.14199999999999999</v>
      </c>
      <c r="BA185" s="39">
        <f>IF(ISBLANK(Y185),"",IF(ISBLANK($O185),AM185,IF($J185="ANUAL",AM185*(1+Macroindicadores!J$7),IF(AND($I185="NOVO",MONTH($O185)=MONTH(BA$4)),AM185*(1+Macroindicadores!J$7),IF(AND($J185="PONTUAL",MONTH($O185)=MONTH(BA$4)),AM185*(1+Macroindicadores!J$7),IF(AND($J185="PONTUAL",MONTH($O185)&lt;MONTH(BA$4)),MIN($AS185:AZ185),IF(AND($I185="NOVO",MONTH($O185)&gt;MONTH(BA$4)),AM185,IF(MONTH($O185)&gt;MONTH(BA$4),AM185,IF(MONTH($O185)=MONTH(BA$4),AM185*(1+Macroindicadores!J$7),AZ185)))))))))</f>
        <v>0.14199999999999999</v>
      </c>
      <c r="BB185" s="39">
        <f>IF(ISBLANK(Z185),"",IF(ISBLANK($O185),AN185,IF($J185="ANUAL",AN185*(1+Macroindicadores!K$7),IF(AND($I185="NOVO",MONTH($O185)=MONTH(BB$4)),AN185*(1+Macroindicadores!K$7),IF(AND($J185="PONTUAL",MONTH($O185)=MONTH(BB$4)),AN185*(1+Macroindicadores!K$7),IF(AND($J185="PONTUAL",MONTH($O185)&lt;MONTH(BB$4)),MIN($AS185:BA185),IF(AND($I185="NOVO",MONTH($O185)&gt;MONTH(BB$4)),AN185,IF(MONTH($O185)&gt;MONTH(BB$4),AN185,IF(MONTH($O185)=MONTH(BB$4),AN185*(1+Macroindicadores!K$7),BA185)))))))))</f>
        <v>0.14199999999999999</v>
      </c>
      <c r="BC185" s="39">
        <f>IF(ISBLANK(AA185),"",IF(ISBLANK($O185),AO185,IF($J185="ANUAL",AO185*(1+Macroindicadores!L$7),IF(AND($I185="NOVO",MONTH($O185)=MONTH(BC$4)),AO185*(1+Macroindicadores!L$7),IF(AND($J185="PONTUAL",MONTH($O185)=MONTH(BC$4)),AO185*(1+Macroindicadores!L$7),IF(AND($J185="PONTUAL",MONTH($O185)&lt;MONTH(BC$4)),MIN($AS185:BB185),IF(AND($I185="NOVO",MONTH($O185)&gt;MONTH(BC$4)),AO185,IF(MONTH($O185)&gt;MONTH(BC$4),AO185,IF(MONTH($O185)=MONTH(BC$4),AO185*(1+Macroindicadores!L$7),BB185)))))))))</f>
        <v>0.14199999999999999</v>
      </c>
      <c r="BD185" s="39">
        <f>IF(ISBLANK(AB185),"",IF(ISBLANK($O185),AP185,IF($J185="ANUAL",AP185*(1+Macroindicadores!M$7),IF(AND($I185="NOVO",MONTH($O185)=MONTH(BD$4)),AP185*(1+Macroindicadores!M$7),IF(AND($J185="PONTUAL",MONTH($O185)=MONTH(BD$4)),AP185*(1+Macroindicadores!M$7),IF(AND($J185="PONTUAL",MONTH($O185)&lt;MONTH(BD$4)),MIN($AS185:BC185),IF(AND($I185="NOVO",MONTH($O185)&gt;MONTH(BD$4)),AP185,IF(MONTH($O185)&gt;MONTH(BD$4),AP185,IF(MONTH($O185)=MONTH(BD$4),AP185*(1+Macroindicadores!M$7),BC185)))))))))</f>
        <v>0.14199999999999999</v>
      </c>
      <c r="BE185" s="40">
        <f t="shared" si="89"/>
        <v>1.7039999999999995</v>
      </c>
      <c r="BG185" s="39">
        <f>IF(ISBLANK(Q185),"",AS185/Macroindicadores!B$2)</f>
        <v>2.4149659863945575E-2</v>
      </c>
      <c r="BH185" s="39">
        <f>IF(ISBLANK(R185),"",AT185/Macroindicadores!C$2)</f>
        <v>2.4149659863945575E-2</v>
      </c>
      <c r="BI185" s="39">
        <f>IF(ISBLANK(S185),"",AU185/Macroindicadores!D$2)</f>
        <v>2.4149659863945575E-2</v>
      </c>
      <c r="BJ185" s="39">
        <f>IF(ISBLANK(T185),"",AV185/Macroindicadores!E$2)</f>
        <v>2.4149659863945575E-2</v>
      </c>
      <c r="BK185" s="39">
        <f>IF(ISBLANK(U185),"",AW185/Macroindicadores!F$2)</f>
        <v>2.4149659863945575E-2</v>
      </c>
      <c r="BL185" s="39">
        <f>IF(ISBLANK(V185),"",AX185/Macroindicadores!G$2)</f>
        <v>2.4149659863945575E-2</v>
      </c>
      <c r="BM185" s="39">
        <f>IF(ISBLANK(W185),"",AY185/Macroindicadores!H$2)</f>
        <v>2.4149659863945575E-2</v>
      </c>
      <c r="BN185" s="39">
        <f>IF(ISBLANK(X185),"",AZ185/Macroindicadores!I$2)</f>
        <v>2.4149659863945575E-2</v>
      </c>
      <c r="BO185" s="39">
        <f>IF(ISBLANK(Y185),"",BA185/Macroindicadores!J$2)</f>
        <v>2.4149659863945575E-2</v>
      </c>
      <c r="BP185" s="39">
        <f>IF(ISBLANK(Z185),"",BB185/Macroindicadores!K$2)</f>
        <v>2.4149659863945575E-2</v>
      </c>
      <c r="BQ185" s="39">
        <f>IF(ISBLANK(AA185),"",BC185/Macroindicadores!L$2)</f>
        <v>2.4149659863945575E-2</v>
      </c>
      <c r="BR185" s="39">
        <f>IF(ISBLANK(AB185),"",BD185/Macroindicadores!M$2)</f>
        <v>2.4149659863945575E-2</v>
      </c>
      <c r="BS185" s="40">
        <f>IF(AND(ISBLANK($Q185),ISBLANK($R185),ISBLANK($S185),ISBLANK($T185),ISBLANK($U185),ISBLANK($V185),ISBLANK($W185),ISBLANK($X185),ISBLANK($Y185),ISBLANK($Z185),ISBLANK($AA185),ISBLANK($AB185)),"",SUM(BG185:BR185))</f>
        <v>0.28979591836734692</v>
      </c>
      <c r="BT185" s="25" t="str">
        <f>IF(ISBLANK($L185),"",_xlfn.XLOOKUP($L185,'CENTRO CUSTO'!$A:$A,'CENTRO CUSTO'!$E:$E,FALSE,0))</f>
        <v>Custo Fixo</v>
      </c>
    </row>
    <row r="186" spans="1:72">
      <c r="A186" s="9" t="str">
        <f t="shared" si="80"/>
        <v>Budget</v>
      </c>
      <c r="B186" s="9">
        <f t="shared" si="77"/>
        <v>2026</v>
      </c>
      <c r="C186" s="18" t="str">
        <f>IF(ISBLANK($L186),"",_xlfn.XLOOKUP($L186,'CENTRO CUSTO'!$A:$A,'CENTRO CUSTO'!F:F,FALSE,0))</f>
        <v>Martini Meat</v>
      </c>
      <c r="D186" s="111" t="str">
        <f>IF(ISBLANK($L186),"",_xlfn.XLOOKUP($L186,'CENTRO CUSTO'!$A:$A,'CENTRO CUSTO'!G:G,FALSE,0))</f>
        <v>Recife 2</v>
      </c>
      <c r="E186" s="18" t="str">
        <f>IF(ISBLANK($L186),"",_xlfn.XLOOKUP($L186,'CENTRO CUSTO'!$A:$A,'CENTRO CUSTO'!H:H,FALSE,0))</f>
        <v>Frigorífico</v>
      </c>
      <c r="F186" s="10" t="s">
        <v>186</v>
      </c>
      <c r="G186" s="10" t="s">
        <v>123</v>
      </c>
      <c r="H186" s="10" t="s">
        <v>187</v>
      </c>
      <c r="I186" s="11" t="s">
        <v>77</v>
      </c>
      <c r="J186" s="11" t="s">
        <v>78</v>
      </c>
      <c r="K186" s="11" t="s">
        <v>79</v>
      </c>
      <c r="L186" s="11" t="s">
        <v>31</v>
      </c>
      <c r="M186" s="18" t="str">
        <f>IF(ISBLANK($L186),"",_xlfn.XLOOKUP($L186,'CENTRO CUSTO'!$A:$A,'CENTRO CUSTO'!D:D,FALSE,0))</f>
        <v>Alexandre Ayabe</v>
      </c>
      <c r="N186" s="11" t="s">
        <v>91</v>
      </c>
      <c r="O186" s="12"/>
      <c r="P186" s="11" t="s">
        <v>81</v>
      </c>
      <c r="Q186" s="41">
        <v>0</v>
      </c>
      <c r="R186" s="41">
        <v>0</v>
      </c>
      <c r="S186" s="41">
        <v>0</v>
      </c>
      <c r="T186" s="41">
        <v>0</v>
      </c>
      <c r="U186" s="41">
        <v>0</v>
      </c>
      <c r="V186" s="41">
        <v>0</v>
      </c>
      <c r="W186" s="41">
        <v>0</v>
      </c>
      <c r="X186" s="41">
        <v>0</v>
      </c>
      <c r="Y186" s="41">
        <v>0</v>
      </c>
      <c r="Z186" s="41">
        <v>0</v>
      </c>
      <c r="AA186" s="41">
        <v>0</v>
      </c>
      <c r="AB186" s="41">
        <v>0</v>
      </c>
      <c r="AC186" s="116">
        <f t="shared" si="87"/>
        <v>0</v>
      </c>
      <c r="AE186" s="39">
        <f>IF(ISBLANK(Q186),"",IF($P186="BRL",Q186,Q186*Macroindicadores!B$2)/1000)</f>
        <v>0</v>
      </c>
      <c r="AF186" s="39">
        <f>IF(ISBLANK(R186),"",IF($P186="BRL",R186,R186*Macroindicadores!C$2)/1000)</f>
        <v>0</v>
      </c>
      <c r="AG186" s="39">
        <f>IF(ISBLANK(S186),"",IF($P186="BRL",S186,S186*Macroindicadores!D$2)/1000)</f>
        <v>0</v>
      </c>
      <c r="AH186" s="39">
        <f>IF(ISBLANK(T186),"",IF($P186="BRL",T186,T186*Macroindicadores!E$2)/1000)</f>
        <v>0</v>
      </c>
      <c r="AI186" s="39">
        <f>IF(ISBLANK(U186),"",IF($P186="BRL",U186,U186*Macroindicadores!F$2)/1000)</f>
        <v>0</v>
      </c>
      <c r="AJ186" s="39">
        <f>IF(ISBLANK(V186),"",IF($P186="BRL",V186,V186*Macroindicadores!G$2)/1000)</f>
        <v>0</v>
      </c>
      <c r="AK186" s="39">
        <f>IF(ISBLANK(W186),"",IF($P186="BRL",W186,W186*Macroindicadores!H$2)/1000)</f>
        <v>0</v>
      </c>
      <c r="AL186" s="39">
        <f>IF(ISBLANK(X186),"",IF($P186="BRL",X186,X186*Macroindicadores!I$2)/1000)</f>
        <v>0</v>
      </c>
      <c r="AM186" s="39">
        <f>IF(ISBLANK(Y186),"",IF($P186="BRL",Y186,Y186*Macroindicadores!J$2)/1000)</f>
        <v>0</v>
      </c>
      <c r="AN186" s="39">
        <f>IF(ISBLANK(Z186),"",IF($P186="BRL",Z186,Z186*Macroindicadores!K$2)/1000)</f>
        <v>0</v>
      </c>
      <c r="AO186" s="39">
        <f>IF(ISBLANK(AA186),"",IF($P186="BRL",AA186,AA186*Macroindicadores!L$2)/1000)</f>
        <v>0</v>
      </c>
      <c r="AP186" s="39">
        <f>IF(ISBLANK(AB186),"",IF($P186="BRL",AB186,AB186*Macroindicadores!M$2)/1000)</f>
        <v>0</v>
      </c>
      <c r="AQ186" s="40">
        <f t="shared" si="88"/>
        <v>0</v>
      </c>
      <c r="AS186" s="39">
        <f>IF(ISBLANK(Q186),"",IF(ISBLANK($O186),AE186,IF($J186="ANUAL",AE186*(1+Macroindicadores!B$7),IF(AND($I186="NOVO",MONTH($O186)=MONTH(AS$4)),AE186*(1+Macroindicadores!B$7),IF(AND($J186="PONTUAL",MONTH($O186)=MONTH(AS$4)),AE186*(1+Macroindicadores!B$7),IF(AND($J186="PONTUAL",MONTH($O186)&lt;MONTH(AS$4)),MIN(AR186:$AS186),IF(AND($I186="NOVO",MONTH($O186)&gt;MONTH(AS$4)),AE186,IF(MONTH($O186)&gt;MONTH(AS$4),AE186,IF(MONTH($O186)=MONTH(AS$4),AE186*(1+Macroindicadores!B$7),AR186)))))))))</f>
        <v>0</v>
      </c>
      <c r="AT186" s="39">
        <f>IF(ISBLANK(R186),"",IF(ISBLANK($O186),AF186,IF($J186="ANUAL",AF186*(1+Macroindicadores!C$7),IF(AND($I186="NOVO",MONTH($O186)=MONTH(AT$4)),AF186*(1+Macroindicadores!C$7),IF(AND($J186="PONTUAL",MONTH($O186)=MONTH(AT$4)),AF186*(1+Macroindicadores!C$7),IF(AND($J186="PONTUAL",MONTH($O186)&lt;MONTH(AT$4)),MIN($AS186:AS186),IF(AND($I186="NOVO",MONTH($O186)&gt;MONTH(AT$4)),AF186,IF(MONTH($O186)&gt;MONTH(AT$4),AF186,IF(MONTH($O186)=MONTH(AT$4),AF186*(1+Macroindicadores!C$7),AS186)))))))))</f>
        <v>0</v>
      </c>
      <c r="AU186" s="39">
        <f>IF(ISBLANK(S186),"",IF(ISBLANK($O186),AG186,IF($J186="ANUAL",AG186*(1+Macroindicadores!D$7),IF(AND($I186="NOVO",MONTH($O186)=MONTH(AU$4)),AG186*(1+Macroindicadores!D$7),IF(AND($J186="PONTUAL",MONTH($O186)=MONTH(AU$4)),AG186*(1+Macroindicadores!D$7),IF(AND($J186="PONTUAL",MONTH($O186)&lt;MONTH(AU$4)),MIN($AS186:AT186),IF(AND($I186="NOVO",MONTH($O186)&gt;MONTH(AU$4)),AG186,IF(MONTH($O186)&gt;MONTH(AU$4),AG186,IF(MONTH($O186)=MONTH(AU$4),AG186*(1+Macroindicadores!D$7),AT186)))))))))</f>
        <v>0</v>
      </c>
      <c r="AV186" s="39">
        <f>IF(ISBLANK(T186),"",IF(ISBLANK($O186),AH186,IF($J186="ANUAL",AH186*(1+Macroindicadores!E$7),IF(AND($I186="NOVO",MONTH($O186)=MONTH(AV$4)),AH186*(1+Macroindicadores!E$7),IF(AND($J186="PONTUAL",MONTH($O186)=MONTH(AV$4)),AH186*(1+Macroindicadores!E$7),IF(AND($J186="PONTUAL",MONTH($O186)&lt;MONTH(AV$4)),MIN($AS186:AU186),IF(AND($I186="NOVO",MONTH($O186)&gt;MONTH(AV$4)),AH186,IF(MONTH($O186)&gt;MONTH(AV$4),AH186,IF(MONTH($O186)=MONTH(AV$4),AH186*(1+Macroindicadores!E$7),AU186)))))))))</f>
        <v>0</v>
      </c>
      <c r="AW186" s="39">
        <f>IF(ISBLANK(U186),"",IF(ISBLANK($O186),AI186,IF($J186="ANUAL",AI186*(1+Macroindicadores!F$7),IF(AND($I186="NOVO",MONTH($O186)=MONTH(AW$4)),AI186*(1+Macroindicadores!F$7),IF(AND($J186="PONTUAL",MONTH($O186)=MONTH(AW$4)),AI186*(1+Macroindicadores!F$7),IF(AND($J186="PONTUAL",MONTH($O186)&lt;MONTH(AW$4)),MIN($AS186:AV186),IF(AND($I186="NOVO",MONTH($O186)&gt;MONTH(AW$4)),AI186,IF(MONTH($O186)&gt;MONTH(AW$4),AI186,IF(MONTH($O186)=MONTH(AW$4),AI186*(1+Macroindicadores!F$7),AV186)))))))))</f>
        <v>0</v>
      </c>
      <c r="AX186" s="39">
        <f>IF(ISBLANK(V186),"",IF(ISBLANK($O186),AJ186,IF($J186="ANUAL",AJ186*(1+Macroindicadores!G$7),IF(AND($I186="NOVO",MONTH($O186)=MONTH(AX$4)),AJ186*(1+Macroindicadores!G$7),IF(AND($J186="PONTUAL",MONTH($O186)=MONTH(AX$4)),AJ186*(1+Macroindicadores!G$7),IF(AND($J186="PONTUAL",MONTH($O186)&lt;MONTH(AX$4)),MIN($AS186:AW186),IF(AND($I186="NOVO",MONTH($O186)&gt;MONTH(AX$4)),AJ186,IF(MONTH($O186)&gt;MONTH(AX$4),AJ186,IF(MONTH($O186)=MONTH(AX$4),AJ186*(1+Macroindicadores!G$7),AW186)))))))))</f>
        <v>0</v>
      </c>
      <c r="AY186" s="39">
        <f>IF(ISBLANK(W186),"",IF(ISBLANK($O186),AK186,IF($J186="ANUAL",AK186*(1+Macroindicadores!H$7),IF(AND($I186="NOVO",MONTH($O186)=MONTH(AY$4)),AK186*(1+Macroindicadores!H$7),IF(AND($J186="PONTUAL",MONTH($O186)=MONTH(AY$4)),AK186*(1+Macroindicadores!H$7),IF(AND($J186="PONTUAL",MONTH($O186)&lt;MONTH(AY$4)),MIN($AS186:AX186),IF(AND($I186="NOVO",MONTH($O186)&gt;MONTH(AY$4)),AK186,IF(MONTH($O186)&gt;MONTH(AY$4),AK186,IF(MONTH($O186)=MONTH(AY$4),AK186*(1+Macroindicadores!H$7),AX186)))))))))</f>
        <v>0</v>
      </c>
      <c r="AZ186" s="39">
        <f>IF(ISBLANK(X186),"",IF(ISBLANK($O186),AL186,IF($J186="ANUAL",AL186*(1+Macroindicadores!I$7),IF(AND($I186="NOVO",MONTH($O186)=MONTH(AZ$4)),AL186*(1+Macroindicadores!I$7),IF(AND($J186="PONTUAL",MONTH($O186)=MONTH(AZ$4)),AL186*(1+Macroindicadores!I$7),IF(AND($J186="PONTUAL",MONTH($O186)&lt;MONTH(AZ$4)),MIN($AS186:AY186),IF(AND($I186="NOVO",MONTH($O186)&gt;MONTH(AZ$4)),AL186,IF(MONTH($O186)&gt;MONTH(AZ$4),AL186,IF(MONTH($O186)=MONTH(AZ$4),AL186*(1+Macroindicadores!I$7),AY186)))))))))</f>
        <v>0</v>
      </c>
      <c r="BA186" s="39">
        <f>IF(ISBLANK(Y186),"",IF(ISBLANK($O186),AM186,IF($J186="ANUAL",AM186*(1+Macroindicadores!J$7),IF(AND($I186="NOVO",MONTH($O186)=MONTH(BA$4)),AM186*(1+Macroindicadores!J$7),IF(AND($J186="PONTUAL",MONTH($O186)=MONTH(BA$4)),AM186*(1+Macroindicadores!J$7),IF(AND($J186="PONTUAL",MONTH($O186)&lt;MONTH(BA$4)),MIN($AS186:AZ186),IF(AND($I186="NOVO",MONTH($O186)&gt;MONTH(BA$4)),AM186,IF(MONTH($O186)&gt;MONTH(BA$4),AM186,IF(MONTH($O186)=MONTH(BA$4),AM186*(1+Macroindicadores!J$7),AZ186)))))))))</f>
        <v>0</v>
      </c>
      <c r="BB186" s="39">
        <f>IF(ISBLANK(Z186),"",IF(ISBLANK($O186),AN186,IF($J186="ANUAL",AN186*(1+Macroindicadores!K$7),IF(AND($I186="NOVO",MONTH($O186)=MONTH(BB$4)),AN186*(1+Macroindicadores!K$7),IF(AND($J186="PONTUAL",MONTH($O186)=MONTH(BB$4)),AN186*(1+Macroindicadores!K$7),IF(AND($J186="PONTUAL",MONTH($O186)&lt;MONTH(BB$4)),MIN($AS186:BA186),IF(AND($I186="NOVO",MONTH($O186)&gt;MONTH(BB$4)),AN186,IF(MONTH($O186)&gt;MONTH(BB$4),AN186,IF(MONTH($O186)=MONTH(BB$4),AN186*(1+Macroindicadores!K$7),BA186)))))))))</f>
        <v>0</v>
      </c>
      <c r="BC186" s="39">
        <f>IF(ISBLANK(AA186),"",IF(ISBLANK($O186),AO186,IF($J186="ANUAL",AO186*(1+Macroindicadores!L$7),IF(AND($I186="NOVO",MONTH($O186)=MONTH(BC$4)),AO186*(1+Macroindicadores!L$7),IF(AND($J186="PONTUAL",MONTH($O186)=MONTH(BC$4)),AO186*(1+Macroindicadores!L$7),IF(AND($J186="PONTUAL",MONTH($O186)&lt;MONTH(BC$4)),MIN($AS186:BB186),IF(AND($I186="NOVO",MONTH($O186)&gt;MONTH(BC$4)),AO186,IF(MONTH($O186)&gt;MONTH(BC$4),AO186,IF(MONTH($O186)=MONTH(BC$4),AO186*(1+Macroindicadores!L$7),BB186)))))))))</f>
        <v>0</v>
      </c>
      <c r="BD186" s="39">
        <f>IF(ISBLANK(AB186),"",IF(ISBLANK($O186),AP186,IF($J186="ANUAL",AP186*(1+Macroindicadores!M$7),IF(AND($I186="NOVO",MONTH($O186)=MONTH(BD$4)),AP186*(1+Macroindicadores!M$7),IF(AND($J186="PONTUAL",MONTH($O186)=MONTH(BD$4)),AP186*(1+Macroindicadores!M$7),IF(AND($J186="PONTUAL",MONTH($O186)&lt;MONTH(BD$4)),MIN($AS186:BC186),IF(AND($I186="NOVO",MONTH($O186)&gt;MONTH(BD$4)),AP186,IF(MONTH($O186)&gt;MONTH(BD$4),AP186,IF(MONTH($O186)=MONTH(BD$4),AP186*(1+Macroindicadores!M$7),BC186)))))))))</f>
        <v>0</v>
      </c>
      <c r="BE186" s="40">
        <f t="shared" si="89"/>
        <v>0</v>
      </c>
      <c r="BG186" s="39">
        <f>IF(ISBLANK(Q186),"",AS186/Macroindicadores!B$2)</f>
        <v>0</v>
      </c>
      <c r="BH186" s="39">
        <f>IF(ISBLANK(R186),"",AT186/Macroindicadores!C$2)</f>
        <v>0</v>
      </c>
      <c r="BI186" s="39">
        <f>IF(ISBLANK(S186),"",AU186/Macroindicadores!D$2)</f>
        <v>0</v>
      </c>
      <c r="BJ186" s="39">
        <f>IF(ISBLANK(T186),"",AV186/Macroindicadores!E$2)</f>
        <v>0</v>
      </c>
      <c r="BK186" s="39">
        <f>IF(ISBLANK(U186),"",AW186/Macroindicadores!F$2)</f>
        <v>0</v>
      </c>
      <c r="BL186" s="39">
        <f>IF(ISBLANK(V186),"",AX186/Macroindicadores!G$2)</f>
        <v>0</v>
      </c>
      <c r="BM186" s="39">
        <f>IF(ISBLANK(W186),"",AY186/Macroindicadores!H$2)</f>
        <v>0</v>
      </c>
      <c r="BN186" s="39">
        <f>IF(ISBLANK(X186),"",AZ186/Macroindicadores!I$2)</f>
        <v>0</v>
      </c>
      <c r="BO186" s="39">
        <f>IF(ISBLANK(Y186),"",BA186/Macroindicadores!J$2)</f>
        <v>0</v>
      </c>
      <c r="BP186" s="39">
        <f>IF(ISBLANK(Z186),"",BB186/Macroindicadores!K$2)</f>
        <v>0</v>
      </c>
      <c r="BQ186" s="39">
        <f>IF(ISBLANK(AA186),"",BC186/Macroindicadores!L$2)</f>
        <v>0</v>
      </c>
      <c r="BR186" s="39">
        <f>IF(ISBLANK(AB186),"",BD186/Macroindicadores!M$2)</f>
        <v>0</v>
      </c>
      <c r="BS186" s="40">
        <f>IF(AND(ISBLANK($Q186),ISBLANK($R186),ISBLANK($S186),ISBLANK($T186),ISBLANK($U186),ISBLANK($V186),ISBLANK($W186),ISBLANK($X186),ISBLANK($Y186),ISBLANK($Z186),ISBLANK($AA186),ISBLANK($AB186)),"",SUM(BG186:BR186))</f>
        <v>0</v>
      </c>
      <c r="BT186" s="25" t="str">
        <f>IF(ISBLANK($L186),"",_xlfn.XLOOKUP($L186,'CENTRO CUSTO'!$A:$A,'CENTRO CUSTO'!$E:$E,FALSE,0))</f>
        <v>Custo Fixo</v>
      </c>
    </row>
    <row r="187" spans="1:72">
      <c r="A187" s="9" t="str">
        <f t="shared" si="80"/>
        <v>Budget</v>
      </c>
      <c r="B187" s="9">
        <f t="shared" si="77"/>
        <v>2026</v>
      </c>
      <c r="C187" s="18" t="str">
        <f>IF(ISBLANK($L187),"",_xlfn.XLOOKUP($L187,'CENTRO CUSTO'!$A:$A,'CENTRO CUSTO'!F:F,FALSE,0))</f>
        <v>Martini Meat</v>
      </c>
      <c r="D187" s="111" t="str">
        <f>IF(ISBLANK($L187),"",_xlfn.XLOOKUP($L187,'CENTRO CUSTO'!$A:$A,'CENTRO CUSTO'!G:G,FALSE,0))</f>
        <v>Recife 2</v>
      </c>
      <c r="E187" s="18" t="str">
        <f>IF(ISBLANK($L187),"",_xlfn.XLOOKUP($L187,'CENTRO CUSTO'!$A:$A,'CENTRO CUSTO'!H:H,FALSE,0))</f>
        <v>Frigorífico</v>
      </c>
      <c r="F187" s="10" t="s">
        <v>186</v>
      </c>
      <c r="G187" s="10" t="s">
        <v>123</v>
      </c>
      <c r="H187" s="10" t="s">
        <v>187</v>
      </c>
      <c r="I187" s="11" t="s">
        <v>77</v>
      </c>
      <c r="J187" s="11" t="s">
        <v>78</v>
      </c>
      <c r="K187" s="11" t="s">
        <v>79</v>
      </c>
      <c r="L187" s="11" t="s">
        <v>31</v>
      </c>
      <c r="M187" s="18" t="str">
        <f>IF(ISBLANK($L187),"",_xlfn.XLOOKUP($L187,'CENTRO CUSTO'!$A:$A,'CENTRO CUSTO'!D:D,FALSE,0))</f>
        <v>Alexandre Ayabe</v>
      </c>
      <c r="N187" s="11" t="s">
        <v>91</v>
      </c>
      <c r="O187" s="12"/>
      <c r="P187" s="11" t="s">
        <v>81</v>
      </c>
      <c r="Q187" s="41">
        <v>0</v>
      </c>
      <c r="R187" s="41">
        <v>0</v>
      </c>
      <c r="S187" s="41">
        <v>0</v>
      </c>
      <c r="T187" s="41">
        <v>0</v>
      </c>
      <c r="U187" s="41">
        <v>0</v>
      </c>
      <c r="V187" s="41">
        <v>0</v>
      </c>
      <c r="W187" s="41">
        <v>0</v>
      </c>
      <c r="X187" s="41">
        <v>0</v>
      </c>
      <c r="Y187" s="41">
        <v>0</v>
      </c>
      <c r="Z187" s="41">
        <v>0</v>
      </c>
      <c r="AA187" s="41">
        <v>0</v>
      </c>
      <c r="AB187" s="41">
        <v>0</v>
      </c>
      <c r="AC187" s="116">
        <f t="shared" si="73"/>
        <v>0</v>
      </c>
      <c r="AE187" s="39">
        <f>IF(ISBLANK(Q187),"",IF($P187="BRL",Q187,Q187*Macroindicadores!B$2)/1000)</f>
        <v>0</v>
      </c>
      <c r="AF187" s="39">
        <f>IF(ISBLANK(R187),"",IF($P187="BRL",R187,R187*Macroindicadores!C$2)/1000)</f>
        <v>0</v>
      </c>
      <c r="AG187" s="39">
        <f>IF(ISBLANK(S187),"",IF($P187="BRL",S187,S187*Macroindicadores!D$2)/1000)</f>
        <v>0</v>
      </c>
      <c r="AH187" s="39">
        <f>IF(ISBLANK(T187),"",IF($P187="BRL",T187,T187*Macroindicadores!E$2)/1000)</f>
        <v>0</v>
      </c>
      <c r="AI187" s="39">
        <f>IF(ISBLANK(U187),"",IF($P187="BRL",U187,U187*Macroindicadores!F$2)/1000)</f>
        <v>0</v>
      </c>
      <c r="AJ187" s="39">
        <f>IF(ISBLANK(V187),"",IF($P187="BRL",V187,V187*Macroindicadores!G$2)/1000)</f>
        <v>0</v>
      </c>
      <c r="AK187" s="39">
        <f>IF(ISBLANK(W187),"",IF($P187="BRL",W187,W187*Macroindicadores!H$2)/1000)</f>
        <v>0</v>
      </c>
      <c r="AL187" s="39">
        <f>IF(ISBLANK(X187),"",IF($P187="BRL",X187,X187*Macroindicadores!I$2)/1000)</f>
        <v>0</v>
      </c>
      <c r="AM187" s="39">
        <f>IF(ISBLANK(Y187),"",IF($P187="BRL",Y187,Y187*Macroindicadores!J$2)/1000)</f>
        <v>0</v>
      </c>
      <c r="AN187" s="39">
        <f>IF(ISBLANK(Z187),"",IF($P187="BRL",Z187,Z187*Macroindicadores!K$2)/1000)</f>
        <v>0</v>
      </c>
      <c r="AO187" s="39">
        <f>IF(ISBLANK(AA187),"",IF($P187="BRL",AA187,AA187*Macroindicadores!L$2)/1000)</f>
        <v>0</v>
      </c>
      <c r="AP187" s="39">
        <f>IF(ISBLANK(AB187),"",IF($P187="BRL",AB187,AB187*Macroindicadores!M$2)/1000)</f>
        <v>0</v>
      </c>
      <c r="AQ187" s="40">
        <f t="shared" si="79"/>
        <v>0</v>
      </c>
      <c r="AS187" s="39">
        <f>IF(ISBLANK(Q187),"",IF(ISBLANK($O187),AE187,IF($J187="ANUAL",AE187*(1+Macroindicadores!B$7),IF(AND($I187="NOVO",MONTH($O187)=MONTH(AS$4)),AE187*(1+Macroindicadores!B$7),IF(AND($J187="PONTUAL",MONTH($O187)=MONTH(AS$4)),AE187*(1+Macroindicadores!B$7),IF(AND($J187="PONTUAL",MONTH($O187)&lt;MONTH(AS$4)),MIN(AR187:$AS187),IF(AND($I187="NOVO",MONTH($O187)&gt;MONTH(AS$4)),AE187,IF(MONTH($O187)&gt;MONTH(AS$4),AE187,IF(MONTH($O187)=MONTH(AS$4),AE187*(1+Macroindicadores!B$7),AR187)))))))))</f>
        <v>0</v>
      </c>
      <c r="AT187" s="39">
        <f>IF(ISBLANK(R187),"",IF(ISBLANK($O187),AF187,IF($J187="ANUAL",AF187*(1+Macroindicadores!C$7),IF(AND($I187="NOVO",MONTH($O187)=MONTH(AT$4)),AF187*(1+Macroindicadores!C$7),IF(AND($J187="PONTUAL",MONTH($O187)=MONTH(AT$4)),AF187*(1+Macroindicadores!C$7),IF(AND($J187="PONTUAL",MONTH($O187)&lt;MONTH(AT$4)),MIN($AS187:AS187),IF(AND($I187="NOVO",MONTH($O187)&gt;MONTH(AT$4)),AF187,IF(MONTH($O187)&gt;MONTH(AT$4),AF187,IF(MONTH($O187)=MONTH(AT$4),AF187*(1+Macroindicadores!C$7),AS187)))))))))</f>
        <v>0</v>
      </c>
      <c r="AU187" s="39">
        <f>IF(ISBLANK(S187),"",IF(ISBLANK($O187),AG187,IF($J187="ANUAL",AG187*(1+Macroindicadores!D$7),IF(AND($I187="NOVO",MONTH($O187)=MONTH(AU$4)),AG187*(1+Macroindicadores!D$7),IF(AND($J187="PONTUAL",MONTH($O187)=MONTH(AU$4)),AG187*(1+Macroindicadores!D$7),IF(AND($J187="PONTUAL",MONTH($O187)&lt;MONTH(AU$4)),MIN($AS187:AT187),IF(AND($I187="NOVO",MONTH($O187)&gt;MONTH(AU$4)),AG187,IF(MONTH($O187)&gt;MONTH(AU$4),AG187,IF(MONTH($O187)=MONTH(AU$4),AG187*(1+Macroindicadores!D$7),AT187)))))))))</f>
        <v>0</v>
      </c>
      <c r="AV187" s="39">
        <f>IF(ISBLANK(T187),"",IF(ISBLANK($O187),AH187,IF($J187="ANUAL",AH187*(1+Macroindicadores!E$7),IF(AND($I187="NOVO",MONTH($O187)=MONTH(AV$4)),AH187*(1+Macroindicadores!E$7),IF(AND($J187="PONTUAL",MONTH($O187)=MONTH(AV$4)),AH187*(1+Macroindicadores!E$7),IF(AND($J187="PONTUAL",MONTH($O187)&lt;MONTH(AV$4)),MIN($AS187:AU187),IF(AND($I187="NOVO",MONTH($O187)&gt;MONTH(AV$4)),AH187,IF(MONTH($O187)&gt;MONTH(AV$4),AH187,IF(MONTH($O187)=MONTH(AV$4),AH187*(1+Macroindicadores!E$7),AU187)))))))))</f>
        <v>0</v>
      </c>
      <c r="AW187" s="39">
        <f>IF(ISBLANK(U187),"",IF(ISBLANK($O187),AI187,IF($J187="ANUAL",AI187*(1+Macroindicadores!F$7),IF(AND($I187="NOVO",MONTH($O187)=MONTH(AW$4)),AI187*(1+Macroindicadores!F$7),IF(AND($J187="PONTUAL",MONTH($O187)=MONTH(AW$4)),AI187*(1+Macroindicadores!F$7),IF(AND($J187="PONTUAL",MONTH($O187)&lt;MONTH(AW$4)),MIN($AS187:AV187),IF(AND($I187="NOVO",MONTH($O187)&gt;MONTH(AW$4)),AI187,IF(MONTH($O187)&gt;MONTH(AW$4),AI187,IF(MONTH($O187)=MONTH(AW$4),AI187*(1+Macroindicadores!F$7),AV187)))))))))</f>
        <v>0</v>
      </c>
      <c r="AX187" s="39">
        <f>IF(ISBLANK(V187),"",IF(ISBLANK($O187),AJ187,IF($J187="ANUAL",AJ187*(1+Macroindicadores!G$7),IF(AND($I187="NOVO",MONTH($O187)=MONTH(AX$4)),AJ187*(1+Macroindicadores!G$7),IF(AND($J187="PONTUAL",MONTH($O187)=MONTH(AX$4)),AJ187*(1+Macroindicadores!G$7),IF(AND($J187="PONTUAL",MONTH($O187)&lt;MONTH(AX$4)),MIN($AS187:AW187),IF(AND($I187="NOVO",MONTH($O187)&gt;MONTH(AX$4)),AJ187,IF(MONTH($O187)&gt;MONTH(AX$4),AJ187,IF(MONTH($O187)=MONTH(AX$4),AJ187*(1+Macroindicadores!G$7),AW187)))))))))</f>
        <v>0</v>
      </c>
      <c r="AY187" s="39">
        <f>IF(ISBLANK(W187),"",IF(ISBLANK($O187),AK187,IF($J187="ANUAL",AK187*(1+Macroindicadores!H$7),IF(AND($I187="NOVO",MONTH($O187)=MONTH(AY$4)),AK187*(1+Macroindicadores!H$7),IF(AND($J187="PONTUAL",MONTH($O187)=MONTH(AY$4)),AK187*(1+Macroindicadores!H$7),IF(AND($J187="PONTUAL",MONTH($O187)&lt;MONTH(AY$4)),MIN($AS187:AX187),IF(AND($I187="NOVO",MONTH($O187)&gt;MONTH(AY$4)),AK187,IF(MONTH($O187)&gt;MONTH(AY$4),AK187,IF(MONTH($O187)=MONTH(AY$4),AK187*(1+Macroindicadores!H$7),AX187)))))))))</f>
        <v>0</v>
      </c>
      <c r="AZ187" s="39">
        <f>IF(ISBLANK(X187),"",IF(ISBLANK($O187),AL187,IF($J187="ANUAL",AL187*(1+Macroindicadores!I$7),IF(AND($I187="NOVO",MONTH($O187)=MONTH(AZ$4)),AL187*(1+Macroindicadores!I$7),IF(AND($J187="PONTUAL",MONTH($O187)=MONTH(AZ$4)),AL187*(1+Macroindicadores!I$7),IF(AND($J187="PONTUAL",MONTH($O187)&lt;MONTH(AZ$4)),MIN($AS187:AY187),IF(AND($I187="NOVO",MONTH($O187)&gt;MONTH(AZ$4)),AL187,IF(MONTH($O187)&gt;MONTH(AZ$4),AL187,IF(MONTH($O187)=MONTH(AZ$4),AL187*(1+Macroindicadores!I$7),AY187)))))))))</f>
        <v>0</v>
      </c>
      <c r="BA187" s="39">
        <f>IF(ISBLANK(Y187),"",IF(ISBLANK($O187),AM187,IF($J187="ANUAL",AM187*(1+Macroindicadores!J$7),IF(AND($I187="NOVO",MONTH($O187)=MONTH(BA$4)),AM187*(1+Macroindicadores!J$7),IF(AND($J187="PONTUAL",MONTH($O187)=MONTH(BA$4)),AM187*(1+Macroindicadores!J$7),IF(AND($J187="PONTUAL",MONTH($O187)&lt;MONTH(BA$4)),MIN($AS187:AZ187),IF(AND($I187="NOVO",MONTH($O187)&gt;MONTH(BA$4)),AM187,IF(MONTH($O187)&gt;MONTH(BA$4),AM187,IF(MONTH($O187)=MONTH(BA$4),AM187*(1+Macroindicadores!J$7),AZ187)))))))))</f>
        <v>0</v>
      </c>
      <c r="BB187" s="39">
        <f>IF(ISBLANK(Z187),"",IF(ISBLANK($O187),AN187,IF($J187="ANUAL",AN187*(1+Macroindicadores!K$7),IF(AND($I187="NOVO",MONTH($O187)=MONTH(BB$4)),AN187*(1+Macroindicadores!K$7),IF(AND($J187="PONTUAL",MONTH($O187)=MONTH(BB$4)),AN187*(1+Macroindicadores!K$7),IF(AND($J187="PONTUAL",MONTH($O187)&lt;MONTH(BB$4)),MIN($AS187:BA187),IF(AND($I187="NOVO",MONTH($O187)&gt;MONTH(BB$4)),AN187,IF(MONTH($O187)&gt;MONTH(BB$4),AN187,IF(MONTH($O187)=MONTH(BB$4),AN187*(1+Macroindicadores!K$7),BA187)))))))))</f>
        <v>0</v>
      </c>
      <c r="BC187" s="39">
        <f>IF(ISBLANK(AA187),"",IF(ISBLANK($O187),AO187,IF($J187="ANUAL",AO187*(1+Macroindicadores!L$7),IF(AND($I187="NOVO",MONTH($O187)=MONTH(BC$4)),AO187*(1+Macroindicadores!L$7),IF(AND($J187="PONTUAL",MONTH($O187)=MONTH(BC$4)),AO187*(1+Macroindicadores!L$7),IF(AND($J187="PONTUAL",MONTH($O187)&lt;MONTH(BC$4)),MIN($AS187:BB187),IF(AND($I187="NOVO",MONTH($O187)&gt;MONTH(BC$4)),AO187,IF(MONTH($O187)&gt;MONTH(BC$4),AO187,IF(MONTH($O187)=MONTH(BC$4),AO187*(1+Macroindicadores!L$7),BB187)))))))))</f>
        <v>0</v>
      </c>
      <c r="BD187" s="39">
        <f>IF(ISBLANK(AB187),"",IF(ISBLANK($O187),AP187,IF($J187="ANUAL",AP187*(1+Macroindicadores!M$7),IF(AND($I187="NOVO",MONTH($O187)=MONTH(BD$4)),AP187*(1+Macroindicadores!M$7),IF(AND($J187="PONTUAL",MONTH($O187)=MONTH(BD$4)),AP187*(1+Macroindicadores!M$7),IF(AND($J187="PONTUAL",MONTH($O187)&lt;MONTH(BD$4)),MIN($AS187:BC187),IF(AND($I187="NOVO",MONTH($O187)&gt;MONTH(BD$4)),AP187,IF(MONTH($O187)&gt;MONTH(BD$4),AP187,IF(MONTH($O187)=MONTH(BD$4),AP187*(1+Macroindicadores!M$7),BC187)))))))))</f>
        <v>0</v>
      </c>
      <c r="BE187" s="40">
        <f t="shared" si="78"/>
        <v>0</v>
      </c>
      <c r="BG187" s="39">
        <f>IF(ISBLANK(Q187),"",AS187/Macroindicadores!B$2)</f>
        <v>0</v>
      </c>
      <c r="BH187" s="39">
        <f>IF(ISBLANK(R187),"",AT187/Macroindicadores!C$2)</f>
        <v>0</v>
      </c>
      <c r="BI187" s="39">
        <f>IF(ISBLANK(S187),"",AU187/Macroindicadores!D$2)</f>
        <v>0</v>
      </c>
      <c r="BJ187" s="39">
        <f>IF(ISBLANK(T187),"",AV187/Macroindicadores!E$2)</f>
        <v>0</v>
      </c>
      <c r="BK187" s="39">
        <f>IF(ISBLANK(U187),"",AW187/Macroindicadores!F$2)</f>
        <v>0</v>
      </c>
      <c r="BL187" s="39">
        <f>IF(ISBLANK(V187),"",AX187/Macroindicadores!G$2)</f>
        <v>0</v>
      </c>
      <c r="BM187" s="39">
        <f>IF(ISBLANK(W187),"",AY187/Macroindicadores!H$2)</f>
        <v>0</v>
      </c>
      <c r="BN187" s="39">
        <f>IF(ISBLANK(X187),"",AZ187/Macroindicadores!I$2)</f>
        <v>0</v>
      </c>
      <c r="BO187" s="39">
        <f>IF(ISBLANK(Y187),"",BA187/Macroindicadores!J$2)</f>
        <v>0</v>
      </c>
      <c r="BP187" s="39">
        <f>IF(ISBLANK(Z187),"",BB187/Macroindicadores!K$2)</f>
        <v>0</v>
      </c>
      <c r="BQ187" s="39">
        <f>IF(ISBLANK(AA187),"",BC187/Macroindicadores!L$2)</f>
        <v>0</v>
      </c>
      <c r="BR187" s="39">
        <f>IF(ISBLANK(AB187),"",BD187/Macroindicadores!M$2)</f>
        <v>0</v>
      </c>
      <c r="BS187" s="40">
        <f>IF(AND(ISBLANK($Q187),ISBLANK($R187),ISBLANK($S187),ISBLANK($T187),ISBLANK($U187),ISBLANK($V187),ISBLANK($W187),ISBLANK($X187),ISBLANK($Y187),ISBLANK($Z187),ISBLANK($AA187),ISBLANK($AB187)),"",SUM(BG187:BR187))</f>
        <v>0</v>
      </c>
      <c r="BT187" s="25" t="str">
        <f>IF(ISBLANK($L187),"",_xlfn.XLOOKUP($L187,'CENTRO CUSTO'!$A:$A,'CENTRO CUSTO'!$E:$E,FALSE,0))</f>
        <v>Custo Fixo</v>
      </c>
    </row>
    <row r="188" spans="1:72">
      <c r="A188" s="9" t="str">
        <f t="shared" si="80"/>
        <v>Budget</v>
      </c>
      <c r="B188" s="9">
        <f t="shared" si="77"/>
        <v>2026</v>
      </c>
      <c r="C188" s="18" t="str">
        <f>IF(ISBLANK($L188),"",_xlfn.XLOOKUP($L188,'CENTRO CUSTO'!$A:$A,'CENTRO CUSTO'!F:F,FALSE,0))</f>
        <v>Martini Meat</v>
      </c>
      <c r="D188" s="111" t="str">
        <f>IF(ISBLANK($L188),"",_xlfn.XLOOKUP($L188,'CENTRO CUSTO'!$A:$A,'CENTRO CUSTO'!G:G,FALSE,0))</f>
        <v>Recife 1</v>
      </c>
      <c r="E188" s="18" t="str">
        <f>IF(ISBLANK($L188),"",_xlfn.XLOOKUP($L188,'CENTRO CUSTO'!$A:$A,'CENTRO CUSTO'!H:H,FALSE,0))</f>
        <v>Locação</v>
      </c>
      <c r="F188" s="10" t="s">
        <v>186</v>
      </c>
      <c r="G188" s="10" t="s">
        <v>123</v>
      </c>
      <c r="H188" s="10" t="s">
        <v>187</v>
      </c>
      <c r="I188" s="11" t="s">
        <v>77</v>
      </c>
      <c r="J188" s="11" t="s">
        <v>78</v>
      </c>
      <c r="K188" s="11" t="s">
        <v>79</v>
      </c>
      <c r="L188" s="11" t="s">
        <v>182</v>
      </c>
      <c r="M188" s="18" t="str">
        <f>IF(ISBLANK($L188),"",_xlfn.XLOOKUP($L188,'CENTRO CUSTO'!$A:$A,'CENTRO CUSTO'!D:D,FALSE,0))</f>
        <v>Alexandre Ayabe</v>
      </c>
      <c r="N188" s="11" t="s">
        <v>91</v>
      </c>
      <c r="O188" s="12"/>
      <c r="P188" s="11" t="s">
        <v>81</v>
      </c>
      <c r="Q188" s="41">
        <v>0</v>
      </c>
      <c r="R188" s="41">
        <v>0</v>
      </c>
      <c r="S188" s="41">
        <v>0</v>
      </c>
      <c r="T188" s="41">
        <v>0</v>
      </c>
      <c r="U188" s="41">
        <v>0</v>
      </c>
      <c r="V188" s="41">
        <v>0</v>
      </c>
      <c r="W188" s="41">
        <v>0</v>
      </c>
      <c r="X188" s="41">
        <v>0</v>
      </c>
      <c r="Y188" s="41">
        <v>0</v>
      </c>
      <c r="Z188" s="41">
        <v>0</v>
      </c>
      <c r="AA188" s="41">
        <v>0</v>
      </c>
      <c r="AB188" s="41">
        <v>0</v>
      </c>
      <c r="AC188" s="116">
        <f t="shared" ref="AC188:AC192" si="90">IF(AND(ISBLANK($Q188),ISBLANK($R188),ISBLANK($S188),ISBLANK($T188),ISBLANK($U188),ISBLANK($V188),ISBLANK($W188),ISBLANK($X188),ISBLANK($Y188),ISBLANK($Z188),ISBLANK($AA188),ISBLANK($AB188)),"",SUM(Q188:AB188))</f>
        <v>0</v>
      </c>
      <c r="AE188" s="39">
        <f>IF(ISBLANK(Q188),"",IF($P188="BRL",Q188,Q188*Macroindicadores!B$2)/1000)</f>
        <v>0</v>
      </c>
      <c r="AF188" s="39">
        <f>IF(ISBLANK(R188),"",IF($P188="BRL",R188,R188*Macroindicadores!C$2)/1000)</f>
        <v>0</v>
      </c>
      <c r="AG188" s="39">
        <f>IF(ISBLANK(S188),"",IF($P188="BRL",S188,S188*Macroindicadores!D$2)/1000)</f>
        <v>0</v>
      </c>
      <c r="AH188" s="39">
        <f>IF(ISBLANK(T188),"",IF($P188="BRL",T188,T188*Macroindicadores!E$2)/1000)</f>
        <v>0</v>
      </c>
      <c r="AI188" s="39">
        <f>IF(ISBLANK(U188),"",IF($P188="BRL",U188,U188*Macroindicadores!F$2)/1000)</f>
        <v>0</v>
      </c>
      <c r="AJ188" s="39">
        <f>IF(ISBLANK(V188),"",IF($P188="BRL",V188,V188*Macroindicadores!G$2)/1000)</f>
        <v>0</v>
      </c>
      <c r="AK188" s="39">
        <f>IF(ISBLANK(W188),"",IF($P188="BRL",W188,W188*Macroindicadores!H$2)/1000)</f>
        <v>0</v>
      </c>
      <c r="AL188" s="39">
        <f>IF(ISBLANK(X188),"",IF($P188="BRL",X188,X188*Macroindicadores!I$2)/1000)</f>
        <v>0</v>
      </c>
      <c r="AM188" s="39">
        <f>IF(ISBLANK(Y188),"",IF($P188="BRL",Y188,Y188*Macroindicadores!J$2)/1000)</f>
        <v>0</v>
      </c>
      <c r="AN188" s="39">
        <f>IF(ISBLANK(Z188),"",IF($P188="BRL",Z188,Z188*Macroindicadores!K$2)/1000)</f>
        <v>0</v>
      </c>
      <c r="AO188" s="39">
        <f>IF(ISBLANK(AA188),"",IF($P188="BRL",AA188,AA188*Macroindicadores!L$2)/1000)</f>
        <v>0</v>
      </c>
      <c r="AP188" s="39">
        <f>IF(ISBLANK(AB188),"",IF($P188="BRL",AB188,AB188*Macroindicadores!M$2)/1000)</f>
        <v>0</v>
      </c>
      <c r="AQ188" s="40">
        <f t="shared" ref="AQ188:AQ192" si="91">IF(AND(ISBLANK($Q188),ISBLANK($R188),ISBLANK($S188),ISBLANK($T188),ISBLANK($U188),ISBLANK($V188),ISBLANK($W188),ISBLANK($X188),ISBLANK($Y188),ISBLANK($Z188),ISBLANK($AA188),ISBLANK($AB188)),"",SUM(AE188:AP188))</f>
        <v>0</v>
      </c>
      <c r="AS188" s="39">
        <f>IF(ISBLANK(Q188),"",IF(ISBLANK($O188),AE188,IF($J188="ANUAL",AE188*(1+Macroindicadores!B$7),IF(AND($I188="NOVO",MONTH($O188)=MONTH(AS$4)),AE188*(1+Macroindicadores!B$7),IF(AND($J188="PONTUAL",MONTH($O188)=MONTH(AS$4)),AE188*(1+Macroindicadores!B$7),IF(AND($J188="PONTUAL",MONTH($O188)&lt;MONTH(AS$4)),MIN(AR188:$AS188),IF(AND($I188="NOVO",MONTH($O188)&gt;MONTH(AS$4)),AE188,IF(MONTH($O188)&gt;MONTH(AS$4),AE188,IF(MONTH($O188)=MONTH(AS$4),AE188*(1+Macroindicadores!B$7),AR188)))))))))</f>
        <v>0</v>
      </c>
      <c r="AT188" s="39">
        <f>IF(ISBLANK(R188),"",IF(ISBLANK($O188),AF188,IF($J188="ANUAL",AF188*(1+Macroindicadores!C$7),IF(AND($I188="NOVO",MONTH($O188)=MONTH(AT$4)),AF188*(1+Macroindicadores!C$7),IF(AND($J188="PONTUAL",MONTH($O188)=MONTH(AT$4)),AF188*(1+Macroindicadores!C$7),IF(AND($J188="PONTUAL",MONTH($O188)&lt;MONTH(AT$4)),MIN($AS188:AS188),IF(AND($I188="NOVO",MONTH($O188)&gt;MONTH(AT$4)),AF188,IF(MONTH($O188)&gt;MONTH(AT$4),AF188,IF(MONTH($O188)=MONTH(AT$4),AF188*(1+Macroindicadores!C$7),AS188)))))))))</f>
        <v>0</v>
      </c>
      <c r="AU188" s="39">
        <f>IF(ISBLANK(S188),"",IF(ISBLANK($O188),AG188,IF($J188="ANUAL",AG188*(1+Macroindicadores!D$7),IF(AND($I188="NOVO",MONTH($O188)=MONTH(AU$4)),AG188*(1+Macroindicadores!D$7),IF(AND($J188="PONTUAL",MONTH($O188)=MONTH(AU$4)),AG188*(1+Macroindicadores!D$7),IF(AND($J188="PONTUAL",MONTH($O188)&lt;MONTH(AU$4)),MIN($AS188:AT188),IF(AND($I188="NOVO",MONTH($O188)&gt;MONTH(AU$4)),AG188,IF(MONTH($O188)&gt;MONTH(AU$4),AG188,IF(MONTH($O188)=MONTH(AU$4),AG188*(1+Macroindicadores!D$7),AT188)))))))))</f>
        <v>0</v>
      </c>
      <c r="AV188" s="39">
        <f>IF(ISBLANK(T188),"",IF(ISBLANK($O188),AH188,IF($J188="ANUAL",AH188*(1+Macroindicadores!E$7),IF(AND($I188="NOVO",MONTH($O188)=MONTH(AV$4)),AH188*(1+Macroindicadores!E$7),IF(AND($J188="PONTUAL",MONTH($O188)=MONTH(AV$4)),AH188*(1+Macroindicadores!E$7),IF(AND($J188="PONTUAL",MONTH($O188)&lt;MONTH(AV$4)),MIN($AS188:AU188),IF(AND($I188="NOVO",MONTH($O188)&gt;MONTH(AV$4)),AH188,IF(MONTH($O188)&gt;MONTH(AV$4),AH188,IF(MONTH($O188)=MONTH(AV$4),AH188*(1+Macroindicadores!E$7),AU188)))))))))</f>
        <v>0</v>
      </c>
      <c r="AW188" s="39">
        <f>IF(ISBLANK(U188),"",IF(ISBLANK($O188),AI188,IF($J188="ANUAL",AI188*(1+Macroindicadores!F$7),IF(AND($I188="NOVO",MONTH($O188)=MONTH(AW$4)),AI188*(1+Macroindicadores!F$7),IF(AND($J188="PONTUAL",MONTH($O188)=MONTH(AW$4)),AI188*(1+Macroindicadores!F$7),IF(AND($J188="PONTUAL",MONTH($O188)&lt;MONTH(AW$4)),MIN($AS188:AV188),IF(AND($I188="NOVO",MONTH($O188)&gt;MONTH(AW$4)),AI188,IF(MONTH($O188)&gt;MONTH(AW$4),AI188,IF(MONTH($O188)=MONTH(AW$4),AI188*(1+Macroindicadores!F$7),AV188)))))))))</f>
        <v>0</v>
      </c>
      <c r="AX188" s="39">
        <f>IF(ISBLANK(V188),"",IF(ISBLANK($O188),AJ188,IF($J188="ANUAL",AJ188*(1+Macroindicadores!G$7),IF(AND($I188="NOVO",MONTH($O188)=MONTH(AX$4)),AJ188*(1+Macroindicadores!G$7),IF(AND($J188="PONTUAL",MONTH($O188)=MONTH(AX$4)),AJ188*(1+Macroindicadores!G$7),IF(AND($J188="PONTUAL",MONTH($O188)&lt;MONTH(AX$4)),MIN($AS188:AW188),IF(AND($I188="NOVO",MONTH($O188)&gt;MONTH(AX$4)),AJ188,IF(MONTH($O188)&gt;MONTH(AX$4),AJ188,IF(MONTH($O188)=MONTH(AX$4),AJ188*(1+Macroindicadores!G$7),AW188)))))))))</f>
        <v>0</v>
      </c>
      <c r="AY188" s="39">
        <f>IF(ISBLANK(W188),"",IF(ISBLANK($O188),AK188,IF($J188="ANUAL",AK188*(1+Macroindicadores!H$7),IF(AND($I188="NOVO",MONTH($O188)=MONTH(AY$4)),AK188*(1+Macroindicadores!H$7),IF(AND($J188="PONTUAL",MONTH($O188)=MONTH(AY$4)),AK188*(1+Macroindicadores!H$7),IF(AND($J188="PONTUAL",MONTH($O188)&lt;MONTH(AY$4)),MIN($AS188:AX188),IF(AND($I188="NOVO",MONTH($O188)&gt;MONTH(AY$4)),AK188,IF(MONTH($O188)&gt;MONTH(AY$4),AK188,IF(MONTH($O188)=MONTH(AY$4),AK188*(1+Macroindicadores!H$7),AX188)))))))))</f>
        <v>0</v>
      </c>
      <c r="AZ188" s="39">
        <f>IF(ISBLANK(X188),"",IF(ISBLANK($O188),AL188,IF($J188="ANUAL",AL188*(1+Macroindicadores!I$7),IF(AND($I188="NOVO",MONTH($O188)=MONTH(AZ$4)),AL188*(1+Macroindicadores!I$7),IF(AND($J188="PONTUAL",MONTH($O188)=MONTH(AZ$4)),AL188*(1+Macroindicadores!I$7),IF(AND($J188="PONTUAL",MONTH($O188)&lt;MONTH(AZ$4)),MIN($AS188:AY188),IF(AND($I188="NOVO",MONTH($O188)&gt;MONTH(AZ$4)),AL188,IF(MONTH($O188)&gt;MONTH(AZ$4),AL188,IF(MONTH($O188)=MONTH(AZ$4),AL188*(1+Macroindicadores!I$7),AY188)))))))))</f>
        <v>0</v>
      </c>
      <c r="BA188" s="39">
        <f>IF(ISBLANK(Y188),"",IF(ISBLANK($O188),AM188,IF($J188="ANUAL",AM188*(1+Macroindicadores!J$7),IF(AND($I188="NOVO",MONTH($O188)=MONTH(BA$4)),AM188*(1+Macroindicadores!J$7),IF(AND($J188="PONTUAL",MONTH($O188)=MONTH(BA$4)),AM188*(1+Macroindicadores!J$7),IF(AND($J188="PONTUAL",MONTH($O188)&lt;MONTH(BA$4)),MIN($AS188:AZ188),IF(AND($I188="NOVO",MONTH($O188)&gt;MONTH(BA$4)),AM188,IF(MONTH($O188)&gt;MONTH(BA$4),AM188,IF(MONTH($O188)=MONTH(BA$4),AM188*(1+Macroindicadores!J$7),AZ188)))))))))</f>
        <v>0</v>
      </c>
      <c r="BB188" s="39">
        <f>IF(ISBLANK(Z188),"",IF(ISBLANK($O188),AN188,IF($J188="ANUAL",AN188*(1+Macroindicadores!K$7),IF(AND($I188="NOVO",MONTH($O188)=MONTH(BB$4)),AN188*(1+Macroindicadores!K$7),IF(AND($J188="PONTUAL",MONTH($O188)=MONTH(BB$4)),AN188*(1+Macroindicadores!K$7),IF(AND($J188="PONTUAL",MONTH($O188)&lt;MONTH(BB$4)),MIN($AS188:BA188),IF(AND($I188="NOVO",MONTH($O188)&gt;MONTH(BB$4)),AN188,IF(MONTH($O188)&gt;MONTH(BB$4),AN188,IF(MONTH($O188)=MONTH(BB$4),AN188*(1+Macroindicadores!K$7),BA188)))))))))</f>
        <v>0</v>
      </c>
      <c r="BC188" s="39">
        <f>IF(ISBLANK(AA188),"",IF(ISBLANK($O188),AO188,IF($J188="ANUAL",AO188*(1+Macroindicadores!L$7),IF(AND($I188="NOVO",MONTH($O188)=MONTH(BC$4)),AO188*(1+Macroindicadores!L$7),IF(AND($J188="PONTUAL",MONTH($O188)=MONTH(BC$4)),AO188*(1+Macroindicadores!L$7),IF(AND($J188="PONTUAL",MONTH($O188)&lt;MONTH(BC$4)),MIN($AS188:BB188),IF(AND($I188="NOVO",MONTH($O188)&gt;MONTH(BC$4)),AO188,IF(MONTH($O188)&gt;MONTH(BC$4),AO188,IF(MONTH($O188)=MONTH(BC$4),AO188*(1+Macroindicadores!L$7),BB188)))))))))</f>
        <v>0</v>
      </c>
      <c r="BD188" s="39">
        <f>IF(ISBLANK(AB188),"",IF(ISBLANK($O188),AP188,IF($J188="ANUAL",AP188*(1+Macroindicadores!M$7),IF(AND($I188="NOVO",MONTH($O188)=MONTH(BD$4)),AP188*(1+Macroindicadores!M$7),IF(AND($J188="PONTUAL",MONTH($O188)=MONTH(BD$4)),AP188*(1+Macroindicadores!M$7),IF(AND($J188="PONTUAL",MONTH($O188)&lt;MONTH(BD$4)),MIN($AS188:BC188),IF(AND($I188="NOVO",MONTH($O188)&gt;MONTH(BD$4)),AP188,IF(MONTH($O188)&gt;MONTH(BD$4),AP188,IF(MONTH($O188)=MONTH(BD$4),AP188*(1+Macroindicadores!M$7),BC188)))))))))</f>
        <v>0</v>
      </c>
      <c r="BE188" s="40">
        <f t="shared" ref="BE188:BE192" si="92">IF(AND(ISBLANK($Q188),ISBLANK($R188),ISBLANK($S188),ISBLANK($T188),ISBLANK($U188),ISBLANK($V188),ISBLANK($W188),ISBLANK($X188),ISBLANK($Y188),ISBLANK($Z188),ISBLANK($AA188),ISBLANK($AB188)),"",SUM(AS188:BD188))</f>
        <v>0</v>
      </c>
      <c r="BG188" s="39">
        <f>IF(ISBLANK(Q188),"",AS188/Macroindicadores!B$2)</f>
        <v>0</v>
      </c>
      <c r="BH188" s="39">
        <f>IF(ISBLANK(R188),"",AT188/Macroindicadores!C$2)</f>
        <v>0</v>
      </c>
      <c r="BI188" s="39">
        <f>IF(ISBLANK(S188),"",AU188/Macroindicadores!D$2)</f>
        <v>0</v>
      </c>
      <c r="BJ188" s="39">
        <f>IF(ISBLANK(T188),"",AV188/Macroindicadores!E$2)</f>
        <v>0</v>
      </c>
      <c r="BK188" s="39">
        <f>IF(ISBLANK(U188),"",AW188/Macroindicadores!F$2)</f>
        <v>0</v>
      </c>
      <c r="BL188" s="39">
        <f>IF(ISBLANK(V188),"",AX188/Macroindicadores!G$2)</f>
        <v>0</v>
      </c>
      <c r="BM188" s="39">
        <f>IF(ISBLANK(W188),"",AY188/Macroindicadores!H$2)</f>
        <v>0</v>
      </c>
      <c r="BN188" s="39">
        <f>IF(ISBLANK(X188),"",AZ188/Macroindicadores!I$2)</f>
        <v>0</v>
      </c>
      <c r="BO188" s="39">
        <f>IF(ISBLANK(Y188),"",BA188/Macroindicadores!J$2)</f>
        <v>0</v>
      </c>
      <c r="BP188" s="39">
        <f>IF(ISBLANK(Z188),"",BB188/Macroindicadores!K$2)</f>
        <v>0</v>
      </c>
      <c r="BQ188" s="39">
        <f>IF(ISBLANK(AA188),"",BC188/Macroindicadores!L$2)</f>
        <v>0</v>
      </c>
      <c r="BR188" s="39">
        <f>IF(ISBLANK(AB188),"",BD188/Macroindicadores!M$2)</f>
        <v>0</v>
      </c>
      <c r="BS188" s="40">
        <f>IF(AND(ISBLANK($Q188),ISBLANK($R188),ISBLANK($S188),ISBLANK($T188),ISBLANK($U188),ISBLANK($V188),ISBLANK($W188),ISBLANK($X188),ISBLANK($Y188),ISBLANK($Z188),ISBLANK($AA188),ISBLANK($AB188)),"",SUM(BG188:BR188))</f>
        <v>0</v>
      </c>
      <c r="BT188" s="25" t="str">
        <f>IF(ISBLANK($L188),"",_xlfn.XLOOKUP($L188,'CENTRO CUSTO'!$A:$A,'CENTRO CUSTO'!$E:$E,FALSE,0))</f>
        <v>Custo Fixo</v>
      </c>
    </row>
    <row r="189" spans="1:72">
      <c r="A189" s="9" t="str">
        <f t="shared" si="80"/>
        <v>Budget</v>
      </c>
      <c r="B189" s="9">
        <f t="shared" si="77"/>
        <v>2026</v>
      </c>
      <c r="C189" s="18" t="str">
        <f>IF(ISBLANK($L189),"",_xlfn.XLOOKUP($L189,'CENTRO CUSTO'!$A:$A,'CENTRO CUSTO'!F:F,FALSE,0))</f>
        <v>MRV</v>
      </c>
      <c r="D189" s="111" t="str">
        <f>IF(ISBLANK($L189),"",_xlfn.XLOOKUP($L189,'CENTRO CUSTO'!$A:$A,'CENTRO CUSTO'!G:G,FALSE,0))</f>
        <v>Velopark</v>
      </c>
      <c r="E189" s="18" t="str">
        <f>IF(ISBLANK($L189),"",_xlfn.XLOOKUP($L189,'CENTRO CUSTO'!$A:$A,'CENTRO CUSTO'!H:H,FALSE,0))</f>
        <v>Frigorífico</v>
      </c>
      <c r="F189" s="10" t="s">
        <v>186</v>
      </c>
      <c r="G189" s="10" t="s">
        <v>123</v>
      </c>
      <c r="H189" s="10" t="s">
        <v>187</v>
      </c>
      <c r="I189" s="11" t="s">
        <v>77</v>
      </c>
      <c r="J189" s="11" t="s">
        <v>78</v>
      </c>
      <c r="K189" s="11" t="s">
        <v>79</v>
      </c>
      <c r="L189" s="11" t="s">
        <v>43</v>
      </c>
      <c r="M189" s="18" t="str">
        <f>IF(ISBLANK($L189),"",_xlfn.XLOOKUP($L189,'CENTRO CUSTO'!$A:$A,'CENTRO CUSTO'!D:D,FALSE,0))</f>
        <v>Alexandre Ayabe</v>
      </c>
      <c r="N189" s="11" t="s">
        <v>91</v>
      </c>
      <c r="O189" s="12"/>
      <c r="P189" s="11" t="s">
        <v>81</v>
      </c>
      <c r="Q189" s="41">
        <v>0</v>
      </c>
      <c r="R189" s="41">
        <v>0</v>
      </c>
      <c r="S189" s="41">
        <v>0</v>
      </c>
      <c r="T189" s="41">
        <v>0</v>
      </c>
      <c r="U189" s="41">
        <v>0</v>
      </c>
      <c r="V189" s="41">
        <v>0</v>
      </c>
      <c r="W189" s="41">
        <v>0</v>
      </c>
      <c r="X189" s="41">
        <v>0</v>
      </c>
      <c r="Y189" s="41">
        <v>0</v>
      </c>
      <c r="Z189" s="41">
        <v>0</v>
      </c>
      <c r="AA189" s="41">
        <v>0</v>
      </c>
      <c r="AB189" s="41">
        <v>0</v>
      </c>
      <c r="AC189" s="116">
        <f t="shared" si="90"/>
        <v>0</v>
      </c>
      <c r="AE189" s="39">
        <f>IF(ISBLANK(Q189),"",IF($P189="BRL",Q189,Q189*Macroindicadores!B$2)/1000)</f>
        <v>0</v>
      </c>
      <c r="AF189" s="39">
        <f>IF(ISBLANK(R189),"",IF($P189="BRL",R189,R189*Macroindicadores!C$2)/1000)</f>
        <v>0</v>
      </c>
      <c r="AG189" s="39">
        <f>IF(ISBLANK(S189),"",IF($P189="BRL",S189,S189*Macroindicadores!D$2)/1000)</f>
        <v>0</v>
      </c>
      <c r="AH189" s="39">
        <f>IF(ISBLANK(T189),"",IF($P189="BRL",T189,T189*Macroindicadores!E$2)/1000)</f>
        <v>0</v>
      </c>
      <c r="AI189" s="39">
        <f>IF(ISBLANK(U189),"",IF($P189="BRL",U189,U189*Macroindicadores!F$2)/1000)</f>
        <v>0</v>
      </c>
      <c r="AJ189" s="39">
        <f>IF(ISBLANK(V189),"",IF($P189="BRL",V189,V189*Macroindicadores!G$2)/1000)</f>
        <v>0</v>
      </c>
      <c r="AK189" s="39">
        <f>IF(ISBLANK(W189),"",IF($P189="BRL",W189,W189*Macroindicadores!H$2)/1000)</f>
        <v>0</v>
      </c>
      <c r="AL189" s="39">
        <f>IF(ISBLANK(X189),"",IF($P189="BRL",X189,X189*Macroindicadores!I$2)/1000)</f>
        <v>0</v>
      </c>
      <c r="AM189" s="39">
        <f>IF(ISBLANK(Y189),"",IF($P189="BRL",Y189,Y189*Macroindicadores!J$2)/1000)</f>
        <v>0</v>
      </c>
      <c r="AN189" s="39">
        <f>IF(ISBLANK(Z189),"",IF($P189="BRL",Z189,Z189*Macroindicadores!K$2)/1000)</f>
        <v>0</v>
      </c>
      <c r="AO189" s="39">
        <f>IF(ISBLANK(AA189),"",IF($P189="BRL",AA189,AA189*Macroindicadores!L$2)/1000)</f>
        <v>0</v>
      </c>
      <c r="AP189" s="39">
        <f>IF(ISBLANK(AB189),"",IF($P189="BRL",AB189,AB189*Macroindicadores!M$2)/1000)</f>
        <v>0</v>
      </c>
      <c r="AQ189" s="40">
        <f t="shared" si="91"/>
        <v>0</v>
      </c>
      <c r="AS189" s="39">
        <f>IF(ISBLANK(Q189),"",IF(ISBLANK($O189),AE189,IF($J189="ANUAL",AE189*(1+Macroindicadores!B$7),IF(AND($I189="NOVO",MONTH($O189)=MONTH(AS$4)),AE189*(1+Macroindicadores!B$7),IF(AND($J189="PONTUAL",MONTH($O189)=MONTH(AS$4)),AE189*(1+Macroindicadores!B$7),IF(AND($J189="PONTUAL",MONTH($O189)&lt;MONTH(AS$4)),MIN(AR189:$AS189),IF(AND($I189="NOVO",MONTH($O189)&gt;MONTH(AS$4)),AE189,IF(MONTH($O189)&gt;MONTH(AS$4),AE189,IF(MONTH($O189)=MONTH(AS$4),AE189*(1+Macroindicadores!B$7),AR189)))))))))</f>
        <v>0</v>
      </c>
      <c r="AT189" s="39">
        <f>IF(ISBLANK(R189),"",IF(ISBLANK($O189),AF189,IF($J189="ANUAL",AF189*(1+Macroindicadores!C$7),IF(AND($I189="NOVO",MONTH($O189)=MONTH(AT$4)),AF189*(1+Macroindicadores!C$7),IF(AND($J189="PONTUAL",MONTH($O189)=MONTH(AT$4)),AF189*(1+Macroindicadores!C$7),IF(AND($J189="PONTUAL",MONTH($O189)&lt;MONTH(AT$4)),MIN($AS189:AS189),IF(AND($I189="NOVO",MONTH($O189)&gt;MONTH(AT$4)),AF189,IF(MONTH($O189)&gt;MONTH(AT$4),AF189,IF(MONTH($O189)=MONTH(AT$4),AF189*(1+Macroindicadores!C$7),AS189)))))))))</f>
        <v>0</v>
      </c>
      <c r="AU189" s="39">
        <f>IF(ISBLANK(S189),"",IF(ISBLANK($O189),AG189,IF($J189="ANUAL",AG189*(1+Macroindicadores!D$7),IF(AND($I189="NOVO",MONTH($O189)=MONTH(AU$4)),AG189*(1+Macroindicadores!D$7),IF(AND($J189="PONTUAL",MONTH($O189)=MONTH(AU$4)),AG189*(1+Macroindicadores!D$7),IF(AND($J189="PONTUAL",MONTH($O189)&lt;MONTH(AU$4)),MIN($AS189:AT189),IF(AND($I189="NOVO",MONTH($O189)&gt;MONTH(AU$4)),AG189,IF(MONTH($O189)&gt;MONTH(AU$4),AG189,IF(MONTH($O189)=MONTH(AU$4),AG189*(1+Macroindicadores!D$7),AT189)))))))))</f>
        <v>0</v>
      </c>
      <c r="AV189" s="39">
        <f>IF(ISBLANK(T189),"",IF(ISBLANK($O189),AH189,IF($J189="ANUAL",AH189*(1+Macroindicadores!E$7),IF(AND($I189="NOVO",MONTH($O189)=MONTH(AV$4)),AH189*(1+Macroindicadores!E$7),IF(AND($J189="PONTUAL",MONTH($O189)=MONTH(AV$4)),AH189*(1+Macroindicadores!E$7),IF(AND($J189="PONTUAL",MONTH($O189)&lt;MONTH(AV$4)),MIN($AS189:AU189),IF(AND($I189="NOVO",MONTH($O189)&gt;MONTH(AV$4)),AH189,IF(MONTH($O189)&gt;MONTH(AV$4),AH189,IF(MONTH($O189)=MONTH(AV$4),AH189*(1+Macroindicadores!E$7),AU189)))))))))</f>
        <v>0</v>
      </c>
      <c r="AW189" s="39">
        <f>IF(ISBLANK(U189),"",IF(ISBLANK($O189),AI189,IF($J189="ANUAL",AI189*(1+Macroindicadores!F$7),IF(AND($I189="NOVO",MONTH($O189)=MONTH(AW$4)),AI189*(1+Macroindicadores!F$7),IF(AND($J189="PONTUAL",MONTH($O189)=MONTH(AW$4)),AI189*(1+Macroindicadores!F$7),IF(AND($J189="PONTUAL",MONTH($O189)&lt;MONTH(AW$4)),MIN($AS189:AV189),IF(AND($I189="NOVO",MONTH($O189)&gt;MONTH(AW$4)),AI189,IF(MONTH($O189)&gt;MONTH(AW$4),AI189,IF(MONTH($O189)=MONTH(AW$4),AI189*(1+Macroindicadores!F$7),AV189)))))))))</f>
        <v>0</v>
      </c>
      <c r="AX189" s="39">
        <f>IF(ISBLANK(V189),"",IF(ISBLANK($O189),AJ189,IF($J189="ANUAL",AJ189*(1+Macroindicadores!G$7),IF(AND($I189="NOVO",MONTH($O189)=MONTH(AX$4)),AJ189*(1+Macroindicadores!G$7),IF(AND($J189="PONTUAL",MONTH($O189)=MONTH(AX$4)),AJ189*(1+Macroindicadores!G$7),IF(AND($J189="PONTUAL",MONTH($O189)&lt;MONTH(AX$4)),MIN($AS189:AW189),IF(AND($I189="NOVO",MONTH($O189)&gt;MONTH(AX$4)),AJ189,IF(MONTH($O189)&gt;MONTH(AX$4),AJ189,IF(MONTH($O189)=MONTH(AX$4),AJ189*(1+Macroindicadores!G$7),AW189)))))))))</f>
        <v>0</v>
      </c>
      <c r="AY189" s="39">
        <f>IF(ISBLANK(W189),"",IF(ISBLANK($O189),AK189,IF($J189="ANUAL",AK189*(1+Macroindicadores!H$7),IF(AND($I189="NOVO",MONTH($O189)=MONTH(AY$4)),AK189*(1+Macroindicadores!H$7),IF(AND($J189="PONTUAL",MONTH($O189)=MONTH(AY$4)),AK189*(1+Macroindicadores!H$7),IF(AND($J189="PONTUAL",MONTH($O189)&lt;MONTH(AY$4)),MIN($AS189:AX189),IF(AND($I189="NOVO",MONTH($O189)&gt;MONTH(AY$4)),AK189,IF(MONTH($O189)&gt;MONTH(AY$4),AK189,IF(MONTH($O189)=MONTH(AY$4),AK189*(1+Macroindicadores!H$7),AX189)))))))))</f>
        <v>0</v>
      </c>
      <c r="AZ189" s="39">
        <f>IF(ISBLANK(X189),"",IF(ISBLANK($O189),AL189,IF($J189="ANUAL",AL189*(1+Macroindicadores!I$7),IF(AND($I189="NOVO",MONTH($O189)=MONTH(AZ$4)),AL189*(1+Macroindicadores!I$7),IF(AND($J189="PONTUAL",MONTH($O189)=MONTH(AZ$4)),AL189*(1+Macroindicadores!I$7),IF(AND($J189="PONTUAL",MONTH($O189)&lt;MONTH(AZ$4)),MIN($AS189:AY189),IF(AND($I189="NOVO",MONTH($O189)&gt;MONTH(AZ$4)),AL189,IF(MONTH($O189)&gt;MONTH(AZ$4),AL189,IF(MONTH($O189)=MONTH(AZ$4),AL189*(1+Macroindicadores!I$7),AY189)))))))))</f>
        <v>0</v>
      </c>
      <c r="BA189" s="39">
        <f>IF(ISBLANK(Y189),"",IF(ISBLANK($O189),AM189,IF($J189="ANUAL",AM189*(1+Macroindicadores!J$7),IF(AND($I189="NOVO",MONTH($O189)=MONTH(BA$4)),AM189*(1+Macroindicadores!J$7),IF(AND($J189="PONTUAL",MONTH($O189)=MONTH(BA$4)),AM189*(1+Macroindicadores!J$7),IF(AND($J189="PONTUAL",MONTH($O189)&lt;MONTH(BA$4)),MIN($AS189:AZ189),IF(AND($I189="NOVO",MONTH($O189)&gt;MONTH(BA$4)),AM189,IF(MONTH($O189)&gt;MONTH(BA$4),AM189,IF(MONTH($O189)=MONTH(BA$4),AM189*(1+Macroindicadores!J$7),AZ189)))))))))</f>
        <v>0</v>
      </c>
      <c r="BB189" s="39">
        <f>IF(ISBLANK(Z189),"",IF(ISBLANK($O189),AN189,IF($J189="ANUAL",AN189*(1+Macroindicadores!K$7),IF(AND($I189="NOVO",MONTH($O189)=MONTH(BB$4)),AN189*(1+Macroindicadores!K$7),IF(AND($J189="PONTUAL",MONTH($O189)=MONTH(BB$4)),AN189*(1+Macroindicadores!K$7),IF(AND($J189="PONTUAL",MONTH($O189)&lt;MONTH(BB$4)),MIN($AS189:BA189),IF(AND($I189="NOVO",MONTH($O189)&gt;MONTH(BB$4)),AN189,IF(MONTH($O189)&gt;MONTH(BB$4),AN189,IF(MONTH($O189)=MONTH(BB$4),AN189*(1+Macroindicadores!K$7),BA189)))))))))</f>
        <v>0</v>
      </c>
      <c r="BC189" s="39">
        <f>IF(ISBLANK(AA189),"",IF(ISBLANK($O189),AO189,IF($J189="ANUAL",AO189*(1+Macroindicadores!L$7),IF(AND($I189="NOVO",MONTH($O189)=MONTH(BC$4)),AO189*(1+Macroindicadores!L$7),IF(AND($J189="PONTUAL",MONTH($O189)=MONTH(BC$4)),AO189*(1+Macroindicadores!L$7),IF(AND($J189="PONTUAL",MONTH($O189)&lt;MONTH(BC$4)),MIN($AS189:BB189),IF(AND($I189="NOVO",MONTH($O189)&gt;MONTH(BC$4)),AO189,IF(MONTH($O189)&gt;MONTH(BC$4),AO189,IF(MONTH($O189)=MONTH(BC$4),AO189*(1+Macroindicadores!L$7),BB189)))))))))</f>
        <v>0</v>
      </c>
      <c r="BD189" s="39">
        <f>IF(ISBLANK(AB189),"",IF(ISBLANK($O189),AP189,IF($J189="ANUAL",AP189*(1+Macroindicadores!M$7),IF(AND($I189="NOVO",MONTH($O189)=MONTH(BD$4)),AP189*(1+Macroindicadores!M$7),IF(AND($J189="PONTUAL",MONTH($O189)=MONTH(BD$4)),AP189*(1+Macroindicadores!M$7),IF(AND($J189="PONTUAL",MONTH($O189)&lt;MONTH(BD$4)),MIN($AS189:BC189),IF(AND($I189="NOVO",MONTH($O189)&gt;MONTH(BD$4)),AP189,IF(MONTH($O189)&gt;MONTH(BD$4),AP189,IF(MONTH($O189)=MONTH(BD$4),AP189*(1+Macroindicadores!M$7),BC189)))))))))</f>
        <v>0</v>
      </c>
      <c r="BE189" s="40">
        <f t="shared" si="92"/>
        <v>0</v>
      </c>
      <c r="BG189" s="39">
        <f>IF(ISBLANK(Q189),"",AS189/Macroindicadores!B$2)</f>
        <v>0</v>
      </c>
      <c r="BH189" s="39">
        <f>IF(ISBLANK(R189),"",AT189/Macroindicadores!C$2)</f>
        <v>0</v>
      </c>
      <c r="BI189" s="39">
        <f>IF(ISBLANK(S189),"",AU189/Macroindicadores!D$2)</f>
        <v>0</v>
      </c>
      <c r="BJ189" s="39">
        <f>IF(ISBLANK(T189),"",AV189/Macroindicadores!E$2)</f>
        <v>0</v>
      </c>
      <c r="BK189" s="39">
        <f>IF(ISBLANK(U189),"",AW189/Macroindicadores!F$2)</f>
        <v>0</v>
      </c>
      <c r="BL189" s="39">
        <f>IF(ISBLANK(V189),"",AX189/Macroindicadores!G$2)</f>
        <v>0</v>
      </c>
      <c r="BM189" s="39">
        <f>IF(ISBLANK(W189),"",AY189/Macroindicadores!H$2)</f>
        <v>0</v>
      </c>
      <c r="BN189" s="39">
        <f>IF(ISBLANK(X189),"",AZ189/Macroindicadores!I$2)</f>
        <v>0</v>
      </c>
      <c r="BO189" s="39">
        <f>IF(ISBLANK(Y189),"",BA189/Macroindicadores!J$2)</f>
        <v>0</v>
      </c>
      <c r="BP189" s="39">
        <f>IF(ISBLANK(Z189),"",BB189/Macroindicadores!K$2)</f>
        <v>0</v>
      </c>
      <c r="BQ189" s="39">
        <f>IF(ISBLANK(AA189),"",BC189/Macroindicadores!L$2)</f>
        <v>0</v>
      </c>
      <c r="BR189" s="39">
        <f>IF(ISBLANK(AB189),"",BD189/Macroindicadores!M$2)</f>
        <v>0</v>
      </c>
      <c r="BS189" s="40">
        <f>IF(AND(ISBLANK($Q189),ISBLANK($R189),ISBLANK($S189),ISBLANK($T189),ISBLANK($U189),ISBLANK($V189),ISBLANK($W189),ISBLANK($X189),ISBLANK($Y189),ISBLANK($Z189),ISBLANK($AA189),ISBLANK($AB189)),"",SUM(BG189:BR189))</f>
        <v>0</v>
      </c>
      <c r="BT189" s="25" t="str">
        <f>IF(ISBLANK($L189),"",_xlfn.XLOOKUP($L189,'CENTRO CUSTO'!$A:$A,'CENTRO CUSTO'!$E:$E,FALSE,0))</f>
        <v>Custo Fixo</v>
      </c>
    </row>
    <row r="190" spans="1:72">
      <c r="A190" s="9" t="str">
        <f t="shared" si="80"/>
        <v>Budget</v>
      </c>
      <c r="B190" s="9">
        <f t="shared" si="77"/>
        <v>2026</v>
      </c>
      <c r="C190" s="18" t="str">
        <f>IF(ISBLANK($L190),"",_xlfn.XLOOKUP($L190,'CENTRO CUSTO'!$A:$A,'CENTRO CUSTO'!F:F,FALSE,0))</f>
        <v>MRV</v>
      </c>
      <c r="D190" s="111" t="str">
        <f>IF(ISBLANK($L190),"",_xlfn.XLOOKUP($L190,'CENTRO CUSTO'!$A:$A,'CENTRO CUSTO'!G:G,FALSE,0))</f>
        <v>Passo Fundo</v>
      </c>
      <c r="E190" s="18" t="str">
        <f>IF(ISBLANK($L190),"",_xlfn.XLOOKUP($L190,'CENTRO CUSTO'!$A:$A,'CENTRO CUSTO'!H:H,FALSE,0))</f>
        <v>Frigorífico</v>
      </c>
      <c r="F190" s="10" t="s">
        <v>186</v>
      </c>
      <c r="G190" s="10" t="s">
        <v>123</v>
      </c>
      <c r="H190" s="10" t="s">
        <v>187</v>
      </c>
      <c r="I190" s="11" t="s">
        <v>77</v>
      </c>
      <c r="J190" s="11" t="s">
        <v>78</v>
      </c>
      <c r="K190" s="11" t="s">
        <v>79</v>
      </c>
      <c r="L190" s="11" t="s">
        <v>41</v>
      </c>
      <c r="M190" s="18" t="str">
        <f>IF(ISBLANK($L190),"",_xlfn.XLOOKUP($L190,'CENTRO CUSTO'!$A:$A,'CENTRO CUSTO'!D:D,FALSE,0))</f>
        <v>Alexandre Ayabe</v>
      </c>
      <c r="N190" s="11" t="s">
        <v>91</v>
      </c>
      <c r="O190" s="12"/>
      <c r="P190" s="11" t="s">
        <v>81</v>
      </c>
      <c r="Q190" s="41">
        <v>0</v>
      </c>
      <c r="R190" s="41">
        <v>0</v>
      </c>
      <c r="S190" s="41">
        <v>0</v>
      </c>
      <c r="T190" s="41">
        <v>0</v>
      </c>
      <c r="U190" s="41">
        <v>0</v>
      </c>
      <c r="V190" s="41">
        <v>0</v>
      </c>
      <c r="W190" s="41">
        <v>0</v>
      </c>
      <c r="X190" s="41">
        <v>0</v>
      </c>
      <c r="Y190" s="41">
        <v>0</v>
      </c>
      <c r="Z190" s="41">
        <v>0</v>
      </c>
      <c r="AA190" s="41">
        <v>0</v>
      </c>
      <c r="AB190" s="41">
        <v>0</v>
      </c>
      <c r="AC190" s="116">
        <f t="shared" si="90"/>
        <v>0</v>
      </c>
      <c r="AE190" s="39">
        <f>IF(ISBLANK(Q190),"",IF($P190="BRL",Q190,Q190*Macroindicadores!B$2)/1000)</f>
        <v>0</v>
      </c>
      <c r="AF190" s="39">
        <f>IF(ISBLANK(R190),"",IF($P190="BRL",R190,R190*Macroindicadores!C$2)/1000)</f>
        <v>0</v>
      </c>
      <c r="AG190" s="39">
        <f>IF(ISBLANK(S190),"",IF($P190="BRL",S190,S190*Macroindicadores!D$2)/1000)</f>
        <v>0</v>
      </c>
      <c r="AH190" s="39">
        <f>IF(ISBLANK(T190),"",IF($P190="BRL",T190,T190*Macroindicadores!E$2)/1000)</f>
        <v>0</v>
      </c>
      <c r="AI190" s="39">
        <f>IF(ISBLANK(U190),"",IF($P190="BRL",U190,U190*Macroindicadores!F$2)/1000)</f>
        <v>0</v>
      </c>
      <c r="AJ190" s="39">
        <f>IF(ISBLANK(V190),"",IF($P190="BRL",V190,V190*Macroindicadores!G$2)/1000)</f>
        <v>0</v>
      </c>
      <c r="AK190" s="39">
        <f>IF(ISBLANK(W190),"",IF($P190="BRL",W190,W190*Macroindicadores!H$2)/1000)</f>
        <v>0</v>
      </c>
      <c r="AL190" s="39">
        <f>IF(ISBLANK(X190),"",IF($P190="BRL",X190,X190*Macroindicadores!I$2)/1000)</f>
        <v>0</v>
      </c>
      <c r="AM190" s="39">
        <f>IF(ISBLANK(Y190),"",IF($P190="BRL",Y190,Y190*Macroindicadores!J$2)/1000)</f>
        <v>0</v>
      </c>
      <c r="AN190" s="39">
        <f>IF(ISBLANK(Z190),"",IF($P190="BRL",Z190,Z190*Macroindicadores!K$2)/1000)</f>
        <v>0</v>
      </c>
      <c r="AO190" s="39">
        <f>IF(ISBLANK(AA190),"",IF($P190="BRL",AA190,AA190*Macroindicadores!L$2)/1000)</f>
        <v>0</v>
      </c>
      <c r="AP190" s="39">
        <f>IF(ISBLANK(AB190),"",IF($P190="BRL",AB190,AB190*Macroindicadores!M$2)/1000)</f>
        <v>0</v>
      </c>
      <c r="AQ190" s="40">
        <f t="shared" si="91"/>
        <v>0</v>
      </c>
      <c r="AS190" s="39">
        <f>IF(ISBLANK(Q190),"",IF(ISBLANK($O190),AE190,IF($J190="ANUAL",AE190*(1+Macroindicadores!B$7),IF(AND($I190="NOVO",MONTH($O190)=MONTH(AS$4)),AE190*(1+Macroindicadores!B$7),IF(AND($J190="PONTUAL",MONTH($O190)=MONTH(AS$4)),AE190*(1+Macroindicadores!B$7),IF(AND($J190="PONTUAL",MONTH($O190)&lt;MONTH(AS$4)),MIN(AR190:$AS190),IF(AND($I190="NOVO",MONTH($O190)&gt;MONTH(AS$4)),AE190,IF(MONTH($O190)&gt;MONTH(AS$4),AE190,IF(MONTH($O190)=MONTH(AS$4),AE190*(1+Macroindicadores!B$7),AR190)))))))))</f>
        <v>0</v>
      </c>
      <c r="AT190" s="39">
        <f>IF(ISBLANK(R190),"",IF(ISBLANK($O190),AF190,IF($J190="ANUAL",AF190*(1+Macroindicadores!C$7),IF(AND($I190="NOVO",MONTH($O190)=MONTH(AT$4)),AF190*(1+Macroindicadores!C$7),IF(AND($J190="PONTUAL",MONTH($O190)=MONTH(AT$4)),AF190*(1+Macroindicadores!C$7),IF(AND($J190="PONTUAL",MONTH($O190)&lt;MONTH(AT$4)),MIN($AS190:AS190),IF(AND($I190="NOVO",MONTH($O190)&gt;MONTH(AT$4)),AF190,IF(MONTH($O190)&gt;MONTH(AT$4),AF190,IF(MONTH($O190)=MONTH(AT$4),AF190*(1+Macroindicadores!C$7),AS190)))))))))</f>
        <v>0</v>
      </c>
      <c r="AU190" s="39">
        <f>IF(ISBLANK(S190),"",IF(ISBLANK($O190),AG190,IF($J190="ANUAL",AG190*(1+Macroindicadores!D$7),IF(AND($I190="NOVO",MONTH($O190)=MONTH(AU$4)),AG190*(1+Macroindicadores!D$7),IF(AND($J190="PONTUAL",MONTH($O190)=MONTH(AU$4)),AG190*(1+Macroindicadores!D$7),IF(AND($J190="PONTUAL",MONTH($O190)&lt;MONTH(AU$4)),MIN($AS190:AT190),IF(AND($I190="NOVO",MONTH($O190)&gt;MONTH(AU$4)),AG190,IF(MONTH($O190)&gt;MONTH(AU$4),AG190,IF(MONTH($O190)=MONTH(AU$4),AG190*(1+Macroindicadores!D$7),AT190)))))))))</f>
        <v>0</v>
      </c>
      <c r="AV190" s="39">
        <f>IF(ISBLANK(T190),"",IF(ISBLANK($O190),AH190,IF($J190="ANUAL",AH190*(1+Macroindicadores!E$7),IF(AND($I190="NOVO",MONTH($O190)=MONTH(AV$4)),AH190*(1+Macroindicadores!E$7),IF(AND($J190="PONTUAL",MONTH($O190)=MONTH(AV$4)),AH190*(1+Macroindicadores!E$7),IF(AND($J190="PONTUAL",MONTH($O190)&lt;MONTH(AV$4)),MIN($AS190:AU190),IF(AND($I190="NOVO",MONTH($O190)&gt;MONTH(AV$4)),AH190,IF(MONTH($O190)&gt;MONTH(AV$4),AH190,IF(MONTH($O190)=MONTH(AV$4),AH190*(1+Macroindicadores!E$7),AU190)))))))))</f>
        <v>0</v>
      </c>
      <c r="AW190" s="39">
        <f>IF(ISBLANK(U190),"",IF(ISBLANK($O190),AI190,IF($J190="ANUAL",AI190*(1+Macroindicadores!F$7),IF(AND($I190="NOVO",MONTH($O190)=MONTH(AW$4)),AI190*(1+Macroindicadores!F$7),IF(AND($J190="PONTUAL",MONTH($O190)=MONTH(AW$4)),AI190*(1+Macroindicadores!F$7),IF(AND($J190="PONTUAL",MONTH($O190)&lt;MONTH(AW$4)),MIN($AS190:AV190),IF(AND($I190="NOVO",MONTH($O190)&gt;MONTH(AW$4)),AI190,IF(MONTH($O190)&gt;MONTH(AW$4),AI190,IF(MONTH($O190)=MONTH(AW$4),AI190*(1+Macroindicadores!F$7),AV190)))))))))</f>
        <v>0</v>
      </c>
      <c r="AX190" s="39">
        <f>IF(ISBLANK(V190),"",IF(ISBLANK($O190),AJ190,IF($J190="ANUAL",AJ190*(1+Macroindicadores!G$7),IF(AND($I190="NOVO",MONTH($O190)=MONTH(AX$4)),AJ190*(1+Macroindicadores!G$7),IF(AND($J190="PONTUAL",MONTH($O190)=MONTH(AX$4)),AJ190*(1+Macroindicadores!G$7),IF(AND($J190="PONTUAL",MONTH($O190)&lt;MONTH(AX$4)),MIN($AS190:AW190),IF(AND($I190="NOVO",MONTH($O190)&gt;MONTH(AX$4)),AJ190,IF(MONTH($O190)&gt;MONTH(AX$4),AJ190,IF(MONTH($O190)=MONTH(AX$4),AJ190*(1+Macroindicadores!G$7),AW190)))))))))</f>
        <v>0</v>
      </c>
      <c r="AY190" s="39">
        <f>IF(ISBLANK(W190),"",IF(ISBLANK($O190),AK190,IF($J190="ANUAL",AK190*(1+Macroindicadores!H$7),IF(AND($I190="NOVO",MONTH($O190)=MONTH(AY$4)),AK190*(1+Macroindicadores!H$7),IF(AND($J190="PONTUAL",MONTH($O190)=MONTH(AY$4)),AK190*(1+Macroindicadores!H$7),IF(AND($J190="PONTUAL",MONTH($O190)&lt;MONTH(AY$4)),MIN($AS190:AX190),IF(AND($I190="NOVO",MONTH($O190)&gt;MONTH(AY$4)),AK190,IF(MONTH($O190)&gt;MONTH(AY$4),AK190,IF(MONTH($O190)=MONTH(AY$4),AK190*(1+Macroindicadores!H$7),AX190)))))))))</f>
        <v>0</v>
      </c>
      <c r="AZ190" s="39">
        <f>IF(ISBLANK(X190),"",IF(ISBLANK($O190),AL190,IF($J190="ANUAL",AL190*(1+Macroindicadores!I$7),IF(AND($I190="NOVO",MONTH($O190)=MONTH(AZ$4)),AL190*(1+Macroindicadores!I$7),IF(AND($J190="PONTUAL",MONTH($O190)=MONTH(AZ$4)),AL190*(1+Macroindicadores!I$7),IF(AND($J190="PONTUAL",MONTH($O190)&lt;MONTH(AZ$4)),MIN($AS190:AY190),IF(AND($I190="NOVO",MONTH($O190)&gt;MONTH(AZ$4)),AL190,IF(MONTH($O190)&gt;MONTH(AZ$4),AL190,IF(MONTH($O190)=MONTH(AZ$4),AL190*(1+Macroindicadores!I$7),AY190)))))))))</f>
        <v>0</v>
      </c>
      <c r="BA190" s="39">
        <f>IF(ISBLANK(Y190),"",IF(ISBLANK($O190),AM190,IF($J190="ANUAL",AM190*(1+Macroindicadores!J$7),IF(AND($I190="NOVO",MONTH($O190)=MONTH(BA$4)),AM190*(1+Macroindicadores!J$7),IF(AND($J190="PONTUAL",MONTH($O190)=MONTH(BA$4)),AM190*(1+Macroindicadores!J$7),IF(AND($J190="PONTUAL",MONTH($O190)&lt;MONTH(BA$4)),MIN($AS190:AZ190),IF(AND($I190="NOVO",MONTH($O190)&gt;MONTH(BA$4)),AM190,IF(MONTH($O190)&gt;MONTH(BA$4),AM190,IF(MONTH($O190)=MONTH(BA$4),AM190*(1+Macroindicadores!J$7),AZ190)))))))))</f>
        <v>0</v>
      </c>
      <c r="BB190" s="39">
        <f>IF(ISBLANK(Z190),"",IF(ISBLANK($O190),AN190,IF($J190="ANUAL",AN190*(1+Macroindicadores!K$7),IF(AND($I190="NOVO",MONTH($O190)=MONTH(BB$4)),AN190*(1+Macroindicadores!K$7),IF(AND($J190="PONTUAL",MONTH($O190)=MONTH(BB$4)),AN190*(1+Macroindicadores!K$7),IF(AND($J190="PONTUAL",MONTH($O190)&lt;MONTH(BB$4)),MIN($AS190:BA190),IF(AND($I190="NOVO",MONTH($O190)&gt;MONTH(BB$4)),AN190,IF(MONTH($O190)&gt;MONTH(BB$4),AN190,IF(MONTH($O190)=MONTH(BB$4),AN190*(1+Macroindicadores!K$7),BA190)))))))))</f>
        <v>0</v>
      </c>
      <c r="BC190" s="39">
        <f>IF(ISBLANK(AA190),"",IF(ISBLANK($O190),AO190,IF($J190="ANUAL",AO190*(1+Macroindicadores!L$7),IF(AND($I190="NOVO",MONTH($O190)=MONTH(BC$4)),AO190*(1+Macroindicadores!L$7),IF(AND($J190="PONTUAL",MONTH($O190)=MONTH(BC$4)),AO190*(1+Macroindicadores!L$7),IF(AND($J190="PONTUAL",MONTH($O190)&lt;MONTH(BC$4)),MIN($AS190:BB190),IF(AND($I190="NOVO",MONTH($O190)&gt;MONTH(BC$4)),AO190,IF(MONTH($O190)&gt;MONTH(BC$4),AO190,IF(MONTH($O190)=MONTH(BC$4),AO190*(1+Macroindicadores!L$7),BB190)))))))))</f>
        <v>0</v>
      </c>
      <c r="BD190" s="39">
        <f>IF(ISBLANK(AB190),"",IF(ISBLANK($O190),AP190,IF($J190="ANUAL",AP190*(1+Macroindicadores!M$7),IF(AND($I190="NOVO",MONTH($O190)=MONTH(BD$4)),AP190*(1+Macroindicadores!M$7),IF(AND($J190="PONTUAL",MONTH($O190)=MONTH(BD$4)),AP190*(1+Macroindicadores!M$7),IF(AND($J190="PONTUAL",MONTH($O190)&lt;MONTH(BD$4)),MIN($AS190:BC190),IF(AND($I190="NOVO",MONTH($O190)&gt;MONTH(BD$4)),AP190,IF(MONTH($O190)&gt;MONTH(BD$4),AP190,IF(MONTH($O190)=MONTH(BD$4),AP190*(1+Macroindicadores!M$7),BC190)))))))))</f>
        <v>0</v>
      </c>
      <c r="BE190" s="40">
        <f t="shared" si="92"/>
        <v>0</v>
      </c>
      <c r="BG190" s="39">
        <f>IF(ISBLANK(Q190),"",AS190/Macroindicadores!B$2)</f>
        <v>0</v>
      </c>
      <c r="BH190" s="39">
        <f>IF(ISBLANK(R190),"",AT190/Macroindicadores!C$2)</f>
        <v>0</v>
      </c>
      <c r="BI190" s="39">
        <f>IF(ISBLANK(S190),"",AU190/Macroindicadores!D$2)</f>
        <v>0</v>
      </c>
      <c r="BJ190" s="39">
        <f>IF(ISBLANK(T190),"",AV190/Macroindicadores!E$2)</f>
        <v>0</v>
      </c>
      <c r="BK190" s="39">
        <f>IF(ISBLANK(U190),"",AW190/Macroindicadores!F$2)</f>
        <v>0</v>
      </c>
      <c r="BL190" s="39">
        <f>IF(ISBLANK(V190),"",AX190/Macroindicadores!G$2)</f>
        <v>0</v>
      </c>
      <c r="BM190" s="39">
        <f>IF(ISBLANK(W190),"",AY190/Macroindicadores!H$2)</f>
        <v>0</v>
      </c>
      <c r="BN190" s="39">
        <f>IF(ISBLANK(X190),"",AZ190/Macroindicadores!I$2)</f>
        <v>0</v>
      </c>
      <c r="BO190" s="39">
        <f>IF(ISBLANK(Y190),"",BA190/Macroindicadores!J$2)</f>
        <v>0</v>
      </c>
      <c r="BP190" s="39">
        <f>IF(ISBLANK(Z190),"",BB190/Macroindicadores!K$2)</f>
        <v>0</v>
      </c>
      <c r="BQ190" s="39">
        <f>IF(ISBLANK(AA190),"",BC190/Macroindicadores!L$2)</f>
        <v>0</v>
      </c>
      <c r="BR190" s="39">
        <f>IF(ISBLANK(AB190),"",BD190/Macroindicadores!M$2)</f>
        <v>0</v>
      </c>
      <c r="BS190" s="40">
        <f>IF(AND(ISBLANK($Q190),ISBLANK($R190),ISBLANK($S190),ISBLANK($T190),ISBLANK($U190),ISBLANK($V190),ISBLANK($W190),ISBLANK($X190),ISBLANK($Y190),ISBLANK($Z190),ISBLANK($AA190),ISBLANK($AB190)),"",SUM(BG190:BR190))</f>
        <v>0</v>
      </c>
      <c r="BT190" s="25" t="str">
        <f>IF(ISBLANK($L190),"",_xlfn.XLOOKUP($L190,'CENTRO CUSTO'!$A:$A,'CENTRO CUSTO'!$E:$E,FALSE,0))</f>
        <v>Custo Fixo</v>
      </c>
    </row>
    <row r="191" spans="1:72">
      <c r="A191" s="9" t="str">
        <f t="shared" si="80"/>
        <v>Budget</v>
      </c>
      <c r="B191" s="9">
        <f t="shared" si="77"/>
        <v>2026</v>
      </c>
      <c r="C191" s="18" t="str">
        <f>IF(ISBLANK($L191),"",_xlfn.XLOOKUP($L191,'CENTRO CUSTO'!$A:$A,'CENTRO CUSTO'!F:F,FALSE,0))</f>
        <v>SKM</v>
      </c>
      <c r="D191" s="111" t="str">
        <f>IF(ISBLANK($L191),"",_xlfn.XLOOKUP($L191,'CENTRO CUSTO'!$A:$A,'CENTRO CUSTO'!G:G,FALSE,0))</f>
        <v>G100B</v>
      </c>
      <c r="E191" s="18" t="str">
        <f>IF(ISBLANK($L191),"",_xlfn.XLOOKUP($L191,'CENTRO CUSTO'!$A:$A,'CENTRO CUSTO'!H:H,FALSE,0))</f>
        <v>Frigorífico</v>
      </c>
      <c r="F191" s="10" t="s">
        <v>186</v>
      </c>
      <c r="G191" s="10" t="s">
        <v>123</v>
      </c>
      <c r="H191" s="10" t="s">
        <v>187</v>
      </c>
      <c r="I191" s="11" t="s">
        <v>77</v>
      </c>
      <c r="J191" s="11" t="s">
        <v>78</v>
      </c>
      <c r="K191" s="11" t="s">
        <v>79</v>
      </c>
      <c r="L191" s="11" t="s">
        <v>48</v>
      </c>
      <c r="M191" s="18" t="str">
        <f>IF(ISBLANK($L191),"",_xlfn.XLOOKUP($L191,'CENTRO CUSTO'!$A:$A,'CENTRO CUSTO'!D:D,FALSE,0))</f>
        <v>Alexandre Ayabe</v>
      </c>
      <c r="N191" s="11" t="s">
        <v>91</v>
      </c>
      <c r="O191" s="12"/>
      <c r="P191" s="11" t="s">
        <v>81</v>
      </c>
      <c r="Q191" s="41">
        <v>0</v>
      </c>
      <c r="R191" s="41">
        <v>0</v>
      </c>
      <c r="S191" s="41">
        <v>0</v>
      </c>
      <c r="T191" s="41">
        <v>0</v>
      </c>
      <c r="U191" s="41">
        <v>0</v>
      </c>
      <c r="V191" s="41">
        <v>0</v>
      </c>
      <c r="W191" s="41">
        <v>0</v>
      </c>
      <c r="X191" s="41">
        <v>0</v>
      </c>
      <c r="Y191" s="41">
        <v>0</v>
      </c>
      <c r="Z191" s="41">
        <v>0</v>
      </c>
      <c r="AA191" s="41">
        <v>0</v>
      </c>
      <c r="AB191" s="41">
        <v>0</v>
      </c>
      <c r="AC191" s="116">
        <f t="shared" si="90"/>
        <v>0</v>
      </c>
      <c r="AE191" s="39">
        <f>IF(ISBLANK(Q191),"",IF($P191="BRL",Q191,Q191*Macroindicadores!B$2)/1000)</f>
        <v>0</v>
      </c>
      <c r="AF191" s="39">
        <f>IF(ISBLANK(R191),"",IF($P191="BRL",R191,R191*Macroindicadores!C$2)/1000)</f>
        <v>0</v>
      </c>
      <c r="AG191" s="39">
        <f>IF(ISBLANK(S191),"",IF($P191="BRL",S191,S191*Macroindicadores!D$2)/1000)</f>
        <v>0</v>
      </c>
      <c r="AH191" s="39">
        <f>IF(ISBLANK(T191),"",IF($P191="BRL",T191,T191*Macroindicadores!E$2)/1000)</f>
        <v>0</v>
      </c>
      <c r="AI191" s="39">
        <f>IF(ISBLANK(U191),"",IF($P191="BRL",U191,U191*Macroindicadores!F$2)/1000)</f>
        <v>0</v>
      </c>
      <c r="AJ191" s="39">
        <f>IF(ISBLANK(V191),"",IF($P191="BRL",V191,V191*Macroindicadores!G$2)/1000)</f>
        <v>0</v>
      </c>
      <c r="AK191" s="39">
        <f>IF(ISBLANK(W191),"",IF($P191="BRL",W191,W191*Macroindicadores!H$2)/1000)</f>
        <v>0</v>
      </c>
      <c r="AL191" s="39">
        <f>IF(ISBLANK(X191),"",IF($P191="BRL",X191,X191*Macroindicadores!I$2)/1000)</f>
        <v>0</v>
      </c>
      <c r="AM191" s="39">
        <f>IF(ISBLANK(Y191),"",IF($P191="BRL",Y191,Y191*Macroindicadores!J$2)/1000)</f>
        <v>0</v>
      </c>
      <c r="AN191" s="39">
        <f>IF(ISBLANK(Z191),"",IF($P191="BRL",Z191,Z191*Macroindicadores!K$2)/1000)</f>
        <v>0</v>
      </c>
      <c r="AO191" s="39">
        <f>IF(ISBLANK(AA191),"",IF($P191="BRL",AA191,AA191*Macroindicadores!L$2)/1000)</f>
        <v>0</v>
      </c>
      <c r="AP191" s="39">
        <f>IF(ISBLANK(AB191),"",IF($P191="BRL",AB191,AB191*Macroindicadores!M$2)/1000)</f>
        <v>0</v>
      </c>
      <c r="AQ191" s="40">
        <f t="shared" si="91"/>
        <v>0</v>
      </c>
      <c r="AS191" s="39">
        <f>IF(ISBLANK(Q191),"",IF(ISBLANK($O191),AE191,IF($J191="ANUAL",AE191*(1+Macroindicadores!B$7),IF(AND($I191="NOVO",MONTH($O191)=MONTH(AS$4)),AE191*(1+Macroindicadores!B$7),IF(AND($J191="PONTUAL",MONTH($O191)=MONTH(AS$4)),AE191*(1+Macroindicadores!B$7),IF(AND($J191="PONTUAL",MONTH($O191)&lt;MONTH(AS$4)),MIN(AR191:$AS191),IF(AND($I191="NOVO",MONTH($O191)&gt;MONTH(AS$4)),AE191,IF(MONTH($O191)&gt;MONTH(AS$4),AE191,IF(MONTH($O191)=MONTH(AS$4),AE191*(1+Macroindicadores!B$7),AR191)))))))))</f>
        <v>0</v>
      </c>
      <c r="AT191" s="39">
        <f>IF(ISBLANK(R191),"",IF(ISBLANK($O191),AF191,IF($J191="ANUAL",AF191*(1+Macroindicadores!C$7),IF(AND($I191="NOVO",MONTH($O191)=MONTH(AT$4)),AF191*(1+Macroindicadores!C$7),IF(AND($J191="PONTUAL",MONTH($O191)=MONTH(AT$4)),AF191*(1+Macroindicadores!C$7),IF(AND($J191="PONTUAL",MONTH($O191)&lt;MONTH(AT$4)),MIN($AS191:AS191),IF(AND($I191="NOVO",MONTH($O191)&gt;MONTH(AT$4)),AF191,IF(MONTH($O191)&gt;MONTH(AT$4),AF191,IF(MONTH($O191)=MONTH(AT$4),AF191*(1+Macroindicadores!C$7),AS191)))))))))</f>
        <v>0</v>
      </c>
      <c r="AU191" s="39">
        <f>IF(ISBLANK(S191),"",IF(ISBLANK($O191),AG191,IF($J191="ANUAL",AG191*(1+Macroindicadores!D$7),IF(AND($I191="NOVO",MONTH($O191)=MONTH(AU$4)),AG191*(1+Macroindicadores!D$7),IF(AND($J191="PONTUAL",MONTH($O191)=MONTH(AU$4)),AG191*(1+Macroindicadores!D$7),IF(AND($J191="PONTUAL",MONTH($O191)&lt;MONTH(AU$4)),MIN($AS191:AT191),IF(AND($I191="NOVO",MONTH($O191)&gt;MONTH(AU$4)),AG191,IF(MONTH($O191)&gt;MONTH(AU$4),AG191,IF(MONTH($O191)=MONTH(AU$4),AG191*(1+Macroindicadores!D$7),AT191)))))))))</f>
        <v>0</v>
      </c>
      <c r="AV191" s="39">
        <f>IF(ISBLANK(T191),"",IF(ISBLANK($O191),AH191,IF($J191="ANUAL",AH191*(1+Macroindicadores!E$7),IF(AND($I191="NOVO",MONTH($O191)=MONTH(AV$4)),AH191*(1+Macroindicadores!E$7),IF(AND($J191="PONTUAL",MONTH($O191)=MONTH(AV$4)),AH191*(1+Macroindicadores!E$7),IF(AND($J191="PONTUAL",MONTH($O191)&lt;MONTH(AV$4)),MIN($AS191:AU191),IF(AND($I191="NOVO",MONTH($O191)&gt;MONTH(AV$4)),AH191,IF(MONTH($O191)&gt;MONTH(AV$4),AH191,IF(MONTH($O191)=MONTH(AV$4),AH191*(1+Macroindicadores!E$7),AU191)))))))))</f>
        <v>0</v>
      </c>
      <c r="AW191" s="39">
        <f>IF(ISBLANK(U191),"",IF(ISBLANK($O191),AI191,IF($J191="ANUAL",AI191*(1+Macroindicadores!F$7),IF(AND($I191="NOVO",MONTH($O191)=MONTH(AW$4)),AI191*(1+Macroindicadores!F$7),IF(AND($J191="PONTUAL",MONTH($O191)=MONTH(AW$4)),AI191*(1+Macroindicadores!F$7),IF(AND($J191="PONTUAL",MONTH($O191)&lt;MONTH(AW$4)),MIN($AS191:AV191),IF(AND($I191="NOVO",MONTH($O191)&gt;MONTH(AW$4)),AI191,IF(MONTH($O191)&gt;MONTH(AW$4),AI191,IF(MONTH($O191)=MONTH(AW$4),AI191*(1+Macroindicadores!F$7),AV191)))))))))</f>
        <v>0</v>
      </c>
      <c r="AX191" s="39">
        <f>IF(ISBLANK(V191),"",IF(ISBLANK($O191),AJ191,IF($J191="ANUAL",AJ191*(1+Macroindicadores!G$7),IF(AND($I191="NOVO",MONTH($O191)=MONTH(AX$4)),AJ191*(1+Macroindicadores!G$7),IF(AND($J191="PONTUAL",MONTH($O191)=MONTH(AX$4)),AJ191*(1+Macroindicadores!G$7),IF(AND($J191="PONTUAL",MONTH($O191)&lt;MONTH(AX$4)),MIN($AS191:AW191),IF(AND($I191="NOVO",MONTH($O191)&gt;MONTH(AX$4)),AJ191,IF(MONTH($O191)&gt;MONTH(AX$4),AJ191,IF(MONTH($O191)=MONTH(AX$4),AJ191*(1+Macroindicadores!G$7),AW191)))))))))</f>
        <v>0</v>
      </c>
      <c r="AY191" s="39">
        <f>IF(ISBLANK(W191),"",IF(ISBLANK($O191),AK191,IF($J191="ANUAL",AK191*(1+Macroindicadores!H$7),IF(AND($I191="NOVO",MONTH($O191)=MONTH(AY$4)),AK191*(1+Macroindicadores!H$7),IF(AND($J191="PONTUAL",MONTH($O191)=MONTH(AY$4)),AK191*(1+Macroindicadores!H$7),IF(AND($J191="PONTUAL",MONTH($O191)&lt;MONTH(AY$4)),MIN($AS191:AX191),IF(AND($I191="NOVO",MONTH($O191)&gt;MONTH(AY$4)),AK191,IF(MONTH($O191)&gt;MONTH(AY$4),AK191,IF(MONTH($O191)=MONTH(AY$4),AK191*(1+Macroindicadores!H$7),AX191)))))))))</f>
        <v>0</v>
      </c>
      <c r="AZ191" s="39">
        <f>IF(ISBLANK(X191),"",IF(ISBLANK($O191),AL191,IF($J191="ANUAL",AL191*(1+Macroindicadores!I$7),IF(AND($I191="NOVO",MONTH($O191)=MONTH(AZ$4)),AL191*(1+Macroindicadores!I$7),IF(AND($J191="PONTUAL",MONTH($O191)=MONTH(AZ$4)),AL191*(1+Macroindicadores!I$7),IF(AND($J191="PONTUAL",MONTH($O191)&lt;MONTH(AZ$4)),MIN($AS191:AY191),IF(AND($I191="NOVO",MONTH($O191)&gt;MONTH(AZ$4)),AL191,IF(MONTH($O191)&gt;MONTH(AZ$4),AL191,IF(MONTH($O191)=MONTH(AZ$4),AL191*(1+Macroindicadores!I$7),AY191)))))))))</f>
        <v>0</v>
      </c>
      <c r="BA191" s="39">
        <f>IF(ISBLANK(Y191),"",IF(ISBLANK($O191),AM191,IF($J191="ANUAL",AM191*(1+Macroindicadores!J$7),IF(AND($I191="NOVO",MONTH($O191)=MONTH(BA$4)),AM191*(1+Macroindicadores!J$7),IF(AND($J191="PONTUAL",MONTH($O191)=MONTH(BA$4)),AM191*(1+Macroindicadores!J$7),IF(AND($J191="PONTUAL",MONTH($O191)&lt;MONTH(BA$4)),MIN($AS191:AZ191),IF(AND($I191="NOVO",MONTH($O191)&gt;MONTH(BA$4)),AM191,IF(MONTH($O191)&gt;MONTH(BA$4),AM191,IF(MONTH($O191)=MONTH(BA$4),AM191*(1+Macroindicadores!J$7),AZ191)))))))))</f>
        <v>0</v>
      </c>
      <c r="BB191" s="39">
        <f>IF(ISBLANK(Z191),"",IF(ISBLANK($O191),AN191,IF($J191="ANUAL",AN191*(1+Macroindicadores!K$7),IF(AND($I191="NOVO",MONTH($O191)=MONTH(BB$4)),AN191*(1+Macroindicadores!K$7),IF(AND($J191="PONTUAL",MONTH($O191)=MONTH(BB$4)),AN191*(1+Macroindicadores!K$7),IF(AND($J191="PONTUAL",MONTH($O191)&lt;MONTH(BB$4)),MIN($AS191:BA191),IF(AND($I191="NOVO",MONTH($O191)&gt;MONTH(BB$4)),AN191,IF(MONTH($O191)&gt;MONTH(BB$4),AN191,IF(MONTH($O191)=MONTH(BB$4),AN191*(1+Macroindicadores!K$7),BA191)))))))))</f>
        <v>0</v>
      </c>
      <c r="BC191" s="39">
        <f>IF(ISBLANK(AA191),"",IF(ISBLANK($O191),AO191,IF($J191="ANUAL",AO191*(1+Macroindicadores!L$7),IF(AND($I191="NOVO",MONTH($O191)=MONTH(BC$4)),AO191*(1+Macroindicadores!L$7),IF(AND($J191="PONTUAL",MONTH($O191)=MONTH(BC$4)),AO191*(1+Macroindicadores!L$7),IF(AND($J191="PONTUAL",MONTH($O191)&lt;MONTH(BC$4)),MIN($AS191:BB191),IF(AND($I191="NOVO",MONTH($O191)&gt;MONTH(BC$4)),AO191,IF(MONTH($O191)&gt;MONTH(BC$4),AO191,IF(MONTH($O191)=MONTH(BC$4),AO191*(1+Macroindicadores!L$7),BB191)))))))))</f>
        <v>0</v>
      </c>
      <c r="BD191" s="39">
        <f>IF(ISBLANK(AB191),"",IF(ISBLANK($O191),AP191,IF($J191="ANUAL",AP191*(1+Macroindicadores!M$7),IF(AND($I191="NOVO",MONTH($O191)=MONTH(BD$4)),AP191*(1+Macroindicadores!M$7),IF(AND($J191="PONTUAL",MONTH($O191)=MONTH(BD$4)),AP191*(1+Macroindicadores!M$7),IF(AND($J191="PONTUAL",MONTH($O191)&lt;MONTH(BD$4)),MIN($AS191:BC191),IF(AND($I191="NOVO",MONTH($O191)&gt;MONTH(BD$4)),AP191,IF(MONTH($O191)&gt;MONTH(BD$4),AP191,IF(MONTH($O191)=MONTH(BD$4),AP191*(1+Macroindicadores!M$7),BC191)))))))))</f>
        <v>0</v>
      </c>
      <c r="BE191" s="40">
        <f t="shared" si="92"/>
        <v>0</v>
      </c>
      <c r="BG191" s="39">
        <f>IF(ISBLANK(Q191),"",AS191/Macroindicadores!B$2)</f>
        <v>0</v>
      </c>
      <c r="BH191" s="39">
        <f>IF(ISBLANK(R191),"",AT191/Macroindicadores!C$2)</f>
        <v>0</v>
      </c>
      <c r="BI191" s="39">
        <f>IF(ISBLANK(S191),"",AU191/Macroindicadores!D$2)</f>
        <v>0</v>
      </c>
      <c r="BJ191" s="39">
        <f>IF(ISBLANK(T191),"",AV191/Macroindicadores!E$2)</f>
        <v>0</v>
      </c>
      <c r="BK191" s="39">
        <f>IF(ISBLANK(U191),"",AW191/Macroindicadores!F$2)</f>
        <v>0</v>
      </c>
      <c r="BL191" s="39">
        <f>IF(ISBLANK(V191),"",AX191/Macroindicadores!G$2)</f>
        <v>0</v>
      </c>
      <c r="BM191" s="39">
        <f>IF(ISBLANK(W191),"",AY191/Macroindicadores!H$2)</f>
        <v>0</v>
      </c>
      <c r="BN191" s="39">
        <f>IF(ISBLANK(X191),"",AZ191/Macroindicadores!I$2)</f>
        <v>0</v>
      </c>
      <c r="BO191" s="39">
        <f>IF(ISBLANK(Y191),"",BA191/Macroindicadores!J$2)</f>
        <v>0</v>
      </c>
      <c r="BP191" s="39">
        <f>IF(ISBLANK(Z191),"",BB191/Macroindicadores!K$2)</f>
        <v>0</v>
      </c>
      <c r="BQ191" s="39">
        <f>IF(ISBLANK(AA191),"",BC191/Macroindicadores!L$2)</f>
        <v>0</v>
      </c>
      <c r="BR191" s="39">
        <f>IF(ISBLANK(AB191),"",BD191/Macroindicadores!M$2)</f>
        <v>0</v>
      </c>
      <c r="BS191" s="40">
        <f>IF(AND(ISBLANK($Q191),ISBLANK($R191),ISBLANK($S191),ISBLANK($T191),ISBLANK($U191),ISBLANK($V191),ISBLANK($W191),ISBLANK($X191),ISBLANK($Y191),ISBLANK($Z191),ISBLANK($AA191),ISBLANK($AB191)),"",SUM(BG191:BR191))</f>
        <v>0</v>
      </c>
      <c r="BT191" s="25" t="str">
        <f>IF(ISBLANK($L191),"",_xlfn.XLOOKUP($L191,'CENTRO CUSTO'!$A:$A,'CENTRO CUSTO'!$E:$E,FALSE,0))</f>
        <v>Custo Fixo</v>
      </c>
    </row>
    <row r="192" spans="1:72">
      <c r="A192" s="9" t="str">
        <f t="shared" si="80"/>
        <v>Budget</v>
      </c>
      <c r="B192" s="9">
        <f t="shared" si="77"/>
        <v>2026</v>
      </c>
      <c r="C192" s="18" t="str">
        <f>IF(ISBLANK($L192),"",_xlfn.XLOOKUP($L192,'CENTRO CUSTO'!$A:$A,'CENTRO CUSTO'!F:F,FALSE,0))</f>
        <v>Transporte</v>
      </c>
      <c r="D192" s="111" t="str">
        <f>IF(ISBLANK($L192),"",_xlfn.XLOOKUP($L192,'CENTRO CUSTO'!$A:$A,'CENTRO CUSTO'!G:G,FALSE,0))</f>
        <v>BU-TR</v>
      </c>
      <c r="E192" s="18" t="str">
        <f>IF(ISBLANK($L192),"",_xlfn.XLOOKUP($L192,'CENTRO CUSTO'!$A:$A,'CENTRO CUSTO'!H:H,FALSE,0))</f>
        <v>G&amp;A</v>
      </c>
      <c r="F192" s="10" t="s">
        <v>188</v>
      </c>
      <c r="G192" s="10" t="s">
        <v>75</v>
      </c>
      <c r="H192" s="10" t="s">
        <v>189</v>
      </c>
      <c r="I192" s="11" t="s">
        <v>77</v>
      </c>
      <c r="J192" s="11" t="s">
        <v>78</v>
      </c>
      <c r="K192" s="11" t="s">
        <v>79</v>
      </c>
      <c r="L192" s="11" t="s">
        <v>38</v>
      </c>
      <c r="M192" s="18" t="str">
        <f>IF(ISBLANK($L192),"",_xlfn.XLOOKUP($L192,'CENTRO CUSTO'!$A:$A,'CENTRO CUSTO'!D:D,FALSE,0))</f>
        <v>Alexandre Ayabe</v>
      </c>
      <c r="N192" s="11" t="s">
        <v>87</v>
      </c>
      <c r="O192" s="12"/>
      <c r="P192" s="11" t="s">
        <v>81</v>
      </c>
      <c r="Q192" s="41">
        <v>390</v>
      </c>
      <c r="R192" s="41">
        <v>390</v>
      </c>
      <c r="S192" s="41">
        <v>390</v>
      </c>
      <c r="T192" s="41">
        <v>390</v>
      </c>
      <c r="U192" s="41">
        <v>390</v>
      </c>
      <c r="V192" s="41">
        <v>390</v>
      </c>
      <c r="W192" s="41">
        <v>390</v>
      </c>
      <c r="X192" s="41">
        <v>390</v>
      </c>
      <c r="Y192" s="41">
        <v>390</v>
      </c>
      <c r="Z192" s="41">
        <v>390</v>
      </c>
      <c r="AA192" s="41">
        <v>390</v>
      </c>
      <c r="AB192" s="41">
        <v>390</v>
      </c>
      <c r="AC192" s="116">
        <f t="shared" si="90"/>
        <v>4680</v>
      </c>
      <c r="AE192" s="39">
        <f>IF(ISBLANK(Q192),"",IF($P192="BRL",Q192,Q192*Macroindicadores!B$2)/1000)</f>
        <v>0.39</v>
      </c>
      <c r="AF192" s="39">
        <f>IF(ISBLANK(R192),"",IF($P192="BRL",R192,R192*Macroindicadores!C$2)/1000)</f>
        <v>0.39</v>
      </c>
      <c r="AG192" s="39">
        <f>IF(ISBLANK(S192),"",IF($P192="BRL",S192,S192*Macroindicadores!D$2)/1000)</f>
        <v>0.39</v>
      </c>
      <c r="AH192" s="39">
        <f>IF(ISBLANK(T192),"",IF($P192="BRL",T192,T192*Macroindicadores!E$2)/1000)</f>
        <v>0.39</v>
      </c>
      <c r="AI192" s="39">
        <f>IF(ISBLANK(U192),"",IF($P192="BRL",U192,U192*Macroindicadores!F$2)/1000)</f>
        <v>0.39</v>
      </c>
      <c r="AJ192" s="39">
        <f>IF(ISBLANK(V192),"",IF($P192="BRL",V192,V192*Macroindicadores!G$2)/1000)</f>
        <v>0.39</v>
      </c>
      <c r="AK192" s="39">
        <f>IF(ISBLANK(W192),"",IF($P192="BRL",W192,W192*Macroindicadores!H$2)/1000)</f>
        <v>0.39</v>
      </c>
      <c r="AL192" s="39">
        <f>IF(ISBLANK(X192),"",IF($P192="BRL",X192,X192*Macroindicadores!I$2)/1000)</f>
        <v>0.39</v>
      </c>
      <c r="AM192" s="39">
        <f>IF(ISBLANK(Y192),"",IF($P192="BRL",Y192,Y192*Macroindicadores!J$2)/1000)</f>
        <v>0.39</v>
      </c>
      <c r="AN192" s="39">
        <f>IF(ISBLANK(Z192),"",IF($P192="BRL",Z192,Z192*Macroindicadores!K$2)/1000)</f>
        <v>0.39</v>
      </c>
      <c r="AO192" s="39">
        <f>IF(ISBLANK(AA192),"",IF($P192="BRL",AA192,AA192*Macroindicadores!L$2)/1000)</f>
        <v>0.39</v>
      </c>
      <c r="AP192" s="39">
        <f>IF(ISBLANK(AB192),"",IF($P192="BRL",AB192,AB192*Macroindicadores!M$2)/1000)</f>
        <v>0.39</v>
      </c>
      <c r="AQ192" s="40">
        <f t="shared" si="91"/>
        <v>4.6800000000000006</v>
      </c>
      <c r="AS192" s="39">
        <f>IF(ISBLANK(Q192),"",IF(ISBLANK($O192),AE192,IF($J192="ANUAL",AE192*(1+Macroindicadores!B$7),IF(AND($I192="NOVO",MONTH($O192)=MONTH(AS$4)),AE192*(1+Macroindicadores!B$7),IF(AND($J192="PONTUAL",MONTH($O192)=MONTH(AS$4)),AE192*(1+Macroindicadores!B$7),IF(AND($J192="PONTUAL",MONTH($O192)&lt;MONTH(AS$4)),MIN(AR192:$AS192),IF(AND($I192="NOVO",MONTH($O192)&gt;MONTH(AS$4)),AE192,IF(MONTH($O192)&gt;MONTH(AS$4),AE192,IF(MONTH($O192)=MONTH(AS$4),AE192*(1+Macroindicadores!B$7),AR192)))))))))</f>
        <v>0.39</v>
      </c>
      <c r="AT192" s="39">
        <f>IF(ISBLANK(R192),"",IF(ISBLANK($O192),AF192,IF($J192="ANUAL",AF192*(1+Macroindicadores!C$7),IF(AND($I192="NOVO",MONTH($O192)=MONTH(AT$4)),AF192*(1+Macroindicadores!C$7),IF(AND($J192="PONTUAL",MONTH($O192)=MONTH(AT$4)),AF192*(1+Macroindicadores!C$7),IF(AND($J192="PONTUAL",MONTH($O192)&lt;MONTH(AT$4)),MIN($AS192:AS192),IF(AND($I192="NOVO",MONTH($O192)&gt;MONTH(AT$4)),AF192,IF(MONTH($O192)&gt;MONTH(AT$4),AF192,IF(MONTH($O192)=MONTH(AT$4),AF192*(1+Macroindicadores!C$7),AS192)))))))))</f>
        <v>0.39</v>
      </c>
      <c r="AU192" s="39">
        <f>IF(ISBLANK(S192),"",IF(ISBLANK($O192),AG192,IF($J192="ANUAL",AG192*(1+Macroindicadores!D$7),IF(AND($I192="NOVO",MONTH($O192)=MONTH(AU$4)),AG192*(1+Macroindicadores!D$7),IF(AND($J192="PONTUAL",MONTH($O192)=MONTH(AU$4)),AG192*(1+Macroindicadores!D$7),IF(AND($J192="PONTUAL",MONTH($O192)&lt;MONTH(AU$4)),MIN($AS192:AT192),IF(AND($I192="NOVO",MONTH($O192)&gt;MONTH(AU$4)),AG192,IF(MONTH($O192)&gt;MONTH(AU$4),AG192,IF(MONTH($O192)=MONTH(AU$4),AG192*(1+Macroindicadores!D$7),AT192)))))))))</f>
        <v>0.39</v>
      </c>
      <c r="AV192" s="39">
        <f>IF(ISBLANK(T192),"",IF(ISBLANK($O192),AH192,IF($J192="ANUAL",AH192*(1+Macroindicadores!E$7),IF(AND($I192="NOVO",MONTH($O192)=MONTH(AV$4)),AH192*(1+Macroindicadores!E$7),IF(AND($J192="PONTUAL",MONTH($O192)=MONTH(AV$4)),AH192*(1+Macroindicadores!E$7),IF(AND($J192="PONTUAL",MONTH($O192)&lt;MONTH(AV$4)),MIN($AS192:AU192),IF(AND($I192="NOVO",MONTH($O192)&gt;MONTH(AV$4)),AH192,IF(MONTH($O192)&gt;MONTH(AV$4),AH192,IF(MONTH($O192)=MONTH(AV$4),AH192*(1+Macroindicadores!E$7),AU192)))))))))</f>
        <v>0.39</v>
      </c>
      <c r="AW192" s="39">
        <f>IF(ISBLANK(U192),"",IF(ISBLANK($O192),AI192,IF($J192="ANUAL",AI192*(1+Macroindicadores!F$7),IF(AND($I192="NOVO",MONTH($O192)=MONTH(AW$4)),AI192*(1+Macroindicadores!F$7),IF(AND($J192="PONTUAL",MONTH($O192)=MONTH(AW$4)),AI192*(1+Macroindicadores!F$7),IF(AND($J192="PONTUAL",MONTH($O192)&lt;MONTH(AW$4)),MIN($AS192:AV192),IF(AND($I192="NOVO",MONTH($O192)&gt;MONTH(AW$4)),AI192,IF(MONTH($O192)&gt;MONTH(AW$4),AI192,IF(MONTH($O192)=MONTH(AW$4),AI192*(1+Macroindicadores!F$7),AV192)))))))))</f>
        <v>0.39</v>
      </c>
      <c r="AX192" s="39">
        <f>IF(ISBLANK(V192),"",IF(ISBLANK($O192),AJ192,IF($J192="ANUAL",AJ192*(1+Macroindicadores!G$7),IF(AND($I192="NOVO",MONTH($O192)=MONTH(AX$4)),AJ192*(1+Macroindicadores!G$7),IF(AND($J192="PONTUAL",MONTH($O192)=MONTH(AX$4)),AJ192*(1+Macroindicadores!G$7),IF(AND($J192="PONTUAL",MONTH($O192)&lt;MONTH(AX$4)),MIN($AS192:AW192),IF(AND($I192="NOVO",MONTH($O192)&gt;MONTH(AX$4)),AJ192,IF(MONTH($O192)&gt;MONTH(AX$4),AJ192,IF(MONTH($O192)=MONTH(AX$4),AJ192*(1+Macroindicadores!G$7),AW192)))))))))</f>
        <v>0.39</v>
      </c>
      <c r="AY192" s="39">
        <f>IF(ISBLANK(W192),"",IF(ISBLANK($O192),AK192,IF($J192="ANUAL",AK192*(1+Macroindicadores!H$7),IF(AND($I192="NOVO",MONTH($O192)=MONTH(AY$4)),AK192*(1+Macroindicadores!H$7),IF(AND($J192="PONTUAL",MONTH($O192)=MONTH(AY$4)),AK192*(1+Macroindicadores!H$7),IF(AND($J192="PONTUAL",MONTH($O192)&lt;MONTH(AY$4)),MIN($AS192:AX192),IF(AND($I192="NOVO",MONTH($O192)&gt;MONTH(AY$4)),AK192,IF(MONTH($O192)&gt;MONTH(AY$4),AK192,IF(MONTH($O192)=MONTH(AY$4),AK192*(1+Macroindicadores!H$7),AX192)))))))))</f>
        <v>0.39</v>
      </c>
      <c r="AZ192" s="39">
        <f>IF(ISBLANK(X192),"",IF(ISBLANK($O192),AL192,IF($J192="ANUAL",AL192*(1+Macroindicadores!I$7),IF(AND($I192="NOVO",MONTH($O192)=MONTH(AZ$4)),AL192*(1+Macroindicadores!I$7),IF(AND($J192="PONTUAL",MONTH($O192)=MONTH(AZ$4)),AL192*(1+Macroindicadores!I$7),IF(AND($J192="PONTUAL",MONTH($O192)&lt;MONTH(AZ$4)),MIN($AS192:AY192),IF(AND($I192="NOVO",MONTH($O192)&gt;MONTH(AZ$4)),AL192,IF(MONTH($O192)&gt;MONTH(AZ$4),AL192,IF(MONTH($O192)=MONTH(AZ$4),AL192*(1+Macroindicadores!I$7),AY192)))))))))</f>
        <v>0.39</v>
      </c>
      <c r="BA192" s="39">
        <f>IF(ISBLANK(Y192),"",IF(ISBLANK($O192),AM192,IF($J192="ANUAL",AM192*(1+Macroindicadores!J$7),IF(AND($I192="NOVO",MONTH($O192)=MONTH(BA$4)),AM192*(1+Macroindicadores!J$7),IF(AND($J192="PONTUAL",MONTH($O192)=MONTH(BA$4)),AM192*(1+Macroindicadores!J$7),IF(AND($J192="PONTUAL",MONTH($O192)&lt;MONTH(BA$4)),MIN($AS192:AZ192),IF(AND($I192="NOVO",MONTH($O192)&gt;MONTH(BA$4)),AM192,IF(MONTH($O192)&gt;MONTH(BA$4),AM192,IF(MONTH($O192)=MONTH(BA$4),AM192*(1+Macroindicadores!J$7),AZ192)))))))))</f>
        <v>0.39</v>
      </c>
      <c r="BB192" s="39">
        <f>IF(ISBLANK(Z192),"",IF(ISBLANK($O192),AN192,IF($J192="ANUAL",AN192*(1+Macroindicadores!K$7),IF(AND($I192="NOVO",MONTH($O192)=MONTH(BB$4)),AN192*(1+Macroindicadores!K$7),IF(AND($J192="PONTUAL",MONTH($O192)=MONTH(BB$4)),AN192*(1+Macroindicadores!K$7),IF(AND($J192="PONTUAL",MONTH($O192)&lt;MONTH(BB$4)),MIN($AS192:BA192),IF(AND($I192="NOVO",MONTH($O192)&gt;MONTH(BB$4)),AN192,IF(MONTH($O192)&gt;MONTH(BB$4),AN192,IF(MONTH($O192)=MONTH(BB$4),AN192*(1+Macroindicadores!K$7),BA192)))))))))</f>
        <v>0.39</v>
      </c>
      <c r="BC192" s="39">
        <f>IF(ISBLANK(AA192),"",IF(ISBLANK($O192),AO192,IF($J192="ANUAL",AO192*(1+Macroindicadores!L$7),IF(AND($I192="NOVO",MONTH($O192)=MONTH(BC$4)),AO192*(1+Macroindicadores!L$7),IF(AND($J192="PONTUAL",MONTH($O192)=MONTH(BC$4)),AO192*(1+Macroindicadores!L$7),IF(AND($J192="PONTUAL",MONTH($O192)&lt;MONTH(BC$4)),MIN($AS192:BB192),IF(AND($I192="NOVO",MONTH($O192)&gt;MONTH(BC$4)),AO192,IF(MONTH($O192)&gt;MONTH(BC$4),AO192,IF(MONTH($O192)=MONTH(BC$4),AO192*(1+Macroindicadores!L$7),BB192)))))))))</f>
        <v>0.39</v>
      </c>
      <c r="BD192" s="39">
        <f>IF(ISBLANK(AB192),"",IF(ISBLANK($O192),AP192,IF($J192="ANUAL",AP192*(1+Macroindicadores!M$7),IF(AND($I192="NOVO",MONTH($O192)=MONTH(BD$4)),AP192*(1+Macroindicadores!M$7),IF(AND($J192="PONTUAL",MONTH($O192)=MONTH(BD$4)),AP192*(1+Macroindicadores!M$7),IF(AND($J192="PONTUAL",MONTH($O192)&lt;MONTH(BD$4)),MIN($AS192:BC192),IF(AND($I192="NOVO",MONTH($O192)&gt;MONTH(BD$4)),AP192,IF(MONTH($O192)&gt;MONTH(BD$4),AP192,IF(MONTH($O192)=MONTH(BD$4),AP192*(1+Macroindicadores!M$7),BC192)))))))))</f>
        <v>0.39</v>
      </c>
      <c r="BE192" s="40">
        <f t="shared" si="92"/>
        <v>4.6800000000000006</v>
      </c>
      <c r="BG192" s="39">
        <f>IF(ISBLANK(Q192),"",AS192/Macroindicadores!B$2)</f>
        <v>6.6326530612244902E-2</v>
      </c>
      <c r="BH192" s="39">
        <f>IF(ISBLANK(R192),"",AT192/Macroindicadores!C$2)</f>
        <v>6.6326530612244902E-2</v>
      </c>
      <c r="BI192" s="39">
        <f>IF(ISBLANK(S192),"",AU192/Macroindicadores!D$2)</f>
        <v>6.6326530612244902E-2</v>
      </c>
      <c r="BJ192" s="39">
        <f>IF(ISBLANK(T192),"",AV192/Macroindicadores!E$2)</f>
        <v>6.6326530612244902E-2</v>
      </c>
      <c r="BK192" s="39">
        <f>IF(ISBLANK(U192),"",AW192/Macroindicadores!F$2)</f>
        <v>6.6326530612244902E-2</v>
      </c>
      <c r="BL192" s="39">
        <f>IF(ISBLANK(V192),"",AX192/Macroindicadores!G$2)</f>
        <v>6.6326530612244902E-2</v>
      </c>
      <c r="BM192" s="39">
        <f>IF(ISBLANK(W192),"",AY192/Macroindicadores!H$2)</f>
        <v>6.6326530612244902E-2</v>
      </c>
      <c r="BN192" s="39">
        <f>IF(ISBLANK(X192),"",AZ192/Macroindicadores!I$2)</f>
        <v>6.6326530612244902E-2</v>
      </c>
      <c r="BO192" s="39">
        <f>IF(ISBLANK(Y192),"",BA192/Macroindicadores!J$2)</f>
        <v>6.6326530612244902E-2</v>
      </c>
      <c r="BP192" s="39">
        <f>IF(ISBLANK(Z192),"",BB192/Macroindicadores!K$2)</f>
        <v>6.6326530612244902E-2</v>
      </c>
      <c r="BQ192" s="39">
        <f>IF(ISBLANK(AA192),"",BC192/Macroindicadores!L$2)</f>
        <v>6.6326530612244902E-2</v>
      </c>
      <c r="BR192" s="39">
        <f>IF(ISBLANK(AB192),"",BD192/Macroindicadores!M$2)</f>
        <v>6.6326530612244902E-2</v>
      </c>
      <c r="BS192" s="40">
        <f>IF(AND(ISBLANK($Q192),ISBLANK($R192),ISBLANK($S192),ISBLANK($T192),ISBLANK($U192),ISBLANK($V192),ISBLANK($W192),ISBLANK($X192),ISBLANK($Y192),ISBLANK($Z192),ISBLANK($AA192),ISBLANK($AB192)),"",SUM(BG192:BR192))</f>
        <v>0.79591836734693888</v>
      </c>
      <c r="BT192" s="25" t="str">
        <f>IF(ISBLANK($L192),"",_xlfn.XLOOKUP($L192,'CENTRO CUSTO'!$A:$A,'CENTRO CUSTO'!$E:$E,FALSE,0))</f>
        <v>G&amp;A BU</v>
      </c>
    </row>
    <row r="193" spans="1:72">
      <c r="A193" s="9" t="str">
        <f t="shared" si="80"/>
        <v>Budget</v>
      </c>
      <c r="B193" s="9">
        <f t="shared" si="77"/>
        <v>2026</v>
      </c>
      <c r="C193" s="18" t="str">
        <f>IF(ISBLANK($L193),"",_xlfn.XLOOKUP($L193,'CENTRO CUSTO'!$A:$A,'CENTRO CUSTO'!F:F,FALSE,0))</f>
        <v>Transporte</v>
      </c>
      <c r="D193" s="111" t="str">
        <f>IF(ISBLANK($L193),"",_xlfn.XLOOKUP($L193,'CENTRO CUSTO'!$A:$A,'CENTRO CUSTO'!G:G,FALSE,0))</f>
        <v>Transportes</v>
      </c>
      <c r="E193" s="18" t="str">
        <f>IF(ISBLANK($L193),"",_xlfn.XLOOKUP($L193,'CENTRO CUSTO'!$A:$A,'CENTRO CUSTO'!H:H,FALSE,0))</f>
        <v>Transportes</v>
      </c>
      <c r="F193" s="10" t="s">
        <v>190</v>
      </c>
      <c r="G193" s="10" t="s">
        <v>75</v>
      </c>
      <c r="H193" s="10" t="s">
        <v>191</v>
      </c>
      <c r="I193" s="11" t="s">
        <v>77</v>
      </c>
      <c r="J193" s="11" t="s">
        <v>78</v>
      </c>
      <c r="K193" s="11" t="s">
        <v>79</v>
      </c>
      <c r="L193" s="11" t="s">
        <v>111</v>
      </c>
      <c r="M193" s="18" t="str">
        <f>IF(ISBLANK($L193),"",_xlfn.XLOOKUP($L193,'CENTRO CUSTO'!$A:$A,'CENTRO CUSTO'!D:D,FALSE,0))</f>
        <v>Alexandre Ayabe</v>
      </c>
      <c r="N193" s="11" t="s">
        <v>87</v>
      </c>
      <c r="O193" s="12"/>
      <c r="P193" s="11" t="s">
        <v>81</v>
      </c>
      <c r="Q193" s="41">
        <v>3000</v>
      </c>
      <c r="R193" s="41">
        <v>3000</v>
      </c>
      <c r="S193" s="41">
        <v>3000</v>
      </c>
      <c r="T193" s="41">
        <v>3000</v>
      </c>
      <c r="U193" s="41">
        <v>3000</v>
      </c>
      <c r="V193" s="41">
        <v>3000</v>
      </c>
      <c r="W193" s="41">
        <v>3000</v>
      </c>
      <c r="X193" s="41">
        <v>3000</v>
      </c>
      <c r="Y193" s="41">
        <v>3000</v>
      </c>
      <c r="Z193" s="41">
        <v>3000</v>
      </c>
      <c r="AA193" s="41">
        <v>3000</v>
      </c>
      <c r="AB193" s="41">
        <v>3000</v>
      </c>
      <c r="AC193" s="116">
        <f t="shared" si="73"/>
        <v>36000</v>
      </c>
      <c r="AE193" s="39">
        <f>IF(ISBLANK(Q193),"",IF($P193="BRL",Q193,Q193*Macroindicadores!B$2)/1000)</f>
        <v>3</v>
      </c>
      <c r="AF193" s="39">
        <f>IF(ISBLANK(R193),"",IF($P193="BRL",R193,R193*Macroindicadores!C$2)/1000)</f>
        <v>3</v>
      </c>
      <c r="AG193" s="39">
        <f>IF(ISBLANK(S193),"",IF($P193="BRL",S193,S193*Macroindicadores!D$2)/1000)</f>
        <v>3</v>
      </c>
      <c r="AH193" s="39">
        <f>IF(ISBLANK(T193),"",IF($P193="BRL",T193,T193*Macroindicadores!E$2)/1000)</f>
        <v>3</v>
      </c>
      <c r="AI193" s="39">
        <f>IF(ISBLANK(U193),"",IF($P193="BRL",U193,U193*Macroindicadores!F$2)/1000)</f>
        <v>3</v>
      </c>
      <c r="AJ193" s="39">
        <f>IF(ISBLANK(V193),"",IF($P193="BRL",V193,V193*Macroindicadores!G$2)/1000)</f>
        <v>3</v>
      </c>
      <c r="AK193" s="39">
        <f>IF(ISBLANK(W193),"",IF($P193="BRL",W193,W193*Macroindicadores!H$2)/1000)</f>
        <v>3</v>
      </c>
      <c r="AL193" s="39">
        <f>IF(ISBLANK(X193),"",IF($P193="BRL",X193,X193*Macroindicadores!I$2)/1000)</f>
        <v>3</v>
      </c>
      <c r="AM193" s="39">
        <f>IF(ISBLANK(Y193),"",IF($P193="BRL",Y193,Y193*Macroindicadores!J$2)/1000)</f>
        <v>3</v>
      </c>
      <c r="AN193" s="39">
        <f>IF(ISBLANK(Z193),"",IF($P193="BRL",Z193,Z193*Macroindicadores!K$2)/1000)</f>
        <v>3</v>
      </c>
      <c r="AO193" s="39">
        <f>IF(ISBLANK(AA193),"",IF($P193="BRL",AA193,AA193*Macroindicadores!L$2)/1000)</f>
        <v>3</v>
      </c>
      <c r="AP193" s="39">
        <f>IF(ISBLANK(AB193),"",IF($P193="BRL",AB193,AB193*Macroindicadores!M$2)/1000)</f>
        <v>3</v>
      </c>
      <c r="AQ193" s="40">
        <f t="shared" si="79"/>
        <v>36</v>
      </c>
      <c r="AS193" s="39">
        <f>IF(ISBLANK(Q193),"",IF(ISBLANK($O193),AE193,IF($J193="ANUAL",AE193*(1+Macroindicadores!B$7),IF(AND($I193="NOVO",MONTH($O193)=MONTH(AS$4)),AE193*(1+Macroindicadores!B$7),IF(AND($J193="PONTUAL",MONTH($O193)=MONTH(AS$4)),AE193*(1+Macroindicadores!B$7),IF(AND($J193="PONTUAL",MONTH($O193)&lt;MONTH(AS$4)),MIN(AR193:$AS193),IF(AND($I193="NOVO",MONTH($O193)&gt;MONTH(AS$4)),AE193,IF(MONTH($O193)&gt;MONTH(AS$4),AE193,IF(MONTH($O193)=MONTH(AS$4),AE193*(1+Macroindicadores!B$7),AR193)))))))))</f>
        <v>3</v>
      </c>
      <c r="AT193" s="39">
        <f>IF(ISBLANK(R193),"",IF(ISBLANK($O193),AF193,IF($J193="ANUAL",AF193*(1+Macroindicadores!C$7),IF(AND($I193="NOVO",MONTH($O193)=MONTH(AT$4)),AF193*(1+Macroindicadores!C$7),IF(AND($J193="PONTUAL",MONTH($O193)=MONTH(AT$4)),AF193*(1+Macroindicadores!C$7),IF(AND($J193="PONTUAL",MONTH($O193)&lt;MONTH(AT$4)),MIN($AS193:AS193),IF(AND($I193="NOVO",MONTH($O193)&gt;MONTH(AT$4)),AF193,IF(MONTH($O193)&gt;MONTH(AT$4),AF193,IF(MONTH($O193)=MONTH(AT$4),AF193*(1+Macroindicadores!C$7),AS193)))))))))</f>
        <v>3</v>
      </c>
      <c r="AU193" s="39">
        <f>IF(ISBLANK(S193),"",IF(ISBLANK($O193),AG193,IF($J193="ANUAL",AG193*(1+Macroindicadores!D$7),IF(AND($I193="NOVO",MONTH($O193)=MONTH(AU$4)),AG193*(1+Macroindicadores!D$7),IF(AND($J193="PONTUAL",MONTH($O193)=MONTH(AU$4)),AG193*(1+Macroindicadores!D$7),IF(AND($J193="PONTUAL",MONTH($O193)&lt;MONTH(AU$4)),MIN($AS193:AT193),IF(AND($I193="NOVO",MONTH($O193)&gt;MONTH(AU$4)),AG193,IF(MONTH($O193)&gt;MONTH(AU$4),AG193,IF(MONTH($O193)=MONTH(AU$4),AG193*(1+Macroindicadores!D$7),AT193)))))))))</f>
        <v>3</v>
      </c>
      <c r="AV193" s="39">
        <f>IF(ISBLANK(T193),"",IF(ISBLANK($O193),AH193,IF($J193="ANUAL",AH193*(1+Macroindicadores!E$7),IF(AND($I193="NOVO",MONTH($O193)=MONTH(AV$4)),AH193*(1+Macroindicadores!E$7),IF(AND($J193="PONTUAL",MONTH($O193)=MONTH(AV$4)),AH193*(1+Macroindicadores!E$7),IF(AND($J193="PONTUAL",MONTH($O193)&lt;MONTH(AV$4)),MIN($AS193:AU193),IF(AND($I193="NOVO",MONTH($O193)&gt;MONTH(AV$4)),AH193,IF(MONTH($O193)&gt;MONTH(AV$4),AH193,IF(MONTH($O193)=MONTH(AV$4),AH193*(1+Macroindicadores!E$7),AU193)))))))))</f>
        <v>3</v>
      </c>
      <c r="AW193" s="39">
        <f>IF(ISBLANK(U193),"",IF(ISBLANK($O193),AI193,IF($J193="ANUAL",AI193*(1+Macroindicadores!F$7),IF(AND($I193="NOVO",MONTH($O193)=MONTH(AW$4)),AI193*(1+Macroindicadores!F$7),IF(AND($J193="PONTUAL",MONTH($O193)=MONTH(AW$4)),AI193*(1+Macroindicadores!F$7),IF(AND($J193="PONTUAL",MONTH($O193)&lt;MONTH(AW$4)),MIN($AS193:AV193),IF(AND($I193="NOVO",MONTH($O193)&gt;MONTH(AW$4)),AI193,IF(MONTH($O193)&gt;MONTH(AW$4),AI193,IF(MONTH($O193)=MONTH(AW$4),AI193*(1+Macroindicadores!F$7),AV193)))))))))</f>
        <v>3</v>
      </c>
      <c r="AX193" s="39">
        <f>IF(ISBLANK(V193),"",IF(ISBLANK($O193),AJ193,IF($J193="ANUAL",AJ193*(1+Macroindicadores!G$7),IF(AND($I193="NOVO",MONTH($O193)=MONTH(AX$4)),AJ193*(1+Macroindicadores!G$7),IF(AND($J193="PONTUAL",MONTH($O193)=MONTH(AX$4)),AJ193*(1+Macroindicadores!G$7),IF(AND($J193="PONTUAL",MONTH($O193)&lt;MONTH(AX$4)),MIN($AS193:AW193),IF(AND($I193="NOVO",MONTH($O193)&gt;MONTH(AX$4)),AJ193,IF(MONTH($O193)&gt;MONTH(AX$4),AJ193,IF(MONTH($O193)=MONTH(AX$4),AJ193*(1+Macroindicadores!G$7),AW193)))))))))</f>
        <v>3</v>
      </c>
      <c r="AY193" s="39">
        <f>IF(ISBLANK(W193),"",IF(ISBLANK($O193),AK193,IF($J193="ANUAL",AK193*(1+Macroindicadores!H$7),IF(AND($I193="NOVO",MONTH($O193)=MONTH(AY$4)),AK193*(1+Macroindicadores!H$7),IF(AND($J193="PONTUAL",MONTH($O193)=MONTH(AY$4)),AK193*(1+Macroindicadores!H$7),IF(AND($J193="PONTUAL",MONTH($O193)&lt;MONTH(AY$4)),MIN($AS193:AX193),IF(AND($I193="NOVO",MONTH($O193)&gt;MONTH(AY$4)),AK193,IF(MONTH($O193)&gt;MONTH(AY$4),AK193,IF(MONTH($O193)=MONTH(AY$4),AK193*(1+Macroindicadores!H$7),AX193)))))))))</f>
        <v>3</v>
      </c>
      <c r="AZ193" s="39">
        <f>IF(ISBLANK(X193),"",IF(ISBLANK($O193),AL193,IF($J193="ANUAL",AL193*(1+Macroindicadores!I$7),IF(AND($I193="NOVO",MONTH($O193)=MONTH(AZ$4)),AL193*(1+Macroindicadores!I$7),IF(AND($J193="PONTUAL",MONTH($O193)=MONTH(AZ$4)),AL193*(1+Macroindicadores!I$7),IF(AND($J193="PONTUAL",MONTH($O193)&lt;MONTH(AZ$4)),MIN($AS193:AY193),IF(AND($I193="NOVO",MONTH($O193)&gt;MONTH(AZ$4)),AL193,IF(MONTH($O193)&gt;MONTH(AZ$4),AL193,IF(MONTH($O193)=MONTH(AZ$4),AL193*(1+Macroindicadores!I$7),AY193)))))))))</f>
        <v>3</v>
      </c>
      <c r="BA193" s="39">
        <f>IF(ISBLANK(Y193),"",IF(ISBLANK($O193),AM193,IF($J193="ANUAL",AM193*(1+Macroindicadores!J$7),IF(AND($I193="NOVO",MONTH($O193)=MONTH(BA$4)),AM193*(1+Macroindicadores!J$7),IF(AND($J193="PONTUAL",MONTH($O193)=MONTH(BA$4)),AM193*(1+Macroindicadores!J$7),IF(AND($J193="PONTUAL",MONTH($O193)&lt;MONTH(BA$4)),MIN($AS193:AZ193),IF(AND($I193="NOVO",MONTH($O193)&gt;MONTH(BA$4)),AM193,IF(MONTH($O193)&gt;MONTH(BA$4),AM193,IF(MONTH($O193)=MONTH(BA$4),AM193*(1+Macroindicadores!J$7),AZ193)))))))))</f>
        <v>3</v>
      </c>
      <c r="BB193" s="39">
        <f>IF(ISBLANK(Z193),"",IF(ISBLANK($O193),AN193,IF($J193="ANUAL",AN193*(1+Macroindicadores!K$7),IF(AND($I193="NOVO",MONTH($O193)=MONTH(BB$4)),AN193*(1+Macroindicadores!K$7),IF(AND($J193="PONTUAL",MONTH($O193)=MONTH(BB$4)),AN193*(1+Macroindicadores!K$7),IF(AND($J193="PONTUAL",MONTH($O193)&lt;MONTH(BB$4)),MIN($AS193:BA193),IF(AND($I193="NOVO",MONTH($O193)&gt;MONTH(BB$4)),AN193,IF(MONTH($O193)&gt;MONTH(BB$4),AN193,IF(MONTH($O193)=MONTH(BB$4),AN193*(1+Macroindicadores!K$7),BA193)))))))))</f>
        <v>3</v>
      </c>
      <c r="BC193" s="39">
        <f>IF(ISBLANK(AA193),"",IF(ISBLANK($O193),AO193,IF($J193="ANUAL",AO193*(1+Macroindicadores!L$7),IF(AND($I193="NOVO",MONTH($O193)=MONTH(BC$4)),AO193*(1+Macroindicadores!L$7),IF(AND($J193="PONTUAL",MONTH($O193)=MONTH(BC$4)),AO193*(1+Macroindicadores!L$7),IF(AND($J193="PONTUAL",MONTH($O193)&lt;MONTH(BC$4)),MIN($AS193:BB193),IF(AND($I193="NOVO",MONTH($O193)&gt;MONTH(BC$4)),AO193,IF(MONTH($O193)&gt;MONTH(BC$4),AO193,IF(MONTH($O193)=MONTH(BC$4),AO193*(1+Macroindicadores!L$7),BB193)))))))))</f>
        <v>3</v>
      </c>
      <c r="BD193" s="39">
        <f>IF(ISBLANK(AB193),"",IF(ISBLANK($O193),AP193,IF($J193="ANUAL",AP193*(1+Macroindicadores!M$7),IF(AND($I193="NOVO",MONTH($O193)=MONTH(BD$4)),AP193*(1+Macroindicadores!M$7),IF(AND($J193="PONTUAL",MONTH($O193)=MONTH(BD$4)),AP193*(1+Macroindicadores!M$7),IF(AND($J193="PONTUAL",MONTH($O193)&lt;MONTH(BD$4)),MIN($AS193:BC193),IF(AND($I193="NOVO",MONTH($O193)&gt;MONTH(BD$4)),AP193,IF(MONTH($O193)&gt;MONTH(BD$4),AP193,IF(MONTH($O193)=MONTH(BD$4),AP193*(1+Macroindicadores!M$7),BC193)))))))))</f>
        <v>3</v>
      </c>
      <c r="BE193" s="40">
        <f t="shared" si="78"/>
        <v>36</v>
      </c>
      <c r="BG193" s="39">
        <f>IF(ISBLANK(Q193),"",AS193/Macroindicadores!B$2)</f>
        <v>0.51020408163265307</v>
      </c>
      <c r="BH193" s="39">
        <f>IF(ISBLANK(R193),"",AT193/Macroindicadores!C$2)</f>
        <v>0.51020408163265307</v>
      </c>
      <c r="BI193" s="39">
        <f>IF(ISBLANK(S193),"",AU193/Macroindicadores!D$2)</f>
        <v>0.51020408163265307</v>
      </c>
      <c r="BJ193" s="39">
        <f>IF(ISBLANK(T193),"",AV193/Macroindicadores!E$2)</f>
        <v>0.51020408163265307</v>
      </c>
      <c r="BK193" s="39">
        <f>IF(ISBLANK(U193),"",AW193/Macroindicadores!F$2)</f>
        <v>0.51020408163265307</v>
      </c>
      <c r="BL193" s="39">
        <f>IF(ISBLANK(V193),"",AX193/Macroindicadores!G$2)</f>
        <v>0.51020408163265307</v>
      </c>
      <c r="BM193" s="39">
        <f>IF(ISBLANK(W193),"",AY193/Macroindicadores!H$2)</f>
        <v>0.51020408163265307</v>
      </c>
      <c r="BN193" s="39">
        <f>IF(ISBLANK(X193),"",AZ193/Macroindicadores!I$2)</f>
        <v>0.51020408163265307</v>
      </c>
      <c r="BO193" s="39">
        <f>IF(ISBLANK(Y193),"",BA193/Macroindicadores!J$2)</f>
        <v>0.51020408163265307</v>
      </c>
      <c r="BP193" s="39">
        <f>IF(ISBLANK(Z193),"",BB193/Macroindicadores!K$2)</f>
        <v>0.51020408163265307</v>
      </c>
      <c r="BQ193" s="39">
        <f>IF(ISBLANK(AA193),"",BC193/Macroindicadores!L$2)</f>
        <v>0.51020408163265307</v>
      </c>
      <c r="BR193" s="39">
        <f>IF(ISBLANK(AB193),"",BD193/Macroindicadores!M$2)</f>
        <v>0.51020408163265307</v>
      </c>
      <c r="BS193" s="40">
        <f>IF(AND(ISBLANK($Q193),ISBLANK($R193),ISBLANK($S193),ISBLANK($T193),ISBLANK($U193),ISBLANK($V193),ISBLANK($W193),ISBLANK($X193),ISBLANK($Y193),ISBLANK($Z193),ISBLANK($AA193),ISBLANK($AB193)),"",SUM(BG193:BR193))</f>
        <v>6.1224489795918382</v>
      </c>
      <c r="BT193" s="25" t="str">
        <f>IF(ISBLANK($L193),"",_xlfn.XLOOKUP($L193,'CENTRO CUSTO'!$A:$A,'CENTRO CUSTO'!$E:$E,FALSE,0))</f>
        <v>Custo Fixo</v>
      </c>
    </row>
    <row r="194" spans="1:72">
      <c r="A194" s="9" t="str">
        <f t="shared" si="80"/>
        <v>Budget</v>
      </c>
      <c r="B194" s="9">
        <f t="shared" si="77"/>
        <v>2026</v>
      </c>
      <c r="C194" s="18" t="str">
        <f>IF(ISBLANK($L194),"",_xlfn.XLOOKUP($L194,'CENTRO CUSTO'!$A:$A,'CENTRO CUSTO'!F:F,FALSE,0))</f>
        <v>Transporte</v>
      </c>
      <c r="D194" s="111" t="str">
        <f>IF(ISBLANK($L194),"",_xlfn.XLOOKUP($L194,'CENTRO CUSTO'!$A:$A,'CENTRO CUSTO'!G:G,FALSE,0))</f>
        <v>Transportes</v>
      </c>
      <c r="E194" s="18" t="str">
        <f>IF(ISBLANK($L194),"",_xlfn.XLOOKUP($L194,'CENTRO CUSTO'!$A:$A,'CENTRO CUSTO'!H:H,FALSE,0))</f>
        <v>Transportes</v>
      </c>
      <c r="F194" s="10" t="s">
        <v>192</v>
      </c>
      <c r="G194" s="10" t="s">
        <v>75</v>
      </c>
      <c r="H194" s="10" t="s">
        <v>193</v>
      </c>
      <c r="I194" s="11" t="s">
        <v>77</v>
      </c>
      <c r="J194" s="11" t="s">
        <v>78</v>
      </c>
      <c r="K194" s="11" t="s">
        <v>79</v>
      </c>
      <c r="L194" s="11" t="s">
        <v>111</v>
      </c>
      <c r="M194" s="18" t="str">
        <f>IF(ISBLANK($L194),"",_xlfn.XLOOKUP($L194,'CENTRO CUSTO'!$A:$A,'CENTRO CUSTO'!D:D,FALSE,0))</f>
        <v>Alexandre Ayabe</v>
      </c>
      <c r="N194" s="11" t="s">
        <v>87</v>
      </c>
      <c r="O194" s="12"/>
      <c r="P194" s="11" t="s">
        <v>81</v>
      </c>
      <c r="Q194" s="41">
        <v>3700</v>
      </c>
      <c r="R194" s="41">
        <v>3700</v>
      </c>
      <c r="S194" s="41">
        <v>3700</v>
      </c>
      <c r="T194" s="41">
        <v>3700</v>
      </c>
      <c r="U194" s="41">
        <v>3700</v>
      </c>
      <c r="V194" s="41">
        <v>3700</v>
      </c>
      <c r="W194" s="41">
        <v>3700</v>
      </c>
      <c r="X194" s="41">
        <v>3700</v>
      </c>
      <c r="Y194" s="41">
        <v>3700</v>
      </c>
      <c r="Z194" s="41">
        <v>3700</v>
      </c>
      <c r="AA194" s="41">
        <v>3700</v>
      </c>
      <c r="AB194" s="41">
        <v>3700</v>
      </c>
      <c r="AC194" s="116">
        <f t="shared" si="73"/>
        <v>44400</v>
      </c>
      <c r="AE194" s="39">
        <f>IF(ISBLANK(Q194),"",IF($P194="BRL",Q194,Q194*Macroindicadores!B$2)/1000)</f>
        <v>3.7</v>
      </c>
      <c r="AF194" s="39">
        <f>IF(ISBLANK(R194),"",IF($P194="BRL",R194,R194*Macroindicadores!C$2)/1000)</f>
        <v>3.7</v>
      </c>
      <c r="AG194" s="39">
        <f>IF(ISBLANK(S194),"",IF($P194="BRL",S194,S194*Macroindicadores!D$2)/1000)</f>
        <v>3.7</v>
      </c>
      <c r="AH194" s="39">
        <f>IF(ISBLANK(T194),"",IF($P194="BRL",T194,T194*Macroindicadores!E$2)/1000)</f>
        <v>3.7</v>
      </c>
      <c r="AI194" s="39">
        <f>IF(ISBLANK(U194),"",IF($P194="BRL",U194,U194*Macroindicadores!F$2)/1000)</f>
        <v>3.7</v>
      </c>
      <c r="AJ194" s="39">
        <f>IF(ISBLANK(V194),"",IF($P194="BRL",V194,V194*Macroindicadores!G$2)/1000)</f>
        <v>3.7</v>
      </c>
      <c r="AK194" s="39">
        <f>IF(ISBLANK(W194),"",IF($P194="BRL",W194,W194*Macroindicadores!H$2)/1000)</f>
        <v>3.7</v>
      </c>
      <c r="AL194" s="39">
        <f>IF(ISBLANK(X194),"",IF($P194="BRL",X194,X194*Macroindicadores!I$2)/1000)</f>
        <v>3.7</v>
      </c>
      <c r="AM194" s="39">
        <f>IF(ISBLANK(Y194),"",IF($P194="BRL",Y194,Y194*Macroindicadores!J$2)/1000)</f>
        <v>3.7</v>
      </c>
      <c r="AN194" s="39">
        <f>IF(ISBLANK(Z194),"",IF($P194="BRL",Z194,Z194*Macroindicadores!K$2)/1000)</f>
        <v>3.7</v>
      </c>
      <c r="AO194" s="39">
        <f>IF(ISBLANK(AA194),"",IF($P194="BRL",AA194,AA194*Macroindicadores!L$2)/1000)</f>
        <v>3.7</v>
      </c>
      <c r="AP194" s="39">
        <f>IF(ISBLANK(AB194),"",IF($P194="BRL",AB194,AB194*Macroindicadores!M$2)/1000)</f>
        <v>3.7</v>
      </c>
      <c r="AQ194" s="40">
        <f t="shared" si="79"/>
        <v>44.400000000000006</v>
      </c>
      <c r="AS194" s="39">
        <f>IF(ISBLANK(Q194),"",IF(ISBLANK($O194),AE194,IF($J194="ANUAL",AE194*(1+Macroindicadores!B$7),IF(AND($I194="NOVO",MONTH($O194)=MONTH(AS$4)),AE194*(1+Macroindicadores!B$7),IF(AND($J194="PONTUAL",MONTH($O194)=MONTH(AS$4)),AE194*(1+Macroindicadores!B$7),IF(AND($J194="PONTUAL",MONTH($O194)&lt;MONTH(AS$4)),MIN(AR194:$AS194),IF(AND($I194="NOVO",MONTH($O194)&gt;MONTH(AS$4)),AE194,IF(MONTH($O194)&gt;MONTH(AS$4),AE194,IF(MONTH($O194)=MONTH(AS$4),AE194*(1+Macroindicadores!B$7),AR194)))))))))</f>
        <v>3.7</v>
      </c>
      <c r="AT194" s="39">
        <f>IF(ISBLANK(R194),"",IF(ISBLANK($O194),AF194,IF($J194="ANUAL",AF194*(1+Macroindicadores!C$7),IF(AND($I194="NOVO",MONTH($O194)=MONTH(AT$4)),AF194*(1+Macroindicadores!C$7),IF(AND($J194="PONTUAL",MONTH($O194)=MONTH(AT$4)),AF194*(1+Macroindicadores!C$7),IF(AND($J194="PONTUAL",MONTH($O194)&lt;MONTH(AT$4)),MIN($AS194:AS194),IF(AND($I194="NOVO",MONTH($O194)&gt;MONTH(AT$4)),AF194,IF(MONTH($O194)&gt;MONTH(AT$4),AF194,IF(MONTH($O194)=MONTH(AT$4),AF194*(1+Macroindicadores!C$7),AS194)))))))))</f>
        <v>3.7</v>
      </c>
      <c r="AU194" s="39">
        <f>IF(ISBLANK(S194),"",IF(ISBLANK($O194),AG194,IF($J194="ANUAL",AG194*(1+Macroindicadores!D$7),IF(AND($I194="NOVO",MONTH($O194)=MONTH(AU$4)),AG194*(1+Macroindicadores!D$7),IF(AND($J194="PONTUAL",MONTH($O194)=MONTH(AU$4)),AG194*(1+Macroindicadores!D$7),IF(AND($J194="PONTUAL",MONTH($O194)&lt;MONTH(AU$4)),MIN($AS194:AT194),IF(AND($I194="NOVO",MONTH($O194)&gt;MONTH(AU$4)),AG194,IF(MONTH($O194)&gt;MONTH(AU$4),AG194,IF(MONTH($O194)=MONTH(AU$4),AG194*(1+Macroindicadores!D$7),AT194)))))))))</f>
        <v>3.7</v>
      </c>
      <c r="AV194" s="39">
        <f>IF(ISBLANK(T194),"",IF(ISBLANK($O194),AH194,IF($J194="ANUAL",AH194*(1+Macroindicadores!E$7),IF(AND($I194="NOVO",MONTH($O194)=MONTH(AV$4)),AH194*(1+Macroindicadores!E$7),IF(AND($J194="PONTUAL",MONTH($O194)=MONTH(AV$4)),AH194*(1+Macroindicadores!E$7),IF(AND($J194="PONTUAL",MONTH($O194)&lt;MONTH(AV$4)),MIN($AS194:AU194),IF(AND($I194="NOVO",MONTH($O194)&gt;MONTH(AV$4)),AH194,IF(MONTH($O194)&gt;MONTH(AV$4),AH194,IF(MONTH($O194)=MONTH(AV$4),AH194*(1+Macroindicadores!E$7),AU194)))))))))</f>
        <v>3.7</v>
      </c>
      <c r="AW194" s="39">
        <f>IF(ISBLANK(U194),"",IF(ISBLANK($O194),AI194,IF($J194="ANUAL",AI194*(1+Macroindicadores!F$7),IF(AND($I194="NOVO",MONTH($O194)=MONTH(AW$4)),AI194*(1+Macroindicadores!F$7),IF(AND($J194="PONTUAL",MONTH($O194)=MONTH(AW$4)),AI194*(1+Macroindicadores!F$7),IF(AND($J194="PONTUAL",MONTH($O194)&lt;MONTH(AW$4)),MIN($AS194:AV194),IF(AND($I194="NOVO",MONTH($O194)&gt;MONTH(AW$4)),AI194,IF(MONTH($O194)&gt;MONTH(AW$4),AI194,IF(MONTH($O194)=MONTH(AW$4),AI194*(1+Macroindicadores!F$7),AV194)))))))))</f>
        <v>3.7</v>
      </c>
      <c r="AX194" s="39">
        <f>IF(ISBLANK(V194),"",IF(ISBLANK($O194),AJ194,IF($J194="ANUAL",AJ194*(1+Macroindicadores!G$7),IF(AND($I194="NOVO",MONTH($O194)=MONTH(AX$4)),AJ194*(1+Macroindicadores!G$7),IF(AND($J194="PONTUAL",MONTH($O194)=MONTH(AX$4)),AJ194*(1+Macroindicadores!G$7),IF(AND($J194="PONTUAL",MONTH($O194)&lt;MONTH(AX$4)),MIN($AS194:AW194),IF(AND($I194="NOVO",MONTH($O194)&gt;MONTH(AX$4)),AJ194,IF(MONTH($O194)&gt;MONTH(AX$4),AJ194,IF(MONTH($O194)=MONTH(AX$4),AJ194*(1+Macroindicadores!G$7),AW194)))))))))</f>
        <v>3.7</v>
      </c>
      <c r="AY194" s="39">
        <f>IF(ISBLANK(W194),"",IF(ISBLANK($O194),AK194,IF($J194="ANUAL",AK194*(1+Macroindicadores!H$7),IF(AND($I194="NOVO",MONTH($O194)=MONTH(AY$4)),AK194*(1+Macroindicadores!H$7),IF(AND($J194="PONTUAL",MONTH($O194)=MONTH(AY$4)),AK194*(1+Macroindicadores!H$7),IF(AND($J194="PONTUAL",MONTH($O194)&lt;MONTH(AY$4)),MIN($AS194:AX194),IF(AND($I194="NOVO",MONTH($O194)&gt;MONTH(AY$4)),AK194,IF(MONTH($O194)&gt;MONTH(AY$4),AK194,IF(MONTH($O194)=MONTH(AY$4),AK194*(1+Macroindicadores!H$7),AX194)))))))))</f>
        <v>3.7</v>
      </c>
      <c r="AZ194" s="39">
        <f>IF(ISBLANK(X194),"",IF(ISBLANK($O194),AL194,IF($J194="ANUAL",AL194*(1+Macroindicadores!I$7),IF(AND($I194="NOVO",MONTH($O194)=MONTH(AZ$4)),AL194*(1+Macroindicadores!I$7),IF(AND($J194="PONTUAL",MONTH($O194)=MONTH(AZ$4)),AL194*(1+Macroindicadores!I$7),IF(AND($J194="PONTUAL",MONTH($O194)&lt;MONTH(AZ$4)),MIN($AS194:AY194),IF(AND($I194="NOVO",MONTH($O194)&gt;MONTH(AZ$4)),AL194,IF(MONTH($O194)&gt;MONTH(AZ$4),AL194,IF(MONTH($O194)=MONTH(AZ$4),AL194*(1+Macroindicadores!I$7),AY194)))))))))</f>
        <v>3.7</v>
      </c>
      <c r="BA194" s="39">
        <f>IF(ISBLANK(Y194),"",IF(ISBLANK($O194),AM194,IF($J194="ANUAL",AM194*(1+Macroindicadores!J$7),IF(AND($I194="NOVO",MONTH($O194)=MONTH(BA$4)),AM194*(1+Macroindicadores!J$7),IF(AND($J194="PONTUAL",MONTH($O194)=MONTH(BA$4)),AM194*(1+Macroindicadores!J$7),IF(AND($J194="PONTUAL",MONTH($O194)&lt;MONTH(BA$4)),MIN($AS194:AZ194),IF(AND($I194="NOVO",MONTH($O194)&gt;MONTH(BA$4)),AM194,IF(MONTH($O194)&gt;MONTH(BA$4),AM194,IF(MONTH($O194)=MONTH(BA$4),AM194*(1+Macroindicadores!J$7),AZ194)))))))))</f>
        <v>3.7</v>
      </c>
      <c r="BB194" s="39">
        <f>IF(ISBLANK(Z194),"",IF(ISBLANK($O194),AN194,IF($J194="ANUAL",AN194*(1+Macroindicadores!K$7),IF(AND($I194="NOVO",MONTH($O194)=MONTH(BB$4)),AN194*(1+Macroindicadores!K$7),IF(AND($J194="PONTUAL",MONTH($O194)=MONTH(BB$4)),AN194*(1+Macroindicadores!K$7),IF(AND($J194="PONTUAL",MONTH($O194)&lt;MONTH(BB$4)),MIN($AS194:BA194),IF(AND($I194="NOVO",MONTH($O194)&gt;MONTH(BB$4)),AN194,IF(MONTH($O194)&gt;MONTH(BB$4),AN194,IF(MONTH($O194)=MONTH(BB$4),AN194*(1+Macroindicadores!K$7),BA194)))))))))</f>
        <v>3.7</v>
      </c>
      <c r="BC194" s="39">
        <f>IF(ISBLANK(AA194),"",IF(ISBLANK($O194),AO194,IF($J194="ANUAL",AO194*(1+Macroindicadores!L$7),IF(AND($I194="NOVO",MONTH($O194)=MONTH(BC$4)),AO194*(1+Macroindicadores!L$7),IF(AND($J194="PONTUAL",MONTH($O194)=MONTH(BC$4)),AO194*(1+Macroindicadores!L$7),IF(AND($J194="PONTUAL",MONTH($O194)&lt;MONTH(BC$4)),MIN($AS194:BB194),IF(AND($I194="NOVO",MONTH($O194)&gt;MONTH(BC$4)),AO194,IF(MONTH($O194)&gt;MONTH(BC$4),AO194,IF(MONTH($O194)=MONTH(BC$4),AO194*(1+Macroindicadores!L$7),BB194)))))))))</f>
        <v>3.7</v>
      </c>
      <c r="BD194" s="39">
        <f>IF(ISBLANK(AB194),"",IF(ISBLANK($O194),AP194,IF($J194="ANUAL",AP194*(1+Macroindicadores!M$7),IF(AND($I194="NOVO",MONTH($O194)=MONTH(BD$4)),AP194*(1+Macroindicadores!M$7),IF(AND($J194="PONTUAL",MONTH($O194)=MONTH(BD$4)),AP194*(1+Macroindicadores!M$7),IF(AND($J194="PONTUAL",MONTH($O194)&lt;MONTH(BD$4)),MIN($AS194:BC194),IF(AND($I194="NOVO",MONTH($O194)&gt;MONTH(BD$4)),AP194,IF(MONTH($O194)&gt;MONTH(BD$4),AP194,IF(MONTH($O194)=MONTH(BD$4),AP194*(1+Macroindicadores!M$7),BC194)))))))))</f>
        <v>3.7</v>
      </c>
      <c r="BE194" s="40">
        <f t="shared" si="78"/>
        <v>44.400000000000006</v>
      </c>
      <c r="BG194" s="39">
        <f>IF(ISBLANK(Q194),"",AS194/Macroindicadores!B$2)</f>
        <v>0.62925170068027214</v>
      </c>
      <c r="BH194" s="39">
        <f>IF(ISBLANK(R194),"",AT194/Macroindicadores!C$2)</f>
        <v>0.62925170068027214</v>
      </c>
      <c r="BI194" s="39">
        <f>IF(ISBLANK(S194),"",AU194/Macroindicadores!D$2)</f>
        <v>0.62925170068027214</v>
      </c>
      <c r="BJ194" s="39">
        <f>IF(ISBLANK(T194),"",AV194/Macroindicadores!E$2)</f>
        <v>0.62925170068027214</v>
      </c>
      <c r="BK194" s="39">
        <f>IF(ISBLANK(U194),"",AW194/Macroindicadores!F$2)</f>
        <v>0.62925170068027214</v>
      </c>
      <c r="BL194" s="39">
        <f>IF(ISBLANK(V194),"",AX194/Macroindicadores!G$2)</f>
        <v>0.62925170068027214</v>
      </c>
      <c r="BM194" s="39">
        <f>IF(ISBLANK(W194),"",AY194/Macroindicadores!H$2)</f>
        <v>0.62925170068027214</v>
      </c>
      <c r="BN194" s="39">
        <f>IF(ISBLANK(X194),"",AZ194/Macroindicadores!I$2)</f>
        <v>0.62925170068027214</v>
      </c>
      <c r="BO194" s="39">
        <f>IF(ISBLANK(Y194),"",BA194/Macroindicadores!J$2)</f>
        <v>0.62925170068027214</v>
      </c>
      <c r="BP194" s="39">
        <f>IF(ISBLANK(Z194),"",BB194/Macroindicadores!K$2)</f>
        <v>0.62925170068027214</v>
      </c>
      <c r="BQ194" s="39">
        <f>IF(ISBLANK(AA194),"",BC194/Macroindicadores!L$2)</f>
        <v>0.62925170068027214</v>
      </c>
      <c r="BR194" s="39">
        <f>IF(ISBLANK(AB194),"",BD194/Macroindicadores!M$2)</f>
        <v>0.62925170068027214</v>
      </c>
      <c r="BS194" s="40">
        <f>IF(AND(ISBLANK($Q194),ISBLANK($R194),ISBLANK($S194),ISBLANK($T194),ISBLANK($U194),ISBLANK($V194),ISBLANK($W194),ISBLANK($X194),ISBLANK($Y194),ISBLANK($Z194),ISBLANK($AA194),ISBLANK($AB194)),"",SUM(BG194:BR194))</f>
        <v>7.5510204081632653</v>
      </c>
      <c r="BT194" s="25" t="str">
        <f>IF(ISBLANK($L194),"",_xlfn.XLOOKUP($L194,'CENTRO CUSTO'!$A:$A,'CENTRO CUSTO'!$E:$E,FALSE,0))</f>
        <v>Custo Fixo</v>
      </c>
    </row>
    <row r="195" spans="1:72">
      <c r="A195" s="9" t="str">
        <f t="shared" si="80"/>
        <v>Budget</v>
      </c>
      <c r="B195" s="9">
        <f t="shared" si="77"/>
        <v>2026</v>
      </c>
      <c r="C195" s="18" t="str">
        <f>IF(ISBLANK($L195),"",_xlfn.XLOOKUP($L195,'CENTRO CUSTO'!$A:$A,'CENTRO CUSTO'!F:F,FALSE,0))</f>
        <v>Transporte</v>
      </c>
      <c r="D195" s="111" t="str">
        <f>IF(ISBLANK($L195),"",_xlfn.XLOOKUP($L195,'CENTRO CUSTO'!$A:$A,'CENTRO CUSTO'!G:G,FALSE,0))</f>
        <v>Transportes</v>
      </c>
      <c r="E195" s="18" t="str">
        <f>IF(ISBLANK($L195),"",_xlfn.XLOOKUP($L195,'CENTRO CUSTO'!$A:$A,'CENTRO CUSTO'!H:H,FALSE,0))</f>
        <v>Transportes</v>
      </c>
      <c r="F195" s="10" t="s">
        <v>194</v>
      </c>
      <c r="G195" s="10" t="s">
        <v>75</v>
      </c>
      <c r="H195" s="10" t="s">
        <v>195</v>
      </c>
      <c r="I195" s="11" t="s">
        <v>77</v>
      </c>
      <c r="J195" s="11" t="s">
        <v>78</v>
      </c>
      <c r="K195" s="11" t="s">
        <v>79</v>
      </c>
      <c r="L195" s="11" t="s">
        <v>111</v>
      </c>
      <c r="M195" s="18" t="str">
        <f>IF(ISBLANK($L195),"",_xlfn.XLOOKUP($L195,'CENTRO CUSTO'!$A:$A,'CENTRO CUSTO'!D:D,FALSE,0))</f>
        <v>Alexandre Ayabe</v>
      </c>
      <c r="N195" s="11" t="s">
        <v>87</v>
      </c>
      <c r="O195" s="12"/>
      <c r="P195" s="11" t="s">
        <v>81</v>
      </c>
      <c r="Q195" s="41">
        <v>1500</v>
      </c>
      <c r="R195" s="41">
        <v>1500</v>
      </c>
      <c r="S195" s="41">
        <v>1500</v>
      </c>
      <c r="T195" s="41">
        <v>1500</v>
      </c>
      <c r="U195" s="41">
        <v>1500</v>
      </c>
      <c r="V195" s="41">
        <v>1500</v>
      </c>
      <c r="W195" s="41">
        <v>1500</v>
      </c>
      <c r="X195" s="41">
        <v>1500</v>
      </c>
      <c r="Y195" s="41">
        <v>1500</v>
      </c>
      <c r="Z195" s="41">
        <v>1500</v>
      </c>
      <c r="AA195" s="41">
        <v>1500</v>
      </c>
      <c r="AB195" s="41">
        <v>1500</v>
      </c>
      <c r="AC195" s="116">
        <f t="shared" si="73"/>
        <v>18000</v>
      </c>
      <c r="AE195" s="39">
        <f>IF(ISBLANK(Q195),"",IF($P195="BRL",Q195,Q195*Macroindicadores!B$2)/1000)</f>
        <v>1.5</v>
      </c>
      <c r="AF195" s="39">
        <f>IF(ISBLANK(R195),"",IF($P195="BRL",R195,R195*Macroindicadores!C$2)/1000)</f>
        <v>1.5</v>
      </c>
      <c r="AG195" s="39">
        <f>IF(ISBLANK(S195),"",IF($P195="BRL",S195,S195*Macroindicadores!D$2)/1000)</f>
        <v>1.5</v>
      </c>
      <c r="AH195" s="39">
        <f>IF(ISBLANK(T195),"",IF($P195="BRL",T195,T195*Macroindicadores!E$2)/1000)</f>
        <v>1.5</v>
      </c>
      <c r="AI195" s="39">
        <f>IF(ISBLANK(U195),"",IF($P195="BRL",U195,U195*Macroindicadores!F$2)/1000)</f>
        <v>1.5</v>
      </c>
      <c r="AJ195" s="39">
        <f>IF(ISBLANK(V195),"",IF($P195="BRL",V195,V195*Macroindicadores!G$2)/1000)</f>
        <v>1.5</v>
      </c>
      <c r="AK195" s="39">
        <f>IF(ISBLANK(W195),"",IF($P195="BRL",W195,W195*Macroindicadores!H$2)/1000)</f>
        <v>1.5</v>
      </c>
      <c r="AL195" s="39">
        <f>IF(ISBLANK(X195),"",IF($P195="BRL",X195,X195*Macroindicadores!I$2)/1000)</f>
        <v>1.5</v>
      </c>
      <c r="AM195" s="39">
        <f>IF(ISBLANK(Y195),"",IF($P195="BRL",Y195,Y195*Macroindicadores!J$2)/1000)</f>
        <v>1.5</v>
      </c>
      <c r="AN195" s="39">
        <f>IF(ISBLANK(Z195),"",IF($P195="BRL",Z195,Z195*Macroindicadores!K$2)/1000)</f>
        <v>1.5</v>
      </c>
      <c r="AO195" s="39">
        <f>IF(ISBLANK(AA195),"",IF($P195="BRL",AA195,AA195*Macroindicadores!L$2)/1000)</f>
        <v>1.5</v>
      </c>
      <c r="AP195" s="39">
        <f>IF(ISBLANK(AB195),"",IF($P195="BRL",AB195,AB195*Macroindicadores!M$2)/1000)</f>
        <v>1.5</v>
      </c>
      <c r="AQ195" s="40">
        <f t="shared" si="79"/>
        <v>18</v>
      </c>
      <c r="AS195" s="39">
        <f>IF(ISBLANK(Q195),"",IF(ISBLANK($O195),AE195,IF($J195="ANUAL",AE195*(1+Macroindicadores!B$7),IF(AND($I195="NOVO",MONTH($O195)=MONTH(AS$4)),AE195*(1+Macroindicadores!B$7),IF(AND($J195="PONTUAL",MONTH($O195)=MONTH(AS$4)),AE195*(1+Macroindicadores!B$7),IF(AND($J195="PONTUAL",MONTH($O195)&lt;MONTH(AS$4)),MIN(AR195:$AS195),IF(AND($I195="NOVO",MONTH($O195)&gt;MONTH(AS$4)),AE195,IF(MONTH($O195)&gt;MONTH(AS$4),AE195,IF(MONTH($O195)=MONTH(AS$4),AE195*(1+Macroindicadores!B$7),AR195)))))))))</f>
        <v>1.5</v>
      </c>
      <c r="AT195" s="39">
        <f>IF(ISBLANK(R195),"",IF(ISBLANK($O195),AF195,IF($J195="ANUAL",AF195*(1+Macroindicadores!C$7),IF(AND($I195="NOVO",MONTH($O195)=MONTH(AT$4)),AF195*(1+Macroindicadores!C$7),IF(AND($J195="PONTUAL",MONTH($O195)=MONTH(AT$4)),AF195*(1+Macroindicadores!C$7),IF(AND($J195="PONTUAL",MONTH($O195)&lt;MONTH(AT$4)),MIN($AS195:AS195),IF(AND($I195="NOVO",MONTH($O195)&gt;MONTH(AT$4)),AF195,IF(MONTH($O195)&gt;MONTH(AT$4),AF195,IF(MONTH($O195)=MONTH(AT$4),AF195*(1+Macroindicadores!C$7),AS195)))))))))</f>
        <v>1.5</v>
      </c>
      <c r="AU195" s="39">
        <f>IF(ISBLANK(S195),"",IF(ISBLANK($O195),AG195,IF($J195="ANUAL",AG195*(1+Macroindicadores!D$7),IF(AND($I195="NOVO",MONTH($O195)=MONTH(AU$4)),AG195*(1+Macroindicadores!D$7),IF(AND($J195="PONTUAL",MONTH($O195)=MONTH(AU$4)),AG195*(1+Macroindicadores!D$7),IF(AND($J195="PONTUAL",MONTH($O195)&lt;MONTH(AU$4)),MIN($AS195:AT195),IF(AND($I195="NOVO",MONTH($O195)&gt;MONTH(AU$4)),AG195,IF(MONTH($O195)&gt;MONTH(AU$4),AG195,IF(MONTH($O195)=MONTH(AU$4),AG195*(1+Macroindicadores!D$7),AT195)))))))))</f>
        <v>1.5</v>
      </c>
      <c r="AV195" s="39">
        <f>IF(ISBLANK(T195),"",IF(ISBLANK($O195),AH195,IF($J195="ANUAL",AH195*(1+Macroindicadores!E$7),IF(AND($I195="NOVO",MONTH($O195)=MONTH(AV$4)),AH195*(1+Macroindicadores!E$7),IF(AND($J195="PONTUAL",MONTH($O195)=MONTH(AV$4)),AH195*(1+Macroindicadores!E$7),IF(AND($J195="PONTUAL",MONTH($O195)&lt;MONTH(AV$4)),MIN($AS195:AU195),IF(AND($I195="NOVO",MONTH($O195)&gt;MONTH(AV$4)),AH195,IF(MONTH($O195)&gt;MONTH(AV$4),AH195,IF(MONTH($O195)=MONTH(AV$4),AH195*(1+Macroindicadores!E$7),AU195)))))))))</f>
        <v>1.5</v>
      </c>
      <c r="AW195" s="39">
        <f>IF(ISBLANK(U195),"",IF(ISBLANK($O195),AI195,IF($J195="ANUAL",AI195*(1+Macroindicadores!F$7),IF(AND($I195="NOVO",MONTH($O195)=MONTH(AW$4)),AI195*(1+Macroindicadores!F$7),IF(AND($J195="PONTUAL",MONTH($O195)=MONTH(AW$4)),AI195*(1+Macroindicadores!F$7),IF(AND($J195="PONTUAL",MONTH($O195)&lt;MONTH(AW$4)),MIN($AS195:AV195),IF(AND($I195="NOVO",MONTH($O195)&gt;MONTH(AW$4)),AI195,IF(MONTH($O195)&gt;MONTH(AW$4),AI195,IF(MONTH($O195)=MONTH(AW$4),AI195*(1+Macroindicadores!F$7),AV195)))))))))</f>
        <v>1.5</v>
      </c>
      <c r="AX195" s="39">
        <f>IF(ISBLANK(V195),"",IF(ISBLANK($O195),AJ195,IF($J195="ANUAL",AJ195*(1+Macroindicadores!G$7),IF(AND($I195="NOVO",MONTH($O195)=MONTH(AX$4)),AJ195*(1+Macroindicadores!G$7),IF(AND($J195="PONTUAL",MONTH($O195)=MONTH(AX$4)),AJ195*(1+Macroindicadores!G$7),IF(AND($J195="PONTUAL",MONTH($O195)&lt;MONTH(AX$4)),MIN($AS195:AW195),IF(AND($I195="NOVO",MONTH($O195)&gt;MONTH(AX$4)),AJ195,IF(MONTH($O195)&gt;MONTH(AX$4),AJ195,IF(MONTH($O195)=MONTH(AX$4),AJ195*(1+Macroindicadores!G$7),AW195)))))))))</f>
        <v>1.5</v>
      </c>
      <c r="AY195" s="39">
        <f>IF(ISBLANK(W195),"",IF(ISBLANK($O195),AK195,IF($J195="ANUAL",AK195*(1+Macroindicadores!H$7),IF(AND($I195="NOVO",MONTH($O195)=MONTH(AY$4)),AK195*(1+Macroindicadores!H$7),IF(AND($J195="PONTUAL",MONTH($O195)=MONTH(AY$4)),AK195*(1+Macroindicadores!H$7),IF(AND($J195="PONTUAL",MONTH($O195)&lt;MONTH(AY$4)),MIN($AS195:AX195),IF(AND($I195="NOVO",MONTH($O195)&gt;MONTH(AY$4)),AK195,IF(MONTH($O195)&gt;MONTH(AY$4),AK195,IF(MONTH($O195)=MONTH(AY$4),AK195*(1+Macroindicadores!H$7),AX195)))))))))</f>
        <v>1.5</v>
      </c>
      <c r="AZ195" s="39">
        <f>IF(ISBLANK(X195),"",IF(ISBLANK($O195),AL195,IF($J195="ANUAL",AL195*(1+Macroindicadores!I$7),IF(AND($I195="NOVO",MONTH($O195)=MONTH(AZ$4)),AL195*(1+Macroindicadores!I$7),IF(AND($J195="PONTUAL",MONTH($O195)=MONTH(AZ$4)),AL195*(1+Macroindicadores!I$7),IF(AND($J195="PONTUAL",MONTH($O195)&lt;MONTH(AZ$4)),MIN($AS195:AY195),IF(AND($I195="NOVO",MONTH($O195)&gt;MONTH(AZ$4)),AL195,IF(MONTH($O195)&gt;MONTH(AZ$4),AL195,IF(MONTH($O195)=MONTH(AZ$4),AL195*(1+Macroindicadores!I$7),AY195)))))))))</f>
        <v>1.5</v>
      </c>
      <c r="BA195" s="39">
        <f>IF(ISBLANK(Y195),"",IF(ISBLANK($O195),AM195,IF($J195="ANUAL",AM195*(1+Macroindicadores!J$7),IF(AND($I195="NOVO",MONTH($O195)=MONTH(BA$4)),AM195*(1+Macroindicadores!J$7),IF(AND($J195="PONTUAL",MONTH($O195)=MONTH(BA$4)),AM195*(1+Macroindicadores!J$7),IF(AND($J195="PONTUAL",MONTH($O195)&lt;MONTH(BA$4)),MIN($AS195:AZ195),IF(AND($I195="NOVO",MONTH($O195)&gt;MONTH(BA$4)),AM195,IF(MONTH($O195)&gt;MONTH(BA$4),AM195,IF(MONTH($O195)=MONTH(BA$4),AM195*(1+Macroindicadores!J$7),AZ195)))))))))</f>
        <v>1.5</v>
      </c>
      <c r="BB195" s="39">
        <f>IF(ISBLANK(Z195),"",IF(ISBLANK($O195),AN195,IF($J195="ANUAL",AN195*(1+Macroindicadores!K$7),IF(AND($I195="NOVO",MONTH($O195)=MONTH(BB$4)),AN195*(1+Macroindicadores!K$7),IF(AND($J195="PONTUAL",MONTH($O195)=MONTH(BB$4)),AN195*(1+Macroindicadores!K$7),IF(AND($J195="PONTUAL",MONTH($O195)&lt;MONTH(BB$4)),MIN($AS195:BA195),IF(AND($I195="NOVO",MONTH($O195)&gt;MONTH(BB$4)),AN195,IF(MONTH($O195)&gt;MONTH(BB$4),AN195,IF(MONTH($O195)=MONTH(BB$4),AN195*(1+Macroindicadores!K$7),BA195)))))))))</f>
        <v>1.5</v>
      </c>
      <c r="BC195" s="39">
        <f>IF(ISBLANK(AA195),"",IF(ISBLANK($O195),AO195,IF($J195="ANUAL",AO195*(1+Macroindicadores!L$7),IF(AND($I195="NOVO",MONTH($O195)=MONTH(BC$4)),AO195*(1+Macroindicadores!L$7),IF(AND($J195="PONTUAL",MONTH($O195)=MONTH(BC$4)),AO195*(1+Macroindicadores!L$7),IF(AND($J195="PONTUAL",MONTH($O195)&lt;MONTH(BC$4)),MIN($AS195:BB195),IF(AND($I195="NOVO",MONTH($O195)&gt;MONTH(BC$4)),AO195,IF(MONTH($O195)&gt;MONTH(BC$4),AO195,IF(MONTH($O195)=MONTH(BC$4),AO195*(1+Macroindicadores!L$7),BB195)))))))))</f>
        <v>1.5</v>
      </c>
      <c r="BD195" s="39">
        <f>IF(ISBLANK(AB195),"",IF(ISBLANK($O195),AP195,IF($J195="ANUAL",AP195*(1+Macroindicadores!M$7),IF(AND($I195="NOVO",MONTH($O195)=MONTH(BD$4)),AP195*(1+Macroindicadores!M$7),IF(AND($J195="PONTUAL",MONTH($O195)=MONTH(BD$4)),AP195*(1+Macroindicadores!M$7),IF(AND($J195="PONTUAL",MONTH($O195)&lt;MONTH(BD$4)),MIN($AS195:BC195),IF(AND($I195="NOVO",MONTH($O195)&gt;MONTH(BD$4)),AP195,IF(MONTH($O195)&gt;MONTH(BD$4),AP195,IF(MONTH($O195)=MONTH(BD$4),AP195*(1+Macroindicadores!M$7),BC195)))))))))</f>
        <v>1.5</v>
      </c>
      <c r="BE195" s="40">
        <f t="shared" si="78"/>
        <v>18</v>
      </c>
      <c r="BG195" s="39">
        <f>IF(ISBLANK(Q195),"",AS195/Macroindicadores!B$2)</f>
        <v>0.25510204081632654</v>
      </c>
      <c r="BH195" s="39">
        <f>IF(ISBLANK(R195),"",AT195/Macroindicadores!C$2)</f>
        <v>0.25510204081632654</v>
      </c>
      <c r="BI195" s="39">
        <f>IF(ISBLANK(S195),"",AU195/Macroindicadores!D$2)</f>
        <v>0.25510204081632654</v>
      </c>
      <c r="BJ195" s="39">
        <f>IF(ISBLANK(T195),"",AV195/Macroindicadores!E$2)</f>
        <v>0.25510204081632654</v>
      </c>
      <c r="BK195" s="39">
        <f>IF(ISBLANK(U195),"",AW195/Macroindicadores!F$2)</f>
        <v>0.25510204081632654</v>
      </c>
      <c r="BL195" s="39">
        <f>IF(ISBLANK(V195),"",AX195/Macroindicadores!G$2)</f>
        <v>0.25510204081632654</v>
      </c>
      <c r="BM195" s="39">
        <f>IF(ISBLANK(W195),"",AY195/Macroindicadores!H$2)</f>
        <v>0.25510204081632654</v>
      </c>
      <c r="BN195" s="39">
        <f>IF(ISBLANK(X195),"",AZ195/Macroindicadores!I$2)</f>
        <v>0.25510204081632654</v>
      </c>
      <c r="BO195" s="39">
        <f>IF(ISBLANK(Y195),"",BA195/Macroindicadores!J$2)</f>
        <v>0.25510204081632654</v>
      </c>
      <c r="BP195" s="39">
        <f>IF(ISBLANK(Z195),"",BB195/Macroindicadores!K$2)</f>
        <v>0.25510204081632654</v>
      </c>
      <c r="BQ195" s="39">
        <f>IF(ISBLANK(AA195),"",BC195/Macroindicadores!L$2)</f>
        <v>0.25510204081632654</v>
      </c>
      <c r="BR195" s="39">
        <f>IF(ISBLANK(AB195),"",BD195/Macroindicadores!M$2)</f>
        <v>0.25510204081632654</v>
      </c>
      <c r="BS195" s="40">
        <f>IF(AND(ISBLANK($Q195),ISBLANK($R195),ISBLANK($S195),ISBLANK($T195),ISBLANK($U195),ISBLANK($V195),ISBLANK($W195),ISBLANK($X195),ISBLANK($Y195),ISBLANK($Z195),ISBLANK($AA195),ISBLANK($AB195)),"",SUM(BG195:BR195))</f>
        <v>3.0612244897959191</v>
      </c>
      <c r="BT195" s="25" t="str">
        <f>IF(ISBLANK($L195),"",_xlfn.XLOOKUP($L195,'CENTRO CUSTO'!$A:$A,'CENTRO CUSTO'!$E:$E,FALSE,0))</f>
        <v>Custo Fixo</v>
      </c>
    </row>
    <row r="196" spans="1:72">
      <c r="A196" s="9" t="str">
        <f t="shared" si="80"/>
        <v>Budget</v>
      </c>
      <c r="B196" s="9">
        <f t="shared" si="77"/>
        <v>2026</v>
      </c>
      <c r="C196" s="18" t="str">
        <f>IF(ISBLANK($L196),"",_xlfn.XLOOKUP($L196,'CENTRO CUSTO'!$A:$A,'CENTRO CUSTO'!F:F,FALSE,0))</f>
        <v>Transporte</v>
      </c>
      <c r="D196" s="111" t="str">
        <f>IF(ISBLANK($L196),"",_xlfn.XLOOKUP($L196,'CENTRO CUSTO'!$A:$A,'CENTRO CUSTO'!G:G,FALSE,0))</f>
        <v>Transportes</v>
      </c>
      <c r="E196" s="18" t="str">
        <f>IF(ISBLANK($L196),"",_xlfn.XLOOKUP($L196,'CENTRO CUSTO'!$A:$A,'CENTRO CUSTO'!H:H,FALSE,0))</f>
        <v>Transportes</v>
      </c>
      <c r="F196" s="10" t="s">
        <v>196</v>
      </c>
      <c r="G196" s="10" t="s">
        <v>75</v>
      </c>
      <c r="H196" s="10" t="s">
        <v>197</v>
      </c>
      <c r="I196" s="11" t="s">
        <v>77</v>
      </c>
      <c r="J196" s="11" t="s">
        <v>78</v>
      </c>
      <c r="K196" s="11" t="s">
        <v>79</v>
      </c>
      <c r="L196" s="11" t="s">
        <v>111</v>
      </c>
      <c r="M196" s="18" t="str">
        <f>IF(ISBLANK($L196),"",_xlfn.XLOOKUP($L196,'CENTRO CUSTO'!$A:$A,'CENTRO CUSTO'!D:D,FALSE,0))</f>
        <v>Alexandre Ayabe</v>
      </c>
      <c r="N196" s="11" t="s">
        <v>87</v>
      </c>
      <c r="O196" s="12"/>
      <c r="P196" s="11" t="s">
        <v>81</v>
      </c>
      <c r="Q196" s="41">
        <v>150</v>
      </c>
      <c r="R196" s="41">
        <v>150</v>
      </c>
      <c r="S196" s="41">
        <v>150</v>
      </c>
      <c r="T196" s="41">
        <v>150</v>
      </c>
      <c r="U196" s="41">
        <v>150</v>
      </c>
      <c r="V196" s="41">
        <v>150</v>
      </c>
      <c r="W196" s="41">
        <v>150</v>
      </c>
      <c r="X196" s="41">
        <v>150</v>
      </c>
      <c r="Y196" s="41">
        <v>150</v>
      </c>
      <c r="Z196" s="41">
        <v>150</v>
      </c>
      <c r="AA196" s="41">
        <v>150</v>
      </c>
      <c r="AB196" s="41">
        <v>150</v>
      </c>
      <c r="AC196" s="116">
        <f t="shared" ref="AC196:AC198" si="93">IF(AND(ISBLANK($Q196),ISBLANK($R196),ISBLANK($S196),ISBLANK($T196),ISBLANK($U196),ISBLANK($V196),ISBLANK($W196),ISBLANK($X196),ISBLANK($Y196),ISBLANK($Z196),ISBLANK($AA196),ISBLANK($AB196)),"",SUM(Q196:AB196))</f>
        <v>1800</v>
      </c>
      <c r="AE196" s="39">
        <f>IF(ISBLANK(Q196),"",IF($P196="BRL",Q196,Q196*Macroindicadores!B$2)/1000)</f>
        <v>0.15</v>
      </c>
      <c r="AF196" s="39">
        <f>IF(ISBLANK(R196),"",IF($P196="BRL",R196,R196*Macroindicadores!C$2)/1000)</f>
        <v>0.15</v>
      </c>
      <c r="AG196" s="39">
        <f>IF(ISBLANK(S196),"",IF($P196="BRL",S196,S196*Macroindicadores!D$2)/1000)</f>
        <v>0.15</v>
      </c>
      <c r="AH196" s="39">
        <f>IF(ISBLANK(T196),"",IF($P196="BRL",T196,T196*Macroindicadores!E$2)/1000)</f>
        <v>0.15</v>
      </c>
      <c r="AI196" s="39">
        <f>IF(ISBLANK(U196),"",IF($P196="BRL",U196,U196*Macroindicadores!F$2)/1000)</f>
        <v>0.15</v>
      </c>
      <c r="AJ196" s="39">
        <f>IF(ISBLANK(V196),"",IF($P196="BRL",V196,V196*Macroindicadores!G$2)/1000)</f>
        <v>0.15</v>
      </c>
      <c r="AK196" s="39">
        <f>IF(ISBLANK(W196),"",IF($P196="BRL",W196,W196*Macroindicadores!H$2)/1000)</f>
        <v>0.15</v>
      </c>
      <c r="AL196" s="39">
        <f>IF(ISBLANK(X196),"",IF($P196="BRL",X196,X196*Macroindicadores!I$2)/1000)</f>
        <v>0.15</v>
      </c>
      <c r="AM196" s="39">
        <f>IF(ISBLANK(Y196),"",IF($P196="BRL",Y196,Y196*Macroindicadores!J$2)/1000)</f>
        <v>0.15</v>
      </c>
      <c r="AN196" s="39">
        <f>IF(ISBLANK(Z196),"",IF($P196="BRL",Z196,Z196*Macroindicadores!K$2)/1000)</f>
        <v>0.15</v>
      </c>
      <c r="AO196" s="39">
        <f>IF(ISBLANK(AA196),"",IF($P196="BRL",AA196,AA196*Macroindicadores!L$2)/1000)</f>
        <v>0.15</v>
      </c>
      <c r="AP196" s="39">
        <f>IF(ISBLANK(AB196),"",IF($P196="BRL",AB196,AB196*Macroindicadores!M$2)/1000)</f>
        <v>0.15</v>
      </c>
      <c r="AQ196" s="40">
        <f t="shared" ref="AQ196:AQ198" si="94">IF(AND(ISBLANK($Q196),ISBLANK($R196),ISBLANK($S196),ISBLANK($T196),ISBLANK($U196),ISBLANK($V196),ISBLANK($W196),ISBLANK($X196),ISBLANK($Y196),ISBLANK($Z196),ISBLANK($AA196),ISBLANK($AB196)),"",SUM(AE196:AP196))</f>
        <v>1.7999999999999996</v>
      </c>
      <c r="AS196" s="39">
        <f>IF(ISBLANK(Q196),"",IF(ISBLANK($O196),AE196,IF($J196="ANUAL",AE196*(1+Macroindicadores!B$7),IF(AND($I196="NOVO",MONTH($O196)=MONTH(AS$4)),AE196*(1+Macroindicadores!B$7),IF(AND($J196="PONTUAL",MONTH($O196)=MONTH(AS$4)),AE196*(1+Macroindicadores!B$7),IF(AND($J196="PONTUAL",MONTH($O196)&lt;MONTH(AS$4)),MIN(AR196:$AS196),IF(AND($I196="NOVO",MONTH($O196)&gt;MONTH(AS$4)),AE196,IF(MONTH($O196)&gt;MONTH(AS$4),AE196,IF(MONTH($O196)=MONTH(AS$4),AE196*(1+Macroindicadores!B$7),AR196)))))))))</f>
        <v>0.15</v>
      </c>
      <c r="AT196" s="39">
        <f>IF(ISBLANK(R196),"",IF(ISBLANK($O196),AF196,IF($J196="ANUAL",AF196*(1+Macroindicadores!C$7),IF(AND($I196="NOVO",MONTH($O196)=MONTH(AT$4)),AF196*(1+Macroindicadores!C$7),IF(AND($J196="PONTUAL",MONTH($O196)=MONTH(AT$4)),AF196*(1+Macroindicadores!C$7),IF(AND($J196="PONTUAL",MONTH($O196)&lt;MONTH(AT$4)),MIN($AS196:AS196),IF(AND($I196="NOVO",MONTH($O196)&gt;MONTH(AT$4)),AF196,IF(MONTH($O196)&gt;MONTH(AT$4),AF196,IF(MONTH($O196)=MONTH(AT$4),AF196*(1+Macroindicadores!C$7),AS196)))))))))</f>
        <v>0.15</v>
      </c>
      <c r="AU196" s="39">
        <f>IF(ISBLANK(S196),"",IF(ISBLANK($O196),AG196,IF($J196="ANUAL",AG196*(1+Macroindicadores!D$7),IF(AND($I196="NOVO",MONTH($O196)=MONTH(AU$4)),AG196*(1+Macroindicadores!D$7),IF(AND($J196="PONTUAL",MONTH($O196)=MONTH(AU$4)),AG196*(1+Macroindicadores!D$7),IF(AND($J196="PONTUAL",MONTH($O196)&lt;MONTH(AU$4)),MIN($AS196:AT196),IF(AND($I196="NOVO",MONTH($O196)&gt;MONTH(AU$4)),AG196,IF(MONTH($O196)&gt;MONTH(AU$4),AG196,IF(MONTH($O196)=MONTH(AU$4),AG196*(1+Macroindicadores!D$7),AT196)))))))))</f>
        <v>0.15</v>
      </c>
      <c r="AV196" s="39">
        <f>IF(ISBLANK(T196),"",IF(ISBLANK($O196),AH196,IF($J196="ANUAL",AH196*(1+Macroindicadores!E$7),IF(AND($I196="NOVO",MONTH($O196)=MONTH(AV$4)),AH196*(1+Macroindicadores!E$7),IF(AND($J196="PONTUAL",MONTH($O196)=MONTH(AV$4)),AH196*(1+Macroindicadores!E$7),IF(AND($J196="PONTUAL",MONTH($O196)&lt;MONTH(AV$4)),MIN($AS196:AU196),IF(AND($I196="NOVO",MONTH($O196)&gt;MONTH(AV$4)),AH196,IF(MONTH($O196)&gt;MONTH(AV$4),AH196,IF(MONTH($O196)=MONTH(AV$4),AH196*(1+Macroindicadores!E$7),AU196)))))))))</f>
        <v>0.15</v>
      </c>
      <c r="AW196" s="39">
        <f>IF(ISBLANK(U196),"",IF(ISBLANK($O196),AI196,IF($J196="ANUAL",AI196*(1+Macroindicadores!F$7),IF(AND($I196="NOVO",MONTH($O196)=MONTH(AW$4)),AI196*(1+Macroindicadores!F$7),IF(AND($J196="PONTUAL",MONTH($O196)=MONTH(AW$4)),AI196*(1+Macroindicadores!F$7),IF(AND($J196="PONTUAL",MONTH($O196)&lt;MONTH(AW$4)),MIN($AS196:AV196),IF(AND($I196="NOVO",MONTH($O196)&gt;MONTH(AW$4)),AI196,IF(MONTH($O196)&gt;MONTH(AW$4),AI196,IF(MONTH($O196)=MONTH(AW$4),AI196*(1+Macroindicadores!F$7),AV196)))))))))</f>
        <v>0.15</v>
      </c>
      <c r="AX196" s="39">
        <f>IF(ISBLANK(V196),"",IF(ISBLANK($O196),AJ196,IF($J196="ANUAL",AJ196*(1+Macroindicadores!G$7),IF(AND($I196="NOVO",MONTH($O196)=MONTH(AX$4)),AJ196*(1+Macroindicadores!G$7),IF(AND($J196="PONTUAL",MONTH($O196)=MONTH(AX$4)),AJ196*(1+Macroindicadores!G$7),IF(AND($J196="PONTUAL",MONTH($O196)&lt;MONTH(AX$4)),MIN($AS196:AW196),IF(AND($I196="NOVO",MONTH($O196)&gt;MONTH(AX$4)),AJ196,IF(MONTH($O196)&gt;MONTH(AX$4),AJ196,IF(MONTH($O196)=MONTH(AX$4),AJ196*(1+Macroindicadores!G$7),AW196)))))))))</f>
        <v>0.15</v>
      </c>
      <c r="AY196" s="39">
        <f>IF(ISBLANK(W196),"",IF(ISBLANK($O196),AK196,IF($J196="ANUAL",AK196*(1+Macroindicadores!H$7),IF(AND($I196="NOVO",MONTH($O196)=MONTH(AY$4)),AK196*(1+Macroindicadores!H$7),IF(AND($J196="PONTUAL",MONTH($O196)=MONTH(AY$4)),AK196*(1+Macroindicadores!H$7),IF(AND($J196="PONTUAL",MONTH($O196)&lt;MONTH(AY$4)),MIN($AS196:AX196),IF(AND($I196="NOVO",MONTH($O196)&gt;MONTH(AY$4)),AK196,IF(MONTH($O196)&gt;MONTH(AY$4),AK196,IF(MONTH($O196)=MONTH(AY$4),AK196*(1+Macroindicadores!H$7),AX196)))))))))</f>
        <v>0.15</v>
      </c>
      <c r="AZ196" s="39">
        <f>IF(ISBLANK(X196),"",IF(ISBLANK($O196),AL196,IF($J196="ANUAL",AL196*(1+Macroindicadores!I$7),IF(AND($I196="NOVO",MONTH($O196)=MONTH(AZ$4)),AL196*(1+Macroindicadores!I$7),IF(AND($J196="PONTUAL",MONTH($O196)=MONTH(AZ$4)),AL196*(1+Macroindicadores!I$7),IF(AND($J196="PONTUAL",MONTH($O196)&lt;MONTH(AZ$4)),MIN($AS196:AY196),IF(AND($I196="NOVO",MONTH($O196)&gt;MONTH(AZ$4)),AL196,IF(MONTH($O196)&gt;MONTH(AZ$4),AL196,IF(MONTH($O196)=MONTH(AZ$4),AL196*(1+Macroindicadores!I$7),AY196)))))))))</f>
        <v>0.15</v>
      </c>
      <c r="BA196" s="39">
        <f>IF(ISBLANK(Y196),"",IF(ISBLANK($O196),AM196,IF($J196="ANUAL",AM196*(1+Macroindicadores!J$7),IF(AND($I196="NOVO",MONTH($O196)=MONTH(BA$4)),AM196*(1+Macroindicadores!J$7),IF(AND($J196="PONTUAL",MONTH($O196)=MONTH(BA$4)),AM196*(1+Macroindicadores!J$7),IF(AND($J196="PONTUAL",MONTH($O196)&lt;MONTH(BA$4)),MIN($AS196:AZ196),IF(AND($I196="NOVO",MONTH($O196)&gt;MONTH(BA$4)),AM196,IF(MONTH($O196)&gt;MONTH(BA$4),AM196,IF(MONTH($O196)=MONTH(BA$4),AM196*(1+Macroindicadores!J$7),AZ196)))))))))</f>
        <v>0.15</v>
      </c>
      <c r="BB196" s="39">
        <f>IF(ISBLANK(Z196),"",IF(ISBLANK($O196),AN196,IF($J196="ANUAL",AN196*(1+Macroindicadores!K$7),IF(AND($I196="NOVO",MONTH($O196)=MONTH(BB$4)),AN196*(1+Macroindicadores!K$7),IF(AND($J196="PONTUAL",MONTH($O196)=MONTH(BB$4)),AN196*(1+Macroindicadores!K$7),IF(AND($J196="PONTUAL",MONTH($O196)&lt;MONTH(BB$4)),MIN($AS196:BA196),IF(AND($I196="NOVO",MONTH($O196)&gt;MONTH(BB$4)),AN196,IF(MONTH($O196)&gt;MONTH(BB$4),AN196,IF(MONTH($O196)=MONTH(BB$4),AN196*(1+Macroindicadores!K$7),BA196)))))))))</f>
        <v>0.15</v>
      </c>
      <c r="BC196" s="39">
        <f>IF(ISBLANK(AA196),"",IF(ISBLANK($O196),AO196,IF($J196="ANUAL",AO196*(1+Macroindicadores!L$7),IF(AND($I196="NOVO",MONTH($O196)=MONTH(BC$4)),AO196*(1+Macroindicadores!L$7),IF(AND($J196="PONTUAL",MONTH($O196)=MONTH(BC$4)),AO196*(1+Macroindicadores!L$7),IF(AND($J196="PONTUAL",MONTH($O196)&lt;MONTH(BC$4)),MIN($AS196:BB196),IF(AND($I196="NOVO",MONTH($O196)&gt;MONTH(BC$4)),AO196,IF(MONTH($O196)&gt;MONTH(BC$4),AO196,IF(MONTH($O196)=MONTH(BC$4),AO196*(1+Macroindicadores!L$7),BB196)))))))))</f>
        <v>0.15</v>
      </c>
      <c r="BD196" s="39">
        <f>IF(ISBLANK(AB196),"",IF(ISBLANK($O196),AP196,IF($J196="ANUAL",AP196*(1+Macroindicadores!M$7),IF(AND($I196="NOVO",MONTH($O196)=MONTH(BD$4)),AP196*(1+Macroindicadores!M$7),IF(AND($J196="PONTUAL",MONTH($O196)=MONTH(BD$4)),AP196*(1+Macroindicadores!M$7),IF(AND($J196="PONTUAL",MONTH($O196)&lt;MONTH(BD$4)),MIN($AS196:BC196),IF(AND($I196="NOVO",MONTH($O196)&gt;MONTH(BD$4)),AP196,IF(MONTH($O196)&gt;MONTH(BD$4),AP196,IF(MONTH($O196)=MONTH(BD$4),AP196*(1+Macroindicadores!M$7),BC196)))))))))</f>
        <v>0.15</v>
      </c>
      <c r="BE196" s="40">
        <f t="shared" ref="BE196:BE198" si="95">IF(AND(ISBLANK($Q196),ISBLANK($R196),ISBLANK($S196),ISBLANK($T196),ISBLANK($U196),ISBLANK($V196),ISBLANK($W196),ISBLANK($X196),ISBLANK($Y196),ISBLANK($Z196),ISBLANK($AA196),ISBLANK($AB196)),"",SUM(AS196:BD196))</f>
        <v>1.7999999999999996</v>
      </c>
      <c r="BG196" s="39">
        <f>IF(ISBLANK(Q196),"",AS196/Macroindicadores!B$2)</f>
        <v>2.5510204081632654E-2</v>
      </c>
      <c r="BH196" s="39">
        <f>IF(ISBLANK(R196),"",AT196/Macroindicadores!C$2)</f>
        <v>2.5510204081632654E-2</v>
      </c>
      <c r="BI196" s="39">
        <f>IF(ISBLANK(S196),"",AU196/Macroindicadores!D$2)</f>
        <v>2.5510204081632654E-2</v>
      </c>
      <c r="BJ196" s="39">
        <f>IF(ISBLANK(T196),"",AV196/Macroindicadores!E$2)</f>
        <v>2.5510204081632654E-2</v>
      </c>
      <c r="BK196" s="39">
        <f>IF(ISBLANK(U196),"",AW196/Macroindicadores!F$2)</f>
        <v>2.5510204081632654E-2</v>
      </c>
      <c r="BL196" s="39">
        <f>IF(ISBLANK(V196),"",AX196/Macroindicadores!G$2)</f>
        <v>2.5510204081632654E-2</v>
      </c>
      <c r="BM196" s="39">
        <f>IF(ISBLANK(W196),"",AY196/Macroindicadores!H$2)</f>
        <v>2.5510204081632654E-2</v>
      </c>
      <c r="BN196" s="39">
        <f>IF(ISBLANK(X196),"",AZ196/Macroindicadores!I$2)</f>
        <v>2.5510204081632654E-2</v>
      </c>
      <c r="BO196" s="39">
        <f>IF(ISBLANK(Y196),"",BA196/Macroindicadores!J$2)</f>
        <v>2.5510204081632654E-2</v>
      </c>
      <c r="BP196" s="39">
        <f>IF(ISBLANK(Z196),"",BB196/Macroindicadores!K$2)</f>
        <v>2.5510204081632654E-2</v>
      </c>
      <c r="BQ196" s="39">
        <f>IF(ISBLANK(AA196),"",BC196/Macroindicadores!L$2)</f>
        <v>2.5510204081632654E-2</v>
      </c>
      <c r="BR196" s="39">
        <f>IF(ISBLANK(AB196),"",BD196/Macroindicadores!M$2)</f>
        <v>2.5510204081632654E-2</v>
      </c>
      <c r="BS196" s="40">
        <f>IF(AND(ISBLANK($Q196),ISBLANK($R196),ISBLANK($S196),ISBLANK($T196),ISBLANK($U196),ISBLANK($V196),ISBLANK($W196),ISBLANK($X196),ISBLANK($Y196),ISBLANK($Z196),ISBLANK($AA196),ISBLANK($AB196)),"",SUM(BG196:BR196))</f>
        <v>0.30612244897959184</v>
      </c>
      <c r="BT196" s="25" t="str">
        <f>IF(ISBLANK($L196),"",_xlfn.XLOOKUP($L196,'CENTRO CUSTO'!$A:$A,'CENTRO CUSTO'!$E:$E,FALSE,0))</f>
        <v>Custo Fixo</v>
      </c>
    </row>
    <row r="197" spans="1:72">
      <c r="A197" s="9" t="str">
        <f t="shared" si="80"/>
        <v>Budget</v>
      </c>
      <c r="B197" s="9">
        <f t="shared" si="77"/>
        <v>2026</v>
      </c>
      <c r="C197" s="18" t="str">
        <f>IF(ISBLANK($L197),"",_xlfn.XLOOKUP($L197,'CENTRO CUSTO'!$A:$A,'CENTRO CUSTO'!F:F,FALSE,0))</f>
        <v>Transporte</v>
      </c>
      <c r="D197" s="111" t="str">
        <f>IF(ISBLANK($L197),"",_xlfn.XLOOKUP($L197,'CENTRO CUSTO'!$A:$A,'CENTRO CUSTO'!G:G,FALSE,0))</f>
        <v>Transportes</v>
      </c>
      <c r="E197" s="18" t="str">
        <f>IF(ISBLANK($L197),"",_xlfn.XLOOKUP($L197,'CENTRO CUSTO'!$A:$A,'CENTRO CUSTO'!H:H,FALSE,0))</f>
        <v>Transportes</v>
      </c>
      <c r="F197" s="10" t="s">
        <v>198</v>
      </c>
      <c r="G197" s="10" t="s">
        <v>75</v>
      </c>
      <c r="H197" s="10" t="s">
        <v>199</v>
      </c>
      <c r="I197" s="11" t="s">
        <v>77</v>
      </c>
      <c r="J197" s="11" t="s">
        <v>78</v>
      </c>
      <c r="K197" s="11" t="s">
        <v>79</v>
      </c>
      <c r="L197" s="11" t="s">
        <v>111</v>
      </c>
      <c r="M197" s="18" t="str">
        <f>IF(ISBLANK($L197),"",_xlfn.XLOOKUP($L197,'CENTRO CUSTO'!$A:$A,'CENTRO CUSTO'!D:D,FALSE,0))</f>
        <v>Alexandre Ayabe</v>
      </c>
      <c r="N197" s="11" t="s">
        <v>91</v>
      </c>
      <c r="O197" s="12"/>
      <c r="P197" s="11" t="s">
        <v>81</v>
      </c>
      <c r="Q197" s="41">
        <v>10000</v>
      </c>
      <c r="R197" s="41">
        <v>10000</v>
      </c>
      <c r="S197" s="41">
        <v>10000</v>
      </c>
      <c r="T197" s="41">
        <v>10000</v>
      </c>
      <c r="U197" s="41">
        <v>10000</v>
      </c>
      <c r="V197" s="41">
        <v>10000</v>
      </c>
      <c r="W197" s="41">
        <v>10000</v>
      </c>
      <c r="X197" s="41">
        <v>10000</v>
      </c>
      <c r="Y197" s="41">
        <v>10000</v>
      </c>
      <c r="Z197" s="41">
        <v>10000</v>
      </c>
      <c r="AA197" s="41">
        <v>10000</v>
      </c>
      <c r="AB197" s="41">
        <v>10000</v>
      </c>
      <c r="AC197" s="116">
        <f t="shared" si="93"/>
        <v>120000</v>
      </c>
      <c r="AE197" s="39">
        <f>IF(ISBLANK(Q197),"",IF($P197="BRL",Q197,Q197*Macroindicadores!B$2)/1000)</f>
        <v>10</v>
      </c>
      <c r="AF197" s="39">
        <f>IF(ISBLANK(R197),"",IF($P197="BRL",R197,R197*Macroindicadores!C$2)/1000)</f>
        <v>10</v>
      </c>
      <c r="AG197" s="39">
        <f>IF(ISBLANK(S197),"",IF($P197="BRL",S197,S197*Macroindicadores!D$2)/1000)</f>
        <v>10</v>
      </c>
      <c r="AH197" s="39">
        <f>IF(ISBLANK(T197),"",IF($P197="BRL",T197,T197*Macroindicadores!E$2)/1000)</f>
        <v>10</v>
      </c>
      <c r="AI197" s="39">
        <f>IF(ISBLANK(U197),"",IF($P197="BRL",U197,U197*Macroindicadores!F$2)/1000)</f>
        <v>10</v>
      </c>
      <c r="AJ197" s="39">
        <f>IF(ISBLANK(V197),"",IF($P197="BRL",V197,V197*Macroindicadores!G$2)/1000)</f>
        <v>10</v>
      </c>
      <c r="AK197" s="39">
        <f>IF(ISBLANK(W197),"",IF($P197="BRL",W197,W197*Macroindicadores!H$2)/1000)</f>
        <v>10</v>
      </c>
      <c r="AL197" s="39">
        <f>IF(ISBLANK(X197),"",IF($P197="BRL",X197,X197*Macroindicadores!I$2)/1000)</f>
        <v>10</v>
      </c>
      <c r="AM197" s="39">
        <f>IF(ISBLANK(Y197),"",IF($P197="BRL",Y197,Y197*Macroindicadores!J$2)/1000)</f>
        <v>10</v>
      </c>
      <c r="AN197" s="39">
        <f>IF(ISBLANK(Z197),"",IF($P197="BRL",Z197,Z197*Macroindicadores!K$2)/1000)</f>
        <v>10</v>
      </c>
      <c r="AO197" s="39">
        <f>IF(ISBLANK(AA197),"",IF($P197="BRL",AA197,AA197*Macroindicadores!L$2)/1000)</f>
        <v>10</v>
      </c>
      <c r="AP197" s="39">
        <f>IF(ISBLANK(AB197),"",IF($P197="BRL",AB197,AB197*Macroindicadores!M$2)/1000)</f>
        <v>10</v>
      </c>
      <c r="AQ197" s="40">
        <f t="shared" si="94"/>
        <v>120</v>
      </c>
      <c r="AS197" s="39">
        <f>IF(ISBLANK(Q197),"",IF(ISBLANK($O197),AE197,IF($J197="ANUAL",AE197*(1+Macroindicadores!B$7),IF(AND($I197="NOVO",MONTH($O197)=MONTH(AS$4)),AE197*(1+Macroindicadores!B$7),IF(AND($J197="PONTUAL",MONTH($O197)=MONTH(AS$4)),AE197*(1+Macroindicadores!B$7),IF(AND($J197="PONTUAL",MONTH($O197)&lt;MONTH(AS$4)),MIN(AR197:$AS197),IF(AND($I197="NOVO",MONTH($O197)&gt;MONTH(AS$4)),AE197,IF(MONTH($O197)&gt;MONTH(AS$4),AE197,IF(MONTH($O197)=MONTH(AS$4),AE197*(1+Macroindicadores!B$7),AR197)))))))))</f>
        <v>10</v>
      </c>
      <c r="AT197" s="39">
        <f>IF(ISBLANK(R197),"",IF(ISBLANK($O197),AF197,IF($J197="ANUAL",AF197*(1+Macroindicadores!C$7),IF(AND($I197="NOVO",MONTH($O197)=MONTH(AT$4)),AF197*(1+Macroindicadores!C$7),IF(AND($J197="PONTUAL",MONTH($O197)=MONTH(AT$4)),AF197*(1+Macroindicadores!C$7),IF(AND($J197="PONTUAL",MONTH($O197)&lt;MONTH(AT$4)),MIN($AS197:AS197),IF(AND($I197="NOVO",MONTH($O197)&gt;MONTH(AT$4)),AF197,IF(MONTH($O197)&gt;MONTH(AT$4),AF197,IF(MONTH($O197)=MONTH(AT$4),AF197*(1+Macroindicadores!C$7),AS197)))))))))</f>
        <v>10</v>
      </c>
      <c r="AU197" s="39">
        <f>IF(ISBLANK(S197),"",IF(ISBLANK($O197),AG197,IF($J197="ANUAL",AG197*(1+Macroindicadores!D$7),IF(AND($I197="NOVO",MONTH($O197)=MONTH(AU$4)),AG197*(1+Macroindicadores!D$7),IF(AND($J197="PONTUAL",MONTH($O197)=MONTH(AU$4)),AG197*(1+Macroindicadores!D$7),IF(AND($J197="PONTUAL",MONTH($O197)&lt;MONTH(AU$4)),MIN($AS197:AT197),IF(AND($I197="NOVO",MONTH($O197)&gt;MONTH(AU$4)),AG197,IF(MONTH($O197)&gt;MONTH(AU$4),AG197,IF(MONTH($O197)=MONTH(AU$4),AG197*(1+Macroindicadores!D$7),AT197)))))))))</f>
        <v>10</v>
      </c>
      <c r="AV197" s="39">
        <f>IF(ISBLANK(T197),"",IF(ISBLANK($O197),AH197,IF($J197="ANUAL",AH197*(1+Macroindicadores!E$7),IF(AND($I197="NOVO",MONTH($O197)=MONTH(AV$4)),AH197*(1+Macroindicadores!E$7),IF(AND($J197="PONTUAL",MONTH($O197)=MONTH(AV$4)),AH197*(1+Macroindicadores!E$7),IF(AND($J197="PONTUAL",MONTH($O197)&lt;MONTH(AV$4)),MIN($AS197:AU197),IF(AND($I197="NOVO",MONTH($O197)&gt;MONTH(AV$4)),AH197,IF(MONTH($O197)&gt;MONTH(AV$4),AH197,IF(MONTH($O197)=MONTH(AV$4),AH197*(1+Macroindicadores!E$7),AU197)))))))))</f>
        <v>10</v>
      </c>
      <c r="AW197" s="39">
        <f>IF(ISBLANK(U197),"",IF(ISBLANK($O197),AI197,IF($J197="ANUAL",AI197*(1+Macroindicadores!F$7),IF(AND($I197="NOVO",MONTH($O197)=MONTH(AW$4)),AI197*(1+Macroindicadores!F$7),IF(AND($J197="PONTUAL",MONTH($O197)=MONTH(AW$4)),AI197*(1+Macroindicadores!F$7),IF(AND($J197="PONTUAL",MONTH($O197)&lt;MONTH(AW$4)),MIN($AS197:AV197),IF(AND($I197="NOVO",MONTH($O197)&gt;MONTH(AW$4)),AI197,IF(MONTH($O197)&gt;MONTH(AW$4),AI197,IF(MONTH($O197)=MONTH(AW$4),AI197*(1+Macroindicadores!F$7),AV197)))))))))</f>
        <v>10</v>
      </c>
      <c r="AX197" s="39">
        <f>IF(ISBLANK(V197),"",IF(ISBLANK($O197),AJ197,IF($J197="ANUAL",AJ197*(1+Macroindicadores!G$7),IF(AND($I197="NOVO",MONTH($O197)=MONTH(AX$4)),AJ197*(1+Macroindicadores!G$7),IF(AND($J197="PONTUAL",MONTH($O197)=MONTH(AX$4)),AJ197*(1+Macroindicadores!G$7),IF(AND($J197="PONTUAL",MONTH($O197)&lt;MONTH(AX$4)),MIN($AS197:AW197),IF(AND($I197="NOVO",MONTH($O197)&gt;MONTH(AX$4)),AJ197,IF(MONTH($O197)&gt;MONTH(AX$4),AJ197,IF(MONTH($O197)=MONTH(AX$4),AJ197*(1+Macroindicadores!G$7),AW197)))))))))</f>
        <v>10</v>
      </c>
      <c r="AY197" s="39">
        <f>IF(ISBLANK(W197),"",IF(ISBLANK($O197),AK197,IF($J197="ANUAL",AK197*(1+Macroindicadores!H$7),IF(AND($I197="NOVO",MONTH($O197)=MONTH(AY$4)),AK197*(1+Macroindicadores!H$7),IF(AND($J197="PONTUAL",MONTH($O197)=MONTH(AY$4)),AK197*(1+Macroindicadores!H$7),IF(AND($J197="PONTUAL",MONTH($O197)&lt;MONTH(AY$4)),MIN($AS197:AX197),IF(AND($I197="NOVO",MONTH($O197)&gt;MONTH(AY$4)),AK197,IF(MONTH($O197)&gt;MONTH(AY$4),AK197,IF(MONTH($O197)=MONTH(AY$4),AK197*(1+Macroindicadores!H$7),AX197)))))))))</f>
        <v>10</v>
      </c>
      <c r="AZ197" s="39">
        <f>IF(ISBLANK(X197),"",IF(ISBLANK($O197),AL197,IF($J197="ANUAL",AL197*(1+Macroindicadores!I$7),IF(AND($I197="NOVO",MONTH($O197)=MONTH(AZ$4)),AL197*(1+Macroindicadores!I$7),IF(AND($J197="PONTUAL",MONTH($O197)=MONTH(AZ$4)),AL197*(1+Macroindicadores!I$7),IF(AND($J197="PONTUAL",MONTH($O197)&lt;MONTH(AZ$4)),MIN($AS197:AY197),IF(AND($I197="NOVO",MONTH($O197)&gt;MONTH(AZ$4)),AL197,IF(MONTH($O197)&gt;MONTH(AZ$4),AL197,IF(MONTH($O197)=MONTH(AZ$4),AL197*(1+Macroindicadores!I$7),AY197)))))))))</f>
        <v>10</v>
      </c>
      <c r="BA197" s="39">
        <f>IF(ISBLANK(Y197),"",IF(ISBLANK($O197),AM197,IF($J197="ANUAL",AM197*(1+Macroindicadores!J$7),IF(AND($I197="NOVO",MONTH($O197)=MONTH(BA$4)),AM197*(1+Macroindicadores!J$7),IF(AND($J197="PONTUAL",MONTH($O197)=MONTH(BA$4)),AM197*(1+Macroindicadores!J$7),IF(AND($J197="PONTUAL",MONTH($O197)&lt;MONTH(BA$4)),MIN($AS197:AZ197),IF(AND($I197="NOVO",MONTH($O197)&gt;MONTH(BA$4)),AM197,IF(MONTH($O197)&gt;MONTH(BA$4),AM197,IF(MONTH($O197)=MONTH(BA$4),AM197*(1+Macroindicadores!J$7),AZ197)))))))))</f>
        <v>10</v>
      </c>
      <c r="BB197" s="39">
        <f>IF(ISBLANK(Z197),"",IF(ISBLANK($O197),AN197,IF($J197="ANUAL",AN197*(1+Macroindicadores!K$7),IF(AND($I197="NOVO",MONTH($O197)=MONTH(BB$4)),AN197*(1+Macroindicadores!K$7),IF(AND($J197="PONTUAL",MONTH($O197)=MONTH(BB$4)),AN197*(1+Macroindicadores!K$7),IF(AND($J197="PONTUAL",MONTH($O197)&lt;MONTH(BB$4)),MIN($AS197:BA197),IF(AND($I197="NOVO",MONTH($O197)&gt;MONTH(BB$4)),AN197,IF(MONTH($O197)&gt;MONTH(BB$4),AN197,IF(MONTH($O197)=MONTH(BB$4),AN197*(1+Macroindicadores!K$7),BA197)))))))))</f>
        <v>10</v>
      </c>
      <c r="BC197" s="39">
        <f>IF(ISBLANK(AA197),"",IF(ISBLANK($O197),AO197,IF($J197="ANUAL",AO197*(1+Macroindicadores!L$7),IF(AND($I197="NOVO",MONTH($O197)=MONTH(BC$4)),AO197*(1+Macroindicadores!L$7),IF(AND($J197="PONTUAL",MONTH($O197)=MONTH(BC$4)),AO197*(1+Macroindicadores!L$7),IF(AND($J197="PONTUAL",MONTH($O197)&lt;MONTH(BC$4)),MIN($AS197:BB197),IF(AND($I197="NOVO",MONTH($O197)&gt;MONTH(BC$4)),AO197,IF(MONTH($O197)&gt;MONTH(BC$4),AO197,IF(MONTH($O197)=MONTH(BC$4),AO197*(1+Macroindicadores!L$7),BB197)))))))))</f>
        <v>10</v>
      </c>
      <c r="BD197" s="39">
        <f>IF(ISBLANK(AB197),"",IF(ISBLANK($O197),AP197,IF($J197="ANUAL",AP197*(1+Macroindicadores!M$7),IF(AND($I197="NOVO",MONTH($O197)=MONTH(BD$4)),AP197*(1+Macroindicadores!M$7),IF(AND($J197="PONTUAL",MONTH($O197)=MONTH(BD$4)),AP197*(1+Macroindicadores!M$7),IF(AND($J197="PONTUAL",MONTH($O197)&lt;MONTH(BD$4)),MIN($AS197:BC197),IF(AND($I197="NOVO",MONTH($O197)&gt;MONTH(BD$4)),AP197,IF(MONTH($O197)&gt;MONTH(BD$4),AP197,IF(MONTH($O197)=MONTH(BD$4),AP197*(1+Macroindicadores!M$7),BC197)))))))))</f>
        <v>10</v>
      </c>
      <c r="BE197" s="40">
        <f t="shared" si="95"/>
        <v>120</v>
      </c>
      <c r="BG197" s="39">
        <f>IF(ISBLANK(Q197),"",AS197/Macroindicadores!B$2)</f>
        <v>1.7006802721088436</v>
      </c>
      <c r="BH197" s="39">
        <f>IF(ISBLANK(R197),"",AT197/Macroindicadores!C$2)</f>
        <v>1.7006802721088436</v>
      </c>
      <c r="BI197" s="39">
        <f>IF(ISBLANK(S197),"",AU197/Macroindicadores!D$2)</f>
        <v>1.7006802721088436</v>
      </c>
      <c r="BJ197" s="39">
        <f>IF(ISBLANK(T197),"",AV197/Macroindicadores!E$2)</f>
        <v>1.7006802721088436</v>
      </c>
      <c r="BK197" s="39">
        <f>IF(ISBLANK(U197),"",AW197/Macroindicadores!F$2)</f>
        <v>1.7006802721088436</v>
      </c>
      <c r="BL197" s="39">
        <f>IF(ISBLANK(V197),"",AX197/Macroindicadores!G$2)</f>
        <v>1.7006802721088436</v>
      </c>
      <c r="BM197" s="39">
        <f>IF(ISBLANK(W197),"",AY197/Macroindicadores!H$2)</f>
        <v>1.7006802721088436</v>
      </c>
      <c r="BN197" s="39">
        <f>IF(ISBLANK(X197),"",AZ197/Macroindicadores!I$2)</f>
        <v>1.7006802721088436</v>
      </c>
      <c r="BO197" s="39">
        <f>IF(ISBLANK(Y197),"",BA197/Macroindicadores!J$2)</f>
        <v>1.7006802721088436</v>
      </c>
      <c r="BP197" s="39">
        <f>IF(ISBLANK(Z197),"",BB197/Macroindicadores!K$2)</f>
        <v>1.7006802721088436</v>
      </c>
      <c r="BQ197" s="39">
        <f>IF(ISBLANK(AA197),"",BC197/Macroindicadores!L$2)</f>
        <v>1.7006802721088436</v>
      </c>
      <c r="BR197" s="39">
        <f>IF(ISBLANK(AB197),"",BD197/Macroindicadores!M$2)</f>
        <v>1.7006802721088436</v>
      </c>
      <c r="BS197" s="40">
        <f>IF(AND(ISBLANK($Q197),ISBLANK($R197),ISBLANK($S197),ISBLANK($T197),ISBLANK($U197),ISBLANK($V197),ISBLANK($W197),ISBLANK($X197),ISBLANK($Y197),ISBLANK($Z197),ISBLANK($AA197),ISBLANK($AB197)),"",SUM(BG197:BR197))</f>
        <v>20.408163265306126</v>
      </c>
      <c r="BT197" s="25" t="str">
        <f>IF(ISBLANK($L197),"",_xlfn.XLOOKUP($L197,'CENTRO CUSTO'!$A:$A,'CENTRO CUSTO'!$E:$E,FALSE,0))</f>
        <v>Custo Fixo</v>
      </c>
    </row>
    <row r="198" spans="1:72">
      <c r="A198" s="9" t="str">
        <f t="shared" si="80"/>
        <v>Budget</v>
      </c>
      <c r="B198" s="9">
        <f t="shared" si="77"/>
        <v>2026</v>
      </c>
      <c r="C198" s="18" t="str">
        <f>IF(ISBLANK($L198),"",_xlfn.XLOOKUP($L198,'CENTRO CUSTO'!$A:$A,'CENTRO CUSTO'!F:F,FALSE,0))</f>
        <v>Transporte</v>
      </c>
      <c r="D198" s="111" t="str">
        <f>IF(ISBLANK($L198),"",_xlfn.XLOOKUP($L198,'CENTRO CUSTO'!$A:$A,'CENTRO CUSTO'!G:G,FALSE,0))</f>
        <v>Transportes</v>
      </c>
      <c r="E198" s="18" t="str">
        <f>IF(ISBLANK($L198),"",_xlfn.XLOOKUP($L198,'CENTRO CUSTO'!$A:$A,'CENTRO CUSTO'!H:H,FALSE,0))</f>
        <v>Transportes</v>
      </c>
      <c r="F198" s="10" t="s">
        <v>200</v>
      </c>
      <c r="G198" s="10" t="s">
        <v>75</v>
      </c>
      <c r="H198" s="10" t="s">
        <v>201</v>
      </c>
      <c r="I198" s="11" t="s">
        <v>77</v>
      </c>
      <c r="J198" s="11" t="s">
        <v>78</v>
      </c>
      <c r="K198" s="11" t="s">
        <v>79</v>
      </c>
      <c r="L198" s="11" t="s">
        <v>111</v>
      </c>
      <c r="M198" s="18" t="str">
        <f>IF(ISBLANK($L198),"",_xlfn.XLOOKUP($L198,'CENTRO CUSTO'!$A:$A,'CENTRO CUSTO'!D:D,FALSE,0))</f>
        <v>Alexandre Ayabe</v>
      </c>
      <c r="N198" s="11" t="s">
        <v>106</v>
      </c>
      <c r="O198" s="12"/>
      <c r="P198" s="11" t="s">
        <v>81</v>
      </c>
      <c r="Q198" s="41">
        <v>1200</v>
      </c>
      <c r="R198" s="41">
        <v>1200</v>
      </c>
      <c r="S198" s="41">
        <v>1200</v>
      </c>
      <c r="T198" s="41">
        <v>1200</v>
      </c>
      <c r="U198" s="41">
        <v>1200</v>
      </c>
      <c r="V198" s="41">
        <v>1200</v>
      </c>
      <c r="W198" s="41">
        <v>1200</v>
      </c>
      <c r="X198" s="41">
        <v>1200</v>
      </c>
      <c r="Y198" s="41">
        <v>1200</v>
      </c>
      <c r="Z198" s="41">
        <v>1200</v>
      </c>
      <c r="AA198" s="41">
        <v>1200</v>
      </c>
      <c r="AB198" s="41">
        <v>1200</v>
      </c>
      <c r="AC198" s="116">
        <f t="shared" si="93"/>
        <v>14400</v>
      </c>
      <c r="AE198" s="39">
        <f>IF(ISBLANK(Q198),"",IF($P198="BRL",Q198,Q198*Macroindicadores!B$2)/1000)</f>
        <v>1.2</v>
      </c>
      <c r="AF198" s="39">
        <f>IF(ISBLANK(R198),"",IF($P198="BRL",R198,R198*Macroindicadores!C$2)/1000)</f>
        <v>1.2</v>
      </c>
      <c r="AG198" s="39">
        <f>IF(ISBLANK(S198),"",IF($P198="BRL",S198,S198*Macroindicadores!D$2)/1000)</f>
        <v>1.2</v>
      </c>
      <c r="AH198" s="39">
        <f>IF(ISBLANK(T198),"",IF($P198="BRL",T198,T198*Macroindicadores!E$2)/1000)</f>
        <v>1.2</v>
      </c>
      <c r="AI198" s="39">
        <f>IF(ISBLANK(U198),"",IF($P198="BRL",U198,U198*Macroindicadores!F$2)/1000)</f>
        <v>1.2</v>
      </c>
      <c r="AJ198" s="39">
        <f>IF(ISBLANK(V198),"",IF($P198="BRL",V198,V198*Macroindicadores!G$2)/1000)</f>
        <v>1.2</v>
      </c>
      <c r="AK198" s="39">
        <f>IF(ISBLANK(W198),"",IF($P198="BRL",W198,W198*Macroindicadores!H$2)/1000)</f>
        <v>1.2</v>
      </c>
      <c r="AL198" s="39">
        <f>IF(ISBLANK(X198),"",IF($P198="BRL",X198,X198*Macroindicadores!I$2)/1000)</f>
        <v>1.2</v>
      </c>
      <c r="AM198" s="39">
        <f>IF(ISBLANK(Y198),"",IF($P198="BRL",Y198,Y198*Macroindicadores!J$2)/1000)</f>
        <v>1.2</v>
      </c>
      <c r="AN198" s="39">
        <f>IF(ISBLANK(Z198),"",IF($P198="BRL",Z198,Z198*Macroindicadores!K$2)/1000)</f>
        <v>1.2</v>
      </c>
      <c r="AO198" s="39">
        <f>IF(ISBLANK(AA198),"",IF($P198="BRL",AA198,AA198*Macroindicadores!L$2)/1000)</f>
        <v>1.2</v>
      </c>
      <c r="AP198" s="39">
        <f>IF(ISBLANK(AB198),"",IF($P198="BRL",AB198,AB198*Macroindicadores!M$2)/1000)</f>
        <v>1.2</v>
      </c>
      <c r="AQ198" s="40">
        <f t="shared" si="94"/>
        <v>14.399999999999997</v>
      </c>
      <c r="AS198" s="39">
        <f>IF(ISBLANK(Q198),"",IF(ISBLANK($O198),AE198,IF($J198="ANUAL",AE198*(1+Macroindicadores!B$7),IF(AND($I198="NOVO",MONTH($O198)=MONTH(AS$4)),AE198*(1+Macroindicadores!B$7),IF(AND($J198="PONTUAL",MONTH($O198)=MONTH(AS$4)),AE198*(1+Macroindicadores!B$7),IF(AND($J198="PONTUAL",MONTH($O198)&lt;MONTH(AS$4)),MIN(AR198:$AS198),IF(AND($I198="NOVO",MONTH($O198)&gt;MONTH(AS$4)),AE198,IF(MONTH($O198)&gt;MONTH(AS$4),AE198,IF(MONTH($O198)=MONTH(AS$4),AE198*(1+Macroindicadores!B$7),AR198)))))))))</f>
        <v>1.2</v>
      </c>
      <c r="AT198" s="39">
        <f>IF(ISBLANK(R198),"",IF(ISBLANK($O198),AF198,IF($J198="ANUAL",AF198*(1+Macroindicadores!C$7),IF(AND($I198="NOVO",MONTH($O198)=MONTH(AT$4)),AF198*(1+Macroindicadores!C$7),IF(AND($J198="PONTUAL",MONTH($O198)=MONTH(AT$4)),AF198*(1+Macroindicadores!C$7),IF(AND($J198="PONTUAL",MONTH($O198)&lt;MONTH(AT$4)),MIN($AS198:AS198),IF(AND($I198="NOVO",MONTH($O198)&gt;MONTH(AT$4)),AF198,IF(MONTH($O198)&gt;MONTH(AT$4),AF198,IF(MONTH($O198)=MONTH(AT$4),AF198*(1+Macroindicadores!C$7),AS198)))))))))</f>
        <v>1.2</v>
      </c>
      <c r="AU198" s="39">
        <f>IF(ISBLANK(S198),"",IF(ISBLANK($O198),AG198,IF($J198="ANUAL",AG198*(1+Macroindicadores!D$7),IF(AND($I198="NOVO",MONTH($O198)=MONTH(AU$4)),AG198*(1+Macroindicadores!D$7),IF(AND($J198="PONTUAL",MONTH($O198)=MONTH(AU$4)),AG198*(1+Macroindicadores!D$7),IF(AND($J198="PONTUAL",MONTH($O198)&lt;MONTH(AU$4)),MIN($AS198:AT198),IF(AND($I198="NOVO",MONTH($O198)&gt;MONTH(AU$4)),AG198,IF(MONTH($O198)&gt;MONTH(AU$4),AG198,IF(MONTH($O198)=MONTH(AU$4),AG198*(1+Macroindicadores!D$7),AT198)))))))))</f>
        <v>1.2</v>
      </c>
      <c r="AV198" s="39">
        <f>IF(ISBLANK(T198),"",IF(ISBLANK($O198),AH198,IF($J198="ANUAL",AH198*(1+Macroindicadores!E$7),IF(AND($I198="NOVO",MONTH($O198)=MONTH(AV$4)),AH198*(1+Macroindicadores!E$7),IF(AND($J198="PONTUAL",MONTH($O198)=MONTH(AV$4)),AH198*(1+Macroindicadores!E$7),IF(AND($J198="PONTUAL",MONTH($O198)&lt;MONTH(AV$4)),MIN($AS198:AU198),IF(AND($I198="NOVO",MONTH($O198)&gt;MONTH(AV$4)),AH198,IF(MONTH($O198)&gt;MONTH(AV$4),AH198,IF(MONTH($O198)=MONTH(AV$4),AH198*(1+Macroindicadores!E$7),AU198)))))))))</f>
        <v>1.2</v>
      </c>
      <c r="AW198" s="39">
        <f>IF(ISBLANK(U198),"",IF(ISBLANK($O198),AI198,IF($J198="ANUAL",AI198*(1+Macroindicadores!F$7),IF(AND($I198="NOVO",MONTH($O198)=MONTH(AW$4)),AI198*(1+Macroindicadores!F$7),IF(AND($J198="PONTUAL",MONTH($O198)=MONTH(AW$4)),AI198*(1+Macroindicadores!F$7),IF(AND($J198="PONTUAL",MONTH($O198)&lt;MONTH(AW$4)),MIN($AS198:AV198),IF(AND($I198="NOVO",MONTH($O198)&gt;MONTH(AW$4)),AI198,IF(MONTH($O198)&gt;MONTH(AW$4),AI198,IF(MONTH($O198)=MONTH(AW$4),AI198*(1+Macroindicadores!F$7),AV198)))))))))</f>
        <v>1.2</v>
      </c>
      <c r="AX198" s="39">
        <f>IF(ISBLANK(V198),"",IF(ISBLANK($O198),AJ198,IF($J198="ANUAL",AJ198*(1+Macroindicadores!G$7),IF(AND($I198="NOVO",MONTH($O198)=MONTH(AX$4)),AJ198*(1+Macroindicadores!G$7),IF(AND($J198="PONTUAL",MONTH($O198)=MONTH(AX$4)),AJ198*(1+Macroindicadores!G$7),IF(AND($J198="PONTUAL",MONTH($O198)&lt;MONTH(AX$4)),MIN($AS198:AW198),IF(AND($I198="NOVO",MONTH($O198)&gt;MONTH(AX$4)),AJ198,IF(MONTH($O198)&gt;MONTH(AX$4),AJ198,IF(MONTH($O198)=MONTH(AX$4),AJ198*(1+Macroindicadores!G$7),AW198)))))))))</f>
        <v>1.2</v>
      </c>
      <c r="AY198" s="39">
        <f>IF(ISBLANK(W198),"",IF(ISBLANK($O198),AK198,IF($J198="ANUAL",AK198*(1+Macroindicadores!H$7),IF(AND($I198="NOVO",MONTH($O198)=MONTH(AY$4)),AK198*(1+Macroindicadores!H$7),IF(AND($J198="PONTUAL",MONTH($O198)=MONTH(AY$4)),AK198*(1+Macroindicadores!H$7),IF(AND($J198="PONTUAL",MONTH($O198)&lt;MONTH(AY$4)),MIN($AS198:AX198),IF(AND($I198="NOVO",MONTH($O198)&gt;MONTH(AY$4)),AK198,IF(MONTH($O198)&gt;MONTH(AY$4),AK198,IF(MONTH($O198)=MONTH(AY$4),AK198*(1+Macroindicadores!H$7),AX198)))))))))</f>
        <v>1.2</v>
      </c>
      <c r="AZ198" s="39">
        <f>IF(ISBLANK(X198),"",IF(ISBLANK($O198),AL198,IF($J198="ANUAL",AL198*(1+Macroindicadores!I$7),IF(AND($I198="NOVO",MONTH($O198)=MONTH(AZ$4)),AL198*(1+Macroindicadores!I$7),IF(AND($J198="PONTUAL",MONTH($O198)=MONTH(AZ$4)),AL198*(1+Macroindicadores!I$7),IF(AND($J198="PONTUAL",MONTH($O198)&lt;MONTH(AZ$4)),MIN($AS198:AY198),IF(AND($I198="NOVO",MONTH($O198)&gt;MONTH(AZ$4)),AL198,IF(MONTH($O198)&gt;MONTH(AZ$4),AL198,IF(MONTH($O198)=MONTH(AZ$4),AL198*(1+Macroindicadores!I$7),AY198)))))))))</f>
        <v>1.2</v>
      </c>
      <c r="BA198" s="39">
        <f>IF(ISBLANK(Y198),"",IF(ISBLANK($O198),AM198,IF($J198="ANUAL",AM198*(1+Macroindicadores!J$7),IF(AND($I198="NOVO",MONTH($O198)=MONTH(BA$4)),AM198*(1+Macroindicadores!J$7),IF(AND($J198="PONTUAL",MONTH($O198)=MONTH(BA$4)),AM198*(1+Macroindicadores!J$7),IF(AND($J198="PONTUAL",MONTH($O198)&lt;MONTH(BA$4)),MIN($AS198:AZ198),IF(AND($I198="NOVO",MONTH($O198)&gt;MONTH(BA$4)),AM198,IF(MONTH($O198)&gt;MONTH(BA$4),AM198,IF(MONTH($O198)=MONTH(BA$4),AM198*(1+Macroindicadores!J$7),AZ198)))))))))</f>
        <v>1.2</v>
      </c>
      <c r="BB198" s="39">
        <f>IF(ISBLANK(Z198),"",IF(ISBLANK($O198),AN198,IF($J198="ANUAL",AN198*(1+Macroindicadores!K$7),IF(AND($I198="NOVO",MONTH($O198)=MONTH(BB$4)),AN198*(1+Macroindicadores!K$7),IF(AND($J198="PONTUAL",MONTH($O198)=MONTH(BB$4)),AN198*(1+Macroindicadores!K$7),IF(AND($J198="PONTUAL",MONTH($O198)&lt;MONTH(BB$4)),MIN($AS198:BA198),IF(AND($I198="NOVO",MONTH($O198)&gt;MONTH(BB$4)),AN198,IF(MONTH($O198)&gt;MONTH(BB$4),AN198,IF(MONTH($O198)=MONTH(BB$4),AN198*(1+Macroindicadores!K$7),BA198)))))))))</f>
        <v>1.2</v>
      </c>
      <c r="BC198" s="39">
        <f>IF(ISBLANK(AA198),"",IF(ISBLANK($O198),AO198,IF($J198="ANUAL",AO198*(1+Macroindicadores!L$7),IF(AND($I198="NOVO",MONTH($O198)=MONTH(BC$4)),AO198*(1+Macroindicadores!L$7),IF(AND($J198="PONTUAL",MONTH($O198)=MONTH(BC$4)),AO198*(1+Macroindicadores!L$7),IF(AND($J198="PONTUAL",MONTH($O198)&lt;MONTH(BC$4)),MIN($AS198:BB198),IF(AND($I198="NOVO",MONTH($O198)&gt;MONTH(BC$4)),AO198,IF(MONTH($O198)&gt;MONTH(BC$4),AO198,IF(MONTH($O198)=MONTH(BC$4),AO198*(1+Macroindicadores!L$7),BB198)))))))))</f>
        <v>1.2</v>
      </c>
      <c r="BD198" s="39">
        <f>IF(ISBLANK(AB198),"",IF(ISBLANK($O198),AP198,IF($J198="ANUAL",AP198*(1+Macroindicadores!M$7),IF(AND($I198="NOVO",MONTH($O198)=MONTH(BD$4)),AP198*(1+Macroindicadores!M$7),IF(AND($J198="PONTUAL",MONTH($O198)=MONTH(BD$4)),AP198*(1+Macroindicadores!M$7),IF(AND($J198="PONTUAL",MONTH($O198)&lt;MONTH(BD$4)),MIN($AS198:BC198),IF(AND($I198="NOVO",MONTH($O198)&gt;MONTH(BD$4)),AP198,IF(MONTH($O198)&gt;MONTH(BD$4),AP198,IF(MONTH($O198)=MONTH(BD$4),AP198*(1+Macroindicadores!M$7),BC198)))))))))</f>
        <v>1.2</v>
      </c>
      <c r="BE198" s="40">
        <f t="shared" si="95"/>
        <v>14.399999999999997</v>
      </c>
      <c r="BG198" s="39">
        <f>IF(ISBLANK(Q198),"",AS198/Macroindicadores!B$2)</f>
        <v>0.20408163265306123</v>
      </c>
      <c r="BH198" s="39">
        <f>IF(ISBLANK(R198),"",AT198/Macroindicadores!C$2)</f>
        <v>0.20408163265306123</v>
      </c>
      <c r="BI198" s="39">
        <f>IF(ISBLANK(S198),"",AU198/Macroindicadores!D$2)</f>
        <v>0.20408163265306123</v>
      </c>
      <c r="BJ198" s="39">
        <f>IF(ISBLANK(T198),"",AV198/Macroindicadores!E$2)</f>
        <v>0.20408163265306123</v>
      </c>
      <c r="BK198" s="39">
        <f>IF(ISBLANK(U198),"",AW198/Macroindicadores!F$2)</f>
        <v>0.20408163265306123</v>
      </c>
      <c r="BL198" s="39">
        <f>IF(ISBLANK(V198),"",AX198/Macroindicadores!G$2)</f>
        <v>0.20408163265306123</v>
      </c>
      <c r="BM198" s="39">
        <f>IF(ISBLANK(W198),"",AY198/Macroindicadores!H$2)</f>
        <v>0.20408163265306123</v>
      </c>
      <c r="BN198" s="39">
        <f>IF(ISBLANK(X198),"",AZ198/Macroindicadores!I$2)</f>
        <v>0.20408163265306123</v>
      </c>
      <c r="BO198" s="39">
        <f>IF(ISBLANK(Y198),"",BA198/Macroindicadores!J$2)</f>
        <v>0.20408163265306123</v>
      </c>
      <c r="BP198" s="39">
        <f>IF(ISBLANK(Z198),"",BB198/Macroindicadores!K$2)</f>
        <v>0.20408163265306123</v>
      </c>
      <c r="BQ198" s="39">
        <f>IF(ISBLANK(AA198),"",BC198/Macroindicadores!L$2)</f>
        <v>0.20408163265306123</v>
      </c>
      <c r="BR198" s="39">
        <f>IF(ISBLANK(AB198),"",BD198/Macroindicadores!M$2)</f>
        <v>0.20408163265306123</v>
      </c>
      <c r="BS198" s="40">
        <f>IF(AND(ISBLANK($Q198),ISBLANK($R198),ISBLANK($S198),ISBLANK($T198),ISBLANK($U198),ISBLANK($V198),ISBLANK($W198),ISBLANK($X198),ISBLANK($Y198),ISBLANK($Z198),ISBLANK($AA198),ISBLANK($AB198)),"",SUM(BG198:BR198))</f>
        <v>2.4489795918367347</v>
      </c>
      <c r="BT198" s="25" t="str">
        <f>IF(ISBLANK($L198),"",_xlfn.XLOOKUP($L198,'CENTRO CUSTO'!$A:$A,'CENTRO CUSTO'!$E:$E,FALSE,0))</f>
        <v>Custo Fixo</v>
      </c>
    </row>
    <row r="199" spans="1:72">
      <c r="A199" s="9" t="str">
        <f t="shared" si="80"/>
        <v>Budget</v>
      </c>
      <c r="B199" s="9">
        <f t="shared" si="77"/>
        <v>2026</v>
      </c>
      <c r="C199" s="18" t="str">
        <f>IF(ISBLANK($L199),"",_xlfn.XLOOKUP($L199,'CENTRO CUSTO'!$A:$A,'CENTRO CUSTO'!F:F,FALSE,0))</f>
        <v>Transporte</v>
      </c>
      <c r="D199" s="111" t="str">
        <f>IF(ISBLANK($L199),"",_xlfn.XLOOKUP($L199,'CENTRO CUSTO'!$A:$A,'CENTRO CUSTO'!G:G,FALSE,0))</f>
        <v>Transportes</v>
      </c>
      <c r="E199" s="18" t="str">
        <f>IF(ISBLANK($L199),"",_xlfn.XLOOKUP($L199,'CENTRO CUSTO'!$A:$A,'CENTRO CUSTO'!H:H,FALSE,0))</f>
        <v>Transportes</v>
      </c>
      <c r="F199" s="10" t="s">
        <v>202</v>
      </c>
      <c r="G199" s="10" t="s">
        <v>75</v>
      </c>
      <c r="H199" s="10" t="s">
        <v>203</v>
      </c>
      <c r="I199" s="11" t="s">
        <v>77</v>
      </c>
      <c r="J199" s="11" t="s">
        <v>78</v>
      </c>
      <c r="K199" s="11" t="s">
        <v>79</v>
      </c>
      <c r="L199" s="11" t="s">
        <v>111</v>
      </c>
      <c r="M199" s="18" t="str">
        <f>IF(ISBLANK($L199),"",_xlfn.XLOOKUP($L199,'CENTRO CUSTO'!$A:$A,'CENTRO CUSTO'!D:D,FALSE,0))</f>
        <v>Alexandre Ayabe</v>
      </c>
      <c r="N199" s="11" t="s">
        <v>106</v>
      </c>
      <c r="O199" s="12"/>
      <c r="P199" s="11" t="s">
        <v>81</v>
      </c>
      <c r="Q199" s="41">
        <v>240</v>
      </c>
      <c r="R199" s="41">
        <v>240</v>
      </c>
      <c r="S199" s="41">
        <v>240</v>
      </c>
      <c r="T199" s="41">
        <v>240</v>
      </c>
      <c r="U199" s="41">
        <v>240</v>
      </c>
      <c r="V199" s="41">
        <v>240</v>
      </c>
      <c r="W199" s="41">
        <v>240</v>
      </c>
      <c r="X199" s="41">
        <v>240</v>
      </c>
      <c r="Y199" s="41">
        <v>240</v>
      </c>
      <c r="Z199" s="41">
        <v>240</v>
      </c>
      <c r="AA199" s="41">
        <v>240</v>
      </c>
      <c r="AB199" s="41">
        <v>240</v>
      </c>
      <c r="AC199" s="116">
        <f t="shared" si="73"/>
        <v>2880</v>
      </c>
      <c r="AE199" s="39">
        <f>IF(ISBLANK(Q199),"",IF($P199="BRL",Q199,Q199*Macroindicadores!B$2)/1000)</f>
        <v>0.24</v>
      </c>
      <c r="AF199" s="39">
        <f>IF(ISBLANK(R199),"",IF($P199="BRL",R199,R199*Macroindicadores!C$2)/1000)</f>
        <v>0.24</v>
      </c>
      <c r="AG199" s="39">
        <f>IF(ISBLANK(S199),"",IF($P199="BRL",S199,S199*Macroindicadores!D$2)/1000)</f>
        <v>0.24</v>
      </c>
      <c r="AH199" s="39">
        <f>IF(ISBLANK(T199),"",IF($P199="BRL",T199,T199*Macroindicadores!E$2)/1000)</f>
        <v>0.24</v>
      </c>
      <c r="AI199" s="39">
        <f>IF(ISBLANK(U199),"",IF($P199="BRL",U199,U199*Macroindicadores!F$2)/1000)</f>
        <v>0.24</v>
      </c>
      <c r="AJ199" s="39">
        <f>IF(ISBLANK(V199),"",IF($P199="BRL",V199,V199*Macroindicadores!G$2)/1000)</f>
        <v>0.24</v>
      </c>
      <c r="AK199" s="39">
        <f>IF(ISBLANK(W199),"",IF($P199="BRL",W199,W199*Macroindicadores!H$2)/1000)</f>
        <v>0.24</v>
      </c>
      <c r="AL199" s="39">
        <f>IF(ISBLANK(X199),"",IF($P199="BRL",X199,X199*Macroindicadores!I$2)/1000)</f>
        <v>0.24</v>
      </c>
      <c r="AM199" s="39">
        <f>IF(ISBLANK(Y199),"",IF($P199="BRL",Y199,Y199*Macroindicadores!J$2)/1000)</f>
        <v>0.24</v>
      </c>
      <c r="AN199" s="39">
        <f>IF(ISBLANK(Z199),"",IF($P199="BRL",Z199,Z199*Macroindicadores!K$2)/1000)</f>
        <v>0.24</v>
      </c>
      <c r="AO199" s="39">
        <f>IF(ISBLANK(AA199),"",IF($P199="BRL",AA199,AA199*Macroindicadores!L$2)/1000)</f>
        <v>0.24</v>
      </c>
      <c r="AP199" s="39">
        <f>IF(ISBLANK(AB199),"",IF($P199="BRL",AB199,AB199*Macroindicadores!M$2)/1000)</f>
        <v>0.24</v>
      </c>
      <c r="AQ199" s="40">
        <f t="shared" si="79"/>
        <v>2.8800000000000008</v>
      </c>
      <c r="AS199" s="39">
        <f>IF(ISBLANK(Q199),"",IF(ISBLANK($O199),AE199,IF($J199="ANUAL",AE199*(1+Macroindicadores!B$7),IF(AND($I199="NOVO",MONTH($O199)=MONTH(AS$4)),AE199*(1+Macroindicadores!B$7),IF(AND($J199="PONTUAL",MONTH($O199)=MONTH(AS$4)),AE199*(1+Macroindicadores!B$7),IF(AND($J199="PONTUAL",MONTH($O199)&lt;MONTH(AS$4)),MIN(AR199:$AS199),IF(AND($I199="NOVO",MONTH($O199)&gt;MONTH(AS$4)),AE199,IF(MONTH($O199)&gt;MONTH(AS$4),AE199,IF(MONTH($O199)=MONTH(AS$4),AE199*(1+Macroindicadores!B$7),AR199)))))))))</f>
        <v>0.24</v>
      </c>
      <c r="AT199" s="39">
        <f>IF(ISBLANK(R199),"",IF(ISBLANK($O199),AF199,IF($J199="ANUAL",AF199*(1+Macroindicadores!C$7),IF(AND($I199="NOVO",MONTH($O199)=MONTH(AT$4)),AF199*(1+Macroindicadores!C$7),IF(AND($J199="PONTUAL",MONTH($O199)=MONTH(AT$4)),AF199*(1+Macroindicadores!C$7),IF(AND($J199="PONTUAL",MONTH($O199)&lt;MONTH(AT$4)),MIN($AS199:AS199),IF(AND($I199="NOVO",MONTH($O199)&gt;MONTH(AT$4)),AF199,IF(MONTH($O199)&gt;MONTH(AT$4),AF199,IF(MONTH($O199)=MONTH(AT$4),AF199*(1+Macroindicadores!C$7),AS199)))))))))</f>
        <v>0.24</v>
      </c>
      <c r="AU199" s="39">
        <f>IF(ISBLANK(S199),"",IF(ISBLANK($O199),AG199,IF($J199="ANUAL",AG199*(1+Macroindicadores!D$7),IF(AND($I199="NOVO",MONTH($O199)=MONTH(AU$4)),AG199*(1+Macroindicadores!D$7),IF(AND($J199="PONTUAL",MONTH($O199)=MONTH(AU$4)),AG199*(1+Macroindicadores!D$7),IF(AND($J199="PONTUAL",MONTH($O199)&lt;MONTH(AU$4)),MIN($AS199:AT199),IF(AND($I199="NOVO",MONTH($O199)&gt;MONTH(AU$4)),AG199,IF(MONTH($O199)&gt;MONTH(AU$4),AG199,IF(MONTH($O199)=MONTH(AU$4),AG199*(1+Macroindicadores!D$7),AT199)))))))))</f>
        <v>0.24</v>
      </c>
      <c r="AV199" s="39">
        <f>IF(ISBLANK(T199),"",IF(ISBLANK($O199),AH199,IF($J199="ANUAL",AH199*(1+Macroindicadores!E$7),IF(AND($I199="NOVO",MONTH($O199)=MONTH(AV$4)),AH199*(1+Macroindicadores!E$7),IF(AND($J199="PONTUAL",MONTH($O199)=MONTH(AV$4)),AH199*(1+Macroindicadores!E$7),IF(AND($J199="PONTUAL",MONTH($O199)&lt;MONTH(AV$4)),MIN($AS199:AU199),IF(AND($I199="NOVO",MONTH($O199)&gt;MONTH(AV$4)),AH199,IF(MONTH($O199)&gt;MONTH(AV$4),AH199,IF(MONTH($O199)=MONTH(AV$4),AH199*(1+Macroindicadores!E$7),AU199)))))))))</f>
        <v>0.24</v>
      </c>
      <c r="AW199" s="39">
        <f>IF(ISBLANK(U199),"",IF(ISBLANK($O199),AI199,IF($J199="ANUAL",AI199*(1+Macroindicadores!F$7),IF(AND($I199="NOVO",MONTH($O199)=MONTH(AW$4)),AI199*(1+Macroindicadores!F$7),IF(AND($J199="PONTUAL",MONTH($O199)=MONTH(AW$4)),AI199*(1+Macroindicadores!F$7),IF(AND($J199="PONTUAL",MONTH($O199)&lt;MONTH(AW$4)),MIN($AS199:AV199),IF(AND($I199="NOVO",MONTH($O199)&gt;MONTH(AW$4)),AI199,IF(MONTH($O199)&gt;MONTH(AW$4),AI199,IF(MONTH($O199)=MONTH(AW$4),AI199*(1+Macroindicadores!F$7),AV199)))))))))</f>
        <v>0.24</v>
      </c>
      <c r="AX199" s="39">
        <f>IF(ISBLANK(V199),"",IF(ISBLANK($O199),AJ199,IF($J199="ANUAL",AJ199*(1+Macroindicadores!G$7),IF(AND($I199="NOVO",MONTH($O199)=MONTH(AX$4)),AJ199*(1+Macroindicadores!G$7),IF(AND($J199="PONTUAL",MONTH($O199)=MONTH(AX$4)),AJ199*(1+Macroindicadores!G$7),IF(AND($J199="PONTUAL",MONTH($O199)&lt;MONTH(AX$4)),MIN($AS199:AW199),IF(AND($I199="NOVO",MONTH($O199)&gt;MONTH(AX$4)),AJ199,IF(MONTH($O199)&gt;MONTH(AX$4),AJ199,IF(MONTH($O199)=MONTH(AX$4),AJ199*(1+Macroindicadores!G$7),AW199)))))))))</f>
        <v>0.24</v>
      </c>
      <c r="AY199" s="39">
        <f>IF(ISBLANK(W199),"",IF(ISBLANK($O199),AK199,IF($J199="ANUAL",AK199*(1+Macroindicadores!H$7),IF(AND($I199="NOVO",MONTH($O199)=MONTH(AY$4)),AK199*(1+Macroindicadores!H$7),IF(AND($J199="PONTUAL",MONTH($O199)=MONTH(AY$4)),AK199*(1+Macroindicadores!H$7),IF(AND($J199="PONTUAL",MONTH($O199)&lt;MONTH(AY$4)),MIN($AS199:AX199),IF(AND($I199="NOVO",MONTH($O199)&gt;MONTH(AY$4)),AK199,IF(MONTH($O199)&gt;MONTH(AY$4),AK199,IF(MONTH($O199)=MONTH(AY$4),AK199*(1+Macroindicadores!H$7),AX199)))))))))</f>
        <v>0.24</v>
      </c>
      <c r="AZ199" s="39">
        <f>IF(ISBLANK(X199),"",IF(ISBLANK($O199),AL199,IF($J199="ANUAL",AL199*(1+Macroindicadores!I$7),IF(AND($I199="NOVO",MONTH($O199)=MONTH(AZ$4)),AL199*(1+Macroindicadores!I$7),IF(AND($J199="PONTUAL",MONTH($O199)=MONTH(AZ$4)),AL199*(1+Macroindicadores!I$7),IF(AND($J199="PONTUAL",MONTH($O199)&lt;MONTH(AZ$4)),MIN($AS199:AY199),IF(AND($I199="NOVO",MONTH($O199)&gt;MONTH(AZ$4)),AL199,IF(MONTH($O199)&gt;MONTH(AZ$4),AL199,IF(MONTH($O199)=MONTH(AZ$4),AL199*(1+Macroindicadores!I$7),AY199)))))))))</f>
        <v>0.24</v>
      </c>
      <c r="BA199" s="39">
        <f>IF(ISBLANK(Y199),"",IF(ISBLANK($O199),AM199,IF($J199="ANUAL",AM199*(1+Macroindicadores!J$7),IF(AND($I199="NOVO",MONTH($O199)=MONTH(BA$4)),AM199*(1+Macroindicadores!J$7),IF(AND($J199="PONTUAL",MONTH($O199)=MONTH(BA$4)),AM199*(1+Macroindicadores!J$7),IF(AND($J199="PONTUAL",MONTH($O199)&lt;MONTH(BA$4)),MIN($AS199:AZ199),IF(AND($I199="NOVO",MONTH($O199)&gt;MONTH(BA$4)),AM199,IF(MONTH($O199)&gt;MONTH(BA$4),AM199,IF(MONTH($O199)=MONTH(BA$4),AM199*(1+Macroindicadores!J$7),AZ199)))))))))</f>
        <v>0.24</v>
      </c>
      <c r="BB199" s="39">
        <f>IF(ISBLANK(Z199),"",IF(ISBLANK($O199),AN199,IF($J199="ANUAL",AN199*(1+Macroindicadores!K$7),IF(AND($I199="NOVO",MONTH($O199)=MONTH(BB$4)),AN199*(1+Macroindicadores!K$7),IF(AND($J199="PONTUAL",MONTH($O199)=MONTH(BB$4)),AN199*(1+Macroindicadores!K$7),IF(AND($J199="PONTUAL",MONTH($O199)&lt;MONTH(BB$4)),MIN($AS199:BA199),IF(AND($I199="NOVO",MONTH($O199)&gt;MONTH(BB$4)),AN199,IF(MONTH($O199)&gt;MONTH(BB$4),AN199,IF(MONTH($O199)=MONTH(BB$4),AN199*(1+Macroindicadores!K$7),BA199)))))))))</f>
        <v>0.24</v>
      </c>
      <c r="BC199" s="39">
        <f>IF(ISBLANK(AA199),"",IF(ISBLANK($O199),AO199,IF($J199="ANUAL",AO199*(1+Macroindicadores!L$7),IF(AND($I199="NOVO",MONTH($O199)=MONTH(BC$4)),AO199*(1+Macroindicadores!L$7),IF(AND($J199="PONTUAL",MONTH($O199)=MONTH(BC$4)),AO199*(1+Macroindicadores!L$7),IF(AND($J199="PONTUAL",MONTH($O199)&lt;MONTH(BC$4)),MIN($AS199:BB199),IF(AND($I199="NOVO",MONTH($O199)&gt;MONTH(BC$4)),AO199,IF(MONTH($O199)&gt;MONTH(BC$4),AO199,IF(MONTH($O199)=MONTH(BC$4),AO199*(1+Macroindicadores!L$7),BB199)))))))))</f>
        <v>0.24</v>
      </c>
      <c r="BD199" s="39">
        <f>IF(ISBLANK(AB199),"",IF(ISBLANK($O199),AP199,IF($J199="ANUAL",AP199*(1+Macroindicadores!M$7),IF(AND($I199="NOVO",MONTH($O199)=MONTH(BD$4)),AP199*(1+Macroindicadores!M$7),IF(AND($J199="PONTUAL",MONTH($O199)=MONTH(BD$4)),AP199*(1+Macroindicadores!M$7),IF(AND($J199="PONTUAL",MONTH($O199)&lt;MONTH(BD$4)),MIN($AS199:BC199),IF(AND($I199="NOVO",MONTH($O199)&gt;MONTH(BD$4)),AP199,IF(MONTH($O199)&gt;MONTH(BD$4),AP199,IF(MONTH($O199)=MONTH(BD$4),AP199*(1+Macroindicadores!M$7),BC199)))))))))</f>
        <v>0.24</v>
      </c>
      <c r="BE199" s="40">
        <f t="shared" si="78"/>
        <v>2.8800000000000008</v>
      </c>
      <c r="BG199" s="39">
        <f>IF(ISBLANK(Q199),"",AS199/Macroindicadores!B$2)</f>
        <v>4.0816326530612242E-2</v>
      </c>
      <c r="BH199" s="39">
        <f>IF(ISBLANK(R199),"",AT199/Macroindicadores!C$2)</f>
        <v>4.0816326530612242E-2</v>
      </c>
      <c r="BI199" s="39">
        <f>IF(ISBLANK(S199),"",AU199/Macroindicadores!D$2)</f>
        <v>4.0816326530612242E-2</v>
      </c>
      <c r="BJ199" s="39">
        <f>IF(ISBLANK(T199),"",AV199/Macroindicadores!E$2)</f>
        <v>4.0816326530612242E-2</v>
      </c>
      <c r="BK199" s="39">
        <f>IF(ISBLANK(U199),"",AW199/Macroindicadores!F$2)</f>
        <v>4.0816326530612242E-2</v>
      </c>
      <c r="BL199" s="39">
        <f>IF(ISBLANK(V199),"",AX199/Macroindicadores!G$2)</f>
        <v>4.0816326530612242E-2</v>
      </c>
      <c r="BM199" s="39">
        <f>IF(ISBLANK(W199),"",AY199/Macroindicadores!H$2)</f>
        <v>4.0816326530612242E-2</v>
      </c>
      <c r="BN199" s="39">
        <f>IF(ISBLANK(X199),"",AZ199/Macroindicadores!I$2)</f>
        <v>4.0816326530612242E-2</v>
      </c>
      <c r="BO199" s="39">
        <f>IF(ISBLANK(Y199),"",BA199/Macroindicadores!J$2)</f>
        <v>4.0816326530612242E-2</v>
      </c>
      <c r="BP199" s="39">
        <f>IF(ISBLANK(Z199),"",BB199/Macroindicadores!K$2)</f>
        <v>4.0816326530612242E-2</v>
      </c>
      <c r="BQ199" s="39">
        <f>IF(ISBLANK(AA199),"",BC199/Macroindicadores!L$2)</f>
        <v>4.0816326530612242E-2</v>
      </c>
      <c r="BR199" s="39">
        <f>IF(ISBLANK(AB199),"",BD199/Macroindicadores!M$2)</f>
        <v>4.0816326530612242E-2</v>
      </c>
      <c r="BS199" s="40">
        <f>IF(AND(ISBLANK($Q199),ISBLANK($R199),ISBLANK($S199),ISBLANK($T199),ISBLANK($U199),ISBLANK($V199),ISBLANK($W199),ISBLANK($X199),ISBLANK($Y199),ISBLANK($Z199),ISBLANK($AA199),ISBLANK($AB199)),"",SUM(BG199:BR199))</f>
        <v>0.48979591836734687</v>
      </c>
      <c r="BT199" s="25" t="str">
        <f>IF(ISBLANK($L199),"",_xlfn.XLOOKUP($L199,'CENTRO CUSTO'!$A:$A,'CENTRO CUSTO'!$E:$E,FALSE,0))</f>
        <v>Custo Fixo</v>
      </c>
    </row>
    <row r="200" spans="1:72">
      <c r="A200" s="9" t="str">
        <f t="shared" si="80"/>
        <v>Budget</v>
      </c>
      <c r="B200" s="9">
        <f t="shared" si="77"/>
        <v>2026</v>
      </c>
      <c r="C200" s="18" t="str">
        <f>IF(ISBLANK($L200),"",_xlfn.XLOOKUP($L200,'CENTRO CUSTO'!$A:$A,'CENTRO CUSTO'!F:F,FALSE,0))</f>
        <v>Transporte</v>
      </c>
      <c r="D200" s="111" t="str">
        <f>IF(ISBLANK($L200),"",_xlfn.XLOOKUP($L200,'CENTRO CUSTO'!$A:$A,'CENTRO CUSTO'!G:G,FALSE,0))</f>
        <v>Transportes</v>
      </c>
      <c r="E200" s="18" t="str">
        <f>IF(ISBLANK($L200),"",_xlfn.XLOOKUP($L200,'CENTRO CUSTO'!$A:$A,'CENTRO CUSTO'!H:H,FALSE,0))</f>
        <v>Transportes</v>
      </c>
      <c r="F200" s="10" t="s">
        <v>204</v>
      </c>
      <c r="G200" s="10" t="s">
        <v>75</v>
      </c>
      <c r="H200" s="10" t="s">
        <v>205</v>
      </c>
      <c r="I200" s="11" t="s">
        <v>84</v>
      </c>
      <c r="J200" s="11" t="s">
        <v>78</v>
      </c>
      <c r="K200" s="11" t="s">
        <v>121</v>
      </c>
      <c r="L200" s="11" t="s">
        <v>111</v>
      </c>
      <c r="M200" s="18" t="str">
        <f>IF(ISBLANK($L200),"",_xlfn.XLOOKUP($L200,'CENTRO CUSTO'!$A:$A,'CENTRO CUSTO'!D:D,FALSE,0))</f>
        <v>Alexandre Ayabe</v>
      </c>
      <c r="N200" s="11" t="s">
        <v>91</v>
      </c>
      <c r="O200" s="12">
        <v>46023</v>
      </c>
      <c r="P200" s="11" t="s">
        <v>81</v>
      </c>
      <c r="Q200" s="41">
        <v>1600</v>
      </c>
      <c r="R200" s="41">
        <v>1600</v>
      </c>
      <c r="S200" s="41">
        <v>1600</v>
      </c>
      <c r="T200" s="41">
        <v>1600</v>
      </c>
      <c r="U200" s="41">
        <v>1600</v>
      </c>
      <c r="V200" s="41">
        <v>1600</v>
      </c>
      <c r="W200" s="41">
        <v>1600</v>
      </c>
      <c r="X200" s="41">
        <v>1600</v>
      </c>
      <c r="Y200" s="41">
        <v>1600</v>
      </c>
      <c r="Z200" s="41">
        <v>1600</v>
      </c>
      <c r="AA200" s="41">
        <v>1600</v>
      </c>
      <c r="AB200" s="41">
        <v>1600</v>
      </c>
      <c r="AC200" s="116">
        <f t="shared" si="73"/>
        <v>19200</v>
      </c>
      <c r="AE200" s="39">
        <f>IF(ISBLANK(Q200),"",IF($P200="BRL",Q200,Q200*Macroindicadores!B$2)/1000)</f>
        <v>1.6</v>
      </c>
      <c r="AF200" s="39">
        <f>IF(ISBLANK(R200),"",IF($P200="BRL",R200,R200*Macroindicadores!C$2)/1000)</f>
        <v>1.6</v>
      </c>
      <c r="AG200" s="39">
        <f>IF(ISBLANK(S200),"",IF($P200="BRL",S200,S200*Macroindicadores!D$2)/1000)</f>
        <v>1.6</v>
      </c>
      <c r="AH200" s="39">
        <f>IF(ISBLANK(T200),"",IF($P200="BRL",T200,T200*Macroindicadores!E$2)/1000)</f>
        <v>1.6</v>
      </c>
      <c r="AI200" s="39">
        <f>IF(ISBLANK(U200),"",IF($P200="BRL",U200,U200*Macroindicadores!F$2)/1000)</f>
        <v>1.6</v>
      </c>
      <c r="AJ200" s="39">
        <f>IF(ISBLANK(V200),"",IF($P200="BRL",V200,V200*Macroindicadores!G$2)/1000)</f>
        <v>1.6</v>
      </c>
      <c r="AK200" s="39">
        <f>IF(ISBLANK(W200),"",IF($P200="BRL",W200,W200*Macroindicadores!H$2)/1000)</f>
        <v>1.6</v>
      </c>
      <c r="AL200" s="39">
        <f>IF(ISBLANK(X200),"",IF($P200="BRL",X200,X200*Macroindicadores!I$2)/1000)</f>
        <v>1.6</v>
      </c>
      <c r="AM200" s="39">
        <f>IF(ISBLANK(Y200),"",IF($P200="BRL",Y200,Y200*Macroindicadores!J$2)/1000)</f>
        <v>1.6</v>
      </c>
      <c r="AN200" s="39">
        <f>IF(ISBLANK(Z200),"",IF($P200="BRL",Z200,Z200*Macroindicadores!K$2)/1000)</f>
        <v>1.6</v>
      </c>
      <c r="AO200" s="39">
        <f>IF(ISBLANK(AA200),"",IF($P200="BRL",AA200,AA200*Macroindicadores!L$2)/1000)</f>
        <v>1.6</v>
      </c>
      <c r="AP200" s="39">
        <f>IF(ISBLANK(AB200),"",IF($P200="BRL",AB200,AB200*Macroindicadores!M$2)/1000)</f>
        <v>1.6</v>
      </c>
      <c r="AQ200" s="40">
        <f t="shared" si="79"/>
        <v>19.2</v>
      </c>
      <c r="AS200" s="39">
        <f>IF(ISBLANK(Q200),"",IF(ISBLANK($O200),AE200,IF($J200="ANUAL",AE200*(1+Macroindicadores!B$7),IF(AND($I200="NOVO",MONTH($O200)=MONTH(AS$4)),AE200*(1+Macroindicadores!B$7),IF(AND($J200="PONTUAL",MONTH($O200)=MONTH(AS$4)),AE200*(1+Macroindicadores!B$7),IF(AND($J200="PONTUAL",MONTH($O200)&lt;MONTH(AS$4)),MIN(AR200:$AS200),IF(AND($I200="NOVO",MONTH($O200)&gt;MONTH(AS$4)),AE200,IF(MONTH($O200)&gt;MONTH(AS$4),AE200,IF(MONTH($O200)=MONTH(AS$4),AE200*(1+Macroindicadores!B$7),AR200)))))))))</f>
        <v>1.6874801269004789</v>
      </c>
      <c r="AT200" s="39">
        <f>IF(ISBLANK(R200),"",IF(ISBLANK($O200),AF200,IF($J200="ANUAL",AF200*(1+Macroindicadores!C$7),IF(AND($I200="NOVO",MONTH($O200)=MONTH(AT$4)),AF200*(1+Macroindicadores!C$7),IF(AND($J200="PONTUAL",MONTH($O200)=MONTH(AT$4)),AF200*(1+Macroindicadores!C$7),IF(AND($J200="PONTUAL",MONTH($O200)&lt;MONTH(AT$4)),MIN($AS200:AS200),IF(AND($I200="NOVO",MONTH($O200)&gt;MONTH(AT$4)),AF200,IF(MONTH($O200)&gt;MONTH(AT$4),AF200,IF(MONTH($O200)=MONTH(AT$4),AF200*(1+Macroindicadores!C$7),AS200)))))))))</f>
        <v>1.6874801269004789</v>
      </c>
      <c r="AU200" s="39">
        <f>IF(ISBLANK(S200),"",IF(ISBLANK($O200),AG200,IF($J200="ANUAL",AG200*(1+Macroindicadores!D$7),IF(AND($I200="NOVO",MONTH($O200)=MONTH(AU$4)),AG200*(1+Macroindicadores!D$7),IF(AND($J200="PONTUAL",MONTH($O200)=MONTH(AU$4)),AG200*(1+Macroindicadores!D$7),IF(AND($J200="PONTUAL",MONTH($O200)&lt;MONTH(AU$4)),MIN($AS200:AT200),IF(AND($I200="NOVO",MONTH($O200)&gt;MONTH(AU$4)),AG200,IF(MONTH($O200)&gt;MONTH(AU$4),AG200,IF(MONTH($O200)=MONTH(AU$4),AG200*(1+Macroindicadores!D$7),AT200)))))))))</f>
        <v>1.6874801269004789</v>
      </c>
      <c r="AV200" s="39">
        <f>IF(ISBLANK(T200),"",IF(ISBLANK($O200),AH200,IF($J200="ANUAL",AH200*(1+Macroindicadores!E$7),IF(AND($I200="NOVO",MONTH($O200)=MONTH(AV$4)),AH200*(1+Macroindicadores!E$7),IF(AND($J200="PONTUAL",MONTH($O200)=MONTH(AV$4)),AH200*(1+Macroindicadores!E$7),IF(AND($J200="PONTUAL",MONTH($O200)&lt;MONTH(AV$4)),MIN($AS200:AU200),IF(AND($I200="NOVO",MONTH($O200)&gt;MONTH(AV$4)),AH200,IF(MONTH($O200)&gt;MONTH(AV$4),AH200,IF(MONTH($O200)=MONTH(AV$4),AH200*(1+Macroindicadores!E$7),AU200)))))))))</f>
        <v>1.6874801269004789</v>
      </c>
      <c r="AW200" s="39">
        <f>IF(ISBLANK(U200),"",IF(ISBLANK($O200),AI200,IF($J200="ANUAL",AI200*(1+Macroindicadores!F$7),IF(AND($I200="NOVO",MONTH($O200)=MONTH(AW$4)),AI200*(1+Macroindicadores!F$7),IF(AND($J200="PONTUAL",MONTH($O200)=MONTH(AW$4)),AI200*(1+Macroindicadores!F$7),IF(AND($J200="PONTUAL",MONTH($O200)&lt;MONTH(AW$4)),MIN($AS200:AV200),IF(AND($I200="NOVO",MONTH($O200)&gt;MONTH(AW$4)),AI200,IF(MONTH($O200)&gt;MONTH(AW$4),AI200,IF(MONTH($O200)=MONTH(AW$4),AI200*(1+Macroindicadores!F$7),AV200)))))))))</f>
        <v>1.6874801269004789</v>
      </c>
      <c r="AX200" s="39">
        <f>IF(ISBLANK(V200),"",IF(ISBLANK($O200),AJ200,IF($J200="ANUAL",AJ200*(1+Macroindicadores!G$7),IF(AND($I200="NOVO",MONTH($O200)=MONTH(AX$4)),AJ200*(1+Macroindicadores!G$7),IF(AND($J200="PONTUAL",MONTH($O200)=MONTH(AX$4)),AJ200*(1+Macroindicadores!G$7),IF(AND($J200="PONTUAL",MONTH($O200)&lt;MONTH(AX$4)),MIN($AS200:AW200),IF(AND($I200="NOVO",MONTH($O200)&gt;MONTH(AX$4)),AJ200,IF(MONTH($O200)&gt;MONTH(AX$4),AJ200,IF(MONTH($O200)=MONTH(AX$4),AJ200*(1+Macroindicadores!G$7),AW200)))))))))</f>
        <v>1.6874801269004789</v>
      </c>
      <c r="AY200" s="39">
        <f>IF(ISBLANK(W200),"",IF(ISBLANK($O200),AK200,IF($J200="ANUAL",AK200*(1+Macroindicadores!H$7),IF(AND($I200="NOVO",MONTH($O200)=MONTH(AY$4)),AK200*(1+Macroindicadores!H$7),IF(AND($J200="PONTUAL",MONTH($O200)=MONTH(AY$4)),AK200*(1+Macroindicadores!H$7),IF(AND($J200="PONTUAL",MONTH($O200)&lt;MONTH(AY$4)),MIN($AS200:AX200),IF(AND($I200="NOVO",MONTH($O200)&gt;MONTH(AY$4)),AK200,IF(MONTH($O200)&gt;MONTH(AY$4),AK200,IF(MONTH($O200)=MONTH(AY$4),AK200*(1+Macroindicadores!H$7),AX200)))))))))</f>
        <v>1.6874801269004789</v>
      </c>
      <c r="AZ200" s="39">
        <f>IF(ISBLANK(X200),"",IF(ISBLANK($O200),AL200,IF($J200="ANUAL",AL200*(1+Macroindicadores!I$7),IF(AND($I200="NOVO",MONTH($O200)=MONTH(AZ$4)),AL200*(1+Macroindicadores!I$7),IF(AND($J200="PONTUAL",MONTH($O200)=MONTH(AZ$4)),AL200*(1+Macroindicadores!I$7),IF(AND($J200="PONTUAL",MONTH($O200)&lt;MONTH(AZ$4)),MIN($AS200:AY200),IF(AND($I200="NOVO",MONTH($O200)&gt;MONTH(AZ$4)),AL200,IF(MONTH($O200)&gt;MONTH(AZ$4),AL200,IF(MONTH($O200)=MONTH(AZ$4),AL200*(1+Macroindicadores!I$7),AY200)))))))))</f>
        <v>1.6874801269004789</v>
      </c>
      <c r="BA200" s="39">
        <f>IF(ISBLANK(Y200),"",IF(ISBLANK($O200),AM200,IF($J200="ANUAL",AM200*(1+Macroindicadores!J$7),IF(AND($I200="NOVO",MONTH($O200)=MONTH(BA$4)),AM200*(1+Macroindicadores!J$7),IF(AND($J200="PONTUAL",MONTH($O200)=MONTH(BA$4)),AM200*(1+Macroindicadores!J$7),IF(AND($J200="PONTUAL",MONTH($O200)&lt;MONTH(BA$4)),MIN($AS200:AZ200),IF(AND($I200="NOVO",MONTH($O200)&gt;MONTH(BA$4)),AM200,IF(MONTH($O200)&gt;MONTH(BA$4),AM200,IF(MONTH($O200)=MONTH(BA$4),AM200*(1+Macroindicadores!J$7),AZ200)))))))))</f>
        <v>1.6874801269004789</v>
      </c>
      <c r="BB200" s="39">
        <f>IF(ISBLANK(Z200),"",IF(ISBLANK($O200),AN200,IF($J200="ANUAL",AN200*(1+Macroindicadores!K$7),IF(AND($I200="NOVO",MONTH($O200)=MONTH(BB$4)),AN200*(1+Macroindicadores!K$7),IF(AND($J200="PONTUAL",MONTH($O200)=MONTH(BB$4)),AN200*(1+Macroindicadores!K$7),IF(AND($J200="PONTUAL",MONTH($O200)&lt;MONTH(BB$4)),MIN($AS200:BA200),IF(AND($I200="NOVO",MONTH($O200)&gt;MONTH(BB$4)),AN200,IF(MONTH($O200)&gt;MONTH(BB$4),AN200,IF(MONTH($O200)=MONTH(BB$4),AN200*(1+Macroindicadores!K$7),BA200)))))))))</f>
        <v>1.6874801269004789</v>
      </c>
      <c r="BC200" s="39">
        <f>IF(ISBLANK(AA200),"",IF(ISBLANK($O200),AO200,IF($J200="ANUAL",AO200*(1+Macroindicadores!L$7),IF(AND($I200="NOVO",MONTH($O200)=MONTH(BC$4)),AO200*(1+Macroindicadores!L$7),IF(AND($J200="PONTUAL",MONTH($O200)=MONTH(BC$4)),AO200*(1+Macroindicadores!L$7),IF(AND($J200="PONTUAL",MONTH($O200)&lt;MONTH(BC$4)),MIN($AS200:BB200),IF(AND($I200="NOVO",MONTH($O200)&gt;MONTH(BC$4)),AO200,IF(MONTH($O200)&gt;MONTH(BC$4),AO200,IF(MONTH($O200)=MONTH(BC$4),AO200*(1+Macroindicadores!L$7),BB200)))))))))</f>
        <v>1.6874801269004789</v>
      </c>
      <c r="BD200" s="39">
        <f>IF(ISBLANK(AB200),"",IF(ISBLANK($O200),AP200,IF($J200="ANUAL",AP200*(1+Macroindicadores!M$7),IF(AND($I200="NOVO",MONTH($O200)=MONTH(BD$4)),AP200*(1+Macroindicadores!M$7),IF(AND($J200="PONTUAL",MONTH($O200)=MONTH(BD$4)),AP200*(1+Macroindicadores!M$7),IF(AND($J200="PONTUAL",MONTH($O200)&lt;MONTH(BD$4)),MIN($AS200:BC200),IF(AND($I200="NOVO",MONTH($O200)&gt;MONTH(BD$4)),AP200,IF(MONTH($O200)&gt;MONTH(BD$4),AP200,IF(MONTH($O200)=MONTH(BD$4),AP200*(1+Macroindicadores!M$7),BC200)))))))))</f>
        <v>1.6874801269004789</v>
      </c>
      <c r="BE200" s="40">
        <f t="shared" si="78"/>
        <v>20.249761522805745</v>
      </c>
      <c r="BG200" s="39">
        <f>IF(ISBLANK(Q200),"",AS200/Macroindicadores!B$2)</f>
        <v>0.28698641613953724</v>
      </c>
      <c r="BH200" s="39">
        <f>IF(ISBLANK(R200),"",AT200/Macroindicadores!C$2)</f>
        <v>0.28698641613953724</v>
      </c>
      <c r="BI200" s="39">
        <f>IF(ISBLANK(S200),"",AU200/Macroindicadores!D$2)</f>
        <v>0.28698641613953724</v>
      </c>
      <c r="BJ200" s="39">
        <f>IF(ISBLANK(T200),"",AV200/Macroindicadores!E$2)</f>
        <v>0.28698641613953724</v>
      </c>
      <c r="BK200" s="39">
        <f>IF(ISBLANK(U200),"",AW200/Macroindicadores!F$2)</f>
        <v>0.28698641613953724</v>
      </c>
      <c r="BL200" s="39">
        <f>IF(ISBLANK(V200),"",AX200/Macroindicadores!G$2)</f>
        <v>0.28698641613953724</v>
      </c>
      <c r="BM200" s="39">
        <f>IF(ISBLANK(W200),"",AY200/Macroindicadores!H$2)</f>
        <v>0.28698641613953724</v>
      </c>
      <c r="BN200" s="39">
        <f>IF(ISBLANK(X200),"",AZ200/Macroindicadores!I$2)</f>
        <v>0.28698641613953724</v>
      </c>
      <c r="BO200" s="39">
        <f>IF(ISBLANK(Y200),"",BA200/Macroindicadores!J$2)</f>
        <v>0.28698641613953724</v>
      </c>
      <c r="BP200" s="39">
        <f>IF(ISBLANK(Z200),"",BB200/Macroindicadores!K$2)</f>
        <v>0.28698641613953724</v>
      </c>
      <c r="BQ200" s="39">
        <f>IF(ISBLANK(AA200),"",BC200/Macroindicadores!L$2)</f>
        <v>0.28698641613953724</v>
      </c>
      <c r="BR200" s="39">
        <f>IF(ISBLANK(AB200),"",BD200/Macroindicadores!M$2)</f>
        <v>0.28698641613953724</v>
      </c>
      <c r="BS200" s="40">
        <f>IF(AND(ISBLANK($Q200),ISBLANK($R200),ISBLANK($S200),ISBLANK($T200),ISBLANK($U200),ISBLANK($V200),ISBLANK($W200),ISBLANK($X200),ISBLANK($Y200),ISBLANK($Z200),ISBLANK($AA200),ISBLANK($AB200)),"",SUM(BG200:BR200))</f>
        <v>3.4438369936744468</v>
      </c>
      <c r="BT200" s="25" t="str">
        <f>IF(ISBLANK($L200),"",_xlfn.XLOOKUP($L200,'CENTRO CUSTO'!$A:$A,'CENTRO CUSTO'!$E:$E,FALSE,0))</f>
        <v>Custo Fixo</v>
      </c>
    </row>
    <row r="201" spans="1:72">
      <c r="A201" s="9" t="str">
        <f t="shared" si="80"/>
        <v>Budget</v>
      </c>
      <c r="B201" s="9">
        <f t="shared" si="77"/>
        <v>2026</v>
      </c>
      <c r="C201" s="18" t="str">
        <f>IF(ISBLANK($L201),"",_xlfn.XLOOKUP($L201,'CENTRO CUSTO'!$A:$A,'CENTRO CUSTO'!F:F,FALSE,0))</f>
        <v>Transporte</v>
      </c>
      <c r="D201" s="111" t="str">
        <f>IF(ISBLANK($L201),"",_xlfn.XLOOKUP($L201,'CENTRO CUSTO'!$A:$A,'CENTRO CUSTO'!G:G,FALSE,0))</f>
        <v>Transportes</v>
      </c>
      <c r="E201" s="18" t="str">
        <f>IF(ISBLANK($L201),"",_xlfn.XLOOKUP($L201,'CENTRO CUSTO'!$A:$A,'CENTRO CUSTO'!H:H,FALSE,0))</f>
        <v>Transportes</v>
      </c>
      <c r="F201" s="10" t="s">
        <v>206</v>
      </c>
      <c r="G201" s="10" t="s">
        <v>75</v>
      </c>
      <c r="H201" s="10" t="s">
        <v>205</v>
      </c>
      <c r="I201" s="11" t="s">
        <v>84</v>
      </c>
      <c r="J201" s="11" t="s">
        <v>78</v>
      </c>
      <c r="K201" s="11" t="s">
        <v>121</v>
      </c>
      <c r="L201" s="11" t="s">
        <v>111</v>
      </c>
      <c r="M201" s="18" t="str">
        <f>IF(ISBLANK($L201),"",_xlfn.XLOOKUP($L201,'CENTRO CUSTO'!$A:$A,'CENTRO CUSTO'!D:D,FALSE,0))</f>
        <v>Alexandre Ayabe</v>
      </c>
      <c r="N201" s="11" t="s">
        <v>91</v>
      </c>
      <c r="O201" s="12">
        <v>46023</v>
      </c>
      <c r="P201" s="11" t="s">
        <v>81</v>
      </c>
      <c r="Q201" s="41">
        <v>10000</v>
      </c>
      <c r="R201" s="41">
        <v>10000</v>
      </c>
      <c r="S201" s="41">
        <v>10000</v>
      </c>
      <c r="T201" s="41">
        <v>10000</v>
      </c>
      <c r="U201" s="41">
        <v>10000</v>
      </c>
      <c r="V201" s="41">
        <v>10000</v>
      </c>
      <c r="W201" s="41">
        <v>10000</v>
      </c>
      <c r="X201" s="41">
        <v>10000</v>
      </c>
      <c r="Y201" s="41">
        <v>10000</v>
      </c>
      <c r="Z201" s="41">
        <v>10000</v>
      </c>
      <c r="AA201" s="41">
        <v>10000</v>
      </c>
      <c r="AB201" s="41">
        <v>10000</v>
      </c>
      <c r="AC201" s="116">
        <f t="shared" ref="AC201:AC202" si="96">IF(AND(ISBLANK($Q201),ISBLANK($R201),ISBLANK($S201),ISBLANK($T201),ISBLANK($U201),ISBLANK($V201),ISBLANK($W201),ISBLANK($X201),ISBLANK($Y201),ISBLANK($Z201),ISBLANK($AA201),ISBLANK($AB201)),"",SUM(Q201:AB201))</f>
        <v>120000</v>
      </c>
      <c r="AE201" s="39">
        <f>IF(ISBLANK(Q201),"",IF($P201="BRL",Q201,Q201*Macroindicadores!B$2)/1000)</f>
        <v>10</v>
      </c>
      <c r="AF201" s="39">
        <f>IF(ISBLANK(R201),"",IF($P201="BRL",R201,R201*Macroindicadores!C$2)/1000)</f>
        <v>10</v>
      </c>
      <c r="AG201" s="39">
        <f>IF(ISBLANK(S201),"",IF($P201="BRL",S201,S201*Macroindicadores!D$2)/1000)</f>
        <v>10</v>
      </c>
      <c r="AH201" s="39">
        <f>IF(ISBLANK(T201),"",IF($P201="BRL",T201,T201*Macroindicadores!E$2)/1000)</f>
        <v>10</v>
      </c>
      <c r="AI201" s="39">
        <f>IF(ISBLANK(U201),"",IF($P201="BRL",U201,U201*Macroindicadores!F$2)/1000)</f>
        <v>10</v>
      </c>
      <c r="AJ201" s="39">
        <f>IF(ISBLANK(V201),"",IF($P201="BRL",V201,V201*Macroindicadores!G$2)/1000)</f>
        <v>10</v>
      </c>
      <c r="AK201" s="39">
        <f>IF(ISBLANK(W201),"",IF($P201="BRL",W201,W201*Macroindicadores!H$2)/1000)</f>
        <v>10</v>
      </c>
      <c r="AL201" s="39">
        <f>IF(ISBLANK(X201),"",IF($P201="BRL",X201,X201*Macroindicadores!I$2)/1000)</f>
        <v>10</v>
      </c>
      <c r="AM201" s="39">
        <f>IF(ISBLANK(Y201),"",IF($P201="BRL",Y201,Y201*Macroindicadores!J$2)/1000)</f>
        <v>10</v>
      </c>
      <c r="AN201" s="39">
        <f>IF(ISBLANK(Z201),"",IF($P201="BRL",Z201,Z201*Macroindicadores!K$2)/1000)</f>
        <v>10</v>
      </c>
      <c r="AO201" s="39">
        <f>IF(ISBLANK(AA201),"",IF($P201="BRL",AA201,AA201*Macroindicadores!L$2)/1000)</f>
        <v>10</v>
      </c>
      <c r="AP201" s="39">
        <f>IF(ISBLANK(AB201),"",IF($P201="BRL",AB201,AB201*Macroindicadores!M$2)/1000)</f>
        <v>10</v>
      </c>
      <c r="AQ201" s="40">
        <f t="shared" ref="AQ201:AQ202" si="97">IF(AND(ISBLANK($Q201),ISBLANK($R201),ISBLANK($S201),ISBLANK($T201),ISBLANK($U201),ISBLANK($V201),ISBLANK($W201),ISBLANK($X201),ISBLANK($Y201),ISBLANK($Z201),ISBLANK($AA201),ISBLANK($AB201)),"",SUM(AE201:AP201))</f>
        <v>120</v>
      </c>
      <c r="AS201" s="39">
        <f>IF(ISBLANK(Q201),"",IF(ISBLANK($O201),AE201,IF($J201="ANUAL",AE201*(1+Macroindicadores!B$7),IF(AND($I201="NOVO",MONTH($O201)=MONTH(AS$4)),AE201*(1+Macroindicadores!B$7),IF(AND($J201="PONTUAL",MONTH($O201)=MONTH(AS$4)),AE201*(1+Macroindicadores!B$7),IF(AND($J201="PONTUAL",MONTH($O201)&lt;MONTH(AS$4)),MIN(AR201:$AS201),IF(AND($I201="NOVO",MONTH($O201)&gt;MONTH(AS$4)),AE201,IF(MONTH($O201)&gt;MONTH(AS$4),AE201,IF(MONTH($O201)=MONTH(AS$4),AE201*(1+Macroindicadores!B$7),AR201)))))))))</f>
        <v>10.546750793127993</v>
      </c>
      <c r="AT201" s="39">
        <f>IF(ISBLANK(R201),"",IF(ISBLANK($O201),AF201,IF($J201="ANUAL",AF201*(1+Macroindicadores!C$7),IF(AND($I201="NOVO",MONTH($O201)=MONTH(AT$4)),AF201*(1+Macroindicadores!C$7),IF(AND($J201="PONTUAL",MONTH($O201)=MONTH(AT$4)),AF201*(1+Macroindicadores!C$7),IF(AND($J201="PONTUAL",MONTH($O201)&lt;MONTH(AT$4)),MIN($AS201:AS201),IF(AND($I201="NOVO",MONTH($O201)&gt;MONTH(AT$4)),AF201,IF(MONTH($O201)&gt;MONTH(AT$4),AF201,IF(MONTH($O201)=MONTH(AT$4),AF201*(1+Macroindicadores!C$7),AS201)))))))))</f>
        <v>10.546750793127993</v>
      </c>
      <c r="AU201" s="39">
        <f>IF(ISBLANK(S201),"",IF(ISBLANK($O201),AG201,IF($J201="ANUAL",AG201*(1+Macroindicadores!D$7),IF(AND($I201="NOVO",MONTH($O201)=MONTH(AU$4)),AG201*(1+Macroindicadores!D$7),IF(AND($J201="PONTUAL",MONTH($O201)=MONTH(AU$4)),AG201*(1+Macroindicadores!D$7),IF(AND($J201="PONTUAL",MONTH($O201)&lt;MONTH(AU$4)),MIN($AS201:AT201),IF(AND($I201="NOVO",MONTH($O201)&gt;MONTH(AU$4)),AG201,IF(MONTH($O201)&gt;MONTH(AU$4),AG201,IF(MONTH($O201)=MONTH(AU$4),AG201*(1+Macroindicadores!D$7),AT201)))))))))</f>
        <v>10.546750793127993</v>
      </c>
      <c r="AV201" s="39">
        <f>IF(ISBLANK(T201),"",IF(ISBLANK($O201),AH201,IF($J201="ANUAL",AH201*(1+Macroindicadores!E$7),IF(AND($I201="NOVO",MONTH($O201)=MONTH(AV$4)),AH201*(1+Macroindicadores!E$7),IF(AND($J201="PONTUAL",MONTH($O201)=MONTH(AV$4)),AH201*(1+Macroindicadores!E$7),IF(AND($J201="PONTUAL",MONTH($O201)&lt;MONTH(AV$4)),MIN($AS201:AU201),IF(AND($I201="NOVO",MONTH($O201)&gt;MONTH(AV$4)),AH201,IF(MONTH($O201)&gt;MONTH(AV$4),AH201,IF(MONTH($O201)=MONTH(AV$4),AH201*(1+Macroindicadores!E$7),AU201)))))))))</f>
        <v>10.546750793127993</v>
      </c>
      <c r="AW201" s="39">
        <f>IF(ISBLANK(U201),"",IF(ISBLANK($O201),AI201,IF($J201="ANUAL",AI201*(1+Macroindicadores!F$7),IF(AND($I201="NOVO",MONTH($O201)=MONTH(AW$4)),AI201*(1+Macroindicadores!F$7),IF(AND($J201="PONTUAL",MONTH($O201)=MONTH(AW$4)),AI201*(1+Macroindicadores!F$7),IF(AND($J201="PONTUAL",MONTH($O201)&lt;MONTH(AW$4)),MIN($AS201:AV201),IF(AND($I201="NOVO",MONTH($O201)&gt;MONTH(AW$4)),AI201,IF(MONTH($O201)&gt;MONTH(AW$4),AI201,IF(MONTH($O201)=MONTH(AW$4),AI201*(1+Macroindicadores!F$7),AV201)))))))))</f>
        <v>10.546750793127993</v>
      </c>
      <c r="AX201" s="39">
        <f>IF(ISBLANK(V201),"",IF(ISBLANK($O201),AJ201,IF($J201="ANUAL",AJ201*(1+Macroindicadores!G$7),IF(AND($I201="NOVO",MONTH($O201)=MONTH(AX$4)),AJ201*(1+Macroindicadores!G$7),IF(AND($J201="PONTUAL",MONTH($O201)=MONTH(AX$4)),AJ201*(1+Macroindicadores!G$7),IF(AND($J201="PONTUAL",MONTH($O201)&lt;MONTH(AX$4)),MIN($AS201:AW201),IF(AND($I201="NOVO",MONTH($O201)&gt;MONTH(AX$4)),AJ201,IF(MONTH($O201)&gt;MONTH(AX$4),AJ201,IF(MONTH($O201)=MONTH(AX$4),AJ201*(1+Macroindicadores!G$7),AW201)))))))))</f>
        <v>10.546750793127993</v>
      </c>
      <c r="AY201" s="39">
        <f>IF(ISBLANK(W201),"",IF(ISBLANK($O201),AK201,IF($J201="ANUAL",AK201*(1+Macroindicadores!H$7),IF(AND($I201="NOVO",MONTH($O201)=MONTH(AY$4)),AK201*(1+Macroindicadores!H$7),IF(AND($J201="PONTUAL",MONTH($O201)=MONTH(AY$4)),AK201*(1+Macroindicadores!H$7),IF(AND($J201="PONTUAL",MONTH($O201)&lt;MONTH(AY$4)),MIN($AS201:AX201),IF(AND($I201="NOVO",MONTH($O201)&gt;MONTH(AY$4)),AK201,IF(MONTH($O201)&gt;MONTH(AY$4),AK201,IF(MONTH($O201)=MONTH(AY$4),AK201*(1+Macroindicadores!H$7),AX201)))))))))</f>
        <v>10.546750793127993</v>
      </c>
      <c r="AZ201" s="39">
        <f>IF(ISBLANK(X201),"",IF(ISBLANK($O201),AL201,IF($J201="ANUAL",AL201*(1+Macroindicadores!I$7),IF(AND($I201="NOVO",MONTH($O201)=MONTH(AZ$4)),AL201*(1+Macroindicadores!I$7),IF(AND($J201="PONTUAL",MONTH($O201)=MONTH(AZ$4)),AL201*(1+Macroindicadores!I$7),IF(AND($J201="PONTUAL",MONTH($O201)&lt;MONTH(AZ$4)),MIN($AS201:AY201),IF(AND($I201="NOVO",MONTH($O201)&gt;MONTH(AZ$4)),AL201,IF(MONTH($O201)&gt;MONTH(AZ$4),AL201,IF(MONTH($O201)=MONTH(AZ$4),AL201*(1+Macroindicadores!I$7),AY201)))))))))</f>
        <v>10.546750793127993</v>
      </c>
      <c r="BA201" s="39">
        <f>IF(ISBLANK(Y201),"",IF(ISBLANK($O201),AM201,IF($J201="ANUAL",AM201*(1+Macroindicadores!J$7),IF(AND($I201="NOVO",MONTH($O201)=MONTH(BA$4)),AM201*(1+Macroindicadores!J$7),IF(AND($J201="PONTUAL",MONTH($O201)=MONTH(BA$4)),AM201*(1+Macroindicadores!J$7),IF(AND($J201="PONTUAL",MONTH($O201)&lt;MONTH(BA$4)),MIN($AS201:AZ201),IF(AND($I201="NOVO",MONTH($O201)&gt;MONTH(BA$4)),AM201,IF(MONTH($O201)&gt;MONTH(BA$4),AM201,IF(MONTH($O201)=MONTH(BA$4),AM201*(1+Macroindicadores!J$7),AZ201)))))))))</f>
        <v>10.546750793127993</v>
      </c>
      <c r="BB201" s="39">
        <f>IF(ISBLANK(Z201),"",IF(ISBLANK($O201),AN201,IF($J201="ANUAL",AN201*(1+Macroindicadores!K$7),IF(AND($I201="NOVO",MONTH($O201)=MONTH(BB$4)),AN201*(1+Macroindicadores!K$7),IF(AND($J201="PONTUAL",MONTH($O201)=MONTH(BB$4)),AN201*(1+Macroindicadores!K$7),IF(AND($J201="PONTUAL",MONTH($O201)&lt;MONTH(BB$4)),MIN($AS201:BA201),IF(AND($I201="NOVO",MONTH($O201)&gt;MONTH(BB$4)),AN201,IF(MONTH($O201)&gt;MONTH(BB$4),AN201,IF(MONTH($O201)=MONTH(BB$4),AN201*(1+Macroindicadores!K$7),BA201)))))))))</f>
        <v>10.546750793127993</v>
      </c>
      <c r="BC201" s="39">
        <f>IF(ISBLANK(AA201),"",IF(ISBLANK($O201),AO201,IF($J201="ANUAL",AO201*(1+Macroindicadores!L$7),IF(AND($I201="NOVO",MONTH($O201)=MONTH(BC$4)),AO201*(1+Macroindicadores!L$7),IF(AND($J201="PONTUAL",MONTH($O201)=MONTH(BC$4)),AO201*(1+Macroindicadores!L$7),IF(AND($J201="PONTUAL",MONTH($O201)&lt;MONTH(BC$4)),MIN($AS201:BB201),IF(AND($I201="NOVO",MONTH($O201)&gt;MONTH(BC$4)),AO201,IF(MONTH($O201)&gt;MONTH(BC$4),AO201,IF(MONTH($O201)=MONTH(BC$4),AO201*(1+Macroindicadores!L$7),BB201)))))))))</f>
        <v>10.546750793127993</v>
      </c>
      <c r="BD201" s="39">
        <f>IF(ISBLANK(AB201),"",IF(ISBLANK($O201),AP201,IF($J201="ANUAL",AP201*(1+Macroindicadores!M$7),IF(AND($I201="NOVO",MONTH($O201)=MONTH(BD$4)),AP201*(1+Macroindicadores!M$7),IF(AND($J201="PONTUAL",MONTH($O201)=MONTH(BD$4)),AP201*(1+Macroindicadores!M$7),IF(AND($J201="PONTUAL",MONTH($O201)&lt;MONTH(BD$4)),MIN($AS201:BC201),IF(AND($I201="NOVO",MONTH($O201)&gt;MONTH(BD$4)),AP201,IF(MONTH($O201)&gt;MONTH(BD$4),AP201,IF(MONTH($O201)=MONTH(BD$4),AP201*(1+Macroindicadores!M$7),BC201)))))))))</f>
        <v>10.546750793127993</v>
      </c>
      <c r="BE201" s="40">
        <f t="shared" ref="BE201:BE202" si="98">IF(AND(ISBLANK($Q201),ISBLANK($R201),ISBLANK($S201),ISBLANK($T201),ISBLANK($U201),ISBLANK($V201),ISBLANK($W201),ISBLANK($X201),ISBLANK($Y201),ISBLANK($Z201),ISBLANK($AA201),ISBLANK($AB201)),"",SUM(AS201:BD201))</f>
        <v>126.56100951753594</v>
      </c>
      <c r="BG201" s="39">
        <f>IF(ISBLANK(Q201),"",AS201/Macroindicadores!B$2)</f>
        <v>1.7936651008721076</v>
      </c>
      <c r="BH201" s="39">
        <f>IF(ISBLANK(R201),"",AT201/Macroindicadores!C$2)</f>
        <v>1.7936651008721076</v>
      </c>
      <c r="BI201" s="39">
        <f>IF(ISBLANK(S201),"",AU201/Macroindicadores!D$2)</f>
        <v>1.7936651008721076</v>
      </c>
      <c r="BJ201" s="39">
        <f>IF(ISBLANK(T201),"",AV201/Macroindicadores!E$2)</f>
        <v>1.7936651008721076</v>
      </c>
      <c r="BK201" s="39">
        <f>IF(ISBLANK(U201),"",AW201/Macroindicadores!F$2)</f>
        <v>1.7936651008721076</v>
      </c>
      <c r="BL201" s="39">
        <f>IF(ISBLANK(V201),"",AX201/Macroindicadores!G$2)</f>
        <v>1.7936651008721076</v>
      </c>
      <c r="BM201" s="39">
        <f>IF(ISBLANK(W201),"",AY201/Macroindicadores!H$2)</f>
        <v>1.7936651008721076</v>
      </c>
      <c r="BN201" s="39">
        <f>IF(ISBLANK(X201),"",AZ201/Macroindicadores!I$2)</f>
        <v>1.7936651008721076</v>
      </c>
      <c r="BO201" s="39">
        <f>IF(ISBLANK(Y201),"",BA201/Macroindicadores!J$2)</f>
        <v>1.7936651008721076</v>
      </c>
      <c r="BP201" s="39">
        <f>IF(ISBLANK(Z201),"",BB201/Macroindicadores!K$2)</f>
        <v>1.7936651008721076</v>
      </c>
      <c r="BQ201" s="39">
        <f>IF(ISBLANK(AA201),"",BC201/Macroindicadores!L$2)</f>
        <v>1.7936651008721076</v>
      </c>
      <c r="BR201" s="39">
        <f>IF(ISBLANK(AB201),"",BD201/Macroindicadores!M$2)</f>
        <v>1.7936651008721076</v>
      </c>
      <c r="BS201" s="40">
        <f>IF(AND(ISBLANK($Q201),ISBLANK($R201),ISBLANK($S201),ISBLANK($T201),ISBLANK($U201),ISBLANK($V201),ISBLANK($W201),ISBLANK($X201),ISBLANK($Y201),ISBLANK($Z201),ISBLANK($AA201),ISBLANK($AB201)),"",SUM(BG201:BR201))</f>
        <v>21.523981210465291</v>
      </c>
      <c r="BT201" s="25" t="str">
        <f>IF(ISBLANK($L201),"",_xlfn.XLOOKUP($L201,'CENTRO CUSTO'!$A:$A,'CENTRO CUSTO'!$E:$E,FALSE,0))</f>
        <v>Custo Fixo</v>
      </c>
    </row>
    <row r="202" spans="1:72">
      <c r="A202" s="9" t="str">
        <f t="shared" si="80"/>
        <v>Budget</v>
      </c>
      <c r="B202" s="9">
        <f t="shared" si="77"/>
        <v>2026</v>
      </c>
      <c r="C202" s="18" t="str">
        <f>IF(ISBLANK($L202),"",_xlfn.XLOOKUP($L202,'CENTRO CUSTO'!$A:$A,'CENTRO CUSTO'!F:F,FALSE,0))</f>
        <v>Transporte</v>
      </c>
      <c r="D202" s="111" t="str">
        <f>IF(ISBLANK($L202),"",_xlfn.XLOOKUP($L202,'CENTRO CUSTO'!$A:$A,'CENTRO CUSTO'!G:G,FALSE,0))</f>
        <v>BU-TR</v>
      </c>
      <c r="E202" s="18" t="str">
        <f>IF(ISBLANK($L202),"",_xlfn.XLOOKUP($L202,'CENTRO CUSTO'!$A:$A,'CENTRO CUSTO'!H:H,FALSE,0))</f>
        <v>G&amp;A</v>
      </c>
      <c r="F202" s="10" t="s">
        <v>207</v>
      </c>
      <c r="G202" s="10" t="s">
        <v>126</v>
      </c>
      <c r="H202" s="10" t="s">
        <v>208</v>
      </c>
      <c r="I202" s="11" t="s">
        <v>77</v>
      </c>
      <c r="J202" s="11" t="s">
        <v>78</v>
      </c>
      <c r="K202" s="11" t="s">
        <v>79</v>
      </c>
      <c r="L202" s="11" t="s">
        <v>38</v>
      </c>
      <c r="M202" s="18" t="str">
        <f>IF(ISBLANK($L202),"",_xlfn.XLOOKUP($L202,'CENTRO CUSTO'!$A:$A,'CENTRO CUSTO'!D:D,FALSE,0))</f>
        <v>Alexandre Ayabe</v>
      </c>
      <c r="N202" s="11" t="s">
        <v>87</v>
      </c>
      <c r="O202" s="12"/>
      <c r="P202" s="11" t="s">
        <v>81</v>
      </c>
      <c r="Q202" s="41">
        <f>36000*Rateio!$E$393/12</f>
        <v>0</v>
      </c>
      <c r="R202" s="41">
        <f>36000*Rateio!$E$393/12</f>
        <v>0</v>
      </c>
      <c r="S202" s="41">
        <f>36000*Rateio!$E$393/12</f>
        <v>0</v>
      </c>
      <c r="T202" s="41">
        <f>36000*Rateio!$E$393/12</f>
        <v>0</v>
      </c>
      <c r="U202" s="41">
        <f>36000*Rateio!$E$393/12</f>
        <v>0</v>
      </c>
      <c r="V202" s="41">
        <f>36000*Rateio!$E$393/12</f>
        <v>0</v>
      </c>
      <c r="W202" s="41">
        <f>36000*Rateio!$E$393/12</f>
        <v>0</v>
      </c>
      <c r="X202" s="41">
        <f>36000*Rateio!$E$393/12</f>
        <v>0</v>
      </c>
      <c r="Y202" s="41">
        <f>36000*Rateio!$E$393/12</f>
        <v>0</v>
      </c>
      <c r="Z202" s="41">
        <f>36000*Rateio!$E$393/12</f>
        <v>0</v>
      </c>
      <c r="AA202" s="41">
        <f>36000*Rateio!$E$393/12</f>
        <v>0</v>
      </c>
      <c r="AB202" s="41">
        <f>36000*Rateio!$E$393/12</f>
        <v>0</v>
      </c>
      <c r="AC202" s="116">
        <f t="shared" si="96"/>
        <v>0</v>
      </c>
      <c r="AE202" s="39">
        <f>IF(ISBLANK(Q202),"",IF($P202="BRL",Q202,Q202*Macroindicadores!B$2)/1000)</f>
        <v>0</v>
      </c>
      <c r="AF202" s="39">
        <f>IF(ISBLANK(R202),"",IF($P202="BRL",R202,R202*Macroindicadores!C$2)/1000)</f>
        <v>0</v>
      </c>
      <c r="AG202" s="39">
        <f>IF(ISBLANK(S202),"",IF($P202="BRL",S202,S202*Macroindicadores!D$2)/1000)</f>
        <v>0</v>
      </c>
      <c r="AH202" s="39">
        <f>IF(ISBLANK(T202),"",IF($P202="BRL",T202,T202*Macroindicadores!E$2)/1000)</f>
        <v>0</v>
      </c>
      <c r="AI202" s="39">
        <f>IF(ISBLANK(U202),"",IF($P202="BRL",U202,U202*Macroindicadores!F$2)/1000)</f>
        <v>0</v>
      </c>
      <c r="AJ202" s="39">
        <f>IF(ISBLANK(V202),"",IF($P202="BRL",V202,V202*Macroindicadores!G$2)/1000)</f>
        <v>0</v>
      </c>
      <c r="AK202" s="39">
        <f>IF(ISBLANK(W202),"",IF($P202="BRL",W202,W202*Macroindicadores!H$2)/1000)</f>
        <v>0</v>
      </c>
      <c r="AL202" s="39">
        <f>IF(ISBLANK(X202),"",IF($P202="BRL",X202,X202*Macroindicadores!I$2)/1000)</f>
        <v>0</v>
      </c>
      <c r="AM202" s="39">
        <f>IF(ISBLANK(Y202),"",IF($P202="BRL",Y202,Y202*Macroindicadores!J$2)/1000)</f>
        <v>0</v>
      </c>
      <c r="AN202" s="39">
        <f>IF(ISBLANK(Z202),"",IF($P202="BRL",Z202,Z202*Macroindicadores!K$2)/1000)</f>
        <v>0</v>
      </c>
      <c r="AO202" s="39">
        <f>IF(ISBLANK(AA202),"",IF($P202="BRL",AA202,AA202*Macroindicadores!L$2)/1000)</f>
        <v>0</v>
      </c>
      <c r="AP202" s="39">
        <f>IF(ISBLANK(AB202),"",IF($P202="BRL",AB202,AB202*Macroindicadores!M$2)/1000)</f>
        <v>0</v>
      </c>
      <c r="AQ202" s="40">
        <f t="shared" si="97"/>
        <v>0</v>
      </c>
      <c r="AS202" s="39">
        <f>IF(ISBLANK(Q202),"",IF(ISBLANK($O202),AE202,IF($J202="ANUAL",AE202*(1+Macroindicadores!B$7),IF(AND($I202="NOVO",MONTH($O202)=MONTH(AS$4)),AE202*(1+Macroindicadores!B$7),IF(AND($J202="PONTUAL",MONTH($O202)=MONTH(AS$4)),AE202*(1+Macroindicadores!B$7),IF(AND($J202="PONTUAL",MONTH($O202)&lt;MONTH(AS$4)),MIN(AR202:$AS202),IF(AND($I202="NOVO",MONTH($O202)&gt;MONTH(AS$4)),AE202,IF(MONTH($O202)&gt;MONTH(AS$4),AE202,IF(MONTH($O202)=MONTH(AS$4),AE202*(1+Macroindicadores!B$7),AR202)))))))))</f>
        <v>0</v>
      </c>
      <c r="AT202" s="39">
        <f>IF(ISBLANK(R202),"",IF(ISBLANK($O202),AF202,IF($J202="ANUAL",AF202*(1+Macroindicadores!C$7),IF(AND($I202="NOVO",MONTH($O202)=MONTH(AT$4)),AF202*(1+Macroindicadores!C$7),IF(AND($J202="PONTUAL",MONTH($O202)=MONTH(AT$4)),AF202*(1+Macroindicadores!C$7),IF(AND($J202="PONTUAL",MONTH($O202)&lt;MONTH(AT$4)),MIN($AS202:AS202),IF(AND($I202="NOVO",MONTH($O202)&gt;MONTH(AT$4)),AF202,IF(MONTH($O202)&gt;MONTH(AT$4),AF202,IF(MONTH($O202)=MONTH(AT$4),AF202*(1+Macroindicadores!C$7),AS202)))))))))</f>
        <v>0</v>
      </c>
      <c r="AU202" s="39">
        <f>IF(ISBLANK(S202),"",IF(ISBLANK($O202),AG202,IF($J202="ANUAL",AG202*(1+Macroindicadores!D$7),IF(AND($I202="NOVO",MONTH($O202)=MONTH(AU$4)),AG202*(1+Macroindicadores!D$7),IF(AND($J202="PONTUAL",MONTH($O202)=MONTH(AU$4)),AG202*(1+Macroindicadores!D$7),IF(AND($J202="PONTUAL",MONTH($O202)&lt;MONTH(AU$4)),MIN($AS202:AT202),IF(AND($I202="NOVO",MONTH($O202)&gt;MONTH(AU$4)),AG202,IF(MONTH($O202)&gt;MONTH(AU$4),AG202,IF(MONTH($O202)=MONTH(AU$4),AG202*(1+Macroindicadores!D$7),AT202)))))))))</f>
        <v>0</v>
      </c>
      <c r="AV202" s="39">
        <f>IF(ISBLANK(T202),"",IF(ISBLANK($O202),AH202,IF($J202="ANUAL",AH202*(1+Macroindicadores!E$7),IF(AND($I202="NOVO",MONTH($O202)=MONTH(AV$4)),AH202*(1+Macroindicadores!E$7),IF(AND($J202="PONTUAL",MONTH($O202)=MONTH(AV$4)),AH202*(1+Macroindicadores!E$7),IF(AND($J202="PONTUAL",MONTH($O202)&lt;MONTH(AV$4)),MIN($AS202:AU202),IF(AND($I202="NOVO",MONTH($O202)&gt;MONTH(AV$4)),AH202,IF(MONTH($O202)&gt;MONTH(AV$4),AH202,IF(MONTH($O202)=MONTH(AV$4),AH202*(1+Macroindicadores!E$7),AU202)))))))))</f>
        <v>0</v>
      </c>
      <c r="AW202" s="39">
        <f>IF(ISBLANK(U202),"",IF(ISBLANK($O202),AI202,IF($J202="ANUAL",AI202*(1+Macroindicadores!F$7),IF(AND($I202="NOVO",MONTH($O202)=MONTH(AW$4)),AI202*(1+Macroindicadores!F$7),IF(AND($J202="PONTUAL",MONTH($O202)=MONTH(AW$4)),AI202*(1+Macroindicadores!F$7),IF(AND($J202="PONTUAL",MONTH($O202)&lt;MONTH(AW$4)),MIN($AS202:AV202),IF(AND($I202="NOVO",MONTH($O202)&gt;MONTH(AW$4)),AI202,IF(MONTH($O202)&gt;MONTH(AW$4),AI202,IF(MONTH($O202)=MONTH(AW$4),AI202*(1+Macroindicadores!F$7),AV202)))))))))</f>
        <v>0</v>
      </c>
      <c r="AX202" s="39">
        <f>IF(ISBLANK(V202),"",IF(ISBLANK($O202),AJ202,IF($J202="ANUAL",AJ202*(1+Macroindicadores!G$7),IF(AND($I202="NOVO",MONTH($O202)=MONTH(AX$4)),AJ202*(1+Macroindicadores!G$7),IF(AND($J202="PONTUAL",MONTH($O202)=MONTH(AX$4)),AJ202*(1+Macroindicadores!G$7),IF(AND($J202="PONTUAL",MONTH($O202)&lt;MONTH(AX$4)),MIN($AS202:AW202),IF(AND($I202="NOVO",MONTH($O202)&gt;MONTH(AX$4)),AJ202,IF(MONTH($O202)&gt;MONTH(AX$4),AJ202,IF(MONTH($O202)=MONTH(AX$4),AJ202*(1+Macroindicadores!G$7),AW202)))))))))</f>
        <v>0</v>
      </c>
      <c r="AY202" s="39">
        <f>IF(ISBLANK(W202),"",IF(ISBLANK($O202),AK202,IF($J202="ANUAL",AK202*(1+Macroindicadores!H$7),IF(AND($I202="NOVO",MONTH($O202)=MONTH(AY$4)),AK202*(1+Macroindicadores!H$7),IF(AND($J202="PONTUAL",MONTH($O202)=MONTH(AY$4)),AK202*(1+Macroindicadores!H$7),IF(AND($J202="PONTUAL",MONTH($O202)&lt;MONTH(AY$4)),MIN($AS202:AX202),IF(AND($I202="NOVO",MONTH($O202)&gt;MONTH(AY$4)),AK202,IF(MONTH($O202)&gt;MONTH(AY$4),AK202,IF(MONTH($O202)=MONTH(AY$4),AK202*(1+Macroindicadores!H$7),AX202)))))))))</f>
        <v>0</v>
      </c>
      <c r="AZ202" s="39">
        <f>IF(ISBLANK(X202),"",IF(ISBLANK($O202),AL202,IF($J202="ANUAL",AL202*(1+Macroindicadores!I$7),IF(AND($I202="NOVO",MONTH($O202)=MONTH(AZ$4)),AL202*(1+Macroindicadores!I$7),IF(AND($J202="PONTUAL",MONTH($O202)=MONTH(AZ$4)),AL202*(1+Macroindicadores!I$7),IF(AND($J202="PONTUAL",MONTH($O202)&lt;MONTH(AZ$4)),MIN($AS202:AY202),IF(AND($I202="NOVO",MONTH($O202)&gt;MONTH(AZ$4)),AL202,IF(MONTH($O202)&gt;MONTH(AZ$4),AL202,IF(MONTH($O202)=MONTH(AZ$4),AL202*(1+Macroindicadores!I$7),AY202)))))))))</f>
        <v>0</v>
      </c>
      <c r="BA202" s="39">
        <f>IF(ISBLANK(Y202),"",IF(ISBLANK($O202),AM202,IF($J202="ANUAL",AM202*(1+Macroindicadores!J$7),IF(AND($I202="NOVO",MONTH($O202)=MONTH(BA$4)),AM202*(1+Macroindicadores!J$7),IF(AND($J202="PONTUAL",MONTH($O202)=MONTH(BA$4)),AM202*(1+Macroindicadores!J$7),IF(AND($J202="PONTUAL",MONTH($O202)&lt;MONTH(BA$4)),MIN($AS202:AZ202),IF(AND($I202="NOVO",MONTH($O202)&gt;MONTH(BA$4)),AM202,IF(MONTH($O202)&gt;MONTH(BA$4),AM202,IF(MONTH($O202)=MONTH(BA$4),AM202*(1+Macroindicadores!J$7),AZ202)))))))))</f>
        <v>0</v>
      </c>
      <c r="BB202" s="39">
        <f>IF(ISBLANK(Z202),"",IF(ISBLANK($O202),AN202,IF($J202="ANUAL",AN202*(1+Macroindicadores!K$7),IF(AND($I202="NOVO",MONTH($O202)=MONTH(BB$4)),AN202*(1+Macroindicadores!K$7),IF(AND($J202="PONTUAL",MONTH($O202)=MONTH(BB$4)),AN202*(1+Macroindicadores!K$7),IF(AND($J202="PONTUAL",MONTH($O202)&lt;MONTH(BB$4)),MIN($AS202:BA202),IF(AND($I202="NOVO",MONTH($O202)&gt;MONTH(BB$4)),AN202,IF(MONTH($O202)&gt;MONTH(BB$4),AN202,IF(MONTH($O202)=MONTH(BB$4),AN202*(1+Macroindicadores!K$7),BA202)))))))))</f>
        <v>0</v>
      </c>
      <c r="BC202" s="39">
        <f>IF(ISBLANK(AA202),"",IF(ISBLANK($O202),AO202,IF($J202="ANUAL",AO202*(1+Macroindicadores!L$7),IF(AND($I202="NOVO",MONTH($O202)=MONTH(BC$4)),AO202*(1+Macroindicadores!L$7),IF(AND($J202="PONTUAL",MONTH($O202)=MONTH(BC$4)),AO202*(1+Macroindicadores!L$7),IF(AND($J202="PONTUAL",MONTH($O202)&lt;MONTH(BC$4)),MIN($AS202:BB202),IF(AND($I202="NOVO",MONTH($O202)&gt;MONTH(BC$4)),AO202,IF(MONTH($O202)&gt;MONTH(BC$4),AO202,IF(MONTH($O202)=MONTH(BC$4),AO202*(1+Macroindicadores!L$7),BB202)))))))))</f>
        <v>0</v>
      </c>
      <c r="BD202" s="39">
        <f>IF(ISBLANK(AB202),"",IF(ISBLANK($O202),AP202,IF($J202="ANUAL",AP202*(1+Macroindicadores!M$7),IF(AND($I202="NOVO",MONTH($O202)=MONTH(BD$4)),AP202*(1+Macroindicadores!M$7),IF(AND($J202="PONTUAL",MONTH($O202)=MONTH(BD$4)),AP202*(1+Macroindicadores!M$7),IF(AND($J202="PONTUAL",MONTH($O202)&lt;MONTH(BD$4)),MIN($AS202:BC202),IF(AND($I202="NOVO",MONTH($O202)&gt;MONTH(BD$4)),AP202,IF(MONTH($O202)&gt;MONTH(BD$4),AP202,IF(MONTH($O202)=MONTH(BD$4),AP202*(1+Macroindicadores!M$7),BC202)))))))))</f>
        <v>0</v>
      </c>
      <c r="BE202" s="40">
        <f t="shared" si="98"/>
        <v>0</v>
      </c>
      <c r="BG202" s="39">
        <f>IF(ISBLANK(Q202),"",AS202/Macroindicadores!B$2)</f>
        <v>0</v>
      </c>
      <c r="BH202" s="39">
        <f>IF(ISBLANK(R202),"",AT202/Macroindicadores!C$2)</f>
        <v>0</v>
      </c>
      <c r="BI202" s="39">
        <f>IF(ISBLANK(S202),"",AU202/Macroindicadores!D$2)</f>
        <v>0</v>
      </c>
      <c r="BJ202" s="39">
        <f>IF(ISBLANK(T202),"",AV202/Macroindicadores!E$2)</f>
        <v>0</v>
      </c>
      <c r="BK202" s="39">
        <f>IF(ISBLANK(U202),"",AW202/Macroindicadores!F$2)</f>
        <v>0</v>
      </c>
      <c r="BL202" s="39">
        <f>IF(ISBLANK(V202),"",AX202/Macroindicadores!G$2)</f>
        <v>0</v>
      </c>
      <c r="BM202" s="39">
        <f>IF(ISBLANK(W202),"",AY202/Macroindicadores!H$2)</f>
        <v>0</v>
      </c>
      <c r="BN202" s="39">
        <f>IF(ISBLANK(X202),"",AZ202/Macroindicadores!I$2)</f>
        <v>0</v>
      </c>
      <c r="BO202" s="39">
        <f>IF(ISBLANK(Y202),"",BA202/Macroindicadores!J$2)</f>
        <v>0</v>
      </c>
      <c r="BP202" s="39">
        <f>IF(ISBLANK(Z202),"",BB202/Macroindicadores!K$2)</f>
        <v>0</v>
      </c>
      <c r="BQ202" s="39">
        <f>IF(ISBLANK(AA202),"",BC202/Macroindicadores!L$2)</f>
        <v>0</v>
      </c>
      <c r="BR202" s="39">
        <f>IF(ISBLANK(AB202),"",BD202/Macroindicadores!M$2)</f>
        <v>0</v>
      </c>
      <c r="BS202" s="40">
        <f>IF(AND(ISBLANK($Q202),ISBLANK($R202),ISBLANK($S202),ISBLANK($T202),ISBLANK($U202),ISBLANK($V202),ISBLANK($W202),ISBLANK($X202),ISBLANK($Y202),ISBLANK($Z202),ISBLANK($AA202),ISBLANK($AB202)),"",SUM(BG202:BR202))</f>
        <v>0</v>
      </c>
      <c r="BT202" s="25" t="str">
        <f>IF(ISBLANK($L202),"",_xlfn.XLOOKUP($L202,'CENTRO CUSTO'!$A:$A,'CENTRO CUSTO'!$E:$E,FALSE,0))</f>
        <v>G&amp;A BU</v>
      </c>
    </row>
    <row r="203" spans="1:72">
      <c r="A203" s="9" t="str">
        <f t="shared" si="80"/>
        <v>Budget</v>
      </c>
      <c r="B203" s="9">
        <f t="shared" si="77"/>
        <v>2026</v>
      </c>
      <c r="C203" s="18" t="str">
        <f>IF(ISBLANK($L203),"",_xlfn.XLOOKUP($L203,'CENTRO CUSTO'!$A:$A,'CENTRO CUSTO'!F:F,FALSE,0))</f>
        <v>Martini Meat</v>
      </c>
      <c r="D203" s="111" t="str">
        <f>IF(ISBLANK($L203),"",_xlfn.XLOOKUP($L203,'CENTRO CUSTO'!$A:$A,'CENTRO CUSTO'!G:G,FALSE,0))</f>
        <v>BU-MMAZ</v>
      </c>
      <c r="E203" s="18" t="str">
        <f>IF(ISBLANK($L203),"",_xlfn.XLOOKUP($L203,'CENTRO CUSTO'!$A:$A,'CENTRO CUSTO'!H:H,FALSE,0))</f>
        <v>G&amp;A</v>
      </c>
      <c r="F203" s="10" t="s">
        <v>207</v>
      </c>
      <c r="G203" s="10" t="s">
        <v>126</v>
      </c>
      <c r="H203" s="10" t="s">
        <v>208</v>
      </c>
      <c r="I203" s="11" t="s">
        <v>77</v>
      </c>
      <c r="J203" s="11" t="s">
        <v>78</v>
      </c>
      <c r="K203" s="11" t="s">
        <v>79</v>
      </c>
      <c r="L203" s="11" t="s">
        <v>35</v>
      </c>
      <c r="M203" s="18" t="str">
        <f>IF(ISBLANK($L203),"",_xlfn.XLOOKUP($L203,'CENTRO CUSTO'!$A:$A,'CENTRO CUSTO'!D:D,FALSE,0))</f>
        <v>Alexandre Ayabe</v>
      </c>
      <c r="N203" s="11" t="s">
        <v>87</v>
      </c>
      <c r="O203" s="12"/>
      <c r="P203" s="11" t="s">
        <v>81</v>
      </c>
      <c r="Q203" s="41">
        <f>36000*Rateio!$E$394/12</f>
        <v>1950</v>
      </c>
      <c r="R203" s="41">
        <f>36000*Rateio!$E$394/12</f>
        <v>1950</v>
      </c>
      <c r="S203" s="41">
        <f>36000*Rateio!$E$394/12</f>
        <v>1950</v>
      </c>
      <c r="T203" s="41">
        <f>36000*Rateio!$E$394/12</f>
        <v>1950</v>
      </c>
      <c r="U203" s="41">
        <f>36000*Rateio!$E$394/12</f>
        <v>1950</v>
      </c>
      <c r="V203" s="41">
        <f>36000*Rateio!$E$394/12</f>
        <v>1950</v>
      </c>
      <c r="W203" s="41">
        <f>36000*Rateio!$E$394/12</f>
        <v>1950</v>
      </c>
      <c r="X203" s="41">
        <f>36000*Rateio!$E$394/12</f>
        <v>1950</v>
      </c>
      <c r="Y203" s="41">
        <f>36000*Rateio!$E$394/12</f>
        <v>1950</v>
      </c>
      <c r="Z203" s="41">
        <f>36000*Rateio!$E$394/12</f>
        <v>1950</v>
      </c>
      <c r="AA203" s="41">
        <f>36000*Rateio!$E$394/12</f>
        <v>1950</v>
      </c>
      <c r="AB203" s="41">
        <f>36000*Rateio!$E$394/12</f>
        <v>1950</v>
      </c>
      <c r="AC203" s="116">
        <f t="shared" si="73"/>
        <v>23400</v>
      </c>
      <c r="AE203" s="39">
        <f>IF(ISBLANK(Q203),"",IF($P203="BRL",Q203,Q203*Macroindicadores!B$2)/1000)</f>
        <v>1.95</v>
      </c>
      <c r="AF203" s="39">
        <f>IF(ISBLANK(R203),"",IF($P203="BRL",R203,R203*Macroindicadores!C$2)/1000)</f>
        <v>1.95</v>
      </c>
      <c r="AG203" s="39">
        <f>IF(ISBLANK(S203),"",IF($P203="BRL",S203,S203*Macroindicadores!D$2)/1000)</f>
        <v>1.95</v>
      </c>
      <c r="AH203" s="39">
        <f>IF(ISBLANK(T203),"",IF($P203="BRL",T203,T203*Macroindicadores!E$2)/1000)</f>
        <v>1.95</v>
      </c>
      <c r="AI203" s="39">
        <f>IF(ISBLANK(U203),"",IF($P203="BRL",U203,U203*Macroindicadores!F$2)/1000)</f>
        <v>1.95</v>
      </c>
      <c r="AJ203" s="39">
        <f>IF(ISBLANK(V203),"",IF($P203="BRL",V203,V203*Macroindicadores!G$2)/1000)</f>
        <v>1.95</v>
      </c>
      <c r="AK203" s="39">
        <f>IF(ISBLANK(W203),"",IF($P203="BRL",W203,W203*Macroindicadores!H$2)/1000)</f>
        <v>1.95</v>
      </c>
      <c r="AL203" s="39">
        <f>IF(ISBLANK(X203),"",IF($P203="BRL",X203,X203*Macroindicadores!I$2)/1000)</f>
        <v>1.95</v>
      </c>
      <c r="AM203" s="39">
        <f>IF(ISBLANK(Y203),"",IF($P203="BRL",Y203,Y203*Macroindicadores!J$2)/1000)</f>
        <v>1.95</v>
      </c>
      <c r="AN203" s="39">
        <f>IF(ISBLANK(Z203),"",IF($P203="BRL",Z203,Z203*Macroindicadores!K$2)/1000)</f>
        <v>1.95</v>
      </c>
      <c r="AO203" s="39">
        <f>IF(ISBLANK(AA203),"",IF($P203="BRL",AA203,AA203*Macroindicadores!L$2)/1000)</f>
        <v>1.95</v>
      </c>
      <c r="AP203" s="39">
        <f>IF(ISBLANK(AB203),"",IF($P203="BRL",AB203,AB203*Macroindicadores!M$2)/1000)</f>
        <v>1.95</v>
      </c>
      <c r="AQ203" s="40">
        <f t="shared" si="79"/>
        <v>23.399999999999995</v>
      </c>
      <c r="AS203" s="39">
        <f>IF(ISBLANK(Q203),"",IF(ISBLANK($O203),AE203,IF($J203="ANUAL",AE203*(1+Macroindicadores!B$7),IF(AND($I203="NOVO",MONTH($O203)=MONTH(AS$4)),AE203*(1+Macroindicadores!B$7),IF(AND($J203="PONTUAL",MONTH($O203)=MONTH(AS$4)),AE203*(1+Macroindicadores!B$7),IF(AND($J203="PONTUAL",MONTH($O203)&lt;MONTH(AS$4)),MIN(AR203:$AS203),IF(AND($I203="NOVO",MONTH($O203)&gt;MONTH(AS$4)),AE203,IF(MONTH($O203)&gt;MONTH(AS$4),AE203,IF(MONTH($O203)=MONTH(AS$4),AE203*(1+Macroindicadores!B$7),AR203)))))))))</f>
        <v>1.95</v>
      </c>
      <c r="AT203" s="39">
        <f>IF(ISBLANK(R203),"",IF(ISBLANK($O203),AF203,IF($J203="ANUAL",AF203*(1+Macroindicadores!C$7),IF(AND($I203="NOVO",MONTH($O203)=MONTH(AT$4)),AF203*(1+Macroindicadores!C$7),IF(AND($J203="PONTUAL",MONTH($O203)=MONTH(AT$4)),AF203*(1+Macroindicadores!C$7),IF(AND($J203="PONTUAL",MONTH($O203)&lt;MONTH(AT$4)),MIN($AS203:AS203),IF(AND($I203="NOVO",MONTH($O203)&gt;MONTH(AT$4)),AF203,IF(MONTH($O203)&gt;MONTH(AT$4),AF203,IF(MONTH($O203)=MONTH(AT$4),AF203*(1+Macroindicadores!C$7),AS203)))))))))</f>
        <v>1.95</v>
      </c>
      <c r="AU203" s="39">
        <f>IF(ISBLANK(S203),"",IF(ISBLANK($O203),AG203,IF($J203="ANUAL",AG203*(1+Macroindicadores!D$7),IF(AND($I203="NOVO",MONTH($O203)=MONTH(AU$4)),AG203*(1+Macroindicadores!D$7),IF(AND($J203="PONTUAL",MONTH($O203)=MONTH(AU$4)),AG203*(1+Macroindicadores!D$7),IF(AND($J203="PONTUAL",MONTH($O203)&lt;MONTH(AU$4)),MIN($AS203:AT203),IF(AND($I203="NOVO",MONTH($O203)&gt;MONTH(AU$4)),AG203,IF(MONTH($O203)&gt;MONTH(AU$4),AG203,IF(MONTH($O203)=MONTH(AU$4),AG203*(1+Macroindicadores!D$7),AT203)))))))))</f>
        <v>1.95</v>
      </c>
      <c r="AV203" s="39">
        <f>IF(ISBLANK(T203),"",IF(ISBLANK($O203),AH203,IF($J203="ANUAL",AH203*(1+Macroindicadores!E$7),IF(AND($I203="NOVO",MONTH($O203)=MONTH(AV$4)),AH203*(1+Macroindicadores!E$7),IF(AND($J203="PONTUAL",MONTH($O203)=MONTH(AV$4)),AH203*(1+Macroindicadores!E$7),IF(AND($J203="PONTUAL",MONTH($O203)&lt;MONTH(AV$4)),MIN($AS203:AU203),IF(AND($I203="NOVO",MONTH($O203)&gt;MONTH(AV$4)),AH203,IF(MONTH($O203)&gt;MONTH(AV$4),AH203,IF(MONTH($O203)=MONTH(AV$4),AH203*(1+Macroindicadores!E$7),AU203)))))))))</f>
        <v>1.95</v>
      </c>
      <c r="AW203" s="39">
        <f>IF(ISBLANK(U203),"",IF(ISBLANK($O203),AI203,IF($J203="ANUAL",AI203*(1+Macroindicadores!F$7),IF(AND($I203="NOVO",MONTH($O203)=MONTH(AW$4)),AI203*(1+Macroindicadores!F$7),IF(AND($J203="PONTUAL",MONTH($O203)=MONTH(AW$4)),AI203*(1+Macroindicadores!F$7),IF(AND($J203="PONTUAL",MONTH($O203)&lt;MONTH(AW$4)),MIN($AS203:AV203),IF(AND($I203="NOVO",MONTH($O203)&gt;MONTH(AW$4)),AI203,IF(MONTH($O203)&gt;MONTH(AW$4),AI203,IF(MONTH($O203)=MONTH(AW$4),AI203*(1+Macroindicadores!F$7),AV203)))))))))</f>
        <v>1.95</v>
      </c>
      <c r="AX203" s="39">
        <f>IF(ISBLANK(V203),"",IF(ISBLANK($O203),AJ203,IF($J203="ANUAL",AJ203*(1+Macroindicadores!G$7),IF(AND($I203="NOVO",MONTH($O203)=MONTH(AX$4)),AJ203*(1+Macroindicadores!G$7),IF(AND($J203="PONTUAL",MONTH($O203)=MONTH(AX$4)),AJ203*(1+Macroindicadores!G$7),IF(AND($J203="PONTUAL",MONTH($O203)&lt;MONTH(AX$4)),MIN($AS203:AW203),IF(AND($I203="NOVO",MONTH($O203)&gt;MONTH(AX$4)),AJ203,IF(MONTH($O203)&gt;MONTH(AX$4),AJ203,IF(MONTH($O203)=MONTH(AX$4),AJ203*(1+Macroindicadores!G$7),AW203)))))))))</f>
        <v>1.95</v>
      </c>
      <c r="AY203" s="39">
        <f>IF(ISBLANK(W203),"",IF(ISBLANK($O203),AK203,IF($J203="ANUAL",AK203*(1+Macroindicadores!H$7),IF(AND($I203="NOVO",MONTH($O203)=MONTH(AY$4)),AK203*(1+Macroindicadores!H$7),IF(AND($J203="PONTUAL",MONTH($O203)=MONTH(AY$4)),AK203*(1+Macroindicadores!H$7),IF(AND($J203="PONTUAL",MONTH($O203)&lt;MONTH(AY$4)),MIN($AS203:AX203),IF(AND($I203="NOVO",MONTH($O203)&gt;MONTH(AY$4)),AK203,IF(MONTH($O203)&gt;MONTH(AY$4),AK203,IF(MONTH($O203)=MONTH(AY$4),AK203*(1+Macroindicadores!H$7),AX203)))))))))</f>
        <v>1.95</v>
      </c>
      <c r="AZ203" s="39">
        <f>IF(ISBLANK(X203),"",IF(ISBLANK($O203),AL203,IF($J203="ANUAL",AL203*(1+Macroindicadores!I$7),IF(AND($I203="NOVO",MONTH($O203)=MONTH(AZ$4)),AL203*(1+Macroindicadores!I$7),IF(AND($J203="PONTUAL",MONTH($O203)=MONTH(AZ$4)),AL203*(1+Macroindicadores!I$7),IF(AND($J203="PONTUAL",MONTH($O203)&lt;MONTH(AZ$4)),MIN($AS203:AY203),IF(AND($I203="NOVO",MONTH($O203)&gt;MONTH(AZ$4)),AL203,IF(MONTH($O203)&gt;MONTH(AZ$4),AL203,IF(MONTH($O203)=MONTH(AZ$4),AL203*(1+Macroindicadores!I$7),AY203)))))))))</f>
        <v>1.95</v>
      </c>
      <c r="BA203" s="39">
        <f>IF(ISBLANK(Y203),"",IF(ISBLANK($O203),AM203,IF($J203="ANUAL",AM203*(1+Macroindicadores!J$7),IF(AND($I203="NOVO",MONTH($O203)=MONTH(BA$4)),AM203*(1+Macroindicadores!J$7),IF(AND($J203="PONTUAL",MONTH($O203)=MONTH(BA$4)),AM203*(1+Macroindicadores!J$7),IF(AND($J203="PONTUAL",MONTH($O203)&lt;MONTH(BA$4)),MIN($AS203:AZ203),IF(AND($I203="NOVO",MONTH($O203)&gt;MONTH(BA$4)),AM203,IF(MONTH($O203)&gt;MONTH(BA$4),AM203,IF(MONTH($O203)=MONTH(BA$4),AM203*(1+Macroindicadores!J$7),AZ203)))))))))</f>
        <v>1.95</v>
      </c>
      <c r="BB203" s="39">
        <f>IF(ISBLANK(Z203),"",IF(ISBLANK($O203),AN203,IF($J203="ANUAL",AN203*(1+Macroindicadores!K$7),IF(AND($I203="NOVO",MONTH($O203)=MONTH(BB$4)),AN203*(1+Macroindicadores!K$7),IF(AND($J203="PONTUAL",MONTH($O203)=MONTH(BB$4)),AN203*(1+Macroindicadores!K$7),IF(AND($J203="PONTUAL",MONTH($O203)&lt;MONTH(BB$4)),MIN($AS203:BA203),IF(AND($I203="NOVO",MONTH($O203)&gt;MONTH(BB$4)),AN203,IF(MONTH($O203)&gt;MONTH(BB$4),AN203,IF(MONTH($O203)=MONTH(BB$4),AN203*(1+Macroindicadores!K$7),BA203)))))))))</f>
        <v>1.95</v>
      </c>
      <c r="BC203" s="39">
        <f>IF(ISBLANK(AA203),"",IF(ISBLANK($O203),AO203,IF($J203="ANUAL",AO203*(1+Macroindicadores!L$7),IF(AND($I203="NOVO",MONTH($O203)=MONTH(BC$4)),AO203*(1+Macroindicadores!L$7),IF(AND($J203="PONTUAL",MONTH($O203)=MONTH(BC$4)),AO203*(1+Macroindicadores!L$7),IF(AND($J203="PONTUAL",MONTH($O203)&lt;MONTH(BC$4)),MIN($AS203:BB203),IF(AND($I203="NOVO",MONTH($O203)&gt;MONTH(BC$4)),AO203,IF(MONTH($O203)&gt;MONTH(BC$4),AO203,IF(MONTH($O203)=MONTH(BC$4),AO203*(1+Macroindicadores!L$7),BB203)))))))))</f>
        <v>1.95</v>
      </c>
      <c r="BD203" s="39">
        <f>IF(ISBLANK(AB203),"",IF(ISBLANK($O203),AP203,IF($J203="ANUAL",AP203*(1+Macroindicadores!M$7),IF(AND($I203="NOVO",MONTH($O203)=MONTH(BD$4)),AP203*(1+Macroindicadores!M$7),IF(AND($J203="PONTUAL",MONTH($O203)=MONTH(BD$4)),AP203*(1+Macroindicadores!M$7),IF(AND($J203="PONTUAL",MONTH($O203)&lt;MONTH(BD$4)),MIN($AS203:BC203),IF(AND($I203="NOVO",MONTH($O203)&gt;MONTH(BD$4)),AP203,IF(MONTH($O203)&gt;MONTH(BD$4),AP203,IF(MONTH($O203)=MONTH(BD$4),AP203*(1+Macroindicadores!M$7),BC203)))))))))</f>
        <v>1.95</v>
      </c>
      <c r="BE203" s="40">
        <f t="shared" si="78"/>
        <v>23.399999999999995</v>
      </c>
      <c r="BG203" s="39">
        <f>IF(ISBLANK(Q203),"",AS203/Macroindicadores!B$2)</f>
        <v>0.33163265306122447</v>
      </c>
      <c r="BH203" s="39">
        <f>IF(ISBLANK(R203),"",AT203/Macroindicadores!C$2)</f>
        <v>0.33163265306122447</v>
      </c>
      <c r="BI203" s="39">
        <f>IF(ISBLANK(S203),"",AU203/Macroindicadores!D$2)</f>
        <v>0.33163265306122447</v>
      </c>
      <c r="BJ203" s="39">
        <f>IF(ISBLANK(T203),"",AV203/Macroindicadores!E$2)</f>
        <v>0.33163265306122447</v>
      </c>
      <c r="BK203" s="39">
        <f>IF(ISBLANK(U203),"",AW203/Macroindicadores!F$2)</f>
        <v>0.33163265306122447</v>
      </c>
      <c r="BL203" s="39">
        <f>IF(ISBLANK(V203),"",AX203/Macroindicadores!G$2)</f>
        <v>0.33163265306122447</v>
      </c>
      <c r="BM203" s="39">
        <f>IF(ISBLANK(W203),"",AY203/Macroindicadores!H$2)</f>
        <v>0.33163265306122447</v>
      </c>
      <c r="BN203" s="39">
        <f>IF(ISBLANK(X203),"",AZ203/Macroindicadores!I$2)</f>
        <v>0.33163265306122447</v>
      </c>
      <c r="BO203" s="39">
        <f>IF(ISBLANK(Y203),"",BA203/Macroindicadores!J$2)</f>
        <v>0.33163265306122447</v>
      </c>
      <c r="BP203" s="39">
        <f>IF(ISBLANK(Z203),"",BB203/Macroindicadores!K$2)</f>
        <v>0.33163265306122447</v>
      </c>
      <c r="BQ203" s="39">
        <f>IF(ISBLANK(AA203),"",BC203/Macroindicadores!L$2)</f>
        <v>0.33163265306122447</v>
      </c>
      <c r="BR203" s="39">
        <f>IF(ISBLANK(AB203),"",BD203/Macroindicadores!M$2)</f>
        <v>0.33163265306122447</v>
      </c>
      <c r="BS203" s="40">
        <f>IF(AND(ISBLANK($Q203),ISBLANK($R203),ISBLANK($S203),ISBLANK($T203),ISBLANK($U203),ISBLANK($V203),ISBLANK($W203),ISBLANK($X203),ISBLANK($Y203),ISBLANK($Z203),ISBLANK($AA203),ISBLANK($AB203)),"",SUM(BG203:BR203))</f>
        <v>3.9795918367346945</v>
      </c>
      <c r="BT203" s="25" t="str">
        <f>IF(ISBLANK($L203),"",_xlfn.XLOOKUP($L203,'CENTRO CUSTO'!$A:$A,'CENTRO CUSTO'!$E:$E,FALSE,0))</f>
        <v>G&amp;A BU</v>
      </c>
    </row>
    <row r="204" spans="1:72">
      <c r="A204" s="9" t="str">
        <f t="shared" si="80"/>
        <v>Budget</v>
      </c>
      <c r="B204" s="9">
        <f t="shared" si="77"/>
        <v>2026</v>
      </c>
      <c r="C204" s="18" t="str">
        <f>IF(ISBLANK($L204),"",_xlfn.XLOOKUP($L204,'CENTRO CUSTO'!$A:$A,'CENTRO CUSTO'!F:F,FALSE,0))</f>
        <v>MRV</v>
      </c>
      <c r="D204" s="111" t="str">
        <f>IF(ISBLANK($L204),"",_xlfn.XLOOKUP($L204,'CENTRO CUSTO'!$A:$A,'CENTRO CUSTO'!G:G,FALSE,0))</f>
        <v>BU-MRV</v>
      </c>
      <c r="E204" s="18" t="str">
        <f>IF(ISBLANK($L204),"",_xlfn.XLOOKUP($L204,'CENTRO CUSTO'!$A:$A,'CENTRO CUSTO'!H:H,FALSE,0))</f>
        <v>G&amp;A</v>
      </c>
      <c r="F204" s="10" t="s">
        <v>207</v>
      </c>
      <c r="G204" s="10" t="s">
        <v>126</v>
      </c>
      <c r="H204" s="10" t="s">
        <v>208</v>
      </c>
      <c r="I204" s="11" t="s">
        <v>77</v>
      </c>
      <c r="J204" s="11" t="s">
        <v>78</v>
      </c>
      <c r="K204" s="11" t="s">
        <v>79</v>
      </c>
      <c r="L204" s="11" t="s">
        <v>45</v>
      </c>
      <c r="M204" s="18" t="str">
        <f>IF(ISBLANK($L204),"",_xlfn.XLOOKUP($L204,'CENTRO CUSTO'!$A:$A,'CENTRO CUSTO'!D:D,FALSE,0))</f>
        <v>Alexandre Ayabe</v>
      </c>
      <c r="N204" s="11" t="s">
        <v>87</v>
      </c>
      <c r="O204" s="12"/>
      <c r="P204" s="11" t="s">
        <v>81</v>
      </c>
      <c r="Q204" s="41">
        <f>36000*Rateio!$E$410/12</f>
        <v>390</v>
      </c>
      <c r="R204" s="41">
        <f>36000*Rateio!$E$410/12</f>
        <v>390</v>
      </c>
      <c r="S204" s="41">
        <f>36000*Rateio!$E$410/12</f>
        <v>390</v>
      </c>
      <c r="T204" s="41">
        <f>36000*Rateio!$E$410/12</f>
        <v>390</v>
      </c>
      <c r="U204" s="41">
        <f>36000*Rateio!$E$410/12</f>
        <v>390</v>
      </c>
      <c r="V204" s="41">
        <f>36000*Rateio!$E$410/12</f>
        <v>390</v>
      </c>
      <c r="W204" s="41">
        <f>36000*Rateio!$E$410/12</f>
        <v>390</v>
      </c>
      <c r="X204" s="41">
        <f>36000*Rateio!$E$410/12</f>
        <v>390</v>
      </c>
      <c r="Y204" s="41">
        <f>36000*Rateio!$E$410/12</f>
        <v>390</v>
      </c>
      <c r="Z204" s="41">
        <f>36000*Rateio!$E$410/12</f>
        <v>390</v>
      </c>
      <c r="AA204" s="41">
        <f>36000*Rateio!$E$410/12</f>
        <v>390</v>
      </c>
      <c r="AB204" s="41">
        <f>36000*Rateio!$E$410/12</f>
        <v>390</v>
      </c>
      <c r="AC204" s="116">
        <f t="shared" si="73"/>
        <v>4680</v>
      </c>
      <c r="AE204" s="39">
        <f>IF(ISBLANK(Q204),"",IF($P204="BRL",Q204,Q204*Macroindicadores!B$2)/1000)</f>
        <v>0.39</v>
      </c>
      <c r="AF204" s="39">
        <f>IF(ISBLANK(R204),"",IF($P204="BRL",R204,R204*Macroindicadores!C$2)/1000)</f>
        <v>0.39</v>
      </c>
      <c r="AG204" s="39">
        <f>IF(ISBLANK(S204),"",IF($P204="BRL",S204,S204*Macroindicadores!D$2)/1000)</f>
        <v>0.39</v>
      </c>
      <c r="AH204" s="39">
        <f>IF(ISBLANK(T204),"",IF($P204="BRL",T204,T204*Macroindicadores!E$2)/1000)</f>
        <v>0.39</v>
      </c>
      <c r="AI204" s="39">
        <f>IF(ISBLANK(U204),"",IF($P204="BRL",U204,U204*Macroindicadores!F$2)/1000)</f>
        <v>0.39</v>
      </c>
      <c r="AJ204" s="39">
        <f>IF(ISBLANK(V204),"",IF($P204="BRL",V204,V204*Macroindicadores!G$2)/1000)</f>
        <v>0.39</v>
      </c>
      <c r="AK204" s="39">
        <f>IF(ISBLANK(W204),"",IF($P204="BRL",W204,W204*Macroindicadores!H$2)/1000)</f>
        <v>0.39</v>
      </c>
      <c r="AL204" s="39">
        <f>IF(ISBLANK(X204),"",IF($P204="BRL",X204,X204*Macroindicadores!I$2)/1000)</f>
        <v>0.39</v>
      </c>
      <c r="AM204" s="39">
        <f>IF(ISBLANK(Y204),"",IF($P204="BRL",Y204,Y204*Macroindicadores!J$2)/1000)</f>
        <v>0.39</v>
      </c>
      <c r="AN204" s="39">
        <f>IF(ISBLANK(Z204),"",IF($P204="BRL",Z204,Z204*Macroindicadores!K$2)/1000)</f>
        <v>0.39</v>
      </c>
      <c r="AO204" s="39">
        <f>IF(ISBLANK(AA204),"",IF($P204="BRL",AA204,AA204*Macroindicadores!L$2)/1000)</f>
        <v>0.39</v>
      </c>
      <c r="AP204" s="39">
        <f>IF(ISBLANK(AB204),"",IF($P204="BRL",AB204,AB204*Macroindicadores!M$2)/1000)</f>
        <v>0.39</v>
      </c>
      <c r="AQ204" s="40">
        <f t="shared" si="79"/>
        <v>4.6800000000000006</v>
      </c>
      <c r="AS204" s="39">
        <f>IF(ISBLANK(Q204),"",IF(ISBLANK($O204),AE204,IF($J204="ANUAL",AE204*(1+Macroindicadores!B$7),IF(AND($I204="NOVO",MONTH($O204)=MONTH(AS$4)),AE204*(1+Macroindicadores!B$7),IF(AND($J204="PONTUAL",MONTH($O204)=MONTH(AS$4)),AE204*(1+Macroindicadores!B$7),IF(AND($J204="PONTUAL",MONTH($O204)&lt;MONTH(AS$4)),MIN(AR204:$AS204),IF(AND($I204="NOVO",MONTH($O204)&gt;MONTH(AS$4)),AE204,IF(MONTH($O204)&gt;MONTH(AS$4),AE204,IF(MONTH($O204)=MONTH(AS$4),AE204*(1+Macroindicadores!B$7),AR204)))))))))</f>
        <v>0.39</v>
      </c>
      <c r="AT204" s="39">
        <f>IF(ISBLANK(R204),"",IF(ISBLANK($O204),AF204,IF($J204="ANUAL",AF204*(1+Macroindicadores!C$7),IF(AND($I204="NOVO",MONTH($O204)=MONTH(AT$4)),AF204*(1+Macroindicadores!C$7),IF(AND($J204="PONTUAL",MONTH($O204)=MONTH(AT$4)),AF204*(1+Macroindicadores!C$7),IF(AND($J204="PONTUAL",MONTH($O204)&lt;MONTH(AT$4)),MIN($AS204:AS204),IF(AND($I204="NOVO",MONTH($O204)&gt;MONTH(AT$4)),AF204,IF(MONTH($O204)&gt;MONTH(AT$4),AF204,IF(MONTH($O204)=MONTH(AT$4),AF204*(1+Macroindicadores!C$7),AS204)))))))))</f>
        <v>0.39</v>
      </c>
      <c r="AU204" s="39">
        <f>IF(ISBLANK(S204),"",IF(ISBLANK($O204),AG204,IF($J204="ANUAL",AG204*(1+Macroindicadores!D$7),IF(AND($I204="NOVO",MONTH($O204)=MONTH(AU$4)),AG204*(1+Macroindicadores!D$7),IF(AND($J204="PONTUAL",MONTH($O204)=MONTH(AU$4)),AG204*(1+Macroindicadores!D$7),IF(AND($J204="PONTUAL",MONTH($O204)&lt;MONTH(AU$4)),MIN($AS204:AT204),IF(AND($I204="NOVO",MONTH($O204)&gt;MONTH(AU$4)),AG204,IF(MONTH($O204)&gt;MONTH(AU$4),AG204,IF(MONTH($O204)=MONTH(AU$4),AG204*(1+Macroindicadores!D$7),AT204)))))))))</f>
        <v>0.39</v>
      </c>
      <c r="AV204" s="39">
        <f>IF(ISBLANK(T204),"",IF(ISBLANK($O204),AH204,IF($J204="ANUAL",AH204*(1+Macroindicadores!E$7),IF(AND($I204="NOVO",MONTH($O204)=MONTH(AV$4)),AH204*(1+Macroindicadores!E$7),IF(AND($J204="PONTUAL",MONTH($O204)=MONTH(AV$4)),AH204*(1+Macroindicadores!E$7),IF(AND($J204="PONTUAL",MONTH($O204)&lt;MONTH(AV$4)),MIN($AS204:AU204),IF(AND($I204="NOVO",MONTH($O204)&gt;MONTH(AV$4)),AH204,IF(MONTH($O204)&gt;MONTH(AV$4),AH204,IF(MONTH($O204)=MONTH(AV$4),AH204*(1+Macroindicadores!E$7),AU204)))))))))</f>
        <v>0.39</v>
      </c>
      <c r="AW204" s="39">
        <f>IF(ISBLANK(U204),"",IF(ISBLANK($O204),AI204,IF($J204="ANUAL",AI204*(1+Macroindicadores!F$7),IF(AND($I204="NOVO",MONTH($O204)=MONTH(AW$4)),AI204*(1+Macroindicadores!F$7),IF(AND($J204="PONTUAL",MONTH($O204)=MONTH(AW$4)),AI204*(1+Macroindicadores!F$7),IF(AND($J204="PONTUAL",MONTH($O204)&lt;MONTH(AW$4)),MIN($AS204:AV204),IF(AND($I204="NOVO",MONTH($O204)&gt;MONTH(AW$4)),AI204,IF(MONTH($O204)&gt;MONTH(AW$4),AI204,IF(MONTH($O204)=MONTH(AW$4),AI204*(1+Macroindicadores!F$7),AV204)))))))))</f>
        <v>0.39</v>
      </c>
      <c r="AX204" s="39">
        <f>IF(ISBLANK(V204),"",IF(ISBLANK($O204),AJ204,IF($J204="ANUAL",AJ204*(1+Macroindicadores!G$7),IF(AND($I204="NOVO",MONTH($O204)=MONTH(AX$4)),AJ204*(1+Macroindicadores!G$7),IF(AND($J204="PONTUAL",MONTH($O204)=MONTH(AX$4)),AJ204*(1+Macroindicadores!G$7),IF(AND($J204="PONTUAL",MONTH($O204)&lt;MONTH(AX$4)),MIN($AS204:AW204),IF(AND($I204="NOVO",MONTH($O204)&gt;MONTH(AX$4)),AJ204,IF(MONTH($O204)&gt;MONTH(AX$4),AJ204,IF(MONTH($O204)=MONTH(AX$4),AJ204*(1+Macroindicadores!G$7),AW204)))))))))</f>
        <v>0.39</v>
      </c>
      <c r="AY204" s="39">
        <f>IF(ISBLANK(W204),"",IF(ISBLANK($O204),AK204,IF($J204="ANUAL",AK204*(1+Macroindicadores!H$7),IF(AND($I204="NOVO",MONTH($O204)=MONTH(AY$4)),AK204*(1+Macroindicadores!H$7),IF(AND($J204="PONTUAL",MONTH($O204)=MONTH(AY$4)),AK204*(1+Macroindicadores!H$7),IF(AND($J204="PONTUAL",MONTH($O204)&lt;MONTH(AY$4)),MIN($AS204:AX204),IF(AND($I204="NOVO",MONTH($O204)&gt;MONTH(AY$4)),AK204,IF(MONTH($O204)&gt;MONTH(AY$4),AK204,IF(MONTH($O204)=MONTH(AY$4),AK204*(1+Macroindicadores!H$7),AX204)))))))))</f>
        <v>0.39</v>
      </c>
      <c r="AZ204" s="39">
        <f>IF(ISBLANK(X204),"",IF(ISBLANK($O204),AL204,IF($J204="ANUAL",AL204*(1+Macroindicadores!I$7),IF(AND($I204="NOVO",MONTH($O204)=MONTH(AZ$4)),AL204*(1+Macroindicadores!I$7),IF(AND($J204="PONTUAL",MONTH($O204)=MONTH(AZ$4)),AL204*(1+Macroindicadores!I$7),IF(AND($J204="PONTUAL",MONTH($O204)&lt;MONTH(AZ$4)),MIN($AS204:AY204),IF(AND($I204="NOVO",MONTH($O204)&gt;MONTH(AZ$4)),AL204,IF(MONTH($O204)&gt;MONTH(AZ$4),AL204,IF(MONTH($O204)=MONTH(AZ$4),AL204*(1+Macroindicadores!I$7),AY204)))))))))</f>
        <v>0.39</v>
      </c>
      <c r="BA204" s="39">
        <f>IF(ISBLANK(Y204),"",IF(ISBLANK($O204),AM204,IF($J204="ANUAL",AM204*(1+Macroindicadores!J$7),IF(AND($I204="NOVO",MONTH($O204)=MONTH(BA$4)),AM204*(1+Macroindicadores!J$7),IF(AND($J204="PONTUAL",MONTH($O204)=MONTH(BA$4)),AM204*(1+Macroindicadores!J$7),IF(AND($J204="PONTUAL",MONTH($O204)&lt;MONTH(BA$4)),MIN($AS204:AZ204),IF(AND($I204="NOVO",MONTH($O204)&gt;MONTH(BA$4)),AM204,IF(MONTH($O204)&gt;MONTH(BA$4),AM204,IF(MONTH($O204)=MONTH(BA$4),AM204*(1+Macroindicadores!J$7),AZ204)))))))))</f>
        <v>0.39</v>
      </c>
      <c r="BB204" s="39">
        <f>IF(ISBLANK(Z204),"",IF(ISBLANK($O204),AN204,IF($J204="ANUAL",AN204*(1+Macroindicadores!K$7),IF(AND($I204="NOVO",MONTH($O204)=MONTH(BB$4)),AN204*(1+Macroindicadores!K$7),IF(AND($J204="PONTUAL",MONTH($O204)=MONTH(BB$4)),AN204*(1+Macroindicadores!K$7),IF(AND($J204="PONTUAL",MONTH($O204)&lt;MONTH(BB$4)),MIN($AS204:BA204),IF(AND($I204="NOVO",MONTH($O204)&gt;MONTH(BB$4)),AN204,IF(MONTH($O204)&gt;MONTH(BB$4),AN204,IF(MONTH($O204)=MONTH(BB$4),AN204*(1+Macroindicadores!K$7),BA204)))))))))</f>
        <v>0.39</v>
      </c>
      <c r="BC204" s="39">
        <f>IF(ISBLANK(AA204),"",IF(ISBLANK($O204),AO204,IF($J204="ANUAL",AO204*(1+Macroindicadores!L$7),IF(AND($I204="NOVO",MONTH($O204)=MONTH(BC$4)),AO204*(1+Macroindicadores!L$7),IF(AND($J204="PONTUAL",MONTH($O204)=MONTH(BC$4)),AO204*(1+Macroindicadores!L$7),IF(AND($J204="PONTUAL",MONTH($O204)&lt;MONTH(BC$4)),MIN($AS204:BB204),IF(AND($I204="NOVO",MONTH($O204)&gt;MONTH(BC$4)),AO204,IF(MONTH($O204)&gt;MONTH(BC$4),AO204,IF(MONTH($O204)=MONTH(BC$4),AO204*(1+Macroindicadores!L$7),BB204)))))))))</f>
        <v>0.39</v>
      </c>
      <c r="BD204" s="39">
        <f>IF(ISBLANK(AB204),"",IF(ISBLANK($O204),AP204,IF($J204="ANUAL",AP204*(1+Macroindicadores!M$7),IF(AND($I204="NOVO",MONTH($O204)=MONTH(BD$4)),AP204*(1+Macroindicadores!M$7),IF(AND($J204="PONTUAL",MONTH($O204)=MONTH(BD$4)),AP204*(1+Macroindicadores!M$7),IF(AND($J204="PONTUAL",MONTH($O204)&lt;MONTH(BD$4)),MIN($AS204:BC204),IF(AND($I204="NOVO",MONTH($O204)&gt;MONTH(BD$4)),AP204,IF(MONTH($O204)&gt;MONTH(BD$4),AP204,IF(MONTH($O204)=MONTH(BD$4),AP204*(1+Macroindicadores!M$7),BC204)))))))))</f>
        <v>0.39</v>
      </c>
      <c r="BE204" s="40">
        <f t="shared" si="78"/>
        <v>4.6800000000000006</v>
      </c>
      <c r="BG204" s="39">
        <f>IF(ISBLANK(Q204),"",AS204/Macroindicadores!B$2)</f>
        <v>6.6326530612244902E-2</v>
      </c>
      <c r="BH204" s="39">
        <f>IF(ISBLANK(R204),"",AT204/Macroindicadores!C$2)</f>
        <v>6.6326530612244902E-2</v>
      </c>
      <c r="BI204" s="39">
        <f>IF(ISBLANK(S204),"",AU204/Macroindicadores!D$2)</f>
        <v>6.6326530612244902E-2</v>
      </c>
      <c r="BJ204" s="39">
        <f>IF(ISBLANK(T204),"",AV204/Macroindicadores!E$2)</f>
        <v>6.6326530612244902E-2</v>
      </c>
      <c r="BK204" s="39">
        <f>IF(ISBLANK(U204),"",AW204/Macroindicadores!F$2)</f>
        <v>6.6326530612244902E-2</v>
      </c>
      <c r="BL204" s="39">
        <f>IF(ISBLANK(V204),"",AX204/Macroindicadores!G$2)</f>
        <v>6.6326530612244902E-2</v>
      </c>
      <c r="BM204" s="39">
        <f>IF(ISBLANK(W204),"",AY204/Macroindicadores!H$2)</f>
        <v>6.6326530612244902E-2</v>
      </c>
      <c r="BN204" s="39">
        <f>IF(ISBLANK(X204),"",AZ204/Macroindicadores!I$2)</f>
        <v>6.6326530612244902E-2</v>
      </c>
      <c r="BO204" s="39">
        <f>IF(ISBLANK(Y204),"",BA204/Macroindicadores!J$2)</f>
        <v>6.6326530612244902E-2</v>
      </c>
      <c r="BP204" s="39">
        <f>IF(ISBLANK(Z204),"",BB204/Macroindicadores!K$2)</f>
        <v>6.6326530612244902E-2</v>
      </c>
      <c r="BQ204" s="39">
        <f>IF(ISBLANK(AA204),"",BC204/Macroindicadores!L$2)</f>
        <v>6.6326530612244902E-2</v>
      </c>
      <c r="BR204" s="39">
        <f>IF(ISBLANK(AB204),"",BD204/Macroindicadores!M$2)</f>
        <v>6.6326530612244902E-2</v>
      </c>
      <c r="BS204" s="40">
        <f>IF(AND(ISBLANK($Q204),ISBLANK($R204),ISBLANK($S204),ISBLANK($T204),ISBLANK($U204),ISBLANK($V204),ISBLANK($W204),ISBLANK($X204),ISBLANK($Y204),ISBLANK($Z204),ISBLANK($AA204),ISBLANK($AB204)),"",SUM(BG204:BR204))</f>
        <v>0.79591836734693888</v>
      </c>
      <c r="BT204" s="25" t="str">
        <f>IF(ISBLANK($L204),"",_xlfn.XLOOKUP($L204,'CENTRO CUSTO'!$A:$A,'CENTRO CUSTO'!$E:$E,FALSE,0))</f>
        <v>G&amp;A BU</v>
      </c>
    </row>
    <row r="205" spans="1:72">
      <c r="A205" s="9" t="str">
        <f t="shared" si="80"/>
        <v>Budget</v>
      </c>
      <c r="B205" s="9">
        <f t="shared" si="77"/>
        <v>2026</v>
      </c>
      <c r="C205" s="18" t="str">
        <f>IF(ISBLANK($L205),"",_xlfn.XLOOKUP($L205,'CENTRO CUSTO'!$A:$A,'CENTRO CUSTO'!F:F,FALSE,0))</f>
        <v>SKM</v>
      </c>
      <c r="D205" s="111" t="str">
        <f>IF(ISBLANK($L205),"",_xlfn.XLOOKUP($L205,'CENTRO CUSTO'!$A:$A,'CENTRO CUSTO'!G:G,FALSE,0))</f>
        <v>BU-SKM</v>
      </c>
      <c r="E205" s="18" t="str">
        <f>IF(ISBLANK($L205),"",_xlfn.XLOOKUP($L205,'CENTRO CUSTO'!$A:$A,'CENTRO CUSTO'!H:H,FALSE,0))</f>
        <v>G&amp;A</v>
      </c>
      <c r="F205" s="10" t="s">
        <v>207</v>
      </c>
      <c r="G205" s="10" t="s">
        <v>126</v>
      </c>
      <c r="H205" s="10" t="s">
        <v>208</v>
      </c>
      <c r="I205" s="11" t="s">
        <v>77</v>
      </c>
      <c r="J205" s="11" t="s">
        <v>78</v>
      </c>
      <c r="K205" s="11" t="s">
        <v>79</v>
      </c>
      <c r="L205" s="11" t="s">
        <v>50</v>
      </c>
      <c r="M205" s="18" t="str">
        <f>IF(ISBLANK($L205),"",_xlfn.XLOOKUP($L205,'CENTRO CUSTO'!$A:$A,'CENTRO CUSTO'!D:D,FALSE,0))</f>
        <v>Alexandre Ayabe</v>
      </c>
      <c r="N205" s="11" t="s">
        <v>87</v>
      </c>
      <c r="O205" s="12"/>
      <c r="P205" s="11" t="s">
        <v>81</v>
      </c>
      <c r="Q205" s="41">
        <f>36000*Rateio!$E$413/12</f>
        <v>660</v>
      </c>
      <c r="R205" s="41">
        <f>36000*Rateio!$E$413/12</f>
        <v>660</v>
      </c>
      <c r="S205" s="41">
        <f>36000*Rateio!$E$413/12</f>
        <v>660</v>
      </c>
      <c r="T205" s="41">
        <f>36000*Rateio!$E$413/12</f>
        <v>660</v>
      </c>
      <c r="U205" s="41">
        <f>36000*Rateio!$E$413/12</f>
        <v>660</v>
      </c>
      <c r="V205" s="41">
        <f>36000*Rateio!$E$413/12</f>
        <v>660</v>
      </c>
      <c r="W205" s="41">
        <f>36000*Rateio!$E$413/12</f>
        <v>660</v>
      </c>
      <c r="X205" s="41">
        <f>36000*Rateio!$E$413/12</f>
        <v>660</v>
      </c>
      <c r="Y205" s="41">
        <f>36000*Rateio!$E$413/12</f>
        <v>660</v>
      </c>
      <c r="Z205" s="41">
        <f>36000*Rateio!$E$413/12</f>
        <v>660</v>
      </c>
      <c r="AA205" s="41">
        <f>36000*Rateio!$E$413/12</f>
        <v>660</v>
      </c>
      <c r="AB205" s="41">
        <f>36000*Rateio!$E$413/12</f>
        <v>660</v>
      </c>
      <c r="AC205" s="116">
        <f t="shared" ref="AC205:AC326" si="99">IF(AND(ISBLANK($Q205),ISBLANK($R205),ISBLANK($S205),ISBLANK($T205),ISBLANK($U205),ISBLANK($V205),ISBLANK($W205),ISBLANK($X205),ISBLANK($Y205),ISBLANK($Z205),ISBLANK($AA205),ISBLANK($AB205)),"",SUM(Q205:AB205))</f>
        <v>7920</v>
      </c>
      <c r="AE205" s="39">
        <f>IF(ISBLANK(Q205),"",IF($P205="BRL",Q205,Q205*Macroindicadores!B$2)/1000)</f>
        <v>0.66</v>
      </c>
      <c r="AF205" s="39">
        <f>IF(ISBLANK(R205),"",IF($P205="BRL",R205,R205*Macroindicadores!C$2)/1000)</f>
        <v>0.66</v>
      </c>
      <c r="AG205" s="39">
        <f>IF(ISBLANK(S205),"",IF($P205="BRL",S205,S205*Macroindicadores!D$2)/1000)</f>
        <v>0.66</v>
      </c>
      <c r="AH205" s="39">
        <f>IF(ISBLANK(T205),"",IF($P205="BRL",T205,T205*Macroindicadores!E$2)/1000)</f>
        <v>0.66</v>
      </c>
      <c r="AI205" s="39">
        <f>IF(ISBLANK(U205),"",IF($P205="BRL",U205,U205*Macroindicadores!F$2)/1000)</f>
        <v>0.66</v>
      </c>
      <c r="AJ205" s="39">
        <f>IF(ISBLANK(V205),"",IF($P205="BRL",V205,V205*Macroindicadores!G$2)/1000)</f>
        <v>0.66</v>
      </c>
      <c r="AK205" s="39">
        <f>IF(ISBLANK(W205),"",IF($P205="BRL",W205,W205*Macroindicadores!H$2)/1000)</f>
        <v>0.66</v>
      </c>
      <c r="AL205" s="39">
        <f>IF(ISBLANK(X205),"",IF($P205="BRL",X205,X205*Macroindicadores!I$2)/1000)</f>
        <v>0.66</v>
      </c>
      <c r="AM205" s="39">
        <f>IF(ISBLANK(Y205),"",IF($P205="BRL",Y205,Y205*Macroindicadores!J$2)/1000)</f>
        <v>0.66</v>
      </c>
      <c r="AN205" s="39">
        <f>IF(ISBLANK(Z205),"",IF($P205="BRL",Z205,Z205*Macroindicadores!K$2)/1000)</f>
        <v>0.66</v>
      </c>
      <c r="AO205" s="39">
        <f>IF(ISBLANK(AA205),"",IF($P205="BRL",AA205,AA205*Macroindicadores!L$2)/1000)</f>
        <v>0.66</v>
      </c>
      <c r="AP205" s="39">
        <f>IF(ISBLANK(AB205),"",IF($P205="BRL",AB205,AB205*Macroindicadores!M$2)/1000)</f>
        <v>0.66</v>
      </c>
      <c r="AQ205" s="40">
        <f t="shared" ref="AQ205:AQ326" si="100">IF(AND(ISBLANK($Q205),ISBLANK($R205),ISBLANK($S205),ISBLANK($T205),ISBLANK($U205),ISBLANK($V205),ISBLANK($W205),ISBLANK($X205),ISBLANK($Y205),ISBLANK($Z205),ISBLANK($AA205),ISBLANK($AB205)),"",SUM(AE205:AP205))</f>
        <v>7.9200000000000008</v>
      </c>
      <c r="AS205" s="39">
        <f>IF(ISBLANK(Q205),"",IF(ISBLANK($O205),AE205,IF($J205="ANUAL",AE205*(1+Macroindicadores!B$7),IF(AND($I205="NOVO",MONTH($O205)=MONTH(AS$4)),AE205*(1+Macroindicadores!B$7),IF(AND($J205="PONTUAL",MONTH($O205)=MONTH(AS$4)),AE205*(1+Macroindicadores!B$7),IF(AND($J205="PONTUAL",MONTH($O205)&lt;MONTH(AS$4)),MIN(AR205:$AS205),IF(AND($I205="NOVO",MONTH($O205)&gt;MONTH(AS$4)),AE205,IF(MONTH($O205)&gt;MONTH(AS$4),AE205,IF(MONTH($O205)=MONTH(AS$4),AE205*(1+Macroindicadores!B$7),AR205)))))))))</f>
        <v>0.66</v>
      </c>
      <c r="AT205" s="39">
        <f>IF(ISBLANK(R205),"",IF(ISBLANK($O205),AF205,IF($J205="ANUAL",AF205*(1+Macroindicadores!C$7),IF(AND($I205="NOVO",MONTH($O205)=MONTH(AT$4)),AF205*(1+Macroindicadores!C$7),IF(AND($J205="PONTUAL",MONTH($O205)=MONTH(AT$4)),AF205*(1+Macroindicadores!C$7),IF(AND($J205="PONTUAL",MONTH($O205)&lt;MONTH(AT$4)),MIN($AS205:AS205),IF(AND($I205="NOVO",MONTH($O205)&gt;MONTH(AT$4)),AF205,IF(MONTH($O205)&gt;MONTH(AT$4),AF205,IF(MONTH($O205)=MONTH(AT$4),AF205*(1+Macroindicadores!C$7),AS205)))))))))</f>
        <v>0.66</v>
      </c>
      <c r="AU205" s="39">
        <f>IF(ISBLANK(S205),"",IF(ISBLANK($O205),AG205,IF($J205="ANUAL",AG205*(1+Macroindicadores!D$7),IF(AND($I205="NOVO",MONTH($O205)=MONTH(AU$4)),AG205*(1+Macroindicadores!D$7),IF(AND($J205="PONTUAL",MONTH($O205)=MONTH(AU$4)),AG205*(1+Macroindicadores!D$7),IF(AND($J205="PONTUAL",MONTH($O205)&lt;MONTH(AU$4)),MIN($AS205:AT205),IF(AND($I205="NOVO",MONTH($O205)&gt;MONTH(AU$4)),AG205,IF(MONTH($O205)&gt;MONTH(AU$4),AG205,IF(MONTH($O205)=MONTH(AU$4),AG205*(1+Macroindicadores!D$7),AT205)))))))))</f>
        <v>0.66</v>
      </c>
      <c r="AV205" s="39">
        <f>IF(ISBLANK(T205),"",IF(ISBLANK($O205),AH205,IF($J205="ANUAL",AH205*(1+Macroindicadores!E$7),IF(AND($I205="NOVO",MONTH($O205)=MONTH(AV$4)),AH205*(1+Macroindicadores!E$7),IF(AND($J205="PONTUAL",MONTH($O205)=MONTH(AV$4)),AH205*(1+Macroindicadores!E$7),IF(AND($J205="PONTUAL",MONTH($O205)&lt;MONTH(AV$4)),MIN($AS205:AU205),IF(AND($I205="NOVO",MONTH($O205)&gt;MONTH(AV$4)),AH205,IF(MONTH($O205)&gt;MONTH(AV$4),AH205,IF(MONTH($O205)=MONTH(AV$4),AH205*(1+Macroindicadores!E$7),AU205)))))))))</f>
        <v>0.66</v>
      </c>
      <c r="AW205" s="39">
        <f>IF(ISBLANK(U205),"",IF(ISBLANK($O205),AI205,IF($J205="ANUAL",AI205*(1+Macroindicadores!F$7),IF(AND($I205="NOVO",MONTH($O205)=MONTH(AW$4)),AI205*(1+Macroindicadores!F$7),IF(AND($J205="PONTUAL",MONTH($O205)=MONTH(AW$4)),AI205*(1+Macroindicadores!F$7),IF(AND($J205="PONTUAL",MONTH($O205)&lt;MONTH(AW$4)),MIN($AS205:AV205),IF(AND($I205="NOVO",MONTH($O205)&gt;MONTH(AW$4)),AI205,IF(MONTH($O205)&gt;MONTH(AW$4),AI205,IF(MONTH($O205)=MONTH(AW$4),AI205*(1+Macroindicadores!F$7),AV205)))))))))</f>
        <v>0.66</v>
      </c>
      <c r="AX205" s="39">
        <f>IF(ISBLANK(V205),"",IF(ISBLANK($O205),AJ205,IF($J205="ANUAL",AJ205*(1+Macroindicadores!G$7),IF(AND($I205="NOVO",MONTH($O205)=MONTH(AX$4)),AJ205*(1+Macroindicadores!G$7),IF(AND($J205="PONTUAL",MONTH($O205)=MONTH(AX$4)),AJ205*(1+Macroindicadores!G$7),IF(AND($J205="PONTUAL",MONTH($O205)&lt;MONTH(AX$4)),MIN($AS205:AW205),IF(AND($I205="NOVO",MONTH($O205)&gt;MONTH(AX$4)),AJ205,IF(MONTH($O205)&gt;MONTH(AX$4),AJ205,IF(MONTH($O205)=MONTH(AX$4),AJ205*(1+Macroindicadores!G$7),AW205)))))))))</f>
        <v>0.66</v>
      </c>
      <c r="AY205" s="39">
        <f>IF(ISBLANK(W205),"",IF(ISBLANK($O205),AK205,IF($J205="ANUAL",AK205*(1+Macroindicadores!H$7),IF(AND($I205="NOVO",MONTH($O205)=MONTH(AY$4)),AK205*(1+Macroindicadores!H$7),IF(AND($J205="PONTUAL",MONTH($O205)=MONTH(AY$4)),AK205*(1+Macroindicadores!H$7),IF(AND($J205="PONTUAL",MONTH($O205)&lt;MONTH(AY$4)),MIN($AS205:AX205),IF(AND($I205="NOVO",MONTH($O205)&gt;MONTH(AY$4)),AK205,IF(MONTH($O205)&gt;MONTH(AY$4),AK205,IF(MONTH($O205)=MONTH(AY$4),AK205*(1+Macroindicadores!H$7),AX205)))))))))</f>
        <v>0.66</v>
      </c>
      <c r="AZ205" s="39">
        <f>IF(ISBLANK(X205),"",IF(ISBLANK($O205),AL205,IF($J205="ANUAL",AL205*(1+Macroindicadores!I$7),IF(AND($I205="NOVO",MONTH($O205)=MONTH(AZ$4)),AL205*(1+Macroindicadores!I$7),IF(AND($J205="PONTUAL",MONTH($O205)=MONTH(AZ$4)),AL205*(1+Macroindicadores!I$7),IF(AND($J205="PONTUAL",MONTH($O205)&lt;MONTH(AZ$4)),MIN($AS205:AY205),IF(AND($I205="NOVO",MONTH($O205)&gt;MONTH(AZ$4)),AL205,IF(MONTH($O205)&gt;MONTH(AZ$4),AL205,IF(MONTH($O205)=MONTH(AZ$4),AL205*(1+Macroindicadores!I$7),AY205)))))))))</f>
        <v>0.66</v>
      </c>
      <c r="BA205" s="39">
        <f>IF(ISBLANK(Y205),"",IF(ISBLANK($O205),AM205,IF($J205="ANUAL",AM205*(1+Macroindicadores!J$7),IF(AND($I205="NOVO",MONTH($O205)=MONTH(BA$4)),AM205*(1+Macroindicadores!J$7),IF(AND($J205="PONTUAL",MONTH($O205)=MONTH(BA$4)),AM205*(1+Macroindicadores!J$7),IF(AND($J205="PONTUAL",MONTH($O205)&lt;MONTH(BA$4)),MIN($AS205:AZ205),IF(AND($I205="NOVO",MONTH($O205)&gt;MONTH(BA$4)),AM205,IF(MONTH($O205)&gt;MONTH(BA$4),AM205,IF(MONTH($O205)=MONTH(BA$4),AM205*(1+Macroindicadores!J$7),AZ205)))))))))</f>
        <v>0.66</v>
      </c>
      <c r="BB205" s="39">
        <f>IF(ISBLANK(Z205),"",IF(ISBLANK($O205),AN205,IF($J205="ANUAL",AN205*(1+Macroindicadores!K$7),IF(AND($I205="NOVO",MONTH($O205)=MONTH(BB$4)),AN205*(1+Macroindicadores!K$7),IF(AND($J205="PONTUAL",MONTH($O205)=MONTH(BB$4)),AN205*(1+Macroindicadores!K$7),IF(AND($J205="PONTUAL",MONTH($O205)&lt;MONTH(BB$4)),MIN($AS205:BA205),IF(AND($I205="NOVO",MONTH($O205)&gt;MONTH(BB$4)),AN205,IF(MONTH($O205)&gt;MONTH(BB$4),AN205,IF(MONTH($O205)=MONTH(BB$4),AN205*(1+Macroindicadores!K$7),BA205)))))))))</f>
        <v>0.66</v>
      </c>
      <c r="BC205" s="39">
        <f>IF(ISBLANK(AA205),"",IF(ISBLANK($O205),AO205,IF($J205="ANUAL",AO205*(1+Macroindicadores!L$7),IF(AND($I205="NOVO",MONTH($O205)=MONTH(BC$4)),AO205*(1+Macroindicadores!L$7),IF(AND($J205="PONTUAL",MONTH($O205)=MONTH(BC$4)),AO205*(1+Macroindicadores!L$7),IF(AND($J205="PONTUAL",MONTH($O205)&lt;MONTH(BC$4)),MIN($AS205:BB205),IF(AND($I205="NOVO",MONTH($O205)&gt;MONTH(BC$4)),AO205,IF(MONTH($O205)&gt;MONTH(BC$4),AO205,IF(MONTH($O205)=MONTH(BC$4),AO205*(1+Macroindicadores!L$7),BB205)))))))))</f>
        <v>0.66</v>
      </c>
      <c r="BD205" s="39">
        <f>IF(ISBLANK(AB205),"",IF(ISBLANK($O205),AP205,IF($J205="ANUAL",AP205*(1+Macroindicadores!M$7),IF(AND($I205="NOVO",MONTH($O205)=MONTH(BD$4)),AP205*(1+Macroindicadores!M$7),IF(AND($J205="PONTUAL",MONTH($O205)=MONTH(BD$4)),AP205*(1+Macroindicadores!M$7),IF(AND($J205="PONTUAL",MONTH($O205)&lt;MONTH(BD$4)),MIN($AS205:BC205),IF(AND($I205="NOVO",MONTH($O205)&gt;MONTH(BD$4)),AP205,IF(MONTH($O205)&gt;MONTH(BD$4),AP205,IF(MONTH($O205)=MONTH(BD$4),AP205*(1+Macroindicadores!M$7),BC205)))))))))</f>
        <v>0.66</v>
      </c>
      <c r="BE205" s="40">
        <f t="shared" ref="BE205:BE326" si="101">IF(AND(ISBLANK($Q205),ISBLANK($R205),ISBLANK($S205),ISBLANK($T205),ISBLANK($U205),ISBLANK($V205),ISBLANK($W205),ISBLANK($X205),ISBLANK($Y205),ISBLANK($Z205),ISBLANK($AA205),ISBLANK($AB205)),"",SUM(AS205:BD205))</f>
        <v>7.9200000000000008</v>
      </c>
      <c r="BG205" s="39">
        <f>IF(ISBLANK(Q205),"",AS205/Macroindicadores!B$2)</f>
        <v>0.11224489795918369</v>
      </c>
      <c r="BH205" s="39">
        <f>IF(ISBLANK(R205),"",AT205/Macroindicadores!C$2)</f>
        <v>0.11224489795918369</v>
      </c>
      <c r="BI205" s="39">
        <f>IF(ISBLANK(S205),"",AU205/Macroindicadores!D$2)</f>
        <v>0.11224489795918369</v>
      </c>
      <c r="BJ205" s="39">
        <f>IF(ISBLANK(T205),"",AV205/Macroindicadores!E$2)</f>
        <v>0.11224489795918369</v>
      </c>
      <c r="BK205" s="39">
        <f>IF(ISBLANK(U205),"",AW205/Macroindicadores!F$2)</f>
        <v>0.11224489795918369</v>
      </c>
      <c r="BL205" s="39">
        <f>IF(ISBLANK(V205),"",AX205/Macroindicadores!G$2)</f>
        <v>0.11224489795918369</v>
      </c>
      <c r="BM205" s="39">
        <f>IF(ISBLANK(W205),"",AY205/Macroindicadores!H$2)</f>
        <v>0.11224489795918369</v>
      </c>
      <c r="BN205" s="39">
        <f>IF(ISBLANK(X205),"",AZ205/Macroindicadores!I$2)</f>
        <v>0.11224489795918369</v>
      </c>
      <c r="BO205" s="39">
        <f>IF(ISBLANK(Y205),"",BA205/Macroindicadores!J$2)</f>
        <v>0.11224489795918369</v>
      </c>
      <c r="BP205" s="39">
        <f>IF(ISBLANK(Z205),"",BB205/Macroindicadores!K$2)</f>
        <v>0.11224489795918369</v>
      </c>
      <c r="BQ205" s="39">
        <f>IF(ISBLANK(AA205),"",BC205/Macroindicadores!L$2)</f>
        <v>0.11224489795918369</v>
      </c>
      <c r="BR205" s="39">
        <f>IF(ISBLANK(AB205),"",BD205/Macroindicadores!M$2)</f>
        <v>0.11224489795918369</v>
      </c>
      <c r="BS205" s="40">
        <f>IF(AND(ISBLANK($Q205),ISBLANK($R205),ISBLANK($S205),ISBLANK($T205),ISBLANK($U205),ISBLANK($V205),ISBLANK($W205),ISBLANK($X205),ISBLANK($Y205),ISBLANK($Z205),ISBLANK($AA205),ISBLANK($AB205)),"",SUM(BG205:BR205))</f>
        <v>1.3469387755102042</v>
      </c>
      <c r="BT205" s="25" t="str">
        <f>IF(ISBLANK($L205),"",_xlfn.XLOOKUP($L205,'CENTRO CUSTO'!$A:$A,'CENTRO CUSTO'!$E:$E,FALSE,0))</f>
        <v>G&amp;A BU</v>
      </c>
    </row>
    <row r="206" spans="1:72">
      <c r="A206" s="9" t="str">
        <f t="shared" si="80"/>
        <v>Budget</v>
      </c>
      <c r="B206" s="9">
        <f t="shared" si="77"/>
        <v>2026</v>
      </c>
      <c r="C206" s="18" t="str">
        <f>IF(ISBLANK($L206),"",_xlfn.XLOOKUP($L206,'CENTRO CUSTO'!$A:$A,'CENTRO CUSTO'!F:F,FALSE,0))</f>
        <v>Martini Meat</v>
      </c>
      <c r="D206" s="111" t="str">
        <f>IF(ISBLANK($L206),"",_xlfn.XLOOKUP($L206,'CENTRO CUSTO'!$A:$A,'CENTRO CUSTO'!G:G,FALSE,0))</f>
        <v>BU-MMAZ</v>
      </c>
      <c r="E206" s="18" t="str">
        <f>IF(ISBLANK($L206),"",_xlfn.XLOOKUP($L206,'CENTRO CUSTO'!$A:$A,'CENTRO CUSTO'!H:H,FALSE,0))</f>
        <v>G&amp;A</v>
      </c>
      <c r="F206" s="10" t="s">
        <v>209</v>
      </c>
      <c r="G206" s="10" t="s">
        <v>123</v>
      </c>
      <c r="H206" s="10" t="s">
        <v>210</v>
      </c>
      <c r="I206" s="11" t="s">
        <v>77</v>
      </c>
      <c r="J206" s="11" t="s">
        <v>78</v>
      </c>
      <c r="K206" s="11" t="s">
        <v>79</v>
      </c>
      <c r="L206" s="11" t="s">
        <v>35</v>
      </c>
      <c r="M206" s="18" t="str">
        <f>IF(ISBLANK($L206),"",_xlfn.XLOOKUP($L206,'CENTRO CUSTO'!$A:$A,'CENTRO CUSTO'!D:D,FALSE,0))</f>
        <v>Alexandre Ayabe</v>
      </c>
      <c r="N206" s="11" t="s">
        <v>87</v>
      </c>
      <c r="O206" s="12"/>
      <c r="P206" s="11" t="s">
        <v>81</v>
      </c>
      <c r="Q206" s="41">
        <f>4800*Rateio!$E$424/12</f>
        <v>260</v>
      </c>
      <c r="R206" s="41">
        <f>4800*Rateio!$E$424/12</f>
        <v>260</v>
      </c>
      <c r="S206" s="41">
        <f>4800*Rateio!$E$424/12</f>
        <v>260</v>
      </c>
      <c r="T206" s="41">
        <f>4800*Rateio!$E$424/12</f>
        <v>260</v>
      </c>
      <c r="U206" s="41">
        <f>4800*Rateio!$E$424/12</f>
        <v>260</v>
      </c>
      <c r="V206" s="41">
        <f>4800*Rateio!$E$424/12</f>
        <v>260</v>
      </c>
      <c r="W206" s="41">
        <f>4800*Rateio!$E$424/12</f>
        <v>260</v>
      </c>
      <c r="X206" s="41">
        <f>4800*Rateio!$E$424/12</f>
        <v>260</v>
      </c>
      <c r="Y206" s="41">
        <f>4800*Rateio!$E$424/12</f>
        <v>260</v>
      </c>
      <c r="Z206" s="41">
        <f>4800*Rateio!$E$424/12</f>
        <v>260</v>
      </c>
      <c r="AA206" s="41">
        <f>4800*Rateio!$E$424/12</f>
        <v>260</v>
      </c>
      <c r="AB206" s="41">
        <f>4800*Rateio!$E$424/12</f>
        <v>260</v>
      </c>
      <c r="AC206" s="116">
        <f t="shared" si="99"/>
        <v>3120</v>
      </c>
      <c r="AE206" s="39">
        <f>IF(ISBLANK(Q206),"",IF($P206="BRL",Q206,Q206*Macroindicadores!B$2)/1000)</f>
        <v>0.26</v>
      </c>
      <c r="AF206" s="39">
        <f>IF(ISBLANK(R206),"",IF($P206="BRL",R206,R206*Macroindicadores!C$2)/1000)</f>
        <v>0.26</v>
      </c>
      <c r="AG206" s="39">
        <f>IF(ISBLANK(S206),"",IF($P206="BRL",S206,S206*Macroindicadores!D$2)/1000)</f>
        <v>0.26</v>
      </c>
      <c r="AH206" s="39">
        <f>IF(ISBLANK(T206),"",IF($P206="BRL",T206,T206*Macroindicadores!E$2)/1000)</f>
        <v>0.26</v>
      </c>
      <c r="AI206" s="39">
        <f>IF(ISBLANK(U206),"",IF($P206="BRL",U206,U206*Macroindicadores!F$2)/1000)</f>
        <v>0.26</v>
      </c>
      <c r="AJ206" s="39">
        <f>IF(ISBLANK(V206),"",IF($P206="BRL",V206,V206*Macroindicadores!G$2)/1000)</f>
        <v>0.26</v>
      </c>
      <c r="AK206" s="39">
        <f>IF(ISBLANK(W206),"",IF($P206="BRL",W206,W206*Macroindicadores!H$2)/1000)</f>
        <v>0.26</v>
      </c>
      <c r="AL206" s="39">
        <f>IF(ISBLANK(X206),"",IF($P206="BRL",X206,X206*Macroindicadores!I$2)/1000)</f>
        <v>0.26</v>
      </c>
      <c r="AM206" s="39">
        <f>IF(ISBLANK(Y206),"",IF($P206="BRL",Y206,Y206*Macroindicadores!J$2)/1000)</f>
        <v>0.26</v>
      </c>
      <c r="AN206" s="39">
        <f>IF(ISBLANK(Z206),"",IF($P206="BRL",Z206,Z206*Macroindicadores!K$2)/1000)</f>
        <v>0.26</v>
      </c>
      <c r="AO206" s="39">
        <f>IF(ISBLANK(AA206),"",IF($P206="BRL",AA206,AA206*Macroindicadores!L$2)/1000)</f>
        <v>0.26</v>
      </c>
      <c r="AP206" s="39">
        <f>IF(ISBLANK(AB206),"",IF($P206="BRL",AB206,AB206*Macroindicadores!M$2)/1000)</f>
        <v>0.26</v>
      </c>
      <c r="AQ206" s="40">
        <f t="shared" si="100"/>
        <v>3.1199999999999992</v>
      </c>
      <c r="AS206" s="39">
        <f>IF(ISBLANK(Q206),"",IF(ISBLANK($O206),AE206,IF($J206="ANUAL",AE206*(1+Macroindicadores!B$7),IF(AND($I206="NOVO",MONTH($O206)=MONTH(AS$4)),AE206*(1+Macroindicadores!B$7),IF(AND($J206="PONTUAL",MONTH($O206)=MONTH(AS$4)),AE206*(1+Macroindicadores!B$7),IF(AND($J206="PONTUAL",MONTH($O206)&lt;MONTH(AS$4)),MIN(AR206:$AS206),IF(AND($I206="NOVO",MONTH($O206)&gt;MONTH(AS$4)),AE206,IF(MONTH($O206)&gt;MONTH(AS$4),AE206,IF(MONTH($O206)=MONTH(AS$4),AE206*(1+Macroindicadores!B$7),AR206)))))))))</f>
        <v>0.26</v>
      </c>
      <c r="AT206" s="39">
        <f>IF(ISBLANK(R206),"",IF(ISBLANK($O206),AF206,IF($J206="ANUAL",AF206*(1+Macroindicadores!C$7),IF(AND($I206="NOVO",MONTH($O206)=MONTH(AT$4)),AF206*(1+Macroindicadores!C$7),IF(AND($J206="PONTUAL",MONTH($O206)=MONTH(AT$4)),AF206*(1+Macroindicadores!C$7),IF(AND($J206="PONTUAL",MONTH($O206)&lt;MONTH(AT$4)),MIN($AS206:AS206),IF(AND($I206="NOVO",MONTH($O206)&gt;MONTH(AT$4)),AF206,IF(MONTH($O206)&gt;MONTH(AT$4),AF206,IF(MONTH($O206)=MONTH(AT$4),AF206*(1+Macroindicadores!C$7),AS206)))))))))</f>
        <v>0.26</v>
      </c>
      <c r="AU206" s="39">
        <f>IF(ISBLANK(S206),"",IF(ISBLANK($O206),AG206,IF($J206="ANUAL",AG206*(1+Macroindicadores!D$7),IF(AND($I206="NOVO",MONTH($O206)=MONTH(AU$4)),AG206*(1+Macroindicadores!D$7),IF(AND($J206="PONTUAL",MONTH($O206)=MONTH(AU$4)),AG206*(1+Macroindicadores!D$7),IF(AND($J206="PONTUAL",MONTH($O206)&lt;MONTH(AU$4)),MIN($AS206:AT206),IF(AND($I206="NOVO",MONTH($O206)&gt;MONTH(AU$4)),AG206,IF(MONTH($O206)&gt;MONTH(AU$4),AG206,IF(MONTH($O206)=MONTH(AU$4),AG206*(1+Macroindicadores!D$7),AT206)))))))))</f>
        <v>0.26</v>
      </c>
      <c r="AV206" s="39">
        <f>IF(ISBLANK(T206),"",IF(ISBLANK($O206),AH206,IF($J206="ANUAL",AH206*(1+Macroindicadores!E$7),IF(AND($I206="NOVO",MONTH($O206)=MONTH(AV$4)),AH206*(1+Macroindicadores!E$7),IF(AND($J206="PONTUAL",MONTH($O206)=MONTH(AV$4)),AH206*(1+Macroindicadores!E$7),IF(AND($J206="PONTUAL",MONTH($O206)&lt;MONTH(AV$4)),MIN($AS206:AU206),IF(AND($I206="NOVO",MONTH($O206)&gt;MONTH(AV$4)),AH206,IF(MONTH($O206)&gt;MONTH(AV$4),AH206,IF(MONTH($O206)=MONTH(AV$4),AH206*(1+Macroindicadores!E$7),AU206)))))))))</f>
        <v>0.26</v>
      </c>
      <c r="AW206" s="39">
        <f>IF(ISBLANK(U206),"",IF(ISBLANK($O206),AI206,IF($J206="ANUAL",AI206*(1+Macroindicadores!F$7),IF(AND($I206="NOVO",MONTH($O206)=MONTH(AW$4)),AI206*(1+Macroindicadores!F$7),IF(AND($J206="PONTUAL",MONTH($O206)=MONTH(AW$4)),AI206*(1+Macroindicadores!F$7),IF(AND($J206="PONTUAL",MONTH($O206)&lt;MONTH(AW$4)),MIN($AS206:AV206),IF(AND($I206="NOVO",MONTH($O206)&gt;MONTH(AW$4)),AI206,IF(MONTH($O206)&gt;MONTH(AW$4),AI206,IF(MONTH($O206)=MONTH(AW$4),AI206*(1+Macroindicadores!F$7),AV206)))))))))</f>
        <v>0.26</v>
      </c>
      <c r="AX206" s="39">
        <f>IF(ISBLANK(V206),"",IF(ISBLANK($O206),AJ206,IF($J206="ANUAL",AJ206*(1+Macroindicadores!G$7),IF(AND($I206="NOVO",MONTH($O206)=MONTH(AX$4)),AJ206*(1+Macroindicadores!G$7),IF(AND($J206="PONTUAL",MONTH($O206)=MONTH(AX$4)),AJ206*(1+Macroindicadores!G$7),IF(AND($J206="PONTUAL",MONTH($O206)&lt;MONTH(AX$4)),MIN($AS206:AW206),IF(AND($I206="NOVO",MONTH($O206)&gt;MONTH(AX$4)),AJ206,IF(MONTH($O206)&gt;MONTH(AX$4),AJ206,IF(MONTH($O206)=MONTH(AX$4),AJ206*(1+Macroindicadores!G$7),AW206)))))))))</f>
        <v>0.26</v>
      </c>
      <c r="AY206" s="39">
        <f>IF(ISBLANK(W206),"",IF(ISBLANK($O206),AK206,IF($J206="ANUAL",AK206*(1+Macroindicadores!H$7),IF(AND($I206="NOVO",MONTH($O206)=MONTH(AY$4)),AK206*(1+Macroindicadores!H$7),IF(AND($J206="PONTUAL",MONTH($O206)=MONTH(AY$4)),AK206*(1+Macroindicadores!H$7),IF(AND($J206="PONTUAL",MONTH($O206)&lt;MONTH(AY$4)),MIN($AS206:AX206),IF(AND($I206="NOVO",MONTH($O206)&gt;MONTH(AY$4)),AK206,IF(MONTH($O206)&gt;MONTH(AY$4),AK206,IF(MONTH($O206)=MONTH(AY$4),AK206*(1+Macroindicadores!H$7),AX206)))))))))</f>
        <v>0.26</v>
      </c>
      <c r="AZ206" s="39">
        <f>IF(ISBLANK(X206),"",IF(ISBLANK($O206),AL206,IF($J206="ANUAL",AL206*(1+Macroindicadores!I$7),IF(AND($I206="NOVO",MONTH($O206)=MONTH(AZ$4)),AL206*(1+Macroindicadores!I$7),IF(AND($J206="PONTUAL",MONTH($O206)=MONTH(AZ$4)),AL206*(1+Macroindicadores!I$7),IF(AND($J206="PONTUAL",MONTH($O206)&lt;MONTH(AZ$4)),MIN($AS206:AY206),IF(AND($I206="NOVO",MONTH($O206)&gt;MONTH(AZ$4)),AL206,IF(MONTH($O206)&gt;MONTH(AZ$4),AL206,IF(MONTH($O206)=MONTH(AZ$4),AL206*(1+Macroindicadores!I$7),AY206)))))))))</f>
        <v>0.26</v>
      </c>
      <c r="BA206" s="39">
        <f>IF(ISBLANK(Y206),"",IF(ISBLANK($O206),AM206,IF($J206="ANUAL",AM206*(1+Macroindicadores!J$7),IF(AND($I206="NOVO",MONTH($O206)=MONTH(BA$4)),AM206*(1+Macroindicadores!J$7),IF(AND($J206="PONTUAL",MONTH($O206)=MONTH(BA$4)),AM206*(1+Macroindicadores!J$7),IF(AND($J206="PONTUAL",MONTH($O206)&lt;MONTH(BA$4)),MIN($AS206:AZ206),IF(AND($I206="NOVO",MONTH($O206)&gt;MONTH(BA$4)),AM206,IF(MONTH($O206)&gt;MONTH(BA$4),AM206,IF(MONTH($O206)=MONTH(BA$4),AM206*(1+Macroindicadores!J$7),AZ206)))))))))</f>
        <v>0.26</v>
      </c>
      <c r="BB206" s="39">
        <f>IF(ISBLANK(Z206),"",IF(ISBLANK($O206),AN206,IF($J206="ANUAL",AN206*(1+Macroindicadores!K$7),IF(AND($I206="NOVO",MONTH($O206)=MONTH(BB$4)),AN206*(1+Macroindicadores!K$7),IF(AND($J206="PONTUAL",MONTH($O206)=MONTH(BB$4)),AN206*(1+Macroindicadores!K$7),IF(AND($J206="PONTUAL",MONTH($O206)&lt;MONTH(BB$4)),MIN($AS206:BA206),IF(AND($I206="NOVO",MONTH($O206)&gt;MONTH(BB$4)),AN206,IF(MONTH($O206)&gt;MONTH(BB$4),AN206,IF(MONTH($O206)=MONTH(BB$4),AN206*(1+Macroindicadores!K$7),BA206)))))))))</f>
        <v>0.26</v>
      </c>
      <c r="BC206" s="39">
        <f>IF(ISBLANK(AA206),"",IF(ISBLANK($O206),AO206,IF($J206="ANUAL",AO206*(1+Macroindicadores!L$7),IF(AND($I206="NOVO",MONTH($O206)=MONTH(BC$4)),AO206*(1+Macroindicadores!L$7),IF(AND($J206="PONTUAL",MONTH($O206)=MONTH(BC$4)),AO206*(1+Macroindicadores!L$7),IF(AND($J206="PONTUAL",MONTH($O206)&lt;MONTH(BC$4)),MIN($AS206:BB206),IF(AND($I206="NOVO",MONTH($O206)&gt;MONTH(BC$4)),AO206,IF(MONTH($O206)&gt;MONTH(BC$4),AO206,IF(MONTH($O206)=MONTH(BC$4),AO206*(1+Macroindicadores!L$7),BB206)))))))))</f>
        <v>0.26</v>
      </c>
      <c r="BD206" s="39">
        <f>IF(ISBLANK(AB206),"",IF(ISBLANK($O206),AP206,IF($J206="ANUAL",AP206*(1+Macroindicadores!M$7),IF(AND($I206="NOVO",MONTH($O206)=MONTH(BD$4)),AP206*(1+Macroindicadores!M$7),IF(AND($J206="PONTUAL",MONTH($O206)=MONTH(BD$4)),AP206*(1+Macroindicadores!M$7),IF(AND($J206="PONTUAL",MONTH($O206)&lt;MONTH(BD$4)),MIN($AS206:BC206),IF(AND($I206="NOVO",MONTH($O206)&gt;MONTH(BD$4)),AP206,IF(MONTH($O206)&gt;MONTH(BD$4),AP206,IF(MONTH($O206)=MONTH(BD$4),AP206*(1+Macroindicadores!M$7),BC206)))))))))</f>
        <v>0.26</v>
      </c>
      <c r="BE206" s="40">
        <f t="shared" si="101"/>
        <v>3.1199999999999992</v>
      </c>
      <c r="BG206" s="39">
        <f>IF(ISBLANK(Q206),"",AS206/Macroindicadores!B$2)</f>
        <v>4.4217687074829932E-2</v>
      </c>
      <c r="BH206" s="39">
        <f>IF(ISBLANK(R206),"",AT206/Macroindicadores!C$2)</f>
        <v>4.4217687074829932E-2</v>
      </c>
      <c r="BI206" s="39">
        <f>IF(ISBLANK(S206),"",AU206/Macroindicadores!D$2)</f>
        <v>4.4217687074829932E-2</v>
      </c>
      <c r="BJ206" s="39">
        <f>IF(ISBLANK(T206),"",AV206/Macroindicadores!E$2)</f>
        <v>4.4217687074829932E-2</v>
      </c>
      <c r="BK206" s="39">
        <f>IF(ISBLANK(U206),"",AW206/Macroindicadores!F$2)</f>
        <v>4.4217687074829932E-2</v>
      </c>
      <c r="BL206" s="39">
        <f>IF(ISBLANK(V206),"",AX206/Macroindicadores!G$2)</f>
        <v>4.4217687074829932E-2</v>
      </c>
      <c r="BM206" s="39">
        <f>IF(ISBLANK(W206),"",AY206/Macroindicadores!H$2)</f>
        <v>4.4217687074829932E-2</v>
      </c>
      <c r="BN206" s="39">
        <f>IF(ISBLANK(X206),"",AZ206/Macroindicadores!I$2)</f>
        <v>4.4217687074829932E-2</v>
      </c>
      <c r="BO206" s="39">
        <f>IF(ISBLANK(Y206),"",BA206/Macroindicadores!J$2)</f>
        <v>4.4217687074829932E-2</v>
      </c>
      <c r="BP206" s="39">
        <f>IF(ISBLANK(Z206),"",BB206/Macroindicadores!K$2)</f>
        <v>4.4217687074829932E-2</v>
      </c>
      <c r="BQ206" s="39">
        <f>IF(ISBLANK(AA206),"",BC206/Macroindicadores!L$2)</f>
        <v>4.4217687074829932E-2</v>
      </c>
      <c r="BR206" s="39">
        <f>IF(ISBLANK(AB206),"",BD206/Macroindicadores!M$2)</f>
        <v>4.4217687074829932E-2</v>
      </c>
      <c r="BS206" s="40">
        <f>IF(AND(ISBLANK($Q206),ISBLANK($R206),ISBLANK($S206),ISBLANK($T206),ISBLANK($U206),ISBLANK($V206),ISBLANK($W206),ISBLANK($X206),ISBLANK($Y206),ISBLANK($Z206),ISBLANK($AA206),ISBLANK($AB206)),"",SUM(BG206:BR206))</f>
        <v>0.53061224489795922</v>
      </c>
      <c r="BT206" s="25" t="str">
        <f>IF(ISBLANK($L206),"",_xlfn.XLOOKUP($L206,'CENTRO CUSTO'!$A:$A,'CENTRO CUSTO'!$E:$E,FALSE,0))</f>
        <v>G&amp;A BU</v>
      </c>
    </row>
    <row r="207" spans="1:72">
      <c r="A207" s="9" t="str">
        <f t="shared" si="80"/>
        <v>Budget</v>
      </c>
      <c r="B207" s="9">
        <f t="shared" si="77"/>
        <v>2026</v>
      </c>
      <c r="C207" s="18" t="str">
        <f>IF(ISBLANK($L207),"",_xlfn.XLOOKUP($L207,'CENTRO CUSTO'!$A:$A,'CENTRO CUSTO'!F:F,FALSE,0))</f>
        <v>MRV</v>
      </c>
      <c r="D207" s="111" t="str">
        <f>IF(ISBLANK($L207),"",_xlfn.XLOOKUP($L207,'CENTRO CUSTO'!$A:$A,'CENTRO CUSTO'!G:G,FALSE,0))</f>
        <v>BU-MRV</v>
      </c>
      <c r="E207" s="18" t="str">
        <f>IF(ISBLANK($L207),"",_xlfn.XLOOKUP($L207,'CENTRO CUSTO'!$A:$A,'CENTRO CUSTO'!H:H,FALSE,0))</f>
        <v>G&amp;A</v>
      </c>
      <c r="F207" s="10" t="s">
        <v>209</v>
      </c>
      <c r="G207" s="10" t="s">
        <v>123</v>
      </c>
      <c r="H207" s="10" t="s">
        <v>210</v>
      </c>
      <c r="I207" s="11" t="s">
        <v>77</v>
      </c>
      <c r="J207" s="11" t="s">
        <v>78</v>
      </c>
      <c r="K207" s="11" t="s">
        <v>79</v>
      </c>
      <c r="L207" s="11" t="s">
        <v>45</v>
      </c>
      <c r="M207" s="18" t="str">
        <f>IF(ISBLANK($L207),"",_xlfn.XLOOKUP($L207,'CENTRO CUSTO'!$A:$A,'CENTRO CUSTO'!D:D,FALSE,0))</f>
        <v>Alexandre Ayabe</v>
      </c>
      <c r="N207" s="11" t="s">
        <v>87</v>
      </c>
      <c r="O207" s="12"/>
      <c r="P207" s="11" t="s">
        <v>81</v>
      </c>
      <c r="Q207" s="41">
        <f>4800*Rateio!$E$440/12</f>
        <v>52</v>
      </c>
      <c r="R207" s="41">
        <f>4800*Rateio!$E$440/12</f>
        <v>52</v>
      </c>
      <c r="S207" s="41">
        <f>4800*Rateio!$E$440/12</f>
        <v>52</v>
      </c>
      <c r="T207" s="41">
        <f>4800*Rateio!$E$440/12</f>
        <v>52</v>
      </c>
      <c r="U207" s="41">
        <f>4800*Rateio!$E$440/12</f>
        <v>52</v>
      </c>
      <c r="V207" s="41">
        <f>4800*Rateio!$E$440/12</f>
        <v>52</v>
      </c>
      <c r="W207" s="41">
        <f>4800*Rateio!$E$440/12</f>
        <v>52</v>
      </c>
      <c r="X207" s="41">
        <f>4800*Rateio!$E$440/12</f>
        <v>52</v>
      </c>
      <c r="Y207" s="41">
        <f>4800*Rateio!$E$440/12</f>
        <v>52</v>
      </c>
      <c r="Z207" s="41">
        <f>4800*Rateio!$E$440/12</f>
        <v>52</v>
      </c>
      <c r="AA207" s="41">
        <f>4800*Rateio!$E$440/12</f>
        <v>52</v>
      </c>
      <c r="AB207" s="41">
        <f>4800*Rateio!$E$440/12</f>
        <v>52</v>
      </c>
      <c r="AC207" s="116">
        <f t="shared" si="99"/>
        <v>624</v>
      </c>
      <c r="AE207" s="39">
        <f>IF(ISBLANK(Q207),"",IF($P207="BRL",Q207,Q207*Macroindicadores!B$2)/1000)</f>
        <v>5.1999999999999998E-2</v>
      </c>
      <c r="AF207" s="39">
        <f>IF(ISBLANK(R207),"",IF($P207="BRL",R207,R207*Macroindicadores!C$2)/1000)</f>
        <v>5.1999999999999998E-2</v>
      </c>
      <c r="AG207" s="39">
        <f>IF(ISBLANK(S207),"",IF($P207="BRL",S207,S207*Macroindicadores!D$2)/1000)</f>
        <v>5.1999999999999998E-2</v>
      </c>
      <c r="AH207" s="39">
        <f>IF(ISBLANK(T207),"",IF($P207="BRL",T207,T207*Macroindicadores!E$2)/1000)</f>
        <v>5.1999999999999998E-2</v>
      </c>
      <c r="AI207" s="39">
        <f>IF(ISBLANK(U207),"",IF($P207="BRL",U207,U207*Macroindicadores!F$2)/1000)</f>
        <v>5.1999999999999998E-2</v>
      </c>
      <c r="AJ207" s="39">
        <f>IF(ISBLANK(V207),"",IF($P207="BRL",V207,V207*Macroindicadores!G$2)/1000)</f>
        <v>5.1999999999999998E-2</v>
      </c>
      <c r="AK207" s="39">
        <f>IF(ISBLANK(W207),"",IF($P207="BRL",W207,W207*Macroindicadores!H$2)/1000)</f>
        <v>5.1999999999999998E-2</v>
      </c>
      <c r="AL207" s="39">
        <f>IF(ISBLANK(X207),"",IF($P207="BRL",X207,X207*Macroindicadores!I$2)/1000)</f>
        <v>5.1999999999999998E-2</v>
      </c>
      <c r="AM207" s="39">
        <f>IF(ISBLANK(Y207),"",IF($P207="BRL",Y207,Y207*Macroindicadores!J$2)/1000)</f>
        <v>5.1999999999999998E-2</v>
      </c>
      <c r="AN207" s="39">
        <f>IF(ISBLANK(Z207),"",IF($P207="BRL",Z207,Z207*Macroindicadores!K$2)/1000)</f>
        <v>5.1999999999999998E-2</v>
      </c>
      <c r="AO207" s="39">
        <f>IF(ISBLANK(AA207),"",IF($P207="BRL",AA207,AA207*Macroindicadores!L$2)/1000)</f>
        <v>5.1999999999999998E-2</v>
      </c>
      <c r="AP207" s="39">
        <f>IF(ISBLANK(AB207),"",IF($P207="BRL",AB207,AB207*Macroindicadores!M$2)/1000)</f>
        <v>5.1999999999999998E-2</v>
      </c>
      <c r="AQ207" s="40">
        <f t="shared" si="100"/>
        <v>0.62400000000000011</v>
      </c>
      <c r="AS207" s="39">
        <f>IF(ISBLANK(Q207),"",IF(ISBLANK($O207),AE207,IF($J207="ANUAL",AE207*(1+Macroindicadores!B$7),IF(AND($I207="NOVO",MONTH($O207)=MONTH(AS$4)),AE207*(1+Macroindicadores!B$7),IF(AND($J207="PONTUAL",MONTH($O207)=MONTH(AS$4)),AE207*(1+Macroindicadores!B$7),IF(AND($J207="PONTUAL",MONTH($O207)&lt;MONTH(AS$4)),MIN(AR207:$AS207),IF(AND($I207="NOVO",MONTH($O207)&gt;MONTH(AS$4)),AE207,IF(MONTH($O207)&gt;MONTH(AS$4),AE207,IF(MONTH($O207)=MONTH(AS$4),AE207*(1+Macroindicadores!B$7),AR207)))))))))</f>
        <v>5.1999999999999998E-2</v>
      </c>
      <c r="AT207" s="39">
        <f>IF(ISBLANK(R207),"",IF(ISBLANK($O207),AF207,IF($J207="ANUAL",AF207*(1+Macroindicadores!C$7),IF(AND($I207="NOVO",MONTH($O207)=MONTH(AT$4)),AF207*(1+Macroindicadores!C$7),IF(AND($J207="PONTUAL",MONTH($O207)=MONTH(AT$4)),AF207*(1+Macroindicadores!C$7),IF(AND($J207="PONTUAL",MONTH($O207)&lt;MONTH(AT$4)),MIN($AS207:AS207),IF(AND($I207="NOVO",MONTH($O207)&gt;MONTH(AT$4)),AF207,IF(MONTH($O207)&gt;MONTH(AT$4),AF207,IF(MONTH($O207)=MONTH(AT$4),AF207*(1+Macroindicadores!C$7),AS207)))))))))</f>
        <v>5.1999999999999998E-2</v>
      </c>
      <c r="AU207" s="39">
        <f>IF(ISBLANK(S207),"",IF(ISBLANK($O207),AG207,IF($J207="ANUAL",AG207*(1+Macroindicadores!D$7),IF(AND($I207="NOVO",MONTH($O207)=MONTH(AU$4)),AG207*(1+Macroindicadores!D$7),IF(AND($J207="PONTUAL",MONTH($O207)=MONTH(AU$4)),AG207*(1+Macroindicadores!D$7),IF(AND($J207="PONTUAL",MONTH($O207)&lt;MONTH(AU$4)),MIN($AS207:AT207),IF(AND($I207="NOVO",MONTH($O207)&gt;MONTH(AU$4)),AG207,IF(MONTH($O207)&gt;MONTH(AU$4),AG207,IF(MONTH($O207)=MONTH(AU$4),AG207*(1+Macroindicadores!D$7),AT207)))))))))</f>
        <v>5.1999999999999998E-2</v>
      </c>
      <c r="AV207" s="39">
        <f>IF(ISBLANK(T207),"",IF(ISBLANK($O207),AH207,IF($J207="ANUAL",AH207*(1+Macroindicadores!E$7),IF(AND($I207="NOVO",MONTH($O207)=MONTH(AV$4)),AH207*(1+Macroindicadores!E$7),IF(AND($J207="PONTUAL",MONTH($O207)=MONTH(AV$4)),AH207*(1+Macroindicadores!E$7),IF(AND($J207="PONTUAL",MONTH($O207)&lt;MONTH(AV$4)),MIN($AS207:AU207),IF(AND($I207="NOVO",MONTH($O207)&gt;MONTH(AV$4)),AH207,IF(MONTH($O207)&gt;MONTH(AV$4),AH207,IF(MONTH($O207)=MONTH(AV$4),AH207*(1+Macroindicadores!E$7),AU207)))))))))</f>
        <v>5.1999999999999998E-2</v>
      </c>
      <c r="AW207" s="39">
        <f>IF(ISBLANK(U207),"",IF(ISBLANK($O207),AI207,IF($J207="ANUAL",AI207*(1+Macroindicadores!F$7),IF(AND($I207="NOVO",MONTH($O207)=MONTH(AW$4)),AI207*(1+Macroindicadores!F$7),IF(AND($J207="PONTUAL",MONTH($O207)=MONTH(AW$4)),AI207*(1+Macroindicadores!F$7),IF(AND($J207="PONTUAL",MONTH($O207)&lt;MONTH(AW$4)),MIN($AS207:AV207),IF(AND($I207="NOVO",MONTH($O207)&gt;MONTH(AW$4)),AI207,IF(MONTH($O207)&gt;MONTH(AW$4),AI207,IF(MONTH($O207)=MONTH(AW$4),AI207*(1+Macroindicadores!F$7),AV207)))))))))</f>
        <v>5.1999999999999998E-2</v>
      </c>
      <c r="AX207" s="39">
        <f>IF(ISBLANK(V207),"",IF(ISBLANK($O207),AJ207,IF($J207="ANUAL",AJ207*(1+Macroindicadores!G$7),IF(AND($I207="NOVO",MONTH($O207)=MONTH(AX$4)),AJ207*(1+Macroindicadores!G$7),IF(AND($J207="PONTUAL",MONTH($O207)=MONTH(AX$4)),AJ207*(1+Macroindicadores!G$7),IF(AND($J207="PONTUAL",MONTH($O207)&lt;MONTH(AX$4)),MIN($AS207:AW207),IF(AND($I207="NOVO",MONTH($O207)&gt;MONTH(AX$4)),AJ207,IF(MONTH($O207)&gt;MONTH(AX$4),AJ207,IF(MONTH($O207)=MONTH(AX$4),AJ207*(1+Macroindicadores!G$7),AW207)))))))))</f>
        <v>5.1999999999999998E-2</v>
      </c>
      <c r="AY207" s="39">
        <f>IF(ISBLANK(W207),"",IF(ISBLANK($O207),AK207,IF($J207="ANUAL",AK207*(1+Macroindicadores!H$7),IF(AND($I207="NOVO",MONTH($O207)=MONTH(AY$4)),AK207*(1+Macroindicadores!H$7),IF(AND($J207="PONTUAL",MONTH($O207)=MONTH(AY$4)),AK207*(1+Macroindicadores!H$7),IF(AND($J207="PONTUAL",MONTH($O207)&lt;MONTH(AY$4)),MIN($AS207:AX207),IF(AND($I207="NOVO",MONTH($O207)&gt;MONTH(AY$4)),AK207,IF(MONTH($O207)&gt;MONTH(AY$4),AK207,IF(MONTH($O207)=MONTH(AY$4),AK207*(1+Macroindicadores!H$7),AX207)))))))))</f>
        <v>5.1999999999999998E-2</v>
      </c>
      <c r="AZ207" s="39">
        <f>IF(ISBLANK(X207),"",IF(ISBLANK($O207),AL207,IF($J207="ANUAL",AL207*(1+Macroindicadores!I$7),IF(AND($I207="NOVO",MONTH($O207)=MONTH(AZ$4)),AL207*(1+Macroindicadores!I$7),IF(AND($J207="PONTUAL",MONTH($O207)=MONTH(AZ$4)),AL207*(1+Macroindicadores!I$7),IF(AND($J207="PONTUAL",MONTH($O207)&lt;MONTH(AZ$4)),MIN($AS207:AY207),IF(AND($I207="NOVO",MONTH($O207)&gt;MONTH(AZ$4)),AL207,IF(MONTH($O207)&gt;MONTH(AZ$4),AL207,IF(MONTH($O207)=MONTH(AZ$4),AL207*(1+Macroindicadores!I$7),AY207)))))))))</f>
        <v>5.1999999999999998E-2</v>
      </c>
      <c r="BA207" s="39">
        <f>IF(ISBLANK(Y207),"",IF(ISBLANK($O207),AM207,IF($J207="ANUAL",AM207*(1+Macroindicadores!J$7),IF(AND($I207="NOVO",MONTH($O207)=MONTH(BA$4)),AM207*(1+Macroindicadores!J$7),IF(AND($J207="PONTUAL",MONTH($O207)=MONTH(BA$4)),AM207*(1+Macroindicadores!J$7),IF(AND($J207="PONTUAL",MONTH($O207)&lt;MONTH(BA$4)),MIN($AS207:AZ207),IF(AND($I207="NOVO",MONTH($O207)&gt;MONTH(BA$4)),AM207,IF(MONTH($O207)&gt;MONTH(BA$4),AM207,IF(MONTH($O207)=MONTH(BA$4),AM207*(1+Macroindicadores!J$7),AZ207)))))))))</f>
        <v>5.1999999999999998E-2</v>
      </c>
      <c r="BB207" s="39">
        <f>IF(ISBLANK(Z207),"",IF(ISBLANK($O207),AN207,IF($J207="ANUAL",AN207*(1+Macroindicadores!K$7),IF(AND($I207="NOVO",MONTH($O207)=MONTH(BB$4)),AN207*(1+Macroindicadores!K$7),IF(AND($J207="PONTUAL",MONTH($O207)=MONTH(BB$4)),AN207*(1+Macroindicadores!K$7),IF(AND($J207="PONTUAL",MONTH($O207)&lt;MONTH(BB$4)),MIN($AS207:BA207),IF(AND($I207="NOVO",MONTH($O207)&gt;MONTH(BB$4)),AN207,IF(MONTH($O207)&gt;MONTH(BB$4),AN207,IF(MONTH($O207)=MONTH(BB$4),AN207*(1+Macroindicadores!K$7),BA207)))))))))</f>
        <v>5.1999999999999998E-2</v>
      </c>
      <c r="BC207" s="39">
        <f>IF(ISBLANK(AA207),"",IF(ISBLANK($O207),AO207,IF($J207="ANUAL",AO207*(1+Macroindicadores!L$7),IF(AND($I207="NOVO",MONTH($O207)=MONTH(BC$4)),AO207*(1+Macroindicadores!L$7),IF(AND($J207="PONTUAL",MONTH($O207)=MONTH(BC$4)),AO207*(1+Macroindicadores!L$7),IF(AND($J207="PONTUAL",MONTH($O207)&lt;MONTH(BC$4)),MIN($AS207:BB207),IF(AND($I207="NOVO",MONTH($O207)&gt;MONTH(BC$4)),AO207,IF(MONTH($O207)&gt;MONTH(BC$4),AO207,IF(MONTH($O207)=MONTH(BC$4),AO207*(1+Macroindicadores!L$7),BB207)))))))))</f>
        <v>5.1999999999999998E-2</v>
      </c>
      <c r="BD207" s="39">
        <f>IF(ISBLANK(AB207),"",IF(ISBLANK($O207),AP207,IF($J207="ANUAL",AP207*(1+Macroindicadores!M$7),IF(AND($I207="NOVO",MONTH($O207)=MONTH(BD$4)),AP207*(1+Macroindicadores!M$7),IF(AND($J207="PONTUAL",MONTH($O207)=MONTH(BD$4)),AP207*(1+Macroindicadores!M$7),IF(AND($J207="PONTUAL",MONTH($O207)&lt;MONTH(BD$4)),MIN($AS207:BC207),IF(AND($I207="NOVO",MONTH($O207)&gt;MONTH(BD$4)),AP207,IF(MONTH($O207)&gt;MONTH(BD$4),AP207,IF(MONTH($O207)=MONTH(BD$4),AP207*(1+Macroindicadores!M$7),BC207)))))))))</f>
        <v>5.1999999999999998E-2</v>
      </c>
      <c r="BE207" s="40">
        <f t="shared" si="101"/>
        <v>0.62400000000000011</v>
      </c>
      <c r="BG207" s="39">
        <f>IF(ISBLANK(Q207),"",AS207/Macroindicadores!B$2)</f>
        <v>8.8435374149659855E-3</v>
      </c>
      <c r="BH207" s="39">
        <f>IF(ISBLANK(R207),"",AT207/Macroindicadores!C$2)</f>
        <v>8.8435374149659855E-3</v>
      </c>
      <c r="BI207" s="39">
        <f>IF(ISBLANK(S207),"",AU207/Macroindicadores!D$2)</f>
        <v>8.8435374149659855E-3</v>
      </c>
      <c r="BJ207" s="39">
        <f>IF(ISBLANK(T207),"",AV207/Macroindicadores!E$2)</f>
        <v>8.8435374149659855E-3</v>
      </c>
      <c r="BK207" s="39">
        <f>IF(ISBLANK(U207),"",AW207/Macroindicadores!F$2)</f>
        <v>8.8435374149659855E-3</v>
      </c>
      <c r="BL207" s="39">
        <f>IF(ISBLANK(V207),"",AX207/Macroindicadores!G$2)</f>
        <v>8.8435374149659855E-3</v>
      </c>
      <c r="BM207" s="39">
        <f>IF(ISBLANK(W207),"",AY207/Macroindicadores!H$2)</f>
        <v>8.8435374149659855E-3</v>
      </c>
      <c r="BN207" s="39">
        <f>IF(ISBLANK(X207),"",AZ207/Macroindicadores!I$2)</f>
        <v>8.8435374149659855E-3</v>
      </c>
      <c r="BO207" s="39">
        <f>IF(ISBLANK(Y207),"",BA207/Macroindicadores!J$2)</f>
        <v>8.8435374149659855E-3</v>
      </c>
      <c r="BP207" s="39">
        <f>IF(ISBLANK(Z207),"",BB207/Macroindicadores!K$2)</f>
        <v>8.8435374149659855E-3</v>
      </c>
      <c r="BQ207" s="39">
        <f>IF(ISBLANK(AA207),"",BC207/Macroindicadores!L$2)</f>
        <v>8.8435374149659855E-3</v>
      </c>
      <c r="BR207" s="39">
        <f>IF(ISBLANK(AB207),"",BD207/Macroindicadores!M$2)</f>
        <v>8.8435374149659855E-3</v>
      </c>
      <c r="BS207" s="40">
        <f>IF(AND(ISBLANK($Q207),ISBLANK($R207),ISBLANK($S207),ISBLANK($T207),ISBLANK($U207),ISBLANK($V207),ISBLANK($W207),ISBLANK($X207),ISBLANK($Y207),ISBLANK($Z207),ISBLANK($AA207),ISBLANK($AB207)),"",SUM(BG207:BR207))</f>
        <v>0.10612244897959185</v>
      </c>
      <c r="BT207" s="25" t="str">
        <f>IF(ISBLANK($L207),"",_xlfn.XLOOKUP($L207,'CENTRO CUSTO'!$A:$A,'CENTRO CUSTO'!$E:$E,FALSE,0))</f>
        <v>G&amp;A BU</v>
      </c>
    </row>
    <row r="208" spans="1:72">
      <c r="A208" s="9" t="str">
        <f t="shared" si="80"/>
        <v>Budget</v>
      </c>
      <c r="B208" s="9">
        <f t="shared" si="77"/>
        <v>2026</v>
      </c>
      <c r="C208" s="18" t="str">
        <f>IF(ISBLANK($L208),"",_xlfn.XLOOKUP($L208,'CENTRO CUSTO'!$A:$A,'CENTRO CUSTO'!F:F,FALSE,0))</f>
        <v>SKM</v>
      </c>
      <c r="D208" s="111" t="str">
        <f>IF(ISBLANK($L208),"",_xlfn.XLOOKUP($L208,'CENTRO CUSTO'!$A:$A,'CENTRO CUSTO'!G:G,FALSE,0))</f>
        <v>BU-SKM</v>
      </c>
      <c r="E208" s="18" t="str">
        <f>IF(ISBLANK($L208),"",_xlfn.XLOOKUP($L208,'CENTRO CUSTO'!$A:$A,'CENTRO CUSTO'!H:H,FALSE,0))</f>
        <v>G&amp;A</v>
      </c>
      <c r="F208" s="10" t="s">
        <v>209</v>
      </c>
      <c r="G208" s="10" t="s">
        <v>123</v>
      </c>
      <c r="H208" s="10" t="s">
        <v>210</v>
      </c>
      <c r="I208" s="11" t="s">
        <v>77</v>
      </c>
      <c r="J208" s="11" t="s">
        <v>78</v>
      </c>
      <c r="K208" s="11" t="s">
        <v>79</v>
      </c>
      <c r="L208" s="11" t="s">
        <v>50</v>
      </c>
      <c r="M208" s="18" t="str">
        <f>IF(ISBLANK($L208),"",_xlfn.XLOOKUP($L208,'CENTRO CUSTO'!$A:$A,'CENTRO CUSTO'!D:D,FALSE,0))</f>
        <v>Alexandre Ayabe</v>
      </c>
      <c r="N208" s="11" t="s">
        <v>87</v>
      </c>
      <c r="O208" s="12"/>
      <c r="P208" s="11" t="s">
        <v>81</v>
      </c>
      <c r="Q208" s="41">
        <f>4800*Rateio!$E$443/12</f>
        <v>88</v>
      </c>
      <c r="R208" s="41">
        <f>4800*Rateio!$E$443/12</f>
        <v>88</v>
      </c>
      <c r="S208" s="41">
        <f>4800*Rateio!$E$443/12</f>
        <v>88</v>
      </c>
      <c r="T208" s="41">
        <f>4800*Rateio!$E$443/12</f>
        <v>88</v>
      </c>
      <c r="U208" s="41">
        <f>4800*Rateio!$E$443/12</f>
        <v>88</v>
      </c>
      <c r="V208" s="41">
        <f>4800*Rateio!$E$443/12</f>
        <v>88</v>
      </c>
      <c r="W208" s="41">
        <f>4800*Rateio!$E$443/12</f>
        <v>88</v>
      </c>
      <c r="X208" s="41">
        <f>4800*Rateio!$E$443/12</f>
        <v>88</v>
      </c>
      <c r="Y208" s="41">
        <f>4800*Rateio!$E$443/12</f>
        <v>88</v>
      </c>
      <c r="Z208" s="41">
        <f>4800*Rateio!$E$443/12</f>
        <v>88</v>
      </c>
      <c r="AA208" s="41">
        <f>4800*Rateio!$E$443/12</f>
        <v>88</v>
      </c>
      <c r="AB208" s="41">
        <f>4800*Rateio!$E$443/12</f>
        <v>88</v>
      </c>
      <c r="AC208" s="116">
        <f t="shared" si="99"/>
        <v>1056</v>
      </c>
      <c r="AE208" s="39">
        <f>IF(ISBLANK(Q208),"",IF($P208="BRL",Q208,Q208*Macroindicadores!B$2)/1000)</f>
        <v>8.7999999999999995E-2</v>
      </c>
      <c r="AF208" s="39">
        <f>IF(ISBLANK(R208),"",IF($P208="BRL",R208,R208*Macroindicadores!C$2)/1000)</f>
        <v>8.7999999999999995E-2</v>
      </c>
      <c r="AG208" s="39">
        <f>IF(ISBLANK(S208),"",IF($P208="BRL",S208,S208*Macroindicadores!D$2)/1000)</f>
        <v>8.7999999999999995E-2</v>
      </c>
      <c r="AH208" s="39">
        <f>IF(ISBLANK(T208),"",IF($P208="BRL",T208,T208*Macroindicadores!E$2)/1000)</f>
        <v>8.7999999999999995E-2</v>
      </c>
      <c r="AI208" s="39">
        <f>IF(ISBLANK(U208),"",IF($P208="BRL",U208,U208*Macroindicadores!F$2)/1000)</f>
        <v>8.7999999999999995E-2</v>
      </c>
      <c r="AJ208" s="39">
        <f>IF(ISBLANK(V208),"",IF($P208="BRL",V208,V208*Macroindicadores!G$2)/1000)</f>
        <v>8.7999999999999995E-2</v>
      </c>
      <c r="AK208" s="39">
        <f>IF(ISBLANK(W208),"",IF($P208="BRL",W208,W208*Macroindicadores!H$2)/1000)</f>
        <v>8.7999999999999995E-2</v>
      </c>
      <c r="AL208" s="39">
        <f>IF(ISBLANK(X208),"",IF($P208="BRL",X208,X208*Macroindicadores!I$2)/1000)</f>
        <v>8.7999999999999995E-2</v>
      </c>
      <c r="AM208" s="39">
        <f>IF(ISBLANK(Y208),"",IF($P208="BRL",Y208,Y208*Macroindicadores!J$2)/1000)</f>
        <v>8.7999999999999995E-2</v>
      </c>
      <c r="AN208" s="39">
        <f>IF(ISBLANK(Z208),"",IF($P208="BRL",Z208,Z208*Macroindicadores!K$2)/1000)</f>
        <v>8.7999999999999995E-2</v>
      </c>
      <c r="AO208" s="39">
        <f>IF(ISBLANK(AA208),"",IF($P208="BRL",AA208,AA208*Macroindicadores!L$2)/1000)</f>
        <v>8.7999999999999995E-2</v>
      </c>
      <c r="AP208" s="39">
        <f>IF(ISBLANK(AB208),"",IF($P208="BRL",AB208,AB208*Macroindicadores!M$2)/1000)</f>
        <v>8.7999999999999995E-2</v>
      </c>
      <c r="AQ208" s="40">
        <f t="shared" si="100"/>
        <v>1.0559999999999998</v>
      </c>
      <c r="AS208" s="39">
        <f>IF(ISBLANK(Q208),"",IF(ISBLANK($O208),AE208,IF($J208="ANUAL",AE208*(1+Macroindicadores!B$7),IF(AND($I208="NOVO",MONTH($O208)=MONTH(AS$4)),AE208*(1+Macroindicadores!B$7),IF(AND($J208="PONTUAL",MONTH($O208)=MONTH(AS$4)),AE208*(1+Macroindicadores!B$7),IF(AND($J208="PONTUAL",MONTH($O208)&lt;MONTH(AS$4)),MIN(AR208:$AS208),IF(AND($I208="NOVO",MONTH($O208)&gt;MONTH(AS$4)),AE208,IF(MONTH($O208)&gt;MONTH(AS$4),AE208,IF(MONTH($O208)=MONTH(AS$4),AE208*(1+Macroindicadores!B$7),AR208)))))))))</f>
        <v>8.7999999999999995E-2</v>
      </c>
      <c r="AT208" s="39">
        <f>IF(ISBLANK(R208),"",IF(ISBLANK($O208),AF208,IF($J208="ANUAL",AF208*(1+Macroindicadores!C$7),IF(AND($I208="NOVO",MONTH($O208)=MONTH(AT$4)),AF208*(1+Macroindicadores!C$7),IF(AND($J208="PONTUAL",MONTH($O208)=MONTH(AT$4)),AF208*(1+Macroindicadores!C$7),IF(AND($J208="PONTUAL",MONTH($O208)&lt;MONTH(AT$4)),MIN($AS208:AS208),IF(AND($I208="NOVO",MONTH($O208)&gt;MONTH(AT$4)),AF208,IF(MONTH($O208)&gt;MONTH(AT$4),AF208,IF(MONTH($O208)=MONTH(AT$4),AF208*(1+Macroindicadores!C$7),AS208)))))))))</f>
        <v>8.7999999999999995E-2</v>
      </c>
      <c r="AU208" s="39">
        <f>IF(ISBLANK(S208),"",IF(ISBLANK($O208),AG208,IF($J208="ANUAL",AG208*(1+Macroindicadores!D$7),IF(AND($I208="NOVO",MONTH($O208)=MONTH(AU$4)),AG208*(1+Macroindicadores!D$7),IF(AND($J208="PONTUAL",MONTH($O208)=MONTH(AU$4)),AG208*(1+Macroindicadores!D$7),IF(AND($J208="PONTUAL",MONTH($O208)&lt;MONTH(AU$4)),MIN($AS208:AT208),IF(AND($I208="NOVO",MONTH($O208)&gt;MONTH(AU$4)),AG208,IF(MONTH($O208)&gt;MONTH(AU$4),AG208,IF(MONTH($O208)=MONTH(AU$4),AG208*(1+Macroindicadores!D$7),AT208)))))))))</f>
        <v>8.7999999999999995E-2</v>
      </c>
      <c r="AV208" s="39">
        <f>IF(ISBLANK(T208),"",IF(ISBLANK($O208),AH208,IF($J208="ANUAL",AH208*(1+Macroindicadores!E$7),IF(AND($I208="NOVO",MONTH($O208)=MONTH(AV$4)),AH208*(1+Macroindicadores!E$7),IF(AND($J208="PONTUAL",MONTH($O208)=MONTH(AV$4)),AH208*(1+Macroindicadores!E$7),IF(AND($J208="PONTUAL",MONTH($O208)&lt;MONTH(AV$4)),MIN($AS208:AU208),IF(AND($I208="NOVO",MONTH($O208)&gt;MONTH(AV$4)),AH208,IF(MONTH($O208)&gt;MONTH(AV$4),AH208,IF(MONTH($O208)=MONTH(AV$4),AH208*(1+Macroindicadores!E$7),AU208)))))))))</f>
        <v>8.7999999999999995E-2</v>
      </c>
      <c r="AW208" s="39">
        <f>IF(ISBLANK(U208),"",IF(ISBLANK($O208),AI208,IF($J208="ANUAL",AI208*(1+Macroindicadores!F$7),IF(AND($I208="NOVO",MONTH($O208)=MONTH(AW$4)),AI208*(1+Macroindicadores!F$7),IF(AND($J208="PONTUAL",MONTH($O208)=MONTH(AW$4)),AI208*(1+Macroindicadores!F$7),IF(AND($J208="PONTUAL",MONTH($O208)&lt;MONTH(AW$4)),MIN($AS208:AV208),IF(AND($I208="NOVO",MONTH($O208)&gt;MONTH(AW$4)),AI208,IF(MONTH($O208)&gt;MONTH(AW$4),AI208,IF(MONTH($O208)=MONTH(AW$4),AI208*(1+Macroindicadores!F$7),AV208)))))))))</f>
        <v>8.7999999999999995E-2</v>
      </c>
      <c r="AX208" s="39">
        <f>IF(ISBLANK(V208),"",IF(ISBLANK($O208),AJ208,IF($J208="ANUAL",AJ208*(1+Macroindicadores!G$7),IF(AND($I208="NOVO",MONTH($O208)=MONTH(AX$4)),AJ208*(1+Macroindicadores!G$7),IF(AND($J208="PONTUAL",MONTH($O208)=MONTH(AX$4)),AJ208*(1+Macroindicadores!G$7),IF(AND($J208="PONTUAL",MONTH($O208)&lt;MONTH(AX$4)),MIN($AS208:AW208),IF(AND($I208="NOVO",MONTH($O208)&gt;MONTH(AX$4)),AJ208,IF(MONTH($O208)&gt;MONTH(AX$4),AJ208,IF(MONTH($O208)=MONTH(AX$4),AJ208*(1+Macroindicadores!G$7),AW208)))))))))</f>
        <v>8.7999999999999995E-2</v>
      </c>
      <c r="AY208" s="39">
        <f>IF(ISBLANK(W208),"",IF(ISBLANK($O208),AK208,IF($J208="ANUAL",AK208*(1+Macroindicadores!H$7),IF(AND($I208="NOVO",MONTH($O208)=MONTH(AY$4)),AK208*(1+Macroindicadores!H$7),IF(AND($J208="PONTUAL",MONTH($O208)=MONTH(AY$4)),AK208*(1+Macroindicadores!H$7),IF(AND($J208="PONTUAL",MONTH($O208)&lt;MONTH(AY$4)),MIN($AS208:AX208),IF(AND($I208="NOVO",MONTH($O208)&gt;MONTH(AY$4)),AK208,IF(MONTH($O208)&gt;MONTH(AY$4),AK208,IF(MONTH($O208)=MONTH(AY$4),AK208*(1+Macroindicadores!H$7),AX208)))))))))</f>
        <v>8.7999999999999995E-2</v>
      </c>
      <c r="AZ208" s="39">
        <f>IF(ISBLANK(X208),"",IF(ISBLANK($O208),AL208,IF($J208="ANUAL",AL208*(1+Macroindicadores!I$7),IF(AND($I208="NOVO",MONTH($O208)=MONTH(AZ$4)),AL208*(1+Macroindicadores!I$7),IF(AND($J208="PONTUAL",MONTH($O208)=MONTH(AZ$4)),AL208*(1+Macroindicadores!I$7),IF(AND($J208="PONTUAL",MONTH($O208)&lt;MONTH(AZ$4)),MIN($AS208:AY208),IF(AND($I208="NOVO",MONTH($O208)&gt;MONTH(AZ$4)),AL208,IF(MONTH($O208)&gt;MONTH(AZ$4),AL208,IF(MONTH($O208)=MONTH(AZ$4),AL208*(1+Macroindicadores!I$7),AY208)))))))))</f>
        <v>8.7999999999999995E-2</v>
      </c>
      <c r="BA208" s="39">
        <f>IF(ISBLANK(Y208),"",IF(ISBLANK($O208),AM208,IF($J208="ANUAL",AM208*(1+Macroindicadores!J$7),IF(AND($I208="NOVO",MONTH($O208)=MONTH(BA$4)),AM208*(1+Macroindicadores!J$7),IF(AND($J208="PONTUAL",MONTH($O208)=MONTH(BA$4)),AM208*(1+Macroindicadores!J$7),IF(AND($J208="PONTUAL",MONTH($O208)&lt;MONTH(BA$4)),MIN($AS208:AZ208),IF(AND($I208="NOVO",MONTH($O208)&gt;MONTH(BA$4)),AM208,IF(MONTH($O208)&gt;MONTH(BA$4),AM208,IF(MONTH($O208)=MONTH(BA$4),AM208*(1+Macroindicadores!J$7),AZ208)))))))))</f>
        <v>8.7999999999999995E-2</v>
      </c>
      <c r="BB208" s="39">
        <f>IF(ISBLANK(Z208),"",IF(ISBLANK($O208),AN208,IF($J208="ANUAL",AN208*(1+Macroindicadores!K$7),IF(AND($I208="NOVO",MONTH($O208)=MONTH(BB$4)),AN208*(1+Macroindicadores!K$7),IF(AND($J208="PONTUAL",MONTH($O208)=MONTH(BB$4)),AN208*(1+Macroindicadores!K$7),IF(AND($J208="PONTUAL",MONTH($O208)&lt;MONTH(BB$4)),MIN($AS208:BA208),IF(AND($I208="NOVO",MONTH($O208)&gt;MONTH(BB$4)),AN208,IF(MONTH($O208)&gt;MONTH(BB$4),AN208,IF(MONTH($O208)=MONTH(BB$4),AN208*(1+Macroindicadores!K$7),BA208)))))))))</f>
        <v>8.7999999999999995E-2</v>
      </c>
      <c r="BC208" s="39">
        <f>IF(ISBLANK(AA208),"",IF(ISBLANK($O208),AO208,IF($J208="ANUAL",AO208*(1+Macroindicadores!L$7),IF(AND($I208="NOVO",MONTH($O208)=MONTH(BC$4)),AO208*(1+Macroindicadores!L$7),IF(AND($J208="PONTUAL",MONTH($O208)=MONTH(BC$4)),AO208*(1+Macroindicadores!L$7),IF(AND($J208="PONTUAL",MONTH($O208)&lt;MONTH(BC$4)),MIN($AS208:BB208),IF(AND($I208="NOVO",MONTH($O208)&gt;MONTH(BC$4)),AO208,IF(MONTH($O208)&gt;MONTH(BC$4),AO208,IF(MONTH($O208)=MONTH(BC$4),AO208*(1+Macroindicadores!L$7),BB208)))))))))</f>
        <v>8.7999999999999995E-2</v>
      </c>
      <c r="BD208" s="39">
        <f>IF(ISBLANK(AB208),"",IF(ISBLANK($O208),AP208,IF($J208="ANUAL",AP208*(1+Macroindicadores!M$7),IF(AND($I208="NOVO",MONTH($O208)=MONTH(BD$4)),AP208*(1+Macroindicadores!M$7),IF(AND($J208="PONTUAL",MONTH($O208)=MONTH(BD$4)),AP208*(1+Macroindicadores!M$7),IF(AND($J208="PONTUAL",MONTH($O208)&lt;MONTH(BD$4)),MIN($AS208:BC208),IF(AND($I208="NOVO",MONTH($O208)&gt;MONTH(BD$4)),AP208,IF(MONTH($O208)&gt;MONTH(BD$4),AP208,IF(MONTH($O208)=MONTH(BD$4),AP208*(1+Macroindicadores!M$7),BC208)))))))))</f>
        <v>8.7999999999999995E-2</v>
      </c>
      <c r="BE208" s="40">
        <f t="shared" si="101"/>
        <v>1.0559999999999998</v>
      </c>
      <c r="BG208" s="39">
        <f>IF(ISBLANK(Q208),"",AS208/Macroindicadores!B$2)</f>
        <v>1.4965986394557823E-2</v>
      </c>
      <c r="BH208" s="39">
        <f>IF(ISBLANK(R208),"",AT208/Macroindicadores!C$2)</f>
        <v>1.4965986394557823E-2</v>
      </c>
      <c r="BI208" s="39">
        <f>IF(ISBLANK(S208),"",AU208/Macroindicadores!D$2)</f>
        <v>1.4965986394557823E-2</v>
      </c>
      <c r="BJ208" s="39">
        <f>IF(ISBLANK(T208),"",AV208/Macroindicadores!E$2)</f>
        <v>1.4965986394557823E-2</v>
      </c>
      <c r="BK208" s="39">
        <f>IF(ISBLANK(U208),"",AW208/Macroindicadores!F$2)</f>
        <v>1.4965986394557823E-2</v>
      </c>
      <c r="BL208" s="39">
        <f>IF(ISBLANK(V208),"",AX208/Macroindicadores!G$2)</f>
        <v>1.4965986394557823E-2</v>
      </c>
      <c r="BM208" s="39">
        <f>IF(ISBLANK(W208),"",AY208/Macroindicadores!H$2)</f>
        <v>1.4965986394557823E-2</v>
      </c>
      <c r="BN208" s="39">
        <f>IF(ISBLANK(X208),"",AZ208/Macroindicadores!I$2)</f>
        <v>1.4965986394557823E-2</v>
      </c>
      <c r="BO208" s="39">
        <f>IF(ISBLANK(Y208),"",BA208/Macroindicadores!J$2)</f>
        <v>1.4965986394557823E-2</v>
      </c>
      <c r="BP208" s="39">
        <f>IF(ISBLANK(Z208),"",BB208/Macroindicadores!K$2)</f>
        <v>1.4965986394557823E-2</v>
      </c>
      <c r="BQ208" s="39">
        <f>IF(ISBLANK(AA208),"",BC208/Macroindicadores!L$2)</f>
        <v>1.4965986394557823E-2</v>
      </c>
      <c r="BR208" s="39">
        <f>IF(ISBLANK(AB208),"",BD208/Macroindicadores!M$2)</f>
        <v>1.4965986394557823E-2</v>
      </c>
      <c r="BS208" s="40">
        <f>IF(AND(ISBLANK($Q208),ISBLANK($R208),ISBLANK($S208),ISBLANK($T208),ISBLANK($U208),ISBLANK($V208),ISBLANK($W208),ISBLANK($X208),ISBLANK($Y208),ISBLANK($Z208),ISBLANK($AA208),ISBLANK($AB208)),"",SUM(BG208:BR208))</f>
        <v>0.17959183673469384</v>
      </c>
      <c r="BT208" s="25" t="str">
        <f>IF(ISBLANK($L208),"",_xlfn.XLOOKUP($L208,'CENTRO CUSTO'!$A:$A,'CENTRO CUSTO'!$E:$E,FALSE,0))</f>
        <v>G&amp;A BU</v>
      </c>
    </row>
    <row r="209" spans="1:72">
      <c r="A209" s="9" t="str">
        <f t="shared" si="80"/>
        <v>Budget</v>
      </c>
      <c r="B209" s="9">
        <f t="shared" si="77"/>
        <v>2026</v>
      </c>
      <c r="C209" s="18" t="str">
        <f>IF(ISBLANK($L209),"",_xlfn.XLOOKUP($L209,'CENTRO CUSTO'!$A:$A,'CENTRO CUSTO'!F:F,FALSE,0))</f>
        <v>Martini Meat</v>
      </c>
      <c r="D209" s="111" t="str">
        <f>IF(ISBLANK($L209),"",_xlfn.XLOOKUP($L209,'CENTRO CUSTO'!$A:$A,'CENTRO CUSTO'!G:G,FALSE,0))</f>
        <v>Paranaguá</v>
      </c>
      <c r="E209" s="18" t="str">
        <f>IF(ISBLANK($L209),"",_xlfn.XLOOKUP($L209,'CENTRO CUSTO'!$A:$A,'CENTRO CUSTO'!H:H,FALSE,0))</f>
        <v>RATEIO Unidade</v>
      </c>
      <c r="F209" s="10" t="s">
        <v>211</v>
      </c>
      <c r="G209" s="10" t="s">
        <v>123</v>
      </c>
      <c r="H209" s="10" t="s">
        <v>212</v>
      </c>
      <c r="I209" s="11" t="s">
        <v>77</v>
      </c>
      <c r="J209" s="11" t="s">
        <v>78</v>
      </c>
      <c r="K209" s="11" t="s">
        <v>79</v>
      </c>
      <c r="L209" s="11" t="s">
        <v>19</v>
      </c>
      <c r="M209" s="18" t="str">
        <f>IF(ISBLANK($L209),"",_xlfn.XLOOKUP($L209,'CENTRO CUSTO'!$A:$A,'CENTRO CUSTO'!D:D,FALSE,0))</f>
        <v>Alexandre Ayabe</v>
      </c>
      <c r="N209" s="11" t="s">
        <v>91</v>
      </c>
      <c r="O209" s="12"/>
      <c r="P209" s="11" t="s">
        <v>81</v>
      </c>
      <c r="Q209" s="41">
        <v>3000</v>
      </c>
      <c r="R209" s="41">
        <v>3000</v>
      </c>
      <c r="S209" s="41">
        <v>3000</v>
      </c>
      <c r="T209" s="41">
        <v>3000</v>
      </c>
      <c r="U209" s="41">
        <v>3000</v>
      </c>
      <c r="V209" s="41">
        <v>3000</v>
      </c>
      <c r="W209" s="41">
        <v>3000</v>
      </c>
      <c r="X209" s="41">
        <v>3000</v>
      </c>
      <c r="Y209" s="41">
        <v>3000</v>
      </c>
      <c r="Z209" s="41">
        <v>3000</v>
      </c>
      <c r="AA209" s="41">
        <v>3000</v>
      </c>
      <c r="AB209" s="41">
        <v>3000</v>
      </c>
      <c r="AC209" s="116">
        <f t="shared" si="99"/>
        <v>36000</v>
      </c>
      <c r="AE209" s="39">
        <f>IF(ISBLANK(Q209),"",IF($P209="BRL",Q209,Q209*Macroindicadores!B$2)/1000)</f>
        <v>3</v>
      </c>
      <c r="AF209" s="39">
        <f>IF(ISBLANK(R209),"",IF($P209="BRL",R209,R209*Macroindicadores!C$2)/1000)</f>
        <v>3</v>
      </c>
      <c r="AG209" s="39">
        <f>IF(ISBLANK(S209),"",IF($P209="BRL",S209,S209*Macroindicadores!D$2)/1000)</f>
        <v>3</v>
      </c>
      <c r="AH209" s="39">
        <f>IF(ISBLANK(T209),"",IF($P209="BRL",T209,T209*Macroindicadores!E$2)/1000)</f>
        <v>3</v>
      </c>
      <c r="AI209" s="39">
        <f>IF(ISBLANK(U209),"",IF($P209="BRL",U209,U209*Macroindicadores!F$2)/1000)</f>
        <v>3</v>
      </c>
      <c r="AJ209" s="39">
        <f>IF(ISBLANK(V209),"",IF($P209="BRL",V209,V209*Macroindicadores!G$2)/1000)</f>
        <v>3</v>
      </c>
      <c r="AK209" s="39">
        <f>IF(ISBLANK(W209),"",IF($P209="BRL",W209,W209*Macroindicadores!H$2)/1000)</f>
        <v>3</v>
      </c>
      <c r="AL209" s="39">
        <f>IF(ISBLANK(X209),"",IF($P209="BRL",X209,X209*Macroindicadores!I$2)/1000)</f>
        <v>3</v>
      </c>
      <c r="AM209" s="39">
        <f>IF(ISBLANK(Y209),"",IF($P209="BRL",Y209,Y209*Macroindicadores!J$2)/1000)</f>
        <v>3</v>
      </c>
      <c r="AN209" s="39">
        <f>IF(ISBLANK(Z209),"",IF($P209="BRL",Z209,Z209*Macroindicadores!K$2)/1000)</f>
        <v>3</v>
      </c>
      <c r="AO209" s="39">
        <f>IF(ISBLANK(AA209),"",IF($P209="BRL",AA209,AA209*Macroindicadores!L$2)/1000)</f>
        <v>3</v>
      </c>
      <c r="AP209" s="39">
        <f>IF(ISBLANK(AB209),"",IF($P209="BRL",AB209,AB209*Macroindicadores!M$2)/1000)</f>
        <v>3</v>
      </c>
      <c r="AQ209" s="40">
        <f t="shared" si="100"/>
        <v>36</v>
      </c>
      <c r="AS209" s="39">
        <f>IF(ISBLANK(Q209),"",IF(ISBLANK($O209),AE209,IF($J209="ANUAL",AE209*(1+Macroindicadores!B$7),IF(AND($I209="NOVO",MONTH($O209)=MONTH(AS$4)),AE209*(1+Macroindicadores!B$7),IF(AND($J209="PONTUAL",MONTH($O209)=MONTH(AS$4)),AE209*(1+Macroindicadores!B$7),IF(AND($J209="PONTUAL",MONTH($O209)&lt;MONTH(AS$4)),MIN(AR209:$AS209),IF(AND($I209="NOVO",MONTH($O209)&gt;MONTH(AS$4)),AE209,IF(MONTH($O209)&gt;MONTH(AS$4),AE209,IF(MONTH($O209)=MONTH(AS$4),AE209*(1+Macroindicadores!B$7),AR209)))))))))</f>
        <v>3</v>
      </c>
      <c r="AT209" s="39">
        <f>IF(ISBLANK(R209),"",IF(ISBLANK($O209),AF209,IF($J209="ANUAL",AF209*(1+Macroindicadores!C$7),IF(AND($I209="NOVO",MONTH($O209)=MONTH(AT$4)),AF209*(1+Macroindicadores!C$7),IF(AND($J209="PONTUAL",MONTH($O209)=MONTH(AT$4)),AF209*(1+Macroindicadores!C$7),IF(AND($J209="PONTUAL",MONTH($O209)&lt;MONTH(AT$4)),MIN($AS209:AS209),IF(AND($I209="NOVO",MONTH($O209)&gt;MONTH(AT$4)),AF209,IF(MONTH($O209)&gt;MONTH(AT$4),AF209,IF(MONTH($O209)=MONTH(AT$4),AF209*(1+Macroindicadores!C$7),AS209)))))))))</f>
        <v>3</v>
      </c>
      <c r="AU209" s="39">
        <f>IF(ISBLANK(S209),"",IF(ISBLANK($O209),AG209,IF($J209="ANUAL",AG209*(1+Macroindicadores!D$7),IF(AND($I209="NOVO",MONTH($O209)=MONTH(AU$4)),AG209*(1+Macroindicadores!D$7),IF(AND($J209="PONTUAL",MONTH($O209)=MONTH(AU$4)),AG209*(1+Macroindicadores!D$7),IF(AND($J209="PONTUAL",MONTH($O209)&lt;MONTH(AU$4)),MIN($AS209:AT209),IF(AND($I209="NOVO",MONTH($O209)&gt;MONTH(AU$4)),AG209,IF(MONTH($O209)&gt;MONTH(AU$4),AG209,IF(MONTH($O209)=MONTH(AU$4),AG209*(1+Macroindicadores!D$7),AT209)))))))))</f>
        <v>3</v>
      </c>
      <c r="AV209" s="39">
        <f>IF(ISBLANK(T209),"",IF(ISBLANK($O209),AH209,IF($J209="ANUAL",AH209*(1+Macroindicadores!E$7),IF(AND($I209="NOVO",MONTH($O209)=MONTH(AV$4)),AH209*(1+Macroindicadores!E$7),IF(AND($J209="PONTUAL",MONTH($O209)=MONTH(AV$4)),AH209*(1+Macroindicadores!E$7),IF(AND($J209="PONTUAL",MONTH($O209)&lt;MONTH(AV$4)),MIN($AS209:AU209),IF(AND($I209="NOVO",MONTH($O209)&gt;MONTH(AV$4)),AH209,IF(MONTH($O209)&gt;MONTH(AV$4),AH209,IF(MONTH($O209)=MONTH(AV$4),AH209*(1+Macroindicadores!E$7),AU209)))))))))</f>
        <v>3</v>
      </c>
      <c r="AW209" s="39">
        <f>IF(ISBLANK(U209),"",IF(ISBLANK($O209),AI209,IF($J209="ANUAL",AI209*(1+Macroindicadores!F$7),IF(AND($I209="NOVO",MONTH($O209)=MONTH(AW$4)),AI209*(1+Macroindicadores!F$7),IF(AND($J209="PONTUAL",MONTH($O209)=MONTH(AW$4)),AI209*(1+Macroindicadores!F$7),IF(AND($J209="PONTUAL",MONTH($O209)&lt;MONTH(AW$4)),MIN($AS209:AV209),IF(AND($I209="NOVO",MONTH($O209)&gt;MONTH(AW$4)),AI209,IF(MONTH($O209)&gt;MONTH(AW$4),AI209,IF(MONTH($O209)=MONTH(AW$4),AI209*(1+Macroindicadores!F$7),AV209)))))))))</f>
        <v>3</v>
      </c>
      <c r="AX209" s="39">
        <f>IF(ISBLANK(V209),"",IF(ISBLANK($O209),AJ209,IF($J209="ANUAL",AJ209*(1+Macroindicadores!G$7),IF(AND($I209="NOVO",MONTH($O209)=MONTH(AX$4)),AJ209*(1+Macroindicadores!G$7),IF(AND($J209="PONTUAL",MONTH($O209)=MONTH(AX$4)),AJ209*(1+Macroindicadores!G$7),IF(AND($J209="PONTUAL",MONTH($O209)&lt;MONTH(AX$4)),MIN($AS209:AW209),IF(AND($I209="NOVO",MONTH($O209)&gt;MONTH(AX$4)),AJ209,IF(MONTH($O209)&gt;MONTH(AX$4),AJ209,IF(MONTH($O209)=MONTH(AX$4),AJ209*(1+Macroindicadores!G$7),AW209)))))))))</f>
        <v>3</v>
      </c>
      <c r="AY209" s="39">
        <f>IF(ISBLANK(W209),"",IF(ISBLANK($O209),AK209,IF($J209="ANUAL",AK209*(1+Macroindicadores!H$7),IF(AND($I209="NOVO",MONTH($O209)=MONTH(AY$4)),AK209*(1+Macroindicadores!H$7),IF(AND($J209="PONTUAL",MONTH($O209)=MONTH(AY$4)),AK209*(1+Macroindicadores!H$7),IF(AND($J209="PONTUAL",MONTH($O209)&lt;MONTH(AY$4)),MIN($AS209:AX209),IF(AND($I209="NOVO",MONTH($O209)&gt;MONTH(AY$4)),AK209,IF(MONTH($O209)&gt;MONTH(AY$4),AK209,IF(MONTH($O209)=MONTH(AY$4),AK209*(1+Macroindicadores!H$7),AX209)))))))))</f>
        <v>3</v>
      </c>
      <c r="AZ209" s="39">
        <f>IF(ISBLANK(X209),"",IF(ISBLANK($O209),AL209,IF($J209="ANUAL",AL209*(1+Macroindicadores!I$7),IF(AND($I209="NOVO",MONTH($O209)=MONTH(AZ$4)),AL209*(1+Macroindicadores!I$7),IF(AND($J209="PONTUAL",MONTH($O209)=MONTH(AZ$4)),AL209*(1+Macroindicadores!I$7),IF(AND($J209="PONTUAL",MONTH($O209)&lt;MONTH(AZ$4)),MIN($AS209:AY209),IF(AND($I209="NOVO",MONTH($O209)&gt;MONTH(AZ$4)),AL209,IF(MONTH($O209)&gt;MONTH(AZ$4),AL209,IF(MONTH($O209)=MONTH(AZ$4),AL209*(1+Macroindicadores!I$7),AY209)))))))))</f>
        <v>3</v>
      </c>
      <c r="BA209" s="39">
        <f>IF(ISBLANK(Y209),"",IF(ISBLANK($O209),AM209,IF($J209="ANUAL",AM209*(1+Macroindicadores!J$7),IF(AND($I209="NOVO",MONTH($O209)=MONTH(BA$4)),AM209*(1+Macroindicadores!J$7),IF(AND($J209="PONTUAL",MONTH($O209)=MONTH(BA$4)),AM209*(1+Macroindicadores!J$7),IF(AND($J209="PONTUAL",MONTH($O209)&lt;MONTH(BA$4)),MIN($AS209:AZ209),IF(AND($I209="NOVO",MONTH($O209)&gt;MONTH(BA$4)),AM209,IF(MONTH($O209)&gt;MONTH(BA$4),AM209,IF(MONTH($O209)=MONTH(BA$4),AM209*(1+Macroindicadores!J$7),AZ209)))))))))</f>
        <v>3</v>
      </c>
      <c r="BB209" s="39">
        <f>IF(ISBLANK(Z209),"",IF(ISBLANK($O209),AN209,IF($J209="ANUAL",AN209*(1+Macroindicadores!K$7),IF(AND($I209="NOVO",MONTH($O209)=MONTH(BB$4)),AN209*(1+Macroindicadores!K$7),IF(AND($J209="PONTUAL",MONTH($O209)=MONTH(BB$4)),AN209*(1+Macroindicadores!K$7),IF(AND($J209="PONTUAL",MONTH($O209)&lt;MONTH(BB$4)),MIN($AS209:BA209),IF(AND($I209="NOVO",MONTH($O209)&gt;MONTH(BB$4)),AN209,IF(MONTH($O209)&gt;MONTH(BB$4),AN209,IF(MONTH($O209)=MONTH(BB$4),AN209*(1+Macroindicadores!K$7),BA209)))))))))</f>
        <v>3</v>
      </c>
      <c r="BC209" s="39">
        <f>IF(ISBLANK(AA209),"",IF(ISBLANK($O209),AO209,IF($J209="ANUAL",AO209*(1+Macroindicadores!L$7),IF(AND($I209="NOVO",MONTH($O209)=MONTH(BC$4)),AO209*(1+Macroindicadores!L$7),IF(AND($J209="PONTUAL",MONTH($O209)=MONTH(BC$4)),AO209*(1+Macroindicadores!L$7),IF(AND($J209="PONTUAL",MONTH($O209)&lt;MONTH(BC$4)),MIN($AS209:BB209),IF(AND($I209="NOVO",MONTH($O209)&gt;MONTH(BC$4)),AO209,IF(MONTH($O209)&gt;MONTH(BC$4),AO209,IF(MONTH($O209)=MONTH(BC$4),AO209*(1+Macroindicadores!L$7),BB209)))))))))</f>
        <v>3</v>
      </c>
      <c r="BD209" s="39">
        <f>IF(ISBLANK(AB209),"",IF(ISBLANK($O209),AP209,IF($J209="ANUAL",AP209*(1+Macroindicadores!M$7),IF(AND($I209="NOVO",MONTH($O209)=MONTH(BD$4)),AP209*(1+Macroindicadores!M$7),IF(AND($J209="PONTUAL",MONTH($O209)=MONTH(BD$4)),AP209*(1+Macroindicadores!M$7),IF(AND($J209="PONTUAL",MONTH($O209)&lt;MONTH(BD$4)),MIN($AS209:BC209),IF(AND($I209="NOVO",MONTH($O209)&gt;MONTH(BD$4)),AP209,IF(MONTH($O209)&gt;MONTH(BD$4),AP209,IF(MONTH($O209)=MONTH(BD$4),AP209*(1+Macroindicadores!M$7),BC209)))))))))</f>
        <v>3</v>
      </c>
      <c r="BE209" s="40">
        <f t="shared" si="101"/>
        <v>36</v>
      </c>
      <c r="BG209" s="39">
        <f>IF(ISBLANK(Q209),"",AS209/Macroindicadores!B$2)</f>
        <v>0.51020408163265307</v>
      </c>
      <c r="BH209" s="39">
        <f>IF(ISBLANK(R209),"",AT209/Macroindicadores!C$2)</f>
        <v>0.51020408163265307</v>
      </c>
      <c r="BI209" s="39">
        <f>IF(ISBLANK(S209),"",AU209/Macroindicadores!D$2)</f>
        <v>0.51020408163265307</v>
      </c>
      <c r="BJ209" s="39">
        <f>IF(ISBLANK(T209),"",AV209/Macroindicadores!E$2)</f>
        <v>0.51020408163265307</v>
      </c>
      <c r="BK209" s="39">
        <f>IF(ISBLANK(U209),"",AW209/Macroindicadores!F$2)</f>
        <v>0.51020408163265307</v>
      </c>
      <c r="BL209" s="39">
        <f>IF(ISBLANK(V209),"",AX209/Macroindicadores!G$2)</f>
        <v>0.51020408163265307</v>
      </c>
      <c r="BM209" s="39">
        <f>IF(ISBLANK(W209),"",AY209/Macroindicadores!H$2)</f>
        <v>0.51020408163265307</v>
      </c>
      <c r="BN209" s="39">
        <f>IF(ISBLANK(X209),"",AZ209/Macroindicadores!I$2)</f>
        <v>0.51020408163265307</v>
      </c>
      <c r="BO209" s="39">
        <f>IF(ISBLANK(Y209),"",BA209/Macroindicadores!J$2)</f>
        <v>0.51020408163265307</v>
      </c>
      <c r="BP209" s="39">
        <f>IF(ISBLANK(Z209),"",BB209/Macroindicadores!K$2)</f>
        <v>0.51020408163265307</v>
      </c>
      <c r="BQ209" s="39">
        <f>IF(ISBLANK(AA209),"",BC209/Macroindicadores!L$2)</f>
        <v>0.51020408163265307</v>
      </c>
      <c r="BR209" s="39">
        <f>IF(ISBLANK(AB209),"",BD209/Macroindicadores!M$2)</f>
        <v>0.51020408163265307</v>
      </c>
      <c r="BS209" s="40">
        <f>IF(AND(ISBLANK($Q209),ISBLANK($R209),ISBLANK($S209),ISBLANK($T209),ISBLANK($U209),ISBLANK($V209),ISBLANK($W209),ISBLANK($X209),ISBLANK($Y209),ISBLANK($Z209),ISBLANK($AA209),ISBLANK($AB209)),"",SUM(BG209:BR209))</f>
        <v>6.1224489795918382</v>
      </c>
      <c r="BT209" s="25" t="str">
        <f>IF(ISBLANK($L209),"",_xlfn.XLOOKUP($L209,'CENTRO CUSTO'!$A:$A,'CENTRO CUSTO'!$E:$E,FALSE,0))</f>
        <v>Custo Fixo</v>
      </c>
    </row>
    <row r="210" spans="1:72">
      <c r="A210" s="9" t="str">
        <f t="shared" si="80"/>
        <v>Budget</v>
      </c>
      <c r="B210" s="9">
        <f t="shared" si="77"/>
        <v>2026</v>
      </c>
      <c r="C210" s="18" t="str">
        <f>IF(ISBLANK($L210),"",_xlfn.XLOOKUP($L210,'CENTRO CUSTO'!$A:$A,'CENTRO CUSTO'!F:F,FALSE,0))</f>
        <v>Cone Sul</v>
      </c>
      <c r="D210" s="111" t="str">
        <f>IF(ISBLANK($L210),"",_xlfn.XLOOKUP($L210,'CENTRO CUSTO'!$A:$A,'CENTRO CUSTO'!G:G,FALSE,0))</f>
        <v>Plataforma</v>
      </c>
      <c r="E210" s="18" t="str">
        <f>IF(ISBLANK($L210),"",_xlfn.XLOOKUP($L210,'CENTRO CUSTO'!$A:$A,'CENTRO CUSTO'!H:H,FALSE,0))</f>
        <v>G&amp;A</v>
      </c>
      <c r="F210" s="10" t="s">
        <v>213</v>
      </c>
      <c r="G210" s="10" t="s">
        <v>126</v>
      </c>
      <c r="H210" s="10" t="s">
        <v>214</v>
      </c>
      <c r="I210" s="11" t="s">
        <v>77</v>
      </c>
      <c r="J210" s="11" t="s">
        <v>120</v>
      </c>
      <c r="K210" s="11" t="s">
        <v>79</v>
      </c>
      <c r="L210" s="11" t="s">
        <v>54</v>
      </c>
      <c r="M210" s="18" t="str">
        <f>IF(ISBLANK($L210),"",_xlfn.XLOOKUP($L210,'CENTRO CUSTO'!$A:$A,'CENTRO CUSTO'!D:D,FALSE,0))</f>
        <v>Alexandre Ayabe</v>
      </c>
      <c r="N210" s="11" t="s">
        <v>91</v>
      </c>
      <c r="O210" s="12"/>
      <c r="P210" s="11" t="s">
        <v>88</v>
      </c>
      <c r="Q210" s="41">
        <f>3500/12</f>
        <v>291.66666666666669</v>
      </c>
      <c r="R210" s="41">
        <f t="shared" ref="R210:AB210" si="102">3500/12</f>
        <v>291.66666666666669</v>
      </c>
      <c r="S210" s="41">
        <f t="shared" si="102"/>
        <v>291.66666666666669</v>
      </c>
      <c r="T210" s="41">
        <f t="shared" si="102"/>
        <v>291.66666666666669</v>
      </c>
      <c r="U210" s="41">
        <f t="shared" si="102"/>
        <v>291.66666666666669</v>
      </c>
      <c r="V210" s="41">
        <f t="shared" si="102"/>
        <v>291.66666666666669</v>
      </c>
      <c r="W210" s="41">
        <f t="shared" si="102"/>
        <v>291.66666666666669</v>
      </c>
      <c r="X210" s="41">
        <f t="shared" si="102"/>
        <v>291.66666666666669</v>
      </c>
      <c r="Y210" s="41">
        <f t="shared" si="102"/>
        <v>291.66666666666669</v>
      </c>
      <c r="Z210" s="41">
        <f t="shared" si="102"/>
        <v>291.66666666666669</v>
      </c>
      <c r="AA210" s="41">
        <f t="shared" si="102"/>
        <v>291.66666666666669</v>
      </c>
      <c r="AB210" s="41">
        <f t="shared" si="102"/>
        <v>291.66666666666669</v>
      </c>
      <c r="AC210" s="116">
        <f t="shared" si="99"/>
        <v>3499.9999999999995</v>
      </c>
      <c r="AE210" s="39">
        <f>IF(ISBLANK(Q210),"",IF($P210="BRL",Q210,Q210*Macroindicadores!B$2)/1000)</f>
        <v>1.7150000000000001</v>
      </c>
      <c r="AF210" s="39">
        <f>IF(ISBLANK(R210),"",IF($P210="BRL",R210,R210*Macroindicadores!C$2)/1000)</f>
        <v>1.7150000000000001</v>
      </c>
      <c r="AG210" s="39">
        <f>IF(ISBLANK(S210),"",IF($P210="BRL",S210,S210*Macroindicadores!D$2)/1000)</f>
        <v>1.7150000000000001</v>
      </c>
      <c r="AH210" s="39">
        <f>IF(ISBLANK(T210),"",IF($P210="BRL",T210,T210*Macroindicadores!E$2)/1000)</f>
        <v>1.7150000000000001</v>
      </c>
      <c r="AI210" s="39">
        <f>IF(ISBLANK(U210),"",IF($P210="BRL",U210,U210*Macroindicadores!F$2)/1000)</f>
        <v>1.7150000000000001</v>
      </c>
      <c r="AJ210" s="39">
        <f>IF(ISBLANK(V210),"",IF($P210="BRL",V210,V210*Macroindicadores!G$2)/1000)</f>
        <v>1.7150000000000001</v>
      </c>
      <c r="AK210" s="39">
        <f>IF(ISBLANK(W210),"",IF($P210="BRL",W210,W210*Macroindicadores!H$2)/1000)</f>
        <v>1.7150000000000001</v>
      </c>
      <c r="AL210" s="39">
        <f>IF(ISBLANK(X210),"",IF($P210="BRL",X210,X210*Macroindicadores!I$2)/1000)</f>
        <v>1.7150000000000001</v>
      </c>
      <c r="AM210" s="39">
        <f>IF(ISBLANK(Y210),"",IF($P210="BRL",Y210,Y210*Macroindicadores!J$2)/1000)</f>
        <v>1.7150000000000001</v>
      </c>
      <c r="AN210" s="39">
        <f>IF(ISBLANK(Z210),"",IF($P210="BRL",Z210,Z210*Macroindicadores!K$2)/1000)</f>
        <v>1.7150000000000001</v>
      </c>
      <c r="AO210" s="39">
        <f>IF(ISBLANK(AA210),"",IF($P210="BRL",AA210,AA210*Macroindicadores!L$2)/1000)</f>
        <v>1.7150000000000001</v>
      </c>
      <c r="AP210" s="39">
        <f>IF(ISBLANK(AB210),"",IF($P210="BRL",AB210,AB210*Macroindicadores!M$2)/1000)</f>
        <v>1.7150000000000001</v>
      </c>
      <c r="AQ210" s="40">
        <f t="shared" si="100"/>
        <v>20.580000000000002</v>
      </c>
      <c r="AS210" s="39">
        <f>IF(ISBLANK(Q210),"",IF(ISBLANK($O210),AE210,IF($J210="ANUAL",AE210*(1+Macroindicadores!B$7),IF(AND($I210="NOVO",MONTH($O210)=MONTH(AS$4)),AE210*(1+Macroindicadores!B$7),IF(AND($J210="PONTUAL",MONTH($O210)=MONTH(AS$4)),AE210*(1+Macroindicadores!B$7),IF(AND($J210="PONTUAL",MONTH($O210)&lt;MONTH(AS$4)),MIN(AR210:$AS210),IF(AND($I210="NOVO",MONTH($O210)&gt;MONTH(AS$4)),AE210,IF(MONTH($O210)&gt;MONTH(AS$4),AE210,IF(MONTH($O210)=MONTH(AS$4),AE210*(1+Macroindicadores!B$7),AR210)))))))))</f>
        <v>1.7150000000000001</v>
      </c>
      <c r="AT210" s="39">
        <f>IF(ISBLANK(R210),"",IF(ISBLANK($O210),AF210,IF($J210="ANUAL",AF210*(1+Macroindicadores!C$7),IF(AND($I210="NOVO",MONTH($O210)=MONTH(AT$4)),AF210*(1+Macroindicadores!C$7),IF(AND($J210="PONTUAL",MONTH($O210)=MONTH(AT$4)),AF210*(1+Macroindicadores!C$7),IF(AND($J210="PONTUAL",MONTH($O210)&lt;MONTH(AT$4)),MIN($AS210:AS210),IF(AND($I210="NOVO",MONTH($O210)&gt;MONTH(AT$4)),AF210,IF(MONTH($O210)&gt;MONTH(AT$4),AF210,IF(MONTH($O210)=MONTH(AT$4),AF210*(1+Macroindicadores!C$7),AS210)))))))))</f>
        <v>1.7150000000000001</v>
      </c>
      <c r="AU210" s="39">
        <f>IF(ISBLANK(S210),"",IF(ISBLANK($O210),AG210,IF($J210="ANUAL",AG210*(1+Macroindicadores!D$7),IF(AND($I210="NOVO",MONTH($O210)=MONTH(AU$4)),AG210*(1+Macroindicadores!D$7),IF(AND($J210="PONTUAL",MONTH($O210)=MONTH(AU$4)),AG210*(1+Macroindicadores!D$7),IF(AND($J210="PONTUAL",MONTH($O210)&lt;MONTH(AU$4)),MIN($AS210:AT210),IF(AND($I210="NOVO",MONTH($O210)&gt;MONTH(AU$4)),AG210,IF(MONTH($O210)&gt;MONTH(AU$4),AG210,IF(MONTH($O210)=MONTH(AU$4),AG210*(1+Macroindicadores!D$7),AT210)))))))))</f>
        <v>1.7150000000000001</v>
      </c>
      <c r="AV210" s="39">
        <f>IF(ISBLANK(T210),"",IF(ISBLANK($O210),AH210,IF($J210="ANUAL",AH210*(1+Macroindicadores!E$7),IF(AND($I210="NOVO",MONTH($O210)=MONTH(AV$4)),AH210*(1+Macroindicadores!E$7),IF(AND($J210="PONTUAL",MONTH($O210)=MONTH(AV$4)),AH210*(1+Macroindicadores!E$7),IF(AND($J210="PONTUAL",MONTH($O210)&lt;MONTH(AV$4)),MIN($AS210:AU210),IF(AND($I210="NOVO",MONTH($O210)&gt;MONTH(AV$4)),AH210,IF(MONTH($O210)&gt;MONTH(AV$4),AH210,IF(MONTH($O210)=MONTH(AV$4),AH210*(1+Macroindicadores!E$7),AU210)))))))))</f>
        <v>1.7150000000000001</v>
      </c>
      <c r="AW210" s="39">
        <f>IF(ISBLANK(U210),"",IF(ISBLANK($O210),AI210,IF($J210="ANUAL",AI210*(1+Macroindicadores!F$7),IF(AND($I210="NOVO",MONTH($O210)=MONTH(AW$4)),AI210*(1+Macroindicadores!F$7),IF(AND($J210="PONTUAL",MONTH($O210)=MONTH(AW$4)),AI210*(1+Macroindicadores!F$7),IF(AND($J210="PONTUAL",MONTH($O210)&lt;MONTH(AW$4)),MIN($AS210:AV210),IF(AND($I210="NOVO",MONTH($O210)&gt;MONTH(AW$4)),AI210,IF(MONTH($O210)&gt;MONTH(AW$4),AI210,IF(MONTH($O210)=MONTH(AW$4),AI210*(1+Macroindicadores!F$7),AV210)))))))))</f>
        <v>1.7150000000000001</v>
      </c>
      <c r="AX210" s="39">
        <f>IF(ISBLANK(V210),"",IF(ISBLANK($O210),AJ210,IF($J210="ANUAL",AJ210*(1+Macroindicadores!G$7),IF(AND($I210="NOVO",MONTH($O210)=MONTH(AX$4)),AJ210*(1+Macroindicadores!G$7),IF(AND($J210="PONTUAL",MONTH($O210)=MONTH(AX$4)),AJ210*(1+Macroindicadores!G$7),IF(AND($J210="PONTUAL",MONTH($O210)&lt;MONTH(AX$4)),MIN($AS210:AW210),IF(AND($I210="NOVO",MONTH($O210)&gt;MONTH(AX$4)),AJ210,IF(MONTH($O210)&gt;MONTH(AX$4),AJ210,IF(MONTH($O210)=MONTH(AX$4),AJ210*(1+Macroindicadores!G$7),AW210)))))))))</f>
        <v>1.7150000000000001</v>
      </c>
      <c r="AY210" s="39">
        <f>IF(ISBLANK(W210),"",IF(ISBLANK($O210),AK210,IF($J210="ANUAL",AK210*(1+Macroindicadores!H$7),IF(AND($I210="NOVO",MONTH($O210)=MONTH(AY$4)),AK210*(1+Macroindicadores!H$7),IF(AND($J210="PONTUAL",MONTH($O210)=MONTH(AY$4)),AK210*(1+Macroindicadores!H$7),IF(AND($J210="PONTUAL",MONTH($O210)&lt;MONTH(AY$4)),MIN($AS210:AX210),IF(AND($I210="NOVO",MONTH($O210)&gt;MONTH(AY$4)),AK210,IF(MONTH($O210)&gt;MONTH(AY$4),AK210,IF(MONTH($O210)=MONTH(AY$4),AK210*(1+Macroindicadores!H$7),AX210)))))))))</f>
        <v>1.7150000000000001</v>
      </c>
      <c r="AZ210" s="39">
        <f>IF(ISBLANK(X210),"",IF(ISBLANK($O210),AL210,IF($J210="ANUAL",AL210*(1+Macroindicadores!I$7),IF(AND($I210="NOVO",MONTH($O210)=MONTH(AZ$4)),AL210*(1+Macroindicadores!I$7),IF(AND($J210="PONTUAL",MONTH($O210)=MONTH(AZ$4)),AL210*(1+Macroindicadores!I$7),IF(AND($J210="PONTUAL",MONTH($O210)&lt;MONTH(AZ$4)),MIN($AS210:AY210),IF(AND($I210="NOVO",MONTH($O210)&gt;MONTH(AZ$4)),AL210,IF(MONTH($O210)&gt;MONTH(AZ$4),AL210,IF(MONTH($O210)=MONTH(AZ$4),AL210*(1+Macroindicadores!I$7),AY210)))))))))</f>
        <v>1.7150000000000001</v>
      </c>
      <c r="BA210" s="39">
        <f>IF(ISBLANK(Y210),"",IF(ISBLANK($O210),AM210,IF($J210="ANUAL",AM210*(1+Macroindicadores!J$7),IF(AND($I210="NOVO",MONTH($O210)=MONTH(BA$4)),AM210*(1+Macroindicadores!J$7),IF(AND($J210="PONTUAL",MONTH($O210)=MONTH(BA$4)),AM210*(1+Macroindicadores!J$7),IF(AND($J210="PONTUAL",MONTH($O210)&lt;MONTH(BA$4)),MIN($AS210:AZ210),IF(AND($I210="NOVO",MONTH($O210)&gt;MONTH(BA$4)),AM210,IF(MONTH($O210)&gt;MONTH(BA$4),AM210,IF(MONTH($O210)=MONTH(BA$4),AM210*(1+Macroindicadores!J$7),AZ210)))))))))</f>
        <v>1.7150000000000001</v>
      </c>
      <c r="BB210" s="39">
        <f>IF(ISBLANK(Z210),"",IF(ISBLANK($O210),AN210,IF($J210="ANUAL",AN210*(1+Macroindicadores!K$7),IF(AND($I210="NOVO",MONTH($O210)=MONTH(BB$4)),AN210*(1+Macroindicadores!K$7),IF(AND($J210="PONTUAL",MONTH($O210)=MONTH(BB$4)),AN210*(1+Macroindicadores!K$7),IF(AND($J210="PONTUAL",MONTH($O210)&lt;MONTH(BB$4)),MIN($AS210:BA210),IF(AND($I210="NOVO",MONTH($O210)&gt;MONTH(BB$4)),AN210,IF(MONTH($O210)&gt;MONTH(BB$4),AN210,IF(MONTH($O210)=MONTH(BB$4),AN210*(1+Macroindicadores!K$7),BA210)))))))))</f>
        <v>1.7150000000000001</v>
      </c>
      <c r="BC210" s="39">
        <f>IF(ISBLANK(AA210),"",IF(ISBLANK($O210),AO210,IF($J210="ANUAL",AO210*(1+Macroindicadores!L$7),IF(AND($I210="NOVO",MONTH($O210)=MONTH(BC$4)),AO210*(1+Macroindicadores!L$7),IF(AND($J210="PONTUAL",MONTH($O210)=MONTH(BC$4)),AO210*(1+Macroindicadores!L$7),IF(AND($J210="PONTUAL",MONTH($O210)&lt;MONTH(BC$4)),MIN($AS210:BB210),IF(AND($I210="NOVO",MONTH($O210)&gt;MONTH(BC$4)),AO210,IF(MONTH($O210)&gt;MONTH(BC$4),AO210,IF(MONTH($O210)=MONTH(BC$4),AO210*(1+Macroindicadores!L$7),BB210)))))))))</f>
        <v>1.7150000000000001</v>
      </c>
      <c r="BD210" s="39">
        <f>IF(ISBLANK(AB210),"",IF(ISBLANK($O210),AP210,IF($J210="ANUAL",AP210*(1+Macroindicadores!M$7),IF(AND($I210="NOVO",MONTH($O210)=MONTH(BD$4)),AP210*(1+Macroindicadores!M$7),IF(AND($J210="PONTUAL",MONTH($O210)=MONTH(BD$4)),AP210*(1+Macroindicadores!M$7),IF(AND($J210="PONTUAL",MONTH($O210)&lt;MONTH(BD$4)),MIN($AS210:BC210),IF(AND($I210="NOVO",MONTH($O210)&gt;MONTH(BD$4)),AP210,IF(MONTH($O210)&gt;MONTH(BD$4),AP210,IF(MONTH($O210)=MONTH(BD$4),AP210*(1+Macroindicadores!M$7),BC210)))))))))</f>
        <v>1.7150000000000001</v>
      </c>
      <c r="BE210" s="40">
        <f t="shared" si="101"/>
        <v>20.580000000000002</v>
      </c>
      <c r="BG210" s="39">
        <f>IF(ISBLANK(Q210),"",AS210/Macroindicadores!B$2)</f>
        <v>0.29166666666666669</v>
      </c>
      <c r="BH210" s="39">
        <f>IF(ISBLANK(R210),"",AT210/Macroindicadores!C$2)</f>
        <v>0.29166666666666669</v>
      </c>
      <c r="BI210" s="39">
        <f>IF(ISBLANK(S210),"",AU210/Macroindicadores!D$2)</f>
        <v>0.29166666666666669</v>
      </c>
      <c r="BJ210" s="39">
        <f>IF(ISBLANK(T210),"",AV210/Macroindicadores!E$2)</f>
        <v>0.29166666666666669</v>
      </c>
      <c r="BK210" s="39">
        <f>IF(ISBLANK(U210),"",AW210/Macroindicadores!F$2)</f>
        <v>0.29166666666666669</v>
      </c>
      <c r="BL210" s="39">
        <f>IF(ISBLANK(V210),"",AX210/Macroindicadores!G$2)</f>
        <v>0.29166666666666669</v>
      </c>
      <c r="BM210" s="39">
        <f>IF(ISBLANK(W210),"",AY210/Macroindicadores!H$2)</f>
        <v>0.29166666666666669</v>
      </c>
      <c r="BN210" s="39">
        <f>IF(ISBLANK(X210),"",AZ210/Macroindicadores!I$2)</f>
        <v>0.29166666666666669</v>
      </c>
      <c r="BO210" s="39">
        <f>IF(ISBLANK(Y210),"",BA210/Macroindicadores!J$2)</f>
        <v>0.29166666666666669</v>
      </c>
      <c r="BP210" s="39">
        <f>IF(ISBLANK(Z210),"",BB210/Macroindicadores!K$2)</f>
        <v>0.29166666666666669</v>
      </c>
      <c r="BQ210" s="39">
        <f>IF(ISBLANK(AA210),"",BC210/Macroindicadores!L$2)</f>
        <v>0.29166666666666669</v>
      </c>
      <c r="BR210" s="39">
        <f>IF(ISBLANK(AB210),"",BD210/Macroindicadores!M$2)</f>
        <v>0.29166666666666669</v>
      </c>
      <c r="BS210" s="40">
        <f>IF(AND(ISBLANK($Q210),ISBLANK($R210),ISBLANK($S210),ISBLANK($T210),ISBLANK($U210),ISBLANK($V210),ISBLANK($W210),ISBLANK($X210),ISBLANK($Y210),ISBLANK($Z210),ISBLANK($AA210),ISBLANK($AB210)),"",SUM(BG210:BR210))</f>
        <v>3.4999999999999996</v>
      </c>
      <c r="BT210" s="25" t="str">
        <f>IF(ISBLANK($L210),"",_xlfn.XLOOKUP($L210,'CENTRO CUSTO'!$A:$A,'CENTRO CUSTO'!$E:$E,FALSE,0))</f>
        <v>G&amp;A PL</v>
      </c>
    </row>
    <row r="211" spans="1:72">
      <c r="A211" s="9" t="str">
        <f t="shared" si="80"/>
        <v>Budget</v>
      </c>
      <c r="B211" s="9">
        <f t="shared" si="77"/>
        <v>2026</v>
      </c>
      <c r="C211" s="18" t="str">
        <f>IF(ISBLANK($L211),"",_xlfn.XLOOKUP($L211,'CENTRO CUSTO'!$A:$A,'CENTRO CUSTO'!F:F,FALSE,0))</f>
        <v>Martini Meat</v>
      </c>
      <c r="D211" s="111" t="str">
        <f>IF(ISBLANK($L211),"",_xlfn.XLOOKUP($L211,'CENTRO CUSTO'!$A:$A,'CENTRO CUSTO'!G:G,FALSE,0))</f>
        <v>BU-MMAZ</v>
      </c>
      <c r="E211" s="18" t="str">
        <f>IF(ISBLANK($L211),"",_xlfn.XLOOKUP($L211,'CENTRO CUSTO'!$A:$A,'CENTRO CUSTO'!H:H,FALSE,0))</f>
        <v>G&amp;A</v>
      </c>
      <c r="F211" s="10" t="s">
        <v>215</v>
      </c>
      <c r="G211" s="10" t="s">
        <v>75</v>
      </c>
      <c r="H211" s="10" t="s">
        <v>216</v>
      </c>
      <c r="I211" s="11" t="s">
        <v>84</v>
      </c>
      <c r="J211" s="11" t="s">
        <v>78</v>
      </c>
      <c r="K211" s="11" t="s">
        <v>86</v>
      </c>
      <c r="L211" s="11" t="s">
        <v>35</v>
      </c>
      <c r="M211" s="18" t="str">
        <f>IF(ISBLANK($L211),"",_xlfn.XLOOKUP($L211,'CENTRO CUSTO'!$A:$A,'CENTRO CUSTO'!D:D,FALSE,0))</f>
        <v>Alexandre Ayabe</v>
      </c>
      <c r="N211" s="11" t="s">
        <v>87</v>
      </c>
      <c r="O211" s="12"/>
      <c r="P211" s="11" t="s">
        <v>81</v>
      </c>
      <c r="Q211" s="41">
        <f>24000*Rateio!$E$424/12</f>
        <v>1300</v>
      </c>
      <c r="R211" s="41">
        <f>24000*Rateio!$E$424/12</f>
        <v>1300</v>
      </c>
      <c r="S211" s="41">
        <f>24000*Rateio!$E$424/12</f>
        <v>1300</v>
      </c>
      <c r="T211" s="41">
        <f>24000*Rateio!$E$424/12</f>
        <v>1300</v>
      </c>
      <c r="U211" s="41">
        <f>24000*Rateio!$E$424/12</f>
        <v>1300</v>
      </c>
      <c r="V211" s="41">
        <f>24000*Rateio!$E$424/12</f>
        <v>1300</v>
      </c>
      <c r="W211" s="41">
        <f>24000*Rateio!$E$424/12</f>
        <v>1300</v>
      </c>
      <c r="X211" s="41">
        <f>24000*Rateio!$E$424/12</f>
        <v>1300</v>
      </c>
      <c r="Y211" s="41">
        <f>24000*Rateio!$E$424/12</f>
        <v>1300</v>
      </c>
      <c r="Z211" s="41">
        <f>24000*Rateio!$E$424/12</f>
        <v>1300</v>
      </c>
      <c r="AA211" s="41">
        <f>24000*Rateio!$E$424/12</f>
        <v>1300</v>
      </c>
      <c r="AB211" s="41">
        <f>24000*Rateio!$E$424/12</f>
        <v>1300</v>
      </c>
      <c r="AC211" s="116">
        <f t="shared" si="99"/>
        <v>15600</v>
      </c>
      <c r="AE211" s="39">
        <f>IF(ISBLANK(Q211),"",IF($P211="BRL",Q211,Q211*Macroindicadores!B$2)/1000)</f>
        <v>1.3</v>
      </c>
      <c r="AF211" s="39">
        <f>IF(ISBLANK(R211),"",IF($P211="BRL",R211,R211*Macroindicadores!C$2)/1000)</f>
        <v>1.3</v>
      </c>
      <c r="AG211" s="39">
        <f>IF(ISBLANK(S211),"",IF($P211="BRL",S211,S211*Macroindicadores!D$2)/1000)</f>
        <v>1.3</v>
      </c>
      <c r="AH211" s="39">
        <f>IF(ISBLANK(T211),"",IF($P211="BRL",T211,T211*Macroindicadores!E$2)/1000)</f>
        <v>1.3</v>
      </c>
      <c r="AI211" s="39">
        <f>IF(ISBLANK(U211),"",IF($P211="BRL",U211,U211*Macroindicadores!F$2)/1000)</f>
        <v>1.3</v>
      </c>
      <c r="AJ211" s="39">
        <f>IF(ISBLANK(V211),"",IF($P211="BRL",V211,V211*Macroindicadores!G$2)/1000)</f>
        <v>1.3</v>
      </c>
      <c r="AK211" s="39">
        <f>IF(ISBLANK(W211),"",IF($P211="BRL",W211,W211*Macroindicadores!H$2)/1000)</f>
        <v>1.3</v>
      </c>
      <c r="AL211" s="39">
        <f>IF(ISBLANK(X211),"",IF($P211="BRL",X211,X211*Macroindicadores!I$2)/1000)</f>
        <v>1.3</v>
      </c>
      <c r="AM211" s="39">
        <f>IF(ISBLANK(Y211),"",IF($P211="BRL",Y211,Y211*Macroindicadores!J$2)/1000)</f>
        <v>1.3</v>
      </c>
      <c r="AN211" s="39">
        <f>IF(ISBLANK(Z211),"",IF($P211="BRL",Z211,Z211*Macroindicadores!K$2)/1000)</f>
        <v>1.3</v>
      </c>
      <c r="AO211" s="39">
        <f>IF(ISBLANK(AA211),"",IF($P211="BRL",AA211,AA211*Macroindicadores!L$2)/1000)</f>
        <v>1.3</v>
      </c>
      <c r="AP211" s="39">
        <f>IF(ISBLANK(AB211),"",IF($P211="BRL",AB211,AB211*Macroindicadores!M$2)/1000)</f>
        <v>1.3</v>
      </c>
      <c r="AQ211" s="40">
        <f t="shared" si="100"/>
        <v>15.600000000000003</v>
      </c>
      <c r="AS211" s="39">
        <f>IF(ISBLANK(Q211),"",IF(ISBLANK($O211),AE211,IF($J211="ANUAL",AE211*(1+Macroindicadores!B$7),IF(AND($I211="NOVO",MONTH($O211)=MONTH(AS$4)),AE211*(1+Macroindicadores!B$7),IF(AND($J211="PONTUAL",MONTH($O211)=MONTH(AS$4)),AE211*(1+Macroindicadores!B$7),IF(AND($J211="PONTUAL",MONTH($O211)&lt;MONTH(AS$4)),MIN(AR211:$AS211),IF(AND($I211="NOVO",MONTH($O211)&gt;MONTH(AS$4)),AE211,IF(MONTH($O211)&gt;MONTH(AS$4),AE211,IF(MONTH($O211)=MONTH(AS$4),AE211*(1+Macroindicadores!B$7),AR211)))))))))</f>
        <v>1.3</v>
      </c>
      <c r="AT211" s="39">
        <f>IF(ISBLANK(R211),"",IF(ISBLANK($O211),AF211,IF($J211="ANUAL",AF211*(1+Macroindicadores!C$7),IF(AND($I211="NOVO",MONTH($O211)=MONTH(AT$4)),AF211*(1+Macroindicadores!C$7),IF(AND($J211="PONTUAL",MONTH($O211)=MONTH(AT$4)),AF211*(1+Macroindicadores!C$7),IF(AND($J211="PONTUAL",MONTH($O211)&lt;MONTH(AT$4)),MIN($AS211:AS211),IF(AND($I211="NOVO",MONTH($O211)&gt;MONTH(AT$4)),AF211,IF(MONTH($O211)&gt;MONTH(AT$4),AF211,IF(MONTH($O211)=MONTH(AT$4),AF211*(1+Macroindicadores!C$7),AS211)))))))))</f>
        <v>1.3</v>
      </c>
      <c r="AU211" s="39">
        <f>IF(ISBLANK(S211),"",IF(ISBLANK($O211),AG211,IF($J211="ANUAL",AG211*(1+Macroindicadores!D$7),IF(AND($I211="NOVO",MONTH($O211)=MONTH(AU$4)),AG211*(1+Macroindicadores!D$7),IF(AND($J211="PONTUAL",MONTH($O211)=MONTH(AU$4)),AG211*(1+Macroindicadores!D$7),IF(AND($J211="PONTUAL",MONTH($O211)&lt;MONTH(AU$4)),MIN($AS211:AT211),IF(AND($I211="NOVO",MONTH($O211)&gt;MONTH(AU$4)),AG211,IF(MONTH($O211)&gt;MONTH(AU$4),AG211,IF(MONTH($O211)=MONTH(AU$4),AG211*(1+Macroindicadores!D$7),AT211)))))))))</f>
        <v>1.3</v>
      </c>
      <c r="AV211" s="39">
        <f>IF(ISBLANK(T211),"",IF(ISBLANK($O211),AH211,IF($J211="ANUAL",AH211*(1+Macroindicadores!E$7),IF(AND($I211="NOVO",MONTH($O211)=MONTH(AV$4)),AH211*(1+Macroindicadores!E$7),IF(AND($J211="PONTUAL",MONTH($O211)=MONTH(AV$4)),AH211*(1+Macroindicadores!E$7),IF(AND($J211="PONTUAL",MONTH($O211)&lt;MONTH(AV$4)),MIN($AS211:AU211),IF(AND($I211="NOVO",MONTH($O211)&gt;MONTH(AV$4)),AH211,IF(MONTH($O211)&gt;MONTH(AV$4),AH211,IF(MONTH($O211)=MONTH(AV$4),AH211*(1+Macroindicadores!E$7),AU211)))))))))</f>
        <v>1.3</v>
      </c>
      <c r="AW211" s="39">
        <f>IF(ISBLANK(U211),"",IF(ISBLANK($O211),AI211,IF($J211="ANUAL",AI211*(1+Macroindicadores!F$7),IF(AND($I211="NOVO",MONTH($O211)=MONTH(AW$4)),AI211*(1+Macroindicadores!F$7),IF(AND($J211="PONTUAL",MONTH($O211)=MONTH(AW$4)),AI211*(1+Macroindicadores!F$7),IF(AND($J211="PONTUAL",MONTH($O211)&lt;MONTH(AW$4)),MIN($AS211:AV211),IF(AND($I211="NOVO",MONTH($O211)&gt;MONTH(AW$4)),AI211,IF(MONTH($O211)&gt;MONTH(AW$4),AI211,IF(MONTH($O211)=MONTH(AW$4),AI211*(1+Macroindicadores!F$7),AV211)))))))))</f>
        <v>1.3</v>
      </c>
      <c r="AX211" s="39">
        <f>IF(ISBLANK(V211),"",IF(ISBLANK($O211),AJ211,IF($J211="ANUAL",AJ211*(1+Macroindicadores!G$7),IF(AND($I211="NOVO",MONTH($O211)=MONTH(AX$4)),AJ211*(1+Macroindicadores!G$7),IF(AND($J211="PONTUAL",MONTH($O211)=MONTH(AX$4)),AJ211*(1+Macroindicadores!G$7),IF(AND($J211="PONTUAL",MONTH($O211)&lt;MONTH(AX$4)),MIN($AS211:AW211),IF(AND($I211="NOVO",MONTH($O211)&gt;MONTH(AX$4)),AJ211,IF(MONTH($O211)&gt;MONTH(AX$4),AJ211,IF(MONTH($O211)=MONTH(AX$4),AJ211*(1+Macroindicadores!G$7),AW211)))))))))</f>
        <v>1.3</v>
      </c>
      <c r="AY211" s="39">
        <f>IF(ISBLANK(W211),"",IF(ISBLANK($O211),AK211,IF($J211="ANUAL",AK211*(1+Macroindicadores!H$7),IF(AND($I211="NOVO",MONTH($O211)=MONTH(AY$4)),AK211*(1+Macroindicadores!H$7),IF(AND($J211="PONTUAL",MONTH($O211)=MONTH(AY$4)),AK211*(1+Macroindicadores!H$7),IF(AND($J211="PONTUAL",MONTH($O211)&lt;MONTH(AY$4)),MIN($AS211:AX211),IF(AND($I211="NOVO",MONTH($O211)&gt;MONTH(AY$4)),AK211,IF(MONTH($O211)&gt;MONTH(AY$4),AK211,IF(MONTH($O211)=MONTH(AY$4),AK211*(1+Macroindicadores!H$7),AX211)))))))))</f>
        <v>1.3</v>
      </c>
      <c r="AZ211" s="39">
        <f>IF(ISBLANK(X211),"",IF(ISBLANK($O211),AL211,IF($J211="ANUAL",AL211*(1+Macroindicadores!I$7),IF(AND($I211="NOVO",MONTH($O211)=MONTH(AZ$4)),AL211*(1+Macroindicadores!I$7),IF(AND($J211="PONTUAL",MONTH($O211)=MONTH(AZ$4)),AL211*(1+Macroindicadores!I$7),IF(AND($J211="PONTUAL",MONTH($O211)&lt;MONTH(AZ$4)),MIN($AS211:AY211),IF(AND($I211="NOVO",MONTH($O211)&gt;MONTH(AZ$4)),AL211,IF(MONTH($O211)&gt;MONTH(AZ$4),AL211,IF(MONTH($O211)=MONTH(AZ$4),AL211*(1+Macroindicadores!I$7),AY211)))))))))</f>
        <v>1.3</v>
      </c>
      <c r="BA211" s="39">
        <f>IF(ISBLANK(Y211),"",IF(ISBLANK($O211),AM211,IF($J211="ANUAL",AM211*(1+Macroindicadores!J$7),IF(AND($I211="NOVO",MONTH($O211)=MONTH(BA$4)),AM211*(1+Macroindicadores!J$7),IF(AND($J211="PONTUAL",MONTH($O211)=MONTH(BA$4)),AM211*(1+Macroindicadores!J$7),IF(AND($J211="PONTUAL",MONTH($O211)&lt;MONTH(BA$4)),MIN($AS211:AZ211),IF(AND($I211="NOVO",MONTH($O211)&gt;MONTH(BA$4)),AM211,IF(MONTH($O211)&gt;MONTH(BA$4),AM211,IF(MONTH($O211)=MONTH(BA$4),AM211*(1+Macroindicadores!J$7),AZ211)))))))))</f>
        <v>1.3</v>
      </c>
      <c r="BB211" s="39">
        <f>IF(ISBLANK(Z211),"",IF(ISBLANK($O211),AN211,IF($J211="ANUAL",AN211*(1+Macroindicadores!K$7),IF(AND($I211="NOVO",MONTH($O211)=MONTH(BB$4)),AN211*(1+Macroindicadores!K$7),IF(AND($J211="PONTUAL",MONTH($O211)=MONTH(BB$4)),AN211*(1+Macroindicadores!K$7),IF(AND($J211="PONTUAL",MONTH($O211)&lt;MONTH(BB$4)),MIN($AS211:BA211),IF(AND($I211="NOVO",MONTH($O211)&gt;MONTH(BB$4)),AN211,IF(MONTH($O211)&gt;MONTH(BB$4),AN211,IF(MONTH($O211)=MONTH(BB$4),AN211*(1+Macroindicadores!K$7),BA211)))))))))</f>
        <v>1.3</v>
      </c>
      <c r="BC211" s="39">
        <f>IF(ISBLANK(AA211),"",IF(ISBLANK($O211),AO211,IF($J211="ANUAL",AO211*(1+Macroindicadores!L$7),IF(AND($I211="NOVO",MONTH($O211)=MONTH(BC$4)),AO211*(1+Macroindicadores!L$7),IF(AND($J211="PONTUAL",MONTH($O211)=MONTH(BC$4)),AO211*(1+Macroindicadores!L$7),IF(AND($J211="PONTUAL",MONTH($O211)&lt;MONTH(BC$4)),MIN($AS211:BB211),IF(AND($I211="NOVO",MONTH($O211)&gt;MONTH(BC$4)),AO211,IF(MONTH($O211)&gt;MONTH(BC$4),AO211,IF(MONTH($O211)=MONTH(BC$4),AO211*(1+Macroindicadores!L$7),BB211)))))))))</f>
        <v>1.3</v>
      </c>
      <c r="BD211" s="39">
        <f>IF(ISBLANK(AB211),"",IF(ISBLANK($O211),AP211,IF($J211="ANUAL",AP211*(1+Macroindicadores!M$7),IF(AND($I211="NOVO",MONTH($O211)=MONTH(BD$4)),AP211*(1+Macroindicadores!M$7),IF(AND($J211="PONTUAL",MONTH($O211)=MONTH(BD$4)),AP211*(1+Macroindicadores!M$7),IF(AND($J211="PONTUAL",MONTH($O211)&lt;MONTH(BD$4)),MIN($AS211:BC211),IF(AND($I211="NOVO",MONTH($O211)&gt;MONTH(BD$4)),AP211,IF(MONTH($O211)&gt;MONTH(BD$4),AP211,IF(MONTH($O211)=MONTH(BD$4),AP211*(1+Macroindicadores!M$7),BC211)))))))))</f>
        <v>1.3</v>
      </c>
      <c r="BE211" s="40">
        <f t="shared" si="101"/>
        <v>15.600000000000003</v>
      </c>
      <c r="BG211" s="39">
        <f>IF(ISBLANK(Q211),"",AS211/Macroindicadores!B$2)</f>
        <v>0.22108843537414968</v>
      </c>
      <c r="BH211" s="39">
        <f>IF(ISBLANK(R211),"",AT211/Macroindicadores!C$2)</f>
        <v>0.22108843537414968</v>
      </c>
      <c r="BI211" s="39">
        <f>IF(ISBLANK(S211),"",AU211/Macroindicadores!D$2)</f>
        <v>0.22108843537414968</v>
      </c>
      <c r="BJ211" s="39">
        <f>IF(ISBLANK(T211),"",AV211/Macroindicadores!E$2)</f>
        <v>0.22108843537414968</v>
      </c>
      <c r="BK211" s="39">
        <f>IF(ISBLANK(U211),"",AW211/Macroindicadores!F$2)</f>
        <v>0.22108843537414968</v>
      </c>
      <c r="BL211" s="39">
        <f>IF(ISBLANK(V211),"",AX211/Macroindicadores!G$2)</f>
        <v>0.22108843537414968</v>
      </c>
      <c r="BM211" s="39">
        <f>IF(ISBLANK(W211),"",AY211/Macroindicadores!H$2)</f>
        <v>0.22108843537414968</v>
      </c>
      <c r="BN211" s="39">
        <f>IF(ISBLANK(X211),"",AZ211/Macroindicadores!I$2)</f>
        <v>0.22108843537414968</v>
      </c>
      <c r="BO211" s="39">
        <f>IF(ISBLANK(Y211),"",BA211/Macroindicadores!J$2)</f>
        <v>0.22108843537414968</v>
      </c>
      <c r="BP211" s="39">
        <f>IF(ISBLANK(Z211),"",BB211/Macroindicadores!K$2)</f>
        <v>0.22108843537414968</v>
      </c>
      <c r="BQ211" s="39">
        <f>IF(ISBLANK(AA211),"",BC211/Macroindicadores!L$2)</f>
        <v>0.22108843537414968</v>
      </c>
      <c r="BR211" s="39">
        <f>IF(ISBLANK(AB211),"",BD211/Macroindicadores!M$2)</f>
        <v>0.22108843537414968</v>
      </c>
      <c r="BS211" s="40">
        <f>IF(AND(ISBLANK($Q211),ISBLANK($R211),ISBLANK($S211),ISBLANK($T211),ISBLANK($U211),ISBLANK($V211),ISBLANK($W211),ISBLANK($X211),ISBLANK($Y211),ISBLANK($Z211),ISBLANK($AA211),ISBLANK($AB211)),"",SUM(BG211:BR211))</f>
        <v>2.6530612244897953</v>
      </c>
      <c r="BT211" s="25" t="str">
        <f>IF(ISBLANK($L211),"",_xlfn.XLOOKUP($L211,'CENTRO CUSTO'!$A:$A,'CENTRO CUSTO'!$E:$E,FALSE,0))</f>
        <v>G&amp;A BU</v>
      </c>
    </row>
    <row r="212" spans="1:72">
      <c r="A212" s="9" t="str">
        <f t="shared" si="80"/>
        <v>Budget</v>
      </c>
      <c r="B212" s="9">
        <f t="shared" si="77"/>
        <v>2026</v>
      </c>
      <c r="C212" s="18" t="str">
        <f>IF(ISBLANK($L212),"",_xlfn.XLOOKUP($L212,'CENTRO CUSTO'!$A:$A,'CENTRO CUSTO'!F:F,FALSE,0))</f>
        <v>MRV</v>
      </c>
      <c r="D212" s="111" t="str">
        <f>IF(ISBLANK($L212),"",_xlfn.XLOOKUP($L212,'CENTRO CUSTO'!$A:$A,'CENTRO CUSTO'!G:G,FALSE,0))</f>
        <v>BU-MRV</v>
      </c>
      <c r="E212" s="18" t="str">
        <f>IF(ISBLANK($L212),"",_xlfn.XLOOKUP($L212,'CENTRO CUSTO'!$A:$A,'CENTRO CUSTO'!H:H,FALSE,0))</f>
        <v>G&amp;A</v>
      </c>
      <c r="F212" s="10" t="s">
        <v>215</v>
      </c>
      <c r="G212" s="10" t="s">
        <v>75</v>
      </c>
      <c r="H212" s="10" t="s">
        <v>216</v>
      </c>
      <c r="I212" s="11" t="s">
        <v>84</v>
      </c>
      <c r="J212" s="11" t="s">
        <v>78</v>
      </c>
      <c r="K212" s="11" t="s">
        <v>86</v>
      </c>
      <c r="L212" s="11" t="s">
        <v>45</v>
      </c>
      <c r="M212" s="18" t="str">
        <f>IF(ISBLANK($L212),"",_xlfn.XLOOKUP($L212,'CENTRO CUSTO'!$A:$A,'CENTRO CUSTO'!D:D,FALSE,0))</f>
        <v>Alexandre Ayabe</v>
      </c>
      <c r="N212" s="11" t="s">
        <v>87</v>
      </c>
      <c r="O212" s="12"/>
      <c r="P212" s="11" t="s">
        <v>81</v>
      </c>
      <c r="Q212" s="41">
        <f>24000*Rateio!$E$440/12</f>
        <v>260</v>
      </c>
      <c r="R212" s="41">
        <f>24000*Rateio!$E$440/12</f>
        <v>260</v>
      </c>
      <c r="S212" s="41">
        <f>24000*Rateio!$E$440/12</f>
        <v>260</v>
      </c>
      <c r="T212" s="41">
        <f>24000*Rateio!$E$440/12</f>
        <v>260</v>
      </c>
      <c r="U212" s="41">
        <f>24000*Rateio!$E$440/12</f>
        <v>260</v>
      </c>
      <c r="V212" s="41">
        <f>24000*Rateio!$E$440/12</f>
        <v>260</v>
      </c>
      <c r="W212" s="41">
        <f>24000*Rateio!$E$440/12</f>
        <v>260</v>
      </c>
      <c r="X212" s="41">
        <f>24000*Rateio!$E$440/12</f>
        <v>260</v>
      </c>
      <c r="Y212" s="41">
        <f>24000*Rateio!$E$440/12</f>
        <v>260</v>
      </c>
      <c r="Z212" s="41">
        <f>24000*Rateio!$E$440/12</f>
        <v>260</v>
      </c>
      <c r="AA212" s="41">
        <f>24000*Rateio!$E$440/12</f>
        <v>260</v>
      </c>
      <c r="AB212" s="41">
        <f>24000*Rateio!$E$440/12</f>
        <v>260</v>
      </c>
      <c r="AC212" s="116">
        <f t="shared" si="99"/>
        <v>3120</v>
      </c>
      <c r="AE212" s="39">
        <f>IF(ISBLANK(Q212),"",IF($P212="BRL",Q212,Q212*Macroindicadores!B$2)/1000)</f>
        <v>0.26</v>
      </c>
      <c r="AF212" s="39">
        <f>IF(ISBLANK(R212),"",IF($P212="BRL",R212,R212*Macroindicadores!C$2)/1000)</f>
        <v>0.26</v>
      </c>
      <c r="AG212" s="39">
        <f>IF(ISBLANK(S212),"",IF($P212="BRL",S212,S212*Macroindicadores!D$2)/1000)</f>
        <v>0.26</v>
      </c>
      <c r="AH212" s="39">
        <f>IF(ISBLANK(T212),"",IF($P212="BRL",T212,T212*Macroindicadores!E$2)/1000)</f>
        <v>0.26</v>
      </c>
      <c r="AI212" s="39">
        <f>IF(ISBLANK(U212),"",IF($P212="BRL",U212,U212*Macroindicadores!F$2)/1000)</f>
        <v>0.26</v>
      </c>
      <c r="AJ212" s="39">
        <f>IF(ISBLANK(V212),"",IF($P212="BRL",V212,V212*Macroindicadores!G$2)/1000)</f>
        <v>0.26</v>
      </c>
      <c r="AK212" s="39">
        <f>IF(ISBLANK(W212),"",IF($P212="BRL",W212,W212*Macroindicadores!H$2)/1000)</f>
        <v>0.26</v>
      </c>
      <c r="AL212" s="39">
        <f>IF(ISBLANK(X212),"",IF($P212="BRL",X212,X212*Macroindicadores!I$2)/1000)</f>
        <v>0.26</v>
      </c>
      <c r="AM212" s="39">
        <f>IF(ISBLANK(Y212),"",IF($P212="BRL",Y212,Y212*Macroindicadores!J$2)/1000)</f>
        <v>0.26</v>
      </c>
      <c r="AN212" s="39">
        <f>IF(ISBLANK(Z212),"",IF($P212="BRL",Z212,Z212*Macroindicadores!K$2)/1000)</f>
        <v>0.26</v>
      </c>
      <c r="AO212" s="39">
        <f>IF(ISBLANK(AA212),"",IF($P212="BRL",AA212,AA212*Macroindicadores!L$2)/1000)</f>
        <v>0.26</v>
      </c>
      <c r="AP212" s="39">
        <f>IF(ISBLANK(AB212),"",IF($P212="BRL",AB212,AB212*Macroindicadores!M$2)/1000)</f>
        <v>0.26</v>
      </c>
      <c r="AQ212" s="40">
        <f t="shared" si="100"/>
        <v>3.1199999999999992</v>
      </c>
      <c r="AS212" s="39">
        <f>IF(ISBLANK(Q212),"",IF(ISBLANK($O212),AE212,IF($J212="ANUAL",AE212*(1+Macroindicadores!B$7),IF(AND($I212="NOVO",MONTH($O212)=MONTH(AS$4)),AE212*(1+Macroindicadores!B$7),IF(AND($J212="PONTUAL",MONTH($O212)=MONTH(AS$4)),AE212*(1+Macroindicadores!B$7),IF(AND($J212="PONTUAL",MONTH($O212)&lt;MONTH(AS$4)),MIN(AR212:$AS212),IF(AND($I212="NOVO",MONTH($O212)&gt;MONTH(AS$4)),AE212,IF(MONTH($O212)&gt;MONTH(AS$4),AE212,IF(MONTH($O212)=MONTH(AS$4),AE212*(1+Macroindicadores!B$7),AR212)))))))))</f>
        <v>0.26</v>
      </c>
      <c r="AT212" s="39">
        <f>IF(ISBLANK(R212),"",IF(ISBLANK($O212),AF212,IF($J212="ANUAL",AF212*(1+Macroindicadores!C$7),IF(AND($I212="NOVO",MONTH($O212)=MONTH(AT$4)),AF212*(1+Macroindicadores!C$7),IF(AND($J212="PONTUAL",MONTH($O212)=MONTH(AT$4)),AF212*(1+Macroindicadores!C$7),IF(AND($J212="PONTUAL",MONTH($O212)&lt;MONTH(AT$4)),MIN($AS212:AS212),IF(AND($I212="NOVO",MONTH($O212)&gt;MONTH(AT$4)),AF212,IF(MONTH($O212)&gt;MONTH(AT$4),AF212,IF(MONTH($O212)=MONTH(AT$4),AF212*(1+Macroindicadores!C$7),AS212)))))))))</f>
        <v>0.26</v>
      </c>
      <c r="AU212" s="39">
        <f>IF(ISBLANK(S212),"",IF(ISBLANK($O212),AG212,IF($J212="ANUAL",AG212*(1+Macroindicadores!D$7),IF(AND($I212="NOVO",MONTH($O212)=MONTH(AU$4)),AG212*(1+Macroindicadores!D$7),IF(AND($J212="PONTUAL",MONTH($O212)=MONTH(AU$4)),AG212*(1+Macroindicadores!D$7),IF(AND($J212="PONTUAL",MONTH($O212)&lt;MONTH(AU$4)),MIN($AS212:AT212),IF(AND($I212="NOVO",MONTH($O212)&gt;MONTH(AU$4)),AG212,IF(MONTH($O212)&gt;MONTH(AU$4),AG212,IF(MONTH($O212)=MONTH(AU$4),AG212*(1+Macroindicadores!D$7),AT212)))))))))</f>
        <v>0.26</v>
      </c>
      <c r="AV212" s="39">
        <f>IF(ISBLANK(T212),"",IF(ISBLANK($O212),AH212,IF($J212="ANUAL",AH212*(1+Macroindicadores!E$7),IF(AND($I212="NOVO",MONTH($O212)=MONTH(AV$4)),AH212*(1+Macroindicadores!E$7),IF(AND($J212="PONTUAL",MONTH($O212)=MONTH(AV$4)),AH212*(1+Macroindicadores!E$7),IF(AND($J212="PONTUAL",MONTH($O212)&lt;MONTH(AV$4)),MIN($AS212:AU212),IF(AND($I212="NOVO",MONTH($O212)&gt;MONTH(AV$4)),AH212,IF(MONTH($O212)&gt;MONTH(AV$4),AH212,IF(MONTH($O212)=MONTH(AV$4),AH212*(1+Macroindicadores!E$7),AU212)))))))))</f>
        <v>0.26</v>
      </c>
      <c r="AW212" s="39">
        <f>IF(ISBLANK(U212),"",IF(ISBLANK($O212),AI212,IF($J212="ANUAL",AI212*(1+Macroindicadores!F$7),IF(AND($I212="NOVO",MONTH($O212)=MONTH(AW$4)),AI212*(1+Macroindicadores!F$7),IF(AND($J212="PONTUAL",MONTH($O212)=MONTH(AW$4)),AI212*(1+Macroindicadores!F$7),IF(AND($J212="PONTUAL",MONTH($O212)&lt;MONTH(AW$4)),MIN($AS212:AV212),IF(AND($I212="NOVO",MONTH($O212)&gt;MONTH(AW$4)),AI212,IF(MONTH($O212)&gt;MONTH(AW$4),AI212,IF(MONTH($O212)=MONTH(AW$4),AI212*(1+Macroindicadores!F$7),AV212)))))))))</f>
        <v>0.26</v>
      </c>
      <c r="AX212" s="39">
        <f>IF(ISBLANK(V212),"",IF(ISBLANK($O212),AJ212,IF($J212="ANUAL",AJ212*(1+Macroindicadores!G$7),IF(AND($I212="NOVO",MONTH($O212)=MONTH(AX$4)),AJ212*(1+Macroindicadores!G$7),IF(AND($J212="PONTUAL",MONTH($O212)=MONTH(AX$4)),AJ212*(1+Macroindicadores!G$7),IF(AND($J212="PONTUAL",MONTH($O212)&lt;MONTH(AX$4)),MIN($AS212:AW212),IF(AND($I212="NOVO",MONTH($O212)&gt;MONTH(AX$4)),AJ212,IF(MONTH($O212)&gt;MONTH(AX$4),AJ212,IF(MONTH($O212)=MONTH(AX$4),AJ212*(1+Macroindicadores!G$7),AW212)))))))))</f>
        <v>0.26</v>
      </c>
      <c r="AY212" s="39">
        <f>IF(ISBLANK(W212),"",IF(ISBLANK($O212),AK212,IF($J212="ANUAL",AK212*(1+Macroindicadores!H$7),IF(AND($I212="NOVO",MONTH($O212)=MONTH(AY$4)),AK212*(1+Macroindicadores!H$7),IF(AND($J212="PONTUAL",MONTH($O212)=MONTH(AY$4)),AK212*(1+Macroindicadores!H$7),IF(AND($J212="PONTUAL",MONTH($O212)&lt;MONTH(AY$4)),MIN($AS212:AX212),IF(AND($I212="NOVO",MONTH($O212)&gt;MONTH(AY$4)),AK212,IF(MONTH($O212)&gt;MONTH(AY$4),AK212,IF(MONTH($O212)=MONTH(AY$4),AK212*(1+Macroindicadores!H$7),AX212)))))))))</f>
        <v>0.26</v>
      </c>
      <c r="AZ212" s="39">
        <f>IF(ISBLANK(X212),"",IF(ISBLANK($O212),AL212,IF($J212="ANUAL",AL212*(1+Macroindicadores!I$7),IF(AND($I212="NOVO",MONTH($O212)=MONTH(AZ$4)),AL212*(1+Macroindicadores!I$7),IF(AND($J212="PONTUAL",MONTH($O212)=MONTH(AZ$4)),AL212*(1+Macroindicadores!I$7),IF(AND($J212="PONTUAL",MONTH($O212)&lt;MONTH(AZ$4)),MIN($AS212:AY212),IF(AND($I212="NOVO",MONTH($O212)&gt;MONTH(AZ$4)),AL212,IF(MONTH($O212)&gt;MONTH(AZ$4),AL212,IF(MONTH($O212)=MONTH(AZ$4),AL212*(1+Macroindicadores!I$7),AY212)))))))))</f>
        <v>0.26</v>
      </c>
      <c r="BA212" s="39">
        <f>IF(ISBLANK(Y212),"",IF(ISBLANK($O212),AM212,IF($J212="ANUAL",AM212*(1+Macroindicadores!J$7),IF(AND($I212="NOVO",MONTH($O212)=MONTH(BA$4)),AM212*(1+Macroindicadores!J$7),IF(AND($J212="PONTUAL",MONTH($O212)=MONTH(BA$4)),AM212*(1+Macroindicadores!J$7),IF(AND($J212="PONTUAL",MONTH($O212)&lt;MONTH(BA$4)),MIN($AS212:AZ212),IF(AND($I212="NOVO",MONTH($O212)&gt;MONTH(BA$4)),AM212,IF(MONTH($O212)&gt;MONTH(BA$4),AM212,IF(MONTH($O212)=MONTH(BA$4),AM212*(1+Macroindicadores!J$7),AZ212)))))))))</f>
        <v>0.26</v>
      </c>
      <c r="BB212" s="39">
        <f>IF(ISBLANK(Z212),"",IF(ISBLANK($O212),AN212,IF($J212="ANUAL",AN212*(1+Macroindicadores!K$7),IF(AND($I212="NOVO",MONTH($O212)=MONTH(BB$4)),AN212*(1+Macroindicadores!K$7),IF(AND($J212="PONTUAL",MONTH($O212)=MONTH(BB$4)),AN212*(1+Macroindicadores!K$7),IF(AND($J212="PONTUAL",MONTH($O212)&lt;MONTH(BB$4)),MIN($AS212:BA212),IF(AND($I212="NOVO",MONTH($O212)&gt;MONTH(BB$4)),AN212,IF(MONTH($O212)&gt;MONTH(BB$4),AN212,IF(MONTH($O212)=MONTH(BB$4),AN212*(1+Macroindicadores!K$7),BA212)))))))))</f>
        <v>0.26</v>
      </c>
      <c r="BC212" s="39">
        <f>IF(ISBLANK(AA212),"",IF(ISBLANK($O212),AO212,IF($J212="ANUAL",AO212*(1+Macroindicadores!L$7),IF(AND($I212="NOVO",MONTH($O212)=MONTH(BC$4)),AO212*(1+Macroindicadores!L$7),IF(AND($J212="PONTUAL",MONTH($O212)=MONTH(BC$4)),AO212*(1+Macroindicadores!L$7),IF(AND($J212="PONTUAL",MONTH($O212)&lt;MONTH(BC$4)),MIN($AS212:BB212),IF(AND($I212="NOVO",MONTH($O212)&gt;MONTH(BC$4)),AO212,IF(MONTH($O212)&gt;MONTH(BC$4),AO212,IF(MONTH($O212)=MONTH(BC$4),AO212*(1+Macroindicadores!L$7),BB212)))))))))</f>
        <v>0.26</v>
      </c>
      <c r="BD212" s="39">
        <f>IF(ISBLANK(AB212),"",IF(ISBLANK($O212),AP212,IF($J212="ANUAL",AP212*(1+Macroindicadores!M$7),IF(AND($I212="NOVO",MONTH($O212)=MONTH(BD$4)),AP212*(1+Macroindicadores!M$7),IF(AND($J212="PONTUAL",MONTH($O212)=MONTH(BD$4)),AP212*(1+Macroindicadores!M$7),IF(AND($J212="PONTUAL",MONTH($O212)&lt;MONTH(BD$4)),MIN($AS212:BC212),IF(AND($I212="NOVO",MONTH($O212)&gt;MONTH(BD$4)),AP212,IF(MONTH($O212)&gt;MONTH(BD$4),AP212,IF(MONTH($O212)=MONTH(BD$4),AP212*(1+Macroindicadores!M$7),BC212)))))))))</f>
        <v>0.26</v>
      </c>
      <c r="BE212" s="40">
        <f t="shared" si="101"/>
        <v>3.1199999999999992</v>
      </c>
      <c r="BG212" s="39">
        <f>IF(ISBLANK(Q212),"",AS212/Macroindicadores!B$2)</f>
        <v>4.4217687074829932E-2</v>
      </c>
      <c r="BH212" s="39">
        <f>IF(ISBLANK(R212),"",AT212/Macroindicadores!C$2)</f>
        <v>4.4217687074829932E-2</v>
      </c>
      <c r="BI212" s="39">
        <f>IF(ISBLANK(S212),"",AU212/Macroindicadores!D$2)</f>
        <v>4.4217687074829932E-2</v>
      </c>
      <c r="BJ212" s="39">
        <f>IF(ISBLANK(T212),"",AV212/Macroindicadores!E$2)</f>
        <v>4.4217687074829932E-2</v>
      </c>
      <c r="BK212" s="39">
        <f>IF(ISBLANK(U212),"",AW212/Macroindicadores!F$2)</f>
        <v>4.4217687074829932E-2</v>
      </c>
      <c r="BL212" s="39">
        <f>IF(ISBLANK(V212),"",AX212/Macroindicadores!G$2)</f>
        <v>4.4217687074829932E-2</v>
      </c>
      <c r="BM212" s="39">
        <f>IF(ISBLANK(W212),"",AY212/Macroindicadores!H$2)</f>
        <v>4.4217687074829932E-2</v>
      </c>
      <c r="BN212" s="39">
        <f>IF(ISBLANK(X212),"",AZ212/Macroindicadores!I$2)</f>
        <v>4.4217687074829932E-2</v>
      </c>
      <c r="BO212" s="39">
        <f>IF(ISBLANK(Y212),"",BA212/Macroindicadores!J$2)</f>
        <v>4.4217687074829932E-2</v>
      </c>
      <c r="BP212" s="39">
        <f>IF(ISBLANK(Z212),"",BB212/Macroindicadores!K$2)</f>
        <v>4.4217687074829932E-2</v>
      </c>
      <c r="BQ212" s="39">
        <f>IF(ISBLANK(AA212),"",BC212/Macroindicadores!L$2)</f>
        <v>4.4217687074829932E-2</v>
      </c>
      <c r="BR212" s="39">
        <f>IF(ISBLANK(AB212),"",BD212/Macroindicadores!M$2)</f>
        <v>4.4217687074829932E-2</v>
      </c>
      <c r="BS212" s="40">
        <f>IF(AND(ISBLANK($Q212),ISBLANK($R212),ISBLANK($S212),ISBLANK($T212),ISBLANK($U212),ISBLANK($V212),ISBLANK($W212),ISBLANK($X212),ISBLANK($Y212),ISBLANK($Z212),ISBLANK($AA212),ISBLANK($AB212)),"",SUM(BG212:BR212))</f>
        <v>0.53061224489795922</v>
      </c>
      <c r="BT212" s="25" t="str">
        <f>IF(ISBLANK($L212),"",_xlfn.XLOOKUP($L212,'CENTRO CUSTO'!$A:$A,'CENTRO CUSTO'!$E:$E,FALSE,0))</f>
        <v>G&amp;A BU</v>
      </c>
    </row>
    <row r="213" spans="1:72">
      <c r="A213" s="9" t="str">
        <f t="shared" si="80"/>
        <v>Budget</v>
      </c>
      <c r="B213" s="9">
        <f t="shared" si="77"/>
        <v>2026</v>
      </c>
      <c r="C213" s="18" t="str">
        <f>IF(ISBLANK($L213),"",_xlfn.XLOOKUP($L213,'CENTRO CUSTO'!$A:$A,'CENTRO CUSTO'!F:F,FALSE,0))</f>
        <v>SKM</v>
      </c>
      <c r="D213" s="111" t="str">
        <f>IF(ISBLANK($L213),"",_xlfn.XLOOKUP($L213,'CENTRO CUSTO'!$A:$A,'CENTRO CUSTO'!G:G,FALSE,0))</f>
        <v>BU-SKM</v>
      </c>
      <c r="E213" s="18" t="str">
        <f>IF(ISBLANK($L213),"",_xlfn.XLOOKUP($L213,'CENTRO CUSTO'!$A:$A,'CENTRO CUSTO'!H:H,FALSE,0))</f>
        <v>G&amp;A</v>
      </c>
      <c r="F213" s="10" t="s">
        <v>215</v>
      </c>
      <c r="G213" s="10" t="s">
        <v>75</v>
      </c>
      <c r="H213" s="10" t="s">
        <v>216</v>
      </c>
      <c r="I213" s="11" t="s">
        <v>84</v>
      </c>
      <c r="J213" s="11" t="s">
        <v>78</v>
      </c>
      <c r="K213" s="11" t="s">
        <v>86</v>
      </c>
      <c r="L213" s="11" t="s">
        <v>50</v>
      </c>
      <c r="M213" s="18" t="str">
        <f>IF(ISBLANK($L213),"",_xlfn.XLOOKUP($L213,'CENTRO CUSTO'!$A:$A,'CENTRO CUSTO'!D:D,FALSE,0))</f>
        <v>Alexandre Ayabe</v>
      </c>
      <c r="N213" s="11" t="s">
        <v>87</v>
      </c>
      <c r="O213" s="12"/>
      <c r="P213" s="11" t="s">
        <v>81</v>
      </c>
      <c r="Q213" s="41">
        <f>24000*Rateio!$E$443/12</f>
        <v>440</v>
      </c>
      <c r="R213" s="41">
        <f>24000*Rateio!$E$443/12</f>
        <v>440</v>
      </c>
      <c r="S213" s="41">
        <f>24000*Rateio!$E$443/12</f>
        <v>440</v>
      </c>
      <c r="T213" s="41">
        <f>24000*Rateio!$E$443/12</f>
        <v>440</v>
      </c>
      <c r="U213" s="41">
        <f>24000*Rateio!$E$443/12</f>
        <v>440</v>
      </c>
      <c r="V213" s="41">
        <f>24000*Rateio!$E$443/12</f>
        <v>440</v>
      </c>
      <c r="W213" s="41">
        <f>24000*Rateio!$E$443/12</f>
        <v>440</v>
      </c>
      <c r="X213" s="41">
        <f>24000*Rateio!$E$443/12</f>
        <v>440</v>
      </c>
      <c r="Y213" s="41">
        <f>24000*Rateio!$E$443/12</f>
        <v>440</v>
      </c>
      <c r="Z213" s="41">
        <f>24000*Rateio!$E$443/12</f>
        <v>440</v>
      </c>
      <c r="AA213" s="41">
        <f>24000*Rateio!$E$443/12</f>
        <v>440</v>
      </c>
      <c r="AB213" s="41">
        <f>24000*Rateio!$E$443/12</f>
        <v>440</v>
      </c>
      <c r="AC213" s="116">
        <f t="shared" si="99"/>
        <v>5280</v>
      </c>
      <c r="AE213" s="39">
        <f>IF(ISBLANK(Q213),"",IF($P213="BRL",Q213,Q213*Macroindicadores!B$2)/1000)</f>
        <v>0.44</v>
      </c>
      <c r="AF213" s="39">
        <f>IF(ISBLANK(R213),"",IF($P213="BRL",R213,R213*Macroindicadores!C$2)/1000)</f>
        <v>0.44</v>
      </c>
      <c r="AG213" s="39">
        <f>IF(ISBLANK(S213),"",IF($P213="BRL",S213,S213*Macroindicadores!D$2)/1000)</f>
        <v>0.44</v>
      </c>
      <c r="AH213" s="39">
        <f>IF(ISBLANK(T213),"",IF($P213="BRL",T213,T213*Macroindicadores!E$2)/1000)</f>
        <v>0.44</v>
      </c>
      <c r="AI213" s="39">
        <f>IF(ISBLANK(U213),"",IF($P213="BRL",U213,U213*Macroindicadores!F$2)/1000)</f>
        <v>0.44</v>
      </c>
      <c r="AJ213" s="39">
        <f>IF(ISBLANK(V213),"",IF($P213="BRL",V213,V213*Macroindicadores!G$2)/1000)</f>
        <v>0.44</v>
      </c>
      <c r="AK213" s="39">
        <f>IF(ISBLANK(W213),"",IF($P213="BRL",W213,W213*Macroindicadores!H$2)/1000)</f>
        <v>0.44</v>
      </c>
      <c r="AL213" s="39">
        <f>IF(ISBLANK(X213),"",IF($P213="BRL",X213,X213*Macroindicadores!I$2)/1000)</f>
        <v>0.44</v>
      </c>
      <c r="AM213" s="39">
        <f>IF(ISBLANK(Y213),"",IF($P213="BRL",Y213,Y213*Macroindicadores!J$2)/1000)</f>
        <v>0.44</v>
      </c>
      <c r="AN213" s="39">
        <f>IF(ISBLANK(Z213),"",IF($P213="BRL",Z213,Z213*Macroindicadores!K$2)/1000)</f>
        <v>0.44</v>
      </c>
      <c r="AO213" s="39">
        <f>IF(ISBLANK(AA213),"",IF($P213="BRL",AA213,AA213*Macroindicadores!L$2)/1000)</f>
        <v>0.44</v>
      </c>
      <c r="AP213" s="39">
        <f>IF(ISBLANK(AB213),"",IF($P213="BRL",AB213,AB213*Macroindicadores!M$2)/1000)</f>
        <v>0.44</v>
      </c>
      <c r="AQ213" s="40">
        <f t="shared" si="100"/>
        <v>5.2800000000000011</v>
      </c>
      <c r="AS213" s="39">
        <f>IF(ISBLANK(Q213),"",IF(ISBLANK($O213),AE213,IF($J213="ANUAL",AE213*(1+Macroindicadores!B$7),IF(AND($I213="NOVO",MONTH($O213)=MONTH(AS$4)),AE213*(1+Macroindicadores!B$7),IF(AND($J213="PONTUAL",MONTH($O213)=MONTH(AS$4)),AE213*(1+Macroindicadores!B$7),IF(AND($J213="PONTUAL",MONTH($O213)&lt;MONTH(AS$4)),MIN(AR213:$AS213),IF(AND($I213="NOVO",MONTH($O213)&gt;MONTH(AS$4)),AE213,IF(MONTH($O213)&gt;MONTH(AS$4),AE213,IF(MONTH($O213)=MONTH(AS$4),AE213*(1+Macroindicadores!B$7),AR213)))))))))</f>
        <v>0.44</v>
      </c>
      <c r="AT213" s="39">
        <f>IF(ISBLANK(R213),"",IF(ISBLANK($O213),AF213,IF($J213="ANUAL",AF213*(1+Macroindicadores!C$7),IF(AND($I213="NOVO",MONTH($O213)=MONTH(AT$4)),AF213*(1+Macroindicadores!C$7),IF(AND($J213="PONTUAL",MONTH($O213)=MONTH(AT$4)),AF213*(1+Macroindicadores!C$7),IF(AND($J213="PONTUAL",MONTH($O213)&lt;MONTH(AT$4)),MIN($AS213:AS213),IF(AND($I213="NOVO",MONTH($O213)&gt;MONTH(AT$4)),AF213,IF(MONTH($O213)&gt;MONTH(AT$4),AF213,IF(MONTH($O213)=MONTH(AT$4),AF213*(1+Macroindicadores!C$7),AS213)))))))))</f>
        <v>0.44</v>
      </c>
      <c r="AU213" s="39">
        <f>IF(ISBLANK(S213),"",IF(ISBLANK($O213),AG213,IF($J213="ANUAL",AG213*(1+Macroindicadores!D$7),IF(AND($I213="NOVO",MONTH($O213)=MONTH(AU$4)),AG213*(1+Macroindicadores!D$7),IF(AND($J213="PONTUAL",MONTH($O213)=MONTH(AU$4)),AG213*(1+Macroindicadores!D$7),IF(AND($J213="PONTUAL",MONTH($O213)&lt;MONTH(AU$4)),MIN($AS213:AT213),IF(AND($I213="NOVO",MONTH($O213)&gt;MONTH(AU$4)),AG213,IF(MONTH($O213)&gt;MONTH(AU$4),AG213,IF(MONTH($O213)=MONTH(AU$4),AG213*(1+Macroindicadores!D$7),AT213)))))))))</f>
        <v>0.44</v>
      </c>
      <c r="AV213" s="39">
        <f>IF(ISBLANK(T213),"",IF(ISBLANK($O213),AH213,IF($J213="ANUAL",AH213*(1+Macroindicadores!E$7),IF(AND($I213="NOVO",MONTH($O213)=MONTH(AV$4)),AH213*(1+Macroindicadores!E$7),IF(AND($J213="PONTUAL",MONTH($O213)=MONTH(AV$4)),AH213*(1+Macroindicadores!E$7),IF(AND($J213="PONTUAL",MONTH($O213)&lt;MONTH(AV$4)),MIN($AS213:AU213),IF(AND($I213="NOVO",MONTH($O213)&gt;MONTH(AV$4)),AH213,IF(MONTH($O213)&gt;MONTH(AV$4),AH213,IF(MONTH($O213)=MONTH(AV$4),AH213*(1+Macroindicadores!E$7),AU213)))))))))</f>
        <v>0.44</v>
      </c>
      <c r="AW213" s="39">
        <f>IF(ISBLANK(U213),"",IF(ISBLANK($O213),AI213,IF($J213="ANUAL",AI213*(1+Macroindicadores!F$7),IF(AND($I213="NOVO",MONTH($O213)=MONTH(AW$4)),AI213*(1+Macroindicadores!F$7),IF(AND($J213="PONTUAL",MONTH($O213)=MONTH(AW$4)),AI213*(1+Macroindicadores!F$7),IF(AND($J213="PONTUAL",MONTH($O213)&lt;MONTH(AW$4)),MIN($AS213:AV213),IF(AND($I213="NOVO",MONTH($O213)&gt;MONTH(AW$4)),AI213,IF(MONTH($O213)&gt;MONTH(AW$4),AI213,IF(MONTH($O213)=MONTH(AW$4),AI213*(1+Macroindicadores!F$7),AV213)))))))))</f>
        <v>0.44</v>
      </c>
      <c r="AX213" s="39">
        <f>IF(ISBLANK(V213),"",IF(ISBLANK($O213),AJ213,IF($J213="ANUAL",AJ213*(1+Macroindicadores!G$7),IF(AND($I213="NOVO",MONTH($O213)=MONTH(AX$4)),AJ213*(1+Macroindicadores!G$7),IF(AND($J213="PONTUAL",MONTH($O213)=MONTH(AX$4)),AJ213*(1+Macroindicadores!G$7),IF(AND($J213="PONTUAL",MONTH($O213)&lt;MONTH(AX$4)),MIN($AS213:AW213),IF(AND($I213="NOVO",MONTH($O213)&gt;MONTH(AX$4)),AJ213,IF(MONTH($O213)&gt;MONTH(AX$4),AJ213,IF(MONTH($O213)=MONTH(AX$4),AJ213*(1+Macroindicadores!G$7),AW213)))))))))</f>
        <v>0.44</v>
      </c>
      <c r="AY213" s="39">
        <f>IF(ISBLANK(W213),"",IF(ISBLANK($O213),AK213,IF($J213="ANUAL",AK213*(1+Macroindicadores!H$7),IF(AND($I213="NOVO",MONTH($O213)=MONTH(AY$4)),AK213*(1+Macroindicadores!H$7),IF(AND($J213="PONTUAL",MONTH($O213)=MONTH(AY$4)),AK213*(1+Macroindicadores!H$7),IF(AND($J213="PONTUAL",MONTH($O213)&lt;MONTH(AY$4)),MIN($AS213:AX213),IF(AND($I213="NOVO",MONTH($O213)&gt;MONTH(AY$4)),AK213,IF(MONTH($O213)&gt;MONTH(AY$4),AK213,IF(MONTH($O213)=MONTH(AY$4),AK213*(1+Macroindicadores!H$7),AX213)))))))))</f>
        <v>0.44</v>
      </c>
      <c r="AZ213" s="39">
        <f>IF(ISBLANK(X213),"",IF(ISBLANK($O213),AL213,IF($J213="ANUAL",AL213*(1+Macroindicadores!I$7),IF(AND($I213="NOVO",MONTH($O213)=MONTH(AZ$4)),AL213*(1+Macroindicadores!I$7),IF(AND($J213="PONTUAL",MONTH($O213)=MONTH(AZ$4)),AL213*(1+Macroindicadores!I$7),IF(AND($J213="PONTUAL",MONTH($O213)&lt;MONTH(AZ$4)),MIN($AS213:AY213),IF(AND($I213="NOVO",MONTH($O213)&gt;MONTH(AZ$4)),AL213,IF(MONTH($O213)&gt;MONTH(AZ$4),AL213,IF(MONTH($O213)=MONTH(AZ$4),AL213*(1+Macroindicadores!I$7),AY213)))))))))</f>
        <v>0.44</v>
      </c>
      <c r="BA213" s="39">
        <f>IF(ISBLANK(Y213),"",IF(ISBLANK($O213),AM213,IF($J213="ANUAL",AM213*(1+Macroindicadores!J$7),IF(AND($I213="NOVO",MONTH($O213)=MONTH(BA$4)),AM213*(1+Macroindicadores!J$7),IF(AND($J213="PONTUAL",MONTH($O213)=MONTH(BA$4)),AM213*(1+Macroindicadores!J$7),IF(AND($J213="PONTUAL",MONTH($O213)&lt;MONTH(BA$4)),MIN($AS213:AZ213),IF(AND($I213="NOVO",MONTH($O213)&gt;MONTH(BA$4)),AM213,IF(MONTH($O213)&gt;MONTH(BA$4),AM213,IF(MONTH($O213)=MONTH(BA$4),AM213*(1+Macroindicadores!J$7),AZ213)))))))))</f>
        <v>0.44</v>
      </c>
      <c r="BB213" s="39">
        <f>IF(ISBLANK(Z213),"",IF(ISBLANK($O213),AN213,IF($J213="ANUAL",AN213*(1+Macroindicadores!K$7),IF(AND($I213="NOVO",MONTH($O213)=MONTH(BB$4)),AN213*(1+Macroindicadores!K$7),IF(AND($J213="PONTUAL",MONTH($O213)=MONTH(BB$4)),AN213*(1+Macroindicadores!K$7),IF(AND($J213="PONTUAL",MONTH($O213)&lt;MONTH(BB$4)),MIN($AS213:BA213),IF(AND($I213="NOVO",MONTH($O213)&gt;MONTH(BB$4)),AN213,IF(MONTH($O213)&gt;MONTH(BB$4),AN213,IF(MONTH($O213)=MONTH(BB$4),AN213*(1+Macroindicadores!K$7),BA213)))))))))</f>
        <v>0.44</v>
      </c>
      <c r="BC213" s="39">
        <f>IF(ISBLANK(AA213),"",IF(ISBLANK($O213),AO213,IF($J213="ANUAL",AO213*(1+Macroindicadores!L$7),IF(AND($I213="NOVO",MONTH($O213)=MONTH(BC$4)),AO213*(1+Macroindicadores!L$7),IF(AND($J213="PONTUAL",MONTH($O213)=MONTH(BC$4)),AO213*(1+Macroindicadores!L$7),IF(AND($J213="PONTUAL",MONTH($O213)&lt;MONTH(BC$4)),MIN($AS213:BB213),IF(AND($I213="NOVO",MONTH($O213)&gt;MONTH(BC$4)),AO213,IF(MONTH($O213)&gt;MONTH(BC$4),AO213,IF(MONTH($O213)=MONTH(BC$4),AO213*(1+Macroindicadores!L$7),BB213)))))))))</f>
        <v>0.44</v>
      </c>
      <c r="BD213" s="39">
        <f>IF(ISBLANK(AB213),"",IF(ISBLANK($O213),AP213,IF($J213="ANUAL",AP213*(1+Macroindicadores!M$7),IF(AND($I213="NOVO",MONTH($O213)=MONTH(BD$4)),AP213*(1+Macroindicadores!M$7),IF(AND($J213="PONTUAL",MONTH($O213)=MONTH(BD$4)),AP213*(1+Macroindicadores!M$7),IF(AND($J213="PONTUAL",MONTH($O213)&lt;MONTH(BD$4)),MIN($AS213:BC213),IF(AND($I213="NOVO",MONTH($O213)&gt;MONTH(BD$4)),AP213,IF(MONTH($O213)&gt;MONTH(BD$4),AP213,IF(MONTH($O213)=MONTH(BD$4),AP213*(1+Macroindicadores!M$7),BC213)))))))))</f>
        <v>0.44</v>
      </c>
      <c r="BE213" s="40">
        <f t="shared" si="101"/>
        <v>5.2800000000000011</v>
      </c>
      <c r="BG213" s="39">
        <f>IF(ISBLANK(Q213),"",AS213/Macroindicadores!B$2)</f>
        <v>7.4829931972789115E-2</v>
      </c>
      <c r="BH213" s="39">
        <f>IF(ISBLANK(R213),"",AT213/Macroindicadores!C$2)</f>
        <v>7.4829931972789115E-2</v>
      </c>
      <c r="BI213" s="39">
        <f>IF(ISBLANK(S213),"",AU213/Macroindicadores!D$2)</f>
        <v>7.4829931972789115E-2</v>
      </c>
      <c r="BJ213" s="39">
        <f>IF(ISBLANK(T213),"",AV213/Macroindicadores!E$2)</f>
        <v>7.4829931972789115E-2</v>
      </c>
      <c r="BK213" s="39">
        <f>IF(ISBLANK(U213),"",AW213/Macroindicadores!F$2)</f>
        <v>7.4829931972789115E-2</v>
      </c>
      <c r="BL213" s="39">
        <f>IF(ISBLANK(V213),"",AX213/Macroindicadores!G$2)</f>
        <v>7.4829931972789115E-2</v>
      </c>
      <c r="BM213" s="39">
        <f>IF(ISBLANK(W213),"",AY213/Macroindicadores!H$2)</f>
        <v>7.4829931972789115E-2</v>
      </c>
      <c r="BN213" s="39">
        <f>IF(ISBLANK(X213),"",AZ213/Macroindicadores!I$2)</f>
        <v>7.4829931972789115E-2</v>
      </c>
      <c r="BO213" s="39">
        <f>IF(ISBLANK(Y213),"",BA213/Macroindicadores!J$2)</f>
        <v>7.4829931972789115E-2</v>
      </c>
      <c r="BP213" s="39">
        <f>IF(ISBLANK(Z213),"",BB213/Macroindicadores!K$2)</f>
        <v>7.4829931972789115E-2</v>
      </c>
      <c r="BQ213" s="39">
        <f>IF(ISBLANK(AA213),"",BC213/Macroindicadores!L$2)</f>
        <v>7.4829931972789115E-2</v>
      </c>
      <c r="BR213" s="39">
        <f>IF(ISBLANK(AB213),"",BD213/Macroindicadores!M$2)</f>
        <v>7.4829931972789115E-2</v>
      </c>
      <c r="BS213" s="40">
        <f>IF(AND(ISBLANK($Q213),ISBLANK($R213),ISBLANK($S213),ISBLANK($T213),ISBLANK($U213),ISBLANK($V213),ISBLANK($W213),ISBLANK($X213),ISBLANK($Y213),ISBLANK($Z213),ISBLANK($AA213),ISBLANK($AB213)),"",SUM(BG213:BR213))</f>
        <v>0.89795918367346916</v>
      </c>
      <c r="BT213" s="25" t="str">
        <f>IF(ISBLANK($L213),"",_xlfn.XLOOKUP($L213,'CENTRO CUSTO'!$A:$A,'CENTRO CUSTO'!$E:$E,FALSE,0))</f>
        <v>G&amp;A BU</v>
      </c>
    </row>
    <row r="214" spans="1:72">
      <c r="A214" s="9" t="str">
        <f t="shared" si="80"/>
        <v>Budget</v>
      </c>
      <c r="B214" s="9">
        <f t="shared" si="77"/>
        <v>2026</v>
      </c>
      <c r="C214" s="18" t="str">
        <f>IF(ISBLANK($L214),"",_xlfn.XLOOKUP($L214,'CENTRO CUSTO'!$A:$A,'CENTRO CUSTO'!F:F,FALSE,0))</f>
        <v>Martini Meat</v>
      </c>
      <c r="D214" s="111" t="str">
        <f>IF(ISBLANK($L214),"",_xlfn.XLOOKUP($L214,'CENTRO CUSTO'!$A:$A,'CENTRO CUSTO'!G:G,FALSE,0))</f>
        <v>BU-MMAZ</v>
      </c>
      <c r="E214" s="18" t="str">
        <f>IF(ISBLANK($L214),"",_xlfn.XLOOKUP($L214,'CENTRO CUSTO'!$A:$A,'CENTRO CUSTO'!H:H,FALSE,0))</f>
        <v>G&amp;A</v>
      </c>
      <c r="F214" s="10" t="s">
        <v>217</v>
      </c>
      <c r="G214" s="10" t="s">
        <v>75</v>
      </c>
      <c r="H214" s="10" t="s">
        <v>218</v>
      </c>
      <c r="I214" s="11" t="s">
        <v>84</v>
      </c>
      <c r="J214" s="11" t="s">
        <v>78</v>
      </c>
      <c r="K214" s="11" t="s">
        <v>86</v>
      </c>
      <c r="L214" s="11" t="s">
        <v>35</v>
      </c>
      <c r="M214" s="18" t="str">
        <f>IF(ISBLANK($L214),"",_xlfn.XLOOKUP($L214,'CENTRO CUSTO'!$A:$A,'CENTRO CUSTO'!D:D,FALSE,0))</f>
        <v>Alexandre Ayabe</v>
      </c>
      <c r="N214" s="11" t="s">
        <v>106</v>
      </c>
      <c r="O214" s="12"/>
      <c r="P214" s="11" t="s">
        <v>81</v>
      </c>
      <c r="Q214" s="41">
        <f>264000*Rateio!$E$424/12</f>
        <v>14300</v>
      </c>
      <c r="R214" s="41">
        <f>264000*Rateio!$E$424/12</f>
        <v>14300</v>
      </c>
      <c r="S214" s="41">
        <f>264000*Rateio!$E$424/12</f>
        <v>14300</v>
      </c>
      <c r="T214" s="41">
        <f>264000*Rateio!$E$424/12</f>
        <v>14300</v>
      </c>
      <c r="U214" s="41">
        <f>264000*Rateio!$E$424/12</f>
        <v>14300</v>
      </c>
      <c r="V214" s="41">
        <f>264000*Rateio!$E$424/12</f>
        <v>14300</v>
      </c>
      <c r="W214" s="41">
        <f>264000*Rateio!$E$424/12</f>
        <v>14300</v>
      </c>
      <c r="X214" s="41">
        <f>264000*Rateio!$E$424/12</f>
        <v>14300</v>
      </c>
      <c r="Y214" s="41">
        <f>264000*Rateio!$E$424/12</f>
        <v>14300</v>
      </c>
      <c r="Z214" s="41">
        <f>264000*Rateio!$E$424/12</f>
        <v>14300</v>
      </c>
      <c r="AA214" s="41">
        <f>264000*Rateio!$E$424/12</f>
        <v>14300</v>
      </c>
      <c r="AB214" s="41">
        <f>264000*Rateio!$E$424/12</f>
        <v>14300</v>
      </c>
      <c r="AC214" s="116">
        <f t="shared" si="99"/>
        <v>171600</v>
      </c>
      <c r="AE214" s="39">
        <f>IF(ISBLANK(Q214),"",IF($P214="BRL",Q214,Q214*Macroindicadores!B$2)/1000)</f>
        <v>14.3</v>
      </c>
      <c r="AF214" s="39">
        <f>IF(ISBLANK(R214),"",IF($P214="BRL",R214,R214*Macroindicadores!C$2)/1000)</f>
        <v>14.3</v>
      </c>
      <c r="AG214" s="39">
        <f>IF(ISBLANK(S214),"",IF($P214="BRL",S214,S214*Macroindicadores!D$2)/1000)</f>
        <v>14.3</v>
      </c>
      <c r="AH214" s="39">
        <f>IF(ISBLANK(T214),"",IF($P214="BRL",T214,T214*Macroindicadores!E$2)/1000)</f>
        <v>14.3</v>
      </c>
      <c r="AI214" s="39">
        <f>IF(ISBLANK(U214),"",IF($P214="BRL",U214,U214*Macroindicadores!F$2)/1000)</f>
        <v>14.3</v>
      </c>
      <c r="AJ214" s="39">
        <f>IF(ISBLANK(V214),"",IF($P214="BRL",V214,V214*Macroindicadores!G$2)/1000)</f>
        <v>14.3</v>
      </c>
      <c r="AK214" s="39">
        <f>IF(ISBLANK(W214),"",IF($P214="BRL",W214,W214*Macroindicadores!H$2)/1000)</f>
        <v>14.3</v>
      </c>
      <c r="AL214" s="39">
        <f>IF(ISBLANK(X214),"",IF($P214="BRL",X214,X214*Macroindicadores!I$2)/1000)</f>
        <v>14.3</v>
      </c>
      <c r="AM214" s="39">
        <f>IF(ISBLANK(Y214),"",IF($P214="BRL",Y214,Y214*Macroindicadores!J$2)/1000)</f>
        <v>14.3</v>
      </c>
      <c r="AN214" s="39">
        <f>IF(ISBLANK(Z214),"",IF($P214="BRL",Z214,Z214*Macroindicadores!K$2)/1000)</f>
        <v>14.3</v>
      </c>
      <c r="AO214" s="39">
        <f>IF(ISBLANK(AA214),"",IF($P214="BRL",AA214,AA214*Macroindicadores!L$2)/1000)</f>
        <v>14.3</v>
      </c>
      <c r="AP214" s="39">
        <f>IF(ISBLANK(AB214),"",IF($P214="BRL",AB214,AB214*Macroindicadores!M$2)/1000)</f>
        <v>14.3</v>
      </c>
      <c r="AQ214" s="40">
        <f t="shared" si="100"/>
        <v>171.60000000000002</v>
      </c>
      <c r="AS214" s="39">
        <f>IF(ISBLANK(Q214),"",IF(ISBLANK($O214),AE214,IF($J214="ANUAL",AE214*(1+Macroindicadores!B$7),IF(AND($I214="NOVO",MONTH($O214)=MONTH(AS$4)),AE214*(1+Macroindicadores!B$7),IF(AND($J214="PONTUAL",MONTH($O214)=MONTH(AS$4)),AE214*(1+Macroindicadores!B$7),IF(AND($J214="PONTUAL",MONTH($O214)&lt;MONTH(AS$4)),MIN(AR214:$AS214),IF(AND($I214="NOVO",MONTH($O214)&gt;MONTH(AS$4)),AE214,IF(MONTH($O214)&gt;MONTH(AS$4),AE214,IF(MONTH($O214)=MONTH(AS$4),AE214*(1+Macroindicadores!B$7),AR214)))))))))</f>
        <v>14.3</v>
      </c>
      <c r="AT214" s="39">
        <f>IF(ISBLANK(R214),"",IF(ISBLANK($O214),AF214,IF($J214="ANUAL",AF214*(1+Macroindicadores!C$7),IF(AND($I214="NOVO",MONTH($O214)=MONTH(AT$4)),AF214*(1+Macroindicadores!C$7),IF(AND($J214="PONTUAL",MONTH($O214)=MONTH(AT$4)),AF214*(1+Macroindicadores!C$7),IF(AND($J214="PONTUAL",MONTH($O214)&lt;MONTH(AT$4)),MIN($AS214:AS214),IF(AND($I214="NOVO",MONTH($O214)&gt;MONTH(AT$4)),AF214,IF(MONTH($O214)&gt;MONTH(AT$4),AF214,IF(MONTH($O214)=MONTH(AT$4),AF214*(1+Macroindicadores!C$7),AS214)))))))))</f>
        <v>14.3</v>
      </c>
      <c r="AU214" s="39">
        <f>IF(ISBLANK(S214),"",IF(ISBLANK($O214),AG214,IF($J214="ANUAL",AG214*(1+Macroindicadores!D$7),IF(AND($I214="NOVO",MONTH($O214)=MONTH(AU$4)),AG214*(1+Macroindicadores!D$7),IF(AND($J214="PONTUAL",MONTH($O214)=MONTH(AU$4)),AG214*(1+Macroindicadores!D$7),IF(AND($J214="PONTUAL",MONTH($O214)&lt;MONTH(AU$4)),MIN($AS214:AT214),IF(AND($I214="NOVO",MONTH($O214)&gt;MONTH(AU$4)),AG214,IF(MONTH($O214)&gt;MONTH(AU$4),AG214,IF(MONTH($O214)=MONTH(AU$4),AG214*(1+Macroindicadores!D$7),AT214)))))))))</f>
        <v>14.3</v>
      </c>
      <c r="AV214" s="39">
        <f>IF(ISBLANK(T214),"",IF(ISBLANK($O214),AH214,IF($J214="ANUAL",AH214*(1+Macroindicadores!E$7),IF(AND($I214="NOVO",MONTH($O214)=MONTH(AV$4)),AH214*(1+Macroindicadores!E$7),IF(AND($J214="PONTUAL",MONTH($O214)=MONTH(AV$4)),AH214*(1+Macroindicadores!E$7),IF(AND($J214="PONTUAL",MONTH($O214)&lt;MONTH(AV$4)),MIN($AS214:AU214),IF(AND($I214="NOVO",MONTH($O214)&gt;MONTH(AV$4)),AH214,IF(MONTH($O214)&gt;MONTH(AV$4),AH214,IF(MONTH($O214)=MONTH(AV$4),AH214*(1+Macroindicadores!E$7),AU214)))))))))</f>
        <v>14.3</v>
      </c>
      <c r="AW214" s="39">
        <f>IF(ISBLANK(U214),"",IF(ISBLANK($O214),AI214,IF($J214="ANUAL",AI214*(1+Macroindicadores!F$7),IF(AND($I214="NOVO",MONTH($O214)=MONTH(AW$4)),AI214*(1+Macroindicadores!F$7),IF(AND($J214="PONTUAL",MONTH($O214)=MONTH(AW$4)),AI214*(1+Macroindicadores!F$7),IF(AND($J214="PONTUAL",MONTH($O214)&lt;MONTH(AW$4)),MIN($AS214:AV214),IF(AND($I214="NOVO",MONTH($O214)&gt;MONTH(AW$4)),AI214,IF(MONTH($O214)&gt;MONTH(AW$4),AI214,IF(MONTH($O214)=MONTH(AW$4),AI214*(1+Macroindicadores!F$7),AV214)))))))))</f>
        <v>14.3</v>
      </c>
      <c r="AX214" s="39">
        <f>IF(ISBLANK(V214),"",IF(ISBLANK($O214),AJ214,IF($J214="ANUAL",AJ214*(1+Macroindicadores!G$7),IF(AND($I214="NOVO",MONTH($O214)=MONTH(AX$4)),AJ214*(1+Macroindicadores!G$7),IF(AND($J214="PONTUAL",MONTH($O214)=MONTH(AX$4)),AJ214*(1+Macroindicadores!G$7),IF(AND($J214="PONTUAL",MONTH($O214)&lt;MONTH(AX$4)),MIN($AS214:AW214),IF(AND($I214="NOVO",MONTH($O214)&gt;MONTH(AX$4)),AJ214,IF(MONTH($O214)&gt;MONTH(AX$4),AJ214,IF(MONTH($O214)=MONTH(AX$4),AJ214*(1+Macroindicadores!G$7),AW214)))))))))</f>
        <v>14.3</v>
      </c>
      <c r="AY214" s="39">
        <f>IF(ISBLANK(W214),"",IF(ISBLANK($O214),AK214,IF($J214="ANUAL",AK214*(1+Macroindicadores!H$7),IF(AND($I214="NOVO",MONTH($O214)=MONTH(AY$4)),AK214*(1+Macroindicadores!H$7),IF(AND($J214="PONTUAL",MONTH($O214)=MONTH(AY$4)),AK214*(1+Macroindicadores!H$7),IF(AND($J214="PONTUAL",MONTH($O214)&lt;MONTH(AY$4)),MIN($AS214:AX214),IF(AND($I214="NOVO",MONTH($O214)&gt;MONTH(AY$4)),AK214,IF(MONTH($O214)&gt;MONTH(AY$4),AK214,IF(MONTH($O214)=MONTH(AY$4),AK214*(1+Macroindicadores!H$7),AX214)))))))))</f>
        <v>14.3</v>
      </c>
      <c r="AZ214" s="39">
        <f>IF(ISBLANK(X214),"",IF(ISBLANK($O214),AL214,IF($J214="ANUAL",AL214*(1+Macroindicadores!I$7),IF(AND($I214="NOVO",MONTH($O214)=MONTH(AZ$4)),AL214*(1+Macroindicadores!I$7),IF(AND($J214="PONTUAL",MONTH($O214)=MONTH(AZ$4)),AL214*(1+Macroindicadores!I$7),IF(AND($J214="PONTUAL",MONTH($O214)&lt;MONTH(AZ$4)),MIN($AS214:AY214),IF(AND($I214="NOVO",MONTH($O214)&gt;MONTH(AZ$4)),AL214,IF(MONTH($O214)&gt;MONTH(AZ$4),AL214,IF(MONTH($O214)=MONTH(AZ$4),AL214*(1+Macroindicadores!I$7),AY214)))))))))</f>
        <v>14.3</v>
      </c>
      <c r="BA214" s="39">
        <f>IF(ISBLANK(Y214),"",IF(ISBLANK($O214),AM214,IF($J214="ANUAL",AM214*(1+Macroindicadores!J$7),IF(AND($I214="NOVO",MONTH($O214)=MONTH(BA$4)),AM214*(1+Macroindicadores!J$7),IF(AND($J214="PONTUAL",MONTH($O214)=MONTH(BA$4)),AM214*(1+Macroindicadores!J$7),IF(AND($J214="PONTUAL",MONTH($O214)&lt;MONTH(BA$4)),MIN($AS214:AZ214),IF(AND($I214="NOVO",MONTH($O214)&gt;MONTH(BA$4)),AM214,IF(MONTH($O214)&gt;MONTH(BA$4),AM214,IF(MONTH($O214)=MONTH(BA$4),AM214*(1+Macroindicadores!J$7),AZ214)))))))))</f>
        <v>14.3</v>
      </c>
      <c r="BB214" s="39">
        <f>IF(ISBLANK(Z214),"",IF(ISBLANK($O214),AN214,IF($J214="ANUAL",AN214*(1+Macroindicadores!K$7),IF(AND($I214="NOVO",MONTH($O214)=MONTH(BB$4)),AN214*(1+Macroindicadores!K$7),IF(AND($J214="PONTUAL",MONTH($O214)=MONTH(BB$4)),AN214*(1+Macroindicadores!K$7),IF(AND($J214="PONTUAL",MONTH($O214)&lt;MONTH(BB$4)),MIN($AS214:BA214),IF(AND($I214="NOVO",MONTH($O214)&gt;MONTH(BB$4)),AN214,IF(MONTH($O214)&gt;MONTH(BB$4),AN214,IF(MONTH($O214)=MONTH(BB$4),AN214*(1+Macroindicadores!K$7),BA214)))))))))</f>
        <v>14.3</v>
      </c>
      <c r="BC214" s="39">
        <f>IF(ISBLANK(AA214),"",IF(ISBLANK($O214),AO214,IF($J214="ANUAL",AO214*(1+Macroindicadores!L$7),IF(AND($I214="NOVO",MONTH($O214)=MONTH(BC$4)),AO214*(1+Macroindicadores!L$7),IF(AND($J214="PONTUAL",MONTH($O214)=MONTH(BC$4)),AO214*(1+Macroindicadores!L$7),IF(AND($J214="PONTUAL",MONTH($O214)&lt;MONTH(BC$4)),MIN($AS214:BB214),IF(AND($I214="NOVO",MONTH($O214)&gt;MONTH(BC$4)),AO214,IF(MONTH($O214)&gt;MONTH(BC$4),AO214,IF(MONTH($O214)=MONTH(BC$4),AO214*(1+Macroindicadores!L$7),BB214)))))))))</f>
        <v>14.3</v>
      </c>
      <c r="BD214" s="39">
        <f>IF(ISBLANK(AB214),"",IF(ISBLANK($O214),AP214,IF($J214="ANUAL",AP214*(1+Macroindicadores!M$7),IF(AND($I214="NOVO",MONTH($O214)=MONTH(BD$4)),AP214*(1+Macroindicadores!M$7),IF(AND($J214="PONTUAL",MONTH($O214)=MONTH(BD$4)),AP214*(1+Macroindicadores!M$7),IF(AND($J214="PONTUAL",MONTH($O214)&lt;MONTH(BD$4)),MIN($AS214:BC214),IF(AND($I214="NOVO",MONTH($O214)&gt;MONTH(BD$4)),AP214,IF(MONTH($O214)&gt;MONTH(BD$4),AP214,IF(MONTH($O214)=MONTH(BD$4),AP214*(1+Macroindicadores!M$7),BC214)))))))))</f>
        <v>14.3</v>
      </c>
      <c r="BE214" s="40">
        <f t="shared" si="101"/>
        <v>171.60000000000002</v>
      </c>
      <c r="BG214" s="39">
        <f>IF(ISBLANK(Q214),"",AS214/Macroindicadores!B$2)</f>
        <v>2.4319727891156466</v>
      </c>
      <c r="BH214" s="39">
        <f>IF(ISBLANK(R214),"",AT214/Macroindicadores!C$2)</f>
        <v>2.4319727891156466</v>
      </c>
      <c r="BI214" s="39">
        <f>IF(ISBLANK(S214),"",AU214/Macroindicadores!D$2)</f>
        <v>2.4319727891156466</v>
      </c>
      <c r="BJ214" s="39">
        <f>IF(ISBLANK(T214),"",AV214/Macroindicadores!E$2)</f>
        <v>2.4319727891156466</v>
      </c>
      <c r="BK214" s="39">
        <f>IF(ISBLANK(U214),"",AW214/Macroindicadores!F$2)</f>
        <v>2.4319727891156466</v>
      </c>
      <c r="BL214" s="39">
        <f>IF(ISBLANK(V214),"",AX214/Macroindicadores!G$2)</f>
        <v>2.4319727891156466</v>
      </c>
      <c r="BM214" s="39">
        <f>IF(ISBLANK(W214),"",AY214/Macroindicadores!H$2)</f>
        <v>2.4319727891156466</v>
      </c>
      <c r="BN214" s="39">
        <f>IF(ISBLANK(X214),"",AZ214/Macroindicadores!I$2)</f>
        <v>2.4319727891156466</v>
      </c>
      <c r="BO214" s="39">
        <f>IF(ISBLANK(Y214),"",BA214/Macroindicadores!J$2)</f>
        <v>2.4319727891156466</v>
      </c>
      <c r="BP214" s="39">
        <f>IF(ISBLANK(Z214),"",BB214/Macroindicadores!K$2)</f>
        <v>2.4319727891156466</v>
      </c>
      <c r="BQ214" s="39">
        <f>IF(ISBLANK(AA214),"",BC214/Macroindicadores!L$2)</f>
        <v>2.4319727891156466</v>
      </c>
      <c r="BR214" s="39">
        <f>IF(ISBLANK(AB214),"",BD214/Macroindicadores!M$2)</f>
        <v>2.4319727891156466</v>
      </c>
      <c r="BS214" s="40">
        <f>IF(AND(ISBLANK($Q214),ISBLANK($R214),ISBLANK($S214),ISBLANK($T214),ISBLANK($U214),ISBLANK($V214),ISBLANK($W214),ISBLANK($X214),ISBLANK($Y214),ISBLANK($Z214),ISBLANK($AA214),ISBLANK($AB214)),"",SUM(BG214:BR214))</f>
        <v>29.183673469387767</v>
      </c>
      <c r="BT214" s="25" t="str">
        <f>IF(ISBLANK($L214),"",_xlfn.XLOOKUP($L214,'CENTRO CUSTO'!$A:$A,'CENTRO CUSTO'!$E:$E,FALSE,0))</f>
        <v>G&amp;A BU</v>
      </c>
    </row>
    <row r="215" spans="1:72">
      <c r="A215" s="9" t="str">
        <f t="shared" si="80"/>
        <v>Budget</v>
      </c>
      <c r="B215" s="9">
        <f t="shared" si="77"/>
        <v>2026</v>
      </c>
      <c r="C215" s="18" t="str">
        <f>IF(ISBLANK($L215),"",_xlfn.XLOOKUP($L215,'CENTRO CUSTO'!$A:$A,'CENTRO CUSTO'!F:F,FALSE,0))</f>
        <v>MRV</v>
      </c>
      <c r="D215" s="111" t="str">
        <f>IF(ISBLANK($L215),"",_xlfn.XLOOKUP($L215,'CENTRO CUSTO'!$A:$A,'CENTRO CUSTO'!G:G,FALSE,0))</f>
        <v>BU-MRV</v>
      </c>
      <c r="E215" s="18" t="str">
        <f>IF(ISBLANK($L215),"",_xlfn.XLOOKUP($L215,'CENTRO CUSTO'!$A:$A,'CENTRO CUSTO'!H:H,FALSE,0))</f>
        <v>G&amp;A</v>
      </c>
      <c r="F215" s="10" t="s">
        <v>217</v>
      </c>
      <c r="G215" s="10" t="s">
        <v>75</v>
      </c>
      <c r="H215" s="10" t="s">
        <v>218</v>
      </c>
      <c r="I215" s="11" t="s">
        <v>84</v>
      </c>
      <c r="J215" s="11" t="s">
        <v>78</v>
      </c>
      <c r="K215" s="11" t="s">
        <v>86</v>
      </c>
      <c r="L215" s="11" t="s">
        <v>45</v>
      </c>
      <c r="M215" s="18" t="str">
        <f>IF(ISBLANK($L215),"",_xlfn.XLOOKUP($L215,'CENTRO CUSTO'!$A:$A,'CENTRO CUSTO'!D:D,FALSE,0))</f>
        <v>Alexandre Ayabe</v>
      </c>
      <c r="N215" s="11" t="s">
        <v>106</v>
      </c>
      <c r="O215" s="12"/>
      <c r="P215" s="11" t="s">
        <v>81</v>
      </c>
      <c r="Q215" s="41">
        <f>264000*Rateio!$E$440/12</f>
        <v>2860</v>
      </c>
      <c r="R215" s="41">
        <f>264000*Rateio!$E$440/12</f>
        <v>2860</v>
      </c>
      <c r="S215" s="41">
        <f>264000*Rateio!$E$440/12</f>
        <v>2860</v>
      </c>
      <c r="T215" s="41">
        <f>264000*Rateio!$E$440/12</f>
        <v>2860</v>
      </c>
      <c r="U215" s="41">
        <f>264000*Rateio!$E$440/12</f>
        <v>2860</v>
      </c>
      <c r="V215" s="41">
        <f>264000*Rateio!$E$440/12</f>
        <v>2860</v>
      </c>
      <c r="W215" s="41">
        <f>264000*Rateio!$E$440/12</f>
        <v>2860</v>
      </c>
      <c r="X215" s="41">
        <f>264000*Rateio!$E$440/12</f>
        <v>2860</v>
      </c>
      <c r="Y215" s="41">
        <f>264000*Rateio!$E$440/12</f>
        <v>2860</v>
      </c>
      <c r="Z215" s="41">
        <f>264000*Rateio!$E$440/12</f>
        <v>2860</v>
      </c>
      <c r="AA215" s="41">
        <f>264000*Rateio!$E$440/12</f>
        <v>2860</v>
      </c>
      <c r="AB215" s="41">
        <f>264000*Rateio!$E$440/12</f>
        <v>2860</v>
      </c>
      <c r="AC215" s="116">
        <f t="shared" si="99"/>
        <v>34320</v>
      </c>
      <c r="AE215" s="39">
        <f>IF(ISBLANK(Q215),"",IF($P215="BRL",Q215,Q215*Macroindicadores!B$2)/1000)</f>
        <v>2.86</v>
      </c>
      <c r="AF215" s="39">
        <f>IF(ISBLANK(R215),"",IF($P215="BRL",R215,R215*Macroindicadores!C$2)/1000)</f>
        <v>2.86</v>
      </c>
      <c r="AG215" s="39">
        <f>IF(ISBLANK(S215),"",IF($P215="BRL",S215,S215*Macroindicadores!D$2)/1000)</f>
        <v>2.86</v>
      </c>
      <c r="AH215" s="39">
        <f>IF(ISBLANK(T215),"",IF($P215="BRL",T215,T215*Macroindicadores!E$2)/1000)</f>
        <v>2.86</v>
      </c>
      <c r="AI215" s="39">
        <f>IF(ISBLANK(U215),"",IF($P215="BRL",U215,U215*Macroindicadores!F$2)/1000)</f>
        <v>2.86</v>
      </c>
      <c r="AJ215" s="39">
        <f>IF(ISBLANK(V215),"",IF($P215="BRL",V215,V215*Macroindicadores!G$2)/1000)</f>
        <v>2.86</v>
      </c>
      <c r="AK215" s="39">
        <f>IF(ISBLANK(W215),"",IF($P215="BRL",W215,W215*Macroindicadores!H$2)/1000)</f>
        <v>2.86</v>
      </c>
      <c r="AL215" s="39">
        <f>IF(ISBLANK(X215),"",IF($P215="BRL",X215,X215*Macroindicadores!I$2)/1000)</f>
        <v>2.86</v>
      </c>
      <c r="AM215" s="39">
        <f>IF(ISBLANK(Y215),"",IF($P215="BRL",Y215,Y215*Macroindicadores!J$2)/1000)</f>
        <v>2.86</v>
      </c>
      <c r="AN215" s="39">
        <f>IF(ISBLANK(Z215),"",IF($P215="BRL",Z215,Z215*Macroindicadores!K$2)/1000)</f>
        <v>2.86</v>
      </c>
      <c r="AO215" s="39">
        <f>IF(ISBLANK(AA215),"",IF($P215="BRL",AA215,AA215*Macroindicadores!L$2)/1000)</f>
        <v>2.86</v>
      </c>
      <c r="AP215" s="39">
        <f>IF(ISBLANK(AB215),"",IF($P215="BRL",AB215,AB215*Macroindicadores!M$2)/1000)</f>
        <v>2.86</v>
      </c>
      <c r="AQ215" s="40">
        <f t="shared" si="100"/>
        <v>34.32</v>
      </c>
      <c r="AS215" s="39">
        <f>IF(ISBLANK(Q215),"",IF(ISBLANK($O215),AE215,IF($J215="ANUAL",AE215*(1+Macroindicadores!B$7),IF(AND($I215="NOVO",MONTH($O215)=MONTH(AS$4)),AE215*(1+Macroindicadores!B$7),IF(AND($J215="PONTUAL",MONTH($O215)=MONTH(AS$4)),AE215*(1+Macroindicadores!B$7),IF(AND($J215="PONTUAL",MONTH($O215)&lt;MONTH(AS$4)),MIN(AR215:$AS215),IF(AND($I215="NOVO",MONTH($O215)&gt;MONTH(AS$4)),AE215,IF(MONTH($O215)&gt;MONTH(AS$4),AE215,IF(MONTH($O215)=MONTH(AS$4),AE215*(1+Macroindicadores!B$7),AR215)))))))))</f>
        <v>2.86</v>
      </c>
      <c r="AT215" s="39">
        <f>IF(ISBLANK(R215),"",IF(ISBLANK($O215),AF215,IF($J215="ANUAL",AF215*(1+Macroindicadores!C$7),IF(AND($I215="NOVO",MONTH($O215)=MONTH(AT$4)),AF215*(1+Macroindicadores!C$7),IF(AND($J215="PONTUAL",MONTH($O215)=MONTH(AT$4)),AF215*(1+Macroindicadores!C$7),IF(AND($J215="PONTUAL",MONTH($O215)&lt;MONTH(AT$4)),MIN($AS215:AS215),IF(AND($I215="NOVO",MONTH($O215)&gt;MONTH(AT$4)),AF215,IF(MONTH($O215)&gt;MONTH(AT$4),AF215,IF(MONTH($O215)=MONTH(AT$4),AF215*(1+Macroindicadores!C$7),AS215)))))))))</f>
        <v>2.86</v>
      </c>
      <c r="AU215" s="39">
        <f>IF(ISBLANK(S215),"",IF(ISBLANK($O215),AG215,IF($J215="ANUAL",AG215*(1+Macroindicadores!D$7),IF(AND($I215="NOVO",MONTH($O215)=MONTH(AU$4)),AG215*(1+Macroindicadores!D$7),IF(AND($J215="PONTUAL",MONTH($O215)=MONTH(AU$4)),AG215*(1+Macroindicadores!D$7),IF(AND($J215="PONTUAL",MONTH($O215)&lt;MONTH(AU$4)),MIN($AS215:AT215),IF(AND($I215="NOVO",MONTH($O215)&gt;MONTH(AU$4)),AG215,IF(MONTH($O215)&gt;MONTH(AU$4),AG215,IF(MONTH($O215)=MONTH(AU$4),AG215*(1+Macroindicadores!D$7),AT215)))))))))</f>
        <v>2.86</v>
      </c>
      <c r="AV215" s="39">
        <f>IF(ISBLANK(T215),"",IF(ISBLANK($O215),AH215,IF($J215="ANUAL",AH215*(1+Macroindicadores!E$7),IF(AND($I215="NOVO",MONTH($O215)=MONTH(AV$4)),AH215*(1+Macroindicadores!E$7),IF(AND($J215="PONTUAL",MONTH($O215)=MONTH(AV$4)),AH215*(1+Macroindicadores!E$7),IF(AND($J215="PONTUAL",MONTH($O215)&lt;MONTH(AV$4)),MIN($AS215:AU215),IF(AND($I215="NOVO",MONTH($O215)&gt;MONTH(AV$4)),AH215,IF(MONTH($O215)&gt;MONTH(AV$4),AH215,IF(MONTH($O215)=MONTH(AV$4),AH215*(1+Macroindicadores!E$7),AU215)))))))))</f>
        <v>2.86</v>
      </c>
      <c r="AW215" s="39">
        <f>IF(ISBLANK(U215),"",IF(ISBLANK($O215),AI215,IF($J215="ANUAL",AI215*(1+Macroindicadores!F$7),IF(AND($I215="NOVO",MONTH($O215)=MONTH(AW$4)),AI215*(1+Macroindicadores!F$7),IF(AND($J215="PONTUAL",MONTH($O215)=MONTH(AW$4)),AI215*(1+Macroindicadores!F$7),IF(AND($J215="PONTUAL",MONTH($O215)&lt;MONTH(AW$4)),MIN($AS215:AV215),IF(AND($I215="NOVO",MONTH($O215)&gt;MONTH(AW$4)),AI215,IF(MONTH($O215)&gt;MONTH(AW$4),AI215,IF(MONTH($O215)=MONTH(AW$4),AI215*(1+Macroindicadores!F$7),AV215)))))))))</f>
        <v>2.86</v>
      </c>
      <c r="AX215" s="39">
        <f>IF(ISBLANK(V215),"",IF(ISBLANK($O215),AJ215,IF($J215="ANUAL",AJ215*(1+Macroindicadores!G$7),IF(AND($I215="NOVO",MONTH($O215)=MONTH(AX$4)),AJ215*(1+Macroindicadores!G$7),IF(AND($J215="PONTUAL",MONTH($O215)=MONTH(AX$4)),AJ215*(1+Macroindicadores!G$7),IF(AND($J215="PONTUAL",MONTH($O215)&lt;MONTH(AX$4)),MIN($AS215:AW215),IF(AND($I215="NOVO",MONTH($O215)&gt;MONTH(AX$4)),AJ215,IF(MONTH($O215)&gt;MONTH(AX$4),AJ215,IF(MONTH($O215)=MONTH(AX$4),AJ215*(1+Macroindicadores!G$7),AW215)))))))))</f>
        <v>2.86</v>
      </c>
      <c r="AY215" s="39">
        <f>IF(ISBLANK(W215),"",IF(ISBLANK($O215),AK215,IF($J215="ANUAL",AK215*(1+Macroindicadores!H$7),IF(AND($I215="NOVO",MONTH($O215)=MONTH(AY$4)),AK215*(1+Macroindicadores!H$7),IF(AND($J215="PONTUAL",MONTH($O215)=MONTH(AY$4)),AK215*(1+Macroindicadores!H$7),IF(AND($J215="PONTUAL",MONTH($O215)&lt;MONTH(AY$4)),MIN($AS215:AX215),IF(AND($I215="NOVO",MONTH($O215)&gt;MONTH(AY$4)),AK215,IF(MONTH($O215)&gt;MONTH(AY$4),AK215,IF(MONTH($O215)=MONTH(AY$4),AK215*(1+Macroindicadores!H$7),AX215)))))))))</f>
        <v>2.86</v>
      </c>
      <c r="AZ215" s="39">
        <f>IF(ISBLANK(X215),"",IF(ISBLANK($O215),AL215,IF($J215="ANUAL",AL215*(1+Macroindicadores!I$7),IF(AND($I215="NOVO",MONTH($O215)=MONTH(AZ$4)),AL215*(1+Macroindicadores!I$7),IF(AND($J215="PONTUAL",MONTH($O215)=MONTH(AZ$4)),AL215*(1+Macroindicadores!I$7),IF(AND($J215="PONTUAL",MONTH($O215)&lt;MONTH(AZ$4)),MIN($AS215:AY215),IF(AND($I215="NOVO",MONTH($O215)&gt;MONTH(AZ$4)),AL215,IF(MONTH($O215)&gt;MONTH(AZ$4),AL215,IF(MONTH($O215)=MONTH(AZ$4),AL215*(1+Macroindicadores!I$7),AY215)))))))))</f>
        <v>2.86</v>
      </c>
      <c r="BA215" s="39">
        <f>IF(ISBLANK(Y215),"",IF(ISBLANK($O215),AM215,IF($J215="ANUAL",AM215*(1+Macroindicadores!J$7),IF(AND($I215="NOVO",MONTH($O215)=MONTH(BA$4)),AM215*(1+Macroindicadores!J$7),IF(AND($J215="PONTUAL",MONTH($O215)=MONTH(BA$4)),AM215*(1+Macroindicadores!J$7),IF(AND($J215="PONTUAL",MONTH($O215)&lt;MONTH(BA$4)),MIN($AS215:AZ215),IF(AND($I215="NOVO",MONTH($O215)&gt;MONTH(BA$4)),AM215,IF(MONTH($O215)&gt;MONTH(BA$4),AM215,IF(MONTH($O215)=MONTH(BA$4),AM215*(1+Macroindicadores!J$7),AZ215)))))))))</f>
        <v>2.86</v>
      </c>
      <c r="BB215" s="39">
        <f>IF(ISBLANK(Z215),"",IF(ISBLANK($O215),AN215,IF($J215="ANUAL",AN215*(1+Macroindicadores!K$7),IF(AND($I215="NOVO",MONTH($O215)=MONTH(BB$4)),AN215*(1+Macroindicadores!K$7),IF(AND($J215="PONTUAL",MONTH($O215)=MONTH(BB$4)),AN215*(1+Macroindicadores!K$7),IF(AND($J215="PONTUAL",MONTH($O215)&lt;MONTH(BB$4)),MIN($AS215:BA215),IF(AND($I215="NOVO",MONTH($O215)&gt;MONTH(BB$4)),AN215,IF(MONTH($O215)&gt;MONTH(BB$4),AN215,IF(MONTH($O215)=MONTH(BB$4),AN215*(1+Macroindicadores!K$7),BA215)))))))))</f>
        <v>2.86</v>
      </c>
      <c r="BC215" s="39">
        <f>IF(ISBLANK(AA215),"",IF(ISBLANK($O215),AO215,IF($J215="ANUAL",AO215*(1+Macroindicadores!L$7),IF(AND($I215="NOVO",MONTH($O215)=MONTH(BC$4)),AO215*(1+Macroindicadores!L$7),IF(AND($J215="PONTUAL",MONTH($O215)=MONTH(BC$4)),AO215*(1+Macroindicadores!L$7),IF(AND($J215="PONTUAL",MONTH($O215)&lt;MONTH(BC$4)),MIN($AS215:BB215),IF(AND($I215="NOVO",MONTH($O215)&gt;MONTH(BC$4)),AO215,IF(MONTH($O215)&gt;MONTH(BC$4),AO215,IF(MONTH($O215)=MONTH(BC$4),AO215*(1+Macroindicadores!L$7),BB215)))))))))</f>
        <v>2.86</v>
      </c>
      <c r="BD215" s="39">
        <f>IF(ISBLANK(AB215),"",IF(ISBLANK($O215),AP215,IF($J215="ANUAL",AP215*(1+Macroindicadores!M$7),IF(AND($I215="NOVO",MONTH($O215)=MONTH(BD$4)),AP215*(1+Macroindicadores!M$7),IF(AND($J215="PONTUAL",MONTH($O215)=MONTH(BD$4)),AP215*(1+Macroindicadores!M$7),IF(AND($J215="PONTUAL",MONTH($O215)&lt;MONTH(BD$4)),MIN($AS215:BC215),IF(AND($I215="NOVO",MONTH($O215)&gt;MONTH(BD$4)),AP215,IF(MONTH($O215)&gt;MONTH(BD$4),AP215,IF(MONTH($O215)=MONTH(BD$4),AP215*(1+Macroindicadores!M$7),BC215)))))))))</f>
        <v>2.86</v>
      </c>
      <c r="BE215" s="40">
        <f t="shared" si="101"/>
        <v>34.32</v>
      </c>
      <c r="BG215" s="39">
        <f>IF(ISBLANK(Q215),"",AS215/Macroindicadores!B$2)</f>
        <v>0.48639455782312924</v>
      </c>
      <c r="BH215" s="39">
        <f>IF(ISBLANK(R215),"",AT215/Macroindicadores!C$2)</f>
        <v>0.48639455782312924</v>
      </c>
      <c r="BI215" s="39">
        <f>IF(ISBLANK(S215),"",AU215/Macroindicadores!D$2)</f>
        <v>0.48639455782312924</v>
      </c>
      <c r="BJ215" s="39">
        <f>IF(ISBLANK(T215),"",AV215/Macroindicadores!E$2)</f>
        <v>0.48639455782312924</v>
      </c>
      <c r="BK215" s="39">
        <f>IF(ISBLANK(U215),"",AW215/Macroindicadores!F$2)</f>
        <v>0.48639455782312924</v>
      </c>
      <c r="BL215" s="39">
        <f>IF(ISBLANK(V215),"",AX215/Macroindicadores!G$2)</f>
        <v>0.48639455782312924</v>
      </c>
      <c r="BM215" s="39">
        <f>IF(ISBLANK(W215),"",AY215/Macroindicadores!H$2)</f>
        <v>0.48639455782312924</v>
      </c>
      <c r="BN215" s="39">
        <f>IF(ISBLANK(X215),"",AZ215/Macroindicadores!I$2)</f>
        <v>0.48639455782312924</v>
      </c>
      <c r="BO215" s="39">
        <f>IF(ISBLANK(Y215),"",BA215/Macroindicadores!J$2)</f>
        <v>0.48639455782312924</v>
      </c>
      <c r="BP215" s="39">
        <f>IF(ISBLANK(Z215),"",BB215/Macroindicadores!K$2)</f>
        <v>0.48639455782312924</v>
      </c>
      <c r="BQ215" s="39">
        <f>IF(ISBLANK(AA215),"",BC215/Macroindicadores!L$2)</f>
        <v>0.48639455782312924</v>
      </c>
      <c r="BR215" s="39">
        <f>IF(ISBLANK(AB215),"",BD215/Macroindicadores!M$2)</f>
        <v>0.48639455782312924</v>
      </c>
      <c r="BS215" s="40">
        <f>IF(AND(ISBLANK($Q215),ISBLANK($R215),ISBLANK($S215),ISBLANK($T215),ISBLANK($U215),ISBLANK($V215),ISBLANK($W215),ISBLANK($X215),ISBLANK($Y215),ISBLANK($Z215),ISBLANK($AA215),ISBLANK($AB215)),"",SUM(BG215:BR215))</f>
        <v>5.8367346938775491</v>
      </c>
      <c r="BT215" s="25" t="str">
        <f>IF(ISBLANK($L215),"",_xlfn.XLOOKUP($L215,'CENTRO CUSTO'!$A:$A,'CENTRO CUSTO'!$E:$E,FALSE,0))</f>
        <v>G&amp;A BU</v>
      </c>
    </row>
    <row r="216" spans="1:72">
      <c r="A216" s="9" t="str">
        <f t="shared" si="80"/>
        <v>Budget</v>
      </c>
      <c r="B216" s="9">
        <f t="shared" si="77"/>
        <v>2026</v>
      </c>
      <c r="C216" s="18" t="str">
        <f>IF(ISBLANK($L216),"",_xlfn.XLOOKUP($L216,'CENTRO CUSTO'!$A:$A,'CENTRO CUSTO'!F:F,FALSE,0))</f>
        <v>SKM</v>
      </c>
      <c r="D216" s="111" t="str">
        <f>IF(ISBLANK($L216),"",_xlfn.XLOOKUP($L216,'CENTRO CUSTO'!$A:$A,'CENTRO CUSTO'!G:G,FALSE,0))</f>
        <v>BU-SKM</v>
      </c>
      <c r="E216" s="18" t="str">
        <f>IF(ISBLANK($L216),"",_xlfn.XLOOKUP($L216,'CENTRO CUSTO'!$A:$A,'CENTRO CUSTO'!H:H,FALSE,0))</f>
        <v>G&amp;A</v>
      </c>
      <c r="F216" s="10" t="s">
        <v>217</v>
      </c>
      <c r="G216" s="10" t="s">
        <v>75</v>
      </c>
      <c r="H216" s="10" t="s">
        <v>218</v>
      </c>
      <c r="I216" s="11" t="s">
        <v>84</v>
      </c>
      <c r="J216" s="11" t="s">
        <v>78</v>
      </c>
      <c r="K216" s="11" t="s">
        <v>86</v>
      </c>
      <c r="L216" s="11" t="s">
        <v>50</v>
      </c>
      <c r="M216" s="18" t="str">
        <f>IF(ISBLANK($L216),"",_xlfn.XLOOKUP($L216,'CENTRO CUSTO'!$A:$A,'CENTRO CUSTO'!D:D,FALSE,0))</f>
        <v>Alexandre Ayabe</v>
      </c>
      <c r="N216" s="11" t="s">
        <v>106</v>
      </c>
      <c r="O216" s="12"/>
      <c r="P216" s="11" t="s">
        <v>81</v>
      </c>
      <c r="Q216" s="41">
        <f>264000*Rateio!$E$443/12</f>
        <v>4840</v>
      </c>
      <c r="R216" s="41">
        <f>264000*Rateio!$E$443/12</f>
        <v>4840</v>
      </c>
      <c r="S216" s="41">
        <f>264000*Rateio!$E$443/12</f>
        <v>4840</v>
      </c>
      <c r="T216" s="41">
        <f>264000*Rateio!$E$443/12</f>
        <v>4840</v>
      </c>
      <c r="U216" s="41">
        <f>264000*Rateio!$E$443/12</f>
        <v>4840</v>
      </c>
      <c r="V216" s="41">
        <f>264000*Rateio!$E$443/12</f>
        <v>4840</v>
      </c>
      <c r="W216" s="41">
        <f>264000*Rateio!$E$443/12</f>
        <v>4840</v>
      </c>
      <c r="X216" s="41">
        <f>264000*Rateio!$E$443/12</f>
        <v>4840</v>
      </c>
      <c r="Y216" s="41">
        <f>264000*Rateio!$E$443/12</f>
        <v>4840</v>
      </c>
      <c r="Z216" s="41">
        <f>264000*Rateio!$E$443/12</f>
        <v>4840</v>
      </c>
      <c r="AA216" s="41">
        <f>264000*Rateio!$E$443/12</f>
        <v>4840</v>
      </c>
      <c r="AB216" s="41">
        <f>264000*Rateio!$E$443/12</f>
        <v>4840</v>
      </c>
      <c r="AC216" s="116">
        <f t="shared" si="99"/>
        <v>58080</v>
      </c>
      <c r="AE216" s="39">
        <f>IF(ISBLANK(Q216),"",IF($P216="BRL",Q216,Q216*Macroindicadores!B$2)/1000)</f>
        <v>4.84</v>
      </c>
      <c r="AF216" s="39">
        <f>IF(ISBLANK(R216),"",IF($P216="BRL",R216,R216*Macroindicadores!C$2)/1000)</f>
        <v>4.84</v>
      </c>
      <c r="AG216" s="39">
        <f>IF(ISBLANK(S216),"",IF($P216="BRL",S216,S216*Macroindicadores!D$2)/1000)</f>
        <v>4.84</v>
      </c>
      <c r="AH216" s="39">
        <f>IF(ISBLANK(T216),"",IF($P216="BRL",T216,T216*Macroindicadores!E$2)/1000)</f>
        <v>4.84</v>
      </c>
      <c r="AI216" s="39">
        <f>IF(ISBLANK(U216),"",IF($P216="BRL",U216,U216*Macroindicadores!F$2)/1000)</f>
        <v>4.84</v>
      </c>
      <c r="AJ216" s="39">
        <f>IF(ISBLANK(V216),"",IF($P216="BRL",V216,V216*Macroindicadores!G$2)/1000)</f>
        <v>4.84</v>
      </c>
      <c r="AK216" s="39">
        <f>IF(ISBLANK(W216),"",IF($P216="BRL",W216,W216*Macroindicadores!H$2)/1000)</f>
        <v>4.84</v>
      </c>
      <c r="AL216" s="39">
        <f>IF(ISBLANK(X216),"",IF($P216="BRL",X216,X216*Macroindicadores!I$2)/1000)</f>
        <v>4.84</v>
      </c>
      <c r="AM216" s="39">
        <f>IF(ISBLANK(Y216),"",IF($P216="BRL",Y216,Y216*Macroindicadores!J$2)/1000)</f>
        <v>4.84</v>
      </c>
      <c r="AN216" s="39">
        <f>IF(ISBLANK(Z216),"",IF($P216="BRL",Z216,Z216*Macroindicadores!K$2)/1000)</f>
        <v>4.84</v>
      </c>
      <c r="AO216" s="39">
        <f>IF(ISBLANK(AA216),"",IF($P216="BRL",AA216,AA216*Macroindicadores!L$2)/1000)</f>
        <v>4.84</v>
      </c>
      <c r="AP216" s="39">
        <f>IF(ISBLANK(AB216),"",IF($P216="BRL",AB216,AB216*Macroindicadores!M$2)/1000)</f>
        <v>4.84</v>
      </c>
      <c r="AQ216" s="40">
        <f t="shared" si="100"/>
        <v>58.080000000000013</v>
      </c>
      <c r="AS216" s="39">
        <f>IF(ISBLANK(Q216),"",IF(ISBLANK($O216),AE216,IF($J216="ANUAL",AE216*(1+Macroindicadores!B$7),IF(AND($I216="NOVO",MONTH($O216)=MONTH(AS$4)),AE216*(1+Macroindicadores!B$7),IF(AND($J216="PONTUAL",MONTH($O216)=MONTH(AS$4)),AE216*(1+Macroindicadores!B$7),IF(AND($J216="PONTUAL",MONTH($O216)&lt;MONTH(AS$4)),MIN(AR216:$AS216),IF(AND($I216="NOVO",MONTH($O216)&gt;MONTH(AS$4)),AE216,IF(MONTH($O216)&gt;MONTH(AS$4),AE216,IF(MONTH($O216)=MONTH(AS$4),AE216*(1+Macroindicadores!B$7),AR216)))))))))</f>
        <v>4.84</v>
      </c>
      <c r="AT216" s="39">
        <f>IF(ISBLANK(R216),"",IF(ISBLANK($O216),AF216,IF($J216="ANUAL",AF216*(1+Macroindicadores!C$7),IF(AND($I216="NOVO",MONTH($O216)=MONTH(AT$4)),AF216*(1+Macroindicadores!C$7),IF(AND($J216="PONTUAL",MONTH($O216)=MONTH(AT$4)),AF216*(1+Macroindicadores!C$7),IF(AND($J216="PONTUAL",MONTH($O216)&lt;MONTH(AT$4)),MIN($AS216:AS216),IF(AND($I216="NOVO",MONTH($O216)&gt;MONTH(AT$4)),AF216,IF(MONTH($O216)&gt;MONTH(AT$4),AF216,IF(MONTH($O216)=MONTH(AT$4),AF216*(1+Macroindicadores!C$7),AS216)))))))))</f>
        <v>4.84</v>
      </c>
      <c r="AU216" s="39">
        <f>IF(ISBLANK(S216),"",IF(ISBLANK($O216),AG216,IF($J216="ANUAL",AG216*(1+Macroindicadores!D$7),IF(AND($I216="NOVO",MONTH($O216)=MONTH(AU$4)),AG216*(1+Macroindicadores!D$7),IF(AND($J216="PONTUAL",MONTH($O216)=MONTH(AU$4)),AG216*(1+Macroindicadores!D$7),IF(AND($J216="PONTUAL",MONTH($O216)&lt;MONTH(AU$4)),MIN($AS216:AT216),IF(AND($I216="NOVO",MONTH($O216)&gt;MONTH(AU$4)),AG216,IF(MONTH($O216)&gt;MONTH(AU$4),AG216,IF(MONTH($O216)=MONTH(AU$4),AG216*(1+Macroindicadores!D$7),AT216)))))))))</f>
        <v>4.84</v>
      </c>
      <c r="AV216" s="39">
        <f>IF(ISBLANK(T216),"",IF(ISBLANK($O216),AH216,IF($J216="ANUAL",AH216*(1+Macroindicadores!E$7),IF(AND($I216="NOVO",MONTH($O216)=MONTH(AV$4)),AH216*(1+Macroindicadores!E$7),IF(AND($J216="PONTUAL",MONTH($O216)=MONTH(AV$4)),AH216*(1+Macroindicadores!E$7),IF(AND($J216="PONTUAL",MONTH($O216)&lt;MONTH(AV$4)),MIN($AS216:AU216),IF(AND($I216="NOVO",MONTH($O216)&gt;MONTH(AV$4)),AH216,IF(MONTH($O216)&gt;MONTH(AV$4),AH216,IF(MONTH($O216)=MONTH(AV$4),AH216*(1+Macroindicadores!E$7),AU216)))))))))</f>
        <v>4.84</v>
      </c>
      <c r="AW216" s="39">
        <f>IF(ISBLANK(U216),"",IF(ISBLANK($O216),AI216,IF($J216="ANUAL",AI216*(1+Macroindicadores!F$7),IF(AND($I216="NOVO",MONTH($O216)=MONTH(AW$4)),AI216*(1+Macroindicadores!F$7),IF(AND($J216="PONTUAL",MONTH($O216)=MONTH(AW$4)),AI216*(1+Macroindicadores!F$7),IF(AND($J216="PONTUAL",MONTH($O216)&lt;MONTH(AW$4)),MIN($AS216:AV216),IF(AND($I216="NOVO",MONTH($O216)&gt;MONTH(AW$4)),AI216,IF(MONTH($O216)&gt;MONTH(AW$4),AI216,IF(MONTH($O216)=MONTH(AW$4),AI216*(1+Macroindicadores!F$7),AV216)))))))))</f>
        <v>4.84</v>
      </c>
      <c r="AX216" s="39">
        <f>IF(ISBLANK(V216),"",IF(ISBLANK($O216),AJ216,IF($J216="ANUAL",AJ216*(1+Macroindicadores!G$7),IF(AND($I216="NOVO",MONTH($O216)=MONTH(AX$4)),AJ216*(1+Macroindicadores!G$7),IF(AND($J216="PONTUAL",MONTH($O216)=MONTH(AX$4)),AJ216*(1+Macroindicadores!G$7),IF(AND($J216="PONTUAL",MONTH($O216)&lt;MONTH(AX$4)),MIN($AS216:AW216),IF(AND($I216="NOVO",MONTH($O216)&gt;MONTH(AX$4)),AJ216,IF(MONTH($O216)&gt;MONTH(AX$4),AJ216,IF(MONTH($O216)=MONTH(AX$4),AJ216*(1+Macroindicadores!G$7),AW216)))))))))</f>
        <v>4.84</v>
      </c>
      <c r="AY216" s="39">
        <f>IF(ISBLANK(W216),"",IF(ISBLANK($O216),AK216,IF($J216="ANUAL",AK216*(1+Macroindicadores!H$7),IF(AND($I216="NOVO",MONTH($O216)=MONTH(AY$4)),AK216*(1+Macroindicadores!H$7),IF(AND($J216="PONTUAL",MONTH($O216)=MONTH(AY$4)),AK216*(1+Macroindicadores!H$7),IF(AND($J216="PONTUAL",MONTH($O216)&lt;MONTH(AY$4)),MIN($AS216:AX216),IF(AND($I216="NOVO",MONTH($O216)&gt;MONTH(AY$4)),AK216,IF(MONTH($O216)&gt;MONTH(AY$4),AK216,IF(MONTH($O216)=MONTH(AY$4),AK216*(1+Macroindicadores!H$7),AX216)))))))))</f>
        <v>4.84</v>
      </c>
      <c r="AZ216" s="39">
        <f>IF(ISBLANK(X216),"",IF(ISBLANK($O216),AL216,IF($J216="ANUAL",AL216*(1+Macroindicadores!I$7),IF(AND($I216="NOVO",MONTH($O216)=MONTH(AZ$4)),AL216*(1+Macroindicadores!I$7),IF(AND($J216="PONTUAL",MONTH($O216)=MONTH(AZ$4)),AL216*(1+Macroindicadores!I$7),IF(AND($J216="PONTUAL",MONTH($O216)&lt;MONTH(AZ$4)),MIN($AS216:AY216),IF(AND($I216="NOVO",MONTH($O216)&gt;MONTH(AZ$4)),AL216,IF(MONTH($O216)&gt;MONTH(AZ$4),AL216,IF(MONTH($O216)=MONTH(AZ$4),AL216*(1+Macroindicadores!I$7),AY216)))))))))</f>
        <v>4.84</v>
      </c>
      <c r="BA216" s="39">
        <f>IF(ISBLANK(Y216),"",IF(ISBLANK($O216),AM216,IF($J216="ANUAL",AM216*(1+Macroindicadores!J$7),IF(AND($I216="NOVO",MONTH($O216)=MONTH(BA$4)),AM216*(1+Macroindicadores!J$7),IF(AND($J216="PONTUAL",MONTH($O216)=MONTH(BA$4)),AM216*(1+Macroindicadores!J$7),IF(AND($J216="PONTUAL",MONTH($O216)&lt;MONTH(BA$4)),MIN($AS216:AZ216),IF(AND($I216="NOVO",MONTH($O216)&gt;MONTH(BA$4)),AM216,IF(MONTH($O216)&gt;MONTH(BA$4),AM216,IF(MONTH($O216)=MONTH(BA$4),AM216*(1+Macroindicadores!J$7),AZ216)))))))))</f>
        <v>4.84</v>
      </c>
      <c r="BB216" s="39">
        <f>IF(ISBLANK(Z216),"",IF(ISBLANK($O216),AN216,IF($J216="ANUAL",AN216*(1+Macroindicadores!K$7),IF(AND($I216="NOVO",MONTH($O216)=MONTH(BB$4)),AN216*(1+Macroindicadores!K$7),IF(AND($J216="PONTUAL",MONTH($O216)=MONTH(BB$4)),AN216*(1+Macroindicadores!K$7),IF(AND($J216="PONTUAL",MONTH($O216)&lt;MONTH(BB$4)),MIN($AS216:BA216),IF(AND($I216="NOVO",MONTH($O216)&gt;MONTH(BB$4)),AN216,IF(MONTH($O216)&gt;MONTH(BB$4),AN216,IF(MONTH($O216)=MONTH(BB$4),AN216*(1+Macroindicadores!K$7),BA216)))))))))</f>
        <v>4.84</v>
      </c>
      <c r="BC216" s="39">
        <f>IF(ISBLANK(AA216),"",IF(ISBLANK($O216),AO216,IF($J216="ANUAL",AO216*(1+Macroindicadores!L$7),IF(AND($I216="NOVO",MONTH($O216)=MONTH(BC$4)),AO216*(1+Macroindicadores!L$7),IF(AND($J216="PONTUAL",MONTH($O216)=MONTH(BC$4)),AO216*(1+Macroindicadores!L$7),IF(AND($J216="PONTUAL",MONTH($O216)&lt;MONTH(BC$4)),MIN($AS216:BB216),IF(AND($I216="NOVO",MONTH($O216)&gt;MONTH(BC$4)),AO216,IF(MONTH($O216)&gt;MONTH(BC$4),AO216,IF(MONTH($O216)=MONTH(BC$4),AO216*(1+Macroindicadores!L$7),BB216)))))))))</f>
        <v>4.84</v>
      </c>
      <c r="BD216" s="39">
        <f>IF(ISBLANK(AB216),"",IF(ISBLANK($O216),AP216,IF($J216="ANUAL",AP216*(1+Macroindicadores!M$7),IF(AND($I216="NOVO",MONTH($O216)=MONTH(BD$4)),AP216*(1+Macroindicadores!M$7),IF(AND($J216="PONTUAL",MONTH($O216)=MONTH(BD$4)),AP216*(1+Macroindicadores!M$7),IF(AND($J216="PONTUAL",MONTH($O216)&lt;MONTH(BD$4)),MIN($AS216:BC216),IF(AND($I216="NOVO",MONTH($O216)&gt;MONTH(BD$4)),AP216,IF(MONTH($O216)&gt;MONTH(BD$4),AP216,IF(MONTH($O216)=MONTH(BD$4),AP216*(1+Macroindicadores!M$7),BC216)))))))))</f>
        <v>4.84</v>
      </c>
      <c r="BE216" s="40">
        <f t="shared" si="101"/>
        <v>58.080000000000013</v>
      </c>
      <c r="BG216" s="39">
        <f>IF(ISBLANK(Q216),"",AS216/Macroindicadores!B$2)</f>
        <v>0.8231292517006803</v>
      </c>
      <c r="BH216" s="39">
        <f>IF(ISBLANK(R216),"",AT216/Macroindicadores!C$2)</f>
        <v>0.8231292517006803</v>
      </c>
      <c r="BI216" s="39">
        <f>IF(ISBLANK(S216),"",AU216/Macroindicadores!D$2)</f>
        <v>0.8231292517006803</v>
      </c>
      <c r="BJ216" s="39">
        <f>IF(ISBLANK(T216),"",AV216/Macroindicadores!E$2)</f>
        <v>0.8231292517006803</v>
      </c>
      <c r="BK216" s="39">
        <f>IF(ISBLANK(U216),"",AW216/Macroindicadores!F$2)</f>
        <v>0.8231292517006803</v>
      </c>
      <c r="BL216" s="39">
        <f>IF(ISBLANK(V216),"",AX216/Macroindicadores!G$2)</f>
        <v>0.8231292517006803</v>
      </c>
      <c r="BM216" s="39">
        <f>IF(ISBLANK(W216),"",AY216/Macroindicadores!H$2)</f>
        <v>0.8231292517006803</v>
      </c>
      <c r="BN216" s="39">
        <f>IF(ISBLANK(X216),"",AZ216/Macroindicadores!I$2)</f>
        <v>0.8231292517006803</v>
      </c>
      <c r="BO216" s="39">
        <f>IF(ISBLANK(Y216),"",BA216/Macroindicadores!J$2)</f>
        <v>0.8231292517006803</v>
      </c>
      <c r="BP216" s="39">
        <f>IF(ISBLANK(Z216),"",BB216/Macroindicadores!K$2)</f>
        <v>0.8231292517006803</v>
      </c>
      <c r="BQ216" s="39">
        <f>IF(ISBLANK(AA216),"",BC216/Macroindicadores!L$2)</f>
        <v>0.8231292517006803</v>
      </c>
      <c r="BR216" s="39">
        <f>IF(ISBLANK(AB216),"",BD216/Macroindicadores!M$2)</f>
        <v>0.8231292517006803</v>
      </c>
      <c r="BS216" s="40">
        <f>IF(AND(ISBLANK($Q216),ISBLANK($R216),ISBLANK($S216),ISBLANK($T216),ISBLANK($U216),ISBLANK($V216),ISBLANK($W216),ISBLANK($X216),ISBLANK($Y216),ISBLANK($Z216),ISBLANK($AA216),ISBLANK($AB216)),"",SUM(BG216:BR216))</f>
        <v>9.8775510204081627</v>
      </c>
      <c r="BT216" s="25" t="str">
        <f>IF(ISBLANK($L216),"",_xlfn.XLOOKUP($L216,'CENTRO CUSTO'!$A:$A,'CENTRO CUSTO'!$E:$E,FALSE,0))</f>
        <v>G&amp;A BU</v>
      </c>
    </row>
    <row r="217" spans="1:72">
      <c r="A217" s="9" t="str">
        <f t="shared" si="80"/>
        <v>Budget</v>
      </c>
      <c r="B217" s="9">
        <f t="shared" si="77"/>
        <v>2026</v>
      </c>
      <c r="C217" s="18" t="str">
        <f>IF(ISBLANK($L217),"",_xlfn.XLOOKUP($L217,'CENTRO CUSTO'!$A:$A,'CENTRO CUSTO'!F:F,FALSE,0))</f>
        <v>Martini Meat</v>
      </c>
      <c r="D217" s="111" t="str">
        <f>IF(ISBLANK($L217),"",_xlfn.XLOOKUP($L217,'CENTRO CUSTO'!$A:$A,'CENTRO CUSTO'!G:G,FALSE,0))</f>
        <v>BU-MMAZ</v>
      </c>
      <c r="E217" s="18" t="str">
        <f>IF(ISBLANK($L217),"",_xlfn.XLOOKUP($L217,'CENTRO CUSTO'!$A:$A,'CENTRO CUSTO'!H:H,FALSE,0))</f>
        <v>G&amp;A</v>
      </c>
      <c r="F217" s="10" t="s">
        <v>219</v>
      </c>
      <c r="G217" s="10" t="s">
        <v>123</v>
      </c>
      <c r="H217" s="10" t="s">
        <v>220</v>
      </c>
      <c r="I217" s="11" t="s">
        <v>84</v>
      </c>
      <c r="J217" s="11" t="s">
        <v>78</v>
      </c>
      <c r="K217" s="11" t="s">
        <v>121</v>
      </c>
      <c r="L217" s="11" t="s">
        <v>35</v>
      </c>
      <c r="M217" s="18" t="str">
        <f>IF(ISBLANK($L217),"",_xlfn.XLOOKUP($L217,'CENTRO CUSTO'!$A:$A,'CENTRO CUSTO'!D:D,FALSE,0))</f>
        <v>Alexandre Ayabe</v>
      </c>
      <c r="N217" s="11" t="s">
        <v>132</v>
      </c>
      <c r="O217" s="12"/>
      <c r="P217" s="11" t="s">
        <v>81</v>
      </c>
      <c r="Q217" s="41">
        <f>24000*Rateio!$E$424/12</f>
        <v>1300</v>
      </c>
      <c r="R217" s="41">
        <f>24000*Rateio!$E$424/12</f>
        <v>1300</v>
      </c>
      <c r="S217" s="41">
        <f>24000*Rateio!$E$424/12</f>
        <v>1300</v>
      </c>
      <c r="T217" s="41">
        <f>24000*Rateio!$E$424/12</f>
        <v>1300</v>
      </c>
      <c r="U217" s="41">
        <f>24000*Rateio!$E$424/12</f>
        <v>1300</v>
      </c>
      <c r="V217" s="41">
        <f>24000*Rateio!$E$424/12</f>
        <v>1300</v>
      </c>
      <c r="W217" s="41">
        <f>24000*Rateio!$E$424/12</f>
        <v>1300</v>
      </c>
      <c r="X217" s="41">
        <f>24000*Rateio!$E$424/12</f>
        <v>1300</v>
      </c>
      <c r="Y217" s="41">
        <f>24000*Rateio!$E$424/12</f>
        <v>1300</v>
      </c>
      <c r="Z217" s="41">
        <f>24000*Rateio!$E$424/12</f>
        <v>1300</v>
      </c>
      <c r="AA217" s="41">
        <f>24000*Rateio!$E$424/12</f>
        <v>1300</v>
      </c>
      <c r="AB217" s="41">
        <f>24000*Rateio!$E$424/12</f>
        <v>1300</v>
      </c>
      <c r="AC217" s="116">
        <f t="shared" si="99"/>
        <v>15600</v>
      </c>
      <c r="AE217" s="39">
        <f>IF(ISBLANK(Q217),"",IF($P217="BRL",Q217,Q217*Macroindicadores!B$2)/1000)</f>
        <v>1.3</v>
      </c>
      <c r="AF217" s="39">
        <f>IF(ISBLANK(R217),"",IF($P217="BRL",R217,R217*Macroindicadores!C$2)/1000)</f>
        <v>1.3</v>
      </c>
      <c r="AG217" s="39">
        <f>IF(ISBLANK(S217),"",IF($P217="BRL",S217,S217*Macroindicadores!D$2)/1000)</f>
        <v>1.3</v>
      </c>
      <c r="AH217" s="39">
        <f>IF(ISBLANK(T217),"",IF($P217="BRL",T217,T217*Macroindicadores!E$2)/1000)</f>
        <v>1.3</v>
      </c>
      <c r="AI217" s="39">
        <f>IF(ISBLANK(U217),"",IF($P217="BRL",U217,U217*Macroindicadores!F$2)/1000)</f>
        <v>1.3</v>
      </c>
      <c r="AJ217" s="39">
        <f>IF(ISBLANK(V217),"",IF($P217="BRL",V217,V217*Macroindicadores!G$2)/1000)</f>
        <v>1.3</v>
      </c>
      <c r="AK217" s="39">
        <f>IF(ISBLANK(W217),"",IF($P217="BRL",W217,W217*Macroindicadores!H$2)/1000)</f>
        <v>1.3</v>
      </c>
      <c r="AL217" s="39">
        <f>IF(ISBLANK(X217),"",IF($P217="BRL",X217,X217*Macroindicadores!I$2)/1000)</f>
        <v>1.3</v>
      </c>
      <c r="AM217" s="39">
        <f>IF(ISBLANK(Y217),"",IF($P217="BRL",Y217,Y217*Macroindicadores!J$2)/1000)</f>
        <v>1.3</v>
      </c>
      <c r="AN217" s="39">
        <f>IF(ISBLANK(Z217),"",IF($P217="BRL",Z217,Z217*Macroindicadores!K$2)/1000)</f>
        <v>1.3</v>
      </c>
      <c r="AO217" s="39">
        <f>IF(ISBLANK(AA217),"",IF($P217="BRL",AA217,AA217*Macroindicadores!L$2)/1000)</f>
        <v>1.3</v>
      </c>
      <c r="AP217" s="39">
        <f>IF(ISBLANK(AB217),"",IF($P217="BRL",AB217,AB217*Macroindicadores!M$2)/1000)</f>
        <v>1.3</v>
      </c>
      <c r="AQ217" s="40">
        <f t="shared" si="100"/>
        <v>15.600000000000003</v>
      </c>
      <c r="AS217" s="39">
        <f>IF(ISBLANK(Q217),"",IF(ISBLANK($O217),AE217,IF($J217="ANUAL",AE217*(1+Macroindicadores!B$7),IF(AND($I217="NOVO",MONTH($O217)=MONTH(AS$4)),AE217*(1+Macroindicadores!B$7),IF(AND($J217="PONTUAL",MONTH($O217)=MONTH(AS$4)),AE217*(1+Macroindicadores!B$7),IF(AND($J217="PONTUAL",MONTH($O217)&lt;MONTH(AS$4)),MIN(AR217:$AS217),IF(AND($I217="NOVO",MONTH($O217)&gt;MONTH(AS$4)),AE217,IF(MONTH($O217)&gt;MONTH(AS$4),AE217,IF(MONTH($O217)=MONTH(AS$4),AE217*(1+Macroindicadores!B$7),AR217)))))))))</f>
        <v>1.3</v>
      </c>
      <c r="AT217" s="39">
        <f>IF(ISBLANK(R217),"",IF(ISBLANK($O217),AF217,IF($J217="ANUAL",AF217*(1+Macroindicadores!C$7),IF(AND($I217="NOVO",MONTH($O217)=MONTH(AT$4)),AF217*(1+Macroindicadores!C$7),IF(AND($J217="PONTUAL",MONTH($O217)=MONTH(AT$4)),AF217*(1+Macroindicadores!C$7),IF(AND($J217="PONTUAL",MONTH($O217)&lt;MONTH(AT$4)),MIN($AS217:AS217),IF(AND($I217="NOVO",MONTH($O217)&gt;MONTH(AT$4)),AF217,IF(MONTH($O217)&gt;MONTH(AT$4),AF217,IF(MONTH($O217)=MONTH(AT$4),AF217*(1+Macroindicadores!C$7),AS217)))))))))</f>
        <v>1.3</v>
      </c>
      <c r="AU217" s="39">
        <f>IF(ISBLANK(S217),"",IF(ISBLANK($O217),AG217,IF($J217="ANUAL",AG217*(1+Macroindicadores!D$7),IF(AND($I217="NOVO",MONTH($O217)=MONTH(AU$4)),AG217*(1+Macroindicadores!D$7),IF(AND($J217="PONTUAL",MONTH($O217)=MONTH(AU$4)),AG217*(1+Macroindicadores!D$7),IF(AND($J217="PONTUAL",MONTH($O217)&lt;MONTH(AU$4)),MIN($AS217:AT217),IF(AND($I217="NOVO",MONTH($O217)&gt;MONTH(AU$4)),AG217,IF(MONTH($O217)&gt;MONTH(AU$4),AG217,IF(MONTH($O217)=MONTH(AU$4),AG217*(1+Macroindicadores!D$7),AT217)))))))))</f>
        <v>1.3</v>
      </c>
      <c r="AV217" s="39">
        <f>IF(ISBLANK(T217),"",IF(ISBLANK($O217),AH217,IF($J217="ANUAL",AH217*(1+Macroindicadores!E$7),IF(AND($I217="NOVO",MONTH($O217)=MONTH(AV$4)),AH217*(1+Macroindicadores!E$7),IF(AND($J217="PONTUAL",MONTH($O217)=MONTH(AV$4)),AH217*(1+Macroindicadores!E$7),IF(AND($J217="PONTUAL",MONTH($O217)&lt;MONTH(AV$4)),MIN($AS217:AU217),IF(AND($I217="NOVO",MONTH($O217)&gt;MONTH(AV$4)),AH217,IF(MONTH($O217)&gt;MONTH(AV$4),AH217,IF(MONTH($O217)=MONTH(AV$4),AH217*(1+Macroindicadores!E$7),AU217)))))))))</f>
        <v>1.3</v>
      </c>
      <c r="AW217" s="39">
        <f>IF(ISBLANK(U217),"",IF(ISBLANK($O217),AI217,IF($J217="ANUAL",AI217*(1+Macroindicadores!F$7),IF(AND($I217="NOVO",MONTH($O217)=MONTH(AW$4)),AI217*(1+Macroindicadores!F$7),IF(AND($J217="PONTUAL",MONTH($O217)=MONTH(AW$4)),AI217*(1+Macroindicadores!F$7),IF(AND($J217="PONTUAL",MONTH($O217)&lt;MONTH(AW$4)),MIN($AS217:AV217),IF(AND($I217="NOVO",MONTH($O217)&gt;MONTH(AW$4)),AI217,IF(MONTH($O217)&gt;MONTH(AW$4),AI217,IF(MONTH($O217)=MONTH(AW$4),AI217*(1+Macroindicadores!F$7),AV217)))))))))</f>
        <v>1.3</v>
      </c>
      <c r="AX217" s="39">
        <f>IF(ISBLANK(V217),"",IF(ISBLANK($O217),AJ217,IF($J217="ANUAL",AJ217*(1+Macroindicadores!G$7),IF(AND($I217="NOVO",MONTH($O217)=MONTH(AX$4)),AJ217*(1+Macroindicadores!G$7),IF(AND($J217="PONTUAL",MONTH($O217)=MONTH(AX$4)),AJ217*(1+Macroindicadores!G$7),IF(AND($J217="PONTUAL",MONTH($O217)&lt;MONTH(AX$4)),MIN($AS217:AW217),IF(AND($I217="NOVO",MONTH($O217)&gt;MONTH(AX$4)),AJ217,IF(MONTH($O217)&gt;MONTH(AX$4),AJ217,IF(MONTH($O217)=MONTH(AX$4),AJ217*(1+Macroindicadores!G$7),AW217)))))))))</f>
        <v>1.3</v>
      </c>
      <c r="AY217" s="39">
        <f>IF(ISBLANK(W217),"",IF(ISBLANK($O217),AK217,IF($J217="ANUAL",AK217*(1+Macroindicadores!H$7),IF(AND($I217="NOVO",MONTH($O217)=MONTH(AY$4)),AK217*(1+Macroindicadores!H$7),IF(AND($J217="PONTUAL",MONTH($O217)=MONTH(AY$4)),AK217*(1+Macroindicadores!H$7),IF(AND($J217="PONTUAL",MONTH($O217)&lt;MONTH(AY$4)),MIN($AS217:AX217),IF(AND($I217="NOVO",MONTH($O217)&gt;MONTH(AY$4)),AK217,IF(MONTH($O217)&gt;MONTH(AY$4),AK217,IF(MONTH($O217)=MONTH(AY$4),AK217*(1+Macroindicadores!H$7),AX217)))))))))</f>
        <v>1.3</v>
      </c>
      <c r="AZ217" s="39">
        <f>IF(ISBLANK(X217),"",IF(ISBLANK($O217),AL217,IF($J217="ANUAL",AL217*(1+Macroindicadores!I$7),IF(AND($I217="NOVO",MONTH($O217)=MONTH(AZ$4)),AL217*(1+Macroindicadores!I$7),IF(AND($J217="PONTUAL",MONTH($O217)=MONTH(AZ$4)),AL217*(1+Macroindicadores!I$7),IF(AND($J217="PONTUAL",MONTH($O217)&lt;MONTH(AZ$4)),MIN($AS217:AY217),IF(AND($I217="NOVO",MONTH($O217)&gt;MONTH(AZ$4)),AL217,IF(MONTH($O217)&gt;MONTH(AZ$4),AL217,IF(MONTH($O217)=MONTH(AZ$4),AL217*(1+Macroindicadores!I$7),AY217)))))))))</f>
        <v>1.3</v>
      </c>
      <c r="BA217" s="39">
        <f>IF(ISBLANK(Y217),"",IF(ISBLANK($O217),AM217,IF($J217="ANUAL",AM217*(1+Macroindicadores!J$7),IF(AND($I217="NOVO",MONTH($O217)=MONTH(BA$4)),AM217*(1+Macroindicadores!J$7),IF(AND($J217="PONTUAL",MONTH($O217)=MONTH(BA$4)),AM217*(1+Macroindicadores!J$7),IF(AND($J217="PONTUAL",MONTH($O217)&lt;MONTH(BA$4)),MIN($AS217:AZ217),IF(AND($I217="NOVO",MONTH($O217)&gt;MONTH(BA$4)),AM217,IF(MONTH($O217)&gt;MONTH(BA$4),AM217,IF(MONTH($O217)=MONTH(BA$4),AM217*(1+Macroindicadores!J$7),AZ217)))))))))</f>
        <v>1.3</v>
      </c>
      <c r="BB217" s="39">
        <f>IF(ISBLANK(Z217),"",IF(ISBLANK($O217),AN217,IF($J217="ANUAL",AN217*(1+Macroindicadores!K$7),IF(AND($I217="NOVO",MONTH($O217)=MONTH(BB$4)),AN217*(1+Macroindicadores!K$7),IF(AND($J217="PONTUAL",MONTH($O217)=MONTH(BB$4)),AN217*(1+Macroindicadores!K$7),IF(AND($J217="PONTUAL",MONTH($O217)&lt;MONTH(BB$4)),MIN($AS217:BA217),IF(AND($I217="NOVO",MONTH($O217)&gt;MONTH(BB$4)),AN217,IF(MONTH($O217)&gt;MONTH(BB$4),AN217,IF(MONTH($O217)=MONTH(BB$4),AN217*(1+Macroindicadores!K$7),BA217)))))))))</f>
        <v>1.3</v>
      </c>
      <c r="BC217" s="39">
        <f>IF(ISBLANK(AA217),"",IF(ISBLANK($O217),AO217,IF($J217="ANUAL",AO217*(1+Macroindicadores!L$7),IF(AND($I217="NOVO",MONTH($O217)=MONTH(BC$4)),AO217*(1+Macroindicadores!L$7),IF(AND($J217="PONTUAL",MONTH($O217)=MONTH(BC$4)),AO217*(1+Macroindicadores!L$7),IF(AND($J217="PONTUAL",MONTH($O217)&lt;MONTH(BC$4)),MIN($AS217:BB217),IF(AND($I217="NOVO",MONTH($O217)&gt;MONTH(BC$4)),AO217,IF(MONTH($O217)&gt;MONTH(BC$4),AO217,IF(MONTH($O217)=MONTH(BC$4),AO217*(1+Macroindicadores!L$7),BB217)))))))))</f>
        <v>1.3</v>
      </c>
      <c r="BD217" s="39">
        <f>IF(ISBLANK(AB217),"",IF(ISBLANK($O217),AP217,IF($J217="ANUAL",AP217*(1+Macroindicadores!M$7),IF(AND($I217="NOVO",MONTH($O217)=MONTH(BD$4)),AP217*(1+Macroindicadores!M$7),IF(AND($J217="PONTUAL",MONTH($O217)=MONTH(BD$4)),AP217*(1+Macroindicadores!M$7),IF(AND($J217="PONTUAL",MONTH($O217)&lt;MONTH(BD$4)),MIN($AS217:BC217),IF(AND($I217="NOVO",MONTH($O217)&gt;MONTH(BD$4)),AP217,IF(MONTH($O217)&gt;MONTH(BD$4),AP217,IF(MONTH($O217)=MONTH(BD$4),AP217*(1+Macroindicadores!M$7),BC217)))))))))</f>
        <v>1.3</v>
      </c>
      <c r="BE217" s="40">
        <f t="shared" si="101"/>
        <v>15.600000000000003</v>
      </c>
      <c r="BG217" s="39">
        <f>IF(ISBLANK(Q217),"",AS217/Macroindicadores!B$2)</f>
        <v>0.22108843537414968</v>
      </c>
      <c r="BH217" s="39">
        <f>IF(ISBLANK(R217),"",AT217/Macroindicadores!C$2)</f>
        <v>0.22108843537414968</v>
      </c>
      <c r="BI217" s="39">
        <f>IF(ISBLANK(S217),"",AU217/Macroindicadores!D$2)</f>
        <v>0.22108843537414968</v>
      </c>
      <c r="BJ217" s="39">
        <f>IF(ISBLANK(T217),"",AV217/Macroindicadores!E$2)</f>
        <v>0.22108843537414968</v>
      </c>
      <c r="BK217" s="39">
        <f>IF(ISBLANK(U217),"",AW217/Macroindicadores!F$2)</f>
        <v>0.22108843537414968</v>
      </c>
      <c r="BL217" s="39">
        <f>IF(ISBLANK(V217),"",AX217/Macroindicadores!G$2)</f>
        <v>0.22108843537414968</v>
      </c>
      <c r="BM217" s="39">
        <f>IF(ISBLANK(W217),"",AY217/Macroindicadores!H$2)</f>
        <v>0.22108843537414968</v>
      </c>
      <c r="BN217" s="39">
        <f>IF(ISBLANK(X217),"",AZ217/Macroindicadores!I$2)</f>
        <v>0.22108843537414968</v>
      </c>
      <c r="BO217" s="39">
        <f>IF(ISBLANK(Y217),"",BA217/Macroindicadores!J$2)</f>
        <v>0.22108843537414968</v>
      </c>
      <c r="BP217" s="39">
        <f>IF(ISBLANK(Z217),"",BB217/Macroindicadores!K$2)</f>
        <v>0.22108843537414968</v>
      </c>
      <c r="BQ217" s="39">
        <f>IF(ISBLANK(AA217),"",BC217/Macroindicadores!L$2)</f>
        <v>0.22108843537414968</v>
      </c>
      <c r="BR217" s="39">
        <f>IF(ISBLANK(AB217),"",BD217/Macroindicadores!M$2)</f>
        <v>0.22108843537414968</v>
      </c>
      <c r="BS217" s="40">
        <f>IF(AND(ISBLANK($Q217),ISBLANK($R217),ISBLANK($S217),ISBLANK($T217),ISBLANK($U217),ISBLANK($V217),ISBLANK($W217),ISBLANK($X217),ISBLANK($Y217),ISBLANK($Z217),ISBLANK($AA217),ISBLANK($AB217)),"",SUM(BG217:BR217))</f>
        <v>2.6530612244897953</v>
      </c>
      <c r="BT217" s="25" t="str">
        <f>IF(ISBLANK($L217),"",_xlfn.XLOOKUP($L217,'CENTRO CUSTO'!$A:$A,'CENTRO CUSTO'!$E:$E,FALSE,0))</f>
        <v>G&amp;A BU</v>
      </c>
    </row>
    <row r="218" spans="1:72">
      <c r="A218" s="9" t="str">
        <f t="shared" si="80"/>
        <v>Budget</v>
      </c>
      <c r="B218" s="9">
        <f t="shared" si="77"/>
        <v>2026</v>
      </c>
      <c r="C218" s="18" t="str">
        <f>IF(ISBLANK($L218),"",_xlfn.XLOOKUP($L218,'CENTRO CUSTO'!$A:$A,'CENTRO CUSTO'!F:F,FALSE,0))</f>
        <v>MRV</v>
      </c>
      <c r="D218" s="111" t="str">
        <f>IF(ISBLANK($L218),"",_xlfn.XLOOKUP($L218,'CENTRO CUSTO'!$A:$A,'CENTRO CUSTO'!G:G,FALSE,0))</f>
        <v>BU-MRV</v>
      </c>
      <c r="E218" s="18" t="str">
        <f>IF(ISBLANK($L218),"",_xlfn.XLOOKUP($L218,'CENTRO CUSTO'!$A:$A,'CENTRO CUSTO'!H:H,FALSE,0))</f>
        <v>G&amp;A</v>
      </c>
      <c r="F218" s="10" t="s">
        <v>219</v>
      </c>
      <c r="G218" s="10" t="s">
        <v>123</v>
      </c>
      <c r="H218" s="10" t="s">
        <v>220</v>
      </c>
      <c r="I218" s="11" t="s">
        <v>84</v>
      </c>
      <c r="J218" s="11" t="s">
        <v>78</v>
      </c>
      <c r="K218" s="11" t="s">
        <v>121</v>
      </c>
      <c r="L218" s="11" t="s">
        <v>45</v>
      </c>
      <c r="M218" s="18" t="str">
        <f>IF(ISBLANK($L218),"",_xlfn.XLOOKUP($L218,'CENTRO CUSTO'!$A:$A,'CENTRO CUSTO'!D:D,FALSE,0))</f>
        <v>Alexandre Ayabe</v>
      </c>
      <c r="N218" s="11" t="s">
        <v>132</v>
      </c>
      <c r="O218" s="12"/>
      <c r="P218" s="11" t="s">
        <v>81</v>
      </c>
      <c r="Q218" s="41">
        <f>24000*Rateio!$E$440/12</f>
        <v>260</v>
      </c>
      <c r="R218" s="41">
        <f>24000*Rateio!$E$440/12</f>
        <v>260</v>
      </c>
      <c r="S218" s="41">
        <f>24000*Rateio!$E$440/12</f>
        <v>260</v>
      </c>
      <c r="T218" s="41">
        <f>24000*Rateio!$E$440/12</f>
        <v>260</v>
      </c>
      <c r="U218" s="41">
        <f>24000*Rateio!$E$440/12</f>
        <v>260</v>
      </c>
      <c r="V218" s="41">
        <f>24000*Rateio!$E$440/12</f>
        <v>260</v>
      </c>
      <c r="W218" s="41">
        <f>24000*Rateio!$E$440/12</f>
        <v>260</v>
      </c>
      <c r="X218" s="41">
        <f>24000*Rateio!$E$440/12</f>
        <v>260</v>
      </c>
      <c r="Y218" s="41">
        <f>24000*Rateio!$E$440/12</f>
        <v>260</v>
      </c>
      <c r="Z218" s="41">
        <f>24000*Rateio!$E$440/12</f>
        <v>260</v>
      </c>
      <c r="AA218" s="41">
        <f>24000*Rateio!$E$440/12</f>
        <v>260</v>
      </c>
      <c r="AB218" s="41">
        <f>24000*Rateio!$E$440/12</f>
        <v>260</v>
      </c>
      <c r="AC218" s="116">
        <f t="shared" si="99"/>
        <v>3120</v>
      </c>
      <c r="AE218" s="39">
        <f>IF(ISBLANK(Q218),"",IF($P218="BRL",Q218,Q218*Macroindicadores!B$2)/1000)</f>
        <v>0.26</v>
      </c>
      <c r="AF218" s="39">
        <f>IF(ISBLANK(R218),"",IF($P218="BRL",R218,R218*Macroindicadores!C$2)/1000)</f>
        <v>0.26</v>
      </c>
      <c r="AG218" s="39">
        <f>IF(ISBLANK(S218),"",IF($P218="BRL",S218,S218*Macroindicadores!D$2)/1000)</f>
        <v>0.26</v>
      </c>
      <c r="AH218" s="39">
        <f>IF(ISBLANK(T218),"",IF($P218="BRL",T218,T218*Macroindicadores!E$2)/1000)</f>
        <v>0.26</v>
      </c>
      <c r="AI218" s="39">
        <f>IF(ISBLANK(U218),"",IF($P218="BRL",U218,U218*Macroindicadores!F$2)/1000)</f>
        <v>0.26</v>
      </c>
      <c r="AJ218" s="39">
        <f>IF(ISBLANK(V218),"",IF($P218="BRL",V218,V218*Macroindicadores!G$2)/1000)</f>
        <v>0.26</v>
      </c>
      <c r="AK218" s="39">
        <f>IF(ISBLANK(W218),"",IF($P218="BRL",W218,W218*Macroindicadores!H$2)/1000)</f>
        <v>0.26</v>
      </c>
      <c r="AL218" s="39">
        <f>IF(ISBLANK(X218),"",IF($P218="BRL",X218,X218*Macroindicadores!I$2)/1000)</f>
        <v>0.26</v>
      </c>
      <c r="AM218" s="39">
        <f>IF(ISBLANK(Y218),"",IF($P218="BRL",Y218,Y218*Macroindicadores!J$2)/1000)</f>
        <v>0.26</v>
      </c>
      <c r="AN218" s="39">
        <f>IF(ISBLANK(Z218),"",IF($P218="BRL",Z218,Z218*Macroindicadores!K$2)/1000)</f>
        <v>0.26</v>
      </c>
      <c r="AO218" s="39">
        <f>IF(ISBLANK(AA218),"",IF($P218="BRL",AA218,AA218*Macroindicadores!L$2)/1000)</f>
        <v>0.26</v>
      </c>
      <c r="AP218" s="39">
        <f>IF(ISBLANK(AB218),"",IF($P218="BRL",AB218,AB218*Macroindicadores!M$2)/1000)</f>
        <v>0.26</v>
      </c>
      <c r="AQ218" s="40">
        <f t="shared" si="100"/>
        <v>3.1199999999999992</v>
      </c>
      <c r="AS218" s="39">
        <f>IF(ISBLANK(Q218),"",IF(ISBLANK($O218),AE218,IF($J218="ANUAL",AE218*(1+Macroindicadores!B$7),IF(AND($I218="NOVO",MONTH($O218)=MONTH(AS$4)),AE218*(1+Macroindicadores!B$7),IF(AND($J218="PONTUAL",MONTH($O218)=MONTH(AS$4)),AE218*(1+Macroindicadores!B$7),IF(AND($J218="PONTUAL",MONTH($O218)&lt;MONTH(AS$4)),MIN(AR218:$AS218),IF(AND($I218="NOVO",MONTH($O218)&gt;MONTH(AS$4)),AE218,IF(MONTH($O218)&gt;MONTH(AS$4),AE218,IF(MONTH($O218)=MONTH(AS$4),AE218*(1+Macroindicadores!B$7),AR218)))))))))</f>
        <v>0.26</v>
      </c>
      <c r="AT218" s="39">
        <f>IF(ISBLANK(R218),"",IF(ISBLANK($O218),AF218,IF($J218="ANUAL",AF218*(1+Macroindicadores!C$7),IF(AND($I218="NOVO",MONTH($O218)=MONTH(AT$4)),AF218*(1+Macroindicadores!C$7),IF(AND($J218="PONTUAL",MONTH($O218)=MONTH(AT$4)),AF218*(1+Macroindicadores!C$7),IF(AND($J218="PONTUAL",MONTH($O218)&lt;MONTH(AT$4)),MIN($AS218:AS218),IF(AND($I218="NOVO",MONTH($O218)&gt;MONTH(AT$4)),AF218,IF(MONTH($O218)&gt;MONTH(AT$4),AF218,IF(MONTH($O218)=MONTH(AT$4),AF218*(1+Macroindicadores!C$7),AS218)))))))))</f>
        <v>0.26</v>
      </c>
      <c r="AU218" s="39">
        <f>IF(ISBLANK(S218),"",IF(ISBLANK($O218),AG218,IF($J218="ANUAL",AG218*(1+Macroindicadores!D$7),IF(AND($I218="NOVO",MONTH($O218)=MONTH(AU$4)),AG218*(1+Macroindicadores!D$7),IF(AND($J218="PONTUAL",MONTH($O218)=MONTH(AU$4)),AG218*(1+Macroindicadores!D$7),IF(AND($J218="PONTUAL",MONTH($O218)&lt;MONTH(AU$4)),MIN($AS218:AT218),IF(AND($I218="NOVO",MONTH($O218)&gt;MONTH(AU$4)),AG218,IF(MONTH($O218)&gt;MONTH(AU$4),AG218,IF(MONTH($O218)=MONTH(AU$4),AG218*(1+Macroindicadores!D$7),AT218)))))))))</f>
        <v>0.26</v>
      </c>
      <c r="AV218" s="39">
        <f>IF(ISBLANK(T218),"",IF(ISBLANK($O218),AH218,IF($J218="ANUAL",AH218*(1+Macroindicadores!E$7),IF(AND($I218="NOVO",MONTH($O218)=MONTH(AV$4)),AH218*(1+Macroindicadores!E$7),IF(AND($J218="PONTUAL",MONTH($O218)=MONTH(AV$4)),AH218*(1+Macroindicadores!E$7),IF(AND($J218="PONTUAL",MONTH($O218)&lt;MONTH(AV$4)),MIN($AS218:AU218),IF(AND($I218="NOVO",MONTH($O218)&gt;MONTH(AV$4)),AH218,IF(MONTH($O218)&gt;MONTH(AV$4),AH218,IF(MONTH($O218)=MONTH(AV$4),AH218*(1+Macroindicadores!E$7),AU218)))))))))</f>
        <v>0.26</v>
      </c>
      <c r="AW218" s="39">
        <f>IF(ISBLANK(U218),"",IF(ISBLANK($O218),AI218,IF($J218="ANUAL",AI218*(1+Macroindicadores!F$7),IF(AND($I218="NOVO",MONTH($O218)=MONTH(AW$4)),AI218*(1+Macroindicadores!F$7),IF(AND($J218="PONTUAL",MONTH($O218)=MONTH(AW$4)),AI218*(1+Macroindicadores!F$7),IF(AND($J218="PONTUAL",MONTH($O218)&lt;MONTH(AW$4)),MIN($AS218:AV218),IF(AND($I218="NOVO",MONTH($O218)&gt;MONTH(AW$4)),AI218,IF(MONTH($O218)&gt;MONTH(AW$4),AI218,IF(MONTH($O218)=MONTH(AW$4),AI218*(1+Macroindicadores!F$7),AV218)))))))))</f>
        <v>0.26</v>
      </c>
      <c r="AX218" s="39">
        <f>IF(ISBLANK(V218),"",IF(ISBLANK($O218),AJ218,IF($J218="ANUAL",AJ218*(1+Macroindicadores!G$7),IF(AND($I218="NOVO",MONTH($O218)=MONTH(AX$4)),AJ218*(1+Macroindicadores!G$7),IF(AND($J218="PONTUAL",MONTH($O218)=MONTH(AX$4)),AJ218*(1+Macroindicadores!G$7),IF(AND($J218="PONTUAL",MONTH($O218)&lt;MONTH(AX$4)),MIN($AS218:AW218),IF(AND($I218="NOVO",MONTH($O218)&gt;MONTH(AX$4)),AJ218,IF(MONTH($O218)&gt;MONTH(AX$4),AJ218,IF(MONTH($O218)=MONTH(AX$4),AJ218*(1+Macroindicadores!G$7),AW218)))))))))</f>
        <v>0.26</v>
      </c>
      <c r="AY218" s="39">
        <f>IF(ISBLANK(W218),"",IF(ISBLANK($O218),AK218,IF($J218="ANUAL",AK218*(1+Macroindicadores!H$7),IF(AND($I218="NOVO",MONTH($O218)=MONTH(AY$4)),AK218*(1+Macroindicadores!H$7),IF(AND($J218="PONTUAL",MONTH($O218)=MONTH(AY$4)),AK218*(1+Macroindicadores!H$7),IF(AND($J218="PONTUAL",MONTH($O218)&lt;MONTH(AY$4)),MIN($AS218:AX218),IF(AND($I218="NOVO",MONTH($O218)&gt;MONTH(AY$4)),AK218,IF(MONTH($O218)&gt;MONTH(AY$4),AK218,IF(MONTH($O218)=MONTH(AY$4),AK218*(1+Macroindicadores!H$7),AX218)))))))))</f>
        <v>0.26</v>
      </c>
      <c r="AZ218" s="39">
        <f>IF(ISBLANK(X218),"",IF(ISBLANK($O218),AL218,IF($J218="ANUAL",AL218*(1+Macroindicadores!I$7),IF(AND($I218="NOVO",MONTH($O218)=MONTH(AZ$4)),AL218*(1+Macroindicadores!I$7),IF(AND($J218="PONTUAL",MONTH($O218)=MONTH(AZ$4)),AL218*(1+Macroindicadores!I$7),IF(AND($J218="PONTUAL",MONTH($O218)&lt;MONTH(AZ$4)),MIN($AS218:AY218),IF(AND($I218="NOVO",MONTH($O218)&gt;MONTH(AZ$4)),AL218,IF(MONTH($O218)&gt;MONTH(AZ$4),AL218,IF(MONTH($O218)=MONTH(AZ$4),AL218*(1+Macroindicadores!I$7),AY218)))))))))</f>
        <v>0.26</v>
      </c>
      <c r="BA218" s="39">
        <f>IF(ISBLANK(Y218),"",IF(ISBLANK($O218),AM218,IF($J218="ANUAL",AM218*(1+Macroindicadores!J$7),IF(AND($I218="NOVO",MONTH($O218)=MONTH(BA$4)),AM218*(1+Macroindicadores!J$7),IF(AND($J218="PONTUAL",MONTH($O218)=MONTH(BA$4)),AM218*(1+Macroindicadores!J$7),IF(AND($J218="PONTUAL",MONTH($O218)&lt;MONTH(BA$4)),MIN($AS218:AZ218),IF(AND($I218="NOVO",MONTH($O218)&gt;MONTH(BA$4)),AM218,IF(MONTH($O218)&gt;MONTH(BA$4),AM218,IF(MONTH($O218)=MONTH(BA$4),AM218*(1+Macroindicadores!J$7),AZ218)))))))))</f>
        <v>0.26</v>
      </c>
      <c r="BB218" s="39">
        <f>IF(ISBLANK(Z218),"",IF(ISBLANK($O218),AN218,IF($J218="ANUAL",AN218*(1+Macroindicadores!K$7),IF(AND($I218="NOVO",MONTH($O218)=MONTH(BB$4)),AN218*(1+Macroindicadores!K$7),IF(AND($J218="PONTUAL",MONTH($O218)=MONTH(BB$4)),AN218*(1+Macroindicadores!K$7),IF(AND($J218="PONTUAL",MONTH($O218)&lt;MONTH(BB$4)),MIN($AS218:BA218),IF(AND($I218="NOVO",MONTH($O218)&gt;MONTH(BB$4)),AN218,IF(MONTH($O218)&gt;MONTH(BB$4),AN218,IF(MONTH($O218)=MONTH(BB$4),AN218*(1+Macroindicadores!K$7),BA218)))))))))</f>
        <v>0.26</v>
      </c>
      <c r="BC218" s="39">
        <f>IF(ISBLANK(AA218),"",IF(ISBLANK($O218),AO218,IF($J218="ANUAL",AO218*(1+Macroindicadores!L$7),IF(AND($I218="NOVO",MONTH($O218)=MONTH(BC$4)),AO218*(1+Macroindicadores!L$7),IF(AND($J218="PONTUAL",MONTH($O218)=MONTH(BC$4)),AO218*(1+Macroindicadores!L$7),IF(AND($J218="PONTUAL",MONTH($O218)&lt;MONTH(BC$4)),MIN($AS218:BB218),IF(AND($I218="NOVO",MONTH($O218)&gt;MONTH(BC$4)),AO218,IF(MONTH($O218)&gt;MONTH(BC$4),AO218,IF(MONTH($O218)=MONTH(BC$4),AO218*(1+Macroindicadores!L$7),BB218)))))))))</f>
        <v>0.26</v>
      </c>
      <c r="BD218" s="39">
        <f>IF(ISBLANK(AB218),"",IF(ISBLANK($O218),AP218,IF($J218="ANUAL",AP218*(1+Macroindicadores!M$7),IF(AND($I218="NOVO",MONTH($O218)=MONTH(BD$4)),AP218*(1+Macroindicadores!M$7),IF(AND($J218="PONTUAL",MONTH($O218)=MONTH(BD$4)),AP218*(1+Macroindicadores!M$7),IF(AND($J218="PONTUAL",MONTH($O218)&lt;MONTH(BD$4)),MIN($AS218:BC218),IF(AND($I218="NOVO",MONTH($O218)&gt;MONTH(BD$4)),AP218,IF(MONTH($O218)&gt;MONTH(BD$4),AP218,IF(MONTH($O218)=MONTH(BD$4),AP218*(1+Macroindicadores!M$7),BC218)))))))))</f>
        <v>0.26</v>
      </c>
      <c r="BE218" s="40">
        <f t="shared" si="101"/>
        <v>3.1199999999999992</v>
      </c>
      <c r="BG218" s="39">
        <f>IF(ISBLANK(Q218),"",AS218/Macroindicadores!B$2)</f>
        <v>4.4217687074829932E-2</v>
      </c>
      <c r="BH218" s="39">
        <f>IF(ISBLANK(R218),"",AT218/Macroindicadores!C$2)</f>
        <v>4.4217687074829932E-2</v>
      </c>
      <c r="BI218" s="39">
        <f>IF(ISBLANK(S218),"",AU218/Macroindicadores!D$2)</f>
        <v>4.4217687074829932E-2</v>
      </c>
      <c r="BJ218" s="39">
        <f>IF(ISBLANK(T218),"",AV218/Macroindicadores!E$2)</f>
        <v>4.4217687074829932E-2</v>
      </c>
      <c r="BK218" s="39">
        <f>IF(ISBLANK(U218),"",AW218/Macroindicadores!F$2)</f>
        <v>4.4217687074829932E-2</v>
      </c>
      <c r="BL218" s="39">
        <f>IF(ISBLANK(V218),"",AX218/Macroindicadores!G$2)</f>
        <v>4.4217687074829932E-2</v>
      </c>
      <c r="BM218" s="39">
        <f>IF(ISBLANK(W218),"",AY218/Macroindicadores!H$2)</f>
        <v>4.4217687074829932E-2</v>
      </c>
      <c r="BN218" s="39">
        <f>IF(ISBLANK(X218),"",AZ218/Macroindicadores!I$2)</f>
        <v>4.4217687074829932E-2</v>
      </c>
      <c r="BO218" s="39">
        <f>IF(ISBLANK(Y218),"",BA218/Macroindicadores!J$2)</f>
        <v>4.4217687074829932E-2</v>
      </c>
      <c r="BP218" s="39">
        <f>IF(ISBLANK(Z218),"",BB218/Macroindicadores!K$2)</f>
        <v>4.4217687074829932E-2</v>
      </c>
      <c r="BQ218" s="39">
        <f>IF(ISBLANK(AA218),"",BC218/Macroindicadores!L$2)</f>
        <v>4.4217687074829932E-2</v>
      </c>
      <c r="BR218" s="39">
        <f>IF(ISBLANK(AB218),"",BD218/Macroindicadores!M$2)</f>
        <v>4.4217687074829932E-2</v>
      </c>
      <c r="BS218" s="40">
        <f>IF(AND(ISBLANK($Q218),ISBLANK($R218),ISBLANK($S218),ISBLANK($T218),ISBLANK($U218),ISBLANK($V218),ISBLANK($W218),ISBLANK($X218),ISBLANK($Y218),ISBLANK($Z218),ISBLANK($AA218),ISBLANK($AB218)),"",SUM(BG218:BR218))</f>
        <v>0.53061224489795922</v>
      </c>
      <c r="BT218" s="25" t="str">
        <f>IF(ISBLANK($L218),"",_xlfn.XLOOKUP($L218,'CENTRO CUSTO'!$A:$A,'CENTRO CUSTO'!$E:$E,FALSE,0))</f>
        <v>G&amp;A BU</v>
      </c>
    </row>
    <row r="219" spans="1:72">
      <c r="A219" s="9" t="str">
        <f t="shared" si="80"/>
        <v>Budget</v>
      </c>
      <c r="B219" s="9">
        <f t="shared" si="77"/>
        <v>2026</v>
      </c>
      <c r="C219" s="18" t="str">
        <f>IF(ISBLANK($L219),"",_xlfn.XLOOKUP($L219,'CENTRO CUSTO'!$A:$A,'CENTRO CUSTO'!F:F,FALSE,0))</f>
        <v>SKM</v>
      </c>
      <c r="D219" s="111" t="str">
        <f>IF(ISBLANK($L219),"",_xlfn.XLOOKUP($L219,'CENTRO CUSTO'!$A:$A,'CENTRO CUSTO'!G:G,FALSE,0))</f>
        <v>BU-SKM</v>
      </c>
      <c r="E219" s="18" t="str">
        <f>IF(ISBLANK($L219),"",_xlfn.XLOOKUP($L219,'CENTRO CUSTO'!$A:$A,'CENTRO CUSTO'!H:H,FALSE,0))</f>
        <v>G&amp;A</v>
      </c>
      <c r="F219" s="10" t="s">
        <v>219</v>
      </c>
      <c r="G219" s="10" t="s">
        <v>123</v>
      </c>
      <c r="H219" s="10" t="s">
        <v>220</v>
      </c>
      <c r="I219" s="11" t="s">
        <v>84</v>
      </c>
      <c r="J219" s="11" t="s">
        <v>78</v>
      </c>
      <c r="K219" s="11" t="s">
        <v>121</v>
      </c>
      <c r="L219" s="11" t="s">
        <v>50</v>
      </c>
      <c r="M219" s="18" t="str">
        <f>IF(ISBLANK($L219),"",_xlfn.XLOOKUP($L219,'CENTRO CUSTO'!$A:$A,'CENTRO CUSTO'!D:D,FALSE,0))</f>
        <v>Alexandre Ayabe</v>
      </c>
      <c r="N219" s="11" t="s">
        <v>132</v>
      </c>
      <c r="O219" s="12"/>
      <c r="P219" s="11" t="s">
        <v>81</v>
      </c>
      <c r="Q219" s="41">
        <f>24000*Rateio!$E$443/12</f>
        <v>440</v>
      </c>
      <c r="R219" s="41">
        <f>24000*Rateio!$E$443/12</f>
        <v>440</v>
      </c>
      <c r="S219" s="41">
        <f>24000*Rateio!$E$443/12</f>
        <v>440</v>
      </c>
      <c r="T219" s="41">
        <f>24000*Rateio!$E$443/12</f>
        <v>440</v>
      </c>
      <c r="U219" s="41">
        <f>24000*Rateio!$E$443/12</f>
        <v>440</v>
      </c>
      <c r="V219" s="41">
        <f>24000*Rateio!$E$443/12</f>
        <v>440</v>
      </c>
      <c r="W219" s="41">
        <f>24000*Rateio!$E$443/12</f>
        <v>440</v>
      </c>
      <c r="X219" s="41">
        <f>24000*Rateio!$E$443/12</f>
        <v>440</v>
      </c>
      <c r="Y219" s="41">
        <f>24000*Rateio!$E$443/12</f>
        <v>440</v>
      </c>
      <c r="Z219" s="41">
        <f>24000*Rateio!$E$443/12</f>
        <v>440</v>
      </c>
      <c r="AA219" s="41">
        <f>24000*Rateio!$E$443/12</f>
        <v>440</v>
      </c>
      <c r="AB219" s="41">
        <f>24000*Rateio!$E$443/12</f>
        <v>440</v>
      </c>
      <c r="AC219" s="116">
        <f t="shared" si="99"/>
        <v>5280</v>
      </c>
      <c r="AE219" s="39">
        <f>IF(ISBLANK(Q219),"",IF($P219="BRL",Q219,Q219*Macroindicadores!B$2)/1000)</f>
        <v>0.44</v>
      </c>
      <c r="AF219" s="39">
        <f>IF(ISBLANK(R219),"",IF($P219="BRL",R219,R219*Macroindicadores!C$2)/1000)</f>
        <v>0.44</v>
      </c>
      <c r="AG219" s="39">
        <f>IF(ISBLANK(S219),"",IF($P219="BRL",S219,S219*Macroindicadores!D$2)/1000)</f>
        <v>0.44</v>
      </c>
      <c r="AH219" s="39">
        <f>IF(ISBLANK(T219),"",IF($P219="BRL",T219,T219*Macroindicadores!E$2)/1000)</f>
        <v>0.44</v>
      </c>
      <c r="AI219" s="39">
        <f>IF(ISBLANK(U219),"",IF($P219="BRL",U219,U219*Macroindicadores!F$2)/1000)</f>
        <v>0.44</v>
      </c>
      <c r="AJ219" s="39">
        <f>IF(ISBLANK(V219),"",IF($P219="BRL",V219,V219*Macroindicadores!G$2)/1000)</f>
        <v>0.44</v>
      </c>
      <c r="AK219" s="39">
        <f>IF(ISBLANK(W219),"",IF($P219="BRL",W219,W219*Macroindicadores!H$2)/1000)</f>
        <v>0.44</v>
      </c>
      <c r="AL219" s="39">
        <f>IF(ISBLANK(X219),"",IF($P219="BRL",X219,X219*Macroindicadores!I$2)/1000)</f>
        <v>0.44</v>
      </c>
      <c r="AM219" s="39">
        <f>IF(ISBLANK(Y219),"",IF($P219="BRL",Y219,Y219*Macroindicadores!J$2)/1000)</f>
        <v>0.44</v>
      </c>
      <c r="AN219" s="39">
        <f>IF(ISBLANK(Z219),"",IF($P219="BRL",Z219,Z219*Macroindicadores!K$2)/1000)</f>
        <v>0.44</v>
      </c>
      <c r="AO219" s="39">
        <f>IF(ISBLANK(AA219),"",IF($P219="BRL",AA219,AA219*Macroindicadores!L$2)/1000)</f>
        <v>0.44</v>
      </c>
      <c r="AP219" s="39">
        <f>IF(ISBLANK(AB219),"",IF($P219="BRL",AB219,AB219*Macroindicadores!M$2)/1000)</f>
        <v>0.44</v>
      </c>
      <c r="AQ219" s="40">
        <f t="shared" si="100"/>
        <v>5.2800000000000011</v>
      </c>
      <c r="AS219" s="39">
        <f>IF(ISBLANK(Q219),"",IF(ISBLANK($O219),AE219,IF($J219="ANUAL",AE219*(1+Macroindicadores!B$7),IF(AND($I219="NOVO",MONTH($O219)=MONTH(AS$4)),AE219*(1+Macroindicadores!B$7),IF(AND($J219="PONTUAL",MONTH($O219)=MONTH(AS$4)),AE219*(1+Macroindicadores!B$7),IF(AND($J219="PONTUAL",MONTH($O219)&lt;MONTH(AS$4)),MIN(AR219:$AS219),IF(AND($I219="NOVO",MONTH($O219)&gt;MONTH(AS$4)),AE219,IF(MONTH($O219)&gt;MONTH(AS$4),AE219,IF(MONTH($O219)=MONTH(AS$4),AE219*(1+Macroindicadores!B$7),AR219)))))))))</f>
        <v>0.44</v>
      </c>
      <c r="AT219" s="39">
        <f>IF(ISBLANK(R219),"",IF(ISBLANK($O219),AF219,IF($J219="ANUAL",AF219*(1+Macroindicadores!C$7),IF(AND($I219="NOVO",MONTH($O219)=MONTH(AT$4)),AF219*(1+Macroindicadores!C$7),IF(AND($J219="PONTUAL",MONTH($O219)=MONTH(AT$4)),AF219*(1+Macroindicadores!C$7),IF(AND($J219="PONTUAL",MONTH($O219)&lt;MONTH(AT$4)),MIN($AS219:AS219),IF(AND($I219="NOVO",MONTH($O219)&gt;MONTH(AT$4)),AF219,IF(MONTH($O219)&gt;MONTH(AT$4),AF219,IF(MONTH($O219)=MONTH(AT$4),AF219*(1+Macroindicadores!C$7),AS219)))))))))</f>
        <v>0.44</v>
      </c>
      <c r="AU219" s="39">
        <f>IF(ISBLANK(S219),"",IF(ISBLANK($O219),AG219,IF($J219="ANUAL",AG219*(1+Macroindicadores!D$7),IF(AND($I219="NOVO",MONTH($O219)=MONTH(AU$4)),AG219*(1+Macroindicadores!D$7),IF(AND($J219="PONTUAL",MONTH($O219)=MONTH(AU$4)),AG219*(1+Macroindicadores!D$7),IF(AND($J219="PONTUAL",MONTH($O219)&lt;MONTH(AU$4)),MIN($AS219:AT219),IF(AND($I219="NOVO",MONTH($O219)&gt;MONTH(AU$4)),AG219,IF(MONTH($O219)&gt;MONTH(AU$4),AG219,IF(MONTH($O219)=MONTH(AU$4),AG219*(1+Macroindicadores!D$7),AT219)))))))))</f>
        <v>0.44</v>
      </c>
      <c r="AV219" s="39">
        <f>IF(ISBLANK(T219),"",IF(ISBLANK($O219),AH219,IF($J219="ANUAL",AH219*(1+Macroindicadores!E$7),IF(AND($I219="NOVO",MONTH($O219)=MONTH(AV$4)),AH219*(1+Macroindicadores!E$7),IF(AND($J219="PONTUAL",MONTH($O219)=MONTH(AV$4)),AH219*(1+Macroindicadores!E$7),IF(AND($J219="PONTUAL",MONTH($O219)&lt;MONTH(AV$4)),MIN($AS219:AU219),IF(AND($I219="NOVO",MONTH($O219)&gt;MONTH(AV$4)),AH219,IF(MONTH($O219)&gt;MONTH(AV$4),AH219,IF(MONTH($O219)=MONTH(AV$4),AH219*(1+Macroindicadores!E$7),AU219)))))))))</f>
        <v>0.44</v>
      </c>
      <c r="AW219" s="39">
        <f>IF(ISBLANK(U219),"",IF(ISBLANK($O219),AI219,IF($J219="ANUAL",AI219*(1+Macroindicadores!F$7),IF(AND($I219="NOVO",MONTH($O219)=MONTH(AW$4)),AI219*(1+Macroindicadores!F$7),IF(AND($J219="PONTUAL",MONTH($O219)=MONTH(AW$4)),AI219*(1+Macroindicadores!F$7),IF(AND($J219="PONTUAL",MONTH($O219)&lt;MONTH(AW$4)),MIN($AS219:AV219),IF(AND($I219="NOVO",MONTH($O219)&gt;MONTH(AW$4)),AI219,IF(MONTH($O219)&gt;MONTH(AW$4),AI219,IF(MONTH($O219)=MONTH(AW$4),AI219*(1+Macroindicadores!F$7),AV219)))))))))</f>
        <v>0.44</v>
      </c>
      <c r="AX219" s="39">
        <f>IF(ISBLANK(V219),"",IF(ISBLANK($O219),AJ219,IF($J219="ANUAL",AJ219*(1+Macroindicadores!G$7),IF(AND($I219="NOVO",MONTH($O219)=MONTH(AX$4)),AJ219*(1+Macroindicadores!G$7),IF(AND($J219="PONTUAL",MONTH($O219)=MONTH(AX$4)),AJ219*(1+Macroindicadores!G$7),IF(AND($J219="PONTUAL",MONTH($O219)&lt;MONTH(AX$4)),MIN($AS219:AW219),IF(AND($I219="NOVO",MONTH($O219)&gt;MONTH(AX$4)),AJ219,IF(MONTH($O219)&gt;MONTH(AX$4),AJ219,IF(MONTH($O219)=MONTH(AX$4),AJ219*(1+Macroindicadores!G$7),AW219)))))))))</f>
        <v>0.44</v>
      </c>
      <c r="AY219" s="39">
        <f>IF(ISBLANK(W219),"",IF(ISBLANK($O219),AK219,IF($J219="ANUAL",AK219*(1+Macroindicadores!H$7),IF(AND($I219="NOVO",MONTH($O219)=MONTH(AY$4)),AK219*(1+Macroindicadores!H$7),IF(AND($J219="PONTUAL",MONTH($O219)=MONTH(AY$4)),AK219*(1+Macroindicadores!H$7),IF(AND($J219="PONTUAL",MONTH($O219)&lt;MONTH(AY$4)),MIN($AS219:AX219),IF(AND($I219="NOVO",MONTH($O219)&gt;MONTH(AY$4)),AK219,IF(MONTH($O219)&gt;MONTH(AY$4),AK219,IF(MONTH($O219)=MONTH(AY$4),AK219*(1+Macroindicadores!H$7),AX219)))))))))</f>
        <v>0.44</v>
      </c>
      <c r="AZ219" s="39">
        <f>IF(ISBLANK(X219),"",IF(ISBLANK($O219),AL219,IF($J219="ANUAL",AL219*(1+Macroindicadores!I$7),IF(AND($I219="NOVO",MONTH($O219)=MONTH(AZ$4)),AL219*(1+Macroindicadores!I$7),IF(AND($J219="PONTUAL",MONTH($O219)=MONTH(AZ$4)),AL219*(1+Macroindicadores!I$7),IF(AND($J219="PONTUAL",MONTH($O219)&lt;MONTH(AZ$4)),MIN($AS219:AY219),IF(AND($I219="NOVO",MONTH($O219)&gt;MONTH(AZ$4)),AL219,IF(MONTH($O219)&gt;MONTH(AZ$4),AL219,IF(MONTH($O219)=MONTH(AZ$4),AL219*(1+Macroindicadores!I$7),AY219)))))))))</f>
        <v>0.44</v>
      </c>
      <c r="BA219" s="39">
        <f>IF(ISBLANK(Y219),"",IF(ISBLANK($O219),AM219,IF($J219="ANUAL",AM219*(1+Macroindicadores!J$7),IF(AND($I219="NOVO",MONTH($O219)=MONTH(BA$4)),AM219*(1+Macroindicadores!J$7),IF(AND($J219="PONTUAL",MONTH($O219)=MONTH(BA$4)),AM219*(1+Macroindicadores!J$7),IF(AND($J219="PONTUAL",MONTH($O219)&lt;MONTH(BA$4)),MIN($AS219:AZ219),IF(AND($I219="NOVO",MONTH($O219)&gt;MONTH(BA$4)),AM219,IF(MONTH($O219)&gt;MONTH(BA$4),AM219,IF(MONTH($O219)=MONTH(BA$4),AM219*(1+Macroindicadores!J$7),AZ219)))))))))</f>
        <v>0.44</v>
      </c>
      <c r="BB219" s="39">
        <f>IF(ISBLANK(Z219),"",IF(ISBLANK($O219),AN219,IF($J219="ANUAL",AN219*(1+Macroindicadores!K$7),IF(AND($I219="NOVO",MONTH($O219)=MONTH(BB$4)),AN219*(1+Macroindicadores!K$7),IF(AND($J219="PONTUAL",MONTH($O219)=MONTH(BB$4)),AN219*(1+Macroindicadores!K$7),IF(AND($J219="PONTUAL",MONTH($O219)&lt;MONTH(BB$4)),MIN($AS219:BA219),IF(AND($I219="NOVO",MONTH($O219)&gt;MONTH(BB$4)),AN219,IF(MONTH($O219)&gt;MONTH(BB$4),AN219,IF(MONTH($O219)=MONTH(BB$4),AN219*(1+Macroindicadores!K$7),BA219)))))))))</f>
        <v>0.44</v>
      </c>
      <c r="BC219" s="39">
        <f>IF(ISBLANK(AA219),"",IF(ISBLANK($O219),AO219,IF($J219="ANUAL",AO219*(1+Macroindicadores!L$7),IF(AND($I219="NOVO",MONTH($O219)=MONTH(BC$4)),AO219*(1+Macroindicadores!L$7),IF(AND($J219="PONTUAL",MONTH($O219)=MONTH(BC$4)),AO219*(1+Macroindicadores!L$7),IF(AND($J219="PONTUAL",MONTH($O219)&lt;MONTH(BC$4)),MIN($AS219:BB219),IF(AND($I219="NOVO",MONTH($O219)&gt;MONTH(BC$4)),AO219,IF(MONTH($O219)&gt;MONTH(BC$4),AO219,IF(MONTH($O219)=MONTH(BC$4),AO219*(1+Macroindicadores!L$7),BB219)))))))))</f>
        <v>0.44</v>
      </c>
      <c r="BD219" s="39">
        <f>IF(ISBLANK(AB219),"",IF(ISBLANK($O219),AP219,IF($J219="ANUAL",AP219*(1+Macroindicadores!M$7),IF(AND($I219="NOVO",MONTH($O219)=MONTH(BD$4)),AP219*(1+Macroindicadores!M$7),IF(AND($J219="PONTUAL",MONTH($O219)=MONTH(BD$4)),AP219*(1+Macroindicadores!M$7),IF(AND($J219="PONTUAL",MONTH($O219)&lt;MONTH(BD$4)),MIN($AS219:BC219),IF(AND($I219="NOVO",MONTH($O219)&gt;MONTH(BD$4)),AP219,IF(MONTH($O219)&gt;MONTH(BD$4),AP219,IF(MONTH($O219)=MONTH(BD$4),AP219*(1+Macroindicadores!M$7),BC219)))))))))</f>
        <v>0.44</v>
      </c>
      <c r="BE219" s="40">
        <f t="shared" si="101"/>
        <v>5.2800000000000011</v>
      </c>
      <c r="BG219" s="39">
        <f>IF(ISBLANK(Q219),"",AS219/Macroindicadores!B$2)</f>
        <v>7.4829931972789115E-2</v>
      </c>
      <c r="BH219" s="39">
        <f>IF(ISBLANK(R219),"",AT219/Macroindicadores!C$2)</f>
        <v>7.4829931972789115E-2</v>
      </c>
      <c r="BI219" s="39">
        <f>IF(ISBLANK(S219),"",AU219/Macroindicadores!D$2)</f>
        <v>7.4829931972789115E-2</v>
      </c>
      <c r="BJ219" s="39">
        <f>IF(ISBLANK(T219),"",AV219/Macroindicadores!E$2)</f>
        <v>7.4829931972789115E-2</v>
      </c>
      <c r="BK219" s="39">
        <f>IF(ISBLANK(U219),"",AW219/Macroindicadores!F$2)</f>
        <v>7.4829931972789115E-2</v>
      </c>
      <c r="BL219" s="39">
        <f>IF(ISBLANK(V219),"",AX219/Macroindicadores!G$2)</f>
        <v>7.4829931972789115E-2</v>
      </c>
      <c r="BM219" s="39">
        <f>IF(ISBLANK(W219),"",AY219/Macroindicadores!H$2)</f>
        <v>7.4829931972789115E-2</v>
      </c>
      <c r="BN219" s="39">
        <f>IF(ISBLANK(X219),"",AZ219/Macroindicadores!I$2)</f>
        <v>7.4829931972789115E-2</v>
      </c>
      <c r="BO219" s="39">
        <f>IF(ISBLANK(Y219),"",BA219/Macroindicadores!J$2)</f>
        <v>7.4829931972789115E-2</v>
      </c>
      <c r="BP219" s="39">
        <f>IF(ISBLANK(Z219),"",BB219/Macroindicadores!K$2)</f>
        <v>7.4829931972789115E-2</v>
      </c>
      <c r="BQ219" s="39">
        <f>IF(ISBLANK(AA219),"",BC219/Macroindicadores!L$2)</f>
        <v>7.4829931972789115E-2</v>
      </c>
      <c r="BR219" s="39">
        <f>IF(ISBLANK(AB219),"",BD219/Macroindicadores!M$2)</f>
        <v>7.4829931972789115E-2</v>
      </c>
      <c r="BS219" s="40">
        <f>IF(AND(ISBLANK($Q219),ISBLANK($R219),ISBLANK($S219),ISBLANK($T219),ISBLANK($U219),ISBLANK($V219),ISBLANK($W219),ISBLANK($X219),ISBLANK($Y219),ISBLANK($Z219),ISBLANK($AA219),ISBLANK($AB219)),"",SUM(BG219:BR219))</f>
        <v>0.89795918367346916</v>
      </c>
      <c r="BT219" s="25" t="str">
        <f>IF(ISBLANK($L219),"",_xlfn.XLOOKUP($L219,'CENTRO CUSTO'!$A:$A,'CENTRO CUSTO'!$E:$E,FALSE,0))</f>
        <v>G&amp;A BU</v>
      </c>
    </row>
    <row r="220" spans="1:72">
      <c r="A220" s="9" t="str">
        <f t="shared" si="80"/>
        <v>Budget</v>
      </c>
      <c r="B220" s="9">
        <f t="shared" si="77"/>
        <v>2026</v>
      </c>
      <c r="C220" s="18" t="str">
        <f>IF(ISBLANK($L220),"",_xlfn.XLOOKUP($L220,'CENTRO CUSTO'!$A:$A,'CENTRO CUSTO'!F:F,FALSE,0))</f>
        <v>Martini Meat</v>
      </c>
      <c r="D220" s="111" t="str">
        <f>IF(ISBLANK($L220),"",_xlfn.XLOOKUP($L220,'CENTRO CUSTO'!$A:$A,'CENTRO CUSTO'!G:G,FALSE,0))</f>
        <v>Paranaguá</v>
      </c>
      <c r="E220" s="18" t="str">
        <f>IF(ISBLANK($L220),"",_xlfn.XLOOKUP($L220,'CENTRO CUSTO'!$A:$A,'CENTRO CUSTO'!H:H,FALSE,0))</f>
        <v>Frigorífico</v>
      </c>
      <c r="F220" s="10" t="s">
        <v>221</v>
      </c>
      <c r="G220" s="10" t="s">
        <v>123</v>
      </c>
      <c r="H220" s="10" t="s">
        <v>222</v>
      </c>
      <c r="I220" s="11" t="s">
        <v>84</v>
      </c>
      <c r="J220" s="11" t="s">
        <v>78</v>
      </c>
      <c r="K220" s="11" t="s">
        <v>121</v>
      </c>
      <c r="L220" s="11" t="s">
        <v>15</v>
      </c>
      <c r="M220" s="18" t="str">
        <f>IF(ISBLANK($L220),"",_xlfn.XLOOKUP($L220,'CENTRO CUSTO'!$A:$A,'CENTRO CUSTO'!D:D,FALSE,0))</f>
        <v>Alexandre Ayabe</v>
      </c>
      <c r="N220" s="11" t="s">
        <v>91</v>
      </c>
      <c r="O220" s="12"/>
      <c r="P220" s="11" t="s">
        <v>81</v>
      </c>
      <c r="Q220" s="41">
        <f>60000*Rateio!$E$186/12</f>
        <v>1500</v>
      </c>
      <c r="R220" s="41">
        <f>60000*Rateio!$E$186/12</f>
        <v>1500</v>
      </c>
      <c r="S220" s="41">
        <f>60000*Rateio!$E$186/12</f>
        <v>1500</v>
      </c>
      <c r="T220" s="41">
        <f>60000*Rateio!$E$186/12</f>
        <v>1500</v>
      </c>
      <c r="U220" s="41">
        <f>60000*Rateio!$E$186/12</f>
        <v>1500</v>
      </c>
      <c r="V220" s="41">
        <f>60000*Rateio!$E$186/12</f>
        <v>1500</v>
      </c>
      <c r="W220" s="41">
        <f>60000*Rateio!$E$186/12</f>
        <v>1500</v>
      </c>
      <c r="X220" s="41">
        <f>60000*Rateio!$E$186/12</f>
        <v>1500</v>
      </c>
      <c r="Y220" s="41">
        <f>60000*Rateio!$E$186/12</f>
        <v>1500</v>
      </c>
      <c r="Z220" s="41">
        <f>60000*Rateio!$E$186/12</f>
        <v>1500</v>
      </c>
      <c r="AA220" s="41">
        <f>60000*Rateio!$E$186/12</f>
        <v>1500</v>
      </c>
      <c r="AB220" s="41">
        <f>60000*Rateio!$E$186/12</f>
        <v>1500</v>
      </c>
      <c r="AC220" s="116">
        <f t="shared" si="99"/>
        <v>18000</v>
      </c>
      <c r="AE220" s="39">
        <f>IF(ISBLANK(Q220),"",IF($P220="BRL",Q220,Q220*Macroindicadores!B$2)/1000)</f>
        <v>1.5</v>
      </c>
      <c r="AF220" s="39">
        <f>IF(ISBLANK(R220),"",IF($P220="BRL",R220,R220*Macroindicadores!C$2)/1000)</f>
        <v>1.5</v>
      </c>
      <c r="AG220" s="39">
        <f>IF(ISBLANK(S220),"",IF($P220="BRL",S220,S220*Macroindicadores!D$2)/1000)</f>
        <v>1.5</v>
      </c>
      <c r="AH220" s="39">
        <f>IF(ISBLANK(T220),"",IF($P220="BRL",T220,T220*Macroindicadores!E$2)/1000)</f>
        <v>1.5</v>
      </c>
      <c r="AI220" s="39">
        <f>IF(ISBLANK(U220),"",IF($P220="BRL",U220,U220*Macroindicadores!F$2)/1000)</f>
        <v>1.5</v>
      </c>
      <c r="AJ220" s="39">
        <f>IF(ISBLANK(V220),"",IF($P220="BRL",V220,V220*Macroindicadores!G$2)/1000)</f>
        <v>1.5</v>
      </c>
      <c r="AK220" s="39">
        <f>IF(ISBLANK(W220),"",IF($P220="BRL",W220,W220*Macroindicadores!H$2)/1000)</f>
        <v>1.5</v>
      </c>
      <c r="AL220" s="39">
        <f>IF(ISBLANK(X220),"",IF($P220="BRL",X220,X220*Macroindicadores!I$2)/1000)</f>
        <v>1.5</v>
      </c>
      <c r="AM220" s="39">
        <f>IF(ISBLANK(Y220),"",IF($P220="BRL",Y220,Y220*Macroindicadores!J$2)/1000)</f>
        <v>1.5</v>
      </c>
      <c r="AN220" s="39">
        <f>IF(ISBLANK(Z220),"",IF($P220="BRL",Z220,Z220*Macroindicadores!K$2)/1000)</f>
        <v>1.5</v>
      </c>
      <c r="AO220" s="39">
        <f>IF(ISBLANK(AA220),"",IF($P220="BRL",AA220,AA220*Macroindicadores!L$2)/1000)</f>
        <v>1.5</v>
      </c>
      <c r="AP220" s="39">
        <f>IF(ISBLANK(AB220),"",IF($P220="BRL",AB220,AB220*Macroindicadores!M$2)/1000)</f>
        <v>1.5</v>
      </c>
      <c r="AQ220" s="40">
        <f t="shared" si="100"/>
        <v>18</v>
      </c>
      <c r="AS220" s="39">
        <f>IF(ISBLANK(Q220),"",IF(ISBLANK($O220),AE220,IF($J220="ANUAL",AE220*(1+Macroindicadores!B$7),IF(AND($I220="NOVO",MONTH($O220)=MONTH(AS$4)),AE220*(1+Macroindicadores!B$7),IF(AND($J220="PONTUAL",MONTH($O220)=MONTH(AS$4)),AE220*(1+Macroindicadores!B$7),IF(AND($J220="PONTUAL",MONTH($O220)&lt;MONTH(AS$4)),MIN(AR220:$AS220),IF(AND($I220="NOVO",MONTH($O220)&gt;MONTH(AS$4)),AE220,IF(MONTH($O220)&gt;MONTH(AS$4),AE220,IF(MONTH($O220)=MONTH(AS$4),AE220*(1+Macroindicadores!B$7),AR220)))))))))</f>
        <v>1.5</v>
      </c>
      <c r="AT220" s="39">
        <f>IF(ISBLANK(R220),"",IF(ISBLANK($O220),AF220,IF($J220="ANUAL",AF220*(1+Macroindicadores!C$7),IF(AND($I220="NOVO",MONTH($O220)=MONTH(AT$4)),AF220*(1+Macroindicadores!C$7),IF(AND($J220="PONTUAL",MONTH($O220)=MONTH(AT$4)),AF220*(1+Macroindicadores!C$7),IF(AND($J220="PONTUAL",MONTH($O220)&lt;MONTH(AT$4)),MIN($AS220:AS220),IF(AND($I220="NOVO",MONTH($O220)&gt;MONTH(AT$4)),AF220,IF(MONTH($O220)&gt;MONTH(AT$4),AF220,IF(MONTH($O220)=MONTH(AT$4),AF220*(1+Macroindicadores!C$7),AS220)))))))))</f>
        <v>1.5</v>
      </c>
      <c r="AU220" s="39">
        <f>IF(ISBLANK(S220),"",IF(ISBLANK($O220),AG220,IF($J220="ANUAL",AG220*(1+Macroindicadores!D$7),IF(AND($I220="NOVO",MONTH($O220)=MONTH(AU$4)),AG220*(1+Macroindicadores!D$7),IF(AND($J220="PONTUAL",MONTH($O220)=MONTH(AU$4)),AG220*(1+Macroindicadores!D$7),IF(AND($J220="PONTUAL",MONTH($O220)&lt;MONTH(AU$4)),MIN($AS220:AT220),IF(AND($I220="NOVO",MONTH($O220)&gt;MONTH(AU$4)),AG220,IF(MONTH($O220)&gt;MONTH(AU$4),AG220,IF(MONTH($O220)=MONTH(AU$4),AG220*(1+Macroindicadores!D$7),AT220)))))))))</f>
        <v>1.5</v>
      </c>
      <c r="AV220" s="39">
        <f>IF(ISBLANK(T220),"",IF(ISBLANK($O220),AH220,IF($J220="ANUAL",AH220*(1+Macroindicadores!E$7),IF(AND($I220="NOVO",MONTH($O220)=MONTH(AV$4)),AH220*(1+Macroindicadores!E$7),IF(AND($J220="PONTUAL",MONTH($O220)=MONTH(AV$4)),AH220*(1+Macroindicadores!E$7),IF(AND($J220="PONTUAL",MONTH($O220)&lt;MONTH(AV$4)),MIN($AS220:AU220),IF(AND($I220="NOVO",MONTH($O220)&gt;MONTH(AV$4)),AH220,IF(MONTH($O220)&gt;MONTH(AV$4),AH220,IF(MONTH($O220)=MONTH(AV$4),AH220*(1+Macroindicadores!E$7),AU220)))))))))</f>
        <v>1.5</v>
      </c>
      <c r="AW220" s="39">
        <f>IF(ISBLANK(U220),"",IF(ISBLANK($O220),AI220,IF($J220="ANUAL",AI220*(1+Macroindicadores!F$7),IF(AND($I220="NOVO",MONTH($O220)=MONTH(AW$4)),AI220*(1+Macroindicadores!F$7),IF(AND($J220="PONTUAL",MONTH($O220)=MONTH(AW$4)),AI220*(1+Macroindicadores!F$7),IF(AND($J220="PONTUAL",MONTH($O220)&lt;MONTH(AW$4)),MIN($AS220:AV220),IF(AND($I220="NOVO",MONTH($O220)&gt;MONTH(AW$4)),AI220,IF(MONTH($O220)&gt;MONTH(AW$4),AI220,IF(MONTH($O220)=MONTH(AW$4),AI220*(1+Macroindicadores!F$7),AV220)))))))))</f>
        <v>1.5</v>
      </c>
      <c r="AX220" s="39">
        <f>IF(ISBLANK(V220),"",IF(ISBLANK($O220),AJ220,IF($J220="ANUAL",AJ220*(1+Macroindicadores!G$7),IF(AND($I220="NOVO",MONTH($O220)=MONTH(AX$4)),AJ220*(1+Macroindicadores!G$7),IF(AND($J220="PONTUAL",MONTH($O220)=MONTH(AX$4)),AJ220*(1+Macroindicadores!G$7),IF(AND($J220="PONTUAL",MONTH($O220)&lt;MONTH(AX$4)),MIN($AS220:AW220),IF(AND($I220="NOVO",MONTH($O220)&gt;MONTH(AX$4)),AJ220,IF(MONTH($O220)&gt;MONTH(AX$4),AJ220,IF(MONTH($O220)=MONTH(AX$4),AJ220*(1+Macroindicadores!G$7),AW220)))))))))</f>
        <v>1.5</v>
      </c>
      <c r="AY220" s="39">
        <f>IF(ISBLANK(W220),"",IF(ISBLANK($O220),AK220,IF($J220="ANUAL",AK220*(1+Macroindicadores!H$7),IF(AND($I220="NOVO",MONTH($O220)=MONTH(AY$4)),AK220*(1+Macroindicadores!H$7),IF(AND($J220="PONTUAL",MONTH($O220)=MONTH(AY$4)),AK220*(1+Macroindicadores!H$7),IF(AND($J220="PONTUAL",MONTH($O220)&lt;MONTH(AY$4)),MIN($AS220:AX220),IF(AND($I220="NOVO",MONTH($O220)&gt;MONTH(AY$4)),AK220,IF(MONTH($O220)&gt;MONTH(AY$4),AK220,IF(MONTH($O220)=MONTH(AY$4),AK220*(1+Macroindicadores!H$7),AX220)))))))))</f>
        <v>1.5</v>
      </c>
      <c r="AZ220" s="39">
        <f>IF(ISBLANK(X220),"",IF(ISBLANK($O220),AL220,IF($J220="ANUAL",AL220*(1+Macroindicadores!I$7),IF(AND($I220="NOVO",MONTH($O220)=MONTH(AZ$4)),AL220*(1+Macroindicadores!I$7),IF(AND($J220="PONTUAL",MONTH($O220)=MONTH(AZ$4)),AL220*(1+Macroindicadores!I$7),IF(AND($J220="PONTUAL",MONTH($O220)&lt;MONTH(AZ$4)),MIN($AS220:AY220),IF(AND($I220="NOVO",MONTH($O220)&gt;MONTH(AZ$4)),AL220,IF(MONTH($O220)&gt;MONTH(AZ$4),AL220,IF(MONTH($O220)=MONTH(AZ$4),AL220*(1+Macroindicadores!I$7),AY220)))))))))</f>
        <v>1.5</v>
      </c>
      <c r="BA220" s="39">
        <f>IF(ISBLANK(Y220),"",IF(ISBLANK($O220),AM220,IF($J220="ANUAL",AM220*(1+Macroindicadores!J$7),IF(AND($I220="NOVO",MONTH($O220)=MONTH(BA$4)),AM220*(1+Macroindicadores!J$7),IF(AND($J220="PONTUAL",MONTH($O220)=MONTH(BA$4)),AM220*(1+Macroindicadores!J$7),IF(AND($J220="PONTUAL",MONTH($O220)&lt;MONTH(BA$4)),MIN($AS220:AZ220),IF(AND($I220="NOVO",MONTH($O220)&gt;MONTH(BA$4)),AM220,IF(MONTH($O220)&gt;MONTH(BA$4),AM220,IF(MONTH($O220)=MONTH(BA$4),AM220*(1+Macroindicadores!J$7),AZ220)))))))))</f>
        <v>1.5</v>
      </c>
      <c r="BB220" s="39">
        <f>IF(ISBLANK(Z220),"",IF(ISBLANK($O220),AN220,IF($J220="ANUAL",AN220*(1+Macroindicadores!K$7),IF(AND($I220="NOVO",MONTH($O220)=MONTH(BB$4)),AN220*(1+Macroindicadores!K$7),IF(AND($J220="PONTUAL",MONTH($O220)=MONTH(BB$4)),AN220*(1+Macroindicadores!K$7),IF(AND($J220="PONTUAL",MONTH($O220)&lt;MONTH(BB$4)),MIN($AS220:BA220),IF(AND($I220="NOVO",MONTH($O220)&gt;MONTH(BB$4)),AN220,IF(MONTH($O220)&gt;MONTH(BB$4),AN220,IF(MONTH($O220)=MONTH(BB$4),AN220*(1+Macroindicadores!K$7),BA220)))))))))</f>
        <v>1.5</v>
      </c>
      <c r="BC220" s="39">
        <f>IF(ISBLANK(AA220),"",IF(ISBLANK($O220),AO220,IF($J220="ANUAL",AO220*(1+Macroindicadores!L$7),IF(AND($I220="NOVO",MONTH($O220)=MONTH(BC$4)),AO220*(1+Macroindicadores!L$7),IF(AND($J220="PONTUAL",MONTH($O220)=MONTH(BC$4)),AO220*(1+Macroindicadores!L$7),IF(AND($J220="PONTUAL",MONTH($O220)&lt;MONTH(BC$4)),MIN($AS220:BB220),IF(AND($I220="NOVO",MONTH($O220)&gt;MONTH(BC$4)),AO220,IF(MONTH($O220)&gt;MONTH(BC$4),AO220,IF(MONTH($O220)=MONTH(BC$4),AO220*(1+Macroindicadores!L$7),BB220)))))))))</f>
        <v>1.5</v>
      </c>
      <c r="BD220" s="39">
        <f>IF(ISBLANK(AB220),"",IF(ISBLANK($O220),AP220,IF($J220="ANUAL",AP220*(1+Macroindicadores!M$7),IF(AND($I220="NOVO",MONTH($O220)=MONTH(BD$4)),AP220*(1+Macroindicadores!M$7),IF(AND($J220="PONTUAL",MONTH($O220)=MONTH(BD$4)),AP220*(1+Macroindicadores!M$7),IF(AND($J220="PONTUAL",MONTH($O220)&lt;MONTH(BD$4)),MIN($AS220:BC220),IF(AND($I220="NOVO",MONTH($O220)&gt;MONTH(BD$4)),AP220,IF(MONTH($O220)&gt;MONTH(BD$4),AP220,IF(MONTH($O220)=MONTH(BD$4),AP220*(1+Macroindicadores!M$7),BC220)))))))))</f>
        <v>1.5</v>
      </c>
      <c r="BE220" s="40">
        <f t="shared" si="101"/>
        <v>18</v>
      </c>
      <c r="BG220" s="39">
        <f>IF(ISBLANK(Q220),"",AS220/Macroindicadores!B$2)</f>
        <v>0.25510204081632654</v>
      </c>
      <c r="BH220" s="39">
        <f>IF(ISBLANK(R220),"",AT220/Macroindicadores!C$2)</f>
        <v>0.25510204081632654</v>
      </c>
      <c r="BI220" s="39">
        <f>IF(ISBLANK(S220),"",AU220/Macroindicadores!D$2)</f>
        <v>0.25510204081632654</v>
      </c>
      <c r="BJ220" s="39">
        <f>IF(ISBLANK(T220),"",AV220/Macroindicadores!E$2)</f>
        <v>0.25510204081632654</v>
      </c>
      <c r="BK220" s="39">
        <f>IF(ISBLANK(U220),"",AW220/Macroindicadores!F$2)</f>
        <v>0.25510204081632654</v>
      </c>
      <c r="BL220" s="39">
        <f>IF(ISBLANK(V220),"",AX220/Macroindicadores!G$2)</f>
        <v>0.25510204081632654</v>
      </c>
      <c r="BM220" s="39">
        <f>IF(ISBLANK(W220),"",AY220/Macroindicadores!H$2)</f>
        <v>0.25510204081632654</v>
      </c>
      <c r="BN220" s="39">
        <f>IF(ISBLANK(X220),"",AZ220/Macroindicadores!I$2)</f>
        <v>0.25510204081632654</v>
      </c>
      <c r="BO220" s="39">
        <f>IF(ISBLANK(Y220),"",BA220/Macroindicadores!J$2)</f>
        <v>0.25510204081632654</v>
      </c>
      <c r="BP220" s="39">
        <f>IF(ISBLANK(Z220),"",BB220/Macroindicadores!K$2)</f>
        <v>0.25510204081632654</v>
      </c>
      <c r="BQ220" s="39">
        <f>IF(ISBLANK(AA220),"",BC220/Macroindicadores!L$2)</f>
        <v>0.25510204081632654</v>
      </c>
      <c r="BR220" s="39">
        <f>IF(ISBLANK(AB220),"",BD220/Macroindicadores!M$2)</f>
        <v>0.25510204081632654</v>
      </c>
      <c r="BS220" s="40">
        <f>IF(AND(ISBLANK($Q220),ISBLANK($R220),ISBLANK($S220),ISBLANK($T220),ISBLANK($U220),ISBLANK($V220),ISBLANK($W220),ISBLANK($X220),ISBLANK($Y220),ISBLANK($Z220),ISBLANK($AA220),ISBLANK($AB220)),"",SUM(BG220:BR220))</f>
        <v>3.0612244897959191</v>
      </c>
      <c r="BT220" s="25" t="str">
        <f>IF(ISBLANK($L220),"",_xlfn.XLOOKUP($L220,'CENTRO CUSTO'!$A:$A,'CENTRO CUSTO'!$E:$E,FALSE,0))</f>
        <v>Custo Fixo</v>
      </c>
    </row>
    <row r="221" spans="1:72">
      <c r="A221" s="9" t="str">
        <f t="shared" si="80"/>
        <v>Budget</v>
      </c>
      <c r="B221" s="9">
        <f t="shared" si="77"/>
        <v>2026</v>
      </c>
      <c r="C221" s="18" t="str">
        <f>IF(ISBLANK($L221),"",_xlfn.XLOOKUP($L221,'CENTRO CUSTO'!$A:$A,'CENTRO CUSTO'!F:F,FALSE,0))</f>
        <v>Martini Meat</v>
      </c>
      <c r="D221" s="111" t="str">
        <f>IF(ISBLANK($L221),"",_xlfn.XLOOKUP($L221,'CENTRO CUSTO'!$A:$A,'CENTRO CUSTO'!G:G,FALSE,0))</f>
        <v>Rio Grande</v>
      </c>
      <c r="E221" s="18" t="str">
        <f>IF(ISBLANK($L221),"",_xlfn.XLOOKUP($L221,'CENTRO CUSTO'!$A:$A,'CENTRO CUSTO'!H:H,FALSE,0))</f>
        <v>Frigorífico</v>
      </c>
      <c r="F221" s="10" t="s">
        <v>221</v>
      </c>
      <c r="G221" s="10" t="s">
        <v>123</v>
      </c>
      <c r="H221" s="10" t="s">
        <v>222</v>
      </c>
      <c r="I221" s="11" t="s">
        <v>84</v>
      </c>
      <c r="J221" s="11" t="s">
        <v>78</v>
      </c>
      <c r="K221" s="11" t="s">
        <v>121</v>
      </c>
      <c r="L221" s="11" t="s">
        <v>21</v>
      </c>
      <c r="M221" s="18" t="str">
        <f>IF(ISBLANK($L221),"",_xlfn.XLOOKUP($L221,'CENTRO CUSTO'!$A:$A,'CENTRO CUSTO'!D:D,FALSE,0))</f>
        <v>Alexandre Ayabe</v>
      </c>
      <c r="N221" s="11" t="s">
        <v>91</v>
      </c>
      <c r="O221" s="12"/>
      <c r="P221" s="11" t="s">
        <v>81</v>
      </c>
      <c r="Q221" s="41">
        <f>60000*Rateio!$E$189/12</f>
        <v>300</v>
      </c>
      <c r="R221" s="41">
        <f>60000*Rateio!$E$189/12</f>
        <v>300</v>
      </c>
      <c r="S221" s="41">
        <f>60000*Rateio!$E$189/12</f>
        <v>300</v>
      </c>
      <c r="T221" s="41">
        <f>60000*Rateio!$E$189/12</f>
        <v>300</v>
      </c>
      <c r="U221" s="41">
        <f>60000*Rateio!$E$189/12</f>
        <v>300</v>
      </c>
      <c r="V221" s="41">
        <f>60000*Rateio!$E$189/12</f>
        <v>300</v>
      </c>
      <c r="W221" s="41">
        <f>60000*Rateio!$E$189/12</f>
        <v>300</v>
      </c>
      <c r="X221" s="41">
        <f>60000*Rateio!$E$189/12</f>
        <v>300</v>
      </c>
      <c r="Y221" s="41">
        <f>60000*Rateio!$E$189/12</f>
        <v>300</v>
      </c>
      <c r="Z221" s="41">
        <f>60000*Rateio!$E$189/12</f>
        <v>300</v>
      </c>
      <c r="AA221" s="41">
        <f>60000*Rateio!$E$189/12</f>
        <v>300</v>
      </c>
      <c r="AB221" s="41">
        <f>60000*Rateio!$E$189/12</f>
        <v>300</v>
      </c>
      <c r="AC221" s="116">
        <f t="shared" si="99"/>
        <v>3600</v>
      </c>
      <c r="AE221" s="39">
        <f>IF(ISBLANK(Q221),"",IF($P221="BRL",Q221,Q221*Macroindicadores!B$2)/1000)</f>
        <v>0.3</v>
      </c>
      <c r="AF221" s="39">
        <f>IF(ISBLANK(R221),"",IF($P221="BRL",R221,R221*Macroindicadores!C$2)/1000)</f>
        <v>0.3</v>
      </c>
      <c r="AG221" s="39">
        <f>IF(ISBLANK(S221),"",IF($P221="BRL",S221,S221*Macroindicadores!D$2)/1000)</f>
        <v>0.3</v>
      </c>
      <c r="AH221" s="39">
        <f>IF(ISBLANK(T221),"",IF($P221="BRL",T221,T221*Macroindicadores!E$2)/1000)</f>
        <v>0.3</v>
      </c>
      <c r="AI221" s="39">
        <f>IF(ISBLANK(U221),"",IF($P221="BRL",U221,U221*Macroindicadores!F$2)/1000)</f>
        <v>0.3</v>
      </c>
      <c r="AJ221" s="39">
        <f>IF(ISBLANK(V221),"",IF($P221="BRL",V221,V221*Macroindicadores!G$2)/1000)</f>
        <v>0.3</v>
      </c>
      <c r="AK221" s="39">
        <f>IF(ISBLANK(W221),"",IF($P221="BRL",W221,W221*Macroindicadores!H$2)/1000)</f>
        <v>0.3</v>
      </c>
      <c r="AL221" s="39">
        <f>IF(ISBLANK(X221),"",IF($P221="BRL",X221,X221*Macroindicadores!I$2)/1000)</f>
        <v>0.3</v>
      </c>
      <c r="AM221" s="39">
        <f>IF(ISBLANK(Y221),"",IF($P221="BRL",Y221,Y221*Macroindicadores!J$2)/1000)</f>
        <v>0.3</v>
      </c>
      <c r="AN221" s="39">
        <f>IF(ISBLANK(Z221),"",IF($P221="BRL",Z221,Z221*Macroindicadores!K$2)/1000)</f>
        <v>0.3</v>
      </c>
      <c r="AO221" s="39">
        <f>IF(ISBLANK(AA221),"",IF($P221="BRL",AA221,AA221*Macroindicadores!L$2)/1000)</f>
        <v>0.3</v>
      </c>
      <c r="AP221" s="39">
        <f>IF(ISBLANK(AB221),"",IF($P221="BRL",AB221,AB221*Macroindicadores!M$2)/1000)</f>
        <v>0.3</v>
      </c>
      <c r="AQ221" s="40">
        <f t="shared" si="100"/>
        <v>3.5999999999999992</v>
      </c>
      <c r="AS221" s="39">
        <f>IF(ISBLANK(Q221),"",IF(ISBLANK($O221),AE221,IF($J221="ANUAL",AE221*(1+Macroindicadores!B$7),IF(AND($I221="NOVO",MONTH($O221)=MONTH(AS$4)),AE221*(1+Macroindicadores!B$7),IF(AND($J221="PONTUAL",MONTH($O221)=MONTH(AS$4)),AE221*(1+Macroindicadores!B$7),IF(AND($J221="PONTUAL",MONTH($O221)&lt;MONTH(AS$4)),MIN(AR221:$AS221),IF(AND($I221="NOVO",MONTH($O221)&gt;MONTH(AS$4)),AE221,IF(MONTH($O221)&gt;MONTH(AS$4),AE221,IF(MONTH($O221)=MONTH(AS$4),AE221*(1+Macroindicadores!B$7),AR221)))))))))</f>
        <v>0.3</v>
      </c>
      <c r="AT221" s="39">
        <f>IF(ISBLANK(R221),"",IF(ISBLANK($O221),AF221,IF($J221="ANUAL",AF221*(1+Macroindicadores!C$7),IF(AND($I221="NOVO",MONTH($O221)=MONTH(AT$4)),AF221*(1+Macroindicadores!C$7),IF(AND($J221="PONTUAL",MONTH($O221)=MONTH(AT$4)),AF221*(1+Macroindicadores!C$7),IF(AND($J221="PONTUAL",MONTH($O221)&lt;MONTH(AT$4)),MIN($AS221:AS221),IF(AND($I221="NOVO",MONTH($O221)&gt;MONTH(AT$4)),AF221,IF(MONTH($O221)&gt;MONTH(AT$4),AF221,IF(MONTH($O221)=MONTH(AT$4),AF221*(1+Macroindicadores!C$7),AS221)))))))))</f>
        <v>0.3</v>
      </c>
      <c r="AU221" s="39">
        <f>IF(ISBLANK(S221),"",IF(ISBLANK($O221),AG221,IF($J221="ANUAL",AG221*(1+Macroindicadores!D$7),IF(AND($I221="NOVO",MONTH($O221)=MONTH(AU$4)),AG221*(1+Macroindicadores!D$7),IF(AND($J221="PONTUAL",MONTH($O221)=MONTH(AU$4)),AG221*(1+Macroindicadores!D$7),IF(AND($J221="PONTUAL",MONTH($O221)&lt;MONTH(AU$4)),MIN($AS221:AT221),IF(AND($I221="NOVO",MONTH($O221)&gt;MONTH(AU$4)),AG221,IF(MONTH($O221)&gt;MONTH(AU$4),AG221,IF(MONTH($O221)=MONTH(AU$4),AG221*(1+Macroindicadores!D$7),AT221)))))))))</f>
        <v>0.3</v>
      </c>
      <c r="AV221" s="39">
        <f>IF(ISBLANK(T221),"",IF(ISBLANK($O221),AH221,IF($J221="ANUAL",AH221*(1+Macroindicadores!E$7),IF(AND($I221="NOVO",MONTH($O221)=MONTH(AV$4)),AH221*(1+Macroindicadores!E$7),IF(AND($J221="PONTUAL",MONTH($O221)=MONTH(AV$4)),AH221*(1+Macroindicadores!E$7),IF(AND($J221="PONTUAL",MONTH($O221)&lt;MONTH(AV$4)),MIN($AS221:AU221),IF(AND($I221="NOVO",MONTH($O221)&gt;MONTH(AV$4)),AH221,IF(MONTH($O221)&gt;MONTH(AV$4),AH221,IF(MONTH($O221)=MONTH(AV$4),AH221*(1+Macroindicadores!E$7),AU221)))))))))</f>
        <v>0.3</v>
      </c>
      <c r="AW221" s="39">
        <f>IF(ISBLANK(U221),"",IF(ISBLANK($O221),AI221,IF($J221="ANUAL",AI221*(1+Macroindicadores!F$7),IF(AND($I221="NOVO",MONTH($O221)=MONTH(AW$4)),AI221*(1+Macroindicadores!F$7),IF(AND($J221="PONTUAL",MONTH($O221)=MONTH(AW$4)),AI221*(1+Macroindicadores!F$7),IF(AND($J221="PONTUAL",MONTH($O221)&lt;MONTH(AW$4)),MIN($AS221:AV221),IF(AND($I221="NOVO",MONTH($O221)&gt;MONTH(AW$4)),AI221,IF(MONTH($O221)&gt;MONTH(AW$4),AI221,IF(MONTH($O221)=MONTH(AW$4),AI221*(1+Macroindicadores!F$7),AV221)))))))))</f>
        <v>0.3</v>
      </c>
      <c r="AX221" s="39">
        <f>IF(ISBLANK(V221),"",IF(ISBLANK($O221),AJ221,IF($J221="ANUAL",AJ221*(1+Macroindicadores!G$7),IF(AND($I221="NOVO",MONTH($O221)=MONTH(AX$4)),AJ221*(1+Macroindicadores!G$7),IF(AND($J221="PONTUAL",MONTH($O221)=MONTH(AX$4)),AJ221*(1+Macroindicadores!G$7),IF(AND($J221="PONTUAL",MONTH($O221)&lt;MONTH(AX$4)),MIN($AS221:AW221),IF(AND($I221="NOVO",MONTH($O221)&gt;MONTH(AX$4)),AJ221,IF(MONTH($O221)&gt;MONTH(AX$4),AJ221,IF(MONTH($O221)=MONTH(AX$4),AJ221*(1+Macroindicadores!G$7),AW221)))))))))</f>
        <v>0.3</v>
      </c>
      <c r="AY221" s="39">
        <f>IF(ISBLANK(W221),"",IF(ISBLANK($O221),AK221,IF($J221="ANUAL",AK221*(1+Macroindicadores!H$7),IF(AND($I221="NOVO",MONTH($O221)=MONTH(AY$4)),AK221*(1+Macroindicadores!H$7),IF(AND($J221="PONTUAL",MONTH($O221)=MONTH(AY$4)),AK221*(1+Macroindicadores!H$7),IF(AND($J221="PONTUAL",MONTH($O221)&lt;MONTH(AY$4)),MIN($AS221:AX221),IF(AND($I221="NOVO",MONTH($O221)&gt;MONTH(AY$4)),AK221,IF(MONTH($O221)&gt;MONTH(AY$4),AK221,IF(MONTH($O221)=MONTH(AY$4),AK221*(1+Macroindicadores!H$7),AX221)))))))))</f>
        <v>0.3</v>
      </c>
      <c r="AZ221" s="39">
        <f>IF(ISBLANK(X221),"",IF(ISBLANK($O221),AL221,IF($J221="ANUAL",AL221*(1+Macroindicadores!I$7),IF(AND($I221="NOVO",MONTH($O221)=MONTH(AZ$4)),AL221*(1+Macroindicadores!I$7),IF(AND($J221="PONTUAL",MONTH($O221)=MONTH(AZ$4)),AL221*(1+Macroindicadores!I$7),IF(AND($J221="PONTUAL",MONTH($O221)&lt;MONTH(AZ$4)),MIN($AS221:AY221),IF(AND($I221="NOVO",MONTH($O221)&gt;MONTH(AZ$4)),AL221,IF(MONTH($O221)&gt;MONTH(AZ$4),AL221,IF(MONTH($O221)=MONTH(AZ$4),AL221*(1+Macroindicadores!I$7),AY221)))))))))</f>
        <v>0.3</v>
      </c>
      <c r="BA221" s="39">
        <f>IF(ISBLANK(Y221),"",IF(ISBLANK($O221),AM221,IF($J221="ANUAL",AM221*(1+Macroindicadores!J$7),IF(AND($I221="NOVO",MONTH($O221)=MONTH(BA$4)),AM221*(1+Macroindicadores!J$7),IF(AND($J221="PONTUAL",MONTH($O221)=MONTH(BA$4)),AM221*(1+Macroindicadores!J$7),IF(AND($J221="PONTUAL",MONTH($O221)&lt;MONTH(BA$4)),MIN($AS221:AZ221),IF(AND($I221="NOVO",MONTH($O221)&gt;MONTH(BA$4)),AM221,IF(MONTH($O221)&gt;MONTH(BA$4),AM221,IF(MONTH($O221)=MONTH(BA$4),AM221*(1+Macroindicadores!J$7),AZ221)))))))))</f>
        <v>0.3</v>
      </c>
      <c r="BB221" s="39">
        <f>IF(ISBLANK(Z221),"",IF(ISBLANK($O221),AN221,IF($J221="ANUAL",AN221*(1+Macroindicadores!K$7),IF(AND($I221="NOVO",MONTH($O221)=MONTH(BB$4)),AN221*(1+Macroindicadores!K$7),IF(AND($J221="PONTUAL",MONTH($O221)=MONTH(BB$4)),AN221*(1+Macroindicadores!K$7),IF(AND($J221="PONTUAL",MONTH($O221)&lt;MONTH(BB$4)),MIN($AS221:BA221),IF(AND($I221="NOVO",MONTH($O221)&gt;MONTH(BB$4)),AN221,IF(MONTH($O221)&gt;MONTH(BB$4),AN221,IF(MONTH($O221)=MONTH(BB$4),AN221*(1+Macroindicadores!K$7),BA221)))))))))</f>
        <v>0.3</v>
      </c>
      <c r="BC221" s="39">
        <f>IF(ISBLANK(AA221),"",IF(ISBLANK($O221),AO221,IF($J221="ANUAL",AO221*(1+Macroindicadores!L$7),IF(AND($I221="NOVO",MONTH($O221)=MONTH(BC$4)),AO221*(1+Macroindicadores!L$7),IF(AND($J221="PONTUAL",MONTH($O221)=MONTH(BC$4)),AO221*(1+Macroindicadores!L$7),IF(AND($J221="PONTUAL",MONTH($O221)&lt;MONTH(BC$4)),MIN($AS221:BB221),IF(AND($I221="NOVO",MONTH($O221)&gt;MONTH(BC$4)),AO221,IF(MONTH($O221)&gt;MONTH(BC$4),AO221,IF(MONTH($O221)=MONTH(BC$4),AO221*(1+Macroindicadores!L$7),BB221)))))))))</f>
        <v>0.3</v>
      </c>
      <c r="BD221" s="39">
        <f>IF(ISBLANK(AB221),"",IF(ISBLANK($O221),AP221,IF($J221="ANUAL",AP221*(1+Macroindicadores!M$7),IF(AND($I221="NOVO",MONTH($O221)=MONTH(BD$4)),AP221*(1+Macroindicadores!M$7),IF(AND($J221="PONTUAL",MONTH($O221)=MONTH(BD$4)),AP221*(1+Macroindicadores!M$7),IF(AND($J221="PONTUAL",MONTH($O221)&lt;MONTH(BD$4)),MIN($AS221:BC221),IF(AND($I221="NOVO",MONTH($O221)&gt;MONTH(BD$4)),AP221,IF(MONTH($O221)&gt;MONTH(BD$4),AP221,IF(MONTH($O221)=MONTH(BD$4),AP221*(1+Macroindicadores!M$7),BC221)))))))))</f>
        <v>0.3</v>
      </c>
      <c r="BE221" s="40">
        <f t="shared" si="101"/>
        <v>3.5999999999999992</v>
      </c>
      <c r="BG221" s="39">
        <f>IF(ISBLANK(Q221),"",AS221/Macroindicadores!B$2)</f>
        <v>5.1020408163265307E-2</v>
      </c>
      <c r="BH221" s="39">
        <f>IF(ISBLANK(R221),"",AT221/Macroindicadores!C$2)</f>
        <v>5.1020408163265307E-2</v>
      </c>
      <c r="BI221" s="39">
        <f>IF(ISBLANK(S221),"",AU221/Macroindicadores!D$2)</f>
        <v>5.1020408163265307E-2</v>
      </c>
      <c r="BJ221" s="39">
        <f>IF(ISBLANK(T221),"",AV221/Macroindicadores!E$2)</f>
        <v>5.1020408163265307E-2</v>
      </c>
      <c r="BK221" s="39">
        <f>IF(ISBLANK(U221),"",AW221/Macroindicadores!F$2)</f>
        <v>5.1020408163265307E-2</v>
      </c>
      <c r="BL221" s="39">
        <f>IF(ISBLANK(V221),"",AX221/Macroindicadores!G$2)</f>
        <v>5.1020408163265307E-2</v>
      </c>
      <c r="BM221" s="39">
        <f>IF(ISBLANK(W221),"",AY221/Macroindicadores!H$2)</f>
        <v>5.1020408163265307E-2</v>
      </c>
      <c r="BN221" s="39">
        <f>IF(ISBLANK(X221),"",AZ221/Macroindicadores!I$2)</f>
        <v>5.1020408163265307E-2</v>
      </c>
      <c r="BO221" s="39">
        <f>IF(ISBLANK(Y221),"",BA221/Macroindicadores!J$2)</f>
        <v>5.1020408163265307E-2</v>
      </c>
      <c r="BP221" s="39">
        <f>IF(ISBLANK(Z221),"",BB221/Macroindicadores!K$2)</f>
        <v>5.1020408163265307E-2</v>
      </c>
      <c r="BQ221" s="39">
        <f>IF(ISBLANK(AA221),"",BC221/Macroindicadores!L$2)</f>
        <v>5.1020408163265307E-2</v>
      </c>
      <c r="BR221" s="39">
        <f>IF(ISBLANK(AB221),"",BD221/Macroindicadores!M$2)</f>
        <v>5.1020408163265307E-2</v>
      </c>
      <c r="BS221" s="40">
        <f>IF(AND(ISBLANK($Q221),ISBLANK($R221),ISBLANK($S221),ISBLANK($T221),ISBLANK($U221),ISBLANK($V221),ISBLANK($W221),ISBLANK($X221),ISBLANK($Y221),ISBLANK($Z221),ISBLANK($AA221),ISBLANK($AB221)),"",SUM(BG221:BR221))</f>
        <v>0.61224489795918369</v>
      </c>
      <c r="BT221" s="25" t="str">
        <f>IF(ISBLANK($L221),"",_xlfn.XLOOKUP($L221,'CENTRO CUSTO'!$A:$A,'CENTRO CUSTO'!$E:$E,FALSE,0))</f>
        <v>Custo Fixo</v>
      </c>
    </row>
    <row r="222" spans="1:72">
      <c r="A222" s="9" t="str">
        <f t="shared" si="80"/>
        <v>Budget</v>
      </c>
      <c r="B222" s="9">
        <f t="shared" si="77"/>
        <v>2026</v>
      </c>
      <c r="C222" s="18" t="str">
        <f>IF(ISBLANK($L222),"",_xlfn.XLOOKUP($L222,'CENTRO CUSTO'!$A:$A,'CENTRO CUSTO'!F:F,FALSE,0))</f>
        <v>Martini Meat</v>
      </c>
      <c r="D222" s="111" t="str">
        <f>IF(ISBLANK($L222),"",_xlfn.XLOOKUP($L222,'CENTRO CUSTO'!$A:$A,'CENTRO CUSTO'!G:G,FALSE,0))</f>
        <v>Itajaí</v>
      </c>
      <c r="E222" s="18" t="str">
        <f>IF(ISBLANK($L222),"",_xlfn.XLOOKUP($L222,'CENTRO CUSTO'!$A:$A,'CENTRO CUSTO'!H:H,FALSE,0))</f>
        <v>Frigorífico</v>
      </c>
      <c r="F222" s="10" t="s">
        <v>221</v>
      </c>
      <c r="G222" s="10" t="s">
        <v>123</v>
      </c>
      <c r="H222" s="10" t="s">
        <v>222</v>
      </c>
      <c r="I222" s="11" t="s">
        <v>84</v>
      </c>
      <c r="J222" s="11" t="s">
        <v>78</v>
      </c>
      <c r="K222" s="11" t="s">
        <v>121</v>
      </c>
      <c r="L222" s="11" t="s">
        <v>27</v>
      </c>
      <c r="M222" s="18" t="str">
        <f>IF(ISBLANK($L222),"",_xlfn.XLOOKUP($L222,'CENTRO CUSTO'!$A:$A,'CENTRO CUSTO'!D:D,FALSE,0))</f>
        <v>Alexandre Ayabe</v>
      </c>
      <c r="N222" s="11" t="s">
        <v>91</v>
      </c>
      <c r="O222" s="12"/>
      <c r="P222" s="11" t="s">
        <v>81</v>
      </c>
      <c r="Q222" s="41">
        <f>60000*Rateio!$E$194/12</f>
        <v>900</v>
      </c>
      <c r="R222" s="41">
        <f>60000*Rateio!$E$194/12</f>
        <v>900</v>
      </c>
      <c r="S222" s="41">
        <f>60000*Rateio!$E$194/12</f>
        <v>900</v>
      </c>
      <c r="T222" s="41">
        <f>60000*Rateio!$E$194/12</f>
        <v>900</v>
      </c>
      <c r="U222" s="41">
        <f>60000*Rateio!$E$194/12</f>
        <v>900</v>
      </c>
      <c r="V222" s="41">
        <f>60000*Rateio!$E$194/12</f>
        <v>900</v>
      </c>
      <c r="W222" s="41">
        <f>60000*Rateio!$E$194/12</f>
        <v>900</v>
      </c>
      <c r="X222" s="41">
        <f>60000*Rateio!$E$194/12</f>
        <v>900</v>
      </c>
      <c r="Y222" s="41">
        <f>60000*Rateio!$E$194/12</f>
        <v>900</v>
      </c>
      <c r="Z222" s="41">
        <f>60000*Rateio!$E$194/12</f>
        <v>900</v>
      </c>
      <c r="AA222" s="41">
        <f>60000*Rateio!$E$194/12</f>
        <v>900</v>
      </c>
      <c r="AB222" s="41">
        <f>60000*Rateio!$E$194/12</f>
        <v>900</v>
      </c>
      <c r="AC222" s="116">
        <f t="shared" si="99"/>
        <v>10800</v>
      </c>
      <c r="AE222" s="39">
        <f>IF(ISBLANK(Q222),"",IF($P222="BRL",Q222,Q222*Macroindicadores!B$2)/1000)</f>
        <v>0.9</v>
      </c>
      <c r="AF222" s="39">
        <f>IF(ISBLANK(R222),"",IF($P222="BRL",R222,R222*Macroindicadores!C$2)/1000)</f>
        <v>0.9</v>
      </c>
      <c r="AG222" s="39">
        <f>IF(ISBLANK(S222),"",IF($P222="BRL",S222,S222*Macroindicadores!D$2)/1000)</f>
        <v>0.9</v>
      </c>
      <c r="AH222" s="39">
        <f>IF(ISBLANK(T222),"",IF($P222="BRL",T222,T222*Macroindicadores!E$2)/1000)</f>
        <v>0.9</v>
      </c>
      <c r="AI222" s="39">
        <f>IF(ISBLANK(U222),"",IF($P222="BRL",U222,U222*Macroindicadores!F$2)/1000)</f>
        <v>0.9</v>
      </c>
      <c r="AJ222" s="39">
        <f>IF(ISBLANK(V222),"",IF($P222="BRL",V222,V222*Macroindicadores!G$2)/1000)</f>
        <v>0.9</v>
      </c>
      <c r="AK222" s="39">
        <f>IF(ISBLANK(W222),"",IF($P222="BRL",W222,W222*Macroindicadores!H$2)/1000)</f>
        <v>0.9</v>
      </c>
      <c r="AL222" s="39">
        <f>IF(ISBLANK(X222),"",IF($P222="BRL",X222,X222*Macroindicadores!I$2)/1000)</f>
        <v>0.9</v>
      </c>
      <c r="AM222" s="39">
        <f>IF(ISBLANK(Y222),"",IF($P222="BRL",Y222,Y222*Macroindicadores!J$2)/1000)</f>
        <v>0.9</v>
      </c>
      <c r="AN222" s="39">
        <f>IF(ISBLANK(Z222),"",IF($P222="BRL",Z222,Z222*Macroindicadores!K$2)/1000)</f>
        <v>0.9</v>
      </c>
      <c r="AO222" s="39">
        <f>IF(ISBLANK(AA222),"",IF($P222="BRL",AA222,AA222*Macroindicadores!L$2)/1000)</f>
        <v>0.9</v>
      </c>
      <c r="AP222" s="39">
        <f>IF(ISBLANK(AB222),"",IF($P222="BRL",AB222,AB222*Macroindicadores!M$2)/1000)</f>
        <v>0.9</v>
      </c>
      <c r="AQ222" s="40">
        <f t="shared" si="100"/>
        <v>10.800000000000002</v>
      </c>
      <c r="AS222" s="39">
        <f>IF(ISBLANK(Q222),"",IF(ISBLANK($O222),AE222,IF($J222="ANUAL",AE222*(1+Macroindicadores!B$7),IF(AND($I222="NOVO",MONTH($O222)=MONTH(AS$4)),AE222*(1+Macroindicadores!B$7),IF(AND($J222="PONTUAL",MONTH($O222)=MONTH(AS$4)),AE222*(1+Macroindicadores!B$7),IF(AND($J222="PONTUAL",MONTH($O222)&lt;MONTH(AS$4)),MIN(AR222:$AS222),IF(AND($I222="NOVO",MONTH($O222)&gt;MONTH(AS$4)),AE222,IF(MONTH($O222)&gt;MONTH(AS$4),AE222,IF(MONTH($O222)=MONTH(AS$4),AE222*(1+Macroindicadores!B$7),AR222)))))))))</f>
        <v>0.9</v>
      </c>
      <c r="AT222" s="39">
        <f>IF(ISBLANK(R222),"",IF(ISBLANK($O222),AF222,IF($J222="ANUAL",AF222*(1+Macroindicadores!C$7),IF(AND($I222="NOVO",MONTH($O222)=MONTH(AT$4)),AF222*(1+Macroindicadores!C$7),IF(AND($J222="PONTUAL",MONTH($O222)=MONTH(AT$4)),AF222*(1+Macroindicadores!C$7),IF(AND($J222="PONTUAL",MONTH($O222)&lt;MONTH(AT$4)),MIN($AS222:AS222),IF(AND($I222="NOVO",MONTH($O222)&gt;MONTH(AT$4)),AF222,IF(MONTH($O222)&gt;MONTH(AT$4),AF222,IF(MONTH($O222)=MONTH(AT$4),AF222*(1+Macroindicadores!C$7),AS222)))))))))</f>
        <v>0.9</v>
      </c>
      <c r="AU222" s="39">
        <f>IF(ISBLANK(S222),"",IF(ISBLANK($O222),AG222,IF($J222="ANUAL",AG222*(1+Macroindicadores!D$7),IF(AND($I222="NOVO",MONTH($O222)=MONTH(AU$4)),AG222*(1+Macroindicadores!D$7),IF(AND($J222="PONTUAL",MONTH($O222)=MONTH(AU$4)),AG222*(1+Macroindicadores!D$7),IF(AND($J222="PONTUAL",MONTH($O222)&lt;MONTH(AU$4)),MIN($AS222:AT222),IF(AND($I222="NOVO",MONTH($O222)&gt;MONTH(AU$4)),AG222,IF(MONTH($O222)&gt;MONTH(AU$4),AG222,IF(MONTH($O222)=MONTH(AU$4),AG222*(1+Macroindicadores!D$7),AT222)))))))))</f>
        <v>0.9</v>
      </c>
      <c r="AV222" s="39">
        <f>IF(ISBLANK(T222),"",IF(ISBLANK($O222),AH222,IF($J222="ANUAL",AH222*(1+Macroindicadores!E$7),IF(AND($I222="NOVO",MONTH($O222)=MONTH(AV$4)),AH222*(1+Macroindicadores!E$7),IF(AND($J222="PONTUAL",MONTH($O222)=MONTH(AV$4)),AH222*(1+Macroindicadores!E$7),IF(AND($J222="PONTUAL",MONTH($O222)&lt;MONTH(AV$4)),MIN($AS222:AU222),IF(AND($I222="NOVO",MONTH($O222)&gt;MONTH(AV$4)),AH222,IF(MONTH($O222)&gt;MONTH(AV$4),AH222,IF(MONTH($O222)=MONTH(AV$4),AH222*(1+Macroindicadores!E$7),AU222)))))))))</f>
        <v>0.9</v>
      </c>
      <c r="AW222" s="39">
        <f>IF(ISBLANK(U222),"",IF(ISBLANK($O222),AI222,IF($J222="ANUAL",AI222*(1+Macroindicadores!F$7),IF(AND($I222="NOVO",MONTH($O222)=MONTH(AW$4)),AI222*(1+Macroindicadores!F$7),IF(AND($J222="PONTUAL",MONTH($O222)=MONTH(AW$4)),AI222*(1+Macroindicadores!F$7),IF(AND($J222="PONTUAL",MONTH($O222)&lt;MONTH(AW$4)),MIN($AS222:AV222),IF(AND($I222="NOVO",MONTH($O222)&gt;MONTH(AW$4)),AI222,IF(MONTH($O222)&gt;MONTH(AW$4),AI222,IF(MONTH($O222)=MONTH(AW$4),AI222*(1+Macroindicadores!F$7),AV222)))))))))</f>
        <v>0.9</v>
      </c>
      <c r="AX222" s="39">
        <f>IF(ISBLANK(V222),"",IF(ISBLANK($O222),AJ222,IF($J222="ANUAL",AJ222*(1+Macroindicadores!G$7),IF(AND($I222="NOVO",MONTH($O222)=MONTH(AX$4)),AJ222*(1+Macroindicadores!G$7),IF(AND($J222="PONTUAL",MONTH($O222)=MONTH(AX$4)),AJ222*(1+Macroindicadores!G$7),IF(AND($J222="PONTUAL",MONTH($O222)&lt;MONTH(AX$4)),MIN($AS222:AW222),IF(AND($I222="NOVO",MONTH($O222)&gt;MONTH(AX$4)),AJ222,IF(MONTH($O222)&gt;MONTH(AX$4),AJ222,IF(MONTH($O222)=MONTH(AX$4),AJ222*(1+Macroindicadores!G$7),AW222)))))))))</f>
        <v>0.9</v>
      </c>
      <c r="AY222" s="39">
        <f>IF(ISBLANK(W222),"",IF(ISBLANK($O222),AK222,IF($J222="ANUAL",AK222*(1+Macroindicadores!H$7),IF(AND($I222="NOVO",MONTH($O222)=MONTH(AY$4)),AK222*(1+Macroindicadores!H$7),IF(AND($J222="PONTUAL",MONTH($O222)=MONTH(AY$4)),AK222*(1+Macroindicadores!H$7),IF(AND($J222="PONTUAL",MONTH($O222)&lt;MONTH(AY$4)),MIN($AS222:AX222),IF(AND($I222="NOVO",MONTH($O222)&gt;MONTH(AY$4)),AK222,IF(MONTH($O222)&gt;MONTH(AY$4),AK222,IF(MONTH($O222)=MONTH(AY$4),AK222*(1+Macroindicadores!H$7),AX222)))))))))</f>
        <v>0.9</v>
      </c>
      <c r="AZ222" s="39">
        <f>IF(ISBLANK(X222),"",IF(ISBLANK($O222),AL222,IF($J222="ANUAL",AL222*(1+Macroindicadores!I$7),IF(AND($I222="NOVO",MONTH($O222)=MONTH(AZ$4)),AL222*(1+Macroindicadores!I$7),IF(AND($J222="PONTUAL",MONTH($O222)=MONTH(AZ$4)),AL222*(1+Macroindicadores!I$7),IF(AND($J222="PONTUAL",MONTH($O222)&lt;MONTH(AZ$4)),MIN($AS222:AY222),IF(AND($I222="NOVO",MONTH($O222)&gt;MONTH(AZ$4)),AL222,IF(MONTH($O222)&gt;MONTH(AZ$4),AL222,IF(MONTH($O222)=MONTH(AZ$4),AL222*(1+Macroindicadores!I$7),AY222)))))))))</f>
        <v>0.9</v>
      </c>
      <c r="BA222" s="39">
        <f>IF(ISBLANK(Y222),"",IF(ISBLANK($O222),AM222,IF($J222="ANUAL",AM222*(1+Macroindicadores!J$7),IF(AND($I222="NOVO",MONTH($O222)=MONTH(BA$4)),AM222*(1+Macroindicadores!J$7),IF(AND($J222="PONTUAL",MONTH($O222)=MONTH(BA$4)),AM222*(1+Macroindicadores!J$7),IF(AND($J222="PONTUAL",MONTH($O222)&lt;MONTH(BA$4)),MIN($AS222:AZ222),IF(AND($I222="NOVO",MONTH($O222)&gt;MONTH(BA$4)),AM222,IF(MONTH($O222)&gt;MONTH(BA$4),AM222,IF(MONTH($O222)=MONTH(BA$4),AM222*(1+Macroindicadores!J$7),AZ222)))))))))</f>
        <v>0.9</v>
      </c>
      <c r="BB222" s="39">
        <f>IF(ISBLANK(Z222),"",IF(ISBLANK($O222),AN222,IF($J222="ANUAL",AN222*(1+Macroindicadores!K$7),IF(AND($I222="NOVO",MONTH($O222)=MONTH(BB$4)),AN222*(1+Macroindicadores!K$7),IF(AND($J222="PONTUAL",MONTH($O222)=MONTH(BB$4)),AN222*(1+Macroindicadores!K$7),IF(AND($J222="PONTUAL",MONTH($O222)&lt;MONTH(BB$4)),MIN($AS222:BA222),IF(AND($I222="NOVO",MONTH($O222)&gt;MONTH(BB$4)),AN222,IF(MONTH($O222)&gt;MONTH(BB$4),AN222,IF(MONTH($O222)=MONTH(BB$4),AN222*(1+Macroindicadores!K$7),BA222)))))))))</f>
        <v>0.9</v>
      </c>
      <c r="BC222" s="39">
        <f>IF(ISBLANK(AA222),"",IF(ISBLANK($O222),AO222,IF($J222="ANUAL",AO222*(1+Macroindicadores!L$7),IF(AND($I222="NOVO",MONTH($O222)=MONTH(BC$4)),AO222*(1+Macroindicadores!L$7),IF(AND($J222="PONTUAL",MONTH($O222)=MONTH(BC$4)),AO222*(1+Macroindicadores!L$7),IF(AND($J222="PONTUAL",MONTH($O222)&lt;MONTH(BC$4)),MIN($AS222:BB222),IF(AND($I222="NOVO",MONTH($O222)&gt;MONTH(BC$4)),AO222,IF(MONTH($O222)&gt;MONTH(BC$4),AO222,IF(MONTH($O222)=MONTH(BC$4),AO222*(1+Macroindicadores!L$7),BB222)))))))))</f>
        <v>0.9</v>
      </c>
      <c r="BD222" s="39">
        <f>IF(ISBLANK(AB222),"",IF(ISBLANK($O222),AP222,IF($J222="ANUAL",AP222*(1+Macroindicadores!M$7),IF(AND($I222="NOVO",MONTH($O222)=MONTH(BD$4)),AP222*(1+Macroindicadores!M$7),IF(AND($J222="PONTUAL",MONTH($O222)=MONTH(BD$4)),AP222*(1+Macroindicadores!M$7),IF(AND($J222="PONTUAL",MONTH($O222)&lt;MONTH(BD$4)),MIN($AS222:BC222),IF(AND($I222="NOVO",MONTH($O222)&gt;MONTH(BD$4)),AP222,IF(MONTH($O222)&gt;MONTH(BD$4),AP222,IF(MONTH($O222)=MONTH(BD$4),AP222*(1+Macroindicadores!M$7),BC222)))))))))</f>
        <v>0.9</v>
      </c>
      <c r="BE222" s="40">
        <f t="shared" si="101"/>
        <v>10.800000000000002</v>
      </c>
      <c r="BG222" s="39">
        <f>IF(ISBLANK(Q222),"",AS222/Macroindicadores!B$2)</f>
        <v>0.15306122448979592</v>
      </c>
      <c r="BH222" s="39">
        <f>IF(ISBLANK(R222),"",AT222/Macroindicadores!C$2)</f>
        <v>0.15306122448979592</v>
      </c>
      <c r="BI222" s="39">
        <f>IF(ISBLANK(S222),"",AU222/Macroindicadores!D$2)</f>
        <v>0.15306122448979592</v>
      </c>
      <c r="BJ222" s="39">
        <f>IF(ISBLANK(T222),"",AV222/Macroindicadores!E$2)</f>
        <v>0.15306122448979592</v>
      </c>
      <c r="BK222" s="39">
        <f>IF(ISBLANK(U222),"",AW222/Macroindicadores!F$2)</f>
        <v>0.15306122448979592</v>
      </c>
      <c r="BL222" s="39">
        <f>IF(ISBLANK(V222),"",AX222/Macroindicadores!G$2)</f>
        <v>0.15306122448979592</v>
      </c>
      <c r="BM222" s="39">
        <f>IF(ISBLANK(W222),"",AY222/Macroindicadores!H$2)</f>
        <v>0.15306122448979592</v>
      </c>
      <c r="BN222" s="39">
        <f>IF(ISBLANK(X222),"",AZ222/Macroindicadores!I$2)</f>
        <v>0.15306122448979592</v>
      </c>
      <c r="BO222" s="39">
        <f>IF(ISBLANK(Y222),"",BA222/Macroindicadores!J$2)</f>
        <v>0.15306122448979592</v>
      </c>
      <c r="BP222" s="39">
        <f>IF(ISBLANK(Z222),"",BB222/Macroindicadores!K$2)</f>
        <v>0.15306122448979592</v>
      </c>
      <c r="BQ222" s="39">
        <f>IF(ISBLANK(AA222),"",BC222/Macroindicadores!L$2)</f>
        <v>0.15306122448979592</v>
      </c>
      <c r="BR222" s="39">
        <f>IF(ISBLANK(AB222),"",BD222/Macroindicadores!M$2)</f>
        <v>0.15306122448979592</v>
      </c>
      <c r="BS222" s="40">
        <f>IF(AND(ISBLANK($Q222),ISBLANK($R222),ISBLANK($S222),ISBLANK($T222),ISBLANK($U222),ISBLANK($V222),ISBLANK($W222),ISBLANK($X222),ISBLANK($Y222),ISBLANK($Z222),ISBLANK($AA222),ISBLANK($AB222)),"",SUM(BG222:BR222))</f>
        <v>1.8367346938775515</v>
      </c>
      <c r="BT222" s="25" t="str">
        <f>IF(ISBLANK($L222),"",_xlfn.XLOOKUP($L222,'CENTRO CUSTO'!$A:$A,'CENTRO CUSTO'!$E:$E,FALSE,0))</f>
        <v>Custo Fixo</v>
      </c>
    </row>
    <row r="223" spans="1:72">
      <c r="A223" s="9" t="str">
        <f t="shared" si="80"/>
        <v>Budget</v>
      </c>
      <c r="B223" s="9">
        <f t="shared" si="77"/>
        <v>2026</v>
      </c>
      <c r="C223" s="18" t="str">
        <f>IF(ISBLANK($L223),"",_xlfn.XLOOKUP($L223,'CENTRO CUSTO'!$A:$A,'CENTRO CUSTO'!F:F,FALSE,0))</f>
        <v>Martini Meat</v>
      </c>
      <c r="D223" s="111" t="str">
        <f>IF(ISBLANK($L223),"",_xlfn.XLOOKUP($L223,'CENTRO CUSTO'!$A:$A,'CENTRO CUSTO'!G:G,FALSE,0))</f>
        <v>Recife 2</v>
      </c>
      <c r="E223" s="18" t="str">
        <f>IF(ISBLANK($L223),"",_xlfn.XLOOKUP($L223,'CENTRO CUSTO'!$A:$A,'CENTRO CUSTO'!H:H,FALSE,0))</f>
        <v>Frigorífico</v>
      </c>
      <c r="F223" s="10" t="s">
        <v>221</v>
      </c>
      <c r="G223" s="10" t="s">
        <v>123</v>
      </c>
      <c r="H223" s="10" t="s">
        <v>222</v>
      </c>
      <c r="I223" s="11" t="s">
        <v>84</v>
      </c>
      <c r="J223" s="11" t="s">
        <v>78</v>
      </c>
      <c r="K223" s="11" t="s">
        <v>121</v>
      </c>
      <c r="L223" s="11" t="s">
        <v>31</v>
      </c>
      <c r="M223" s="18" t="str">
        <f>IF(ISBLANK($L223),"",_xlfn.XLOOKUP($L223,'CENTRO CUSTO'!$A:$A,'CENTRO CUSTO'!D:D,FALSE,0))</f>
        <v>Alexandre Ayabe</v>
      </c>
      <c r="N223" s="11" t="s">
        <v>91</v>
      </c>
      <c r="O223" s="12"/>
      <c r="P223" s="11" t="s">
        <v>81</v>
      </c>
      <c r="Q223" s="41">
        <f>60000*Rateio!$E$199/12</f>
        <v>300</v>
      </c>
      <c r="R223" s="41">
        <f>60000*Rateio!$E$199/12</f>
        <v>300</v>
      </c>
      <c r="S223" s="41">
        <f>60000*Rateio!$E$199/12</f>
        <v>300</v>
      </c>
      <c r="T223" s="41">
        <f>60000*Rateio!$E$199/12</f>
        <v>300</v>
      </c>
      <c r="U223" s="41">
        <f>60000*Rateio!$E$199/12</f>
        <v>300</v>
      </c>
      <c r="V223" s="41">
        <f>60000*Rateio!$E$199/12</f>
        <v>300</v>
      </c>
      <c r="W223" s="41">
        <f>60000*Rateio!$E$199/12</f>
        <v>300</v>
      </c>
      <c r="X223" s="41">
        <f>60000*Rateio!$E$199/12</f>
        <v>300</v>
      </c>
      <c r="Y223" s="41">
        <f>60000*Rateio!$E$199/12</f>
        <v>300</v>
      </c>
      <c r="Z223" s="41">
        <f>60000*Rateio!$E$199/12</f>
        <v>300</v>
      </c>
      <c r="AA223" s="41">
        <f>60000*Rateio!$E$199/12</f>
        <v>300</v>
      </c>
      <c r="AB223" s="41">
        <f>60000*Rateio!$E$199/12</f>
        <v>300</v>
      </c>
      <c r="AC223" s="116">
        <f t="shared" si="99"/>
        <v>3600</v>
      </c>
      <c r="AE223" s="39">
        <f>IF(ISBLANK(Q223),"",IF($P223="BRL",Q223,Q223*Macroindicadores!B$2)/1000)</f>
        <v>0.3</v>
      </c>
      <c r="AF223" s="39">
        <f>IF(ISBLANK(R223),"",IF($P223="BRL",R223,R223*Macroindicadores!C$2)/1000)</f>
        <v>0.3</v>
      </c>
      <c r="AG223" s="39">
        <f>IF(ISBLANK(S223),"",IF($P223="BRL",S223,S223*Macroindicadores!D$2)/1000)</f>
        <v>0.3</v>
      </c>
      <c r="AH223" s="39">
        <f>IF(ISBLANK(T223),"",IF($P223="BRL",T223,T223*Macroindicadores!E$2)/1000)</f>
        <v>0.3</v>
      </c>
      <c r="AI223" s="39">
        <f>IF(ISBLANK(U223),"",IF($P223="BRL",U223,U223*Macroindicadores!F$2)/1000)</f>
        <v>0.3</v>
      </c>
      <c r="AJ223" s="39">
        <f>IF(ISBLANK(V223),"",IF($P223="BRL",V223,V223*Macroindicadores!G$2)/1000)</f>
        <v>0.3</v>
      </c>
      <c r="AK223" s="39">
        <f>IF(ISBLANK(W223),"",IF($P223="BRL",W223,W223*Macroindicadores!H$2)/1000)</f>
        <v>0.3</v>
      </c>
      <c r="AL223" s="39">
        <f>IF(ISBLANK(X223),"",IF($P223="BRL",X223,X223*Macroindicadores!I$2)/1000)</f>
        <v>0.3</v>
      </c>
      <c r="AM223" s="39">
        <f>IF(ISBLANK(Y223),"",IF($P223="BRL",Y223,Y223*Macroindicadores!J$2)/1000)</f>
        <v>0.3</v>
      </c>
      <c r="AN223" s="39">
        <f>IF(ISBLANK(Z223),"",IF($P223="BRL",Z223,Z223*Macroindicadores!K$2)/1000)</f>
        <v>0.3</v>
      </c>
      <c r="AO223" s="39">
        <f>IF(ISBLANK(AA223),"",IF($P223="BRL",AA223,AA223*Macroindicadores!L$2)/1000)</f>
        <v>0.3</v>
      </c>
      <c r="AP223" s="39">
        <f>IF(ISBLANK(AB223),"",IF($P223="BRL",AB223,AB223*Macroindicadores!M$2)/1000)</f>
        <v>0.3</v>
      </c>
      <c r="AQ223" s="40">
        <f t="shared" si="100"/>
        <v>3.5999999999999992</v>
      </c>
      <c r="AS223" s="39">
        <f>IF(ISBLANK(Q223),"",IF(ISBLANK($O223),AE223,IF($J223="ANUAL",AE223*(1+Macroindicadores!B$7),IF(AND($I223="NOVO",MONTH($O223)=MONTH(AS$4)),AE223*(1+Macroindicadores!B$7),IF(AND($J223="PONTUAL",MONTH($O223)=MONTH(AS$4)),AE223*(1+Macroindicadores!B$7),IF(AND($J223="PONTUAL",MONTH($O223)&lt;MONTH(AS$4)),MIN(AR223:$AS223),IF(AND($I223="NOVO",MONTH($O223)&gt;MONTH(AS$4)),AE223,IF(MONTH($O223)&gt;MONTH(AS$4),AE223,IF(MONTH($O223)=MONTH(AS$4),AE223*(1+Macroindicadores!B$7),AR223)))))))))</f>
        <v>0.3</v>
      </c>
      <c r="AT223" s="39">
        <f>IF(ISBLANK(R223),"",IF(ISBLANK($O223),AF223,IF($J223="ANUAL",AF223*(1+Macroindicadores!C$7),IF(AND($I223="NOVO",MONTH($O223)=MONTH(AT$4)),AF223*(1+Macroindicadores!C$7),IF(AND($J223="PONTUAL",MONTH($O223)=MONTH(AT$4)),AF223*(1+Macroindicadores!C$7),IF(AND($J223="PONTUAL",MONTH($O223)&lt;MONTH(AT$4)),MIN($AS223:AS223),IF(AND($I223="NOVO",MONTH($O223)&gt;MONTH(AT$4)),AF223,IF(MONTH($O223)&gt;MONTH(AT$4),AF223,IF(MONTH($O223)=MONTH(AT$4),AF223*(1+Macroindicadores!C$7),AS223)))))))))</f>
        <v>0.3</v>
      </c>
      <c r="AU223" s="39">
        <f>IF(ISBLANK(S223),"",IF(ISBLANK($O223),AG223,IF($J223="ANUAL",AG223*(1+Macroindicadores!D$7),IF(AND($I223="NOVO",MONTH($O223)=MONTH(AU$4)),AG223*(1+Macroindicadores!D$7),IF(AND($J223="PONTUAL",MONTH($O223)=MONTH(AU$4)),AG223*(1+Macroindicadores!D$7),IF(AND($J223="PONTUAL",MONTH($O223)&lt;MONTH(AU$4)),MIN($AS223:AT223),IF(AND($I223="NOVO",MONTH($O223)&gt;MONTH(AU$4)),AG223,IF(MONTH($O223)&gt;MONTH(AU$4),AG223,IF(MONTH($O223)=MONTH(AU$4),AG223*(1+Macroindicadores!D$7),AT223)))))))))</f>
        <v>0.3</v>
      </c>
      <c r="AV223" s="39">
        <f>IF(ISBLANK(T223),"",IF(ISBLANK($O223),AH223,IF($J223="ANUAL",AH223*(1+Macroindicadores!E$7),IF(AND($I223="NOVO",MONTH($O223)=MONTH(AV$4)),AH223*(1+Macroindicadores!E$7),IF(AND($J223="PONTUAL",MONTH($O223)=MONTH(AV$4)),AH223*(1+Macroindicadores!E$7),IF(AND($J223="PONTUAL",MONTH($O223)&lt;MONTH(AV$4)),MIN($AS223:AU223),IF(AND($I223="NOVO",MONTH($O223)&gt;MONTH(AV$4)),AH223,IF(MONTH($O223)&gt;MONTH(AV$4),AH223,IF(MONTH($O223)=MONTH(AV$4),AH223*(1+Macroindicadores!E$7),AU223)))))))))</f>
        <v>0.3</v>
      </c>
      <c r="AW223" s="39">
        <f>IF(ISBLANK(U223),"",IF(ISBLANK($O223),AI223,IF($J223="ANUAL",AI223*(1+Macroindicadores!F$7),IF(AND($I223="NOVO",MONTH($O223)=MONTH(AW$4)),AI223*(1+Macroindicadores!F$7),IF(AND($J223="PONTUAL",MONTH($O223)=MONTH(AW$4)),AI223*(1+Macroindicadores!F$7),IF(AND($J223="PONTUAL",MONTH($O223)&lt;MONTH(AW$4)),MIN($AS223:AV223),IF(AND($I223="NOVO",MONTH($O223)&gt;MONTH(AW$4)),AI223,IF(MONTH($O223)&gt;MONTH(AW$4),AI223,IF(MONTH($O223)=MONTH(AW$4),AI223*(1+Macroindicadores!F$7),AV223)))))))))</f>
        <v>0.3</v>
      </c>
      <c r="AX223" s="39">
        <f>IF(ISBLANK(V223),"",IF(ISBLANK($O223),AJ223,IF($J223="ANUAL",AJ223*(1+Macroindicadores!G$7),IF(AND($I223="NOVO",MONTH($O223)=MONTH(AX$4)),AJ223*(1+Macroindicadores!G$7),IF(AND($J223="PONTUAL",MONTH($O223)=MONTH(AX$4)),AJ223*(1+Macroindicadores!G$7),IF(AND($J223="PONTUAL",MONTH($O223)&lt;MONTH(AX$4)),MIN($AS223:AW223),IF(AND($I223="NOVO",MONTH($O223)&gt;MONTH(AX$4)),AJ223,IF(MONTH($O223)&gt;MONTH(AX$4),AJ223,IF(MONTH($O223)=MONTH(AX$4),AJ223*(1+Macroindicadores!G$7),AW223)))))))))</f>
        <v>0.3</v>
      </c>
      <c r="AY223" s="39">
        <f>IF(ISBLANK(W223),"",IF(ISBLANK($O223),AK223,IF($J223="ANUAL",AK223*(1+Macroindicadores!H$7),IF(AND($I223="NOVO",MONTH($O223)=MONTH(AY$4)),AK223*(1+Macroindicadores!H$7),IF(AND($J223="PONTUAL",MONTH($O223)=MONTH(AY$4)),AK223*(1+Macroindicadores!H$7),IF(AND($J223="PONTUAL",MONTH($O223)&lt;MONTH(AY$4)),MIN($AS223:AX223),IF(AND($I223="NOVO",MONTH($O223)&gt;MONTH(AY$4)),AK223,IF(MONTH($O223)&gt;MONTH(AY$4),AK223,IF(MONTH($O223)=MONTH(AY$4),AK223*(1+Macroindicadores!H$7),AX223)))))))))</f>
        <v>0.3</v>
      </c>
      <c r="AZ223" s="39">
        <f>IF(ISBLANK(X223),"",IF(ISBLANK($O223),AL223,IF($J223="ANUAL",AL223*(1+Macroindicadores!I$7),IF(AND($I223="NOVO",MONTH($O223)=MONTH(AZ$4)),AL223*(1+Macroindicadores!I$7),IF(AND($J223="PONTUAL",MONTH($O223)=MONTH(AZ$4)),AL223*(1+Macroindicadores!I$7),IF(AND($J223="PONTUAL",MONTH($O223)&lt;MONTH(AZ$4)),MIN($AS223:AY223),IF(AND($I223="NOVO",MONTH($O223)&gt;MONTH(AZ$4)),AL223,IF(MONTH($O223)&gt;MONTH(AZ$4),AL223,IF(MONTH($O223)=MONTH(AZ$4),AL223*(1+Macroindicadores!I$7),AY223)))))))))</f>
        <v>0.3</v>
      </c>
      <c r="BA223" s="39">
        <f>IF(ISBLANK(Y223),"",IF(ISBLANK($O223),AM223,IF($J223="ANUAL",AM223*(1+Macroindicadores!J$7),IF(AND($I223="NOVO",MONTH($O223)=MONTH(BA$4)),AM223*(1+Macroindicadores!J$7),IF(AND($J223="PONTUAL",MONTH($O223)=MONTH(BA$4)),AM223*(1+Macroindicadores!J$7),IF(AND($J223="PONTUAL",MONTH($O223)&lt;MONTH(BA$4)),MIN($AS223:AZ223),IF(AND($I223="NOVO",MONTH($O223)&gt;MONTH(BA$4)),AM223,IF(MONTH($O223)&gt;MONTH(BA$4),AM223,IF(MONTH($O223)=MONTH(BA$4),AM223*(1+Macroindicadores!J$7),AZ223)))))))))</f>
        <v>0.3</v>
      </c>
      <c r="BB223" s="39">
        <f>IF(ISBLANK(Z223),"",IF(ISBLANK($O223),AN223,IF($J223="ANUAL",AN223*(1+Macroindicadores!K$7),IF(AND($I223="NOVO",MONTH($O223)=MONTH(BB$4)),AN223*(1+Macroindicadores!K$7),IF(AND($J223="PONTUAL",MONTH($O223)=MONTH(BB$4)),AN223*(1+Macroindicadores!K$7),IF(AND($J223="PONTUAL",MONTH($O223)&lt;MONTH(BB$4)),MIN($AS223:BA223),IF(AND($I223="NOVO",MONTH($O223)&gt;MONTH(BB$4)),AN223,IF(MONTH($O223)&gt;MONTH(BB$4),AN223,IF(MONTH($O223)=MONTH(BB$4),AN223*(1+Macroindicadores!K$7),BA223)))))))))</f>
        <v>0.3</v>
      </c>
      <c r="BC223" s="39">
        <f>IF(ISBLANK(AA223),"",IF(ISBLANK($O223),AO223,IF($J223="ANUAL",AO223*(1+Macroindicadores!L$7),IF(AND($I223="NOVO",MONTH($O223)=MONTH(BC$4)),AO223*(1+Macroindicadores!L$7),IF(AND($J223="PONTUAL",MONTH($O223)=MONTH(BC$4)),AO223*(1+Macroindicadores!L$7),IF(AND($J223="PONTUAL",MONTH($O223)&lt;MONTH(BC$4)),MIN($AS223:BB223),IF(AND($I223="NOVO",MONTH($O223)&gt;MONTH(BC$4)),AO223,IF(MONTH($O223)&gt;MONTH(BC$4),AO223,IF(MONTH($O223)=MONTH(BC$4),AO223*(1+Macroindicadores!L$7),BB223)))))))))</f>
        <v>0.3</v>
      </c>
      <c r="BD223" s="39">
        <f>IF(ISBLANK(AB223),"",IF(ISBLANK($O223),AP223,IF($J223="ANUAL",AP223*(1+Macroindicadores!M$7),IF(AND($I223="NOVO",MONTH($O223)=MONTH(BD$4)),AP223*(1+Macroindicadores!M$7),IF(AND($J223="PONTUAL",MONTH($O223)=MONTH(BD$4)),AP223*(1+Macroindicadores!M$7),IF(AND($J223="PONTUAL",MONTH($O223)&lt;MONTH(BD$4)),MIN($AS223:BC223),IF(AND($I223="NOVO",MONTH($O223)&gt;MONTH(BD$4)),AP223,IF(MONTH($O223)&gt;MONTH(BD$4),AP223,IF(MONTH($O223)=MONTH(BD$4),AP223*(1+Macroindicadores!M$7),BC223)))))))))</f>
        <v>0.3</v>
      </c>
      <c r="BE223" s="40">
        <f t="shared" si="101"/>
        <v>3.5999999999999992</v>
      </c>
      <c r="BG223" s="39">
        <f>IF(ISBLANK(Q223),"",AS223/Macroindicadores!B$2)</f>
        <v>5.1020408163265307E-2</v>
      </c>
      <c r="BH223" s="39">
        <f>IF(ISBLANK(R223),"",AT223/Macroindicadores!C$2)</f>
        <v>5.1020408163265307E-2</v>
      </c>
      <c r="BI223" s="39">
        <f>IF(ISBLANK(S223),"",AU223/Macroindicadores!D$2)</f>
        <v>5.1020408163265307E-2</v>
      </c>
      <c r="BJ223" s="39">
        <f>IF(ISBLANK(T223),"",AV223/Macroindicadores!E$2)</f>
        <v>5.1020408163265307E-2</v>
      </c>
      <c r="BK223" s="39">
        <f>IF(ISBLANK(U223),"",AW223/Macroindicadores!F$2)</f>
        <v>5.1020408163265307E-2</v>
      </c>
      <c r="BL223" s="39">
        <f>IF(ISBLANK(V223),"",AX223/Macroindicadores!G$2)</f>
        <v>5.1020408163265307E-2</v>
      </c>
      <c r="BM223" s="39">
        <f>IF(ISBLANK(W223),"",AY223/Macroindicadores!H$2)</f>
        <v>5.1020408163265307E-2</v>
      </c>
      <c r="BN223" s="39">
        <f>IF(ISBLANK(X223),"",AZ223/Macroindicadores!I$2)</f>
        <v>5.1020408163265307E-2</v>
      </c>
      <c r="BO223" s="39">
        <f>IF(ISBLANK(Y223),"",BA223/Macroindicadores!J$2)</f>
        <v>5.1020408163265307E-2</v>
      </c>
      <c r="BP223" s="39">
        <f>IF(ISBLANK(Z223),"",BB223/Macroindicadores!K$2)</f>
        <v>5.1020408163265307E-2</v>
      </c>
      <c r="BQ223" s="39">
        <f>IF(ISBLANK(AA223),"",BC223/Macroindicadores!L$2)</f>
        <v>5.1020408163265307E-2</v>
      </c>
      <c r="BR223" s="39">
        <f>IF(ISBLANK(AB223),"",BD223/Macroindicadores!M$2)</f>
        <v>5.1020408163265307E-2</v>
      </c>
      <c r="BS223" s="40">
        <f>IF(AND(ISBLANK($Q223),ISBLANK($R223),ISBLANK($S223),ISBLANK($T223),ISBLANK($U223),ISBLANK($V223),ISBLANK($W223),ISBLANK($X223),ISBLANK($Y223),ISBLANK($Z223),ISBLANK($AA223),ISBLANK($AB223)),"",SUM(BG223:BR223))</f>
        <v>0.61224489795918369</v>
      </c>
      <c r="BT223" s="25" t="str">
        <f>IF(ISBLANK($L223),"",_xlfn.XLOOKUP($L223,'CENTRO CUSTO'!$A:$A,'CENTRO CUSTO'!$E:$E,FALSE,0))</f>
        <v>Custo Fixo</v>
      </c>
    </row>
    <row r="224" spans="1:72">
      <c r="A224" s="9" t="str">
        <f t="shared" si="80"/>
        <v>Budget</v>
      </c>
      <c r="B224" s="9">
        <f t="shared" si="77"/>
        <v>2026</v>
      </c>
      <c r="C224" s="18" t="str">
        <f>IF(ISBLANK($L224),"",_xlfn.XLOOKUP($L224,'CENTRO CUSTO'!$A:$A,'CENTRO CUSTO'!F:F,FALSE,0))</f>
        <v>MRV</v>
      </c>
      <c r="D224" s="111" t="str">
        <f>IF(ISBLANK($L224),"",_xlfn.XLOOKUP($L224,'CENTRO CUSTO'!$A:$A,'CENTRO CUSTO'!G:G,FALSE,0))</f>
        <v>Passo Fundo</v>
      </c>
      <c r="E224" s="18" t="str">
        <f>IF(ISBLANK($L224),"",_xlfn.XLOOKUP($L224,'CENTRO CUSTO'!$A:$A,'CENTRO CUSTO'!H:H,FALSE,0))</f>
        <v>Frigorífico</v>
      </c>
      <c r="F224" s="10" t="s">
        <v>221</v>
      </c>
      <c r="G224" s="10" t="s">
        <v>123</v>
      </c>
      <c r="H224" s="10" t="s">
        <v>222</v>
      </c>
      <c r="I224" s="11" t="s">
        <v>84</v>
      </c>
      <c r="J224" s="11" t="s">
        <v>78</v>
      </c>
      <c r="K224" s="11" t="s">
        <v>121</v>
      </c>
      <c r="L224" s="11" t="s">
        <v>41</v>
      </c>
      <c r="M224" s="18" t="str">
        <f>IF(ISBLANK($L224),"",_xlfn.XLOOKUP($L224,'CENTRO CUSTO'!$A:$A,'CENTRO CUSTO'!D:D,FALSE,0))</f>
        <v>Alexandre Ayabe</v>
      </c>
      <c r="N224" s="11" t="s">
        <v>91</v>
      </c>
      <c r="O224" s="12"/>
      <c r="P224" s="11" t="s">
        <v>81</v>
      </c>
      <c r="Q224" s="41">
        <v>0</v>
      </c>
      <c r="R224" s="41">
        <v>0</v>
      </c>
      <c r="S224" s="41">
        <v>0</v>
      </c>
      <c r="T224" s="41">
        <v>0</v>
      </c>
      <c r="U224" s="41">
        <v>0</v>
      </c>
      <c r="V224" s="41">
        <v>0</v>
      </c>
      <c r="W224" s="41">
        <v>0</v>
      </c>
      <c r="X224" s="41">
        <v>0</v>
      </c>
      <c r="Y224" s="41">
        <v>0</v>
      </c>
      <c r="Z224" s="41">
        <v>0</v>
      </c>
      <c r="AA224" s="41">
        <v>0</v>
      </c>
      <c r="AB224" s="41">
        <v>0</v>
      </c>
      <c r="AC224" s="116">
        <f t="shared" si="99"/>
        <v>0</v>
      </c>
      <c r="AE224" s="39">
        <f>IF(ISBLANK(Q224),"",IF($P224="BRL",Q224,Q224*Macroindicadores!B$2)/1000)</f>
        <v>0</v>
      </c>
      <c r="AF224" s="39">
        <f>IF(ISBLANK(R224),"",IF($P224="BRL",R224,R224*Macroindicadores!C$2)/1000)</f>
        <v>0</v>
      </c>
      <c r="AG224" s="39">
        <f>IF(ISBLANK(S224),"",IF($P224="BRL",S224,S224*Macroindicadores!D$2)/1000)</f>
        <v>0</v>
      </c>
      <c r="AH224" s="39">
        <f>IF(ISBLANK(T224),"",IF($P224="BRL",T224,T224*Macroindicadores!E$2)/1000)</f>
        <v>0</v>
      </c>
      <c r="AI224" s="39">
        <f>IF(ISBLANK(U224),"",IF($P224="BRL",U224,U224*Macroindicadores!F$2)/1000)</f>
        <v>0</v>
      </c>
      <c r="AJ224" s="39">
        <f>IF(ISBLANK(V224),"",IF($P224="BRL",V224,V224*Macroindicadores!G$2)/1000)</f>
        <v>0</v>
      </c>
      <c r="AK224" s="39">
        <f>IF(ISBLANK(W224),"",IF($P224="BRL",W224,W224*Macroindicadores!H$2)/1000)</f>
        <v>0</v>
      </c>
      <c r="AL224" s="39">
        <f>IF(ISBLANK(X224),"",IF($P224="BRL",X224,X224*Macroindicadores!I$2)/1000)</f>
        <v>0</v>
      </c>
      <c r="AM224" s="39">
        <f>IF(ISBLANK(Y224),"",IF($P224="BRL",Y224,Y224*Macroindicadores!J$2)/1000)</f>
        <v>0</v>
      </c>
      <c r="AN224" s="39">
        <f>IF(ISBLANK(Z224),"",IF($P224="BRL",Z224,Z224*Macroindicadores!K$2)/1000)</f>
        <v>0</v>
      </c>
      <c r="AO224" s="39">
        <f>IF(ISBLANK(AA224),"",IF($P224="BRL",AA224,AA224*Macroindicadores!L$2)/1000)</f>
        <v>0</v>
      </c>
      <c r="AP224" s="39">
        <f>IF(ISBLANK(AB224),"",IF($P224="BRL",AB224,AB224*Macroindicadores!M$2)/1000)</f>
        <v>0</v>
      </c>
      <c r="AQ224" s="40">
        <f t="shared" si="100"/>
        <v>0</v>
      </c>
      <c r="AS224" s="39">
        <f>IF(ISBLANK(Q224),"",IF(ISBLANK($O224),AE224,IF($J224="ANUAL",AE224*(1+Macroindicadores!B$7),IF(AND($I224="NOVO",MONTH($O224)=MONTH(AS$4)),AE224*(1+Macroindicadores!B$7),IF(AND($J224="PONTUAL",MONTH($O224)=MONTH(AS$4)),AE224*(1+Macroindicadores!B$7),IF(AND($J224="PONTUAL",MONTH($O224)&lt;MONTH(AS$4)),MIN(AR224:$AS224),IF(AND($I224="NOVO",MONTH($O224)&gt;MONTH(AS$4)),AE224,IF(MONTH($O224)&gt;MONTH(AS$4),AE224,IF(MONTH($O224)=MONTH(AS$4),AE224*(1+Macroindicadores!B$7),AR224)))))))))</f>
        <v>0</v>
      </c>
      <c r="AT224" s="39">
        <f>IF(ISBLANK(R224),"",IF(ISBLANK($O224),AF224,IF($J224="ANUAL",AF224*(1+Macroindicadores!C$7),IF(AND($I224="NOVO",MONTH($O224)=MONTH(AT$4)),AF224*(1+Macroindicadores!C$7),IF(AND($J224="PONTUAL",MONTH($O224)=MONTH(AT$4)),AF224*(1+Macroindicadores!C$7),IF(AND($J224="PONTUAL",MONTH($O224)&lt;MONTH(AT$4)),MIN($AS224:AS224),IF(AND($I224="NOVO",MONTH($O224)&gt;MONTH(AT$4)),AF224,IF(MONTH($O224)&gt;MONTH(AT$4),AF224,IF(MONTH($O224)=MONTH(AT$4),AF224*(1+Macroindicadores!C$7),AS224)))))))))</f>
        <v>0</v>
      </c>
      <c r="AU224" s="39">
        <f>IF(ISBLANK(S224),"",IF(ISBLANK($O224),AG224,IF($J224="ANUAL",AG224*(1+Macroindicadores!D$7),IF(AND($I224="NOVO",MONTH($O224)=MONTH(AU$4)),AG224*(1+Macroindicadores!D$7),IF(AND($J224="PONTUAL",MONTH($O224)=MONTH(AU$4)),AG224*(1+Macroindicadores!D$7),IF(AND($J224="PONTUAL",MONTH($O224)&lt;MONTH(AU$4)),MIN($AS224:AT224),IF(AND($I224="NOVO",MONTH($O224)&gt;MONTH(AU$4)),AG224,IF(MONTH($O224)&gt;MONTH(AU$4),AG224,IF(MONTH($O224)=MONTH(AU$4),AG224*(1+Macroindicadores!D$7),AT224)))))))))</f>
        <v>0</v>
      </c>
      <c r="AV224" s="39">
        <f>IF(ISBLANK(T224),"",IF(ISBLANK($O224),AH224,IF($J224="ANUAL",AH224*(1+Macroindicadores!E$7),IF(AND($I224="NOVO",MONTH($O224)=MONTH(AV$4)),AH224*(1+Macroindicadores!E$7),IF(AND($J224="PONTUAL",MONTH($O224)=MONTH(AV$4)),AH224*(1+Macroindicadores!E$7),IF(AND($J224="PONTUAL",MONTH($O224)&lt;MONTH(AV$4)),MIN($AS224:AU224),IF(AND($I224="NOVO",MONTH($O224)&gt;MONTH(AV$4)),AH224,IF(MONTH($O224)&gt;MONTH(AV$4),AH224,IF(MONTH($O224)=MONTH(AV$4),AH224*(1+Macroindicadores!E$7),AU224)))))))))</f>
        <v>0</v>
      </c>
      <c r="AW224" s="39">
        <f>IF(ISBLANK(U224),"",IF(ISBLANK($O224),AI224,IF($J224="ANUAL",AI224*(1+Macroindicadores!F$7),IF(AND($I224="NOVO",MONTH($O224)=MONTH(AW$4)),AI224*(1+Macroindicadores!F$7),IF(AND($J224="PONTUAL",MONTH($O224)=MONTH(AW$4)),AI224*(1+Macroindicadores!F$7),IF(AND($J224="PONTUAL",MONTH($O224)&lt;MONTH(AW$4)),MIN($AS224:AV224),IF(AND($I224="NOVO",MONTH($O224)&gt;MONTH(AW$4)),AI224,IF(MONTH($O224)&gt;MONTH(AW$4),AI224,IF(MONTH($O224)=MONTH(AW$4),AI224*(1+Macroindicadores!F$7),AV224)))))))))</f>
        <v>0</v>
      </c>
      <c r="AX224" s="39">
        <f>IF(ISBLANK(V224),"",IF(ISBLANK($O224),AJ224,IF($J224="ANUAL",AJ224*(1+Macroindicadores!G$7),IF(AND($I224="NOVO",MONTH($O224)=MONTH(AX$4)),AJ224*(1+Macroindicadores!G$7),IF(AND($J224="PONTUAL",MONTH($O224)=MONTH(AX$4)),AJ224*(1+Macroindicadores!G$7),IF(AND($J224="PONTUAL",MONTH($O224)&lt;MONTH(AX$4)),MIN($AS224:AW224),IF(AND($I224="NOVO",MONTH($O224)&gt;MONTH(AX$4)),AJ224,IF(MONTH($O224)&gt;MONTH(AX$4),AJ224,IF(MONTH($O224)=MONTH(AX$4),AJ224*(1+Macroindicadores!G$7),AW224)))))))))</f>
        <v>0</v>
      </c>
      <c r="AY224" s="39">
        <f>IF(ISBLANK(W224),"",IF(ISBLANK($O224),AK224,IF($J224="ANUAL",AK224*(1+Macroindicadores!H$7),IF(AND($I224="NOVO",MONTH($O224)=MONTH(AY$4)),AK224*(1+Macroindicadores!H$7),IF(AND($J224="PONTUAL",MONTH($O224)=MONTH(AY$4)),AK224*(1+Macroindicadores!H$7),IF(AND($J224="PONTUAL",MONTH($O224)&lt;MONTH(AY$4)),MIN($AS224:AX224),IF(AND($I224="NOVO",MONTH($O224)&gt;MONTH(AY$4)),AK224,IF(MONTH($O224)&gt;MONTH(AY$4),AK224,IF(MONTH($O224)=MONTH(AY$4),AK224*(1+Macroindicadores!H$7),AX224)))))))))</f>
        <v>0</v>
      </c>
      <c r="AZ224" s="39">
        <f>IF(ISBLANK(X224),"",IF(ISBLANK($O224),AL224,IF($J224="ANUAL",AL224*(1+Macroindicadores!I$7),IF(AND($I224="NOVO",MONTH($O224)=MONTH(AZ$4)),AL224*(1+Macroindicadores!I$7),IF(AND($J224="PONTUAL",MONTH($O224)=MONTH(AZ$4)),AL224*(1+Macroindicadores!I$7),IF(AND($J224="PONTUAL",MONTH($O224)&lt;MONTH(AZ$4)),MIN($AS224:AY224),IF(AND($I224="NOVO",MONTH($O224)&gt;MONTH(AZ$4)),AL224,IF(MONTH($O224)&gt;MONTH(AZ$4),AL224,IF(MONTH($O224)=MONTH(AZ$4),AL224*(1+Macroindicadores!I$7),AY224)))))))))</f>
        <v>0</v>
      </c>
      <c r="BA224" s="39">
        <f>IF(ISBLANK(Y224),"",IF(ISBLANK($O224),AM224,IF($J224="ANUAL",AM224*(1+Macroindicadores!J$7),IF(AND($I224="NOVO",MONTH($O224)=MONTH(BA$4)),AM224*(1+Macroindicadores!J$7),IF(AND($J224="PONTUAL",MONTH($O224)=MONTH(BA$4)),AM224*(1+Macroindicadores!J$7),IF(AND($J224="PONTUAL",MONTH($O224)&lt;MONTH(BA$4)),MIN($AS224:AZ224),IF(AND($I224="NOVO",MONTH($O224)&gt;MONTH(BA$4)),AM224,IF(MONTH($O224)&gt;MONTH(BA$4),AM224,IF(MONTH($O224)=MONTH(BA$4),AM224*(1+Macroindicadores!J$7),AZ224)))))))))</f>
        <v>0</v>
      </c>
      <c r="BB224" s="39">
        <f>IF(ISBLANK(Z224),"",IF(ISBLANK($O224),AN224,IF($J224="ANUAL",AN224*(1+Macroindicadores!K$7),IF(AND($I224="NOVO",MONTH($O224)=MONTH(BB$4)),AN224*(1+Macroindicadores!K$7),IF(AND($J224="PONTUAL",MONTH($O224)=MONTH(BB$4)),AN224*(1+Macroindicadores!K$7),IF(AND($J224="PONTUAL",MONTH($O224)&lt;MONTH(BB$4)),MIN($AS224:BA224),IF(AND($I224="NOVO",MONTH($O224)&gt;MONTH(BB$4)),AN224,IF(MONTH($O224)&gt;MONTH(BB$4),AN224,IF(MONTH($O224)=MONTH(BB$4),AN224*(1+Macroindicadores!K$7),BA224)))))))))</f>
        <v>0</v>
      </c>
      <c r="BC224" s="39">
        <f>IF(ISBLANK(AA224),"",IF(ISBLANK($O224),AO224,IF($J224="ANUAL",AO224*(1+Macroindicadores!L$7),IF(AND($I224="NOVO",MONTH($O224)=MONTH(BC$4)),AO224*(1+Macroindicadores!L$7),IF(AND($J224="PONTUAL",MONTH($O224)=MONTH(BC$4)),AO224*(1+Macroindicadores!L$7),IF(AND($J224="PONTUAL",MONTH($O224)&lt;MONTH(BC$4)),MIN($AS224:BB224),IF(AND($I224="NOVO",MONTH($O224)&gt;MONTH(BC$4)),AO224,IF(MONTH($O224)&gt;MONTH(BC$4),AO224,IF(MONTH($O224)=MONTH(BC$4),AO224*(1+Macroindicadores!L$7),BB224)))))))))</f>
        <v>0</v>
      </c>
      <c r="BD224" s="39">
        <f>IF(ISBLANK(AB224),"",IF(ISBLANK($O224),AP224,IF($J224="ANUAL",AP224*(1+Macroindicadores!M$7),IF(AND($I224="NOVO",MONTH($O224)=MONTH(BD$4)),AP224*(1+Macroindicadores!M$7),IF(AND($J224="PONTUAL",MONTH($O224)=MONTH(BD$4)),AP224*(1+Macroindicadores!M$7),IF(AND($J224="PONTUAL",MONTH($O224)&lt;MONTH(BD$4)),MIN($AS224:BC224),IF(AND($I224="NOVO",MONTH($O224)&gt;MONTH(BD$4)),AP224,IF(MONTH($O224)&gt;MONTH(BD$4),AP224,IF(MONTH($O224)=MONTH(BD$4),AP224*(1+Macroindicadores!M$7),BC224)))))))))</f>
        <v>0</v>
      </c>
      <c r="BE224" s="40">
        <f t="shared" si="101"/>
        <v>0</v>
      </c>
      <c r="BG224" s="39">
        <f>IF(ISBLANK(Q224),"",AS224/Macroindicadores!B$2)</f>
        <v>0</v>
      </c>
      <c r="BH224" s="39">
        <f>IF(ISBLANK(R224),"",AT224/Macroindicadores!C$2)</f>
        <v>0</v>
      </c>
      <c r="BI224" s="39">
        <f>IF(ISBLANK(S224),"",AU224/Macroindicadores!D$2)</f>
        <v>0</v>
      </c>
      <c r="BJ224" s="39">
        <f>IF(ISBLANK(T224),"",AV224/Macroindicadores!E$2)</f>
        <v>0</v>
      </c>
      <c r="BK224" s="39">
        <f>IF(ISBLANK(U224),"",AW224/Macroindicadores!F$2)</f>
        <v>0</v>
      </c>
      <c r="BL224" s="39">
        <f>IF(ISBLANK(V224),"",AX224/Macroindicadores!G$2)</f>
        <v>0</v>
      </c>
      <c r="BM224" s="39">
        <f>IF(ISBLANK(W224),"",AY224/Macroindicadores!H$2)</f>
        <v>0</v>
      </c>
      <c r="BN224" s="39">
        <f>IF(ISBLANK(X224),"",AZ224/Macroindicadores!I$2)</f>
        <v>0</v>
      </c>
      <c r="BO224" s="39">
        <f>IF(ISBLANK(Y224),"",BA224/Macroindicadores!J$2)</f>
        <v>0</v>
      </c>
      <c r="BP224" s="39">
        <f>IF(ISBLANK(Z224),"",BB224/Macroindicadores!K$2)</f>
        <v>0</v>
      </c>
      <c r="BQ224" s="39">
        <f>IF(ISBLANK(AA224),"",BC224/Macroindicadores!L$2)</f>
        <v>0</v>
      </c>
      <c r="BR224" s="39">
        <f>IF(ISBLANK(AB224),"",BD224/Macroindicadores!M$2)</f>
        <v>0</v>
      </c>
      <c r="BS224" s="40">
        <f>IF(AND(ISBLANK($Q224),ISBLANK($R224),ISBLANK($S224),ISBLANK($T224),ISBLANK($U224),ISBLANK($V224),ISBLANK($W224),ISBLANK($X224),ISBLANK($Y224),ISBLANK($Z224),ISBLANK($AA224),ISBLANK($AB224)),"",SUM(BG224:BR224))</f>
        <v>0</v>
      </c>
      <c r="BT224" s="25" t="str">
        <f>IF(ISBLANK($L224),"",_xlfn.XLOOKUP($L224,'CENTRO CUSTO'!$A:$A,'CENTRO CUSTO'!$E:$E,FALSE,0))</f>
        <v>Custo Fixo</v>
      </c>
    </row>
    <row r="225" spans="1:72">
      <c r="A225" s="9" t="str">
        <f t="shared" si="80"/>
        <v>Budget</v>
      </c>
      <c r="B225" s="9">
        <f t="shared" si="77"/>
        <v>2026</v>
      </c>
      <c r="C225" s="18" t="str">
        <f>IF(ISBLANK($L225),"",_xlfn.XLOOKUP($L225,'CENTRO CUSTO'!$A:$A,'CENTRO CUSTO'!F:F,FALSE,0))</f>
        <v>MRV</v>
      </c>
      <c r="D225" s="111" t="str">
        <f>IF(ISBLANK($L225),"",_xlfn.XLOOKUP($L225,'CENTRO CUSTO'!$A:$A,'CENTRO CUSTO'!G:G,FALSE,0))</f>
        <v>Velopark</v>
      </c>
      <c r="E225" s="18" t="str">
        <f>IF(ISBLANK($L225),"",_xlfn.XLOOKUP($L225,'CENTRO CUSTO'!$A:$A,'CENTRO CUSTO'!H:H,FALSE,0))</f>
        <v>Frigorífico</v>
      </c>
      <c r="F225" s="10" t="s">
        <v>221</v>
      </c>
      <c r="G225" s="10" t="s">
        <v>123</v>
      </c>
      <c r="H225" s="10" t="s">
        <v>222</v>
      </c>
      <c r="I225" s="11" t="s">
        <v>84</v>
      </c>
      <c r="J225" s="11" t="s">
        <v>78</v>
      </c>
      <c r="K225" s="11" t="s">
        <v>121</v>
      </c>
      <c r="L225" s="11" t="s">
        <v>43</v>
      </c>
      <c r="M225" s="18" t="str">
        <f>IF(ISBLANK($L225),"",_xlfn.XLOOKUP($L225,'CENTRO CUSTO'!$A:$A,'CENTRO CUSTO'!D:D,FALSE,0))</f>
        <v>Alexandre Ayabe</v>
      </c>
      <c r="N225" s="11" t="s">
        <v>91</v>
      </c>
      <c r="O225" s="12"/>
      <c r="P225" s="11" t="s">
        <v>81</v>
      </c>
      <c r="Q225" s="41">
        <f>60000*Rateio!$E$202/12</f>
        <v>900</v>
      </c>
      <c r="R225" s="41">
        <f>60000*Rateio!$E$202/12</f>
        <v>900</v>
      </c>
      <c r="S225" s="41">
        <f>60000*Rateio!$E$202/12</f>
        <v>900</v>
      </c>
      <c r="T225" s="41">
        <f>60000*Rateio!$E$202/12</f>
        <v>900</v>
      </c>
      <c r="U225" s="41">
        <f>60000*Rateio!$E$202/12</f>
        <v>900</v>
      </c>
      <c r="V225" s="41">
        <f>60000*Rateio!$E$202/12</f>
        <v>900</v>
      </c>
      <c r="W225" s="41">
        <f>60000*Rateio!$E$202/12</f>
        <v>900</v>
      </c>
      <c r="X225" s="41">
        <f>60000*Rateio!$E$202/12</f>
        <v>900</v>
      </c>
      <c r="Y225" s="41">
        <f>60000*Rateio!$E$202/12</f>
        <v>900</v>
      </c>
      <c r="Z225" s="41">
        <f>60000*Rateio!$E$202/12</f>
        <v>900</v>
      </c>
      <c r="AA225" s="41">
        <f>60000*Rateio!$E$202/12</f>
        <v>900</v>
      </c>
      <c r="AB225" s="41">
        <f>60000*Rateio!$E$202/12</f>
        <v>900</v>
      </c>
      <c r="AC225" s="116">
        <f t="shared" si="99"/>
        <v>10800</v>
      </c>
      <c r="AE225" s="39">
        <f>IF(ISBLANK(Q225),"",IF($P225="BRL",Q225,Q225*Macroindicadores!B$2)/1000)</f>
        <v>0.9</v>
      </c>
      <c r="AF225" s="39">
        <f>IF(ISBLANK(R225),"",IF($P225="BRL",R225,R225*Macroindicadores!C$2)/1000)</f>
        <v>0.9</v>
      </c>
      <c r="AG225" s="39">
        <f>IF(ISBLANK(S225),"",IF($P225="BRL",S225,S225*Macroindicadores!D$2)/1000)</f>
        <v>0.9</v>
      </c>
      <c r="AH225" s="39">
        <f>IF(ISBLANK(T225),"",IF($P225="BRL",T225,T225*Macroindicadores!E$2)/1000)</f>
        <v>0.9</v>
      </c>
      <c r="AI225" s="39">
        <f>IF(ISBLANK(U225),"",IF($P225="BRL",U225,U225*Macroindicadores!F$2)/1000)</f>
        <v>0.9</v>
      </c>
      <c r="AJ225" s="39">
        <f>IF(ISBLANK(V225),"",IF($P225="BRL",V225,V225*Macroindicadores!G$2)/1000)</f>
        <v>0.9</v>
      </c>
      <c r="AK225" s="39">
        <f>IF(ISBLANK(W225),"",IF($P225="BRL",W225,W225*Macroindicadores!H$2)/1000)</f>
        <v>0.9</v>
      </c>
      <c r="AL225" s="39">
        <f>IF(ISBLANK(X225),"",IF($P225="BRL",X225,X225*Macroindicadores!I$2)/1000)</f>
        <v>0.9</v>
      </c>
      <c r="AM225" s="39">
        <f>IF(ISBLANK(Y225),"",IF($P225="BRL",Y225,Y225*Macroindicadores!J$2)/1000)</f>
        <v>0.9</v>
      </c>
      <c r="AN225" s="39">
        <f>IF(ISBLANK(Z225),"",IF($P225="BRL",Z225,Z225*Macroindicadores!K$2)/1000)</f>
        <v>0.9</v>
      </c>
      <c r="AO225" s="39">
        <f>IF(ISBLANK(AA225),"",IF($P225="BRL",AA225,AA225*Macroindicadores!L$2)/1000)</f>
        <v>0.9</v>
      </c>
      <c r="AP225" s="39">
        <f>IF(ISBLANK(AB225),"",IF($P225="BRL",AB225,AB225*Macroindicadores!M$2)/1000)</f>
        <v>0.9</v>
      </c>
      <c r="AQ225" s="40">
        <f t="shared" si="100"/>
        <v>10.800000000000002</v>
      </c>
      <c r="AS225" s="39">
        <f>IF(ISBLANK(Q225),"",IF(ISBLANK($O225),AE225,IF($J225="ANUAL",AE225*(1+Macroindicadores!B$7),IF(AND($I225="NOVO",MONTH($O225)=MONTH(AS$4)),AE225*(1+Macroindicadores!B$7),IF(AND($J225="PONTUAL",MONTH($O225)=MONTH(AS$4)),AE225*(1+Macroindicadores!B$7),IF(AND($J225="PONTUAL",MONTH($O225)&lt;MONTH(AS$4)),MIN(AR225:$AS225),IF(AND($I225="NOVO",MONTH($O225)&gt;MONTH(AS$4)),AE225,IF(MONTH($O225)&gt;MONTH(AS$4),AE225,IF(MONTH($O225)=MONTH(AS$4),AE225*(1+Macroindicadores!B$7),AR225)))))))))</f>
        <v>0.9</v>
      </c>
      <c r="AT225" s="39">
        <f>IF(ISBLANK(R225),"",IF(ISBLANK($O225),AF225,IF($J225="ANUAL",AF225*(1+Macroindicadores!C$7),IF(AND($I225="NOVO",MONTH($O225)=MONTH(AT$4)),AF225*(1+Macroindicadores!C$7),IF(AND($J225="PONTUAL",MONTH($O225)=MONTH(AT$4)),AF225*(1+Macroindicadores!C$7),IF(AND($J225="PONTUAL",MONTH($O225)&lt;MONTH(AT$4)),MIN($AS225:AS225),IF(AND($I225="NOVO",MONTH($O225)&gt;MONTH(AT$4)),AF225,IF(MONTH($O225)&gt;MONTH(AT$4),AF225,IF(MONTH($O225)=MONTH(AT$4),AF225*(1+Macroindicadores!C$7),AS225)))))))))</f>
        <v>0.9</v>
      </c>
      <c r="AU225" s="39">
        <f>IF(ISBLANK(S225),"",IF(ISBLANK($O225),AG225,IF($J225="ANUAL",AG225*(1+Macroindicadores!D$7),IF(AND($I225="NOVO",MONTH($O225)=MONTH(AU$4)),AG225*(1+Macroindicadores!D$7),IF(AND($J225="PONTUAL",MONTH($O225)=MONTH(AU$4)),AG225*(1+Macroindicadores!D$7),IF(AND($J225="PONTUAL",MONTH($O225)&lt;MONTH(AU$4)),MIN($AS225:AT225),IF(AND($I225="NOVO",MONTH($O225)&gt;MONTH(AU$4)),AG225,IF(MONTH($O225)&gt;MONTH(AU$4),AG225,IF(MONTH($O225)=MONTH(AU$4),AG225*(1+Macroindicadores!D$7),AT225)))))))))</f>
        <v>0.9</v>
      </c>
      <c r="AV225" s="39">
        <f>IF(ISBLANK(T225),"",IF(ISBLANK($O225),AH225,IF($J225="ANUAL",AH225*(1+Macroindicadores!E$7),IF(AND($I225="NOVO",MONTH($O225)=MONTH(AV$4)),AH225*(1+Macroindicadores!E$7),IF(AND($J225="PONTUAL",MONTH($O225)=MONTH(AV$4)),AH225*(1+Macroindicadores!E$7),IF(AND($J225="PONTUAL",MONTH($O225)&lt;MONTH(AV$4)),MIN($AS225:AU225),IF(AND($I225="NOVO",MONTH($O225)&gt;MONTH(AV$4)),AH225,IF(MONTH($O225)&gt;MONTH(AV$4),AH225,IF(MONTH($O225)=MONTH(AV$4),AH225*(1+Macroindicadores!E$7),AU225)))))))))</f>
        <v>0.9</v>
      </c>
      <c r="AW225" s="39">
        <f>IF(ISBLANK(U225),"",IF(ISBLANK($O225),AI225,IF($J225="ANUAL",AI225*(1+Macroindicadores!F$7),IF(AND($I225="NOVO",MONTH($O225)=MONTH(AW$4)),AI225*(1+Macroindicadores!F$7),IF(AND($J225="PONTUAL",MONTH($O225)=MONTH(AW$4)),AI225*(1+Macroindicadores!F$7),IF(AND($J225="PONTUAL",MONTH($O225)&lt;MONTH(AW$4)),MIN($AS225:AV225),IF(AND($I225="NOVO",MONTH($O225)&gt;MONTH(AW$4)),AI225,IF(MONTH($O225)&gt;MONTH(AW$4),AI225,IF(MONTH($O225)=MONTH(AW$4),AI225*(1+Macroindicadores!F$7),AV225)))))))))</f>
        <v>0.9</v>
      </c>
      <c r="AX225" s="39">
        <f>IF(ISBLANK(V225),"",IF(ISBLANK($O225),AJ225,IF($J225="ANUAL",AJ225*(1+Macroindicadores!G$7),IF(AND($I225="NOVO",MONTH($O225)=MONTH(AX$4)),AJ225*(1+Macroindicadores!G$7),IF(AND($J225="PONTUAL",MONTH($O225)=MONTH(AX$4)),AJ225*(1+Macroindicadores!G$7),IF(AND($J225="PONTUAL",MONTH($O225)&lt;MONTH(AX$4)),MIN($AS225:AW225),IF(AND($I225="NOVO",MONTH($O225)&gt;MONTH(AX$4)),AJ225,IF(MONTH($O225)&gt;MONTH(AX$4),AJ225,IF(MONTH($O225)=MONTH(AX$4),AJ225*(1+Macroindicadores!G$7),AW225)))))))))</f>
        <v>0.9</v>
      </c>
      <c r="AY225" s="39">
        <f>IF(ISBLANK(W225),"",IF(ISBLANK($O225),AK225,IF($J225="ANUAL",AK225*(1+Macroindicadores!H$7),IF(AND($I225="NOVO",MONTH($O225)=MONTH(AY$4)),AK225*(1+Macroindicadores!H$7),IF(AND($J225="PONTUAL",MONTH($O225)=MONTH(AY$4)),AK225*(1+Macroindicadores!H$7),IF(AND($J225="PONTUAL",MONTH($O225)&lt;MONTH(AY$4)),MIN($AS225:AX225),IF(AND($I225="NOVO",MONTH($O225)&gt;MONTH(AY$4)),AK225,IF(MONTH($O225)&gt;MONTH(AY$4),AK225,IF(MONTH($O225)=MONTH(AY$4),AK225*(1+Macroindicadores!H$7),AX225)))))))))</f>
        <v>0.9</v>
      </c>
      <c r="AZ225" s="39">
        <f>IF(ISBLANK(X225),"",IF(ISBLANK($O225),AL225,IF($J225="ANUAL",AL225*(1+Macroindicadores!I$7),IF(AND($I225="NOVO",MONTH($O225)=MONTH(AZ$4)),AL225*(1+Macroindicadores!I$7),IF(AND($J225="PONTUAL",MONTH($O225)=MONTH(AZ$4)),AL225*(1+Macroindicadores!I$7),IF(AND($J225="PONTUAL",MONTH($O225)&lt;MONTH(AZ$4)),MIN($AS225:AY225),IF(AND($I225="NOVO",MONTH($O225)&gt;MONTH(AZ$4)),AL225,IF(MONTH($O225)&gt;MONTH(AZ$4),AL225,IF(MONTH($O225)=MONTH(AZ$4),AL225*(1+Macroindicadores!I$7),AY225)))))))))</f>
        <v>0.9</v>
      </c>
      <c r="BA225" s="39">
        <f>IF(ISBLANK(Y225),"",IF(ISBLANK($O225),AM225,IF($J225="ANUAL",AM225*(1+Macroindicadores!J$7),IF(AND($I225="NOVO",MONTH($O225)=MONTH(BA$4)),AM225*(1+Macroindicadores!J$7),IF(AND($J225="PONTUAL",MONTH($O225)=MONTH(BA$4)),AM225*(1+Macroindicadores!J$7),IF(AND($J225="PONTUAL",MONTH($O225)&lt;MONTH(BA$4)),MIN($AS225:AZ225),IF(AND($I225="NOVO",MONTH($O225)&gt;MONTH(BA$4)),AM225,IF(MONTH($O225)&gt;MONTH(BA$4),AM225,IF(MONTH($O225)=MONTH(BA$4),AM225*(1+Macroindicadores!J$7),AZ225)))))))))</f>
        <v>0.9</v>
      </c>
      <c r="BB225" s="39">
        <f>IF(ISBLANK(Z225),"",IF(ISBLANK($O225),AN225,IF($J225="ANUAL",AN225*(1+Macroindicadores!K$7),IF(AND($I225="NOVO",MONTH($O225)=MONTH(BB$4)),AN225*(1+Macroindicadores!K$7),IF(AND($J225="PONTUAL",MONTH($O225)=MONTH(BB$4)),AN225*(1+Macroindicadores!K$7),IF(AND($J225="PONTUAL",MONTH($O225)&lt;MONTH(BB$4)),MIN($AS225:BA225),IF(AND($I225="NOVO",MONTH($O225)&gt;MONTH(BB$4)),AN225,IF(MONTH($O225)&gt;MONTH(BB$4),AN225,IF(MONTH($O225)=MONTH(BB$4),AN225*(1+Macroindicadores!K$7),BA225)))))))))</f>
        <v>0.9</v>
      </c>
      <c r="BC225" s="39">
        <f>IF(ISBLANK(AA225),"",IF(ISBLANK($O225),AO225,IF($J225="ANUAL",AO225*(1+Macroindicadores!L$7),IF(AND($I225="NOVO",MONTH($O225)=MONTH(BC$4)),AO225*(1+Macroindicadores!L$7),IF(AND($J225="PONTUAL",MONTH($O225)=MONTH(BC$4)),AO225*(1+Macroindicadores!L$7),IF(AND($J225="PONTUAL",MONTH($O225)&lt;MONTH(BC$4)),MIN($AS225:BB225),IF(AND($I225="NOVO",MONTH($O225)&gt;MONTH(BC$4)),AO225,IF(MONTH($O225)&gt;MONTH(BC$4),AO225,IF(MONTH($O225)=MONTH(BC$4),AO225*(1+Macroindicadores!L$7),BB225)))))))))</f>
        <v>0.9</v>
      </c>
      <c r="BD225" s="39">
        <f>IF(ISBLANK(AB225),"",IF(ISBLANK($O225),AP225,IF($J225="ANUAL",AP225*(1+Macroindicadores!M$7),IF(AND($I225="NOVO",MONTH($O225)=MONTH(BD$4)),AP225*(1+Macroindicadores!M$7),IF(AND($J225="PONTUAL",MONTH($O225)=MONTH(BD$4)),AP225*(1+Macroindicadores!M$7),IF(AND($J225="PONTUAL",MONTH($O225)&lt;MONTH(BD$4)),MIN($AS225:BC225),IF(AND($I225="NOVO",MONTH($O225)&gt;MONTH(BD$4)),AP225,IF(MONTH($O225)&gt;MONTH(BD$4),AP225,IF(MONTH($O225)=MONTH(BD$4),AP225*(1+Macroindicadores!M$7),BC225)))))))))</f>
        <v>0.9</v>
      </c>
      <c r="BE225" s="40">
        <f t="shared" si="101"/>
        <v>10.800000000000002</v>
      </c>
      <c r="BG225" s="39">
        <f>IF(ISBLANK(Q225),"",AS225/Macroindicadores!B$2)</f>
        <v>0.15306122448979592</v>
      </c>
      <c r="BH225" s="39">
        <f>IF(ISBLANK(R225),"",AT225/Macroindicadores!C$2)</f>
        <v>0.15306122448979592</v>
      </c>
      <c r="BI225" s="39">
        <f>IF(ISBLANK(S225),"",AU225/Macroindicadores!D$2)</f>
        <v>0.15306122448979592</v>
      </c>
      <c r="BJ225" s="39">
        <f>IF(ISBLANK(T225),"",AV225/Macroindicadores!E$2)</f>
        <v>0.15306122448979592</v>
      </c>
      <c r="BK225" s="39">
        <f>IF(ISBLANK(U225),"",AW225/Macroindicadores!F$2)</f>
        <v>0.15306122448979592</v>
      </c>
      <c r="BL225" s="39">
        <f>IF(ISBLANK(V225),"",AX225/Macroindicadores!G$2)</f>
        <v>0.15306122448979592</v>
      </c>
      <c r="BM225" s="39">
        <f>IF(ISBLANK(W225),"",AY225/Macroindicadores!H$2)</f>
        <v>0.15306122448979592</v>
      </c>
      <c r="BN225" s="39">
        <f>IF(ISBLANK(X225),"",AZ225/Macroindicadores!I$2)</f>
        <v>0.15306122448979592</v>
      </c>
      <c r="BO225" s="39">
        <f>IF(ISBLANK(Y225),"",BA225/Macroindicadores!J$2)</f>
        <v>0.15306122448979592</v>
      </c>
      <c r="BP225" s="39">
        <f>IF(ISBLANK(Z225),"",BB225/Macroindicadores!K$2)</f>
        <v>0.15306122448979592</v>
      </c>
      <c r="BQ225" s="39">
        <f>IF(ISBLANK(AA225),"",BC225/Macroindicadores!L$2)</f>
        <v>0.15306122448979592</v>
      </c>
      <c r="BR225" s="39">
        <f>IF(ISBLANK(AB225),"",BD225/Macroindicadores!M$2)</f>
        <v>0.15306122448979592</v>
      </c>
      <c r="BS225" s="40">
        <f>IF(AND(ISBLANK($Q225),ISBLANK($R225),ISBLANK($S225),ISBLANK($T225),ISBLANK($U225),ISBLANK($V225),ISBLANK($W225),ISBLANK($X225),ISBLANK($Y225),ISBLANK($Z225),ISBLANK($AA225),ISBLANK($AB225)),"",SUM(BG225:BR225))</f>
        <v>1.8367346938775515</v>
      </c>
      <c r="BT225" s="25" t="str">
        <f>IF(ISBLANK($L225),"",_xlfn.XLOOKUP($L225,'CENTRO CUSTO'!$A:$A,'CENTRO CUSTO'!$E:$E,FALSE,0))</f>
        <v>Custo Fixo</v>
      </c>
    </row>
    <row r="226" spans="1:72">
      <c r="A226" s="9" t="str">
        <f t="shared" si="80"/>
        <v>Budget</v>
      </c>
      <c r="B226" s="9">
        <f t="shared" si="77"/>
        <v>2026</v>
      </c>
      <c r="C226" s="18" t="str">
        <f>IF(ISBLANK($L226),"",_xlfn.XLOOKUP($L226,'CENTRO CUSTO'!$A:$A,'CENTRO CUSTO'!F:F,FALSE,0))</f>
        <v>SKM</v>
      </c>
      <c r="D226" s="111" t="str">
        <f>IF(ISBLANK($L226),"",_xlfn.XLOOKUP($L226,'CENTRO CUSTO'!$A:$A,'CENTRO CUSTO'!G:G,FALSE,0))</f>
        <v>G100B</v>
      </c>
      <c r="E226" s="18" t="str">
        <f>IF(ISBLANK($L226),"",_xlfn.XLOOKUP($L226,'CENTRO CUSTO'!$A:$A,'CENTRO CUSTO'!H:H,FALSE,0))</f>
        <v>Frigorífico</v>
      </c>
      <c r="F226" s="10" t="s">
        <v>221</v>
      </c>
      <c r="G226" s="10" t="s">
        <v>123</v>
      </c>
      <c r="H226" s="10" t="s">
        <v>222</v>
      </c>
      <c r="I226" s="11" t="s">
        <v>84</v>
      </c>
      <c r="J226" s="11" t="s">
        <v>78</v>
      </c>
      <c r="K226" s="11" t="s">
        <v>121</v>
      </c>
      <c r="L226" s="11" t="s">
        <v>48</v>
      </c>
      <c r="M226" s="18" t="str">
        <f>IF(ISBLANK($L226),"",_xlfn.XLOOKUP($L226,'CENTRO CUSTO'!$A:$A,'CENTRO CUSTO'!D:D,FALSE,0))</f>
        <v>Alexandre Ayabe</v>
      </c>
      <c r="N226" s="11" t="s">
        <v>91</v>
      </c>
      <c r="O226" s="12"/>
      <c r="P226" s="11" t="s">
        <v>81</v>
      </c>
      <c r="Q226" s="41">
        <f>60000*Rateio!$E$205/12</f>
        <v>1100</v>
      </c>
      <c r="R226" s="41">
        <f>60000*Rateio!$E$205/12</f>
        <v>1100</v>
      </c>
      <c r="S226" s="41">
        <f>60000*Rateio!$E$205/12</f>
        <v>1100</v>
      </c>
      <c r="T226" s="41">
        <f>60000*Rateio!$E$205/12</f>
        <v>1100</v>
      </c>
      <c r="U226" s="41">
        <f>60000*Rateio!$E$205/12</f>
        <v>1100</v>
      </c>
      <c r="V226" s="41">
        <f>60000*Rateio!$E$205/12</f>
        <v>1100</v>
      </c>
      <c r="W226" s="41">
        <f>60000*Rateio!$E$205/12</f>
        <v>1100</v>
      </c>
      <c r="X226" s="41">
        <f>60000*Rateio!$E$205/12</f>
        <v>1100</v>
      </c>
      <c r="Y226" s="41">
        <f>60000*Rateio!$E$205/12</f>
        <v>1100</v>
      </c>
      <c r="Z226" s="41">
        <f>60000*Rateio!$E$205/12</f>
        <v>1100</v>
      </c>
      <c r="AA226" s="41">
        <f>60000*Rateio!$E$205/12</f>
        <v>1100</v>
      </c>
      <c r="AB226" s="41">
        <f>60000*Rateio!$E$205/12</f>
        <v>1100</v>
      </c>
      <c r="AC226" s="116">
        <f t="shared" si="99"/>
        <v>13200</v>
      </c>
      <c r="AE226" s="39">
        <f>IF(ISBLANK(Q226),"",IF($P226="BRL",Q226,Q226*Macroindicadores!B$2)/1000)</f>
        <v>1.1000000000000001</v>
      </c>
      <c r="AF226" s="39">
        <f>IF(ISBLANK(R226),"",IF($P226="BRL",R226,R226*Macroindicadores!C$2)/1000)</f>
        <v>1.1000000000000001</v>
      </c>
      <c r="AG226" s="39">
        <f>IF(ISBLANK(S226),"",IF($P226="BRL",S226,S226*Macroindicadores!D$2)/1000)</f>
        <v>1.1000000000000001</v>
      </c>
      <c r="AH226" s="39">
        <f>IF(ISBLANK(T226),"",IF($P226="BRL",T226,T226*Macroindicadores!E$2)/1000)</f>
        <v>1.1000000000000001</v>
      </c>
      <c r="AI226" s="39">
        <f>IF(ISBLANK(U226),"",IF($P226="BRL",U226,U226*Macroindicadores!F$2)/1000)</f>
        <v>1.1000000000000001</v>
      </c>
      <c r="AJ226" s="39">
        <f>IF(ISBLANK(V226),"",IF($P226="BRL",V226,V226*Macroindicadores!G$2)/1000)</f>
        <v>1.1000000000000001</v>
      </c>
      <c r="AK226" s="39">
        <f>IF(ISBLANK(W226),"",IF($P226="BRL",W226,W226*Macroindicadores!H$2)/1000)</f>
        <v>1.1000000000000001</v>
      </c>
      <c r="AL226" s="39">
        <f>IF(ISBLANK(X226),"",IF($P226="BRL",X226,X226*Macroindicadores!I$2)/1000)</f>
        <v>1.1000000000000001</v>
      </c>
      <c r="AM226" s="39">
        <f>IF(ISBLANK(Y226),"",IF($P226="BRL",Y226,Y226*Macroindicadores!J$2)/1000)</f>
        <v>1.1000000000000001</v>
      </c>
      <c r="AN226" s="39">
        <f>IF(ISBLANK(Z226),"",IF($P226="BRL",Z226,Z226*Macroindicadores!K$2)/1000)</f>
        <v>1.1000000000000001</v>
      </c>
      <c r="AO226" s="39">
        <f>IF(ISBLANK(AA226),"",IF($P226="BRL",AA226,AA226*Macroindicadores!L$2)/1000)</f>
        <v>1.1000000000000001</v>
      </c>
      <c r="AP226" s="39">
        <f>IF(ISBLANK(AB226),"",IF($P226="BRL",AB226,AB226*Macroindicadores!M$2)/1000)</f>
        <v>1.1000000000000001</v>
      </c>
      <c r="AQ226" s="40">
        <f t="shared" si="100"/>
        <v>13.199999999999998</v>
      </c>
      <c r="AS226" s="39">
        <f>IF(ISBLANK(Q226),"",IF(ISBLANK($O226),AE226,IF($J226="ANUAL",AE226*(1+Macroindicadores!B$7),IF(AND($I226="NOVO",MONTH($O226)=MONTH(AS$4)),AE226*(1+Macroindicadores!B$7),IF(AND($J226="PONTUAL",MONTH($O226)=MONTH(AS$4)),AE226*(1+Macroindicadores!B$7),IF(AND($J226="PONTUAL",MONTH($O226)&lt;MONTH(AS$4)),MIN(AR226:$AS226),IF(AND($I226="NOVO",MONTH($O226)&gt;MONTH(AS$4)),AE226,IF(MONTH($O226)&gt;MONTH(AS$4),AE226,IF(MONTH($O226)=MONTH(AS$4),AE226*(1+Macroindicadores!B$7),AR226)))))))))</f>
        <v>1.1000000000000001</v>
      </c>
      <c r="AT226" s="39">
        <f>IF(ISBLANK(R226),"",IF(ISBLANK($O226),AF226,IF($J226="ANUAL",AF226*(1+Macroindicadores!C$7),IF(AND($I226="NOVO",MONTH($O226)=MONTH(AT$4)),AF226*(1+Macroindicadores!C$7),IF(AND($J226="PONTUAL",MONTH($O226)=MONTH(AT$4)),AF226*(1+Macroindicadores!C$7),IF(AND($J226="PONTUAL",MONTH($O226)&lt;MONTH(AT$4)),MIN($AS226:AS226),IF(AND($I226="NOVO",MONTH($O226)&gt;MONTH(AT$4)),AF226,IF(MONTH($O226)&gt;MONTH(AT$4),AF226,IF(MONTH($O226)=MONTH(AT$4),AF226*(1+Macroindicadores!C$7),AS226)))))))))</f>
        <v>1.1000000000000001</v>
      </c>
      <c r="AU226" s="39">
        <f>IF(ISBLANK(S226),"",IF(ISBLANK($O226),AG226,IF($J226="ANUAL",AG226*(1+Macroindicadores!D$7),IF(AND($I226="NOVO",MONTH($O226)=MONTH(AU$4)),AG226*(1+Macroindicadores!D$7),IF(AND($J226="PONTUAL",MONTH($O226)=MONTH(AU$4)),AG226*(1+Macroindicadores!D$7),IF(AND($J226="PONTUAL",MONTH($O226)&lt;MONTH(AU$4)),MIN($AS226:AT226),IF(AND($I226="NOVO",MONTH($O226)&gt;MONTH(AU$4)),AG226,IF(MONTH($O226)&gt;MONTH(AU$4),AG226,IF(MONTH($O226)=MONTH(AU$4),AG226*(1+Macroindicadores!D$7),AT226)))))))))</f>
        <v>1.1000000000000001</v>
      </c>
      <c r="AV226" s="39">
        <f>IF(ISBLANK(T226),"",IF(ISBLANK($O226),AH226,IF($J226="ANUAL",AH226*(1+Macroindicadores!E$7),IF(AND($I226="NOVO",MONTH($O226)=MONTH(AV$4)),AH226*(1+Macroindicadores!E$7),IF(AND($J226="PONTUAL",MONTH($O226)=MONTH(AV$4)),AH226*(1+Macroindicadores!E$7),IF(AND($J226="PONTUAL",MONTH($O226)&lt;MONTH(AV$4)),MIN($AS226:AU226),IF(AND($I226="NOVO",MONTH($O226)&gt;MONTH(AV$4)),AH226,IF(MONTH($O226)&gt;MONTH(AV$4),AH226,IF(MONTH($O226)=MONTH(AV$4),AH226*(1+Macroindicadores!E$7),AU226)))))))))</f>
        <v>1.1000000000000001</v>
      </c>
      <c r="AW226" s="39">
        <f>IF(ISBLANK(U226),"",IF(ISBLANK($O226),AI226,IF($J226="ANUAL",AI226*(1+Macroindicadores!F$7),IF(AND($I226="NOVO",MONTH($O226)=MONTH(AW$4)),AI226*(1+Macroindicadores!F$7),IF(AND($J226="PONTUAL",MONTH($O226)=MONTH(AW$4)),AI226*(1+Macroindicadores!F$7),IF(AND($J226="PONTUAL",MONTH($O226)&lt;MONTH(AW$4)),MIN($AS226:AV226),IF(AND($I226="NOVO",MONTH($O226)&gt;MONTH(AW$4)),AI226,IF(MONTH($O226)&gt;MONTH(AW$4),AI226,IF(MONTH($O226)=MONTH(AW$4),AI226*(1+Macroindicadores!F$7),AV226)))))))))</f>
        <v>1.1000000000000001</v>
      </c>
      <c r="AX226" s="39">
        <f>IF(ISBLANK(V226),"",IF(ISBLANK($O226),AJ226,IF($J226="ANUAL",AJ226*(1+Macroindicadores!G$7),IF(AND($I226="NOVO",MONTH($O226)=MONTH(AX$4)),AJ226*(1+Macroindicadores!G$7),IF(AND($J226="PONTUAL",MONTH($O226)=MONTH(AX$4)),AJ226*(1+Macroindicadores!G$7),IF(AND($J226="PONTUAL",MONTH($O226)&lt;MONTH(AX$4)),MIN($AS226:AW226),IF(AND($I226="NOVO",MONTH($O226)&gt;MONTH(AX$4)),AJ226,IF(MONTH($O226)&gt;MONTH(AX$4),AJ226,IF(MONTH($O226)=MONTH(AX$4),AJ226*(1+Macroindicadores!G$7),AW226)))))))))</f>
        <v>1.1000000000000001</v>
      </c>
      <c r="AY226" s="39">
        <f>IF(ISBLANK(W226),"",IF(ISBLANK($O226),AK226,IF($J226="ANUAL",AK226*(1+Macroindicadores!H$7),IF(AND($I226="NOVO",MONTH($O226)=MONTH(AY$4)),AK226*(1+Macroindicadores!H$7),IF(AND($J226="PONTUAL",MONTH($O226)=MONTH(AY$4)),AK226*(1+Macroindicadores!H$7),IF(AND($J226="PONTUAL",MONTH($O226)&lt;MONTH(AY$4)),MIN($AS226:AX226),IF(AND($I226="NOVO",MONTH($O226)&gt;MONTH(AY$4)),AK226,IF(MONTH($O226)&gt;MONTH(AY$4),AK226,IF(MONTH($O226)=MONTH(AY$4),AK226*(1+Macroindicadores!H$7),AX226)))))))))</f>
        <v>1.1000000000000001</v>
      </c>
      <c r="AZ226" s="39">
        <f>IF(ISBLANK(X226),"",IF(ISBLANK($O226),AL226,IF($J226="ANUAL",AL226*(1+Macroindicadores!I$7),IF(AND($I226="NOVO",MONTH($O226)=MONTH(AZ$4)),AL226*(1+Macroindicadores!I$7),IF(AND($J226="PONTUAL",MONTH($O226)=MONTH(AZ$4)),AL226*(1+Macroindicadores!I$7),IF(AND($J226="PONTUAL",MONTH($O226)&lt;MONTH(AZ$4)),MIN($AS226:AY226),IF(AND($I226="NOVO",MONTH($O226)&gt;MONTH(AZ$4)),AL226,IF(MONTH($O226)&gt;MONTH(AZ$4),AL226,IF(MONTH($O226)=MONTH(AZ$4),AL226*(1+Macroindicadores!I$7),AY226)))))))))</f>
        <v>1.1000000000000001</v>
      </c>
      <c r="BA226" s="39">
        <f>IF(ISBLANK(Y226),"",IF(ISBLANK($O226),AM226,IF($J226="ANUAL",AM226*(1+Macroindicadores!J$7),IF(AND($I226="NOVO",MONTH($O226)=MONTH(BA$4)),AM226*(1+Macroindicadores!J$7),IF(AND($J226="PONTUAL",MONTH($O226)=MONTH(BA$4)),AM226*(1+Macroindicadores!J$7),IF(AND($J226="PONTUAL",MONTH($O226)&lt;MONTH(BA$4)),MIN($AS226:AZ226),IF(AND($I226="NOVO",MONTH($O226)&gt;MONTH(BA$4)),AM226,IF(MONTH($O226)&gt;MONTH(BA$4),AM226,IF(MONTH($O226)=MONTH(BA$4),AM226*(1+Macroindicadores!J$7),AZ226)))))))))</f>
        <v>1.1000000000000001</v>
      </c>
      <c r="BB226" s="39">
        <f>IF(ISBLANK(Z226),"",IF(ISBLANK($O226),AN226,IF($J226="ANUAL",AN226*(1+Macroindicadores!K$7),IF(AND($I226="NOVO",MONTH($O226)=MONTH(BB$4)),AN226*(1+Macroindicadores!K$7),IF(AND($J226="PONTUAL",MONTH($O226)=MONTH(BB$4)),AN226*(1+Macroindicadores!K$7),IF(AND($J226="PONTUAL",MONTH($O226)&lt;MONTH(BB$4)),MIN($AS226:BA226),IF(AND($I226="NOVO",MONTH($O226)&gt;MONTH(BB$4)),AN226,IF(MONTH($O226)&gt;MONTH(BB$4),AN226,IF(MONTH($O226)=MONTH(BB$4),AN226*(1+Macroindicadores!K$7),BA226)))))))))</f>
        <v>1.1000000000000001</v>
      </c>
      <c r="BC226" s="39">
        <f>IF(ISBLANK(AA226),"",IF(ISBLANK($O226),AO226,IF($J226="ANUAL",AO226*(1+Macroindicadores!L$7),IF(AND($I226="NOVO",MONTH($O226)=MONTH(BC$4)),AO226*(1+Macroindicadores!L$7),IF(AND($J226="PONTUAL",MONTH($O226)=MONTH(BC$4)),AO226*(1+Macroindicadores!L$7),IF(AND($J226="PONTUAL",MONTH($O226)&lt;MONTH(BC$4)),MIN($AS226:BB226),IF(AND($I226="NOVO",MONTH($O226)&gt;MONTH(BC$4)),AO226,IF(MONTH($O226)&gt;MONTH(BC$4),AO226,IF(MONTH($O226)=MONTH(BC$4),AO226*(1+Macroindicadores!L$7),BB226)))))))))</f>
        <v>1.1000000000000001</v>
      </c>
      <c r="BD226" s="39">
        <f>IF(ISBLANK(AB226),"",IF(ISBLANK($O226),AP226,IF($J226="ANUAL",AP226*(1+Macroindicadores!M$7),IF(AND($I226="NOVO",MONTH($O226)=MONTH(BD$4)),AP226*(1+Macroindicadores!M$7),IF(AND($J226="PONTUAL",MONTH($O226)=MONTH(BD$4)),AP226*(1+Macroindicadores!M$7),IF(AND($J226="PONTUAL",MONTH($O226)&lt;MONTH(BD$4)),MIN($AS226:BC226),IF(AND($I226="NOVO",MONTH($O226)&gt;MONTH(BD$4)),AP226,IF(MONTH($O226)&gt;MONTH(BD$4),AP226,IF(MONTH($O226)=MONTH(BD$4),AP226*(1+Macroindicadores!M$7),BC226)))))))))</f>
        <v>1.1000000000000001</v>
      </c>
      <c r="BE226" s="40">
        <f t="shared" si="101"/>
        <v>13.199999999999998</v>
      </c>
      <c r="BG226" s="39">
        <f>IF(ISBLANK(Q226),"",AS226/Macroindicadores!B$2)</f>
        <v>0.1870748299319728</v>
      </c>
      <c r="BH226" s="39">
        <f>IF(ISBLANK(R226),"",AT226/Macroindicadores!C$2)</f>
        <v>0.1870748299319728</v>
      </c>
      <c r="BI226" s="39">
        <f>IF(ISBLANK(S226),"",AU226/Macroindicadores!D$2)</f>
        <v>0.1870748299319728</v>
      </c>
      <c r="BJ226" s="39">
        <f>IF(ISBLANK(T226),"",AV226/Macroindicadores!E$2)</f>
        <v>0.1870748299319728</v>
      </c>
      <c r="BK226" s="39">
        <f>IF(ISBLANK(U226),"",AW226/Macroindicadores!F$2)</f>
        <v>0.1870748299319728</v>
      </c>
      <c r="BL226" s="39">
        <f>IF(ISBLANK(V226),"",AX226/Macroindicadores!G$2)</f>
        <v>0.1870748299319728</v>
      </c>
      <c r="BM226" s="39">
        <f>IF(ISBLANK(W226),"",AY226/Macroindicadores!H$2)</f>
        <v>0.1870748299319728</v>
      </c>
      <c r="BN226" s="39">
        <f>IF(ISBLANK(X226),"",AZ226/Macroindicadores!I$2)</f>
        <v>0.1870748299319728</v>
      </c>
      <c r="BO226" s="39">
        <f>IF(ISBLANK(Y226),"",BA226/Macroindicadores!J$2)</f>
        <v>0.1870748299319728</v>
      </c>
      <c r="BP226" s="39">
        <f>IF(ISBLANK(Z226),"",BB226/Macroindicadores!K$2)</f>
        <v>0.1870748299319728</v>
      </c>
      <c r="BQ226" s="39">
        <f>IF(ISBLANK(AA226),"",BC226/Macroindicadores!L$2)</f>
        <v>0.1870748299319728</v>
      </c>
      <c r="BR226" s="39">
        <f>IF(ISBLANK(AB226),"",BD226/Macroindicadores!M$2)</f>
        <v>0.1870748299319728</v>
      </c>
      <c r="BS226" s="40">
        <f>IF(AND(ISBLANK($Q226),ISBLANK($R226),ISBLANK($S226),ISBLANK($T226),ISBLANK($U226),ISBLANK($V226),ISBLANK($W226),ISBLANK($X226),ISBLANK($Y226),ISBLANK($Z226),ISBLANK($AA226),ISBLANK($AB226)),"",SUM(BG226:BR226))</f>
        <v>2.2448979591836742</v>
      </c>
      <c r="BT226" s="25" t="str">
        <f>IF(ISBLANK($L226),"",_xlfn.XLOOKUP($L226,'CENTRO CUSTO'!$A:$A,'CENTRO CUSTO'!$E:$E,FALSE,0))</f>
        <v>Custo Fixo</v>
      </c>
    </row>
    <row r="227" spans="1:72">
      <c r="A227" s="9" t="str">
        <f t="shared" si="80"/>
        <v>Budget</v>
      </c>
      <c r="B227" s="9">
        <f t="shared" si="77"/>
        <v>2026</v>
      </c>
      <c r="C227" s="18" t="str">
        <f>IF(ISBLANK($L227),"",_xlfn.XLOOKUP($L227,'CENTRO CUSTO'!$A:$A,'CENTRO CUSTO'!F:F,FALSE,0))</f>
        <v>Transporte</v>
      </c>
      <c r="D227" s="111" t="str">
        <f>IF(ISBLANK($L227),"",_xlfn.XLOOKUP($L227,'CENTRO CUSTO'!$A:$A,'CENTRO CUSTO'!G:G,FALSE,0))</f>
        <v>BU-TR</v>
      </c>
      <c r="E227" s="18" t="str">
        <f>IF(ISBLANK($L227),"",_xlfn.XLOOKUP($L227,'CENTRO CUSTO'!$A:$A,'CENTRO CUSTO'!H:H,FALSE,0))</f>
        <v>G&amp;A</v>
      </c>
      <c r="F227" s="10" t="s">
        <v>223</v>
      </c>
      <c r="G227" s="10" t="s">
        <v>224</v>
      </c>
      <c r="H227" s="10" t="s">
        <v>225</v>
      </c>
      <c r="I227" s="11" t="s">
        <v>84</v>
      </c>
      <c r="J227" s="11" t="s">
        <v>78</v>
      </c>
      <c r="K227" s="11" t="s">
        <v>121</v>
      </c>
      <c r="L227" s="11" t="s">
        <v>38</v>
      </c>
      <c r="M227" s="18" t="str">
        <f>IF(ISBLANK($L227),"",_xlfn.XLOOKUP($L227,'CENTRO CUSTO'!$A:$A,'CENTRO CUSTO'!D:D,FALSE,0))</f>
        <v>Alexandre Ayabe</v>
      </c>
      <c r="N227" s="11" t="s">
        <v>91</v>
      </c>
      <c r="O227" s="12"/>
      <c r="P227" s="11" t="s">
        <v>88</v>
      </c>
      <c r="Q227" s="41">
        <f>12000*Rateio!$E$393/12</f>
        <v>0</v>
      </c>
      <c r="R227" s="41">
        <f>12000*Rateio!$E$393/12</f>
        <v>0</v>
      </c>
      <c r="S227" s="41">
        <f>12000*Rateio!$E$393/12</f>
        <v>0</v>
      </c>
      <c r="T227" s="41">
        <f>12000*Rateio!$E$393/12</f>
        <v>0</v>
      </c>
      <c r="U227" s="41">
        <f>12000*Rateio!$E$393/12</f>
        <v>0</v>
      </c>
      <c r="V227" s="41">
        <f>12000*Rateio!$E$393/12</f>
        <v>0</v>
      </c>
      <c r="W227" s="41">
        <f>12000*Rateio!$E$393/12</f>
        <v>0</v>
      </c>
      <c r="X227" s="41">
        <f>12000*Rateio!$E$393/12</f>
        <v>0</v>
      </c>
      <c r="Y227" s="41">
        <f>12000*Rateio!$E$393/12</f>
        <v>0</v>
      </c>
      <c r="Z227" s="41">
        <f>12000*Rateio!$E$393/12</f>
        <v>0</v>
      </c>
      <c r="AA227" s="41">
        <f>12000*Rateio!$E$393/12</f>
        <v>0</v>
      </c>
      <c r="AB227" s="41">
        <f>12000*Rateio!$E$393/12</f>
        <v>0</v>
      </c>
      <c r="AC227" s="116">
        <f t="shared" si="99"/>
        <v>0</v>
      </c>
      <c r="AE227" s="39">
        <f>IF(ISBLANK(Q227),"",IF($P227="BRL",Q227,Q227*Macroindicadores!B$2)/1000)</f>
        <v>0</v>
      </c>
      <c r="AF227" s="39">
        <f>IF(ISBLANK(R227),"",IF($P227="BRL",R227,R227*Macroindicadores!C$2)/1000)</f>
        <v>0</v>
      </c>
      <c r="AG227" s="39">
        <f>IF(ISBLANK(S227),"",IF($P227="BRL",S227,S227*Macroindicadores!D$2)/1000)</f>
        <v>0</v>
      </c>
      <c r="AH227" s="39">
        <f>IF(ISBLANK(T227),"",IF($P227="BRL",T227,T227*Macroindicadores!E$2)/1000)</f>
        <v>0</v>
      </c>
      <c r="AI227" s="39">
        <f>IF(ISBLANK(U227),"",IF($P227="BRL",U227,U227*Macroindicadores!F$2)/1000)</f>
        <v>0</v>
      </c>
      <c r="AJ227" s="39">
        <f>IF(ISBLANK(V227),"",IF($P227="BRL",V227,V227*Macroindicadores!G$2)/1000)</f>
        <v>0</v>
      </c>
      <c r="AK227" s="39">
        <f>IF(ISBLANK(W227),"",IF($P227="BRL",W227,W227*Macroindicadores!H$2)/1000)</f>
        <v>0</v>
      </c>
      <c r="AL227" s="39">
        <f>IF(ISBLANK(X227),"",IF($P227="BRL",X227,X227*Macroindicadores!I$2)/1000)</f>
        <v>0</v>
      </c>
      <c r="AM227" s="39">
        <f>IF(ISBLANK(Y227),"",IF($P227="BRL",Y227,Y227*Macroindicadores!J$2)/1000)</f>
        <v>0</v>
      </c>
      <c r="AN227" s="39">
        <f>IF(ISBLANK(Z227),"",IF($P227="BRL",Z227,Z227*Macroindicadores!K$2)/1000)</f>
        <v>0</v>
      </c>
      <c r="AO227" s="39">
        <f>IF(ISBLANK(AA227),"",IF($P227="BRL",AA227,AA227*Macroindicadores!L$2)/1000)</f>
        <v>0</v>
      </c>
      <c r="AP227" s="39">
        <f>IF(ISBLANK(AB227),"",IF($P227="BRL",AB227,AB227*Macroindicadores!M$2)/1000)</f>
        <v>0</v>
      </c>
      <c r="AQ227" s="40">
        <f t="shared" si="100"/>
        <v>0</v>
      </c>
      <c r="AS227" s="39">
        <f>IF(ISBLANK(Q227),"",IF(ISBLANK($O227),AE227,IF($J227="ANUAL",AE227*(1+Macroindicadores!B$7),IF(AND($I227="NOVO",MONTH($O227)=MONTH(AS$4)),AE227*(1+Macroindicadores!B$7),IF(AND($J227="PONTUAL",MONTH($O227)=MONTH(AS$4)),AE227*(1+Macroindicadores!B$7),IF(AND($J227="PONTUAL",MONTH($O227)&lt;MONTH(AS$4)),MIN(AR227:$AS227),IF(AND($I227="NOVO",MONTH($O227)&gt;MONTH(AS$4)),AE227,IF(MONTH($O227)&gt;MONTH(AS$4),AE227,IF(MONTH($O227)=MONTH(AS$4),AE227*(1+Macroindicadores!B$7),AR227)))))))))</f>
        <v>0</v>
      </c>
      <c r="AT227" s="39">
        <f>IF(ISBLANK(R227),"",IF(ISBLANK($O227),AF227,IF($J227="ANUAL",AF227*(1+Macroindicadores!C$7),IF(AND($I227="NOVO",MONTH($O227)=MONTH(AT$4)),AF227*(1+Macroindicadores!C$7),IF(AND($J227="PONTUAL",MONTH($O227)=MONTH(AT$4)),AF227*(1+Macroindicadores!C$7),IF(AND($J227="PONTUAL",MONTH($O227)&lt;MONTH(AT$4)),MIN($AS227:AS227),IF(AND($I227="NOVO",MONTH($O227)&gt;MONTH(AT$4)),AF227,IF(MONTH($O227)&gt;MONTH(AT$4),AF227,IF(MONTH($O227)=MONTH(AT$4),AF227*(1+Macroindicadores!C$7),AS227)))))))))</f>
        <v>0</v>
      </c>
      <c r="AU227" s="39">
        <f>IF(ISBLANK(S227),"",IF(ISBLANK($O227),AG227,IF($J227="ANUAL",AG227*(1+Macroindicadores!D$7),IF(AND($I227="NOVO",MONTH($O227)=MONTH(AU$4)),AG227*(1+Macroindicadores!D$7),IF(AND($J227="PONTUAL",MONTH($O227)=MONTH(AU$4)),AG227*(1+Macroindicadores!D$7),IF(AND($J227="PONTUAL",MONTH($O227)&lt;MONTH(AU$4)),MIN($AS227:AT227),IF(AND($I227="NOVO",MONTH($O227)&gt;MONTH(AU$4)),AG227,IF(MONTH($O227)&gt;MONTH(AU$4),AG227,IF(MONTH($O227)=MONTH(AU$4),AG227*(1+Macroindicadores!D$7),AT227)))))))))</f>
        <v>0</v>
      </c>
      <c r="AV227" s="39">
        <f>IF(ISBLANK(T227),"",IF(ISBLANK($O227),AH227,IF($J227="ANUAL",AH227*(1+Macroindicadores!E$7),IF(AND($I227="NOVO",MONTH($O227)=MONTH(AV$4)),AH227*(1+Macroindicadores!E$7),IF(AND($J227="PONTUAL",MONTH($O227)=MONTH(AV$4)),AH227*(1+Macroindicadores!E$7),IF(AND($J227="PONTUAL",MONTH($O227)&lt;MONTH(AV$4)),MIN($AS227:AU227),IF(AND($I227="NOVO",MONTH($O227)&gt;MONTH(AV$4)),AH227,IF(MONTH($O227)&gt;MONTH(AV$4),AH227,IF(MONTH($O227)=MONTH(AV$4),AH227*(1+Macroindicadores!E$7),AU227)))))))))</f>
        <v>0</v>
      </c>
      <c r="AW227" s="39">
        <f>IF(ISBLANK(U227),"",IF(ISBLANK($O227),AI227,IF($J227="ANUAL",AI227*(1+Macroindicadores!F$7),IF(AND($I227="NOVO",MONTH($O227)=MONTH(AW$4)),AI227*(1+Macroindicadores!F$7),IF(AND($J227="PONTUAL",MONTH($O227)=MONTH(AW$4)),AI227*(1+Macroindicadores!F$7),IF(AND($J227="PONTUAL",MONTH($O227)&lt;MONTH(AW$4)),MIN($AS227:AV227),IF(AND($I227="NOVO",MONTH($O227)&gt;MONTH(AW$4)),AI227,IF(MONTH($O227)&gt;MONTH(AW$4),AI227,IF(MONTH($O227)=MONTH(AW$4),AI227*(1+Macroindicadores!F$7),AV227)))))))))</f>
        <v>0</v>
      </c>
      <c r="AX227" s="39">
        <f>IF(ISBLANK(V227),"",IF(ISBLANK($O227),AJ227,IF($J227="ANUAL",AJ227*(1+Macroindicadores!G$7),IF(AND($I227="NOVO",MONTH($O227)=MONTH(AX$4)),AJ227*(1+Macroindicadores!G$7),IF(AND($J227="PONTUAL",MONTH($O227)=MONTH(AX$4)),AJ227*(1+Macroindicadores!G$7),IF(AND($J227="PONTUAL",MONTH($O227)&lt;MONTH(AX$4)),MIN($AS227:AW227),IF(AND($I227="NOVO",MONTH($O227)&gt;MONTH(AX$4)),AJ227,IF(MONTH($O227)&gt;MONTH(AX$4),AJ227,IF(MONTH($O227)=MONTH(AX$4),AJ227*(1+Macroindicadores!G$7),AW227)))))))))</f>
        <v>0</v>
      </c>
      <c r="AY227" s="39">
        <f>IF(ISBLANK(W227),"",IF(ISBLANK($O227),AK227,IF($J227="ANUAL",AK227*(1+Macroindicadores!H$7),IF(AND($I227="NOVO",MONTH($O227)=MONTH(AY$4)),AK227*(1+Macroindicadores!H$7),IF(AND($J227="PONTUAL",MONTH($O227)=MONTH(AY$4)),AK227*(1+Macroindicadores!H$7),IF(AND($J227="PONTUAL",MONTH($O227)&lt;MONTH(AY$4)),MIN($AS227:AX227),IF(AND($I227="NOVO",MONTH($O227)&gt;MONTH(AY$4)),AK227,IF(MONTH($O227)&gt;MONTH(AY$4),AK227,IF(MONTH($O227)=MONTH(AY$4),AK227*(1+Macroindicadores!H$7),AX227)))))))))</f>
        <v>0</v>
      </c>
      <c r="AZ227" s="39">
        <f>IF(ISBLANK(X227),"",IF(ISBLANK($O227),AL227,IF($J227="ANUAL",AL227*(1+Macroindicadores!I$7),IF(AND($I227="NOVO",MONTH($O227)=MONTH(AZ$4)),AL227*(1+Macroindicadores!I$7),IF(AND($J227="PONTUAL",MONTH($O227)=MONTH(AZ$4)),AL227*(1+Macroindicadores!I$7),IF(AND($J227="PONTUAL",MONTH($O227)&lt;MONTH(AZ$4)),MIN($AS227:AY227),IF(AND($I227="NOVO",MONTH($O227)&gt;MONTH(AZ$4)),AL227,IF(MONTH($O227)&gt;MONTH(AZ$4),AL227,IF(MONTH($O227)=MONTH(AZ$4),AL227*(1+Macroindicadores!I$7),AY227)))))))))</f>
        <v>0</v>
      </c>
      <c r="BA227" s="39">
        <f>IF(ISBLANK(Y227),"",IF(ISBLANK($O227),AM227,IF($J227="ANUAL",AM227*(1+Macroindicadores!J$7),IF(AND($I227="NOVO",MONTH($O227)=MONTH(BA$4)),AM227*(1+Macroindicadores!J$7),IF(AND($J227="PONTUAL",MONTH($O227)=MONTH(BA$4)),AM227*(1+Macroindicadores!J$7),IF(AND($J227="PONTUAL",MONTH($O227)&lt;MONTH(BA$4)),MIN($AS227:AZ227),IF(AND($I227="NOVO",MONTH($O227)&gt;MONTH(BA$4)),AM227,IF(MONTH($O227)&gt;MONTH(BA$4),AM227,IF(MONTH($O227)=MONTH(BA$4),AM227*(1+Macroindicadores!J$7),AZ227)))))))))</f>
        <v>0</v>
      </c>
      <c r="BB227" s="39">
        <f>IF(ISBLANK(Z227),"",IF(ISBLANK($O227),AN227,IF($J227="ANUAL",AN227*(1+Macroindicadores!K$7),IF(AND($I227="NOVO",MONTH($O227)=MONTH(BB$4)),AN227*(1+Macroindicadores!K$7),IF(AND($J227="PONTUAL",MONTH($O227)=MONTH(BB$4)),AN227*(1+Macroindicadores!K$7),IF(AND($J227="PONTUAL",MONTH($O227)&lt;MONTH(BB$4)),MIN($AS227:BA227),IF(AND($I227="NOVO",MONTH($O227)&gt;MONTH(BB$4)),AN227,IF(MONTH($O227)&gt;MONTH(BB$4),AN227,IF(MONTH($O227)=MONTH(BB$4),AN227*(1+Macroindicadores!K$7),BA227)))))))))</f>
        <v>0</v>
      </c>
      <c r="BC227" s="39">
        <f>IF(ISBLANK(AA227),"",IF(ISBLANK($O227),AO227,IF($J227="ANUAL",AO227*(1+Macroindicadores!L$7),IF(AND($I227="NOVO",MONTH($O227)=MONTH(BC$4)),AO227*(1+Macroindicadores!L$7),IF(AND($J227="PONTUAL",MONTH($O227)=MONTH(BC$4)),AO227*(1+Macroindicadores!L$7),IF(AND($J227="PONTUAL",MONTH($O227)&lt;MONTH(BC$4)),MIN($AS227:BB227),IF(AND($I227="NOVO",MONTH($O227)&gt;MONTH(BC$4)),AO227,IF(MONTH($O227)&gt;MONTH(BC$4),AO227,IF(MONTH($O227)=MONTH(BC$4),AO227*(1+Macroindicadores!L$7),BB227)))))))))</f>
        <v>0</v>
      </c>
      <c r="BD227" s="39">
        <f>IF(ISBLANK(AB227),"",IF(ISBLANK($O227),AP227,IF($J227="ANUAL",AP227*(1+Macroindicadores!M$7),IF(AND($I227="NOVO",MONTH($O227)=MONTH(BD$4)),AP227*(1+Macroindicadores!M$7),IF(AND($J227="PONTUAL",MONTH($O227)=MONTH(BD$4)),AP227*(1+Macroindicadores!M$7),IF(AND($J227="PONTUAL",MONTH($O227)&lt;MONTH(BD$4)),MIN($AS227:BC227),IF(AND($I227="NOVO",MONTH($O227)&gt;MONTH(BD$4)),AP227,IF(MONTH($O227)&gt;MONTH(BD$4),AP227,IF(MONTH($O227)=MONTH(BD$4),AP227*(1+Macroindicadores!M$7),BC227)))))))))</f>
        <v>0</v>
      </c>
      <c r="BE227" s="40">
        <f t="shared" si="101"/>
        <v>0</v>
      </c>
      <c r="BG227" s="39">
        <f>IF(ISBLANK(Q227),"",AS227/Macroindicadores!B$2)</f>
        <v>0</v>
      </c>
      <c r="BH227" s="39">
        <f>IF(ISBLANK(R227),"",AT227/Macroindicadores!C$2)</f>
        <v>0</v>
      </c>
      <c r="BI227" s="39">
        <f>IF(ISBLANK(S227),"",AU227/Macroindicadores!D$2)</f>
        <v>0</v>
      </c>
      <c r="BJ227" s="39">
        <f>IF(ISBLANK(T227),"",AV227/Macroindicadores!E$2)</f>
        <v>0</v>
      </c>
      <c r="BK227" s="39">
        <f>IF(ISBLANK(U227),"",AW227/Macroindicadores!F$2)</f>
        <v>0</v>
      </c>
      <c r="BL227" s="39">
        <f>IF(ISBLANK(V227),"",AX227/Macroindicadores!G$2)</f>
        <v>0</v>
      </c>
      <c r="BM227" s="39">
        <f>IF(ISBLANK(W227),"",AY227/Macroindicadores!H$2)</f>
        <v>0</v>
      </c>
      <c r="BN227" s="39">
        <f>IF(ISBLANK(X227),"",AZ227/Macroindicadores!I$2)</f>
        <v>0</v>
      </c>
      <c r="BO227" s="39">
        <f>IF(ISBLANK(Y227),"",BA227/Macroindicadores!J$2)</f>
        <v>0</v>
      </c>
      <c r="BP227" s="39">
        <f>IF(ISBLANK(Z227),"",BB227/Macroindicadores!K$2)</f>
        <v>0</v>
      </c>
      <c r="BQ227" s="39">
        <f>IF(ISBLANK(AA227),"",BC227/Macroindicadores!L$2)</f>
        <v>0</v>
      </c>
      <c r="BR227" s="39">
        <f>IF(ISBLANK(AB227),"",BD227/Macroindicadores!M$2)</f>
        <v>0</v>
      </c>
      <c r="BS227" s="40">
        <f>IF(AND(ISBLANK($Q227),ISBLANK($R227),ISBLANK($S227),ISBLANK($T227),ISBLANK($U227),ISBLANK($V227),ISBLANK($W227),ISBLANK($X227),ISBLANK($Y227),ISBLANK($Z227),ISBLANK($AA227),ISBLANK($AB227)),"",SUM(BG227:BR227))</f>
        <v>0</v>
      </c>
      <c r="BT227" s="25" t="str">
        <f>IF(ISBLANK($L227),"",_xlfn.XLOOKUP($L227,'CENTRO CUSTO'!$A:$A,'CENTRO CUSTO'!$E:$E,FALSE,0))</f>
        <v>G&amp;A BU</v>
      </c>
    </row>
    <row r="228" spans="1:72">
      <c r="A228" s="9" t="str">
        <f t="shared" si="80"/>
        <v>Budget</v>
      </c>
      <c r="B228" s="9">
        <f t="shared" si="77"/>
        <v>2026</v>
      </c>
      <c r="C228" s="18" t="str">
        <f>IF(ISBLANK($L228),"",_xlfn.XLOOKUP($L228,'CENTRO CUSTO'!$A:$A,'CENTRO CUSTO'!F:F,FALSE,0))</f>
        <v>Martini Meat</v>
      </c>
      <c r="D228" s="111" t="str">
        <f>IF(ISBLANK($L228),"",_xlfn.XLOOKUP($L228,'CENTRO CUSTO'!$A:$A,'CENTRO CUSTO'!G:G,FALSE,0))</f>
        <v>BU-MMAZ</v>
      </c>
      <c r="E228" s="18" t="str">
        <f>IF(ISBLANK($L228),"",_xlfn.XLOOKUP($L228,'CENTRO CUSTO'!$A:$A,'CENTRO CUSTO'!H:H,FALSE,0))</f>
        <v>G&amp;A</v>
      </c>
      <c r="F228" s="10" t="s">
        <v>223</v>
      </c>
      <c r="G228" s="10" t="s">
        <v>224</v>
      </c>
      <c r="H228" s="10" t="s">
        <v>225</v>
      </c>
      <c r="I228" s="11" t="s">
        <v>84</v>
      </c>
      <c r="J228" s="11" t="s">
        <v>78</v>
      </c>
      <c r="K228" s="11" t="s">
        <v>121</v>
      </c>
      <c r="L228" s="11" t="s">
        <v>35</v>
      </c>
      <c r="M228" s="18" t="str">
        <f>IF(ISBLANK($L228),"",_xlfn.XLOOKUP($L228,'CENTRO CUSTO'!$A:$A,'CENTRO CUSTO'!D:D,FALSE,0))</f>
        <v>Alexandre Ayabe</v>
      </c>
      <c r="N228" s="11" t="s">
        <v>91</v>
      </c>
      <c r="O228" s="12"/>
      <c r="P228" s="11" t="s">
        <v>88</v>
      </c>
      <c r="Q228" s="41">
        <f>12000*Rateio!$E$394/12</f>
        <v>650</v>
      </c>
      <c r="R228" s="41">
        <f>12000*Rateio!$E$394/12</f>
        <v>650</v>
      </c>
      <c r="S228" s="41">
        <f>12000*Rateio!$E$394/12</f>
        <v>650</v>
      </c>
      <c r="T228" s="41">
        <f>12000*Rateio!$E$394/12</f>
        <v>650</v>
      </c>
      <c r="U228" s="41">
        <f>12000*Rateio!$E$394/12</f>
        <v>650</v>
      </c>
      <c r="V228" s="41">
        <f>12000*Rateio!$E$394/12</f>
        <v>650</v>
      </c>
      <c r="W228" s="41">
        <f>12000*Rateio!$E$394/12</f>
        <v>650</v>
      </c>
      <c r="X228" s="41">
        <f>12000*Rateio!$E$394/12</f>
        <v>650</v>
      </c>
      <c r="Y228" s="41">
        <f>12000*Rateio!$E$394/12</f>
        <v>650</v>
      </c>
      <c r="Z228" s="41">
        <f>12000*Rateio!$E$394/12</f>
        <v>650</v>
      </c>
      <c r="AA228" s="41">
        <f>12000*Rateio!$E$394/12</f>
        <v>650</v>
      </c>
      <c r="AB228" s="41">
        <f>12000*Rateio!$E$394/12</f>
        <v>650</v>
      </c>
      <c r="AC228" s="116">
        <f t="shared" si="99"/>
        <v>7800</v>
      </c>
      <c r="AE228" s="39">
        <f>IF(ISBLANK(Q228),"",IF($P228="BRL",Q228,Q228*Macroindicadores!B$2)/1000)</f>
        <v>3.8220000000000001</v>
      </c>
      <c r="AF228" s="39">
        <f>IF(ISBLANK(R228),"",IF($P228="BRL",R228,R228*Macroindicadores!C$2)/1000)</f>
        <v>3.8220000000000001</v>
      </c>
      <c r="AG228" s="39">
        <f>IF(ISBLANK(S228),"",IF($P228="BRL",S228,S228*Macroindicadores!D$2)/1000)</f>
        <v>3.8220000000000001</v>
      </c>
      <c r="AH228" s="39">
        <f>IF(ISBLANK(T228),"",IF($P228="BRL",T228,T228*Macroindicadores!E$2)/1000)</f>
        <v>3.8220000000000001</v>
      </c>
      <c r="AI228" s="39">
        <f>IF(ISBLANK(U228),"",IF($P228="BRL",U228,U228*Macroindicadores!F$2)/1000)</f>
        <v>3.8220000000000001</v>
      </c>
      <c r="AJ228" s="39">
        <f>IF(ISBLANK(V228),"",IF($P228="BRL",V228,V228*Macroindicadores!G$2)/1000)</f>
        <v>3.8220000000000001</v>
      </c>
      <c r="AK228" s="39">
        <f>IF(ISBLANK(W228),"",IF($P228="BRL",W228,W228*Macroindicadores!H$2)/1000)</f>
        <v>3.8220000000000001</v>
      </c>
      <c r="AL228" s="39">
        <f>IF(ISBLANK(X228),"",IF($P228="BRL",X228,X228*Macroindicadores!I$2)/1000)</f>
        <v>3.8220000000000001</v>
      </c>
      <c r="AM228" s="39">
        <f>IF(ISBLANK(Y228),"",IF($P228="BRL",Y228,Y228*Macroindicadores!J$2)/1000)</f>
        <v>3.8220000000000001</v>
      </c>
      <c r="AN228" s="39">
        <f>IF(ISBLANK(Z228),"",IF($P228="BRL",Z228,Z228*Macroindicadores!K$2)/1000)</f>
        <v>3.8220000000000001</v>
      </c>
      <c r="AO228" s="39">
        <f>IF(ISBLANK(AA228),"",IF($P228="BRL",AA228,AA228*Macroindicadores!L$2)/1000)</f>
        <v>3.8220000000000001</v>
      </c>
      <c r="AP228" s="39">
        <f>IF(ISBLANK(AB228),"",IF($P228="BRL",AB228,AB228*Macroindicadores!M$2)/1000)</f>
        <v>3.8220000000000001</v>
      </c>
      <c r="AQ228" s="40">
        <f t="shared" si="100"/>
        <v>45.864000000000004</v>
      </c>
      <c r="AS228" s="39">
        <f>IF(ISBLANK(Q228),"",IF(ISBLANK($O228),AE228,IF($J228="ANUAL",AE228*(1+Macroindicadores!B$7),IF(AND($I228="NOVO",MONTH($O228)=MONTH(AS$4)),AE228*(1+Macroindicadores!B$7),IF(AND($J228="PONTUAL",MONTH($O228)=MONTH(AS$4)),AE228*(1+Macroindicadores!B$7),IF(AND($J228="PONTUAL",MONTH($O228)&lt;MONTH(AS$4)),MIN(AR228:$AS228),IF(AND($I228="NOVO",MONTH($O228)&gt;MONTH(AS$4)),AE228,IF(MONTH($O228)&gt;MONTH(AS$4),AE228,IF(MONTH($O228)=MONTH(AS$4),AE228*(1+Macroindicadores!B$7),AR228)))))))))</f>
        <v>3.8220000000000001</v>
      </c>
      <c r="AT228" s="39">
        <f>IF(ISBLANK(R228),"",IF(ISBLANK($O228),AF228,IF($J228="ANUAL",AF228*(1+Macroindicadores!C$7),IF(AND($I228="NOVO",MONTH($O228)=MONTH(AT$4)),AF228*(1+Macroindicadores!C$7),IF(AND($J228="PONTUAL",MONTH($O228)=MONTH(AT$4)),AF228*(1+Macroindicadores!C$7),IF(AND($J228="PONTUAL",MONTH($O228)&lt;MONTH(AT$4)),MIN($AS228:AS228),IF(AND($I228="NOVO",MONTH($O228)&gt;MONTH(AT$4)),AF228,IF(MONTH($O228)&gt;MONTH(AT$4),AF228,IF(MONTH($O228)=MONTH(AT$4),AF228*(1+Macroindicadores!C$7),AS228)))))))))</f>
        <v>3.8220000000000001</v>
      </c>
      <c r="AU228" s="39">
        <f>IF(ISBLANK(S228),"",IF(ISBLANK($O228),AG228,IF($J228="ANUAL",AG228*(1+Macroindicadores!D$7),IF(AND($I228="NOVO",MONTH($O228)=MONTH(AU$4)),AG228*(1+Macroindicadores!D$7),IF(AND($J228="PONTUAL",MONTH($O228)=MONTH(AU$4)),AG228*(1+Macroindicadores!D$7),IF(AND($J228="PONTUAL",MONTH($O228)&lt;MONTH(AU$4)),MIN($AS228:AT228),IF(AND($I228="NOVO",MONTH($O228)&gt;MONTH(AU$4)),AG228,IF(MONTH($O228)&gt;MONTH(AU$4),AG228,IF(MONTH($O228)=MONTH(AU$4),AG228*(1+Macroindicadores!D$7),AT228)))))))))</f>
        <v>3.8220000000000001</v>
      </c>
      <c r="AV228" s="39">
        <f>IF(ISBLANK(T228),"",IF(ISBLANK($O228),AH228,IF($J228="ANUAL",AH228*(1+Macroindicadores!E$7),IF(AND($I228="NOVO",MONTH($O228)=MONTH(AV$4)),AH228*(1+Macroindicadores!E$7),IF(AND($J228="PONTUAL",MONTH($O228)=MONTH(AV$4)),AH228*(1+Macroindicadores!E$7),IF(AND($J228="PONTUAL",MONTH($O228)&lt;MONTH(AV$4)),MIN($AS228:AU228),IF(AND($I228="NOVO",MONTH($O228)&gt;MONTH(AV$4)),AH228,IF(MONTH($O228)&gt;MONTH(AV$4),AH228,IF(MONTH($O228)=MONTH(AV$4),AH228*(1+Macroindicadores!E$7),AU228)))))))))</f>
        <v>3.8220000000000001</v>
      </c>
      <c r="AW228" s="39">
        <f>IF(ISBLANK(U228),"",IF(ISBLANK($O228),AI228,IF($J228="ANUAL",AI228*(1+Macroindicadores!F$7),IF(AND($I228="NOVO",MONTH($O228)=MONTH(AW$4)),AI228*(1+Macroindicadores!F$7),IF(AND($J228="PONTUAL",MONTH($O228)=MONTH(AW$4)),AI228*(1+Macroindicadores!F$7),IF(AND($J228="PONTUAL",MONTH($O228)&lt;MONTH(AW$4)),MIN($AS228:AV228),IF(AND($I228="NOVO",MONTH($O228)&gt;MONTH(AW$4)),AI228,IF(MONTH($O228)&gt;MONTH(AW$4),AI228,IF(MONTH($O228)=MONTH(AW$4),AI228*(1+Macroindicadores!F$7),AV228)))))))))</f>
        <v>3.8220000000000001</v>
      </c>
      <c r="AX228" s="39">
        <f>IF(ISBLANK(V228),"",IF(ISBLANK($O228),AJ228,IF($J228="ANUAL",AJ228*(1+Macroindicadores!G$7),IF(AND($I228="NOVO",MONTH($O228)=MONTH(AX$4)),AJ228*(1+Macroindicadores!G$7),IF(AND($J228="PONTUAL",MONTH($O228)=MONTH(AX$4)),AJ228*(1+Macroindicadores!G$7),IF(AND($J228="PONTUAL",MONTH($O228)&lt;MONTH(AX$4)),MIN($AS228:AW228),IF(AND($I228="NOVO",MONTH($O228)&gt;MONTH(AX$4)),AJ228,IF(MONTH($O228)&gt;MONTH(AX$4),AJ228,IF(MONTH($O228)=MONTH(AX$4),AJ228*(1+Macroindicadores!G$7),AW228)))))))))</f>
        <v>3.8220000000000001</v>
      </c>
      <c r="AY228" s="39">
        <f>IF(ISBLANK(W228),"",IF(ISBLANK($O228),AK228,IF($J228="ANUAL",AK228*(1+Macroindicadores!H$7),IF(AND($I228="NOVO",MONTH($O228)=MONTH(AY$4)),AK228*(1+Macroindicadores!H$7),IF(AND($J228="PONTUAL",MONTH($O228)=MONTH(AY$4)),AK228*(1+Macroindicadores!H$7),IF(AND($J228="PONTUAL",MONTH($O228)&lt;MONTH(AY$4)),MIN($AS228:AX228),IF(AND($I228="NOVO",MONTH($O228)&gt;MONTH(AY$4)),AK228,IF(MONTH($O228)&gt;MONTH(AY$4),AK228,IF(MONTH($O228)=MONTH(AY$4),AK228*(1+Macroindicadores!H$7),AX228)))))))))</f>
        <v>3.8220000000000001</v>
      </c>
      <c r="AZ228" s="39">
        <f>IF(ISBLANK(X228),"",IF(ISBLANK($O228),AL228,IF($J228="ANUAL",AL228*(1+Macroindicadores!I$7),IF(AND($I228="NOVO",MONTH($O228)=MONTH(AZ$4)),AL228*(1+Macroindicadores!I$7),IF(AND($J228="PONTUAL",MONTH($O228)=MONTH(AZ$4)),AL228*(1+Macroindicadores!I$7),IF(AND($J228="PONTUAL",MONTH($O228)&lt;MONTH(AZ$4)),MIN($AS228:AY228),IF(AND($I228="NOVO",MONTH($O228)&gt;MONTH(AZ$4)),AL228,IF(MONTH($O228)&gt;MONTH(AZ$4),AL228,IF(MONTH($O228)=MONTH(AZ$4),AL228*(1+Macroindicadores!I$7),AY228)))))))))</f>
        <v>3.8220000000000001</v>
      </c>
      <c r="BA228" s="39">
        <f>IF(ISBLANK(Y228),"",IF(ISBLANK($O228),AM228,IF($J228="ANUAL",AM228*(1+Macroindicadores!J$7),IF(AND($I228="NOVO",MONTH($O228)=MONTH(BA$4)),AM228*(1+Macroindicadores!J$7),IF(AND($J228="PONTUAL",MONTH($O228)=MONTH(BA$4)),AM228*(1+Macroindicadores!J$7),IF(AND($J228="PONTUAL",MONTH($O228)&lt;MONTH(BA$4)),MIN($AS228:AZ228),IF(AND($I228="NOVO",MONTH($O228)&gt;MONTH(BA$4)),AM228,IF(MONTH($O228)&gt;MONTH(BA$4),AM228,IF(MONTH($O228)=MONTH(BA$4),AM228*(1+Macroindicadores!J$7),AZ228)))))))))</f>
        <v>3.8220000000000001</v>
      </c>
      <c r="BB228" s="39">
        <f>IF(ISBLANK(Z228),"",IF(ISBLANK($O228),AN228,IF($J228="ANUAL",AN228*(1+Macroindicadores!K$7),IF(AND($I228="NOVO",MONTH($O228)=MONTH(BB$4)),AN228*(1+Macroindicadores!K$7),IF(AND($J228="PONTUAL",MONTH($O228)=MONTH(BB$4)),AN228*(1+Macroindicadores!K$7),IF(AND($J228="PONTUAL",MONTH($O228)&lt;MONTH(BB$4)),MIN($AS228:BA228),IF(AND($I228="NOVO",MONTH($O228)&gt;MONTH(BB$4)),AN228,IF(MONTH($O228)&gt;MONTH(BB$4),AN228,IF(MONTH($O228)=MONTH(BB$4),AN228*(1+Macroindicadores!K$7),BA228)))))))))</f>
        <v>3.8220000000000001</v>
      </c>
      <c r="BC228" s="39">
        <f>IF(ISBLANK(AA228),"",IF(ISBLANK($O228),AO228,IF($J228="ANUAL",AO228*(1+Macroindicadores!L$7),IF(AND($I228="NOVO",MONTH($O228)=MONTH(BC$4)),AO228*(1+Macroindicadores!L$7),IF(AND($J228="PONTUAL",MONTH($O228)=MONTH(BC$4)),AO228*(1+Macroindicadores!L$7),IF(AND($J228="PONTUAL",MONTH($O228)&lt;MONTH(BC$4)),MIN($AS228:BB228),IF(AND($I228="NOVO",MONTH($O228)&gt;MONTH(BC$4)),AO228,IF(MONTH($O228)&gt;MONTH(BC$4),AO228,IF(MONTH($O228)=MONTH(BC$4),AO228*(1+Macroindicadores!L$7),BB228)))))))))</f>
        <v>3.8220000000000001</v>
      </c>
      <c r="BD228" s="39">
        <f>IF(ISBLANK(AB228),"",IF(ISBLANK($O228),AP228,IF($J228="ANUAL",AP228*(1+Macroindicadores!M$7),IF(AND($I228="NOVO",MONTH($O228)=MONTH(BD$4)),AP228*(1+Macroindicadores!M$7),IF(AND($J228="PONTUAL",MONTH($O228)=MONTH(BD$4)),AP228*(1+Macroindicadores!M$7),IF(AND($J228="PONTUAL",MONTH($O228)&lt;MONTH(BD$4)),MIN($AS228:BC228),IF(AND($I228="NOVO",MONTH($O228)&gt;MONTH(BD$4)),AP228,IF(MONTH($O228)&gt;MONTH(BD$4),AP228,IF(MONTH($O228)=MONTH(BD$4),AP228*(1+Macroindicadores!M$7),BC228)))))))))</f>
        <v>3.8220000000000001</v>
      </c>
      <c r="BE228" s="40">
        <f t="shared" si="101"/>
        <v>45.864000000000004</v>
      </c>
      <c r="BG228" s="39">
        <f>IF(ISBLANK(Q228),"",AS228/Macroindicadores!B$2)</f>
        <v>0.65</v>
      </c>
      <c r="BH228" s="39">
        <f>IF(ISBLANK(R228),"",AT228/Macroindicadores!C$2)</f>
        <v>0.65</v>
      </c>
      <c r="BI228" s="39">
        <f>IF(ISBLANK(S228),"",AU228/Macroindicadores!D$2)</f>
        <v>0.65</v>
      </c>
      <c r="BJ228" s="39">
        <f>IF(ISBLANK(T228),"",AV228/Macroindicadores!E$2)</f>
        <v>0.65</v>
      </c>
      <c r="BK228" s="39">
        <f>IF(ISBLANK(U228),"",AW228/Macroindicadores!F$2)</f>
        <v>0.65</v>
      </c>
      <c r="BL228" s="39">
        <f>IF(ISBLANK(V228),"",AX228/Macroindicadores!G$2)</f>
        <v>0.65</v>
      </c>
      <c r="BM228" s="39">
        <f>IF(ISBLANK(W228),"",AY228/Macroindicadores!H$2)</f>
        <v>0.65</v>
      </c>
      <c r="BN228" s="39">
        <f>IF(ISBLANK(X228),"",AZ228/Macroindicadores!I$2)</f>
        <v>0.65</v>
      </c>
      <c r="BO228" s="39">
        <f>IF(ISBLANK(Y228),"",BA228/Macroindicadores!J$2)</f>
        <v>0.65</v>
      </c>
      <c r="BP228" s="39">
        <f>IF(ISBLANK(Z228),"",BB228/Macroindicadores!K$2)</f>
        <v>0.65</v>
      </c>
      <c r="BQ228" s="39">
        <f>IF(ISBLANK(AA228),"",BC228/Macroindicadores!L$2)</f>
        <v>0.65</v>
      </c>
      <c r="BR228" s="39">
        <f>IF(ISBLANK(AB228),"",BD228/Macroindicadores!M$2)</f>
        <v>0.65</v>
      </c>
      <c r="BS228" s="40">
        <f>IF(AND(ISBLANK($Q228),ISBLANK($R228),ISBLANK($S228),ISBLANK($T228),ISBLANK($U228),ISBLANK($V228),ISBLANK($W228),ISBLANK($X228),ISBLANK($Y228),ISBLANK($Z228),ISBLANK($AA228),ISBLANK($AB228)),"",SUM(BG228:BR228))</f>
        <v>7.8000000000000016</v>
      </c>
      <c r="BT228" s="25" t="str">
        <f>IF(ISBLANK($L228),"",_xlfn.XLOOKUP($L228,'CENTRO CUSTO'!$A:$A,'CENTRO CUSTO'!$E:$E,FALSE,0))</f>
        <v>G&amp;A BU</v>
      </c>
    </row>
    <row r="229" spans="1:72">
      <c r="A229" s="9" t="str">
        <f t="shared" si="80"/>
        <v>Budget</v>
      </c>
      <c r="B229" s="9">
        <f t="shared" si="77"/>
        <v>2026</v>
      </c>
      <c r="C229" s="18" t="str">
        <f>IF(ISBLANK($L229),"",_xlfn.XLOOKUP($L229,'CENTRO CUSTO'!$A:$A,'CENTRO CUSTO'!F:F,FALSE,0))</f>
        <v>MRV</v>
      </c>
      <c r="D229" s="111" t="str">
        <f>IF(ISBLANK($L229),"",_xlfn.XLOOKUP($L229,'CENTRO CUSTO'!$A:$A,'CENTRO CUSTO'!G:G,FALSE,0))</f>
        <v>BU-MRV</v>
      </c>
      <c r="E229" s="18" t="str">
        <f>IF(ISBLANK($L229),"",_xlfn.XLOOKUP($L229,'CENTRO CUSTO'!$A:$A,'CENTRO CUSTO'!H:H,FALSE,0))</f>
        <v>G&amp;A</v>
      </c>
      <c r="F229" s="10" t="s">
        <v>223</v>
      </c>
      <c r="G229" s="10" t="s">
        <v>224</v>
      </c>
      <c r="H229" s="10" t="s">
        <v>225</v>
      </c>
      <c r="I229" s="11" t="s">
        <v>84</v>
      </c>
      <c r="J229" s="11" t="s">
        <v>78</v>
      </c>
      <c r="K229" s="11" t="s">
        <v>121</v>
      </c>
      <c r="L229" s="11" t="s">
        <v>45</v>
      </c>
      <c r="M229" s="18" t="str">
        <f>IF(ISBLANK($L229),"",_xlfn.XLOOKUP($L229,'CENTRO CUSTO'!$A:$A,'CENTRO CUSTO'!D:D,FALSE,0))</f>
        <v>Alexandre Ayabe</v>
      </c>
      <c r="N229" s="11" t="s">
        <v>91</v>
      </c>
      <c r="O229" s="12"/>
      <c r="P229" s="11" t="s">
        <v>88</v>
      </c>
      <c r="Q229" s="41">
        <f>12000*Rateio!$E$410/12</f>
        <v>130</v>
      </c>
      <c r="R229" s="41">
        <f>12000*Rateio!$E$410/12</f>
        <v>130</v>
      </c>
      <c r="S229" s="41">
        <f>12000*Rateio!$E$410/12</f>
        <v>130</v>
      </c>
      <c r="T229" s="41">
        <f>12000*Rateio!$E$410/12</f>
        <v>130</v>
      </c>
      <c r="U229" s="41">
        <f>12000*Rateio!$E$410/12</f>
        <v>130</v>
      </c>
      <c r="V229" s="41">
        <f>12000*Rateio!$E$410/12</f>
        <v>130</v>
      </c>
      <c r="W229" s="41">
        <f>12000*Rateio!$E$410/12</f>
        <v>130</v>
      </c>
      <c r="X229" s="41">
        <f>12000*Rateio!$E$410/12</f>
        <v>130</v>
      </c>
      <c r="Y229" s="41">
        <f>12000*Rateio!$E$410/12</f>
        <v>130</v>
      </c>
      <c r="Z229" s="41">
        <f>12000*Rateio!$E$410/12</f>
        <v>130</v>
      </c>
      <c r="AA229" s="41">
        <f>12000*Rateio!$E$410/12</f>
        <v>130</v>
      </c>
      <c r="AB229" s="41">
        <f>12000*Rateio!$E$410/12</f>
        <v>130</v>
      </c>
      <c r="AC229" s="116">
        <f t="shared" si="99"/>
        <v>1560</v>
      </c>
      <c r="AE229" s="39">
        <f>IF(ISBLANK(Q229),"",IF($P229="BRL",Q229,Q229*Macroindicadores!B$2)/1000)</f>
        <v>0.76439999999999997</v>
      </c>
      <c r="AF229" s="39">
        <f>IF(ISBLANK(R229),"",IF($P229="BRL",R229,R229*Macroindicadores!C$2)/1000)</f>
        <v>0.76439999999999997</v>
      </c>
      <c r="AG229" s="39">
        <f>IF(ISBLANK(S229),"",IF($P229="BRL",S229,S229*Macroindicadores!D$2)/1000)</f>
        <v>0.76439999999999997</v>
      </c>
      <c r="AH229" s="39">
        <f>IF(ISBLANK(T229),"",IF($P229="BRL",T229,T229*Macroindicadores!E$2)/1000)</f>
        <v>0.76439999999999997</v>
      </c>
      <c r="AI229" s="39">
        <f>IF(ISBLANK(U229),"",IF($P229="BRL",U229,U229*Macroindicadores!F$2)/1000)</f>
        <v>0.76439999999999997</v>
      </c>
      <c r="AJ229" s="39">
        <f>IF(ISBLANK(V229),"",IF($P229="BRL",V229,V229*Macroindicadores!G$2)/1000)</f>
        <v>0.76439999999999997</v>
      </c>
      <c r="AK229" s="39">
        <f>IF(ISBLANK(W229),"",IF($P229="BRL",W229,W229*Macroindicadores!H$2)/1000)</f>
        <v>0.76439999999999997</v>
      </c>
      <c r="AL229" s="39">
        <f>IF(ISBLANK(X229),"",IF($P229="BRL",X229,X229*Macroindicadores!I$2)/1000)</f>
        <v>0.76439999999999997</v>
      </c>
      <c r="AM229" s="39">
        <f>IF(ISBLANK(Y229),"",IF($P229="BRL",Y229,Y229*Macroindicadores!J$2)/1000)</f>
        <v>0.76439999999999997</v>
      </c>
      <c r="AN229" s="39">
        <f>IF(ISBLANK(Z229),"",IF($P229="BRL",Z229,Z229*Macroindicadores!K$2)/1000)</f>
        <v>0.76439999999999997</v>
      </c>
      <c r="AO229" s="39">
        <f>IF(ISBLANK(AA229),"",IF($P229="BRL",AA229,AA229*Macroindicadores!L$2)/1000)</f>
        <v>0.76439999999999997</v>
      </c>
      <c r="AP229" s="39">
        <f>IF(ISBLANK(AB229),"",IF($P229="BRL",AB229,AB229*Macroindicadores!M$2)/1000)</f>
        <v>0.76439999999999997</v>
      </c>
      <c r="AQ229" s="40">
        <f t="shared" si="100"/>
        <v>9.1728000000000005</v>
      </c>
      <c r="AS229" s="39">
        <f>IF(ISBLANK(Q229),"",IF(ISBLANK($O229),AE229,IF($J229="ANUAL",AE229*(1+Macroindicadores!B$7),IF(AND($I229="NOVO",MONTH($O229)=MONTH(AS$4)),AE229*(1+Macroindicadores!B$7),IF(AND($J229="PONTUAL",MONTH($O229)=MONTH(AS$4)),AE229*(1+Macroindicadores!B$7),IF(AND($J229="PONTUAL",MONTH($O229)&lt;MONTH(AS$4)),MIN(AR229:$AS229),IF(AND($I229="NOVO",MONTH($O229)&gt;MONTH(AS$4)),AE229,IF(MONTH($O229)&gt;MONTH(AS$4),AE229,IF(MONTH($O229)=MONTH(AS$4),AE229*(1+Macroindicadores!B$7),AR229)))))))))</f>
        <v>0.76439999999999997</v>
      </c>
      <c r="AT229" s="39">
        <f>IF(ISBLANK(R229),"",IF(ISBLANK($O229),AF229,IF($J229="ANUAL",AF229*(1+Macroindicadores!C$7),IF(AND($I229="NOVO",MONTH($O229)=MONTH(AT$4)),AF229*(1+Macroindicadores!C$7),IF(AND($J229="PONTUAL",MONTH($O229)=MONTH(AT$4)),AF229*(1+Macroindicadores!C$7),IF(AND($J229="PONTUAL",MONTH($O229)&lt;MONTH(AT$4)),MIN($AS229:AS229),IF(AND($I229="NOVO",MONTH($O229)&gt;MONTH(AT$4)),AF229,IF(MONTH($O229)&gt;MONTH(AT$4),AF229,IF(MONTH($O229)=MONTH(AT$4),AF229*(1+Macroindicadores!C$7),AS229)))))))))</f>
        <v>0.76439999999999997</v>
      </c>
      <c r="AU229" s="39">
        <f>IF(ISBLANK(S229),"",IF(ISBLANK($O229),AG229,IF($J229="ANUAL",AG229*(1+Macroindicadores!D$7),IF(AND($I229="NOVO",MONTH($O229)=MONTH(AU$4)),AG229*(1+Macroindicadores!D$7),IF(AND($J229="PONTUAL",MONTH($O229)=MONTH(AU$4)),AG229*(1+Macroindicadores!D$7),IF(AND($J229="PONTUAL",MONTH($O229)&lt;MONTH(AU$4)),MIN($AS229:AT229),IF(AND($I229="NOVO",MONTH($O229)&gt;MONTH(AU$4)),AG229,IF(MONTH($O229)&gt;MONTH(AU$4),AG229,IF(MONTH($O229)=MONTH(AU$4),AG229*(1+Macroindicadores!D$7),AT229)))))))))</f>
        <v>0.76439999999999997</v>
      </c>
      <c r="AV229" s="39">
        <f>IF(ISBLANK(T229),"",IF(ISBLANK($O229),AH229,IF($J229="ANUAL",AH229*(1+Macroindicadores!E$7),IF(AND($I229="NOVO",MONTH($O229)=MONTH(AV$4)),AH229*(1+Macroindicadores!E$7),IF(AND($J229="PONTUAL",MONTH($O229)=MONTH(AV$4)),AH229*(1+Macroindicadores!E$7),IF(AND($J229="PONTUAL",MONTH($O229)&lt;MONTH(AV$4)),MIN($AS229:AU229),IF(AND($I229="NOVO",MONTH($O229)&gt;MONTH(AV$4)),AH229,IF(MONTH($O229)&gt;MONTH(AV$4),AH229,IF(MONTH($O229)=MONTH(AV$4),AH229*(1+Macroindicadores!E$7),AU229)))))))))</f>
        <v>0.76439999999999997</v>
      </c>
      <c r="AW229" s="39">
        <f>IF(ISBLANK(U229),"",IF(ISBLANK($O229),AI229,IF($J229="ANUAL",AI229*(1+Macroindicadores!F$7),IF(AND($I229="NOVO",MONTH($O229)=MONTH(AW$4)),AI229*(1+Macroindicadores!F$7),IF(AND($J229="PONTUAL",MONTH($O229)=MONTH(AW$4)),AI229*(1+Macroindicadores!F$7),IF(AND($J229="PONTUAL",MONTH($O229)&lt;MONTH(AW$4)),MIN($AS229:AV229),IF(AND($I229="NOVO",MONTH($O229)&gt;MONTH(AW$4)),AI229,IF(MONTH($O229)&gt;MONTH(AW$4),AI229,IF(MONTH($O229)=MONTH(AW$4),AI229*(1+Macroindicadores!F$7),AV229)))))))))</f>
        <v>0.76439999999999997</v>
      </c>
      <c r="AX229" s="39">
        <f>IF(ISBLANK(V229),"",IF(ISBLANK($O229),AJ229,IF($J229="ANUAL",AJ229*(1+Macroindicadores!G$7),IF(AND($I229="NOVO",MONTH($O229)=MONTH(AX$4)),AJ229*(1+Macroindicadores!G$7),IF(AND($J229="PONTUAL",MONTH($O229)=MONTH(AX$4)),AJ229*(1+Macroindicadores!G$7),IF(AND($J229="PONTUAL",MONTH($O229)&lt;MONTH(AX$4)),MIN($AS229:AW229),IF(AND($I229="NOVO",MONTH($O229)&gt;MONTH(AX$4)),AJ229,IF(MONTH($O229)&gt;MONTH(AX$4),AJ229,IF(MONTH($O229)=MONTH(AX$4),AJ229*(1+Macroindicadores!G$7),AW229)))))))))</f>
        <v>0.76439999999999997</v>
      </c>
      <c r="AY229" s="39">
        <f>IF(ISBLANK(W229),"",IF(ISBLANK($O229),AK229,IF($J229="ANUAL",AK229*(1+Macroindicadores!H$7),IF(AND($I229="NOVO",MONTH($O229)=MONTH(AY$4)),AK229*(1+Macroindicadores!H$7),IF(AND($J229="PONTUAL",MONTH($O229)=MONTH(AY$4)),AK229*(1+Macroindicadores!H$7),IF(AND($J229="PONTUAL",MONTH($O229)&lt;MONTH(AY$4)),MIN($AS229:AX229),IF(AND($I229="NOVO",MONTH($O229)&gt;MONTH(AY$4)),AK229,IF(MONTH($O229)&gt;MONTH(AY$4),AK229,IF(MONTH($O229)=MONTH(AY$4),AK229*(1+Macroindicadores!H$7),AX229)))))))))</f>
        <v>0.76439999999999997</v>
      </c>
      <c r="AZ229" s="39">
        <f>IF(ISBLANK(X229),"",IF(ISBLANK($O229),AL229,IF($J229="ANUAL",AL229*(1+Macroindicadores!I$7),IF(AND($I229="NOVO",MONTH($O229)=MONTH(AZ$4)),AL229*(1+Macroindicadores!I$7),IF(AND($J229="PONTUAL",MONTH($O229)=MONTH(AZ$4)),AL229*(1+Macroindicadores!I$7),IF(AND($J229="PONTUAL",MONTH($O229)&lt;MONTH(AZ$4)),MIN($AS229:AY229),IF(AND($I229="NOVO",MONTH($O229)&gt;MONTH(AZ$4)),AL229,IF(MONTH($O229)&gt;MONTH(AZ$4),AL229,IF(MONTH($O229)=MONTH(AZ$4),AL229*(1+Macroindicadores!I$7),AY229)))))))))</f>
        <v>0.76439999999999997</v>
      </c>
      <c r="BA229" s="39">
        <f>IF(ISBLANK(Y229),"",IF(ISBLANK($O229),AM229,IF($J229="ANUAL",AM229*(1+Macroindicadores!J$7),IF(AND($I229="NOVO",MONTH($O229)=MONTH(BA$4)),AM229*(1+Macroindicadores!J$7),IF(AND($J229="PONTUAL",MONTH($O229)=MONTH(BA$4)),AM229*(1+Macroindicadores!J$7),IF(AND($J229="PONTUAL",MONTH($O229)&lt;MONTH(BA$4)),MIN($AS229:AZ229),IF(AND($I229="NOVO",MONTH($O229)&gt;MONTH(BA$4)),AM229,IF(MONTH($O229)&gt;MONTH(BA$4),AM229,IF(MONTH($O229)=MONTH(BA$4),AM229*(1+Macroindicadores!J$7),AZ229)))))))))</f>
        <v>0.76439999999999997</v>
      </c>
      <c r="BB229" s="39">
        <f>IF(ISBLANK(Z229),"",IF(ISBLANK($O229),AN229,IF($J229="ANUAL",AN229*(1+Macroindicadores!K$7),IF(AND($I229="NOVO",MONTH($O229)=MONTH(BB$4)),AN229*(1+Macroindicadores!K$7),IF(AND($J229="PONTUAL",MONTH($O229)=MONTH(BB$4)),AN229*(1+Macroindicadores!K$7),IF(AND($J229="PONTUAL",MONTH($O229)&lt;MONTH(BB$4)),MIN($AS229:BA229),IF(AND($I229="NOVO",MONTH($O229)&gt;MONTH(BB$4)),AN229,IF(MONTH($O229)&gt;MONTH(BB$4),AN229,IF(MONTH($O229)=MONTH(BB$4),AN229*(1+Macroindicadores!K$7),BA229)))))))))</f>
        <v>0.76439999999999997</v>
      </c>
      <c r="BC229" s="39">
        <f>IF(ISBLANK(AA229),"",IF(ISBLANK($O229),AO229,IF($J229="ANUAL",AO229*(1+Macroindicadores!L$7),IF(AND($I229="NOVO",MONTH($O229)=MONTH(BC$4)),AO229*(1+Macroindicadores!L$7),IF(AND($J229="PONTUAL",MONTH($O229)=MONTH(BC$4)),AO229*(1+Macroindicadores!L$7),IF(AND($J229="PONTUAL",MONTH($O229)&lt;MONTH(BC$4)),MIN($AS229:BB229),IF(AND($I229="NOVO",MONTH($O229)&gt;MONTH(BC$4)),AO229,IF(MONTH($O229)&gt;MONTH(BC$4),AO229,IF(MONTH($O229)=MONTH(BC$4),AO229*(1+Macroindicadores!L$7),BB229)))))))))</f>
        <v>0.76439999999999997</v>
      </c>
      <c r="BD229" s="39">
        <f>IF(ISBLANK(AB229),"",IF(ISBLANK($O229),AP229,IF($J229="ANUAL",AP229*(1+Macroindicadores!M$7),IF(AND($I229="NOVO",MONTH($O229)=MONTH(BD$4)),AP229*(1+Macroindicadores!M$7),IF(AND($J229="PONTUAL",MONTH($O229)=MONTH(BD$4)),AP229*(1+Macroindicadores!M$7),IF(AND($J229="PONTUAL",MONTH($O229)&lt;MONTH(BD$4)),MIN($AS229:BC229),IF(AND($I229="NOVO",MONTH($O229)&gt;MONTH(BD$4)),AP229,IF(MONTH($O229)&gt;MONTH(BD$4),AP229,IF(MONTH($O229)=MONTH(BD$4),AP229*(1+Macroindicadores!M$7),BC229)))))))))</f>
        <v>0.76439999999999997</v>
      </c>
      <c r="BE229" s="40">
        <f t="shared" si="101"/>
        <v>9.1728000000000005</v>
      </c>
      <c r="BG229" s="39">
        <f>IF(ISBLANK(Q229),"",AS229/Macroindicadores!B$2)</f>
        <v>0.13</v>
      </c>
      <c r="BH229" s="39">
        <f>IF(ISBLANK(R229),"",AT229/Macroindicadores!C$2)</f>
        <v>0.13</v>
      </c>
      <c r="BI229" s="39">
        <f>IF(ISBLANK(S229),"",AU229/Macroindicadores!D$2)</f>
        <v>0.13</v>
      </c>
      <c r="BJ229" s="39">
        <f>IF(ISBLANK(T229),"",AV229/Macroindicadores!E$2)</f>
        <v>0.13</v>
      </c>
      <c r="BK229" s="39">
        <f>IF(ISBLANK(U229),"",AW229/Macroindicadores!F$2)</f>
        <v>0.13</v>
      </c>
      <c r="BL229" s="39">
        <f>IF(ISBLANK(V229),"",AX229/Macroindicadores!G$2)</f>
        <v>0.13</v>
      </c>
      <c r="BM229" s="39">
        <f>IF(ISBLANK(W229),"",AY229/Macroindicadores!H$2)</f>
        <v>0.13</v>
      </c>
      <c r="BN229" s="39">
        <f>IF(ISBLANK(X229),"",AZ229/Macroindicadores!I$2)</f>
        <v>0.13</v>
      </c>
      <c r="BO229" s="39">
        <f>IF(ISBLANK(Y229),"",BA229/Macroindicadores!J$2)</f>
        <v>0.13</v>
      </c>
      <c r="BP229" s="39">
        <f>IF(ISBLANK(Z229),"",BB229/Macroindicadores!K$2)</f>
        <v>0.13</v>
      </c>
      <c r="BQ229" s="39">
        <f>IF(ISBLANK(AA229),"",BC229/Macroindicadores!L$2)</f>
        <v>0.13</v>
      </c>
      <c r="BR229" s="39">
        <f>IF(ISBLANK(AB229),"",BD229/Macroindicadores!M$2)</f>
        <v>0.13</v>
      </c>
      <c r="BS229" s="40">
        <f>IF(AND(ISBLANK($Q229),ISBLANK($R229),ISBLANK($S229),ISBLANK($T229),ISBLANK($U229),ISBLANK($V229),ISBLANK($W229),ISBLANK($X229),ISBLANK($Y229),ISBLANK($Z229),ISBLANK($AA229),ISBLANK($AB229)),"",SUM(BG229:BR229))</f>
        <v>1.5599999999999996</v>
      </c>
      <c r="BT229" s="25" t="str">
        <f>IF(ISBLANK($L229),"",_xlfn.XLOOKUP($L229,'CENTRO CUSTO'!$A:$A,'CENTRO CUSTO'!$E:$E,FALSE,0))</f>
        <v>G&amp;A BU</v>
      </c>
    </row>
    <row r="230" spans="1:72">
      <c r="A230" s="9" t="str">
        <f t="shared" si="80"/>
        <v>Budget</v>
      </c>
      <c r="B230" s="9">
        <f t="shared" si="77"/>
        <v>2026</v>
      </c>
      <c r="C230" s="18" t="str">
        <f>IF(ISBLANK($L230),"",_xlfn.XLOOKUP($L230,'CENTRO CUSTO'!$A:$A,'CENTRO CUSTO'!F:F,FALSE,0))</f>
        <v>SKM</v>
      </c>
      <c r="D230" s="111" t="str">
        <f>IF(ISBLANK($L230),"",_xlfn.XLOOKUP($L230,'CENTRO CUSTO'!$A:$A,'CENTRO CUSTO'!G:G,FALSE,0))</f>
        <v>BU-SKM</v>
      </c>
      <c r="E230" s="18" t="str">
        <f>IF(ISBLANK($L230),"",_xlfn.XLOOKUP($L230,'CENTRO CUSTO'!$A:$A,'CENTRO CUSTO'!H:H,FALSE,0))</f>
        <v>G&amp;A</v>
      </c>
      <c r="F230" s="10" t="s">
        <v>223</v>
      </c>
      <c r="G230" s="10" t="s">
        <v>224</v>
      </c>
      <c r="H230" s="10" t="s">
        <v>225</v>
      </c>
      <c r="I230" s="11" t="s">
        <v>84</v>
      </c>
      <c r="J230" s="11" t="s">
        <v>78</v>
      </c>
      <c r="K230" s="11" t="s">
        <v>121</v>
      </c>
      <c r="L230" s="11" t="s">
        <v>50</v>
      </c>
      <c r="M230" s="18" t="str">
        <f>IF(ISBLANK($L230),"",_xlfn.XLOOKUP($L230,'CENTRO CUSTO'!$A:$A,'CENTRO CUSTO'!D:D,FALSE,0))</f>
        <v>Alexandre Ayabe</v>
      </c>
      <c r="N230" s="11" t="s">
        <v>91</v>
      </c>
      <c r="O230" s="12"/>
      <c r="P230" s="11" t="s">
        <v>88</v>
      </c>
      <c r="Q230" s="41">
        <f>12000*Rateio!$E$413/12</f>
        <v>220</v>
      </c>
      <c r="R230" s="41">
        <f>12000*Rateio!$E$413/12</f>
        <v>220</v>
      </c>
      <c r="S230" s="41">
        <f>12000*Rateio!$E$413/12</f>
        <v>220</v>
      </c>
      <c r="T230" s="41">
        <f>12000*Rateio!$E$413/12</f>
        <v>220</v>
      </c>
      <c r="U230" s="41">
        <f>12000*Rateio!$E$413/12</f>
        <v>220</v>
      </c>
      <c r="V230" s="41">
        <f>12000*Rateio!$E$413/12</f>
        <v>220</v>
      </c>
      <c r="W230" s="41">
        <f>12000*Rateio!$E$413/12</f>
        <v>220</v>
      </c>
      <c r="X230" s="41">
        <f>12000*Rateio!$E$413/12</f>
        <v>220</v>
      </c>
      <c r="Y230" s="41">
        <f>12000*Rateio!$E$413/12</f>
        <v>220</v>
      </c>
      <c r="Z230" s="41">
        <f>12000*Rateio!$E$413/12</f>
        <v>220</v>
      </c>
      <c r="AA230" s="41">
        <f>12000*Rateio!$E$413/12</f>
        <v>220</v>
      </c>
      <c r="AB230" s="41">
        <f>12000*Rateio!$E$413/12</f>
        <v>220</v>
      </c>
      <c r="AC230" s="116">
        <f t="shared" si="99"/>
        <v>2640</v>
      </c>
      <c r="AE230" s="39">
        <f>IF(ISBLANK(Q230),"",IF($P230="BRL",Q230,Q230*Macroindicadores!B$2)/1000)</f>
        <v>1.2935999999999999</v>
      </c>
      <c r="AF230" s="39">
        <f>IF(ISBLANK(R230),"",IF($P230="BRL",R230,R230*Macroindicadores!C$2)/1000)</f>
        <v>1.2935999999999999</v>
      </c>
      <c r="AG230" s="39">
        <f>IF(ISBLANK(S230),"",IF($P230="BRL",S230,S230*Macroindicadores!D$2)/1000)</f>
        <v>1.2935999999999999</v>
      </c>
      <c r="AH230" s="39">
        <f>IF(ISBLANK(T230),"",IF($P230="BRL",T230,T230*Macroindicadores!E$2)/1000)</f>
        <v>1.2935999999999999</v>
      </c>
      <c r="AI230" s="39">
        <f>IF(ISBLANK(U230),"",IF($P230="BRL",U230,U230*Macroindicadores!F$2)/1000)</f>
        <v>1.2935999999999999</v>
      </c>
      <c r="AJ230" s="39">
        <f>IF(ISBLANK(V230),"",IF($P230="BRL",V230,V230*Macroindicadores!G$2)/1000)</f>
        <v>1.2935999999999999</v>
      </c>
      <c r="AK230" s="39">
        <f>IF(ISBLANK(W230),"",IF($P230="BRL",W230,W230*Macroindicadores!H$2)/1000)</f>
        <v>1.2935999999999999</v>
      </c>
      <c r="AL230" s="39">
        <f>IF(ISBLANK(X230),"",IF($P230="BRL",X230,X230*Macroindicadores!I$2)/1000)</f>
        <v>1.2935999999999999</v>
      </c>
      <c r="AM230" s="39">
        <f>IF(ISBLANK(Y230),"",IF($P230="BRL",Y230,Y230*Macroindicadores!J$2)/1000)</f>
        <v>1.2935999999999999</v>
      </c>
      <c r="AN230" s="39">
        <f>IF(ISBLANK(Z230),"",IF($P230="BRL",Z230,Z230*Macroindicadores!K$2)/1000)</f>
        <v>1.2935999999999999</v>
      </c>
      <c r="AO230" s="39">
        <f>IF(ISBLANK(AA230),"",IF($P230="BRL",AA230,AA230*Macroindicadores!L$2)/1000)</f>
        <v>1.2935999999999999</v>
      </c>
      <c r="AP230" s="39">
        <f>IF(ISBLANK(AB230),"",IF($P230="BRL",AB230,AB230*Macroindicadores!M$2)/1000)</f>
        <v>1.2935999999999999</v>
      </c>
      <c r="AQ230" s="40">
        <f t="shared" si="100"/>
        <v>15.523199999999997</v>
      </c>
      <c r="AS230" s="39">
        <f>IF(ISBLANK(Q230),"",IF(ISBLANK($O230),AE230,IF($J230="ANUAL",AE230*(1+Macroindicadores!B$7),IF(AND($I230="NOVO",MONTH($O230)=MONTH(AS$4)),AE230*(1+Macroindicadores!B$7),IF(AND($J230="PONTUAL",MONTH($O230)=MONTH(AS$4)),AE230*(1+Macroindicadores!B$7),IF(AND($J230="PONTUAL",MONTH($O230)&lt;MONTH(AS$4)),MIN(AR230:$AS230),IF(AND($I230="NOVO",MONTH($O230)&gt;MONTH(AS$4)),AE230,IF(MONTH($O230)&gt;MONTH(AS$4),AE230,IF(MONTH($O230)=MONTH(AS$4),AE230*(1+Macroindicadores!B$7),AR230)))))))))</f>
        <v>1.2935999999999999</v>
      </c>
      <c r="AT230" s="39">
        <f>IF(ISBLANK(R230),"",IF(ISBLANK($O230),AF230,IF($J230="ANUAL",AF230*(1+Macroindicadores!C$7),IF(AND($I230="NOVO",MONTH($O230)=MONTH(AT$4)),AF230*(1+Macroindicadores!C$7),IF(AND($J230="PONTUAL",MONTH($O230)=MONTH(AT$4)),AF230*(1+Macroindicadores!C$7),IF(AND($J230="PONTUAL",MONTH($O230)&lt;MONTH(AT$4)),MIN($AS230:AS230),IF(AND($I230="NOVO",MONTH($O230)&gt;MONTH(AT$4)),AF230,IF(MONTH($O230)&gt;MONTH(AT$4),AF230,IF(MONTH($O230)=MONTH(AT$4),AF230*(1+Macroindicadores!C$7),AS230)))))))))</f>
        <v>1.2935999999999999</v>
      </c>
      <c r="AU230" s="39">
        <f>IF(ISBLANK(S230),"",IF(ISBLANK($O230),AG230,IF($J230="ANUAL",AG230*(1+Macroindicadores!D$7),IF(AND($I230="NOVO",MONTH($O230)=MONTH(AU$4)),AG230*(1+Macroindicadores!D$7),IF(AND($J230="PONTUAL",MONTH($O230)=MONTH(AU$4)),AG230*(1+Macroindicadores!D$7),IF(AND($J230="PONTUAL",MONTH($O230)&lt;MONTH(AU$4)),MIN($AS230:AT230),IF(AND($I230="NOVO",MONTH($O230)&gt;MONTH(AU$4)),AG230,IF(MONTH($O230)&gt;MONTH(AU$4),AG230,IF(MONTH($O230)=MONTH(AU$4),AG230*(1+Macroindicadores!D$7),AT230)))))))))</f>
        <v>1.2935999999999999</v>
      </c>
      <c r="AV230" s="39">
        <f>IF(ISBLANK(T230),"",IF(ISBLANK($O230),AH230,IF($J230="ANUAL",AH230*(1+Macroindicadores!E$7),IF(AND($I230="NOVO",MONTH($O230)=MONTH(AV$4)),AH230*(1+Macroindicadores!E$7),IF(AND($J230="PONTUAL",MONTH($O230)=MONTH(AV$4)),AH230*(1+Macroindicadores!E$7),IF(AND($J230="PONTUAL",MONTH($O230)&lt;MONTH(AV$4)),MIN($AS230:AU230),IF(AND($I230="NOVO",MONTH($O230)&gt;MONTH(AV$4)),AH230,IF(MONTH($O230)&gt;MONTH(AV$4),AH230,IF(MONTH($O230)=MONTH(AV$4),AH230*(1+Macroindicadores!E$7),AU230)))))))))</f>
        <v>1.2935999999999999</v>
      </c>
      <c r="AW230" s="39">
        <f>IF(ISBLANK(U230),"",IF(ISBLANK($O230),AI230,IF($J230="ANUAL",AI230*(1+Macroindicadores!F$7),IF(AND($I230="NOVO",MONTH($O230)=MONTH(AW$4)),AI230*(1+Macroindicadores!F$7),IF(AND($J230="PONTUAL",MONTH($O230)=MONTH(AW$4)),AI230*(1+Macroindicadores!F$7),IF(AND($J230="PONTUAL",MONTH($O230)&lt;MONTH(AW$4)),MIN($AS230:AV230),IF(AND($I230="NOVO",MONTH($O230)&gt;MONTH(AW$4)),AI230,IF(MONTH($O230)&gt;MONTH(AW$4),AI230,IF(MONTH($O230)=MONTH(AW$4),AI230*(1+Macroindicadores!F$7),AV230)))))))))</f>
        <v>1.2935999999999999</v>
      </c>
      <c r="AX230" s="39">
        <f>IF(ISBLANK(V230),"",IF(ISBLANK($O230),AJ230,IF($J230="ANUAL",AJ230*(1+Macroindicadores!G$7),IF(AND($I230="NOVO",MONTH($O230)=MONTH(AX$4)),AJ230*(1+Macroindicadores!G$7),IF(AND($J230="PONTUAL",MONTH($O230)=MONTH(AX$4)),AJ230*(1+Macroindicadores!G$7),IF(AND($J230="PONTUAL",MONTH($O230)&lt;MONTH(AX$4)),MIN($AS230:AW230),IF(AND($I230="NOVO",MONTH($O230)&gt;MONTH(AX$4)),AJ230,IF(MONTH($O230)&gt;MONTH(AX$4),AJ230,IF(MONTH($O230)=MONTH(AX$4),AJ230*(1+Macroindicadores!G$7),AW230)))))))))</f>
        <v>1.2935999999999999</v>
      </c>
      <c r="AY230" s="39">
        <f>IF(ISBLANK(W230),"",IF(ISBLANK($O230),AK230,IF($J230="ANUAL",AK230*(1+Macroindicadores!H$7),IF(AND($I230="NOVO",MONTH($O230)=MONTH(AY$4)),AK230*(1+Macroindicadores!H$7),IF(AND($J230="PONTUAL",MONTH($O230)=MONTH(AY$4)),AK230*(1+Macroindicadores!H$7),IF(AND($J230="PONTUAL",MONTH($O230)&lt;MONTH(AY$4)),MIN($AS230:AX230),IF(AND($I230="NOVO",MONTH($O230)&gt;MONTH(AY$4)),AK230,IF(MONTH($O230)&gt;MONTH(AY$4),AK230,IF(MONTH($O230)=MONTH(AY$4),AK230*(1+Macroindicadores!H$7),AX230)))))))))</f>
        <v>1.2935999999999999</v>
      </c>
      <c r="AZ230" s="39">
        <f>IF(ISBLANK(X230),"",IF(ISBLANK($O230),AL230,IF($J230="ANUAL",AL230*(1+Macroindicadores!I$7),IF(AND($I230="NOVO",MONTH($O230)=MONTH(AZ$4)),AL230*(1+Macroindicadores!I$7),IF(AND($J230="PONTUAL",MONTH($O230)=MONTH(AZ$4)),AL230*(1+Macroindicadores!I$7),IF(AND($J230="PONTUAL",MONTH($O230)&lt;MONTH(AZ$4)),MIN($AS230:AY230),IF(AND($I230="NOVO",MONTH($O230)&gt;MONTH(AZ$4)),AL230,IF(MONTH($O230)&gt;MONTH(AZ$4),AL230,IF(MONTH($O230)=MONTH(AZ$4),AL230*(1+Macroindicadores!I$7),AY230)))))))))</f>
        <v>1.2935999999999999</v>
      </c>
      <c r="BA230" s="39">
        <f>IF(ISBLANK(Y230),"",IF(ISBLANK($O230),AM230,IF($J230="ANUAL",AM230*(1+Macroindicadores!J$7),IF(AND($I230="NOVO",MONTH($O230)=MONTH(BA$4)),AM230*(1+Macroindicadores!J$7),IF(AND($J230="PONTUAL",MONTH($O230)=MONTH(BA$4)),AM230*(1+Macroindicadores!J$7),IF(AND($J230="PONTUAL",MONTH($O230)&lt;MONTH(BA$4)),MIN($AS230:AZ230),IF(AND($I230="NOVO",MONTH($O230)&gt;MONTH(BA$4)),AM230,IF(MONTH($O230)&gt;MONTH(BA$4),AM230,IF(MONTH($O230)=MONTH(BA$4),AM230*(1+Macroindicadores!J$7),AZ230)))))))))</f>
        <v>1.2935999999999999</v>
      </c>
      <c r="BB230" s="39">
        <f>IF(ISBLANK(Z230),"",IF(ISBLANK($O230),AN230,IF($J230="ANUAL",AN230*(1+Macroindicadores!K$7),IF(AND($I230="NOVO",MONTH($O230)=MONTH(BB$4)),AN230*(1+Macroindicadores!K$7),IF(AND($J230="PONTUAL",MONTH($O230)=MONTH(BB$4)),AN230*(1+Macroindicadores!K$7),IF(AND($J230="PONTUAL",MONTH($O230)&lt;MONTH(BB$4)),MIN($AS230:BA230),IF(AND($I230="NOVO",MONTH($O230)&gt;MONTH(BB$4)),AN230,IF(MONTH($O230)&gt;MONTH(BB$4),AN230,IF(MONTH($O230)=MONTH(BB$4),AN230*(1+Macroindicadores!K$7),BA230)))))))))</f>
        <v>1.2935999999999999</v>
      </c>
      <c r="BC230" s="39">
        <f>IF(ISBLANK(AA230),"",IF(ISBLANK($O230),AO230,IF($J230="ANUAL",AO230*(1+Macroindicadores!L$7),IF(AND($I230="NOVO",MONTH($O230)=MONTH(BC$4)),AO230*(1+Macroindicadores!L$7),IF(AND($J230="PONTUAL",MONTH($O230)=MONTH(BC$4)),AO230*(1+Macroindicadores!L$7),IF(AND($J230="PONTUAL",MONTH($O230)&lt;MONTH(BC$4)),MIN($AS230:BB230),IF(AND($I230="NOVO",MONTH($O230)&gt;MONTH(BC$4)),AO230,IF(MONTH($O230)&gt;MONTH(BC$4),AO230,IF(MONTH($O230)=MONTH(BC$4),AO230*(1+Macroindicadores!L$7),BB230)))))))))</f>
        <v>1.2935999999999999</v>
      </c>
      <c r="BD230" s="39">
        <f>IF(ISBLANK(AB230),"",IF(ISBLANK($O230),AP230,IF($J230="ANUAL",AP230*(1+Macroindicadores!M$7),IF(AND($I230="NOVO",MONTH($O230)=MONTH(BD$4)),AP230*(1+Macroindicadores!M$7),IF(AND($J230="PONTUAL",MONTH($O230)=MONTH(BD$4)),AP230*(1+Macroindicadores!M$7),IF(AND($J230="PONTUAL",MONTH($O230)&lt;MONTH(BD$4)),MIN($AS230:BC230),IF(AND($I230="NOVO",MONTH($O230)&gt;MONTH(BD$4)),AP230,IF(MONTH($O230)&gt;MONTH(BD$4),AP230,IF(MONTH($O230)=MONTH(BD$4),AP230*(1+Macroindicadores!M$7),BC230)))))))))</f>
        <v>1.2935999999999999</v>
      </c>
      <c r="BE230" s="40">
        <f t="shared" si="101"/>
        <v>15.523199999999997</v>
      </c>
      <c r="BG230" s="39">
        <f>IF(ISBLANK(Q230),"",AS230/Macroindicadores!B$2)</f>
        <v>0.21999999999999997</v>
      </c>
      <c r="BH230" s="39">
        <f>IF(ISBLANK(R230),"",AT230/Macroindicadores!C$2)</f>
        <v>0.21999999999999997</v>
      </c>
      <c r="BI230" s="39">
        <f>IF(ISBLANK(S230),"",AU230/Macroindicadores!D$2)</f>
        <v>0.21999999999999997</v>
      </c>
      <c r="BJ230" s="39">
        <f>IF(ISBLANK(T230),"",AV230/Macroindicadores!E$2)</f>
        <v>0.21999999999999997</v>
      </c>
      <c r="BK230" s="39">
        <f>IF(ISBLANK(U230),"",AW230/Macroindicadores!F$2)</f>
        <v>0.21999999999999997</v>
      </c>
      <c r="BL230" s="39">
        <f>IF(ISBLANK(V230),"",AX230/Macroindicadores!G$2)</f>
        <v>0.21999999999999997</v>
      </c>
      <c r="BM230" s="39">
        <f>IF(ISBLANK(W230),"",AY230/Macroindicadores!H$2)</f>
        <v>0.21999999999999997</v>
      </c>
      <c r="BN230" s="39">
        <f>IF(ISBLANK(X230),"",AZ230/Macroindicadores!I$2)</f>
        <v>0.21999999999999997</v>
      </c>
      <c r="BO230" s="39">
        <f>IF(ISBLANK(Y230),"",BA230/Macroindicadores!J$2)</f>
        <v>0.21999999999999997</v>
      </c>
      <c r="BP230" s="39">
        <f>IF(ISBLANK(Z230),"",BB230/Macroindicadores!K$2)</f>
        <v>0.21999999999999997</v>
      </c>
      <c r="BQ230" s="39">
        <f>IF(ISBLANK(AA230),"",BC230/Macroindicadores!L$2)</f>
        <v>0.21999999999999997</v>
      </c>
      <c r="BR230" s="39">
        <f>IF(ISBLANK(AB230),"",BD230/Macroindicadores!M$2)</f>
        <v>0.21999999999999997</v>
      </c>
      <c r="BS230" s="40">
        <f>IF(AND(ISBLANK($Q230),ISBLANK($R230),ISBLANK($S230),ISBLANK($T230),ISBLANK($U230),ISBLANK($V230),ISBLANK($W230),ISBLANK($X230),ISBLANK($Y230),ISBLANK($Z230),ISBLANK($AA230),ISBLANK($AB230)),"",SUM(BG230:BR230))</f>
        <v>2.6399999999999997</v>
      </c>
      <c r="BT230" s="25" t="str">
        <f>IF(ISBLANK($L230),"",_xlfn.XLOOKUP($L230,'CENTRO CUSTO'!$A:$A,'CENTRO CUSTO'!$E:$E,FALSE,0))</f>
        <v>G&amp;A BU</v>
      </c>
    </row>
    <row r="231" spans="1:72">
      <c r="A231" s="9" t="str">
        <f t="shared" si="80"/>
        <v>Budget</v>
      </c>
      <c r="B231" s="9">
        <f t="shared" si="77"/>
        <v>2026</v>
      </c>
      <c r="C231" s="18" t="str">
        <f>IF(ISBLANK($L231),"",_xlfn.XLOOKUP($L231,'CENTRO CUSTO'!$A:$A,'CENTRO CUSTO'!F:F,FALSE,0))</f>
        <v>Martini Meat</v>
      </c>
      <c r="D231" s="111" t="str">
        <f>IF(ISBLANK($L231),"",_xlfn.XLOOKUP($L231,'CENTRO CUSTO'!$A:$A,'CENTRO CUSTO'!G:G,FALSE,0))</f>
        <v>BU-MMAZ</v>
      </c>
      <c r="E231" s="18" t="str">
        <f>IF(ISBLANK($L231),"",_xlfn.XLOOKUP($L231,'CENTRO CUSTO'!$A:$A,'CENTRO CUSTO'!H:H,FALSE,0))</f>
        <v>G&amp;A</v>
      </c>
      <c r="F231" s="10" t="s">
        <v>226</v>
      </c>
      <c r="G231" s="10" t="s">
        <v>75</v>
      </c>
      <c r="H231" s="10" t="s">
        <v>227</v>
      </c>
      <c r="I231" s="11" t="s">
        <v>84</v>
      </c>
      <c r="J231" s="11" t="s">
        <v>78</v>
      </c>
      <c r="K231" s="11" t="s">
        <v>121</v>
      </c>
      <c r="L231" s="11" t="s">
        <v>35</v>
      </c>
      <c r="M231" s="18" t="str">
        <f>IF(ISBLANK($L231),"",_xlfn.XLOOKUP($L231,'CENTRO CUSTO'!$A:$A,'CENTRO CUSTO'!D:D,FALSE,0))</f>
        <v>Alexandre Ayabe</v>
      </c>
      <c r="N231" s="11" t="s">
        <v>87</v>
      </c>
      <c r="O231" s="12"/>
      <c r="P231" s="11" t="s">
        <v>88</v>
      </c>
      <c r="Q231" s="41">
        <f>2664/12</f>
        <v>222</v>
      </c>
      <c r="R231" s="41">
        <f t="shared" ref="R231:AB231" si="103">2664/12</f>
        <v>222</v>
      </c>
      <c r="S231" s="41">
        <f t="shared" si="103"/>
        <v>222</v>
      </c>
      <c r="T231" s="41">
        <f t="shared" si="103"/>
        <v>222</v>
      </c>
      <c r="U231" s="41">
        <f t="shared" si="103"/>
        <v>222</v>
      </c>
      <c r="V231" s="41">
        <f t="shared" si="103"/>
        <v>222</v>
      </c>
      <c r="W231" s="41">
        <f t="shared" si="103"/>
        <v>222</v>
      </c>
      <c r="X231" s="41">
        <f t="shared" si="103"/>
        <v>222</v>
      </c>
      <c r="Y231" s="41">
        <f t="shared" si="103"/>
        <v>222</v>
      </c>
      <c r="Z231" s="41">
        <f t="shared" si="103"/>
        <v>222</v>
      </c>
      <c r="AA231" s="41">
        <f t="shared" si="103"/>
        <v>222</v>
      </c>
      <c r="AB231" s="41">
        <f t="shared" si="103"/>
        <v>222</v>
      </c>
      <c r="AC231" s="116">
        <f t="shared" si="99"/>
        <v>2664</v>
      </c>
      <c r="AE231" s="39">
        <f>IF(ISBLANK(Q231),"",IF($P231="BRL",Q231,Q231*Macroindicadores!B$2)/1000)</f>
        <v>1.3053599999999999</v>
      </c>
      <c r="AF231" s="39">
        <f>IF(ISBLANK(R231),"",IF($P231="BRL",R231,R231*Macroindicadores!C$2)/1000)</f>
        <v>1.3053599999999999</v>
      </c>
      <c r="AG231" s="39">
        <f>IF(ISBLANK(S231),"",IF($P231="BRL",S231,S231*Macroindicadores!D$2)/1000)</f>
        <v>1.3053599999999999</v>
      </c>
      <c r="AH231" s="39">
        <f>IF(ISBLANK(T231),"",IF($P231="BRL",T231,T231*Macroindicadores!E$2)/1000)</f>
        <v>1.3053599999999999</v>
      </c>
      <c r="AI231" s="39">
        <f>IF(ISBLANK(U231),"",IF($P231="BRL",U231,U231*Macroindicadores!F$2)/1000)</f>
        <v>1.3053599999999999</v>
      </c>
      <c r="AJ231" s="39">
        <f>IF(ISBLANK(V231),"",IF($P231="BRL",V231,V231*Macroindicadores!G$2)/1000)</f>
        <v>1.3053599999999999</v>
      </c>
      <c r="AK231" s="39">
        <f>IF(ISBLANK(W231),"",IF($P231="BRL",W231,W231*Macroindicadores!H$2)/1000)</f>
        <v>1.3053599999999999</v>
      </c>
      <c r="AL231" s="39">
        <f>IF(ISBLANK(X231),"",IF($P231="BRL",X231,X231*Macroindicadores!I$2)/1000)</f>
        <v>1.3053599999999999</v>
      </c>
      <c r="AM231" s="39">
        <f>IF(ISBLANK(Y231),"",IF($P231="BRL",Y231,Y231*Macroindicadores!J$2)/1000)</f>
        <v>1.3053599999999999</v>
      </c>
      <c r="AN231" s="39">
        <f>IF(ISBLANK(Z231),"",IF($P231="BRL",Z231,Z231*Macroindicadores!K$2)/1000)</f>
        <v>1.3053599999999999</v>
      </c>
      <c r="AO231" s="39">
        <f>IF(ISBLANK(AA231),"",IF($P231="BRL",AA231,AA231*Macroindicadores!L$2)/1000)</f>
        <v>1.3053599999999999</v>
      </c>
      <c r="AP231" s="39">
        <f>IF(ISBLANK(AB231),"",IF($P231="BRL",AB231,AB231*Macroindicadores!M$2)/1000)</f>
        <v>1.3053599999999999</v>
      </c>
      <c r="AQ231" s="40">
        <f t="shared" si="100"/>
        <v>15.664320000000002</v>
      </c>
      <c r="AS231" s="39">
        <f>IF(ISBLANK(Q231),"",IF(ISBLANK($O231),AE231,IF($J231="ANUAL",AE231*(1+Macroindicadores!B$7),IF(AND($I231="NOVO",MONTH($O231)=MONTH(AS$4)),AE231*(1+Macroindicadores!B$7),IF(AND($J231="PONTUAL",MONTH($O231)=MONTH(AS$4)),AE231*(1+Macroindicadores!B$7),IF(AND($J231="PONTUAL",MONTH($O231)&lt;MONTH(AS$4)),MIN(AR231:$AS231),IF(AND($I231="NOVO",MONTH($O231)&gt;MONTH(AS$4)),AE231,IF(MONTH($O231)&gt;MONTH(AS$4),AE231,IF(MONTH($O231)=MONTH(AS$4),AE231*(1+Macroindicadores!B$7),AR231)))))))))</f>
        <v>1.3053599999999999</v>
      </c>
      <c r="AT231" s="39">
        <f>IF(ISBLANK(R231),"",IF(ISBLANK($O231),AF231,IF($J231="ANUAL",AF231*(1+Macroindicadores!C$7),IF(AND($I231="NOVO",MONTH($O231)=MONTH(AT$4)),AF231*(1+Macroindicadores!C$7),IF(AND($J231="PONTUAL",MONTH($O231)=MONTH(AT$4)),AF231*(1+Macroindicadores!C$7),IF(AND($J231="PONTUAL",MONTH($O231)&lt;MONTH(AT$4)),MIN($AS231:AS231),IF(AND($I231="NOVO",MONTH($O231)&gt;MONTH(AT$4)),AF231,IF(MONTH($O231)&gt;MONTH(AT$4),AF231,IF(MONTH($O231)=MONTH(AT$4),AF231*(1+Macroindicadores!C$7),AS231)))))))))</f>
        <v>1.3053599999999999</v>
      </c>
      <c r="AU231" s="39">
        <f>IF(ISBLANK(S231),"",IF(ISBLANK($O231),AG231,IF($J231="ANUAL",AG231*(1+Macroindicadores!D$7),IF(AND($I231="NOVO",MONTH($O231)=MONTH(AU$4)),AG231*(1+Macroindicadores!D$7),IF(AND($J231="PONTUAL",MONTH($O231)=MONTH(AU$4)),AG231*(1+Macroindicadores!D$7),IF(AND($J231="PONTUAL",MONTH($O231)&lt;MONTH(AU$4)),MIN($AS231:AT231),IF(AND($I231="NOVO",MONTH($O231)&gt;MONTH(AU$4)),AG231,IF(MONTH($O231)&gt;MONTH(AU$4),AG231,IF(MONTH($O231)=MONTH(AU$4),AG231*(1+Macroindicadores!D$7),AT231)))))))))</f>
        <v>1.3053599999999999</v>
      </c>
      <c r="AV231" s="39">
        <f>IF(ISBLANK(T231),"",IF(ISBLANK($O231),AH231,IF($J231="ANUAL",AH231*(1+Macroindicadores!E$7),IF(AND($I231="NOVO",MONTH($O231)=MONTH(AV$4)),AH231*(1+Macroindicadores!E$7),IF(AND($J231="PONTUAL",MONTH($O231)=MONTH(AV$4)),AH231*(1+Macroindicadores!E$7),IF(AND($J231="PONTUAL",MONTH($O231)&lt;MONTH(AV$4)),MIN($AS231:AU231),IF(AND($I231="NOVO",MONTH($O231)&gt;MONTH(AV$4)),AH231,IF(MONTH($O231)&gt;MONTH(AV$4),AH231,IF(MONTH($O231)=MONTH(AV$4),AH231*(1+Macroindicadores!E$7),AU231)))))))))</f>
        <v>1.3053599999999999</v>
      </c>
      <c r="AW231" s="39">
        <f>IF(ISBLANK(U231),"",IF(ISBLANK($O231),AI231,IF($J231="ANUAL",AI231*(1+Macroindicadores!F$7),IF(AND($I231="NOVO",MONTH($O231)=MONTH(AW$4)),AI231*(1+Macroindicadores!F$7),IF(AND($J231="PONTUAL",MONTH($O231)=MONTH(AW$4)),AI231*(1+Macroindicadores!F$7),IF(AND($J231="PONTUAL",MONTH($O231)&lt;MONTH(AW$4)),MIN($AS231:AV231),IF(AND($I231="NOVO",MONTH($O231)&gt;MONTH(AW$4)),AI231,IF(MONTH($O231)&gt;MONTH(AW$4),AI231,IF(MONTH($O231)=MONTH(AW$4),AI231*(1+Macroindicadores!F$7),AV231)))))))))</f>
        <v>1.3053599999999999</v>
      </c>
      <c r="AX231" s="39">
        <f>IF(ISBLANK(V231),"",IF(ISBLANK($O231),AJ231,IF($J231="ANUAL",AJ231*(1+Macroindicadores!G$7),IF(AND($I231="NOVO",MONTH($O231)=MONTH(AX$4)),AJ231*(1+Macroindicadores!G$7),IF(AND($J231="PONTUAL",MONTH($O231)=MONTH(AX$4)),AJ231*(1+Macroindicadores!G$7),IF(AND($J231="PONTUAL",MONTH($O231)&lt;MONTH(AX$4)),MIN($AS231:AW231),IF(AND($I231="NOVO",MONTH($O231)&gt;MONTH(AX$4)),AJ231,IF(MONTH($O231)&gt;MONTH(AX$4),AJ231,IF(MONTH($O231)=MONTH(AX$4),AJ231*(1+Macroindicadores!G$7),AW231)))))))))</f>
        <v>1.3053599999999999</v>
      </c>
      <c r="AY231" s="39">
        <f>IF(ISBLANK(W231),"",IF(ISBLANK($O231),AK231,IF($J231="ANUAL",AK231*(1+Macroindicadores!H$7),IF(AND($I231="NOVO",MONTH($O231)=MONTH(AY$4)),AK231*(1+Macroindicadores!H$7),IF(AND($J231="PONTUAL",MONTH($O231)=MONTH(AY$4)),AK231*(1+Macroindicadores!H$7),IF(AND($J231="PONTUAL",MONTH($O231)&lt;MONTH(AY$4)),MIN($AS231:AX231),IF(AND($I231="NOVO",MONTH($O231)&gt;MONTH(AY$4)),AK231,IF(MONTH($O231)&gt;MONTH(AY$4),AK231,IF(MONTH($O231)=MONTH(AY$4),AK231*(1+Macroindicadores!H$7),AX231)))))))))</f>
        <v>1.3053599999999999</v>
      </c>
      <c r="AZ231" s="39">
        <f>IF(ISBLANK(X231),"",IF(ISBLANK($O231),AL231,IF($J231="ANUAL",AL231*(1+Macroindicadores!I$7),IF(AND($I231="NOVO",MONTH($O231)=MONTH(AZ$4)),AL231*(1+Macroindicadores!I$7),IF(AND($J231="PONTUAL",MONTH($O231)=MONTH(AZ$4)),AL231*(1+Macroindicadores!I$7),IF(AND($J231="PONTUAL",MONTH($O231)&lt;MONTH(AZ$4)),MIN($AS231:AY231),IF(AND($I231="NOVO",MONTH($O231)&gt;MONTH(AZ$4)),AL231,IF(MONTH($O231)&gt;MONTH(AZ$4),AL231,IF(MONTH($O231)=MONTH(AZ$4),AL231*(1+Macroindicadores!I$7),AY231)))))))))</f>
        <v>1.3053599999999999</v>
      </c>
      <c r="BA231" s="39">
        <f>IF(ISBLANK(Y231),"",IF(ISBLANK($O231),AM231,IF($J231="ANUAL",AM231*(1+Macroindicadores!J$7),IF(AND($I231="NOVO",MONTH($O231)=MONTH(BA$4)),AM231*(1+Macroindicadores!J$7),IF(AND($J231="PONTUAL",MONTH($O231)=MONTH(BA$4)),AM231*(1+Macroindicadores!J$7),IF(AND($J231="PONTUAL",MONTH($O231)&lt;MONTH(BA$4)),MIN($AS231:AZ231),IF(AND($I231="NOVO",MONTH($O231)&gt;MONTH(BA$4)),AM231,IF(MONTH($O231)&gt;MONTH(BA$4),AM231,IF(MONTH($O231)=MONTH(BA$4),AM231*(1+Macroindicadores!J$7),AZ231)))))))))</f>
        <v>1.3053599999999999</v>
      </c>
      <c r="BB231" s="39">
        <f>IF(ISBLANK(Z231),"",IF(ISBLANK($O231),AN231,IF($J231="ANUAL",AN231*(1+Macroindicadores!K$7),IF(AND($I231="NOVO",MONTH($O231)=MONTH(BB$4)),AN231*(1+Macroindicadores!K$7),IF(AND($J231="PONTUAL",MONTH($O231)=MONTH(BB$4)),AN231*(1+Macroindicadores!K$7),IF(AND($J231="PONTUAL",MONTH($O231)&lt;MONTH(BB$4)),MIN($AS231:BA231),IF(AND($I231="NOVO",MONTH($O231)&gt;MONTH(BB$4)),AN231,IF(MONTH($O231)&gt;MONTH(BB$4),AN231,IF(MONTH($O231)=MONTH(BB$4),AN231*(1+Macroindicadores!K$7),BA231)))))))))</f>
        <v>1.3053599999999999</v>
      </c>
      <c r="BC231" s="39">
        <f>IF(ISBLANK(AA231),"",IF(ISBLANK($O231),AO231,IF($J231="ANUAL",AO231*(1+Macroindicadores!L$7),IF(AND($I231="NOVO",MONTH($O231)=MONTH(BC$4)),AO231*(1+Macroindicadores!L$7),IF(AND($J231="PONTUAL",MONTH($O231)=MONTH(BC$4)),AO231*(1+Macroindicadores!L$7),IF(AND($J231="PONTUAL",MONTH($O231)&lt;MONTH(BC$4)),MIN($AS231:BB231),IF(AND($I231="NOVO",MONTH($O231)&gt;MONTH(BC$4)),AO231,IF(MONTH($O231)&gt;MONTH(BC$4),AO231,IF(MONTH($O231)=MONTH(BC$4),AO231*(1+Macroindicadores!L$7),BB231)))))))))</f>
        <v>1.3053599999999999</v>
      </c>
      <c r="BD231" s="39">
        <f>IF(ISBLANK(AB231),"",IF(ISBLANK($O231),AP231,IF($J231="ANUAL",AP231*(1+Macroindicadores!M$7),IF(AND($I231="NOVO",MONTH($O231)=MONTH(BD$4)),AP231*(1+Macroindicadores!M$7),IF(AND($J231="PONTUAL",MONTH($O231)=MONTH(BD$4)),AP231*(1+Macroindicadores!M$7),IF(AND($J231="PONTUAL",MONTH($O231)&lt;MONTH(BD$4)),MIN($AS231:BC231),IF(AND($I231="NOVO",MONTH($O231)&gt;MONTH(BD$4)),AP231,IF(MONTH($O231)&gt;MONTH(BD$4),AP231,IF(MONTH($O231)=MONTH(BD$4),AP231*(1+Macroindicadores!M$7),BC231)))))))))</f>
        <v>1.3053599999999999</v>
      </c>
      <c r="BE231" s="40">
        <f t="shared" si="101"/>
        <v>15.664320000000002</v>
      </c>
      <c r="BG231" s="39">
        <f>IF(ISBLANK(Q231),"",AS231/Macroindicadores!B$2)</f>
        <v>0.22199999999999998</v>
      </c>
      <c r="BH231" s="39">
        <f>IF(ISBLANK(R231),"",AT231/Macroindicadores!C$2)</f>
        <v>0.22199999999999998</v>
      </c>
      <c r="BI231" s="39">
        <f>IF(ISBLANK(S231),"",AU231/Macroindicadores!D$2)</f>
        <v>0.22199999999999998</v>
      </c>
      <c r="BJ231" s="39">
        <f>IF(ISBLANK(T231),"",AV231/Macroindicadores!E$2)</f>
        <v>0.22199999999999998</v>
      </c>
      <c r="BK231" s="39">
        <f>IF(ISBLANK(U231),"",AW231/Macroindicadores!F$2)</f>
        <v>0.22199999999999998</v>
      </c>
      <c r="BL231" s="39">
        <f>IF(ISBLANK(V231),"",AX231/Macroindicadores!G$2)</f>
        <v>0.22199999999999998</v>
      </c>
      <c r="BM231" s="39">
        <f>IF(ISBLANK(W231),"",AY231/Macroindicadores!H$2)</f>
        <v>0.22199999999999998</v>
      </c>
      <c r="BN231" s="39">
        <f>IF(ISBLANK(X231),"",AZ231/Macroindicadores!I$2)</f>
        <v>0.22199999999999998</v>
      </c>
      <c r="BO231" s="39">
        <f>IF(ISBLANK(Y231),"",BA231/Macroindicadores!J$2)</f>
        <v>0.22199999999999998</v>
      </c>
      <c r="BP231" s="39">
        <f>IF(ISBLANK(Z231),"",BB231/Macroindicadores!K$2)</f>
        <v>0.22199999999999998</v>
      </c>
      <c r="BQ231" s="39">
        <f>IF(ISBLANK(AA231),"",BC231/Macroindicadores!L$2)</f>
        <v>0.22199999999999998</v>
      </c>
      <c r="BR231" s="39">
        <f>IF(ISBLANK(AB231),"",BD231/Macroindicadores!M$2)</f>
        <v>0.22199999999999998</v>
      </c>
      <c r="BS231" s="40">
        <f>IF(AND(ISBLANK($Q231),ISBLANK($R231),ISBLANK($S231),ISBLANK($T231),ISBLANK($U231),ISBLANK($V231),ISBLANK($W231),ISBLANK($X231),ISBLANK($Y231),ISBLANK($Z231),ISBLANK($AA231),ISBLANK($AB231)),"",SUM(BG231:BR231))</f>
        <v>2.6639999999999997</v>
      </c>
      <c r="BT231" s="25" t="str">
        <f>IF(ISBLANK($L231),"",_xlfn.XLOOKUP($L231,'CENTRO CUSTO'!$A:$A,'CENTRO CUSTO'!$E:$E,FALSE,0))</f>
        <v>G&amp;A BU</v>
      </c>
    </row>
    <row r="232" spans="1:72">
      <c r="A232" s="9" t="str">
        <f t="shared" si="80"/>
        <v>Budget</v>
      </c>
      <c r="B232" s="9">
        <f t="shared" si="77"/>
        <v>2026</v>
      </c>
      <c r="C232" s="18" t="str">
        <f>IF(ISBLANK($L232),"",_xlfn.XLOOKUP($L232,'CENTRO CUSTO'!$A:$A,'CENTRO CUSTO'!F:F,FALSE,0))</f>
        <v>MRV</v>
      </c>
      <c r="D232" s="111" t="str">
        <f>IF(ISBLANK($L232),"",_xlfn.XLOOKUP($L232,'CENTRO CUSTO'!$A:$A,'CENTRO CUSTO'!G:G,FALSE,0))</f>
        <v>BU-MRV</v>
      </c>
      <c r="E232" s="18" t="str">
        <f>IF(ISBLANK($L232),"",_xlfn.XLOOKUP($L232,'CENTRO CUSTO'!$A:$A,'CENTRO CUSTO'!H:H,FALSE,0))</f>
        <v>G&amp;A</v>
      </c>
      <c r="F232" s="10" t="s">
        <v>226</v>
      </c>
      <c r="G232" s="10" t="s">
        <v>75</v>
      </c>
      <c r="H232" s="10" t="s">
        <v>227</v>
      </c>
      <c r="I232" s="11" t="s">
        <v>84</v>
      </c>
      <c r="J232" s="11" t="s">
        <v>78</v>
      </c>
      <c r="K232" s="11" t="s">
        <v>121</v>
      </c>
      <c r="L232" s="11" t="s">
        <v>45</v>
      </c>
      <c r="M232" s="18" t="str">
        <f>IF(ISBLANK($L232),"",_xlfn.XLOOKUP($L232,'CENTRO CUSTO'!$A:$A,'CENTRO CUSTO'!D:D,FALSE,0))</f>
        <v>Alexandre Ayabe</v>
      </c>
      <c r="N232" s="11" t="s">
        <v>87</v>
      </c>
      <c r="O232" s="12"/>
      <c r="P232" s="11"/>
      <c r="Q232" s="41"/>
      <c r="R232" s="41"/>
      <c r="S232" s="41"/>
      <c r="T232" s="41"/>
      <c r="U232" s="41"/>
      <c r="V232" s="41"/>
      <c r="W232" s="41"/>
      <c r="X232" s="41"/>
      <c r="Y232" s="41"/>
      <c r="Z232" s="41"/>
      <c r="AA232" s="41"/>
      <c r="AB232" s="41"/>
      <c r="AC232" s="116" t="str">
        <f t="shared" si="99"/>
        <v/>
      </c>
      <c r="AE232" s="39" t="str">
        <f>IF(ISBLANK(Q232),"",IF($P232="BRL",Q232,Q232*Macroindicadores!B$2)/1000)</f>
        <v/>
      </c>
      <c r="AF232" s="39" t="str">
        <f>IF(ISBLANK(R232),"",IF($P232="BRL",R232,R232*Macroindicadores!C$2)/1000)</f>
        <v/>
      </c>
      <c r="AG232" s="39" t="str">
        <f>IF(ISBLANK(S232),"",IF($P232="BRL",S232,S232*Macroindicadores!D$2)/1000)</f>
        <v/>
      </c>
      <c r="AH232" s="39" t="str">
        <f>IF(ISBLANK(T232),"",IF($P232="BRL",T232,T232*Macroindicadores!E$2)/1000)</f>
        <v/>
      </c>
      <c r="AI232" s="39" t="str">
        <f>IF(ISBLANK(U232),"",IF($P232="BRL",U232,U232*Macroindicadores!F$2)/1000)</f>
        <v/>
      </c>
      <c r="AJ232" s="39" t="str">
        <f>IF(ISBLANK(V232),"",IF($P232="BRL",V232,V232*Macroindicadores!G$2)/1000)</f>
        <v/>
      </c>
      <c r="AK232" s="39" t="str">
        <f>IF(ISBLANK(W232),"",IF($P232="BRL",W232,W232*Macroindicadores!H$2)/1000)</f>
        <v/>
      </c>
      <c r="AL232" s="39" t="str">
        <f>IF(ISBLANK(X232),"",IF($P232="BRL",X232,X232*Macroindicadores!I$2)/1000)</f>
        <v/>
      </c>
      <c r="AM232" s="39" t="str">
        <f>IF(ISBLANK(Y232),"",IF($P232="BRL",Y232,Y232*Macroindicadores!J$2)/1000)</f>
        <v/>
      </c>
      <c r="AN232" s="39" t="str">
        <f>IF(ISBLANK(Z232),"",IF($P232="BRL",Z232,Z232*Macroindicadores!K$2)/1000)</f>
        <v/>
      </c>
      <c r="AO232" s="39" t="str">
        <f>IF(ISBLANK(AA232),"",IF($P232="BRL",AA232,AA232*Macroindicadores!L$2)/1000)</f>
        <v/>
      </c>
      <c r="AP232" s="39" t="str">
        <f>IF(ISBLANK(AB232),"",IF($P232="BRL",AB232,AB232*Macroindicadores!M$2)/1000)</f>
        <v/>
      </c>
      <c r="AQ232" s="40" t="str">
        <f t="shared" si="100"/>
        <v/>
      </c>
      <c r="AS232" s="39" t="str">
        <f>IF(ISBLANK(Q232),"",IF(ISBLANK($O232),AE232,IF($J232="ANUAL",AE232*(1+Macroindicadores!B$7),IF(AND($I232="NOVO",MONTH($O232)=MONTH(AS$4)),AE232*(1+Macroindicadores!B$7),IF(AND($J232="PONTUAL",MONTH($O232)=MONTH(AS$4)),AE232*(1+Macroindicadores!B$7),IF(AND($J232="PONTUAL",MONTH($O232)&lt;MONTH(AS$4)),MIN(AR232:$AS232),IF(AND($I232="NOVO",MONTH($O232)&gt;MONTH(AS$4)),AE232,IF(MONTH($O232)&gt;MONTH(AS$4),AE232,IF(MONTH($O232)=MONTH(AS$4),AE232*(1+Macroindicadores!B$7),AR232)))))))))</f>
        <v/>
      </c>
      <c r="AT232" s="39" t="str">
        <f>IF(ISBLANK(R232),"",IF(ISBLANK($O232),AF232,IF($J232="ANUAL",AF232*(1+Macroindicadores!C$7),IF(AND($I232="NOVO",MONTH($O232)=MONTH(AT$4)),AF232*(1+Macroindicadores!C$7),IF(AND($J232="PONTUAL",MONTH($O232)=MONTH(AT$4)),AF232*(1+Macroindicadores!C$7),IF(AND($J232="PONTUAL",MONTH($O232)&lt;MONTH(AT$4)),MIN($AS232:AS232),IF(AND($I232="NOVO",MONTH($O232)&gt;MONTH(AT$4)),AF232,IF(MONTH($O232)&gt;MONTH(AT$4),AF232,IF(MONTH($O232)=MONTH(AT$4),AF232*(1+Macroindicadores!C$7),AS232)))))))))</f>
        <v/>
      </c>
      <c r="AU232" s="39" t="str">
        <f>IF(ISBLANK(S232),"",IF(ISBLANK($O232),AG232,IF($J232="ANUAL",AG232*(1+Macroindicadores!D$7),IF(AND($I232="NOVO",MONTH($O232)=MONTH(AU$4)),AG232*(1+Macroindicadores!D$7),IF(AND($J232="PONTUAL",MONTH($O232)=MONTH(AU$4)),AG232*(1+Macroindicadores!D$7),IF(AND($J232="PONTUAL",MONTH($O232)&lt;MONTH(AU$4)),MIN($AS232:AT232),IF(AND($I232="NOVO",MONTH($O232)&gt;MONTH(AU$4)),AG232,IF(MONTH($O232)&gt;MONTH(AU$4),AG232,IF(MONTH($O232)=MONTH(AU$4),AG232*(1+Macroindicadores!D$7),AT232)))))))))</f>
        <v/>
      </c>
      <c r="AV232" s="39" t="str">
        <f>IF(ISBLANK(T232),"",IF(ISBLANK($O232),AH232,IF($J232="ANUAL",AH232*(1+Macroindicadores!E$7),IF(AND($I232="NOVO",MONTH($O232)=MONTH(AV$4)),AH232*(1+Macroindicadores!E$7),IF(AND($J232="PONTUAL",MONTH($O232)=MONTH(AV$4)),AH232*(1+Macroindicadores!E$7),IF(AND($J232="PONTUAL",MONTH($O232)&lt;MONTH(AV$4)),MIN($AS232:AU232),IF(AND($I232="NOVO",MONTH($O232)&gt;MONTH(AV$4)),AH232,IF(MONTH($O232)&gt;MONTH(AV$4),AH232,IF(MONTH($O232)=MONTH(AV$4),AH232*(1+Macroindicadores!E$7),AU232)))))))))</f>
        <v/>
      </c>
      <c r="AW232" s="39" t="str">
        <f>IF(ISBLANK(U232),"",IF(ISBLANK($O232),AI232,IF($J232="ANUAL",AI232*(1+Macroindicadores!F$7),IF(AND($I232="NOVO",MONTH($O232)=MONTH(AW$4)),AI232*(1+Macroindicadores!F$7),IF(AND($J232="PONTUAL",MONTH($O232)=MONTH(AW$4)),AI232*(1+Macroindicadores!F$7),IF(AND($J232="PONTUAL",MONTH($O232)&lt;MONTH(AW$4)),MIN($AS232:AV232),IF(AND($I232="NOVO",MONTH($O232)&gt;MONTH(AW$4)),AI232,IF(MONTH($O232)&gt;MONTH(AW$4),AI232,IF(MONTH($O232)=MONTH(AW$4),AI232*(1+Macroindicadores!F$7),AV232)))))))))</f>
        <v/>
      </c>
      <c r="AX232" s="39" t="str">
        <f>IF(ISBLANK(V232),"",IF(ISBLANK($O232),AJ232,IF($J232="ANUAL",AJ232*(1+Macroindicadores!G$7),IF(AND($I232="NOVO",MONTH($O232)=MONTH(AX$4)),AJ232*(1+Macroindicadores!G$7),IF(AND($J232="PONTUAL",MONTH($O232)=MONTH(AX$4)),AJ232*(1+Macroindicadores!G$7),IF(AND($J232="PONTUAL",MONTH($O232)&lt;MONTH(AX$4)),MIN($AS232:AW232),IF(AND($I232="NOVO",MONTH($O232)&gt;MONTH(AX$4)),AJ232,IF(MONTH($O232)&gt;MONTH(AX$4),AJ232,IF(MONTH($O232)=MONTH(AX$4),AJ232*(1+Macroindicadores!G$7),AW232)))))))))</f>
        <v/>
      </c>
      <c r="AY232" s="39" t="str">
        <f>IF(ISBLANK(W232),"",IF(ISBLANK($O232),AK232,IF($J232="ANUAL",AK232*(1+Macroindicadores!H$7),IF(AND($I232="NOVO",MONTH($O232)=MONTH(AY$4)),AK232*(1+Macroindicadores!H$7),IF(AND($J232="PONTUAL",MONTH($O232)=MONTH(AY$4)),AK232*(1+Macroindicadores!H$7),IF(AND($J232="PONTUAL",MONTH($O232)&lt;MONTH(AY$4)),MIN($AS232:AX232),IF(AND($I232="NOVO",MONTH($O232)&gt;MONTH(AY$4)),AK232,IF(MONTH($O232)&gt;MONTH(AY$4),AK232,IF(MONTH($O232)=MONTH(AY$4),AK232*(1+Macroindicadores!H$7),AX232)))))))))</f>
        <v/>
      </c>
      <c r="AZ232" s="39" t="str">
        <f>IF(ISBLANK(X232),"",IF(ISBLANK($O232),AL232,IF($J232="ANUAL",AL232*(1+Macroindicadores!I$7),IF(AND($I232="NOVO",MONTH($O232)=MONTH(AZ$4)),AL232*(1+Macroindicadores!I$7),IF(AND($J232="PONTUAL",MONTH($O232)=MONTH(AZ$4)),AL232*(1+Macroindicadores!I$7),IF(AND($J232="PONTUAL",MONTH($O232)&lt;MONTH(AZ$4)),MIN($AS232:AY232),IF(AND($I232="NOVO",MONTH($O232)&gt;MONTH(AZ$4)),AL232,IF(MONTH($O232)&gt;MONTH(AZ$4),AL232,IF(MONTH($O232)=MONTH(AZ$4),AL232*(1+Macroindicadores!I$7),AY232)))))))))</f>
        <v/>
      </c>
      <c r="BA232" s="39" t="str">
        <f>IF(ISBLANK(Y232),"",IF(ISBLANK($O232),AM232,IF($J232="ANUAL",AM232*(1+Macroindicadores!J$7),IF(AND($I232="NOVO",MONTH($O232)=MONTH(BA$4)),AM232*(1+Macroindicadores!J$7),IF(AND($J232="PONTUAL",MONTH($O232)=MONTH(BA$4)),AM232*(1+Macroindicadores!J$7),IF(AND($J232="PONTUAL",MONTH($O232)&lt;MONTH(BA$4)),MIN($AS232:AZ232),IF(AND($I232="NOVO",MONTH($O232)&gt;MONTH(BA$4)),AM232,IF(MONTH($O232)&gt;MONTH(BA$4),AM232,IF(MONTH($O232)=MONTH(BA$4),AM232*(1+Macroindicadores!J$7),AZ232)))))))))</f>
        <v/>
      </c>
      <c r="BB232" s="39" t="str">
        <f>IF(ISBLANK(Z232),"",IF(ISBLANK($O232),AN232,IF($J232="ANUAL",AN232*(1+Macroindicadores!K$7),IF(AND($I232="NOVO",MONTH($O232)=MONTH(BB$4)),AN232*(1+Macroindicadores!K$7),IF(AND($J232="PONTUAL",MONTH($O232)=MONTH(BB$4)),AN232*(1+Macroindicadores!K$7),IF(AND($J232="PONTUAL",MONTH($O232)&lt;MONTH(BB$4)),MIN($AS232:BA232),IF(AND($I232="NOVO",MONTH($O232)&gt;MONTH(BB$4)),AN232,IF(MONTH($O232)&gt;MONTH(BB$4),AN232,IF(MONTH($O232)=MONTH(BB$4),AN232*(1+Macroindicadores!K$7),BA232)))))))))</f>
        <v/>
      </c>
      <c r="BC232" s="39" t="str">
        <f>IF(ISBLANK(AA232),"",IF(ISBLANK($O232),AO232,IF($J232="ANUAL",AO232*(1+Macroindicadores!L$7),IF(AND($I232="NOVO",MONTH($O232)=MONTH(BC$4)),AO232*(1+Macroindicadores!L$7),IF(AND($J232="PONTUAL",MONTH($O232)=MONTH(BC$4)),AO232*(1+Macroindicadores!L$7),IF(AND($J232="PONTUAL",MONTH($O232)&lt;MONTH(BC$4)),MIN($AS232:BB232),IF(AND($I232="NOVO",MONTH($O232)&gt;MONTH(BC$4)),AO232,IF(MONTH($O232)&gt;MONTH(BC$4),AO232,IF(MONTH($O232)=MONTH(BC$4),AO232*(1+Macroindicadores!L$7),BB232)))))))))</f>
        <v/>
      </c>
      <c r="BD232" s="39" t="str">
        <f>IF(ISBLANK(AB232),"",IF(ISBLANK($O232),AP232,IF($J232="ANUAL",AP232*(1+Macroindicadores!M$7),IF(AND($I232="NOVO",MONTH($O232)=MONTH(BD$4)),AP232*(1+Macroindicadores!M$7),IF(AND($J232="PONTUAL",MONTH($O232)=MONTH(BD$4)),AP232*(1+Macroindicadores!M$7),IF(AND($J232="PONTUAL",MONTH($O232)&lt;MONTH(BD$4)),MIN($AS232:BC232),IF(AND($I232="NOVO",MONTH($O232)&gt;MONTH(BD$4)),AP232,IF(MONTH($O232)&gt;MONTH(BD$4),AP232,IF(MONTH($O232)=MONTH(BD$4),AP232*(1+Macroindicadores!M$7),BC232)))))))))</f>
        <v/>
      </c>
      <c r="BE232" s="40" t="str">
        <f t="shared" si="101"/>
        <v/>
      </c>
      <c r="BG232" s="39" t="str">
        <f>IF(ISBLANK(Q232),"",AS232/Macroindicadores!B$2)</f>
        <v/>
      </c>
      <c r="BH232" s="39" t="str">
        <f>IF(ISBLANK(R232),"",AT232/Macroindicadores!C$2)</f>
        <v/>
      </c>
      <c r="BI232" s="39" t="str">
        <f>IF(ISBLANK(S232),"",AU232/Macroindicadores!D$2)</f>
        <v/>
      </c>
      <c r="BJ232" s="39" t="str">
        <f>IF(ISBLANK(T232),"",AV232/Macroindicadores!E$2)</f>
        <v/>
      </c>
      <c r="BK232" s="39" t="str">
        <f>IF(ISBLANK(U232),"",AW232/Macroindicadores!F$2)</f>
        <v/>
      </c>
      <c r="BL232" s="39" t="str">
        <f>IF(ISBLANK(V232),"",AX232/Macroindicadores!G$2)</f>
        <v/>
      </c>
      <c r="BM232" s="39" t="str">
        <f>IF(ISBLANK(W232),"",AY232/Macroindicadores!H$2)</f>
        <v/>
      </c>
      <c r="BN232" s="39" t="str">
        <f>IF(ISBLANK(X232),"",AZ232/Macroindicadores!I$2)</f>
        <v/>
      </c>
      <c r="BO232" s="39" t="str">
        <f>IF(ISBLANK(Y232),"",BA232/Macroindicadores!J$2)</f>
        <v/>
      </c>
      <c r="BP232" s="39" t="str">
        <f>IF(ISBLANK(Z232),"",BB232/Macroindicadores!K$2)</f>
        <v/>
      </c>
      <c r="BQ232" s="39" t="str">
        <f>IF(ISBLANK(AA232),"",BC232/Macroindicadores!L$2)</f>
        <v/>
      </c>
      <c r="BR232" s="39" t="str">
        <f>IF(ISBLANK(AB232),"",BD232/Macroindicadores!M$2)</f>
        <v/>
      </c>
      <c r="BS232" s="40" t="str">
        <f>IF(AND(ISBLANK($Q232),ISBLANK($R232),ISBLANK($S232),ISBLANK($T232),ISBLANK($U232),ISBLANK($V232),ISBLANK($W232),ISBLANK($X232),ISBLANK($Y232),ISBLANK($Z232),ISBLANK($AA232),ISBLANK($AB232)),"",SUM(BG232:BR232))</f>
        <v/>
      </c>
      <c r="BT232" s="25" t="str">
        <f>IF(ISBLANK($L232),"",_xlfn.XLOOKUP($L232,'CENTRO CUSTO'!$A:$A,'CENTRO CUSTO'!$E:$E,FALSE,0))</f>
        <v>G&amp;A BU</v>
      </c>
    </row>
    <row r="233" spans="1:72">
      <c r="A233" s="9" t="str">
        <f t="shared" si="80"/>
        <v>Budget</v>
      </c>
      <c r="B233" s="9">
        <f t="shared" si="77"/>
        <v>2026</v>
      </c>
      <c r="C233" s="18" t="str">
        <f>IF(ISBLANK($L233),"",_xlfn.XLOOKUP($L233,'CENTRO CUSTO'!$A:$A,'CENTRO CUSTO'!F:F,FALSE,0))</f>
        <v>SKM</v>
      </c>
      <c r="D233" s="111" t="str">
        <f>IF(ISBLANK($L233),"",_xlfn.XLOOKUP($L233,'CENTRO CUSTO'!$A:$A,'CENTRO CUSTO'!G:G,FALSE,0))</f>
        <v>BU-SKM</v>
      </c>
      <c r="E233" s="18" t="str">
        <f>IF(ISBLANK($L233),"",_xlfn.XLOOKUP($L233,'CENTRO CUSTO'!$A:$A,'CENTRO CUSTO'!H:H,FALSE,0))</f>
        <v>G&amp;A</v>
      </c>
      <c r="F233" s="10" t="s">
        <v>226</v>
      </c>
      <c r="G233" s="10" t="s">
        <v>75</v>
      </c>
      <c r="H233" s="10" t="s">
        <v>227</v>
      </c>
      <c r="I233" s="11" t="s">
        <v>84</v>
      </c>
      <c r="J233" s="11" t="s">
        <v>78</v>
      </c>
      <c r="K233" s="11" t="s">
        <v>121</v>
      </c>
      <c r="L233" s="11" t="s">
        <v>50</v>
      </c>
      <c r="M233" s="18" t="str">
        <f>IF(ISBLANK($L233),"",_xlfn.XLOOKUP($L233,'CENTRO CUSTO'!$A:$A,'CENTRO CUSTO'!D:D,FALSE,0))</f>
        <v>Alexandre Ayabe</v>
      </c>
      <c r="N233" s="11" t="s">
        <v>87</v>
      </c>
      <c r="O233" s="12"/>
      <c r="P233" s="11"/>
      <c r="Q233" s="41"/>
      <c r="R233" s="41"/>
      <c r="S233" s="41"/>
      <c r="T233" s="41"/>
      <c r="U233" s="41"/>
      <c r="V233" s="41"/>
      <c r="W233" s="41"/>
      <c r="X233" s="41"/>
      <c r="Y233" s="41"/>
      <c r="Z233" s="41"/>
      <c r="AA233" s="41"/>
      <c r="AB233" s="41"/>
      <c r="AC233" s="116" t="str">
        <f t="shared" si="99"/>
        <v/>
      </c>
      <c r="AE233" s="39" t="str">
        <f>IF(ISBLANK(Q233),"",IF($P233="BRL",Q233,Q233*Macroindicadores!B$2)/1000)</f>
        <v/>
      </c>
      <c r="AF233" s="39" t="str">
        <f>IF(ISBLANK(R233),"",IF($P233="BRL",R233,R233*Macroindicadores!C$2)/1000)</f>
        <v/>
      </c>
      <c r="AG233" s="39" t="str">
        <f>IF(ISBLANK(S233),"",IF($P233="BRL",S233,S233*Macroindicadores!D$2)/1000)</f>
        <v/>
      </c>
      <c r="AH233" s="39" t="str">
        <f>IF(ISBLANK(T233),"",IF($P233="BRL",T233,T233*Macroindicadores!E$2)/1000)</f>
        <v/>
      </c>
      <c r="AI233" s="39" t="str">
        <f>IF(ISBLANK(U233),"",IF($P233="BRL",U233,U233*Macroindicadores!F$2)/1000)</f>
        <v/>
      </c>
      <c r="AJ233" s="39" t="str">
        <f>IF(ISBLANK(V233),"",IF($P233="BRL",V233,V233*Macroindicadores!G$2)/1000)</f>
        <v/>
      </c>
      <c r="AK233" s="39" t="str">
        <f>IF(ISBLANK(W233),"",IF($P233="BRL",W233,W233*Macroindicadores!H$2)/1000)</f>
        <v/>
      </c>
      <c r="AL233" s="39" t="str">
        <f>IF(ISBLANK(X233),"",IF($P233="BRL",X233,X233*Macroindicadores!I$2)/1000)</f>
        <v/>
      </c>
      <c r="AM233" s="39" t="str">
        <f>IF(ISBLANK(Y233),"",IF($P233="BRL",Y233,Y233*Macroindicadores!J$2)/1000)</f>
        <v/>
      </c>
      <c r="AN233" s="39" t="str">
        <f>IF(ISBLANK(Z233),"",IF($P233="BRL",Z233,Z233*Macroindicadores!K$2)/1000)</f>
        <v/>
      </c>
      <c r="AO233" s="39" t="str">
        <f>IF(ISBLANK(AA233),"",IF($P233="BRL",AA233,AA233*Macroindicadores!L$2)/1000)</f>
        <v/>
      </c>
      <c r="AP233" s="39" t="str">
        <f>IF(ISBLANK(AB233),"",IF($P233="BRL",AB233,AB233*Macroindicadores!M$2)/1000)</f>
        <v/>
      </c>
      <c r="AQ233" s="40" t="str">
        <f t="shared" si="100"/>
        <v/>
      </c>
      <c r="AS233" s="39" t="str">
        <f>IF(ISBLANK(Q233),"",IF(ISBLANK($O233),AE233,IF($J233="ANUAL",AE233*(1+Macroindicadores!B$7),IF(AND($I233="NOVO",MONTH($O233)=MONTH(AS$4)),AE233*(1+Macroindicadores!B$7),IF(AND($J233="PONTUAL",MONTH($O233)=MONTH(AS$4)),AE233*(1+Macroindicadores!B$7),IF(AND($J233="PONTUAL",MONTH($O233)&lt;MONTH(AS$4)),MIN(AR233:$AS233),IF(AND($I233="NOVO",MONTH($O233)&gt;MONTH(AS$4)),AE233,IF(MONTH($O233)&gt;MONTH(AS$4),AE233,IF(MONTH($O233)=MONTH(AS$4),AE233*(1+Macroindicadores!B$7),AR233)))))))))</f>
        <v/>
      </c>
      <c r="AT233" s="39" t="str">
        <f>IF(ISBLANK(R233),"",IF(ISBLANK($O233),AF233,IF($J233="ANUAL",AF233*(1+Macroindicadores!C$7),IF(AND($I233="NOVO",MONTH($O233)=MONTH(AT$4)),AF233*(1+Macroindicadores!C$7),IF(AND($J233="PONTUAL",MONTH($O233)=MONTH(AT$4)),AF233*(1+Macroindicadores!C$7),IF(AND($J233="PONTUAL",MONTH($O233)&lt;MONTH(AT$4)),MIN($AS233:AS233),IF(AND($I233="NOVO",MONTH($O233)&gt;MONTH(AT$4)),AF233,IF(MONTH($O233)&gt;MONTH(AT$4),AF233,IF(MONTH($O233)=MONTH(AT$4),AF233*(1+Macroindicadores!C$7),AS233)))))))))</f>
        <v/>
      </c>
      <c r="AU233" s="39" t="str">
        <f>IF(ISBLANK(S233),"",IF(ISBLANK($O233),AG233,IF($J233="ANUAL",AG233*(1+Macroindicadores!D$7),IF(AND($I233="NOVO",MONTH($O233)=MONTH(AU$4)),AG233*(1+Macroindicadores!D$7),IF(AND($J233="PONTUAL",MONTH($O233)=MONTH(AU$4)),AG233*(1+Macroindicadores!D$7),IF(AND($J233="PONTUAL",MONTH($O233)&lt;MONTH(AU$4)),MIN($AS233:AT233),IF(AND($I233="NOVO",MONTH($O233)&gt;MONTH(AU$4)),AG233,IF(MONTH($O233)&gt;MONTH(AU$4),AG233,IF(MONTH($O233)=MONTH(AU$4),AG233*(1+Macroindicadores!D$7),AT233)))))))))</f>
        <v/>
      </c>
      <c r="AV233" s="39" t="str">
        <f>IF(ISBLANK(T233),"",IF(ISBLANK($O233),AH233,IF($J233="ANUAL",AH233*(1+Macroindicadores!E$7),IF(AND($I233="NOVO",MONTH($O233)=MONTH(AV$4)),AH233*(1+Macroindicadores!E$7),IF(AND($J233="PONTUAL",MONTH($O233)=MONTH(AV$4)),AH233*(1+Macroindicadores!E$7),IF(AND($J233="PONTUAL",MONTH($O233)&lt;MONTH(AV$4)),MIN($AS233:AU233),IF(AND($I233="NOVO",MONTH($O233)&gt;MONTH(AV$4)),AH233,IF(MONTH($O233)&gt;MONTH(AV$4),AH233,IF(MONTH($O233)=MONTH(AV$4),AH233*(1+Macroindicadores!E$7),AU233)))))))))</f>
        <v/>
      </c>
      <c r="AW233" s="39" t="str">
        <f>IF(ISBLANK(U233),"",IF(ISBLANK($O233),AI233,IF($J233="ANUAL",AI233*(1+Macroindicadores!F$7),IF(AND($I233="NOVO",MONTH($O233)=MONTH(AW$4)),AI233*(1+Macroindicadores!F$7),IF(AND($J233="PONTUAL",MONTH($O233)=MONTH(AW$4)),AI233*(1+Macroindicadores!F$7),IF(AND($J233="PONTUAL",MONTH($O233)&lt;MONTH(AW$4)),MIN($AS233:AV233),IF(AND($I233="NOVO",MONTH($O233)&gt;MONTH(AW$4)),AI233,IF(MONTH($O233)&gt;MONTH(AW$4),AI233,IF(MONTH($O233)=MONTH(AW$4),AI233*(1+Macroindicadores!F$7),AV233)))))))))</f>
        <v/>
      </c>
      <c r="AX233" s="39" t="str">
        <f>IF(ISBLANK(V233),"",IF(ISBLANK($O233),AJ233,IF($J233="ANUAL",AJ233*(1+Macroindicadores!G$7),IF(AND($I233="NOVO",MONTH($O233)=MONTH(AX$4)),AJ233*(1+Macroindicadores!G$7),IF(AND($J233="PONTUAL",MONTH($O233)=MONTH(AX$4)),AJ233*(1+Macroindicadores!G$7),IF(AND($J233="PONTUAL",MONTH($O233)&lt;MONTH(AX$4)),MIN($AS233:AW233),IF(AND($I233="NOVO",MONTH($O233)&gt;MONTH(AX$4)),AJ233,IF(MONTH($O233)&gt;MONTH(AX$4),AJ233,IF(MONTH($O233)=MONTH(AX$4),AJ233*(1+Macroindicadores!G$7),AW233)))))))))</f>
        <v/>
      </c>
      <c r="AY233" s="39" t="str">
        <f>IF(ISBLANK(W233),"",IF(ISBLANK($O233),AK233,IF($J233="ANUAL",AK233*(1+Macroindicadores!H$7),IF(AND($I233="NOVO",MONTH($O233)=MONTH(AY$4)),AK233*(1+Macroindicadores!H$7),IF(AND($J233="PONTUAL",MONTH($O233)=MONTH(AY$4)),AK233*(1+Macroindicadores!H$7),IF(AND($J233="PONTUAL",MONTH($O233)&lt;MONTH(AY$4)),MIN($AS233:AX233),IF(AND($I233="NOVO",MONTH($O233)&gt;MONTH(AY$4)),AK233,IF(MONTH($O233)&gt;MONTH(AY$4),AK233,IF(MONTH($O233)=MONTH(AY$4),AK233*(1+Macroindicadores!H$7),AX233)))))))))</f>
        <v/>
      </c>
      <c r="AZ233" s="39" t="str">
        <f>IF(ISBLANK(X233),"",IF(ISBLANK($O233),AL233,IF($J233="ANUAL",AL233*(1+Macroindicadores!I$7),IF(AND($I233="NOVO",MONTH($O233)=MONTH(AZ$4)),AL233*(1+Macroindicadores!I$7),IF(AND($J233="PONTUAL",MONTH($O233)=MONTH(AZ$4)),AL233*(1+Macroindicadores!I$7),IF(AND($J233="PONTUAL",MONTH($O233)&lt;MONTH(AZ$4)),MIN($AS233:AY233),IF(AND($I233="NOVO",MONTH($O233)&gt;MONTH(AZ$4)),AL233,IF(MONTH($O233)&gt;MONTH(AZ$4),AL233,IF(MONTH($O233)=MONTH(AZ$4),AL233*(1+Macroindicadores!I$7),AY233)))))))))</f>
        <v/>
      </c>
      <c r="BA233" s="39" t="str">
        <f>IF(ISBLANK(Y233),"",IF(ISBLANK($O233),AM233,IF($J233="ANUAL",AM233*(1+Macroindicadores!J$7),IF(AND($I233="NOVO",MONTH($O233)=MONTH(BA$4)),AM233*(1+Macroindicadores!J$7),IF(AND($J233="PONTUAL",MONTH($O233)=MONTH(BA$4)),AM233*(1+Macroindicadores!J$7),IF(AND($J233="PONTUAL",MONTH($O233)&lt;MONTH(BA$4)),MIN($AS233:AZ233),IF(AND($I233="NOVO",MONTH($O233)&gt;MONTH(BA$4)),AM233,IF(MONTH($O233)&gt;MONTH(BA$4),AM233,IF(MONTH($O233)=MONTH(BA$4),AM233*(1+Macroindicadores!J$7),AZ233)))))))))</f>
        <v/>
      </c>
      <c r="BB233" s="39" t="str">
        <f>IF(ISBLANK(Z233),"",IF(ISBLANK($O233),AN233,IF($J233="ANUAL",AN233*(1+Macroindicadores!K$7),IF(AND($I233="NOVO",MONTH($O233)=MONTH(BB$4)),AN233*(1+Macroindicadores!K$7),IF(AND($J233="PONTUAL",MONTH($O233)=MONTH(BB$4)),AN233*(1+Macroindicadores!K$7),IF(AND($J233="PONTUAL",MONTH($O233)&lt;MONTH(BB$4)),MIN($AS233:BA233),IF(AND($I233="NOVO",MONTH($O233)&gt;MONTH(BB$4)),AN233,IF(MONTH($O233)&gt;MONTH(BB$4),AN233,IF(MONTH($O233)=MONTH(BB$4),AN233*(1+Macroindicadores!K$7),BA233)))))))))</f>
        <v/>
      </c>
      <c r="BC233" s="39" t="str">
        <f>IF(ISBLANK(AA233),"",IF(ISBLANK($O233),AO233,IF($J233="ANUAL",AO233*(1+Macroindicadores!L$7),IF(AND($I233="NOVO",MONTH($O233)=MONTH(BC$4)),AO233*(1+Macroindicadores!L$7),IF(AND($J233="PONTUAL",MONTH($O233)=MONTH(BC$4)),AO233*(1+Macroindicadores!L$7),IF(AND($J233="PONTUAL",MONTH($O233)&lt;MONTH(BC$4)),MIN($AS233:BB233),IF(AND($I233="NOVO",MONTH($O233)&gt;MONTH(BC$4)),AO233,IF(MONTH($O233)&gt;MONTH(BC$4),AO233,IF(MONTH($O233)=MONTH(BC$4),AO233*(1+Macroindicadores!L$7),BB233)))))))))</f>
        <v/>
      </c>
      <c r="BD233" s="39" t="str">
        <f>IF(ISBLANK(AB233),"",IF(ISBLANK($O233),AP233,IF($J233="ANUAL",AP233*(1+Macroindicadores!M$7),IF(AND($I233="NOVO",MONTH($O233)=MONTH(BD$4)),AP233*(1+Macroindicadores!M$7),IF(AND($J233="PONTUAL",MONTH($O233)=MONTH(BD$4)),AP233*(1+Macroindicadores!M$7),IF(AND($J233="PONTUAL",MONTH($O233)&lt;MONTH(BD$4)),MIN($AS233:BC233),IF(AND($I233="NOVO",MONTH($O233)&gt;MONTH(BD$4)),AP233,IF(MONTH($O233)&gt;MONTH(BD$4),AP233,IF(MONTH($O233)=MONTH(BD$4),AP233*(1+Macroindicadores!M$7),BC233)))))))))</f>
        <v/>
      </c>
      <c r="BE233" s="40" t="str">
        <f t="shared" si="101"/>
        <v/>
      </c>
      <c r="BG233" s="39" t="str">
        <f>IF(ISBLANK(Q233),"",AS233/Macroindicadores!B$2)</f>
        <v/>
      </c>
      <c r="BH233" s="39" t="str">
        <f>IF(ISBLANK(R233),"",AT233/Macroindicadores!C$2)</f>
        <v/>
      </c>
      <c r="BI233" s="39" t="str">
        <f>IF(ISBLANK(S233),"",AU233/Macroindicadores!D$2)</f>
        <v/>
      </c>
      <c r="BJ233" s="39" t="str">
        <f>IF(ISBLANK(T233),"",AV233/Macroindicadores!E$2)</f>
        <v/>
      </c>
      <c r="BK233" s="39" t="str">
        <f>IF(ISBLANK(U233),"",AW233/Macroindicadores!F$2)</f>
        <v/>
      </c>
      <c r="BL233" s="39" t="str">
        <f>IF(ISBLANK(V233),"",AX233/Macroindicadores!G$2)</f>
        <v/>
      </c>
      <c r="BM233" s="39" t="str">
        <f>IF(ISBLANK(W233),"",AY233/Macroindicadores!H$2)</f>
        <v/>
      </c>
      <c r="BN233" s="39" t="str">
        <f>IF(ISBLANK(X233),"",AZ233/Macroindicadores!I$2)</f>
        <v/>
      </c>
      <c r="BO233" s="39" t="str">
        <f>IF(ISBLANK(Y233),"",BA233/Macroindicadores!J$2)</f>
        <v/>
      </c>
      <c r="BP233" s="39" t="str">
        <f>IF(ISBLANK(Z233),"",BB233/Macroindicadores!K$2)</f>
        <v/>
      </c>
      <c r="BQ233" s="39" t="str">
        <f>IF(ISBLANK(AA233),"",BC233/Macroindicadores!L$2)</f>
        <v/>
      </c>
      <c r="BR233" s="39" t="str">
        <f>IF(ISBLANK(AB233),"",BD233/Macroindicadores!M$2)</f>
        <v/>
      </c>
      <c r="BS233" s="40" t="str">
        <f>IF(AND(ISBLANK($Q233),ISBLANK($R233),ISBLANK($S233),ISBLANK($T233),ISBLANK($U233),ISBLANK($V233),ISBLANK($W233),ISBLANK($X233),ISBLANK($Y233),ISBLANK($Z233),ISBLANK($AA233),ISBLANK($AB233)),"",SUM(BG233:BR233))</f>
        <v/>
      </c>
      <c r="BT233" s="25" t="str">
        <f>IF(ISBLANK($L233),"",_xlfn.XLOOKUP($L233,'CENTRO CUSTO'!$A:$A,'CENTRO CUSTO'!$E:$E,FALSE,0))</f>
        <v>G&amp;A BU</v>
      </c>
    </row>
    <row r="234" spans="1:72">
      <c r="A234" s="9" t="str">
        <f t="shared" si="80"/>
        <v>Budget</v>
      </c>
      <c r="B234" s="9">
        <f t="shared" si="77"/>
        <v>2026</v>
      </c>
      <c r="C234" s="18" t="str">
        <f>IF(ISBLANK($L234),"",_xlfn.XLOOKUP($L234,'CENTRO CUSTO'!$A:$A,'CENTRO CUSTO'!F:F,FALSE,0))</f>
        <v>Cone Sul</v>
      </c>
      <c r="D234" s="111" t="str">
        <f>IF(ISBLANK($L234),"",_xlfn.XLOOKUP($L234,'CENTRO CUSTO'!$A:$A,'CENTRO CUSTO'!G:G,FALSE,0))</f>
        <v>Plataforma</v>
      </c>
      <c r="E234" s="18" t="str">
        <f>IF(ISBLANK($L234),"",_xlfn.XLOOKUP($L234,'CENTRO CUSTO'!$A:$A,'CENTRO CUSTO'!H:H,FALSE,0))</f>
        <v>G&amp;A</v>
      </c>
      <c r="F234" s="10" t="s">
        <v>228</v>
      </c>
      <c r="G234" s="10" t="s">
        <v>75</v>
      </c>
      <c r="H234" s="10" t="s">
        <v>229</v>
      </c>
      <c r="I234" s="11" t="s">
        <v>77</v>
      </c>
      <c r="J234" s="11" t="s">
        <v>78</v>
      </c>
      <c r="K234" s="11" t="s">
        <v>79</v>
      </c>
      <c r="L234" s="11" t="s">
        <v>54</v>
      </c>
      <c r="M234" s="18" t="str">
        <f>IF(ISBLANK($L234),"",_xlfn.XLOOKUP($L234,'CENTRO CUSTO'!$A:$A,'CENTRO CUSTO'!D:D,FALSE,0))</f>
        <v>Alexandre Ayabe</v>
      </c>
      <c r="N234" s="11" t="s">
        <v>87</v>
      </c>
      <c r="O234" s="12"/>
      <c r="P234" s="11" t="s">
        <v>88</v>
      </c>
      <c r="Q234" s="41"/>
      <c r="R234" s="41"/>
      <c r="S234" s="41"/>
      <c r="T234" s="41"/>
      <c r="U234" s="41"/>
      <c r="V234" s="41"/>
      <c r="W234" s="41"/>
      <c r="X234" s="41"/>
      <c r="Y234" s="41"/>
      <c r="Z234" s="41"/>
      <c r="AA234" s="41"/>
      <c r="AB234" s="41"/>
      <c r="AC234" s="116" t="str">
        <f t="shared" si="99"/>
        <v/>
      </c>
      <c r="AE234" s="39" t="str">
        <f>IF(ISBLANK(Q234),"",IF($P234="BRL",Q234,Q234*Macroindicadores!B$2)/1000)</f>
        <v/>
      </c>
      <c r="AF234" s="39" t="str">
        <f>IF(ISBLANK(R234),"",IF($P234="BRL",R234,R234*Macroindicadores!C$2)/1000)</f>
        <v/>
      </c>
      <c r="AG234" s="39" t="str">
        <f>IF(ISBLANK(S234),"",IF($P234="BRL",S234,S234*Macroindicadores!D$2)/1000)</f>
        <v/>
      </c>
      <c r="AH234" s="39" t="str">
        <f>IF(ISBLANK(T234),"",IF($P234="BRL",T234,T234*Macroindicadores!E$2)/1000)</f>
        <v/>
      </c>
      <c r="AI234" s="39" t="str">
        <f>IF(ISBLANK(U234),"",IF($P234="BRL",U234,U234*Macroindicadores!F$2)/1000)</f>
        <v/>
      </c>
      <c r="AJ234" s="39" t="str">
        <f>IF(ISBLANK(V234),"",IF($P234="BRL",V234,V234*Macroindicadores!G$2)/1000)</f>
        <v/>
      </c>
      <c r="AK234" s="39" t="str">
        <f>IF(ISBLANK(W234),"",IF($P234="BRL",W234,W234*Macroindicadores!H$2)/1000)</f>
        <v/>
      </c>
      <c r="AL234" s="39" t="str">
        <f>IF(ISBLANK(X234),"",IF($P234="BRL",X234,X234*Macroindicadores!I$2)/1000)</f>
        <v/>
      </c>
      <c r="AM234" s="39" t="str">
        <f>IF(ISBLANK(Y234),"",IF($P234="BRL",Y234,Y234*Macroindicadores!J$2)/1000)</f>
        <v/>
      </c>
      <c r="AN234" s="39" t="str">
        <f>IF(ISBLANK(Z234),"",IF($P234="BRL",Z234,Z234*Macroindicadores!K$2)/1000)</f>
        <v/>
      </c>
      <c r="AO234" s="39" t="str">
        <f>IF(ISBLANK(AA234),"",IF($P234="BRL",AA234,AA234*Macroindicadores!L$2)/1000)</f>
        <v/>
      </c>
      <c r="AP234" s="39" t="str">
        <f>IF(ISBLANK(AB234),"",IF($P234="BRL",AB234,AB234*Macroindicadores!M$2)/1000)</f>
        <v/>
      </c>
      <c r="AQ234" s="40" t="str">
        <f t="shared" si="100"/>
        <v/>
      </c>
      <c r="AS234" s="39" t="str">
        <f>IF(ISBLANK(Q234),"",IF(ISBLANK($O234),AE234,IF($J234="ANUAL",AE234*(1+Macroindicadores!B$7),IF(AND($I234="NOVO",MONTH($O234)=MONTH(AS$4)),AE234*(1+Macroindicadores!B$7),IF(AND($J234="PONTUAL",MONTH($O234)=MONTH(AS$4)),AE234*(1+Macroindicadores!B$7),IF(AND($J234="PONTUAL",MONTH($O234)&lt;MONTH(AS$4)),MIN(AR234:$AS234),IF(AND($I234="NOVO",MONTH($O234)&gt;MONTH(AS$4)),AE234,IF(MONTH($O234)&gt;MONTH(AS$4),AE234,IF(MONTH($O234)=MONTH(AS$4),AE234*(1+Macroindicadores!B$7),AR234)))))))))</f>
        <v/>
      </c>
      <c r="AT234" s="39" t="str">
        <f>IF(ISBLANK(R234),"",IF(ISBLANK($O234),AF234,IF($J234="ANUAL",AF234*(1+Macroindicadores!C$7),IF(AND($I234="NOVO",MONTH($O234)=MONTH(AT$4)),AF234*(1+Macroindicadores!C$7),IF(AND($J234="PONTUAL",MONTH($O234)=MONTH(AT$4)),AF234*(1+Macroindicadores!C$7),IF(AND($J234="PONTUAL",MONTH($O234)&lt;MONTH(AT$4)),MIN($AS234:AS234),IF(AND($I234="NOVO",MONTH($O234)&gt;MONTH(AT$4)),AF234,IF(MONTH($O234)&gt;MONTH(AT$4),AF234,IF(MONTH($O234)=MONTH(AT$4),AF234*(1+Macroindicadores!C$7),AS234)))))))))</f>
        <v/>
      </c>
      <c r="AU234" s="39" t="str">
        <f>IF(ISBLANK(S234),"",IF(ISBLANK($O234),AG234,IF($J234="ANUAL",AG234*(1+Macroindicadores!D$7),IF(AND($I234="NOVO",MONTH($O234)=MONTH(AU$4)),AG234*(1+Macroindicadores!D$7),IF(AND($J234="PONTUAL",MONTH($O234)=MONTH(AU$4)),AG234*(1+Macroindicadores!D$7),IF(AND($J234="PONTUAL",MONTH($O234)&lt;MONTH(AU$4)),MIN($AS234:AT234),IF(AND($I234="NOVO",MONTH($O234)&gt;MONTH(AU$4)),AG234,IF(MONTH($O234)&gt;MONTH(AU$4),AG234,IF(MONTH($O234)=MONTH(AU$4),AG234*(1+Macroindicadores!D$7),AT234)))))))))</f>
        <v/>
      </c>
      <c r="AV234" s="39" t="str">
        <f>IF(ISBLANK(T234),"",IF(ISBLANK($O234),AH234,IF($J234="ANUAL",AH234*(1+Macroindicadores!E$7),IF(AND($I234="NOVO",MONTH($O234)=MONTH(AV$4)),AH234*(1+Macroindicadores!E$7),IF(AND($J234="PONTUAL",MONTH($O234)=MONTH(AV$4)),AH234*(1+Macroindicadores!E$7),IF(AND($J234="PONTUAL",MONTH($O234)&lt;MONTH(AV$4)),MIN($AS234:AU234),IF(AND($I234="NOVO",MONTH($O234)&gt;MONTH(AV$4)),AH234,IF(MONTH($O234)&gt;MONTH(AV$4),AH234,IF(MONTH($O234)=MONTH(AV$4),AH234*(1+Macroindicadores!E$7),AU234)))))))))</f>
        <v/>
      </c>
      <c r="AW234" s="39" t="str">
        <f>IF(ISBLANK(U234),"",IF(ISBLANK($O234),AI234,IF($J234="ANUAL",AI234*(1+Macroindicadores!F$7),IF(AND($I234="NOVO",MONTH($O234)=MONTH(AW$4)),AI234*(1+Macroindicadores!F$7),IF(AND($J234="PONTUAL",MONTH($O234)=MONTH(AW$4)),AI234*(1+Macroindicadores!F$7),IF(AND($J234="PONTUAL",MONTH($O234)&lt;MONTH(AW$4)),MIN($AS234:AV234),IF(AND($I234="NOVO",MONTH($O234)&gt;MONTH(AW$4)),AI234,IF(MONTH($O234)&gt;MONTH(AW$4),AI234,IF(MONTH($O234)=MONTH(AW$4),AI234*(1+Macroindicadores!F$7),AV234)))))))))</f>
        <v/>
      </c>
      <c r="AX234" s="39" t="str">
        <f>IF(ISBLANK(V234),"",IF(ISBLANK($O234),AJ234,IF($J234="ANUAL",AJ234*(1+Macroindicadores!G$7),IF(AND($I234="NOVO",MONTH($O234)=MONTH(AX$4)),AJ234*(1+Macroindicadores!G$7),IF(AND($J234="PONTUAL",MONTH($O234)=MONTH(AX$4)),AJ234*(1+Macroindicadores!G$7),IF(AND($J234="PONTUAL",MONTH($O234)&lt;MONTH(AX$4)),MIN($AS234:AW234),IF(AND($I234="NOVO",MONTH($O234)&gt;MONTH(AX$4)),AJ234,IF(MONTH($O234)&gt;MONTH(AX$4),AJ234,IF(MONTH($O234)=MONTH(AX$4),AJ234*(1+Macroindicadores!G$7),AW234)))))))))</f>
        <v/>
      </c>
      <c r="AY234" s="39" t="str">
        <f>IF(ISBLANK(W234),"",IF(ISBLANK($O234),AK234,IF($J234="ANUAL",AK234*(1+Macroindicadores!H$7),IF(AND($I234="NOVO",MONTH($O234)=MONTH(AY$4)),AK234*(1+Macroindicadores!H$7),IF(AND($J234="PONTUAL",MONTH($O234)=MONTH(AY$4)),AK234*(1+Macroindicadores!H$7),IF(AND($J234="PONTUAL",MONTH($O234)&lt;MONTH(AY$4)),MIN($AS234:AX234),IF(AND($I234="NOVO",MONTH($O234)&gt;MONTH(AY$4)),AK234,IF(MONTH($O234)&gt;MONTH(AY$4),AK234,IF(MONTH($O234)=MONTH(AY$4),AK234*(1+Macroindicadores!H$7),AX234)))))))))</f>
        <v/>
      </c>
      <c r="AZ234" s="39" t="str">
        <f>IF(ISBLANK(X234),"",IF(ISBLANK($O234),AL234,IF($J234="ANUAL",AL234*(1+Macroindicadores!I$7),IF(AND($I234="NOVO",MONTH($O234)=MONTH(AZ$4)),AL234*(1+Macroindicadores!I$7),IF(AND($J234="PONTUAL",MONTH($O234)=MONTH(AZ$4)),AL234*(1+Macroindicadores!I$7),IF(AND($J234="PONTUAL",MONTH($O234)&lt;MONTH(AZ$4)),MIN($AS234:AY234),IF(AND($I234="NOVO",MONTH($O234)&gt;MONTH(AZ$4)),AL234,IF(MONTH($O234)&gt;MONTH(AZ$4),AL234,IF(MONTH($O234)=MONTH(AZ$4),AL234*(1+Macroindicadores!I$7),AY234)))))))))</f>
        <v/>
      </c>
      <c r="BA234" s="39" t="str">
        <f>IF(ISBLANK(Y234),"",IF(ISBLANK($O234),AM234,IF($J234="ANUAL",AM234*(1+Macroindicadores!J$7),IF(AND($I234="NOVO",MONTH($O234)=MONTH(BA$4)),AM234*(1+Macroindicadores!J$7),IF(AND($J234="PONTUAL",MONTH($O234)=MONTH(BA$4)),AM234*(1+Macroindicadores!J$7),IF(AND($J234="PONTUAL",MONTH($O234)&lt;MONTH(BA$4)),MIN($AS234:AZ234),IF(AND($I234="NOVO",MONTH($O234)&gt;MONTH(BA$4)),AM234,IF(MONTH($O234)&gt;MONTH(BA$4),AM234,IF(MONTH($O234)=MONTH(BA$4),AM234*(1+Macroindicadores!J$7),AZ234)))))))))</f>
        <v/>
      </c>
      <c r="BB234" s="39" t="str">
        <f>IF(ISBLANK(Z234),"",IF(ISBLANK($O234),AN234,IF($J234="ANUAL",AN234*(1+Macroindicadores!K$7),IF(AND($I234="NOVO",MONTH($O234)=MONTH(BB$4)),AN234*(1+Macroindicadores!K$7),IF(AND($J234="PONTUAL",MONTH($O234)=MONTH(BB$4)),AN234*(1+Macroindicadores!K$7),IF(AND($J234="PONTUAL",MONTH($O234)&lt;MONTH(BB$4)),MIN($AS234:BA234),IF(AND($I234="NOVO",MONTH($O234)&gt;MONTH(BB$4)),AN234,IF(MONTH($O234)&gt;MONTH(BB$4),AN234,IF(MONTH($O234)=MONTH(BB$4),AN234*(1+Macroindicadores!K$7),BA234)))))))))</f>
        <v/>
      </c>
      <c r="BC234" s="39" t="str">
        <f>IF(ISBLANK(AA234),"",IF(ISBLANK($O234),AO234,IF($J234="ANUAL",AO234*(1+Macroindicadores!L$7),IF(AND($I234="NOVO",MONTH($O234)=MONTH(BC$4)),AO234*(1+Macroindicadores!L$7),IF(AND($J234="PONTUAL",MONTH($O234)=MONTH(BC$4)),AO234*(1+Macroindicadores!L$7),IF(AND($J234="PONTUAL",MONTH($O234)&lt;MONTH(BC$4)),MIN($AS234:BB234),IF(AND($I234="NOVO",MONTH($O234)&gt;MONTH(BC$4)),AO234,IF(MONTH($O234)&gt;MONTH(BC$4),AO234,IF(MONTH($O234)=MONTH(BC$4),AO234*(1+Macroindicadores!L$7),BB234)))))))))</f>
        <v/>
      </c>
      <c r="BD234" s="39" t="str">
        <f>IF(ISBLANK(AB234),"",IF(ISBLANK($O234),AP234,IF($J234="ANUAL",AP234*(1+Macroindicadores!M$7),IF(AND($I234="NOVO",MONTH($O234)=MONTH(BD$4)),AP234*(1+Macroindicadores!M$7),IF(AND($J234="PONTUAL",MONTH($O234)=MONTH(BD$4)),AP234*(1+Macroindicadores!M$7),IF(AND($J234="PONTUAL",MONTH($O234)&lt;MONTH(BD$4)),MIN($AS234:BC234),IF(AND($I234="NOVO",MONTH($O234)&gt;MONTH(BD$4)),AP234,IF(MONTH($O234)&gt;MONTH(BD$4),AP234,IF(MONTH($O234)=MONTH(BD$4),AP234*(1+Macroindicadores!M$7),BC234)))))))))</f>
        <v/>
      </c>
      <c r="BE234" s="40" t="str">
        <f t="shared" si="101"/>
        <v/>
      </c>
      <c r="BG234" s="39" t="str">
        <f>IF(ISBLANK(Q234),"",AS234/Macroindicadores!B$2)</f>
        <v/>
      </c>
      <c r="BH234" s="39" t="str">
        <f>IF(ISBLANK(R234),"",AT234/Macroindicadores!C$2)</f>
        <v/>
      </c>
      <c r="BI234" s="39" t="str">
        <f>IF(ISBLANK(S234),"",AU234/Macroindicadores!D$2)</f>
        <v/>
      </c>
      <c r="BJ234" s="39" t="str">
        <f>IF(ISBLANK(T234),"",AV234/Macroindicadores!E$2)</f>
        <v/>
      </c>
      <c r="BK234" s="39" t="str">
        <f>IF(ISBLANK(U234),"",AW234/Macroindicadores!F$2)</f>
        <v/>
      </c>
      <c r="BL234" s="39" t="str">
        <f>IF(ISBLANK(V234),"",AX234/Macroindicadores!G$2)</f>
        <v/>
      </c>
      <c r="BM234" s="39" t="str">
        <f>IF(ISBLANK(W234),"",AY234/Macroindicadores!H$2)</f>
        <v/>
      </c>
      <c r="BN234" s="39" t="str">
        <f>IF(ISBLANK(X234),"",AZ234/Macroindicadores!I$2)</f>
        <v/>
      </c>
      <c r="BO234" s="39" t="str">
        <f>IF(ISBLANK(Y234),"",BA234/Macroindicadores!J$2)</f>
        <v/>
      </c>
      <c r="BP234" s="39" t="str">
        <f>IF(ISBLANK(Z234),"",BB234/Macroindicadores!K$2)</f>
        <v/>
      </c>
      <c r="BQ234" s="39" t="str">
        <f>IF(ISBLANK(AA234),"",BC234/Macroindicadores!L$2)</f>
        <v/>
      </c>
      <c r="BR234" s="39" t="str">
        <f>IF(ISBLANK(AB234),"",BD234/Macroindicadores!M$2)</f>
        <v/>
      </c>
      <c r="BS234" s="40" t="str">
        <f>IF(AND(ISBLANK($Q234),ISBLANK($R234),ISBLANK($S234),ISBLANK($T234),ISBLANK($U234),ISBLANK($V234),ISBLANK($W234),ISBLANK($X234),ISBLANK($Y234),ISBLANK($Z234),ISBLANK($AA234),ISBLANK($AB234)),"",SUM(BG234:BR234))</f>
        <v/>
      </c>
      <c r="BT234" s="25" t="str">
        <f>IF(ISBLANK($L234),"",_xlfn.XLOOKUP($L234,'CENTRO CUSTO'!$A:$A,'CENTRO CUSTO'!$E:$E,FALSE,0))</f>
        <v>G&amp;A PL</v>
      </c>
    </row>
    <row r="235" spans="1:72">
      <c r="A235" s="9" t="str">
        <f t="shared" si="80"/>
        <v>Budget</v>
      </c>
      <c r="B235" s="9">
        <f t="shared" si="77"/>
        <v>2026</v>
      </c>
      <c r="C235" s="18" t="str">
        <f>IF(ISBLANK($L235),"",_xlfn.XLOOKUP($L235,'CENTRO CUSTO'!$A:$A,'CENTRO CUSTO'!F:F,FALSE,0))</f>
        <v>Martini Meat</v>
      </c>
      <c r="D235" s="111" t="str">
        <f>IF(ISBLANK($L235),"",_xlfn.XLOOKUP($L235,'CENTRO CUSTO'!$A:$A,'CENTRO CUSTO'!G:G,FALSE,0))</f>
        <v>BU-MMAZ</v>
      </c>
      <c r="E235" s="18" t="str">
        <f>IF(ISBLANK($L235),"",_xlfn.XLOOKUP($L235,'CENTRO CUSTO'!$A:$A,'CENTRO CUSTO'!H:H,FALSE,0))</f>
        <v>G&amp;A</v>
      </c>
      <c r="F235" s="10" t="s">
        <v>230</v>
      </c>
      <c r="G235" s="10" t="s">
        <v>224</v>
      </c>
      <c r="H235" s="10" t="s">
        <v>231</v>
      </c>
      <c r="I235" s="11" t="s">
        <v>77</v>
      </c>
      <c r="J235" s="11" t="s">
        <v>78</v>
      </c>
      <c r="K235" s="11" t="s">
        <v>79</v>
      </c>
      <c r="L235" s="11" t="s">
        <v>35</v>
      </c>
      <c r="M235" s="18" t="str">
        <f>IF(ISBLANK($L235),"",_xlfn.XLOOKUP($L235,'CENTRO CUSTO'!$A:$A,'CENTRO CUSTO'!D:D,FALSE,0))</f>
        <v>Alexandre Ayabe</v>
      </c>
      <c r="N235" s="11" t="s">
        <v>132</v>
      </c>
      <c r="O235" s="12">
        <v>46235</v>
      </c>
      <c r="P235" s="11" t="s">
        <v>81</v>
      </c>
      <c r="Q235" s="41">
        <v>32000</v>
      </c>
      <c r="R235" s="41">
        <v>32000</v>
      </c>
      <c r="S235" s="41">
        <v>32000</v>
      </c>
      <c r="T235" s="41">
        <v>32000</v>
      </c>
      <c r="U235" s="41">
        <v>32000</v>
      </c>
      <c r="V235" s="41">
        <v>32000</v>
      </c>
      <c r="W235" s="41">
        <v>32000</v>
      </c>
      <c r="X235" s="41">
        <v>32000</v>
      </c>
      <c r="Y235" s="41">
        <v>32000</v>
      </c>
      <c r="Z235" s="41">
        <v>32000</v>
      </c>
      <c r="AA235" s="41">
        <v>32000</v>
      </c>
      <c r="AB235" s="41">
        <v>32000</v>
      </c>
      <c r="AC235" s="116">
        <f t="shared" si="99"/>
        <v>384000</v>
      </c>
      <c r="AE235" s="39">
        <f>IF(ISBLANK(Q235),"",IF($P235="BRL",Q235,Q235*Macroindicadores!B$2)/1000)</f>
        <v>32</v>
      </c>
      <c r="AF235" s="39">
        <f>IF(ISBLANK(R235),"",IF($P235="BRL",R235,R235*Macroindicadores!C$2)/1000)</f>
        <v>32</v>
      </c>
      <c r="AG235" s="39">
        <f>IF(ISBLANK(S235),"",IF($P235="BRL",S235,S235*Macroindicadores!D$2)/1000)</f>
        <v>32</v>
      </c>
      <c r="AH235" s="39">
        <f>IF(ISBLANK(T235),"",IF($P235="BRL",T235,T235*Macroindicadores!E$2)/1000)</f>
        <v>32</v>
      </c>
      <c r="AI235" s="39">
        <f>IF(ISBLANK(U235),"",IF($P235="BRL",U235,U235*Macroindicadores!F$2)/1000)</f>
        <v>32</v>
      </c>
      <c r="AJ235" s="39">
        <f>IF(ISBLANK(V235),"",IF($P235="BRL",V235,V235*Macroindicadores!G$2)/1000)</f>
        <v>32</v>
      </c>
      <c r="AK235" s="39">
        <f>IF(ISBLANK(W235),"",IF($P235="BRL",W235,W235*Macroindicadores!H$2)/1000)</f>
        <v>32</v>
      </c>
      <c r="AL235" s="39">
        <f>IF(ISBLANK(X235),"",IF($P235="BRL",X235,X235*Macroindicadores!I$2)/1000)</f>
        <v>32</v>
      </c>
      <c r="AM235" s="39">
        <f>IF(ISBLANK(Y235),"",IF($P235="BRL",Y235,Y235*Macroindicadores!J$2)/1000)</f>
        <v>32</v>
      </c>
      <c r="AN235" s="39">
        <f>IF(ISBLANK(Z235),"",IF($P235="BRL",Z235,Z235*Macroindicadores!K$2)/1000)</f>
        <v>32</v>
      </c>
      <c r="AO235" s="39">
        <f>IF(ISBLANK(AA235),"",IF($P235="BRL",AA235,AA235*Macroindicadores!L$2)/1000)</f>
        <v>32</v>
      </c>
      <c r="AP235" s="39">
        <f>IF(ISBLANK(AB235),"",IF($P235="BRL",AB235,AB235*Macroindicadores!M$2)/1000)</f>
        <v>32</v>
      </c>
      <c r="AQ235" s="40">
        <f t="shared" si="100"/>
        <v>384</v>
      </c>
      <c r="AS235" s="39">
        <f>IF(ISBLANK(Q235),"",IF(ISBLANK($O235),AE235,IF($J235="ANUAL",AE235*(1+Macroindicadores!B$7),IF(AND($I235="NOVO",MONTH($O235)=MONTH(AS$4)),AE235*(1+Macroindicadores!B$7),IF(AND($J235="PONTUAL",MONTH($O235)=MONTH(AS$4)),AE235*(1+Macroindicadores!B$7),IF(AND($J235="PONTUAL",MONTH($O235)&lt;MONTH(AS$4)),MIN(AR235:$AS235),IF(AND($I235="NOVO",MONTH($O235)&gt;MONTH(AS$4)),AE235,IF(MONTH($O235)&gt;MONTH(AS$4),AE235,IF(MONTH($O235)=MONTH(AS$4),AE235*(1+Macroindicadores!B$7),AR235)))))))))</f>
        <v>32</v>
      </c>
      <c r="AT235" s="39">
        <f>IF(ISBLANK(R235),"",IF(ISBLANK($O235),AF235,IF($J235="ANUAL",AF235*(1+Macroindicadores!C$7),IF(AND($I235="NOVO",MONTH($O235)=MONTH(AT$4)),AF235*(1+Macroindicadores!C$7),IF(AND($J235="PONTUAL",MONTH($O235)=MONTH(AT$4)),AF235*(1+Macroindicadores!C$7),IF(AND($J235="PONTUAL",MONTH($O235)&lt;MONTH(AT$4)),MIN($AS235:AS235),IF(AND($I235="NOVO",MONTH($O235)&gt;MONTH(AT$4)),AF235,IF(MONTH($O235)&gt;MONTH(AT$4),AF235,IF(MONTH($O235)=MONTH(AT$4),AF235*(1+Macroindicadores!C$7),AS235)))))))))</f>
        <v>32</v>
      </c>
      <c r="AU235" s="39">
        <f>IF(ISBLANK(S235),"",IF(ISBLANK($O235),AG235,IF($J235="ANUAL",AG235*(1+Macroindicadores!D$7),IF(AND($I235="NOVO",MONTH($O235)=MONTH(AU$4)),AG235*(1+Macroindicadores!D$7),IF(AND($J235="PONTUAL",MONTH($O235)=MONTH(AU$4)),AG235*(1+Macroindicadores!D$7),IF(AND($J235="PONTUAL",MONTH($O235)&lt;MONTH(AU$4)),MIN($AS235:AT235),IF(AND($I235="NOVO",MONTH($O235)&gt;MONTH(AU$4)),AG235,IF(MONTH($O235)&gt;MONTH(AU$4),AG235,IF(MONTH($O235)=MONTH(AU$4),AG235*(1+Macroindicadores!D$7),AT235)))))))))</f>
        <v>32</v>
      </c>
      <c r="AV235" s="39">
        <f>IF(ISBLANK(T235),"",IF(ISBLANK($O235),AH235,IF($J235="ANUAL",AH235*(1+Macroindicadores!E$7),IF(AND($I235="NOVO",MONTH($O235)=MONTH(AV$4)),AH235*(1+Macroindicadores!E$7),IF(AND($J235="PONTUAL",MONTH($O235)=MONTH(AV$4)),AH235*(1+Macroindicadores!E$7),IF(AND($J235="PONTUAL",MONTH($O235)&lt;MONTH(AV$4)),MIN($AS235:AU235),IF(AND($I235="NOVO",MONTH($O235)&gt;MONTH(AV$4)),AH235,IF(MONTH($O235)&gt;MONTH(AV$4),AH235,IF(MONTH($O235)=MONTH(AV$4),AH235*(1+Macroindicadores!E$7),AU235)))))))))</f>
        <v>32</v>
      </c>
      <c r="AW235" s="39">
        <f>IF(ISBLANK(U235),"",IF(ISBLANK($O235),AI235,IF($J235="ANUAL",AI235*(1+Macroindicadores!F$7),IF(AND($I235="NOVO",MONTH($O235)=MONTH(AW$4)),AI235*(1+Macroindicadores!F$7),IF(AND($J235="PONTUAL",MONTH($O235)=MONTH(AW$4)),AI235*(1+Macroindicadores!F$7),IF(AND($J235="PONTUAL",MONTH($O235)&lt;MONTH(AW$4)),MIN($AS235:AV235),IF(AND($I235="NOVO",MONTH($O235)&gt;MONTH(AW$4)),AI235,IF(MONTH($O235)&gt;MONTH(AW$4),AI235,IF(MONTH($O235)=MONTH(AW$4),AI235*(1+Macroindicadores!F$7),AV235)))))))))</f>
        <v>32</v>
      </c>
      <c r="AX235" s="39">
        <f>IF(ISBLANK(V235),"",IF(ISBLANK($O235),AJ235,IF($J235="ANUAL",AJ235*(1+Macroindicadores!G$7),IF(AND($I235="NOVO",MONTH($O235)=MONTH(AX$4)),AJ235*(1+Macroindicadores!G$7),IF(AND($J235="PONTUAL",MONTH($O235)=MONTH(AX$4)),AJ235*(1+Macroindicadores!G$7),IF(AND($J235="PONTUAL",MONTH($O235)&lt;MONTH(AX$4)),MIN($AS235:AW235),IF(AND($I235="NOVO",MONTH($O235)&gt;MONTH(AX$4)),AJ235,IF(MONTH($O235)&gt;MONTH(AX$4),AJ235,IF(MONTH($O235)=MONTH(AX$4),AJ235*(1+Macroindicadores!G$7),AW235)))))))))</f>
        <v>32</v>
      </c>
      <c r="AY235" s="39">
        <f>IF(ISBLANK(W235),"",IF(ISBLANK($O235),AK235,IF($J235="ANUAL",AK235*(1+Macroindicadores!H$7),IF(AND($I235="NOVO",MONTH($O235)=MONTH(AY$4)),AK235*(1+Macroindicadores!H$7),IF(AND($J235="PONTUAL",MONTH($O235)=MONTH(AY$4)),AK235*(1+Macroindicadores!H$7),IF(AND($J235="PONTUAL",MONTH($O235)&lt;MONTH(AY$4)),MIN($AS235:AX235),IF(AND($I235="NOVO",MONTH($O235)&gt;MONTH(AY$4)),AK235,IF(MONTH($O235)&gt;MONTH(AY$4),AK235,IF(MONTH($O235)=MONTH(AY$4),AK235*(1+Macroindicadores!H$7),AX235)))))))))</f>
        <v>32</v>
      </c>
      <c r="AZ235" s="39">
        <f>IF(ISBLANK(X235),"",IF(ISBLANK($O235),AL235,IF($J235="ANUAL",AL235*(1+Macroindicadores!I$7),IF(AND($I235="NOVO",MONTH($O235)=MONTH(AZ$4)),AL235*(1+Macroindicadores!I$7),IF(AND($J235="PONTUAL",MONTH($O235)=MONTH(AZ$4)),AL235*(1+Macroindicadores!I$7),IF(AND($J235="PONTUAL",MONTH($O235)&lt;MONTH(AZ$4)),MIN($AS235:AY235),IF(AND($I235="NOVO",MONTH($O235)&gt;MONTH(AZ$4)),AL235,IF(MONTH($O235)&gt;MONTH(AZ$4),AL235,IF(MONTH($O235)=MONTH(AZ$4),AL235*(1+Macroindicadores!I$7),AY235)))))))))</f>
        <v>33.315257900131932</v>
      </c>
      <c r="BA235" s="39">
        <f>IF(ISBLANK(Y235),"",IF(ISBLANK($O235),AM235,IF($J235="ANUAL",AM235*(1+Macroindicadores!J$7),IF(AND($I235="NOVO",MONTH($O235)=MONTH(BA$4)),AM235*(1+Macroindicadores!J$7),IF(AND($J235="PONTUAL",MONTH($O235)=MONTH(BA$4)),AM235*(1+Macroindicadores!J$7),IF(AND($J235="PONTUAL",MONTH($O235)&lt;MONTH(BA$4)),MIN($AS235:AZ235),IF(AND($I235="NOVO",MONTH($O235)&gt;MONTH(BA$4)),AM235,IF(MONTH($O235)&gt;MONTH(BA$4),AM235,IF(MONTH($O235)=MONTH(BA$4),AM235*(1+Macroindicadores!J$7),AZ235)))))))))</f>
        <v>33.315257900131932</v>
      </c>
      <c r="BB235" s="39">
        <f>IF(ISBLANK(Z235),"",IF(ISBLANK($O235),AN235,IF($J235="ANUAL",AN235*(1+Macroindicadores!K$7),IF(AND($I235="NOVO",MONTH($O235)=MONTH(BB$4)),AN235*(1+Macroindicadores!K$7),IF(AND($J235="PONTUAL",MONTH($O235)=MONTH(BB$4)),AN235*(1+Macroindicadores!K$7),IF(AND($J235="PONTUAL",MONTH($O235)&lt;MONTH(BB$4)),MIN($AS235:BA235),IF(AND($I235="NOVO",MONTH($O235)&gt;MONTH(BB$4)),AN235,IF(MONTH($O235)&gt;MONTH(BB$4),AN235,IF(MONTH($O235)=MONTH(BB$4),AN235*(1+Macroindicadores!K$7),BA235)))))))))</f>
        <v>33.315257900131932</v>
      </c>
      <c r="BC235" s="39">
        <f>IF(ISBLANK(AA235),"",IF(ISBLANK($O235),AO235,IF($J235="ANUAL",AO235*(1+Macroindicadores!L$7),IF(AND($I235="NOVO",MONTH($O235)=MONTH(BC$4)),AO235*(1+Macroindicadores!L$7),IF(AND($J235="PONTUAL",MONTH($O235)=MONTH(BC$4)),AO235*(1+Macroindicadores!L$7),IF(AND($J235="PONTUAL",MONTH($O235)&lt;MONTH(BC$4)),MIN($AS235:BB235),IF(AND($I235="NOVO",MONTH($O235)&gt;MONTH(BC$4)),AO235,IF(MONTH($O235)&gt;MONTH(BC$4),AO235,IF(MONTH($O235)=MONTH(BC$4),AO235*(1+Macroindicadores!L$7),BB235)))))))))</f>
        <v>33.315257900131932</v>
      </c>
      <c r="BD235" s="39">
        <f>IF(ISBLANK(AB235),"",IF(ISBLANK($O235),AP235,IF($J235="ANUAL",AP235*(1+Macroindicadores!M$7),IF(AND($I235="NOVO",MONTH($O235)=MONTH(BD$4)),AP235*(1+Macroindicadores!M$7),IF(AND($J235="PONTUAL",MONTH($O235)=MONTH(BD$4)),AP235*(1+Macroindicadores!M$7),IF(AND($J235="PONTUAL",MONTH($O235)&lt;MONTH(BD$4)),MIN($AS235:BC235),IF(AND($I235="NOVO",MONTH($O235)&gt;MONTH(BD$4)),AP235,IF(MONTH($O235)&gt;MONTH(BD$4),AP235,IF(MONTH($O235)=MONTH(BD$4),AP235*(1+Macroindicadores!M$7),BC235)))))))))</f>
        <v>33.315257900131932</v>
      </c>
      <c r="BE235" s="40">
        <f t="shared" si="101"/>
        <v>390.5762895006597</v>
      </c>
      <c r="BG235" s="39">
        <f>IF(ISBLANK(Q235),"",AS235/Macroindicadores!B$2)</f>
        <v>5.4421768707482991</v>
      </c>
      <c r="BH235" s="39">
        <f>IF(ISBLANK(R235),"",AT235/Macroindicadores!C$2)</f>
        <v>5.4421768707482991</v>
      </c>
      <c r="BI235" s="39">
        <f>IF(ISBLANK(S235),"",AU235/Macroindicadores!D$2)</f>
        <v>5.4421768707482991</v>
      </c>
      <c r="BJ235" s="39">
        <f>IF(ISBLANK(T235),"",AV235/Macroindicadores!E$2)</f>
        <v>5.4421768707482991</v>
      </c>
      <c r="BK235" s="39">
        <f>IF(ISBLANK(U235),"",AW235/Macroindicadores!F$2)</f>
        <v>5.4421768707482991</v>
      </c>
      <c r="BL235" s="39">
        <f>IF(ISBLANK(V235),"",AX235/Macroindicadores!G$2)</f>
        <v>5.4421768707482991</v>
      </c>
      <c r="BM235" s="39">
        <f>IF(ISBLANK(W235),"",AY235/Macroindicadores!H$2)</f>
        <v>5.4421768707482991</v>
      </c>
      <c r="BN235" s="39">
        <f>IF(ISBLANK(X235),"",AZ235/Macroindicadores!I$2)</f>
        <v>5.6658601870972678</v>
      </c>
      <c r="BO235" s="39">
        <f>IF(ISBLANK(Y235),"",BA235/Macroindicadores!J$2)</f>
        <v>5.6658601870972678</v>
      </c>
      <c r="BP235" s="39">
        <f>IF(ISBLANK(Z235),"",BB235/Macroindicadores!K$2)</f>
        <v>5.6658601870972678</v>
      </c>
      <c r="BQ235" s="39">
        <f>IF(ISBLANK(AA235),"",BC235/Macroindicadores!L$2)</f>
        <v>5.6658601870972678</v>
      </c>
      <c r="BR235" s="39">
        <f>IF(ISBLANK(AB235),"",BD235/Macroindicadores!M$2)</f>
        <v>5.6658601870972678</v>
      </c>
      <c r="BS235" s="40">
        <f>IF(AND(ISBLANK($Q235),ISBLANK($R235),ISBLANK($S235),ISBLANK($T235),ISBLANK($U235),ISBLANK($V235),ISBLANK($W235),ISBLANK($X235),ISBLANK($Y235),ISBLANK($Z235),ISBLANK($AA235),ISBLANK($AB235)),"",SUM(BG235:BR235))</f>
        <v>66.424539030724432</v>
      </c>
      <c r="BT235" s="25" t="str">
        <f>IF(ISBLANK($L235),"",_xlfn.XLOOKUP($L235,'CENTRO CUSTO'!$A:$A,'CENTRO CUSTO'!$E:$E,FALSE,0))</f>
        <v>G&amp;A BU</v>
      </c>
    </row>
    <row r="236" spans="1:72">
      <c r="A236" s="9" t="str">
        <f t="shared" si="80"/>
        <v>Budget</v>
      </c>
      <c r="B236" s="9">
        <f t="shared" si="77"/>
        <v>2026</v>
      </c>
      <c r="C236" s="18" t="str">
        <f>IF(ISBLANK($L236),"",_xlfn.XLOOKUP($L236,'CENTRO CUSTO'!$A:$A,'CENTRO CUSTO'!F:F,FALSE,0))</f>
        <v>Transporte</v>
      </c>
      <c r="D236" s="111" t="str">
        <f>IF(ISBLANK($L236),"",_xlfn.XLOOKUP($L236,'CENTRO CUSTO'!$A:$A,'CENTRO CUSTO'!G:G,FALSE,0))</f>
        <v>BU-TR</v>
      </c>
      <c r="E236" s="18" t="str">
        <f>IF(ISBLANK($L236),"",_xlfn.XLOOKUP($L236,'CENTRO CUSTO'!$A:$A,'CENTRO CUSTO'!H:H,FALSE,0))</f>
        <v>G&amp;A</v>
      </c>
      <c r="F236" s="10" t="s">
        <v>230</v>
      </c>
      <c r="G236" s="10" t="s">
        <v>224</v>
      </c>
      <c r="H236" s="10" t="s">
        <v>231</v>
      </c>
      <c r="I236" s="11" t="s">
        <v>77</v>
      </c>
      <c r="J236" s="11" t="s">
        <v>78</v>
      </c>
      <c r="K236" s="11" t="s">
        <v>79</v>
      </c>
      <c r="L236" s="11" t="s">
        <v>38</v>
      </c>
      <c r="M236" s="18" t="str">
        <f>IF(ISBLANK($L236),"",_xlfn.XLOOKUP($L236,'CENTRO CUSTO'!$A:$A,'CENTRO CUSTO'!D:D,FALSE,0))</f>
        <v>Alexandre Ayabe</v>
      </c>
      <c r="N236" s="11" t="s">
        <v>132</v>
      </c>
      <c r="O236" s="12"/>
      <c r="P236" s="11" t="s">
        <v>81</v>
      </c>
      <c r="Q236" s="41"/>
      <c r="R236" s="41"/>
      <c r="S236" s="41"/>
      <c r="T236" s="41"/>
      <c r="U236" s="41"/>
      <c r="V236" s="41"/>
      <c r="W236" s="41"/>
      <c r="X236" s="41"/>
      <c r="Y236" s="41"/>
      <c r="Z236" s="41"/>
      <c r="AA236" s="41"/>
      <c r="AB236" s="41"/>
      <c r="AC236" s="116" t="str">
        <f t="shared" si="99"/>
        <v/>
      </c>
      <c r="AE236" s="39" t="str">
        <f>IF(ISBLANK(Q236),"",IF($P236="BRL",Q236,Q236*Macroindicadores!B$2)/1000)</f>
        <v/>
      </c>
      <c r="AF236" s="39" t="str">
        <f>IF(ISBLANK(R236),"",IF($P236="BRL",R236,R236*Macroindicadores!C$2)/1000)</f>
        <v/>
      </c>
      <c r="AG236" s="39" t="str">
        <f>IF(ISBLANK(S236),"",IF($P236="BRL",S236,S236*Macroindicadores!D$2)/1000)</f>
        <v/>
      </c>
      <c r="AH236" s="39" t="str">
        <f>IF(ISBLANK(T236),"",IF($P236="BRL",T236,T236*Macroindicadores!E$2)/1000)</f>
        <v/>
      </c>
      <c r="AI236" s="39" t="str">
        <f>IF(ISBLANK(U236),"",IF($P236="BRL",U236,U236*Macroindicadores!F$2)/1000)</f>
        <v/>
      </c>
      <c r="AJ236" s="39" t="str">
        <f>IF(ISBLANK(V236),"",IF($P236="BRL",V236,V236*Macroindicadores!G$2)/1000)</f>
        <v/>
      </c>
      <c r="AK236" s="39" t="str">
        <f>IF(ISBLANK(W236),"",IF($P236="BRL",W236,W236*Macroindicadores!H$2)/1000)</f>
        <v/>
      </c>
      <c r="AL236" s="39" t="str">
        <f>IF(ISBLANK(X236),"",IF($P236="BRL",X236,X236*Macroindicadores!I$2)/1000)</f>
        <v/>
      </c>
      <c r="AM236" s="39" t="str">
        <f>IF(ISBLANK(Y236),"",IF($P236="BRL",Y236,Y236*Macroindicadores!J$2)/1000)</f>
        <v/>
      </c>
      <c r="AN236" s="39" t="str">
        <f>IF(ISBLANK(Z236),"",IF($P236="BRL",Z236,Z236*Macroindicadores!K$2)/1000)</f>
        <v/>
      </c>
      <c r="AO236" s="39" t="str">
        <f>IF(ISBLANK(AA236),"",IF($P236="BRL",AA236,AA236*Macroindicadores!L$2)/1000)</f>
        <v/>
      </c>
      <c r="AP236" s="39" t="str">
        <f>IF(ISBLANK(AB236),"",IF($P236="BRL",AB236,AB236*Macroindicadores!M$2)/1000)</f>
        <v/>
      </c>
      <c r="AQ236" s="40" t="str">
        <f t="shared" si="100"/>
        <v/>
      </c>
      <c r="AS236" s="39" t="str">
        <f>IF(ISBLANK(Q236),"",IF(ISBLANK($O236),AE236,IF($J236="ANUAL",AE236*(1+Macroindicadores!B$7),IF(AND($I236="NOVO",MONTH($O236)=MONTH(AS$4)),AE236*(1+Macroindicadores!B$7),IF(AND($J236="PONTUAL",MONTH($O236)=MONTH(AS$4)),AE236*(1+Macroindicadores!B$7),IF(AND($J236="PONTUAL",MONTH($O236)&lt;MONTH(AS$4)),MIN(AR236:$AS236),IF(AND($I236="NOVO",MONTH($O236)&gt;MONTH(AS$4)),AE236,IF(MONTH($O236)&gt;MONTH(AS$4),AE236,IF(MONTH($O236)=MONTH(AS$4),AE236*(1+Macroindicadores!B$7),AR236)))))))))</f>
        <v/>
      </c>
      <c r="AT236" s="39" t="str">
        <f>IF(ISBLANK(R236),"",IF(ISBLANK($O236),AF236,IF($J236="ANUAL",AF236*(1+Macroindicadores!C$7),IF(AND($I236="NOVO",MONTH($O236)=MONTH(AT$4)),AF236*(1+Macroindicadores!C$7),IF(AND($J236="PONTUAL",MONTH($O236)=MONTH(AT$4)),AF236*(1+Macroindicadores!C$7),IF(AND($J236="PONTUAL",MONTH($O236)&lt;MONTH(AT$4)),MIN($AS236:AS236),IF(AND($I236="NOVO",MONTH($O236)&gt;MONTH(AT$4)),AF236,IF(MONTH($O236)&gt;MONTH(AT$4),AF236,IF(MONTH($O236)=MONTH(AT$4),AF236*(1+Macroindicadores!C$7),AS236)))))))))</f>
        <v/>
      </c>
      <c r="AU236" s="39" t="str">
        <f>IF(ISBLANK(S236),"",IF(ISBLANK($O236),AG236,IF($J236="ANUAL",AG236*(1+Macroindicadores!D$7),IF(AND($I236="NOVO",MONTH($O236)=MONTH(AU$4)),AG236*(1+Macroindicadores!D$7),IF(AND($J236="PONTUAL",MONTH($O236)=MONTH(AU$4)),AG236*(1+Macroindicadores!D$7),IF(AND($J236="PONTUAL",MONTH($O236)&lt;MONTH(AU$4)),MIN($AS236:AT236),IF(AND($I236="NOVO",MONTH($O236)&gt;MONTH(AU$4)),AG236,IF(MONTH($O236)&gt;MONTH(AU$4),AG236,IF(MONTH($O236)=MONTH(AU$4),AG236*(1+Macroindicadores!D$7),AT236)))))))))</f>
        <v/>
      </c>
      <c r="AV236" s="39" t="str">
        <f>IF(ISBLANK(T236),"",IF(ISBLANK($O236),AH236,IF($J236="ANUAL",AH236*(1+Macroindicadores!E$7),IF(AND($I236="NOVO",MONTH($O236)=MONTH(AV$4)),AH236*(1+Macroindicadores!E$7),IF(AND($J236="PONTUAL",MONTH($O236)=MONTH(AV$4)),AH236*(1+Macroindicadores!E$7),IF(AND($J236="PONTUAL",MONTH($O236)&lt;MONTH(AV$4)),MIN($AS236:AU236),IF(AND($I236="NOVO",MONTH($O236)&gt;MONTH(AV$4)),AH236,IF(MONTH($O236)&gt;MONTH(AV$4),AH236,IF(MONTH($O236)=MONTH(AV$4),AH236*(1+Macroindicadores!E$7),AU236)))))))))</f>
        <v/>
      </c>
      <c r="AW236" s="39" t="str">
        <f>IF(ISBLANK(U236),"",IF(ISBLANK($O236),AI236,IF($J236="ANUAL",AI236*(1+Macroindicadores!F$7),IF(AND($I236="NOVO",MONTH($O236)=MONTH(AW$4)),AI236*(1+Macroindicadores!F$7),IF(AND($J236="PONTUAL",MONTH($O236)=MONTH(AW$4)),AI236*(1+Macroindicadores!F$7),IF(AND($J236="PONTUAL",MONTH($O236)&lt;MONTH(AW$4)),MIN($AS236:AV236),IF(AND($I236="NOVO",MONTH($O236)&gt;MONTH(AW$4)),AI236,IF(MONTH($O236)&gt;MONTH(AW$4),AI236,IF(MONTH($O236)=MONTH(AW$4),AI236*(1+Macroindicadores!F$7),AV236)))))))))</f>
        <v/>
      </c>
      <c r="AX236" s="39" t="str">
        <f>IF(ISBLANK(V236),"",IF(ISBLANK($O236),AJ236,IF($J236="ANUAL",AJ236*(1+Macroindicadores!G$7),IF(AND($I236="NOVO",MONTH($O236)=MONTH(AX$4)),AJ236*(1+Macroindicadores!G$7),IF(AND($J236="PONTUAL",MONTH($O236)=MONTH(AX$4)),AJ236*(1+Macroindicadores!G$7),IF(AND($J236="PONTUAL",MONTH($O236)&lt;MONTH(AX$4)),MIN($AS236:AW236),IF(AND($I236="NOVO",MONTH($O236)&gt;MONTH(AX$4)),AJ236,IF(MONTH($O236)&gt;MONTH(AX$4),AJ236,IF(MONTH($O236)=MONTH(AX$4),AJ236*(1+Macroindicadores!G$7),AW236)))))))))</f>
        <v/>
      </c>
      <c r="AY236" s="39" t="str">
        <f>IF(ISBLANK(W236),"",IF(ISBLANK($O236),AK236,IF($J236="ANUAL",AK236*(1+Macroindicadores!H$7),IF(AND($I236="NOVO",MONTH($O236)=MONTH(AY$4)),AK236*(1+Macroindicadores!H$7),IF(AND($J236="PONTUAL",MONTH($O236)=MONTH(AY$4)),AK236*(1+Macroindicadores!H$7),IF(AND($J236="PONTUAL",MONTH($O236)&lt;MONTH(AY$4)),MIN($AS236:AX236),IF(AND($I236="NOVO",MONTH($O236)&gt;MONTH(AY$4)),AK236,IF(MONTH($O236)&gt;MONTH(AY$4),AK236,IF(MONTH($O236)=MONTH(AY$4),AK236*(1+Macroindicadores!H$7),AX236)))))))))</f>
        <v/>
      </c>
      <c r="AZ236" s="39" t="str">
        <f>IF(ISBLANK(X236),"",IF(ISBLANK($O236),AL236,IF($J236="ANUAL",AL236*(1+Macroindicadores!I$7),IF(AND($I236="NOVO",MONTH($O236)=MONTH(AZ$4)),AL236*(1+Macroindicadores!I$7),IF(AND($J236="PONTUAL",MONTH($O236)=MONTH(AZ$4)),AL236*(1+Macroindicadores!I$7),IF(AND($J236="PONTUAL",MONTH($O236)&lt;MONTH(AZ$4)),MIN($AS236:AY236),IF(AND($I236="NOVO",MONTH($O236)&gt;MONTH(AZ$4)),AL236,IF(MONTH($O236)&gt;MONTH(AZ$4),AL236,IF(MONTH($O236)=MONTH(AZ$4),AL236*(1+Macroindicadores!I$7),AY236)))))))))</f>
        <v/>
      </c>
      <c r="BA236" s="39" t="str">
        <f>IF(ISBLANK(Y236),"",IF(ISBLANK($O236),AM236,IF($J236="ANUAL",AM236*(1+Macroindicadores!J$7),IF(AND($I236="NOVO",MONTH($O236)=MONTH(BA$4)),AM236*(1+Macroindicadores!J$7),IF(AND($J236="PONTUAL",MONTH($O236)=MONTH(BA$4)),AM236*(1+Macroindicadores!J$7),IF(AND($J236="PONTUAL",MONTH($O236)&lt;MONTH(BA$4)),MIN($AS236:AZ236),IF(AND($I236="NOVO",MONTH($O236)&gt;MONTH(BA$4)),AM236,IF(MONTH($O236)&gt;MONTH(BA$4),AM236,IF(MONTH($O236)=MONTH(BA$4),AM236*(1+Macroindicadores!J$7),AZ236)))))))))</f>
        <v/>
      </c>
      <c r="BB236" s="39" t="str">
        <f>IF(ISBLANK(Z236),"",IF(ISBLANK($O236),AN236,IF($J236="ANUAL",AN236*(1+Macroindicadores!K$7),IF(AND($I236="NOVO",MONTH($O236)=MONTH(BB$4)),AN236*(1+Macroindicadores!K$7),IF(AND($J236="PONTUAL",MONTH($O236)=MONTH(BB$4)),AN236*(1+Macroindicadores!K$7),IF(AND($J236="PONTUAL",MONTH($O236)&lt;MONTH(BB$4)),MIN($AS236:BA236),IF(AND($I236="NOVO",MONTH($O236)&gt;MONTH(BB$4)),AN236,IF(MONTH($O236)&gt;MONTH(BB$4),AN236,IF(MONTH($O236)=MONTH(BB$4),AN236*(1+Macroindicadores!K$7),BA236)))))))))</f>
        <v/>
      </c>
      <c r="BC236" s="39" t="str">
        <f>IF(ISBLANK(AA236),"",IF(ISBLANK($O236),AO236,IF($J236="ANUAL",AO236*(1+Macroindicadores!L$7),IF(AND($I236="NOVO",MONTH($O236)=MONTH(BC$4)),AO236*(1+Macroindicadores!L$7),IF(AND($J236="PONTUAL",MONTH($O236)=MONTH(BC$4)),AO236*(1+Macroindicadores!L$7),IF(AND($J236="PONTUAL",MONTH($O236)&lt;MONTH(BC$4)),MIN($AS236:BB236),IF(AND($I236="NOVO",MONTH($O236)&gt;MONTH(BC$4)),AO236,IF(MONTH($O236)&gt;MONTH(BC$4),AO236,IF(MONTH($O236)=MONTH(BC$4),AO236*(1+Macroindicadores!L$7),BB236)))))))))</f>
        <v/>
      </c>
      <c r="BD236" s="39" t="str">
        <f>IF(ISBLANK(AB236),"",IF(ISBLANK($O236),AP236,IF($J236="ANUAL",AP236*(1+Macroindicadores!M$7),IF(AND($I236="NOVO",MONTH($O236)=MONTH(BD$4)),AP236*(1+Macroindicadores!M$7),IF(AND($J236="PONTUAL",MONTH($O236)=MONTH(BD$4)),AP236*(1+Macroindicadores!M$7),IF(AND($J236="PONTUAL",MONTH($O236)&lt;MONTH(BD$4)),MIN($AS236:BC236),IF(AND($I236="NOVO",MONTH($O236)&gt;MONTH(BD$4)),AP236,IF(MONTH($O236)&gt;MONTH(BD$4),AP236,IF(MONTH($O236)=MONTH(BD$4),AP236*(1+Macroindicadores!M$7),BC236)))))))))</f>
        <v/>
      </c>
      <c r="BE236" s="40" t="str">
        <f t="shared" si="101"/>
        <v/>
      </c>
      <c r="BG236" s="39" t="str">
        <f>IF(ISBLANK(Q236),"",AS236/Macroindicadores!B$2)</f>
        <v/>
      </c>
      <c r="BH236" s="39" t="str">
        <f>IF(ISBLANK(R236),"",AT236/Macroindicadores!C$2)</f>
        <v/>
      </c>
      <c r="BI236" s="39" t="str">
        <f>IF(ISBLANK(S236),"",AU236/Macroindicadores!D$2)</f>
        <v/>
      </c>
      <c r="BJ236" s="39" t="str">
        <f>IF(ISBLANK(T236),"",AV236/Macroindicadores!E$2)</f>
        <v/>
      </c>
      <c r="BK236" s="39" t="str">
        <f>IF(ISBLANK(U236),"",AW236/Macroindicadores!F$2)</f>
        <v/>
      </c>
      <c r="BL236" s="39" t="str">
        <f>IF(ISBLANK(V236),"",AX236/Macroindicadores!G$2)</f>
        <v/>
      </c>
      <c r="BM236" s="39" t="str">
        <f>IF(ISBLANK(W236),"",AY236/Macroindicadores!H$2)</f>
        <v/>
      </c>
      <c r="BN236" s="39" t="str">
        <f>IF(ISBLANK(X236),"",AZ236/Macroindicadores!I$2)</f>
        <v/>
      </c>
      <c r="BO236" s="39" t="str">
        <f>IF(ISBLANK(Y236),"",BA236/Macroindicadores!J$2)</f>
        <v/>
      </c>
      <c r="BP236" s="39" t="str">
        <f>IF(ISBLANK(Z236),"",BB236/Macroindicadores!K$2)</f>
        <v/>
      </c>
      <c r="BQ236" s="39" t="str">
        <f>IF(ISBLANK(AA236),"",BC236/Macroindicadores!L$2)</f>
        <v/>
      </c>
      <c r="BR236" s="39" t="str">
        <f>IF(ISBLANK(AB236),"",BD236/Macroindicadores!M$2)</f>
        <v/>
      </c>
      <c r="BS236" s="40" t="str">
        <f>IF(AND(ISBLANK($Q236),ISBLANK($R236),ISBLANK($S236),ISBLANK($T236),ISBLANK($U236),ISBLANK($V236),ISBLANK($W236),ISBLANK($X236),ISBLANK($Y236),ISBLANK($Z236),ISBLANK($AA236),ISBLANK($AB236)),"",SUM(BG236:BR236))</f>
        <v/>
      </c>
      <c r="BT236" s="25" t="str">
        <f>IF(ISBLANK($L236),"",_xlfn.XLOOKUP($L236,'CENTRO CUSTO'!$A:$A,'CENTRO CUSTO'!$E:$E,FALSE,0))</f>
        <v>G&amp;A BU</v>
      </c>
    </row>
    <row r="237" spans="1:72">
      <c r="A237" s="9" t="str">
        <f t="shared" si="80"/>
        <v>Budget</v>
      </c>
      <c r="B237" s="9">
        <f t="shared" si="77"/>
        <v>2026</v>
      </c>
      <c r="C237" s="18" t="str">
        <f>IF(ISBLANK($L237),"",_xlfn.XLOOKUP($L237,'CENTRO CUSTO'!$A:$A,'CENTRO CUSTO'!F:F,FALSE,0))</f>
        <v>MRV</v>
      </c>
      <c r="D237" s="111" t="str">
        <f>IF(ISBLANK($L237),"",_xlfn.XLOOKUP($L237,'CENTRO CUSTO'!$A:$A,'CENTRO CUSTO'!G:G,FALSE,0))</f>
        <v>BU-MRV</v>
      </c>
      <c r="E237" s="18" t="str">
        <f>IF(ISBLANK($L237),"",_xlfn.XLOOKUP($L237,'CENTRO CUSTO'!$A:$A,'CENTRO CUSTO'!H:H,FALSE,0))</f>
        <v>G&amp;A</v>
      </c>
      <c r="F237" s="10" t="s">
        <v>230</v>
      </c>
      <c r="G237" s="10" t="s">
        <v>224</v>
      </c>
      <c r="H237" s="10" t="s">
        <v>231</v>
      </c>
      <c r="I237" s="11" t="s">
        <v>77</v>
      </c>
      <c r="J237" s="11" t="s">
        <v>78</v>
      </c>
      <c r="K237" s="11" t="s">
        <v>79</v>
      </c>
      <c r="L237" s="11" t="s">
        <v>45</v>
      </c>
      <c r="M237" s="18" t="str">
        <f>IF(ISBLANK($L237),"",_xlfn.XLOOKUP($L237,'CENTRO CUSTO'!$A:$A,'CENTRO CUSTO'!D:D,FALSE,0))</f>
        <v>Alexandre Ayabe</v>
      </c>
      <c r="N237" s="11" t="s">
        <v>132</v>
      </c>
      <c r="O237" s="12"/>
      <c r="P237" s="11" t="s">
        <v>81</v>
      </c>
      <c r="Q237" s="41"/>
      <c r="R237" s="41"/>
      <c r="S237" s="41"/>
      <c r="T237" s="41"/>
      <c r="U237" s="41"/>
      <c r="V237" s="41"/>
      <c r="W237" s="41"/>
      <c r="X237" s="41"/>
      <c r="Y237" s="41"/>
      <c r="Z237" s="41"/>
      <c r="AA237" s="41"/>
      <c r="AB237" s="41"/>
      <c r="AC237" s="116" t="str">
        <f t="shared" si="99"/>
        <v/>
      </c>
      <c r="AE237" s="39" t="str">
        <f>IF(ISBLANK(Q237),"",IF($P237="BRL",Q237,Q237*Macroindicadores!B$2)/1000)</f>
        <v/>
      </c>
      <c r="AF237" s="39" t="str">
        <f>IF(ISBLANK(R237),"",IF($P237="BRL",R237,R237*Macroindicadores!C$2)/1000)</f>
        <v/>
      </c>
      <c r="AG237" s="39" t="str">
        <f>IF(ISBLANK(S237),"",IF($P237="BRL",S237,S237*Macroindicadores!D$2)/1000)</f>
        <v/>
      </c>
      <c r="AH237" s="39" t="str">
        <f>IF(ISBLANK(T237),"",IF($P237="BRL",T237,T237*Macroindicadores!E$2)/1000)</f>
        <v/>
      </c>
      <c r="AI237" s="39" t="str">
        <f>IF(ISBLANK(U237),"",IF($P237="BRL",U237,U237*Macroindicadores!F$2)/1000)</f>
        <v/>
      </c>
      <c r="AJ237" s="39" t="str">
        <f>IF(ISBLANK(V237),"",IF($P237="BRL",V237,V237*Macroindicadores!G$2)/1000)</f>
        <v/>
      </c>
      <c r="AK237" s="39" t="str">
        <f>IF(ISBLANK(W237),"",IF($P237="BRL",W237,W237*Macroindicadores!H$2)/1000)</f>
        <v/>
      </c>
      <c r="AL237" s="39" t="str">
        <f>IF(ISBLANK(X237),"",IF($P237="BRL",X237,X237*Macroindicadores!I$2)/1000)</f>
        <v/>
      </c>
      <c r="AM237" s="39" t="str">
        <f>IF(ISBLANK(Y237),"",IF($P237="BRL",Y237,Y237*Macroindicadores!J$2)/1000)</f>
        <v/>
      </c>
      <c r="AN237" s="39" t="str">
        <f>IF(ISBLANK(Z237),"",IF($P237="BRL",Z237,Z237*Macroindicadores!K$2)/1000)</f>
        <v/>
      </c>
      <c r="AO237" s="39" t="str">
        <f>IF(ISBLANK(AA237),"",IF($P237="BRL",AA237,AA237*Macroindicadores!L$2)/1000)</f>
        <v/>
      </c>
      <c r="AP237" s="39" t="str">
        <f>IF(ISBLANK(AB237),"",IF($P237="BRL",AB237,AB237*Macroindicadores!M$2)/1000)</f>
        <v/>
      </c>
      <c r="AQ237" s="40" t="str">
        <f t="shared" si="100"/>
        <v/>
      </c>
      <c r="AS237" s="39" t="str">
        <f>IF(ISBLANK(Q237),"",IF(ISBLANK($O237),AE237,IF($J237="ANUAL",AE237*(1+Macroindicadores!B$7),IF(AND($I237="NOVO",MONTH($O237)=MONTH(AS$4)),AE237*(1+Macroindicadores!B$7),IF(AND($J237="PONTUAL",MONTH($O237)=MONTH(AS$4)),AE237*(1+Macroindicadores!B$7),IF(AND($J237="PONTUAL",MONTH($O237)&lt;MONTH(AS$4)),MIN(AR237:$AS237),IF(AND($I237="NOVO",MONTH($O237)&gt;MONTH(AS$4)),AE237,IF(MONTH($O237)&gt;MONTH(AS$4),AE237,IF(MONTH($O237)=MONTH(AS$4),AE237*(1+Macroindicadores!B$7),AR237)))))))))</f>
        <v/>
      </c>
      <c r="AT237" s="39" t="str">
        <f>IF(ISBLANK(R237),"",IF(ISBLANK($O237),AF237,IF($J237="ANUAL",AF237*(1+Macroindicadores!C$7),IF(AND($I237="NOVO",MONTH($O237)=MONTH(AT$4)),AF237*(1+Macroindicadores!C$7),IF(AND($J237="PONTUAL",MONTH($O237)=MONTH(AT$4)),AF237*(1+Macroindicadores!C$7),IF(AND($J237="PONTUAL",MONTH($O237)&lt;MONTH(AT$4)),MIN($AS237:AS237),IF(AND($I237="NOVO",MONTH($O237)&gt;MONTH(AT$4)),AF237,IF(MONTH($O237)&gt;MONTH(AT$4),AF237,IF(MONTH($O237)=MONTH(AT$4),AF237*(1+Macroindicadores!C$7),AS237)))))))))</f>
        <v/>
      </c>
      <c r="AU237" s="39" t="str">
        <f>IF(ISBLANK(S237),"",IF(ISBLANK($O237),AG237,IF($J237="ANUAL",AG237*(1+Macroindicadores!D$7),IF(AND($I237="NOVO",MONTH($O237)=MONTH(AU$4)),AG237*(1+Macroindicadores!D$7),IF(AND($J237="PONTUAL",MONTH($O237)=MONTH(AU$4)),AG237*(1+Macroindicadores!D$7),IF(AND($J237="PONTUAL",MONTH($O237)&lt;MONTH(AU$4)),MIN($AS237:AT237),IF(AND($I237="NOVO",MONTH($O237)&gt;MONTH(AU$4)),AG237,IF(MONTH($O237)&gt;MONTH(AU$4),AG237,IF(MONTH($O237)=MONTH(AU$4),AG237*(1+Macroindicadores!D$7),AT237)))))))))</f>
        <v/>
      </c>
      <c r="AV237" s="39" t="str">
        <f>IF(ISBLANK(T237),"",IF(ISBLANK($O237),AH237,IF($J237="ANUAL",AH237*(1+Macroindicadores!E$7),IF(AND($I237="NOVO",MONTH($O237)=MONTH(AV$4)),AH237*(1+Macroindicadores!E$7),IF(AND($J237="PONTUAL",MONTH($O237)=MONTH(AV$4)),AH237*(1+Macroindicadores!E$7),IF(AND($J237="PONTUAL",MONTH($O237)&lt;MONTH(AV$4)),MIN($AS237:AU237),IF(AND($I237="NOVO",MONTH($O237)&gt;MONTH(AV$4)),AH237,IF(MONTH($O237)&gt;MONTH(AV$4),AH237,IF(MONTH($O237)=MONTH(AV$4),AH237*(1+Macroindicadores!E$7),AU237)))))))))</f>
        <v/>
      </c>
      <c r="AW237" s="39" t="str">
        <f>IF(ISBLANK(U237),"",IF(ISBLANK($O237),AI237,IF($J237="ANUAL",AI237*(1+Macroindicadores!F$7),IF(AND($I237="NOVO",MONTH($O237)=MONTH(AW$4)),AI237*(1+Macroindicadores!F$7),IF(AND($J237="PONTUAL",MONTH($O237)=MONTH(AW$4)),AI237*(1+Macroindicadores!F$7),IF(AND($J237="PONTUAL",MONTH($O237)&lt;MONTH(AW$4)),MIN($AS237:AV237),IF(AND($I237="NOVO",MONTH($O237)&gt;MONTH(AW$4)),AI237,IF(MONTH($O237)&gt;MONTH(AW$4),AI237,IF(MONTH($O237)=MONTH(AW$4),AI237*(1+Macroindicadores!F$7),AV237)))))))))</f>
        <v/>
      </c>
      <c r="AX237" s="39" t="str">
        <f>IF(ISBLANK(V237),"",IF(ISBLANK($O237),AJ237,IF($J237="ANUAL",AJ237*(1+Macroindicadores!G$7),IF(AND($I237="NOVO",MONTH($O237)=MONTH(AX$4)),AJ237*(1+Macroindicadores!G$7),IF(AND($J237="PONTUAL",MONTH($O237)=MONTH(AX$4)),AJ237*(1+Macroindicadores!G$7),IF(AND($J237="PONTUAL",MONTH($O237)&lt;MONTH(AX$4)),MIN($AS237:AW237),IF(AND($I237="NOVO",MONTH($O237)&gt;MONTH(AX$4)),AJ237,IF(MONTH($O237)&gt;MONTH(AX$4),AJ237,IF(MONTH($O237)=MONTH(AX$4),AJ237*(1+Macroindicadores!G$7),AW237)))))))))</f>
        <v/>
      </c>
      <c r="AY237" s="39" t="str">
        <f>IF(ISBLANK(W237),"",IF(ISBLANK($O237),AK237,IF($J237="ANUAL",AK237*(1+Macroindicadores!H$7),IF(AND($I237="NOVO",MONTH($O237)=MONTH(AY$4)),AK237*(1+Macroindicadores!H$7),IF(AND($J237="PONTUAL",MONTH($O237)=MONTH(AY$4)),AK237*(1+Macroindicadores!H$7),IF(AND($J237="PONTUAL",MONTH($O237)&lt;MONTH(AY$4)),MIN($AS237:AX237),IF(AND($I237="NOVO",MONTH($O237)&gt;MONTH(AY$4)),AK237,IF(MONTH($O237)&gt;MONTH(AY$4),AK237,IF(MONTH($O237)=MONTH(AY$4),AK237*(1+Macroindicadores!H$7),AX237)))))))))</f>
        <v/>
      </c>
      <c r="AZ237" s="39" t="str">
        <f>IF(ISBLANK(X237),"",IF(ISBLANK($O237),AL237,IF($J237="ANUAL",AL237*(1+Macroindicadores!I$7),IF(AND($I237="NOVO",MONTH($O237)=MONTH(AZ$4)),AL237*(1+Macroindicadores!I$7),IF(AND($J237="PONTUAL",MONTH($O237)=MONTH(AZ$4)),AL237*(1+Macroindicadores!I$7),IF(AND($J237="PONTUAL",MONTH($O237)&lt;MONTH(AZ$4)),MIN($AS237:AY237),IF(AND($I237="NOVO",MONTH($O237)&gt;MONTH(AZ$4)),AL237,IF(MONTH($O237)&gt;MONTH(AZ$4),AL237,IF(MONTH($O237)=MONTH(AZ$4),AL237*(1+Macroindicadores!I$7),AY237)))))))))</f>
        <v/>
      </c>
      <c r="BA237" s="39" t="str">
        <f>IF(ISBLANK(Y237),"",IF(ISBLANK($O237),AM237,IF($J237="ANUAL",AM237*(1+Macroindicadores!J$7),IF(AND($I237="NOVO",MONTH($O237)=MONTH(BA$4)),AM237*(1+Macroindicadores!J$7),IF(AND($J237="PONTUAL",MONTH($O237)=MONTH(BA$4)),AM237*(1+Macroindicadores!J$7),IF(AND($J237="PONTUAL",MONTH($O237)&lt;MONTH(BA$4)),MIN($AS237:AZ237),IF(AND($I237="NOVO",MONTH($O237)&gt;MONTH(BA$4)),AM237,IF(MONTH($O237)&gt;MONTH(BA$4),AM237,IF(MONTH($O237)=MONTH(BA$4),AM237*(1+Macroindicadores!J$7),AZ237)))))))))</f>
        <v/>
      </c>
      <c r="BB237" s="39" t="str">
        <f>IF(ISBLANK(Z237),"",IF(ISBLANK($O237),AN237,IF($J237="ANUAL",AN237*(1+Macroindicadores!K$7),IF(AND($I237="NOVO",MONTH($O237)=MONTH(BB$4)),AN237*(1+Macroindicadores!K$7),IF(AND($J237="PONTUAL",MONTH($O237)=MONTH(BB$4)),AN237*(1+Macroindicadores!K$7),IF(AND($J237="PONTUAL",MONTH($O237)&lt;MONTH(BB$4)),MIN($AS237:BA237),IF(AND($I237="NOVO",MONTH($O237)&gt;MONTH(BB$4)),AN237,IF(MONTH($O237)&gt;MONTH(BB$4),AN237,IF(MONTH($O237)=MONTH(BB$4),AN237*(1+Macroindicadores!K$7),BA237)))))))))</f>
        <v/>
      </c>
      <c r="BC237" s="39" t="str">
        <f>IF(ISBLANK(AA237),"",IF(ISBLANK($O237),AO237,IF($J237="ANUAL",AO237*(1+Macroindicadores!L$7),IF(AND($I237="NOVO",MONTH($O237)=MONTH(BC$4)),AO237*(1+Macroindicadores!L$7),IF(AND($J237="PONTUAL",MONTH($O237)=MONTH(BC$4)),AO237*(1+Macroindicadores!L$7),IF(AND($J237="PONTUAL",MONTH($O237)&lt;MONTH(BC$4)),MIN($AS237:BB237),IF(AND($I237="NOVO",MONTH($O237)&gt;MONTH(BC$4)),AO237,IF(MONTH($O237)&gt;MONTH(BC$4),AO237,IF(MONTH($O237)=MONTH(BC$4),AO237*(1+Macroindicadores!L$7),BB237)))))))))</f>
        <v/>
      </c>
      <c r="BD237" s="39" t="str">
        <f>IF(ISBLANK(AB237),"",IF(ISBLANK($O237),AP237,IF($J237="ANUAL",AP237*(1+Macroindicadores!M$7),IF(AND($I237="NOVO",MONTH($O237)=MONTH(BD$4)),AP237*(1+Macroindicadores!M$7),IF(AND($J237="PONTUAL",MONTH($O237)=MONTH(BD$4)),AP237*(1+Macroindicadores!M$7),IF(AND($J237="PONTUAL",MONTH($O237)&lt;MONTH(BD$4)),MIN($AS237:BC237),IF(AND($I237="NOVO",MONTH($O237)&gt;MONTH(BD$4)),AP237,IF(MONTH($O237)&gt;MONTH(BD$4),AP237,IF(MONTH($O237)=MONTH(BD$4),AP237*(1+Macroindicadores!M$7),BC237)))))))))</f>
        <v/>
      </c>
      <c r="BE237" s="40" t="str">
        <f t="shared" si="101"/>
        <v/>
      </c>
      <c r="BG237" s="39" t="str">
        <f>IF(ISBLANK(Q237),"",AS237/Macroindicadores!B$2)</f>
        <v/>
      </c>
      <c r="BH237" s="39" t="str">
        <f>IF(ISBLANK(R237),"",AT237/Macroindicadores!C$2)</f>
        <v/>
      </c>
      <c r="BI237" s="39" t="str">
        <f>IF(ISBLANK(S237),"",AU237/Macroindicadores!D$2)</f>
        <v/>
      </c>
      <c r="BJ237" s="39" t="str">
        <f>IF(ISBLANK(T237),"",AV237/Macroindicadores!E$2)</f>
        <v/>
      </c>
      <c r="BK237" s="39" t="str">
        <f>IF(ISBLANK(U237),"",AW237/Macroindicadores!F$2)</f>
        <v/>
      </c>
      <c r="BL237" s="39" t="str">
        <f>IF(ISBLANK(V237),"",AX237/Macroindicadores!G$2)</f>
        <v/>
      </c>
      <c r="BM237" s="39" t="str">
        <f>IF(ISBLANK(W237),"",AY237/Macroindicadores!H$2)</f>
        <v/>
      </c>
      <c r="BN237" s="39" t="str">
        <f>IF(ISBLANK(X237),"",AZ237/Macroindicadores!I$2)</f>
        <v/>
      </c>
      <c r="BO237" s="39" t="str">
        <f>IF(ISBLANK(Y237),"",BA237/Macroindicadores!J$2)</f>
        <v/>
      </c>
      <c r="BP237" s="39" t="str">
        <f>IF(ISBLANK(Z237),"",BB237/Macroindicadores!K$2)</f>
        <v/>
      </c>
      <c r="BQ237" s="39" t="str">
        <f>IF(ISBLANK(AA237),"",BC237/Macroindicadores!L$2)</f>
        <v/>
      </c>
      <c r="BR237" s="39" t="str">
        <f>IF(ISBLANK(AB237),"",BD237/Macroindicadores!M$2)</f>
        <v/>
      </c>
      <c r="BS237" s="40" t="str">
        <f>IF(AND(ISBLANK($Q237),ISBLANK($R237),ISBLANK($S237),ISBLANK($T237),ISBLANK($U237),ISBLANK($V237),ISBLANK($W237),ISBLANK($X237),ISBLANK($Y237),ISBLANK($Z237),ISBLANK($AA237),ISBLANK($AB237)),"",SUM(BG237:BR237))</f>
        <v/>
      </c>
      <c r="BT237" s="25" t="str">
        <f>IF(ISBLANK($L237),"",_xlfn.XLOOKUP($L237,'CENTRO CUSTO'!$A:$A,'CENTRO CUSTO'!$E:$E,FALSE,0))</f>
        <v>G&amp;A BU</v>
      </c>
    </row>
    <row r="238" spans="1:72">
      <c r="A238" s="9" t="str">
        <f t="shared" si="80"/>
        <v>Budget</v>
      </c>
      <c r="B238" s="9">
        <f t="shared" si="77"/>
        <v>2026</v>
      </c>
      <c r="C238" s="18" t="str">
        <f>IF(ISBLANK($L238),"",_xlfn.XLOOKUP($L238,'CENTRO CUSTO'!$A:$A,'CENTRO CUSTO'!F:F,FALSE,0))</f>
        <v>SKM</v>
      </c>
      <c r="D238" s="111" t="str">
        <f>IF(ISBLANK($L238),"",_xlfn.XLOOKUP($L238,'CENTRO CUSTO'!$A:$A,'CENTRO CUSTO'!G:G,FALSE,0))</f>
        <v>BU-SKM</v>
      </c>
      <c r="E238" s="18" t="str">
        <f>IF(ISBLANK($L238),"",_xlfn.XLOOKUP($L238,'CENTRO CUSTO'!$A:$A,'CENTRO CUSTO'!H:H,FALSE,0))</f>
        <v>G&amp;A</v>
      </c>
      <c r="F238" s="10" t="s">
        <v>230</v>
      </c>
      <c r="G238" s="10" t="s">
        <v>224</v>
      </c>
      <c r="H238" s="10" t="s">
        <v>231</v>
      </c>
      <c r="I238" s="11" t="s">
        <v>77</v>
      </c>
      <c r="J238" s="11" t="s">
        <v>78</v>
      </c>
      <c r="K238" s="11" t="s">
        <v>79</v>
      </c>
      <c r="L238" s="11" t="s">
        <v>50</v>
      </c>
      <c r="M238" s="18" t="str">
        <f>IF(ISBLANK($L238),"",_xlfn.XLOOKUP($L238,'CENTRO CUSTO'!$A:$A,'CENTRO CUSTO'!D:D,FALSE,0))</f>
        <v>Alexandre Ayabe</v>
      </c>
      <c r="N238" s="11" t="s">
        <v>132</v>
      </c>
      <c r="O238" s="12"/>
      <c r="P238" s="11" t="s">
        <v>81</v>
      </c>
      <c r="Q238" s="41"/>
      <c r="R238" s="41"/>
      <c r="S238" s="41"/>
      <c r="T238" s="41"/>
      <c r="U238" s="41"/>
      <c r="V238" s="41"/>
      <c r="W238" s="41"/>
      <c r="X238" s="41"/>
      <c r="Y238" s="41"/>
      <c r="Z238" s="41"/>
      <c r="AA238" s="41"/>
      <c r="AB238" s="41"/>
      <c r="AC238" s="116" t="str">
        <f t="shared" si="99"/>
        <v/>
      </c>
      <c r="AE238" s="39" t="str">
        <f>IF(ISBLANK(Q238),"",IF($P238="BRL",Q238,Q238*Macroindicadores!B$2)/1000)</f>
        <v/>
      </c>
      <c r="AF238" s="39" t="str">
        <f>IF(ISBLANK(R238),"",IF($P238="BRL",R238,R238*Macroindicadores!C$2)/1000)</f>
        <v/>
      </c>
      <c r="AG238" s="39" t="str">
        <f>IF(ISBLANK(S238),"",IF($P238="BRL",S238,S238*Macroindicadores!D$2)/1000)</f>
        <v/>
      </c>
      <c r="AH238" s="39" t="str">
        <f>IF(ISBLANK(T238),"",IF($P238="BRL",T238,T238*Macroindicadores!E$2)/1000)</f>
        <v/>
      </c>
      <c r="AI238" s="39" t="str">
        <f>IF(ISBLANK(U238),"",IF($P238="BRL",U238,U238*Macroindicadores!F$2)/1000)</f>
        <v/>
      </c>
      <c r="AJ238" s="39" t="str">
        <f>IF(ISBLANK(V238),"",IF($P238="BRL",V238,V238*Macroindicadores!G$2)/1000)</f>
        <v/>
      </c>
      <c r="AK238" s="39" t="str">
        <f>IF(ISBLANK(W238),"",IF($P238="BRL",W238,W238*Macroindicadores!H$2)/1000)</f>
        <v/>
      </c>
      <c r="AL238" s="39" t="str">
        <f>IF(ISBLANK(X238),"",IF($P238="BRL",X238,X238*Macroindicadores!I$2)/1000)</f>
        <v/>
      </c>
      <c r="AM238" s="39" t="str">
        <f>IF(ISBLANK(Y238),"",IF($P238="BRL",Y238,Y238*Macroindicadores!J$2)/1000)</f>
        <v/>
      </c>
      <c r="AN238" s="39" t="str">
        <f>IF(ISBLANK(Z238),"",IF($P238="BRL",Z238,Z238*Macroindicadores!K$2)/1000)</f>
        <v/>
      </c>
      <c r="AO238" s="39" t="str">
        <f>IF(ISBLANK(AA238),"",IF($P238="BRL",AA238,AA238*Macroindicadores!L$2)/1000)</f>
        <v/>
      </c>
      <c r="AP238" s="39" t="str">
        <f>IF(ISBLANK(AB238),"",IF($P238="BRL",AB238,AB238*Macroindicadores!M$2)/1000)</f>
        <v/>
      </c>
      <c r="AQ238" s="40" t="str">
        <f t="shared" si="100"/>
        <v/>
      </c>
      <c r="AS238" s="39" t="str">
        <f>IF(ISBLANK(Q238),"",IF(ISBLANK($O238),AE238,IF($J238="ANUAL",AE238*(1+Macroindicadores!B$7),IF(AND($I238="NOVO",MONTH($O238)=MONTH(AS$4)),AE238*(1+Macroindicadores!B$7),IF(AND($J238="PONTUAL",MONTH($O238)=MONTH(AS$4)),AE238*(1+Macroindicadores!B$7),IF(AND($J238="PONTUAL",MONTH($O238)&lt;MONTH(AS$4)),MIN(AR238:$AS238),IF(AND($I238="NOVO",MONTH($O238)&gt;MONTH(AS$4)),AE238,IF(MONTH($O238)&gt;MONTH(AS$4),AE238,IF(MONTH($O238)=MONTH(AS$4),AE238*(1+Macroindicadores!B$7),AR238)))))))))</f>
        <v/>
      </c>
      <c r="AT238" s="39" t="str">
        <f>IF(ISBLANK(R238),"",IF(ISBLANK($O238),AF238,IF($J238="ANUAL",AF238*(1+Macroindicadores!C$7),IF(AND($I238="NOVO",MONTH($O238)=MONTH(AT$4)),AF238*(1+Macroindicadores!C$7),IF(AND($J238="PONTUAL",MONTH($O238)=MONTH(AT$4)),AF238*(1+Macroindicadores!C$7),IF(AND($J238="PONTUAL",MONTH($O238)&lt;MONTH(AT$4)),MIN($AS238:AS238),IF(AND($I238="NOVO",MONTH($O238)&gt;MONTH(AT$4)),AF238,IF(MONTH($O238)&gt;MONTH(AT$4),AF238,IF(MONTH($O238)=MONTH(AT$4),AF238*(1+Macroindicadores!C$7),AS238)))))))))</f>
        <v/>
      </c>
      <c r="AU238" s="39" t="str">
        <f>IF(ISBLANK(S238),"",IF(ISBLANK($O238),AG238,IF($J238="ANUAL",AG238*(1+Macroindicadores!D$7),IF(AND($I238="NOVO",MONTH($O238)=MONTH(AU$4)),AG238*(1+Macroindicadores!D$7),IF(AND($J238="PONTUAL",MONTH($O238)=MONTH(AU$4)),AG238*(1+Macroindicadores!D$7),IF(AND($J238="PONTUAL",MONTH($O238)&lt;MONTH(AU$4)),MIN($AS238:AT238),IF(AND($I238="NOVO",MONTH($O238)&gt;MONTH(AU$4)),AG238,IF(MONTH($O238)&gt;MONTH(AU$4),AG238,IF(MONTH($O238)=MONTH(AU$4),AG238*(1+Macroindicadores!D$7),AT238)))))))))</f>
        <v/>
      </c>
      <c r="AV238" s="39" t="str">
        <f>IF(ISBLANK(T238),"",IF(ISBLANK($O238),AH238,IF($J238="ANUAL",AH238*(1+Macroindicadores!E$7),IF(AND($I238="NOVO",MONTH($O238)=MONTH(AV$4)),AH238*(1+Macroindicadores!E$7),IF(AND($J238="PONTUAL",MONTH($O238)=MONTH(AV$4)),AH238*(1+Macroindicadores!E$7),IF(AND($J238="PONTUAL",MONTH($O238)&lt;MONTH(AV$4)),MIN($AS238:AU238),IF(AND($I238="NOVO",MONTH($O238)&gt;MONTH(AV$4)),AH238,IF(MONTH($O238)&gt;MONTH(AV$4),AH238,IF(MONTH($O238)=MONTH(AV$4),AH238*(1+Macroindicadores!E$7),AU238)))))))))</f>
        <v/>
      </c>
      <c r="AW238" s="39" t="str">
        <f>IF(ISBLANK(U238),"",IF(ISBLANK($O238),AI238,IF($J238="ANUAL",AI238*(1+Macroindicadores!F$7),IF(AND($I238="NOVO",MONTH($O238)=MONTH(AW$4)),AI238*(1+Macroindicadores!F$7),IF(AND($J238="PONTUAL",MONTH($O238)=MONTH(AW$4)),AI238*(1+Macroindicadores!F$7),IF(AND($J238="PONTUAL",MONTH($O238)&lt;MONTH(AW$4)),MIN($AS238:AV238),IF(AND($I238="NOVO",MONTH($O238)&gt;MONTH(AW$4)),AI238,IF(MONTH($O238)&gt;MONTH(AW$4),AI238,IF(MONTH($O238)=MONTH(AW$4),AI238*(1+Macroindicadores!F$7),AV238)))))))))</f>
        <v/>
      </c>
      <c r="AX238" s="39" t="str">
        <f>IF(ISBLANK(V238),"",IF(ISBLANK($O238),AJ238,IF($J238="ANUAL",AJ238*(1+Macroindicadores!G$7),IF(AND($I238="NOVO",MONTH($O238)=MONTH(AX$4)),AJ238*(1+Macroindicadores!G$7),IF(AND($J238="PONTUAL",MONTH($O238)=MONTH(AX$4)),AJ238*(1+Macroindicadores!G$7),IF(AND($J238="PONTUAL",MONTH($O238)&lt;MONTH(AX$4)),MIN($AS238:AW238),IF(AND($I238="NOVO",MONTH($O238)&gt;MONTH(AX$4)),AJ238,IF(MONTH($O238)&gt;MONTH(AX$4),AJ238,IF(MONTH($O238)=MONTH(AX$4),AJ238*(1+Macroindicadores!G$7),AW238)))))))))</f>
        <v/>
      </c>
      <c r="AY238" s="39" t="str">
        <f>IF(ISBLANK(W238),"",IF(ISBLANK($O238),AK238,IF($J238="ANUAL",AK238*(1+Macroindicadores!H$7),IF(AND($I238="NOVO",MONTH($O238)=MONTH(AY$4)),AK238*(1+Macroindicadores!H$7),IF(AND($J238="PONTUAL",MONTH($O238)=MONTH(AY$4)),AK238*(1+Macroindicadores!H$7),IF(AND($J238="PONTUAL",MONTH($O238)&lt;MONTH(AY$4)),MIN($AS238:AX238),IF(AND($I238="NOVO",MONTH($O238)&gt;MONTH(AY$4)),AK238,IF(MONTH($O238)&gt;MONTH(AY$4),AK238,IF(MONTH($O238)=MONTH(AY$4),AK238*(1+Macroindicadores!H$7),AX238)))))))))</f>
        <v/>
      </c>
      <c r="AZ238" s="39" t="str">
        <f>IF(ISBLANK(X238),"",IF(ISBLANK($O238),AL238,IF($J238="ANUAL",AL238*(1+Macroindicadores!I$7),IF(AND($I238="NOVO",MONTH($O238)=MONTH(AZ$4)),AL238*(1+Macroindicadores!I$7),IF(AND($J238="PONTUAL",MONTH($O238)=MONTH(AZ$4)),AL238*(1+Macroindicadores!I$7),IF(AND($J238="PONTUAL",MONTH($O238)&lt;MONTH(AZ$4)),MIN($AS238:AY238),IF(AND($I238="NOVO",MONTH($O238)&gt;MONTH(AZ$4)),AL238,IF(MONTH($O238)&gt;MONTH(AZ$4),AL238,IF(MONTH($O238)=MONTH(AZ$4),AL238*(1+Macroindicadores!I$7),AY238)))))))))</f>
        <v/>
      </c>
      <c r="BA238" s="39" t="str">
        <f>IF(ISBLANK(Y238),"",IF(ISBLANK($O238),AM238,IF($J238="ANUAL",AM238*(1+Macroindicadores!J$7),IF(AND($I238="NOVO",MONTH($O238)=MONTH(BA$4)),AM238*(1+Macroindicadores!J$7),IF(AND($J238="PONTUAL",MONTH($O238)=MONTH(BA$4)),AM238*(1+Macroindicadores!J$7),IF(AND($J238="PONTUAL",MONTH($O238)&lt;MONTH(BA$4)),MIN($AS238:AZ238),IF(AND($I238="NOVO",MONTH($O238)&gt;MONTH(BA$4)),AM238,IF(MONTH($O238)&gt;MONTH(BA$4),AM238,IF(MONTH($O238)=MONTH(BA$4),AM238*(1+Macroindicadores!J$7),AZ238)))))))))</f>
        <v/>
      </c>
      <c r="BB238" s="39" t="str">
        <f>IF(ISBLANK(Z238),"",IF(ISBLANK($O238),AN238,IF($J238="ANUAL",AN238*(1+Macroindicadores!K$7),IF(AND($I238="NOVO",MONTH($O238)=MONTH(BB$4)),AN238*(1+Macroindicadores!K$7),IF(AND($J238="PONTUAL",MONTH($O238)=MONTH(BB$4)),AN238*(1+Macroindicadores!K$7),IF(AND($J238="PONTUAL",MONTH($O238)&lt;MONTH(BB$4)),MIN($AS238:BA238),IF(AND($I238="NOVO",MONTH($O238)&gt;MONTH(BB$4)),AN238,IF(MONTH($O238)&gt;MONTH(BB$4),AN238,IF(MONTH($O238)=MONTH(BB$4),AN238*(1+Macroindicadores!K$7),BA238)))))))))</f>
        <v/>
      </c>
      <c r="BC238" s="39" t="str">
        <f>IF(ISBLANK(AA238),"",IF(ISBLANK($O238),AO238,IF($J238="ANUAL",AO238*(1+Macroindicadores!L$7),IF(AND($I238="NOVO",MONTH($O238)=MONTH(BC$4)),AO238*(1+Macroindicadores!L$7),IF(AND($J238="PONTUAL",MONTH($O238)=MONTH(BC$4)),AO238*(1+Macroindicadores!L$7),IF(AND($J238="PONTUAL",MONTH($O238)&lt;MONTH(BC$4)),MIN($AS238:BB238),IF(AND($I238="NOVO",MONTH($O238)&gt;MONTH(BC$4)),AO238,IF(MONTH($O238)&gt;MONTH(BC$4),AO238,IF(MONTH($O238)=MONTH(BC$4),AO238*(1+Macroindicadores!L$7),BB238)))))))))</f>
        <v/>
      </c>
      <c r="BD238" s="39" t="str">
        <f>IF(ISBLANK(AB238),"",IF(ISBLANK($O238),AP238,IF($J238="ANUAL",AP238*(1+Macroindicadores!M$7),IF(AND($I238="NOVO",MONTH($O238)=MONTH(BD$4)),AP238*(1+Macroindicadores!M$7),IF(AND($J238="PONTUAL",MONTH($O238)=MONTH(BD$4)),AP238*(1+Macroindicadores!M$7),IF(AND($J238="PONTUAL",MONTH($O238)&lt;MONTH(BD$4)),MIN($AS238:BC238),IF(AND($I238="NOVO",MONTH($O238)&gt;MONTH(BD$4)),AP238,IF(MONTH($O238)&gt;MONTH(BD$4),AP238,IF(MONTH($O238)=MONTH(BD$4),AP238*(1+Macroindicadores!M$7),BC238)))))))))</f>
        <v/>
      </c>
      <c r="BE238" s="40" t="str">
        <f t="shared" si="101"/>
        <v/>
      </c>
      <c r="BG238" s="39" t="str">
        <f>IF(ISBLANK(Q238),"",AS238/Macroindicadores!B$2)</f>
        <v/>
      </c>
      <c r="BH238" s="39" t="str">
        <f>IF(ISBLANK(R238),"",AT238/Macroindicadores!C$2)</f>
        <v/>
      </c>
      <c r="BI238" s="39" t="str">
        <f>IF(ISBLANK(S238),"",AU238/Macroindicadores!D$2)</f>
        <v/>
      </c>
      <c r="BJ238" s="39" t="str">
        <f>IF(ISBLANK(T238),"",AV238/Macroindicadores!E$2)</f>
        <v/>
      </c>
      <c r="BK238" s="39" t="str">
        <f>IF(ISBLANK(U238),"",AW238/Macroindicadores!F$2)</f>
        <v/>
      </c>
      <c r="BL238" s="39" t="str">
        <f>IF(ISBLANK(V238),"",AX238/Macroindicadores!G$2)</f>
        <v/>
      </c>
      <c r="BM238" s="39" t="str">
        <f>IF(ISBLANK(W238),"",AY238/Macroindicadores!H$2)</f>
        <v/>
      </c>
      <c r="BN238" s="39" t="str">
        <f>IF(ISBLANK(X238),"",AZ238/Macroindicadores!I$2)</f>
        <v/>
      </c>
      <c r="BO238" s="39" t="str">
        <f>IF(ISBLANK(Y238),"",BA238/Macroindicadores!J$2)</f>
        <v/>
      </c>
      <c r="BP238" s="39" t="str">
        <f>IF(ISBLANK(Z238),"",BB238/Macroindicadores!K$2)</f>
        <v/>
      </c>
      <c r="BQ238" s="39" t="str">
        <f>IF(ISBLANK(AA238),"",BC238/Macroindicadores!L$2)</f>
        <v/>
      </c>
      <c r="BR238" s="39" t="str">
        <f>IF(ISBLANK(AB238),"",BD238/Macroindicadores!M$2)</f>
        <v/>
      </c>
      <c r="BS238" s="40" t="str">
        <f>IF(AND(ISBLANK($Q238),ISBLANK($R238),ISBLANK($S238),ISBLANK($T238),ISBLANK($U238),ISBLANK($V238),ISBLANK($W238),ISBLANK($X238),ISBLANK($Y238),ISBLANK($Z238),ISBLANK($AA238),ISBLANK($AB238)),"",SUM(BG238:BR238))</f>
        <v/>
      </c>
      <c r="BT238" s="25" t="str">
        <f>IF(ISBLANK($L238),"",_xlfn.XLOOKUP($L238,'CENTRO CUSTO'!$A:$A,'CENTRO CUSTO'!$E:$E,FALSE,0))</f>
        <v>G&amp;A BU</v>
      </c>
    </row>
    <row r="239" spans="1:72">
      <c r="A239" s="9" t="str">
        <f t="shared" si="80"/>
        <v>Budget</v>
      </c>
      <c r="B239" s="9">
        <f t="shared" si="77"/>
        <v>2026</v>
      </c>
      <c r="C239" s="18" t="str">
        <f>IF(ISBLANK($L239),"",_xlfn.XLOOKUP($L239,'CENTRO CUSTO'!$A:$A,'CENTRO CUSTO'!F:F,FALSE,0))</f>
        <v>Cone Sul</v>
      </c>
      <c r="D239" s="111" t="str">
        <f>IF(ISBLANK($L239),"",_xlfn.XLOOKUP($L239,'CENTRO CUSTO'!$A:$A,'CENTRO CUSTO'!G:G,FALSE,0))</f>
        <v>Plataforma</v>
      </c>
      <c r="E239" s="18" t="str">
        <f>IF(ISBLANK($L239),"",_xlfn.XLOOKUP($L239,'CENTRO CUSTO'!$A:$A,'CENTRO CUSTO'!H:H,FALSE,0))</f>
        <v>G&amp;A</v>
      </c>
      <c r="F239" s="10" t="s">
        <v>230</v>
      </c>
      <c r="G239" s="10" t="s">
        <v>224</v>
      </c>
      <c r="H239" s="10" t="s">
        <v>231</v>
      </c>
      <c r="I239" s="11" t="s">
        <v>77</v>
      </c>
      <c r="J239" s="11" t="s">
        <v>78</v>
      </c>
      <c r="K239" s="11" t="s">
        <v>79</v>
      </c>
      <c r="L239" s="11" t="s">
        <v>54</v>
      </c>
      <c r="M239" s="18" t="str">
        <f>IF(ISBLANK($L239),"",_xlfn.XLOOKUP($L239,'CENTRO CUSTO'!$A:$A,'CENTRO CUSTO'!D:D,FALSE,0))</f>
        <v>Alexandre Ayabe</v>
      </c>
      <c r="N239" s="11" t="s">
        <v>132</v>
      </c>
      <c r="O239" s="12"/>
      <c r="P239" s="11" t="s">
        <v>81</v>
      </c>
      <c r="Q239" s="41"/>
      <c r="R239" s="41"/>
      <c r="S239" s="41"/>
      <c r="T239" s="41"/>
      <c r="U239" s="41"/>
      <c r="V239" s="41"/>
      <c r="W239" s="41"/>
      <c r="X239" s="41"/>
      <c r="Y239" s="41"/>
      <c r="Z239" s="41"/>
      <c r="AA239" s="41"/>
      <c r="AB239" s="41"/>
      <c r="AC239" s="116" t="str">
        <f t="shared" si="99"/>
        <v/>
      </c>
      <c r="AE239" s="39" t="str">
        <f>IF(ISBLANK(Q239),"",IF($P239="BRL",Q239,Q239*Macroindicadores!B$2)/1000)</f>
        <v/>
      </c>
      <c r="AF239" s="39" t="str">
        <f>IF(ISBLANK(R239),"",IF($P239="BRL",R239,R239*Macroindicadores!C$2)/1000)</f>
        <v/>
      </c>
      <c r="AG239" s="39" t="str">
        <f>IF(ISBLANK(S239),"",IF($P239="BRL",S239,S239*Macroindicadores!D$2)/1000)</f>
        <v/>
      </c>
      <c r="AH239" s="39" t="str">
        <f>IF(ISBLANK(T239),"",IF($P239="BRL",T239,T239*Macroindicadores!E$2)/1000)</f>
        <v/>
      </c>
      <c r="AI239" s="39" t="str">
        <f>IF(ISBLANK(U239),"",IF($P239="BRL",U239,U239*Macroindicadores!F$2)/1000)</f>
        <v/>
      </c>
      <c r="AJ239" s="39" t="str">
        <f>IF(ISBLANK(V239),"",IF($P239="BRL",V239,V239*Macroindicadores!G$2)/1000)</f>
        <v/>
      </c>
      <c r="AK239" s="39" t="str">
        <f>IF(ISBLANK(W239),"",IF($P239="BRL",W239,W239*Macroindicadores!H$2)/1000)</f>
        <v/>
      </c>
      <c r="AL239" s="39" t="str">
        <f>IF(ISBLANK(X239),"",IF($P239="BRL",X239,X239*Macroindicadores!I$2)/1000)</f>
        <v/>
      </c>
      <c r="AM239" s="39" t="str">
        <f>IF(ISBLANK(Y239),"",IF($P239="BRL",Y239,Y239*Macroindicadores!J$2)/1000)</f>
        <v/>
      </c>
      <c r="AN239" s="39" t="str">
        <f>IF(ISBLANK(Z239),"",IF($P239="BRL",Z239,Z239*Macroindicadores!K$2)/1000)</f>
        <v/>
      </c>
      <c r="AO239" s="39" t="str">
        <f>IF(ISBLANK(AA239),"",IF($P239="BRL",AA239,AA239*Macroindicadores!L$2)/1000)</f>
        <v/>
      </c>
      <c r="AP239" s="39" t="str">
        <f>IF(ISBLANK(AB239),"",IF($P239="BRL",AB239,AB239*Macroindicadores!M$2)/1000)</f>
        <v/>
      </c>
      <c r="AQ239" s="40" t="str">
        <f t="shared" si="100"/>
        <v/>
      </c>
      <c r="AS239" s="39" t="str">
        <f>IF(ISBLANK(Q239),"",IF(ISBLANK($O239),AE239,IF($J239="ANUAL",AE239*(1+Macroindicadores!B$7),IF(AND($I239="NOVO",MONTH($O239)=MONTH(AS$4)),AE239*(1+Macroindicadores!B$7),IF(AND($J239="PONTUAL",MONTH($O239)=MONTH(AS$4)),AE239*(1+Macroindicadores!B$7),IF(AND($J239="PONTUAL",MONTH($O239)&lt;MONTH(AS$4)),MIN(AR239:$AS239),IF(AND($I239="NOVO",MONTH($O239)&gt;MONTH(AS$4)),AE239,IF(MONTH($O239)&gt;MONTH(AS$4),AE239,IF(MONTH($O239)=MONTH(AS$4),AE239*(1+Macroindicadores!B$7),AR239)))))))))</f>
        <v/>
      </c>
      <c r="AT239" s="39" t="str">
        <f>IF(ISBLANK(R239),"",IF(ISBLANK($O239),AF239,IF($J239="ANUAL",AF239*(1+Macroindicadores!C$7),IF(AND($I239="NOVO",MONTH($O239)=MONTH(AT$4)),AF239*(1+Macroindicadores!C$7),IF(AND($J239="PONTUAL",MONTH($O239)=MONTH(AT$4)),AF239*(1+Macroindicadores!C$7),IF(AND($J239="PONTUAL",MONTH($O239)&lt;MONTH(AT$4)),MIN($AS239:AS239),IF(AND($I239="NOVO",MONTH($O239)&gt;MONTH(AT$4)),AF239,IF(MONTH($O239)&gt;MONTH(AT$4),AF239,IF(MONTH($O239)=MONTH(AT$4),AF239*(1+Macroindicadores!C$7),AS239)))))))))</f>
        <v/>
      </c>
      <c r="AU239" s="39" t="str">
        <f>IF(ISBLANK(S239),"",IF(ISBLANK($O239),AG239,IF($J239="ANUAL",AG239*(1+Macroindicadores!D$7),IF(AND($I239="NOVO",MONTH($O239)=MONTH(AU$4)),AG239*(1+Macroindicadores!D$7),IF(AND($J239="PONTUAL",MONTH($O239)=MONTH(AU$4)),AG239*(1+Macroindicadores!D$7),IF(AND($J239="PONTUAL",MONTH($O239)&lt;MONTH(AU$4)),MIN($AS239:AT239),IF(AND($I239="NOVO",MONTH($O239)&gt;MONTH(AU$4)),AG239,IF(MONTH($O239)&gt;MONTH(AU$4),AG239,IF(MONTH($O239)=MONTH(AU$4),AG239*(1+Macroindicadores!D$7),AT239)))))))))</f>
        <v/>
      </c>
      <c r="AV239" s="39" t="str">
        <f>IF(ISBLANK(T239),"",IF(ISBLANK($O239),AH239,IF($J239="ANUAL",AH239*(1+Macroindicadores!E$7),IF(AND($I239="NOVO",MONTH($O239)=MONTH(AV$4)),AH239*(1+Macroindicadores!E$7),IF(AND($J239="PONTUAL",MONTH($O239)=MONTH(AV$4)),AH239*(1+Macroindicadores!E$7),IF(AND($J239="PONTUAL",MONTH($O239)&lt;MONTH(AV$4)),MIN($AS239:AU239),IF(AND($I239="NOVO",MONTH($O239)&gt;MONTH(AV$4)),AH239,IF(MONTH($O239)&gt;MONTH(AV$4),AH239,IF(MONTH($O239)=MONTH(AV$4),AH239*(1+Macroindicadores!E$7),AU239)))))))))</f>
        <v/>
      </c>
      <c r="AW239" s="39" t="str">
        <f>IF(ISBLANK(U239),"",IF(ISBLANK($O239),AI239,IF($J239="ANUAL",AI239*(1+Macroindicadores!F$7),IF(AND($I239="NOVO",MONTH($O239)=MONTH(AW$4)),AI239*(1+Macroindicadores!F$7),IF(AND($J239="PONTUAL",MONTH($O239)=MONTH(AW$4)),AI239*(1+Macroindicadores!F$7),IF(AND($J239="PONTUAL",MONTH($O239)&lt;MONTH(AW$4)),MIN($AS239:AV239),IF(AND($I239="NOVO",MONTH($O239)&gt;MONTH(AW$4)),AI239,IF(MONTH($O239)&gt;MONTH(AW$4),AI239,IF(MONTH($O239)=MONTH(AW$4),AI239*(1+Macroindicadores!F$7),AV239)))))))))</f>
        <v/>
      </c>
      <c r="AX239" s="39" t="str">
        <f>IF(ISBLANK(V239),"",IF(ISBLANK($O239),AJ239,IF($J239="ANUAL",AJ239*(1+Macroindicadores!G$7),IF(AND($I239="NOVO",MONTH($O239)=MONTH(AX$4)),AJ239*(1+Macroindicadores!G$7),IF(AND($J239="PONTUAL",MONTH($O239)=MONTH(AX$4)),AJ239*(1+Macroindicadores!G$7),IF(AND($J239="PONTUAL",MONTH($O239)&lt;MONTH(AX$4)),MIN($AS239:AW239),IF(AND($I239="NOVO",MONTH($O239)&gt;MONTH(AX$4)),AJ239,IF(MONTH($O239)&gt;MONTH(AX$4),AJ239,IF(MONTH($O239)=MONTH(AX$4),AJ239*(1+Macroindicadores!G$7),AW239)))))))))</f>
        <v/>
      </c>
      <c r="AY239" s="39" t="str">
        <f>IF(ISBLANK(W239),"",IF(ISBLANK($O239),AK239,IF($J239="ANUAL",AK239*(1+Macroindicadores!H$7),IF(AND($I239="NOVO",MONTH($O239)=MONTH(AY$4)),AK239*(1+Macroindicadores!H$7),IF(AND($J239="PONTUAL",MONTH($O239)=MONTH(AY$4)),AK239*(1+Macroindicadores!H$7),IF(AND($J239="PONTUAL",MONTH($O239)&lt;MONTH(AY$4)),MIN($AS239:AX239),IF(AND($I239="NOVO",MONTH($O239)&gt;MONTH(AY$4)),AK239,IF(MONTH($O239)&gt;MONTH(AY$4),AK239,IF(MONTH($O239)=MONTH(AY$4),AK239*(1+Macroindicadores!H$7),AX239)))))))))</f>
        <v/>
      </c>
      <c r="AZ239" s="39" t="str">
        <f>IF(ISBLANK(X239),"",IF(ISBLANK($O239),AL239,IF($J239="ANUAL",AL239*(1+Macroindicadores!I$7),IF(AND($I239="NOVO",MONTH($O239)=MONTH(AZ$4)),AL239*(1+Macroindicadores!I$7),IF(AND($J239="PONTUAL",MONTH($O239)=MONTH(AZ$4)),AL239*(1+Macroindicadores!I$7),IF(AND($J239="PONTUAL",MONTH($O239)&lt;MONTH(AZ$4)),MIN($AS239:AY239),IF(AND($I239="NOVO",MONTH($O239)&gt;MONTH(AZ$4)),AL239,IF(MONTH($O239)&gt;MONTH(AZ$4),AL239,IF(MONTH($O239)=MONTH(AZ$4),AL239*(1+Macroindicadores!I$7),AY239)))))))))</f>
        <v/>
      </c>
      <c r="BA239" s="39" t="str">
        <f>IF(ISBLANK(Y239),"",IF(ISBLANK($O239),AM239,IF($J239="ANUAL",AM239*(1+Macroindicadores!J$7),IF(AND($I239="NOVO",MONTH($O239)=MONTH(BA$4)),AM239*(1+Macroindicadores!J$7),IF(AND($J239="PONTUAL",MONTH($O239)=MONTH(BA$4)),AM239*(1+Macroindicadores!J$7),IF(AND($J239="PONTUAL",MONTH($O239)&lt;MONTH(BA$4)),MIN($AS239:AZ239),IF(AND($I239="NOVO",MONTH($O239)&gt;MONTH(BA$4)),AM239,IF(MONTH($O239)&gt;MONTH(BA$4),AM239,IF(MONTH($O239)=MONTH(BA$4),AM239*(1+Macroindicadores!J$7),AZ239)))))))))</f>
        <v/>
      </c>
      <c r="BB239" s="39" t="str">
        <f>IF(ISBLANK(Z239),"",IF(ISBLANK($O239),AN239,IF($J239="ANUAL",AN239*(1+Macroindicadores!K$7),IF(AND($I239="NOVO",MONTH($O239)=MONTH(BB$4)),AN239*(1+Macroindicadores!K$7),IF(AND($J239="PONTUAL",MONTH($O239)=MONTH(BB$4)),AN239*(1+Macroindicadores!K$7),IF(AND($J239="PONTUAL",MONTH($O239)&lt;MONTH(BB$4)),MIN($AS239:BA239),IF(AND($I239="NOVO",MONTH($O239)&gt;MONTH(BB$4)),AN239,IF(MONTH($O239)&gt;MONTH(BB$4),AN239,IF(MONTH($O239)=MONTH(BB$4),AN239*(1+Macroindicadores!K$7),BA239)))))))))</f>
        <v/>
      </c>
      <c r="BC239" s="39" t="str">
        <f>IF(ISBLANK(AA239),"",IF(ISBLANK($O239),AO239,IF($J239="ANUAL",AO239*(1+Macroindicadores!L$7),IF(AND($I239="NOVO",MONTH($O239)=MONTH(BC$4)),AO239*(1+Macroindicadores!L$7),IF(AND($J239="PONTUAL",MONTH($O239)=MONTH(BC$4)),AO239*(1+Macroindicadores!L$7),IF(AND($J239="PONTUAL",MONTH($O239)&lt;MONTH(BC$4)),MIN($AS239:BB239),IF(AND($I239="NOVO",MONTH($O239)&gt;MONTH(BC$4)),AO239,IF(MONTH($O239)&gt;MONTH(BC$4),AO239,IF(MONTH($O239)=MONTH(BC$4),AO239*(1+Macroindicadores!L$7),BB239)))))))))</f>
        <v/>
      </c>
      <c r="BD239" s="39" t="str">
        <f>IF(ISBLANK(AB239),"",IF(ISBLANK($O239),AP239,IF($J239="ANUAL",AP239*(1+Macroindicadores!M$7),IF(AND($I239="NOVO",MONTH($O239)=MONTH(BD$4)),AP239*(1+Macroindicadores!M$7),IF(AND($J239="PONTUAL",MONTH($O239)=MONTH(BD$4)),AP239*(1+Macroindicadores!M$7),IF(AND($J239="PONTUAL",MONTH($O239)&lt;MONTH(BD$4)),MIN($AS239:BC239),IF(AND($I239="NOVO",MONTH($O239)&gt;MONTH(BD$4)),AP239,IF(MONTH($O239)&gt;MONTH(BD$4),AP239,IF(MONTH($O239)=MONTH(BD$4),AP239*(1+Macroindicadores!M$7),BC239)))))))))</f>
        <v/>
      </c>
      <c r="BE239" s="40" t="str">
        <f t="shared" si="101"/>
        <v/>
      </c>
      <c r="BG239" s="39" t="str">
        <f>IF(ISBLANK(Q239),"",AS239/Macroindicadores!B$2)</f>
        <v/>
      </c>
      <c r="BH239" s="39" t="str">
        <f>IF(ISBLANK(R239),"",AT239/Macroindicadores!C$2)</f>
        <v/>
      </c>
      <c r="BI239" s="39" t="str">
        <f>IF(ISBLANK(S239),"",AU239/Macroindicadores!D$2)</f>
        <v/>
      </c>
      <c r="BJ239" s="39" t="str">
        <f>IF(ISBLANK(T239),"",AV239/Macroindicadores!E$2)</f>
        <v/>
      </c>
      <c r="BK239" s="39" t="str">
        <f>IF(ISBLANK(U239),"",AW239/Macroindicadores!F$2)</f>
        <v/>
      </c>
      <c r="BL239" s="39" t="str">
        <f>IF(ISBLANK(V239),"",AX239/Macroindicadores!G$2)</f>
        <v/>
      </c>
      <c r="BM239" s="39" t="str">
        <f>IF(ISBLANK(W239),"",AY239/Macroindicadores!H$2)</f>
        <v/>
      </c>
      <c r="BN239" s="39" t="str">
        <f>IF(ISBLANK(X239),"",AZ239/Macroindicadores!I$2)</f>
        <v/>
      </c>
      <c r="BO239" s="39" t="str">
        <f>IF(ISBLANK(Y239),"",BA239/Macroindicadores!J$2)</f>
        <v/>
      </c>
      <c r="BP239" s="39" t="str">
        <f>IF(ISBLANK(Z239),"",BB239/Macroindicadores!K$2)</f>
        <v/>
      </c>
      <c r="BQ239" s="39" t="str">
        <f>IF(ISBLANK(AA239),"",BC239/Macroindicadores!L$2)</f>
        <v/>
      </c>
      <c r="BR239" s="39" t="str">
        <f>IF(ISBLANK(AB239),"",BD239/Macroindicadores!M$2)</f>
        <v/>
      </c>
      <c r="BS239" s="40" t="str">
        <f>IF(AND(ISBLANK($Q239),ISBLANK($R239),ISBLANK($S239),ISBLANK($T239),ISBLANK($U239),ISBLANK($V239),ISBLANK($W239),ISBLANK($X239),ISBLANK($Y239),ISBLANK($Z239),ISBLANK($AA239),ISBLANK($AB239)),"",SUM(BG239:BR239))</f>
        <v/>
      </c>
      <c r="BT239" s="25" t="str">
        <f>IF(ISBLANK($L239),"",_xlfn.XLOOKUP($L239,'CENTRO CUSTO'!$A:$A,'CENTRO CUSTO'!$E:$E,FALSE,0))</f>
        <v>G&amp;A PL</v>
      </c>
    </row>
    <row r="240" spans="1:72">
      <c r="A240" s="9" t="str">
        <f t="shared" si="80"/>
        <v>Budget</v>
      </c>
      <c r="B240" s="9">
        <f t="shared" si="77"/>
        <v>2026</v>
      </c>
      <c r="C240" s="18" t="str">
        <f>IF(ISBLANK($L240),"",_xlfn.XLOOKUP($L240,'CENTRO CUSTO'!$A:$A,'CENTRO CUSTO'!F:F,FALSE,0))</f>
        <v>LATAM</v>
      </c>
      <c r="D240" s="111" t="str">
        <f>IF(ISBLANK($L240),"",_xlfn.XLOOKUP($L240,'CENTRO CUSTO'!$A:$A,'CENTRO CUSTO'!G:G,FALSE,0))</f>
        <v>Corporativo</v>
      </c>
      <c r="E240" s="18" t="str">
        <f>IF(ISBLANK($L240),"",_xlfn.XLOOKUP($L240,'CENTRO CUSTO'!$A:$A,'CENTRO CUSTO'!H:H,FALSE,0))</f>
        <v>G&amp;A</v>
      </c>
      <c r="F240" s="10" t="s">
        <v>230</v>
      </c>
      <c r="G240" s="10" t="s">
        <v>224</v>
      </c>
      <c r="H240" s="10" t="s">
        <v>231</v>
      </c>
      <c r="I240" s="11" t="s">
        <v>77</v>
      </c>
      <c r="J240" s="11" t="s">
        <v>78</v>
      </c>
      <c r="K240" s="11" t="s">
        <v>79</v>
      </c>
      <c r="L240" s="11" t="s">
        <v>96</v>
      </c>
      <c r="M240" s="18" t="str">
        <f>IF(ISBLANK($L240),"",_xlfn.XLOOKUP($L240,'CENTRO CUSTO'!$A:$A,'CENTRO CUSTO'!D:D,FALSE,0))</f>
        <v>Jimmy Espinosa</v>
      </c>
      <c r="N240" s="11" t="s">
        <v>132</v>
      </c>
      <c r="O240" s="12"/>
      <c r="P240" s="11" t="s">
        <v>81</v>
      </c>
      <c r="Q240" s="41"/>
      <c r="R240" s="41"/>
      <c r="S240" s="41"/>
      <c r="T240" s="41"/>
      <c r="U240" s="41"/>
      <c r="V240" s="41"/>
      <c r="W240" s="41"/>
      <c r="X240" s="41"/>
      <c r="Y240" s="41"/>
      <c r="Z240" s="41"/>
      <c r="AA240" s="41"/>
      <c r="AB240" s="41"/>
      <c r="AC240" s="116" t="str">
        <f t="shared" ref="AC240:AC325" si="104">IF(AND(ISBLANK($Q240),ISBLANK($R240),ISBLANK($S240),ISBLANK($T240),ISBLANK($U240),ISBLANK($V240),ISBLANK($W240),ISBLANK($X240),ISBLANK($Y240),ISBLANK($Z240),ISBLANK($AA240),ISBLANK($AB240)),"",SUM(Q240:AB240))</f>
        <v/>
      </c>
      <c r="AE240" s="39" t="str">
        <f>IF(ISBLANK(Q240),"",IF($P240="BRL",Q240,Q240*Macroindicadores!B$2)/1000)</f>
        <v/>
      </c>
      <c r="AF240" s="39" t="str">
        <f>IF(ISBLANK(R240),"",IF($P240="BRL",R240,R240*Macroindicadores!C$2)/1000)</f>
        <v/>
      </c>
      <c r="AG240" s="39" t="str">
        <f>IF(ISBLANK(S240),"",IF($P240="BRL",S240,S240*Macroindicadores!D$2)/1000)</f>
        <v/>
      </c>
      <c r="AH240" s="39" t="str">
        <f>IF(ISBLANK(T240),"",IF($P240="BRL",T240,T240*Macroindicadores!E$2)/1000)</f>
        <v/>
      </c>
      <c r="AI240" s="39" t="str">
        <f>IF(ISBLANK(U240),"",IF($P240="BRL",U240,U240*Macroindicadores!F$2)/1000)</f>
        <v/>
      </c>
      <c r="AJ240" s="39" t="str">
        <f>IF(ISBLANK(V240),"",IF($P240="BRL",V240,V240*Macroindicadores!G$2)/1000)</f>
        <v/>
      </c>
      <c r="AK240" s="39" t="str">
        <f>IF(ISBLANK(W240),"",IF($P240="BRL",W240,W240*Macroindicadores!H$2)/1000)</f>
        <v/>
      </c>
      <c r="AL240" s="39" t="str">
        <f>IF(ISBLANK(X240),"",IF($P240="BRL",X240,X240*Macroindicadores!I$2)/1000)</f>
        <v/>
      </c>
      <c r="AM240" s="39" t="str">
        <f>IF(ISBLANK(Y240),"",IF($P240="BRL",Y240,Y240*Macroindicadores!J$2)/1000)</f>
        <v/>
      </c>
      <c r="AN240" s="39" t="str">
        <f>IF(ISBLANK(Z240),"",IF($P240="BRL",Z240,Z240*Macroindicadores!K$2)/1000)</f>
        <v/>
      </c>
      <c r="AO240" s="39" t="str">
        <f>IF(ISBLANK(AA240),"",IF($P240="BRL",AA240,AA240*Macroindicadores!L$2)/1000)</f>
        <v/>
      </c>
      <c r="AP240" s="39" t="str">
        <f>IF(ISBLANK(AB240),"",IF($P240="BRL",AB240,AB240*Macroindicadores!M$2)/1000)</f>
        <v/>
      </c>
      <c r="AQ240" s="40" t="str">
        <f t="shared" ref="AQ240:AQ325" si="105">IF(AND(ISBLANK($Q240),ISBLANK($R240),ISBLANK($S240),ISBLANK($T240),ISBLANK($U240),ISBLANK($V240),ISBLANK($W240),ISBLANK($X240),ISBLANK($Y240),ISBLANK($Z240),ISBLANK($AA240),ISBLANK($AB240)),"",SUM(AE240:AP240))</f>
        <v/>
      </c>
      <c r="AS240" s="39" t="str">
        <f>IF(ISBLANK(Q240),"",IF(ISBLANK($O240),AE240,IF($J240="ANUAL",AE240*(1+Macroindicadores!B$7),IF(AND($I240="NOVO",MONTH($O240)=MONTH(AS$4)),AE240*(1+Macroindicadores!B$7),IF(AND($J240="PONTUAL",MONTH($O240)=MONTH(AS$4)),AE240*(1+Macroindicadores!B$7),IF(AND($J240="PONTUAL",MONTH($O240)&lt;MONTH(AS$4)),MIN(AR240:$AS240),IF(AND($I240="NOVO",MONTH($O240)&gt;MONTH(AS$4)),AE240,IF(MONTH($O240)&gt;MONTH(AS$4),AE240,IF(MONTH($O240)=MONTH(AS$4),AE240*(1+Macroindicadores!B$7),AR240)))))))))</f>
        <v/>
      </c>
      <c r="AT240" s="39" t="str">
        <f>IF(ISBLANK(R240),"",IF(ISBLANK($O240),AF240,IF($J240="ANUAL",AF240*(1+Macroindicadores!C$7),IF(AND($I240="NOVO",MONTH($O240)=MONTH(AT$4)),AF240*(1+Macroindicadores!C$7),IF(AND($J240="PONTUAL",MONTH($O240)=MONTH(AT$4)),AF240*(1+Macroindicadores!C$7),IF(AND($J240="PONTUAL",MONTH($O240)&lt;MONTH(AT$4)),MIN($AS240:AS240),IF(AND($I240="NOVO",MONTH($O240)&gt;MONTH(AT$4)),AF240,IF(MONTH($O240)&gt;MONTH(AT$4),AF240,IF(MONTH($O240)=MONTH(AT$4),AF240*(1+Macroindicadores!C$7),AS240)))))))))</f>
        <v/>
      </c>
      <c r="AU240" s="39" t="str">
        <f>IF(ISBLANK(S240),"",IF(ISBLANK($O240),AG240,IF($J240="ANUAL",AG240*(1+Macroindicadores!D$7),IF(AND($I240="NOVO",MONTH($O240)=MONTH(AU$4)),AG240*(1+Macroindicadores!D$7),IF(AND($J240="PONTUAL",MONTH($O240)=MONTH(AU$4)),AG240*(1+Macroindicadores!D$7),IF(AND($J240="PONTUAL",MONTH($O240)&lt;MONTH(AU$4)),MIN($AS240:AT240),IF(AND($I240="NOVO",MONTH($O240)&gt;MONTH(AU$4)),AG240,IF(MONTH($O240)&gt;MONTH(AU$4),AG240,IF(MONTH($O240)=MONTH(AU$4),AG240*(1+Macroindicadores!D$7),AT240)))))))))</f>
        <v/>
      </c>
      <c r="AV240" s="39" t="str">
        <f>IF(ISBLANK(T240),"",IF(ISBLANK($O240),AH240,IF($J240="ANUAL",AH240*(1+Macroindicadores!E$7),IF(AND($I240="NOVO",MONTH($O240)=MONTH(AV$4)),AH240*(1+Macroindicadores!E$7),IF(AND($J240="PONTUAL",MONTH($O240)=MONTH(AV$4)),AH240*(1+Macroindicadores!E$7),IF(AND($J240="PONTUAL",MONTH($O240)&lt;MONTH(AV$4)),MIN($AS240:AU240),IF(AND($I240="NOVO",MONTH($O240)&gt;MONTH(AV$4)),AH240,IF(MONTH($O240)&gt;MONTH(AV$4),AH240,IF(MONTH($O240)=MONTH(AV$4),AH240*(1+Macroindicadores!E$7),AU240)))))))))</f>
        <v/>
      </c>
      <c r="AW240" s="39" t="str">
        <f>IF(ISBLANK(U240),"",IF(ISBLANK($O240),AI240,IF($J240="ANUAL",AI240*(1+Macroindicadores!F$7),IF(AND($I240="NOVO",MONTH($O240)=MONTH(AW$4)),AI240*(1+Macroindicadores!F$7),IF(AND($J240="PONTUAL",MONTH($O240)=MONTH(AW$4)),AI240*(1+Macroindicadores!F$7),IF(AND($J240="PONTUAL",MONTH($O240)&lt;MONTH(AW$4)),MIN($AS240:AV240),IF(AND($I240="NOVO",MONTH($O240)&gt;MONTH(AW$4)),AI240,IF(MONTH($O240)&gt;MONTH(AW$4),AI240,IF(MONTH($O240)=MONTH(AW$4),AI240*(1+Macroindicadores!F$7),AV240)))))))))</f>
        <v/>
      </c>
      <c r="AX240" s="39" t="str">
        <f>IF(ISBLANK(V240),"",IF(ISBLANK($O240),AJ240,IF($J240="ANUAL",AJ240*(1+Macroindicadores!G$7),IF(AND($I240="NOVO",MONTH($O240)=MONTH(AX$4)),AJ240*(1+Macroindicadores!G$7),IF(AND($J240="PONTUAL",MONTH($O240)=MONTH(AX$4)),AJ240*(1+Macroindicadores!G$7),IF(AND($J240="PONTUAL",MONTH($O240)&lt;MONTH(AX$4)),MIN($AS240:AW240),IF(AND($I240="NOVO",MONTH($O240)&gt;MONTH(AX$4)),AJ240,IF(MONTH($O240)&gt;MONTH(AX$4),AJ240,IF(MONTH($O240)=MONTH(AX$4),AJ240*(1+Macroindicadores!G$7),AW240)))))))))</f>
        <v/>
      </c>
      <c r="AY240" s="39" t="str">
        <f>IF(ISBLANK(W240),"",IF(ISBLANK($O240),AK240,IF($J240="ANUAL",AK240*(1+Macroindicadores!H$7),IF(AND($I240="NOVO",MONTH($O240)=MONTH(AY$4)),AK240*(1+Macroindicadores!H$7),IF(AND($J240="PONTUAL",MONTH($O240)=MONTH(AY$4)),AK240*(1+Macroindicadores!H$7),IF(AND($J240="PONTUAL",MONTH($O240)&lt;MONTH(AY$4)),MIN($AS240:AX240),IF(AND($I240="NOVO",MONTH($O240)&gt;MONTH(AY$4)),AK240,IF(MONTH($O240)&gt;MONTH(AY$4),AK240,IF(MONTH($O240)=MONTH(AY$4),AK240*(1+Macroindicadores!H$7),AX240)))))))))</f>
        <v/>
      </c>
      <c r="AZ240" s="39" t="str">
        <f>IF(ISBLANK(X240),"",IF(ISBLANK($O240),AL240,IF($J240="ANUAL",AL240*(1+Macroindicadores!I$7),IF(AND($I240="NOVO",MONTH($O240)=MONTH(AZ$4)),AL240*(1+Macroindicadores!I$7),IF(AND($J240="PONTUAL",MONTH($O240)=MONTH(AZ$4)),AL240*(1+Macroindicadores!I$7),IF(AND($J240="PONTUAL",MONTH($O240)&lt;MONTH(AZ$4)),MIN($AS240:AY240),IF(AND($I240="NOVO",MONTH($O240)&gt;MONTH(AZ$4)),AL240,IF(MONTH($O240)&gt;MONTH(AZ$4),AL240,IF(MONTH($O240)=MONTH(AZ$4),AL240*(1+Macroindicadores!I$7),AY240)))))))))</f>
        <v/>
      </c>
      <c r="BA240" s="39" t="str">
        <f>IF(ISBLANK(Y240),"",IF(ISBLANK($O240),AM240,IF($J240="ANUAL",AM240*(1+Macroindicadores!J$7),IF(AND($I240="NOVO",MONTH($O240)=MONTH(BA$4)),AM240*(1+Macroindicadores!J$7),IF(AND($J240="PONTUAL",MONTH($O240)=MONTH(BA$4)),AM240*(1+Macroindicadores!J$7),IF(AND($J240="PONTUAL",MONTH($O240)&lt;MONTH(BA$4)),MIN($AS240:AZ240),IF(AND($I240="NOVO",MONTH($O240)&gt;MONTH(BA$4)),AM240,IF(MONTH($O240)&gt;MONTH(BA$4),AM240,IF(MONTH($O240)=MONTH(BA$4),AM240*(1+Macroindicadores!J$7),AZ240)))))))))</f>
        <v/>
      </c>
      <c r="BB240" s="39" t="str">
        <f>IF(ISBLANK(Z240),"",IF(ISBLANK($O240),AN240,IF($J240="ANUAL",AN240*(1+Macroindicadores!K$7),IF(AND($I240="NOVO",MONTH($O240)=MONTH(BB$4)),AN240*(1+Macroindicadores!K$7),IF(AND($J240="PONTUAL",MONTH($O240)=MONTH(BB$4)),AN240*(1+Macroindicadores!K$7),IF(AND($J240="PONTUAL",MONTH($O240)&lt;MONTH(BB$4)),MIN($AS240:BA240),IF(AND($I240="NOVO",MONTH($O240)&gt;MONTH(BB$4)),AN240,IF(MONTH($O240)&gt;MONTH(BB$4),AN240,IF(MONTH($O240)=MONTH(BB$4),AN240*(1+Macroindicadores!K$7),BA240)))))))))</f>
        <v/>
      </c>
      <c r="BC240" s="39" t="str">
        <f>IF(ISBLANK(AA240),"",IF(ISBLANK($O240),AO240,IF($J240="ANUAL",AO240*(1+Macroindicadores!L$7),IF(AND($I240="NOVO",MONTH($O240)=MONTH(BC$4)),AO240*(1+Macroindicadores!L$7),IF(AND($J240="PONTUAL",MONTH($O240)=MONTH(BC$4)),AO240*(1+Macroindicadores!L$7),IF(AND($J240="PONTUAL",MONTH($O240)&lt;MONTH(BC$4)),MIN($AS240:BB240),IF(AND($I240="NOVO",MONTH($O240)&gt;MONTH(BC$4)),AO240,IF(MONTH($O240)&gt;MONTH(BC$4),AO240,IF(MONTH($O240)=MONTH(BC$4),AO240*(1+Macroindicadores!L$7),BB240)))))))))</f>
        <v/>
      </c>
      <c r="BD240" s="39" t="str">
        <f>IF(ISBLANK(AB240),"",IF(ISBLANK($O240),AP240,IF($J240="ANUAL",AP240*(1+Macroindicadores!M$7),IF(AND($I240="NOVO",MONTH($O240)=MONTH(BD$4)),AP240*(1+Macroindicadores!M$7),IF(AND($J240="PONTUAL",MONTH($O240)=MONTH(BD$4)),AP240*(1+Macroindicadores!M$7),IF(AND($J240="PONTUAL",MONTH($O240)&lt;MONTH(BD$4)),MIN($AS240:BC240),IF(AND($I240="NOVO",MONTH($O240)&gt;MONTH(BD$4)),AP240,IF(MONTH($O240)&gt;MONTH(BD$4),AP240,IF(MONTH($O240)=MONTH(BD$4),AP240*(1+Macroindicadores!M$7),BC240)))))))))</f>
        <v/>
      </c>
      <c r="BE240" s="40" t="str">
        <f t="shared" ref="BE240:BE325" si="106">IF(AND(ISBLANK($Q240),ISBLANK($R240),ISBLANK($S240),ISBLANK($T240),ISBLANK($U240),ISBLANK($V240),ISBLANK($W240),ISBLANK($X240),ISBLANK($Y240),ISBLANK($Z240),ISBLANK($AA240),ISBLANK($AB240)),"",SUM(AS240:BD240))</f>
        <v/>
      </c>
      <c r="BG240" s="39" t="str">
        <f>IF(ISBLANK(Q240),"",AS240/Macroindicadores!B$2)</f>
        <v/>
      </c>
      <c r="BH240" s="39" t="str">
        <f>IF(ISBLANK(R240),"",AT240/Macroindicadores!C$2)</f>
        <v/>
      </c>
      <c r="BI240" s="39" t="str">
        <f>IF(ISBLANK(S240),"",AU240/Macroindicadores!D$2)</f>
        <v/>
      </c>
      <c r="BJ240" s="39" t="str">
        <f>IF(ISBLANK(T240),"",AV240/Macroindicadores!E$2)</f>
        <v/>
      </c>
      <c r="BK240" s="39" t="str">
        <f>IF(ISBLANK(U240),"",AW240/Macroindicadores!F$2)</f>
        <v/>
      </c>
      <c r="BL240" s="39" t="str">
        <f>IF(ISBLANK(V240),"",AX240/Macroindicadores!G$2)</f>
        <v/>
      </c>
      <c r="BM240" s="39" t="str">
        <f>IF(ISBLANK(W240),"",AY240/Macroindicadores!H$2)</f>
        <v/>
      </c>
      <c r="BN240" s="39" t="str">
        <f>IF(ISBLANK(X240),"",AZ240/Macroindicadores!I$2)</f>
        <v/>
      </c>
      <c r="BO240" s="39" t="str">
        <f>IF(ISBLANK(Y240),"",BA240/Macroindicadores!J$2)</f>
        <v/>
      </c>
      <c r="BP240" s="39" t="str">
        <f>IF(ISBLANK(Z240),"",BB240/Macroindicadores!K$2)</f>
        <v/>
      </c>
      <c r="BQ240" s="39" t="str">
        <f>IF(ISBLANK(AA240),"",BC240/Macroindicadores!L$2)</f>
        <v/>
      </c>
      <c r="BR240" s="39" t="str">
        <f>IF(ISBLANK(AB240),"",BD240/Macroindicadores!M$2)</f>
        <v/>
      </c>
      <c r="BS240" s="40" t="str">
        <f t="shared" ref="BS240:BS325" si="107">IF(AND(ISBLANK($Q240),ISBLANK($R240),ISBLANK($S240),ISBLANK($T240),ISBLANK($U240),ISBLANK($V240),ISBLANK($W240),ISBLANK($X240),ISBLANK($Y240),ISBLANK($Z240),ISBLANK($AA240),ISBLANK($AB240)),"",SUM(BG240:BR240))</f>
        <v/>
      </c>
      <c r="BT240" s="25" t="str">
        <f>IF(ISBLANK($L240),"",_xlfn.XLOOKUP($L240,'CENTRO CUSTO'!$A:$A,'CENTRO CUSTO'!$E:$E,FALSE,0))</f>
        <v>G&amp;A CP</v>
      </c>
    </row>
    <row r="241" spans="1:72">
      <c r="A241" s="9" t="str">
        <f t="shared" si="80"/>
        <v>Budget</v>
      </c>
      <c r="B241" s="9">
        <f t="shared" si="77"/>
        <v>2026</v>
      </c>
      <c r="C241" s="18" t="str">
        <f>IF(ISBLANK($L241),"",_xlfn.XLOOKUP($L241,'CENTRO CUSTO'!$A:$A,'CENTRO CUSTO'!F:F,FALSE,0))</f>
        <v>Cone Sul</v>
      </c>
      <c r="D241" s="111" t="str">
        <f>IF(ISBLANK($L241),"",_xlfn.XLOOKUP($L241,'CENTRO CUSTO'!$A:$A,'CENTRO CUSTO'!G:G,FALSE,0))</f>
        <v>Plataforma</v>
      </c>
      <c r="E241" s="18" t="str">
        <f>IF(ISBLANK($L241),"",_xlfn.XLOOKUP($L241,'CENTRO CUSTO'!$A:$A,'CENTRO CUSTO'!H:H,FALSE,0))</f>
        <v>G&amp;A</v>
      </c>
      <c r="F241" s="10" t="s">
        <v>232</v>
      </c>
      <c r="G241" s="10" t="s">
        <v>233</v>
      </c>
      <c r="H241" s="10" t="s">
        <v>234</v>
      </c>
      <c r="I241" s="11" t="s">
        <v>84</v>
      </c>
      <c r="J241" s="11" t="s">
        <v>78</v>
      </c>
      <c r="K241" s="11" t="s">
        <v>121</v>
      </c>
      <c r="L241" s="11" t="s">
        <v>54</v>
      </c>
      <c r="M241" s="18" t="str">
        <f>IF(ISBLANK($L241),"",_xlfn.XLOOKUP($L241,'CENTRO CUSTO'!$A:$A,'CENTRO CUSTO'!D:D,FALSE,0))</f>
        <v>Alexandre Ayabe</v>
      </c>
      <c r="N241" s="11" t="s">
        <v>235</v>
      </c>
      <c r="O241" s="12"/>
      <c r="P241" s="11" t="s">
        <v>81</v>
      </c>
      <c r="Q241" s="41">
        <v>1200</v>
      </c>
      <c r="R241" s="41">
        <v>1200</v>
      </c>
      <c r="S241" s="41">
        <v>1200</v>
      </c>
      <c r="T241" s="41">
        <v>1200</v>
      </c>
      <c r="U241" s="41">
        <v>1200</v>
      </c>
      <c r="V241" s="41">
        <v>1200</v>
      </c>
      <c r="W241" s="41">
        <v>1200</v>
      </c>
      <c r="X241" s="41">
        <v>1200</v>
      </c>
      <c r="Y241" s="41">
        <v>1200</v>
      </c>
      <c r="Z241" s="41">
        <v>1200</v>
      </c>
      <c r="AA241" s="41">
        <v>1200</v>
      </c>
      <c r="AB241" s="41">
        <v>1200</v>
      </c>
      <c r="AC241" s="116">
        <f t="shared" si="104"/>
        <v>14400</v>
      </c>
      <c r="AE241" s="39">
        <f>IF(ISBLANK(Q241),"",IF($P241="BRL",Q241,Q241*Macroindicadores!B$2)/1000)</f>
        <v>1.2</v>
      </c>
      <c r="AF241" s="39">
        <f>IF(ISBLANK(R241),"",IF($P241="BRL",R241,R241*Macroindicadores!C$2)/1000)</f>
        <v>1.2</v>
      </c>
      <c r="AG241" s="39">
        <f>IF(ISBLANK(S241),"",IF($P241="BRL",S241,S241*Macroindicadores!D$2)/1000)</f>
        <v>1.2</v>
      </c>
      <c r="AH241" s="39">
        <f>IF(ISBLANK(T241),"",IF($P241="BRL",T241,T241*Macroindicadores!E$2)/1000)</f>
        <v>1.2</v>
      </c>
      <c r="AI241" s="39">
        <f>IF(ISBLANK(U241),"",IF($P241="BRL",U241,U241*Macroindicadores!F$2)/1000)</f>
        <v>1.2</v>
      </c>
      <c r="AJ241" s="39">
        <f>IF(ISBLANK(V241),"",IF($P241="BRL",V241,V241*Macroindicadores!G$2)/1000)</f>
        <v>1.2</v>
      </c>
      <c r="AK241" s="39">
        <f>IF(ISBLANK(W241),"",IF($P241="BRL",W241,W241*Macroindicadores!H$2)/1000)</f>
        <v>1.2</v>
      </c>
      <c r="AL241" s="39">
        <f>IF(ISBLANK(X241),"",IF($P241="BRL",X241,X241*Macroindicadores!I$2)/1000)</f>
        <v>1.2</v>
      </c>
      <c r="AM241" s="39">
        <f>IF(ISBLANK(Y241),"",IF($P241="BRL",Y241,Y241*Macroindicadores!J$2)/1000)</f>
        <v>1.2</v>
      </c>
      <c r="AN241" s="39">
        <f>IF(ISBLANK(Z241),"",IF($P241="BRL",Z241,Z241*Macroindicadores!K$2)/1000)</f>
        <v>1.2</v>
      </c>
      <c r="AO241" s="39">
        <f>IF(ISBLANK(AA241),"",IF($P241="BRL",AA241,AA241*Macroindicadores!L$2)/1000)</f>
        <v>1.2</v>
      </c>
      <c r="AP241" s="39">
        <f>IF(ISBLANK(AB241),"",IF($P241="BRL",AB241,AB241*Macroindicadores!M$2)/1000)</f>
        <v>1.2</v>
      </c>
      <c r="AQ241" s="40">
        <f t="shared" si="105"/>
        <v>14.399999999999997</v>
      </c>
      <c r="AS241" s="39">
        <f>IF(ISBLANK(Q241),"",IF(ISBLANK($O241),AE241,IF($J241="ANUAL",AE241*(1+Macroindicadores!B$7),IF(AND($I241="NOVO",MONTH($O241)=MONTH(AS$4)),AE241*(1+Macroindicadores!B$7),IF(AND($J241="PONTUAL",MONTH($O241)=MONTH(AS$4)),AE241*(1+Macroindicadores!B$7),IF(AND($J241="PONTUAL",MONTH($O241)&lt;MONTH(AS$4)),MIN(AR241:$AS241),IF(AND($I241="NOVO",MONTH($O241)&gt;MONTH(AS$4)),AE241,IF(MONTH($O241)&gt;MONTH(AS$4),AE241,IF(MONTH($O241)=MONTH(AS$4),AE241*(1+Macroindicadores!B$7),AR241)))))))))</f>
        <v>1.2</v>
      </c>
      <c r="AT241" s="39">
        <f>IF(ISBLANK(R241),"",IF(ISBLANK($O241),AF241,IF($J241="ANUAL",AF241*(1+Macroindicadores!C$7),IF(AND($I241="NOVO",MONTH($O241)=MONTH(AT$4)),AF241*(1+Macroindicadores!C$7),IF(AND($J241="PONTUAL",MONTH($O241)=MONTH(AT$4)),AF241*(1+Macroindicadores!C$7),IF(AND($J241="PONTUAL",MONTH($O241)&lt;MONTH(AT$4)),MIN($AS241:AS241),IF(AND($I241="NOVO",MONTH($O241)&gt;MONTH(AT$4)),AF241,IF(MONTH($O241)&gt;MONTH(AT$4),AF241,IF(MONTH($O241)=MONTH(AT$4),AF241*(1+Macroindicadores!C$7),AS241)))))))))</f>
        <v>1.2</v>
      </c>
      <c r="AU241" s="39">
        <f>IF(ISBLANK(S241),"",IF(ISBLANK($O241),AG241,IF($J241="ANUAL",AG241*(1+Macroindicadores!D$7),IF(AND($I241="NOVO",MONTH($O241)=MONTH(AU$4)),AG241*(1+Macroindicadores!D$7),IF(AND($J241="PONTUAL",MONTH($O241)=MONTH(AU$4)),AG241*(1+Macroindicadores!D$7),IF(AND($J241="PONTUAL",MONTH($O241)&lt;MONTH(AU$4)),MIN($AS241:AT241),IF(AND($I241="NOVO",MONTH($O241)&gt;MONTH(AU$4)),AG241,IF(MONTH($O241)&gt;MONTH(AU$4),AG241,IF(MONTH($O241)=MONTH(AU$4),AG241*(1+Macroindicadores!D$7),AT241)))))))))</f>
        <v>1.2</v>
      </c>
      <c r="AV241" s="39">
        <f>IF(ISBLANK(T241),"",IF(ISBLANK($O241),AH241,IF($J241="ANUAL",AH241*(1+Macroindicadores!E$7),IF(AND($I241="NOVO",MONTH($O241)=MONTH(AV$4)),AH241*(1+Macroindicadores!E$7),IF(AND($J241="PONTUAL",MONTH($O241)=MONTH(AV$4)),AH241*(1+Macroindicadores!E$7),IF(AND($J241="PONTUAL",MONTH($O241)&lt;MONTH(AV$4)),MIN($AS241:AU241),IF(AND($I241="NOVO",MONTH($O241)&gt;MONTH(AV$4)),AH241,IF(MONTH($O241)&gt;MONTH(AV$4),AH241,IF(MONTH($O241)=MONTH(AV$4),AH241*(1+Macroindicadores!E$7),AU241)))))))))</f>
        <v>1.2</v>
      </c>
      <c r="AW241" s="39">
        <f>IF(ISBLANK(U241),"",IF(ISBLANK($O241),AI241,IF($J241="ANUAL",AI241*(1+Macroindicadores!F$7),IF(AND($I241="NOVO",MONTH($O241)=MONTH(AW$4)),AI241*(1+Macroindicadores!F$7),IF(AND($J241="PONTUAL",MONTH($O241)=MONTH(AW$4)),AI241*(1+Macroindicadores!F$7),IF(AND($J241="PONTUAL",MONTH($O241)&lt;MONTH(AW$4)),MIN($AS241:AV241),IF(AND($I241="NOVO",MONTH($O241)&gt;MONTH(AW$4)),AI241,IF(MONTH($O241)&gt;MONTH(AW$4),AI241,IF(MONTH($O241)=MONTH(AW$4),AI241*(1+Macroindicadores!F$7),AV241)))))))))</f>
        <v>1.2</v>
      </c>
      <c r="AX241" s="39">
        <f>IF(ISBLANK(V241),"",IF(ISBLANK($O241),AJ241,IF($J241="ANUAL",AJ241*(1+Macroindicadores!G$7),IF(AND($I241="NOVO",MONTH($O241)=MONTH(AX$4)),AJ241*(1+Macroindicadores!G$7),IF(AND($J241="PONTUAL",MONTH($O241)=MONTH(AX$4)),AJ241*(1+Macroindicadores!G$7),IF(AND($J241="PONTUAL",MONTH($O241)&lt;MONTH(AX$4)),MIN($AS241:AW241),IF(AND($I241="NOVO",MONTH($O241)&gt;MONTH(AX$4)),AJ241,IF(MONTH($O241)&gt;MONTH(AX$4),AJ241,IF(MONTH($O241)=MONTH(AX$4),AJ241*(1+Macroindicadores!G$7),AW241)))))))))</f>
        <v>1.2</v>
      </c>
      <c r="AY241" s="39">
        <f>IF(ISBLANK(W241),"",IF(ISBLANK($O241),AK241,IF($J241="ANUAL",AK241*(1+Macroindicadores!H$7),IF(AND($I241="NOVO",MONTH($O241)=MONTH(AY$4)),AK241*(1+Macroindicadores!H$7),IF(AND($J241="PONTUAL",MONTH($O241)=MONTH(AY$4)),AK241*(1+Macroindicadores!H$7),IF(AND($J241="PONTUAL",MONTH($O241)&lt;MONTH(AY$4)),MIN($AS241:AX241),IF(AND($I241="NOVO",MONTH($O241)&gt;MONTH(AY$4)),AK241,IF(MONTH($O241)&gt;MONTH(AY$4),AK241,IF(MONTH($O241)=MONTH(AY$4),AK241*(1+Macroindicadores!H$7),AX241)))))))))</f>
        <v>1.2</v>
      </c>
      <c r="AZ241" s="39">
        <f>IF(ISBLANK(X241),"",IF(ISBLANK($O241),AL241,IF($J241="ANUAL",AL241*(1+Macroindicadores!I$7),IF(AND($I241="NOVO",MONTH($O241)=MONTH(AZ$4)),AL241*(1+Macroindicadores!I$7),IF(AND($J241="PONTUAL",MONTH($O241)=MONTH(AZ$4)),AL241*(1+Macroindicadores!I$7),IF(AND($J241="PONTUAL",MONTH($O241)&lt;MONTH(AZ$4)),MIN($AS241:AY241),IF(AND($I241="NOVO",MONTH($O241)&gt;MONTH(AZ$4)),AL241,IF(MONTH($O241)&gt;MONTH(AZ$4),AL241,IF(MONTH($O241)=MONTH(AZ$4),AL241*(1+Macroindicadores!I$7),AY241)))))))))</f>
        <v>1.2</v>
      </c>
      <c r="BA241" s="39">
        <f>IF(ISBLANK(Y241),"",IF(ISBLANK($O241),AM241,IF($J241="ANUAL",AM241*(1+Macroindicadores!J$7),IF(AND($I241="NOVO",MONTH($O241)=MONTH(BA$4)),AM241*(1+Macroindicadores!J$7),IF(AND($J241="PONTUAL",MONTH($O241)=MONTH(BA$4)),AM241*(1+Macroindicadores!J$7),IF(AND($J241="PONTUAL",MONTH($O241)&lt;MONTH(BA$4)),MIN($AS241:AZ241),IF(AND($I241="NOVO",MONTH($O241)&gt;MONTH(BA$4)),AM241,IF(MONTH($O241)&gt;MONTH(BA$4),AM241,IF(MONTH($O241)=MONTH(BA$4),AM241*(1+Macroindicadores!J$7),AZ241)))))))))</f>
        <v>1.2</v>
      </c>
      <c r="BB241" s="39">
        <f>IF(ISBLANK(Z241),"",IF(ISBLANK($O241),AN241,IF($J241="ANUAL",AN241*(1+Macroindicadores!K$7),IF(AND($I241="NOVO",MONTH($O241)=MONTH(BB$4)),AN241*(1+Macroindicadores!K$7),IF(AND($J241="PONTUAL",MONTH($O241)=MONTH(BB$4)),AN241*(1+Macroindicadores!K$7),IF(AND($J241="PONTUAL",MONTH($O241)&lt;MONTH(BB$4)),MIN($AS241:BA241),IF(AND($I241="NOVO",MONTH($O241)&gt;MONTH(BB$4)),AN241,IF(MONTH($O241)&gt;MONTH(BB$4),AN241,IF(MONTH($O241)=MONTH(BB$4),AN241*(1+Macroindicadores!K$7),BA241)))))))))</f>
        <v>1.2</v>
      </c>
      <c r="BC241" s="39">
        <f>IF(ISBLANK(AA241),"",IF(ISBLANK($O241),AO241,IF($J241="ANUAL",AO241*(1+Macroindicadores!L$7),IF(AND($I241="NOVO",MONTH($O241)=MONTH(BC$4)),AO241*(1+Macroindicadores!L$7),IF(AND($J241="PONTUAL",MONTH($O241)=MONTH(BC$4)),AO241*(1+Macroindicadores!L$7),IF(AND($J241="PONTUAL",MONTH($O241)&lt;MONTH(BC$4)),MIN($AS241:BB241),IF(AND($I241="NOVO",MONTH($O241)&gt;MONTH(BC$4)),AO241,IF(MONTH($O241)&gt;MONTH(BC$4),AO241,IF(MONTH($O241)=MONTH(BC$4),AO241*(1+Macroindicadores!L$7),BB241)))))))))</f>
        <v>1.2</v>
      </c>
      <c r="BD241" s="39">
        <f>IF(ISBLANK(AB241),"",IF(ISBLANK($O241),AP241,IF($J241="ANUAL",AP241*(1+Macroindicadores!M$7),IF(AND($I241="NOVO",MONTH($O241)=MONTH(BD$4)),AP241*(1+Macroindicadores!M$7),IF(AND($J241="PONTUAL",MONTH($O241)=MONTH(BD$4)),AP241*(1+Macroindicadores!M$7),IF(AND($J241="PONTUAL",MONTH($O241)&lt;MONTH(BD$4)),MIN($AS241:BC241),IF(AND($I241="NOVO",MONTH($O241)&gt;MONTH(BD$4)),AP241,IF(MONTH($O241)&gt;MONTH(BD$4),AP241,IF(MONTH($O241)=MONTH(BD$4),AP241*(1+Macroindicadores!M$7),BC241)))))))))</f>
        <v>1.2</v>
      </c>
      <c r="BE241" s="40">
        <f t="shared" si="106"/>
        <v>14.399999999999997</v>
      </c>
      <c r="BG241" s="39">
        <f>IF(ISBLANK(Q241),"",AS241/Macroindicadores!B$2)</f>
        <v>0.20408163265306123</v>
      </c>
      <c r="BH241" s="39">
        <f>IF(ISBLANK(R241),"",AT241/Macroindicadores!C$2)</f>
        <v>0.20408163265306123</v>
      </c>
      <c r="BI241" s="39">
        <f>IF(ISBLANK(S241),"",AU241/Macroindicadores!D$2)</f>
        <v>0.20408163265306123</v>
      </c>
      <c r="BJ241" s="39">
        <f>IF(ISBLANK(T241),"",AV241/Macroindicadores!E$2)</f>
        <v>0.20408163265306123</v>
      </c>
      <c r="BK241" s="39">
        <f>IF(ISBLANK(U241),"",AW241/Macroindicadores!F$2)</f>
        <v>0.20408163265306123</v>
      </c>
      <c r="BL241" s="39">
        <f>IF(ISBLANK(V241),"",AX241/Macroindicadores!G$2)</f>
        <v>0.20408163265306123</v>
      </c>
      <c r="BM241" s="39">
        <f>IF(ISBLANK(W241),"",AY241/Macroindicadores!H$2)</f>
        <v>0.20408163265306123</v>
      </c>
      <c r="BN241" s="39">
        <f>IF(ISBLANK(X241),"",AZ241/Macroindicadores!I$2)</f>
        <v>0.20408163265306123</v>
      </c>
      <c r="BO241" s="39">
        <f>IF(ISBLANK(Y241),"",BA241/Macroindicadores!J$2)</f>
        <v>0.20408163265306123</v>
      </c>
      <c r="BP241" s="39">
        <f>IF(ISBLANK(Z241),"",BB241/Macroindicadores!K$2)</f>
        <v>0.20408163265306123</v>
      </c>
      <c r="BQ241" s="39">
        <f>IF(ISBLANK(AA241),"",BC241/Macroindicadores!L$2)</f>
        <v>0.20408163265306123</v>
      </c>
      <c r="BR241" s="39">
        <f>IF(ISBLANK(AB241),"",BD241/Macroindicadores!M$2)</f>
        <v>0.20408163265306123</v>
      </c>
      <c r="BS241" s="40">
        <f t="shared" si="107"/>
        <v>2.4489795918367347</v>
      </c>
      <c r="BT241" s="25" t="str">
        <f>IF(ISBLANK($L241),"",_xlfn.XLOOKUP($L241,'CENTRO CUSTO'!$A:$A,'CENTRO CUSTO'!$E:$E,FALSE,0))</f>
        <v>G&amp;A PL</v>
      </c>
    </row>
    <row r="242" spans="1:72">
      <c r="A242" s="9" t="str">
        <f t="shared" si="80"/>
        <v>Budget</v>
      </c>
      <c r="B242" s="9">
        <f t="shared" si="77"/>
        <v>2026</v>
      </c>
      <c r="C242" s="18" t="str">
        <f>IF(ISBLANK($L242),"",_xlfn.XLOOKUP($L242,'CENTRO CUSTO'!$A:$A,'CENTRO CUSTO'!F:F,FALSE,0))</f>
        <v>Martini Meat</v>
      </c>
      <c r="D242" s="111" t="str">
        <f>IF(ISBLANK($L242),"",_xlfn.XLOOKUP($L242,'CENTRO CUSTO'!$A:$A,'CENTRO CUSTO'!G:G,FALSE,0))</f>
        <v>Paranaguá</v>
      </c>
      <c r="E242" s="18" t="str">
        <f>IF(ISBLANK($L242),"",_xlfn.XLOOKUP($L242,'CENTRO CUSTO'!$A:$A,'CENTRO CUSTO'!H:H,FALSE,0))</f>
        <v>RATEIO Unidade</v>
      </c>
      <c r="F242" s="10" t="s">
        <v>236</v>
      </c>
      <c r="G242" s="10" t="s">
        <v>224</v>
      </c>
      <c r="H242" s="10" t="s">
        <v>237</v>
      </c>
      <c r="I242" s="11" t="s">
        <v>77</v>
      </c>
      <c r="J242" s="11" t="s">
        <v>78</v>
      </c>
      <c r="K242" s="11" t="s">
        <v>79</v>
      </c>
      <c r="L242" s="11" t="s">
        <v>19</v>
      </c>
      <c r="M242" s="18" t="str">
        <f>IF(ISBLANK($L242),"",_xlfn.XLOOKUP($L242,'CENTRO CUSTO'!$A:$A,'CENTRO CUSTO'!D:D,FALSE,0))</f>
        <v>Alexandre Ayabe</v>
      </c>
      <c r="N242" s="11" t="s">
        <v>91</v>
      </c>
      <c r="O242" s="12"/>
      <c r="P242" s="11" t="s">
        <v>81</v>
      </c>
      <c r="Q242" s="41">
        <v>4000</v>
      </c>
      <c r="R242" s="41">
        <v>4000</v>
      </c>
      <c r="S242" s="41">
        <v>4000</v>
      </c>
      <c r="T242" s="41">
        <v>4000</v>
      </c>
      <c r="U242" s="41">
        <v>4000</v>
      </c>
      <c r="V242" s="41">
        <v>4000</v>
      </c>
      <c r="W242" s="41">
        <v>4000</v>
      </c>
      <c r="X242" s="41">
        <v>4000</v>
      </c>
      <c r="Y242" s="41">
        <v>4000</v>
      </c>
      <c r="Z242" s="41">
        <v>4000</v>
      </c>
      <c r="AA242" s="41">
        <v>4000</v>
      </c>
      <c r="AB242" s="41">
        <v>4000</v>
      </c>
      <c r="AC242" s="116">
        <f t="shared" si="104"/>
        <v>48000</v>
      </c>
      <c r="AE242" s="39">
        <f>IF(ISBLANK(Q242),"",IF($P242="BRL",Q242,Q242*Macroindicadores!B$2)/1000)</f>
        <v>4</v>
      </c>
      <c r="AF242" s="39">
        <f>IF(ISBLANK(R242),"",IF($P242="BRL",R242,R242*Macroindicadores!C$2)/1000)</f>
        <v>4</v>
      </c>
      <c r="AG242" s="39">
        <f>IF(ISBLANK(S242),"",IF($P242="BRL",S242,S242*Macroindicadores!D$2)/1000)</f>
        <v>4</v>
      </c>
      <c r="AH242" s="39">
        <f>IF(ISBLANK(T242),"",IF($P242="BRL",T242,T242*Macroindicadores!E$2)/1000)</f>
        <v>4</v>
      </c>
      <c r="AI242" s="39">
        <f>IF(ISBLANK(U242),"",IF($P242="BRL",U242,U242*Macroindicadores!F$2)/1000)</f>
        <v>4</v>
      </c>
      <c r="AJ242" s="39">
        <f>IF(ISBLANK(V242),"",IF($P242="BRL",V242,V242*Macroindicadores!G$2)/1000)</f>
        <v>4</v>
      </c>
      <c r="AK242" s="39">
        <f>IF(ISBLANK(W242),"",IF($P242="BRL",W242,W242*Macroindicadores!H$2)/1000)</f>
        <v>4</v>
      </c>
      <c r="AL242" s="39">
        <f>IF(ISBLANK(X242),"",IF($P242="BRL",X242,X242*Macroindicadores!I$2)/1000)</f>
        <v>4</v>
      </c>
      <c r="AM242" s="39">
        <f>IF(ISBLANK(Y242),"",IF($P242="BRL",Y242,Y242*Macroindicadores!J$2)/1000)</f>
        <v>4</v>
      </c>
      <c r="AN242" s="39">
        <f>IF(ISBLANK(Z242),"",IF($P242="BRL",Z242,Z242*Macroindicadores!K$2)/1000)</f>
        <v>4</v>
      </c>
      <c r="AO242" s="39">
        <f>IF(ISBLANK(AA242),"",IF($P242="BRL",AA242,AA242*Macroindicadores!L$2)/1000)</f>
        <v>4</v>
      </c>
      <c r="AP242" s="39">
        <f>IF(ISBLANK(AB242),"",IF($P242="BRL",AB242,AB242*Macroindicadores!M$2)/1000)</f>
        <v>4</v>
      </c>
      <c r="AQ242" s="40">
        <f t="shared" si="105"/>
        <v>48</v>
      </c>
      <c r="AS242" s="39">
        <f>IF(ISBLANK(Q242),"",IF(ISBLANK($O242),AE242,IF($J242="ANUAL",AE242*(1+Macroindicadores!B$7),IF(AND($I242="NOVO",MONTH($O242)=MONTH(AS$4)),AE242*(1+Macroindicadores!B$7),IF(AND($J242="PONTUAL",MONTH($O242)=MONTH(AS$4)),AE242*(1+Macroindicadores!B$7),IF(AND($J242="PONTUAL",MONTH($O242)&lt;MONTH(AS$4)),MIN(AR242:$AS242),IF(AND($I242="NOVO",MONTH($O242)&gt;MONTH(AS$4)),AE242,IF(MONTH($O242)&gt;MONTH(AS$4),AE242,IF(MONTH($O242)=MONTH(AS$4),AE242*(1+Macroindicadores!B$7),AR242)))))))))</f>
        <v>4</v>
      </c>
      <c r="AT242" s="39">
        <f>IF(ISBLANK(R242),"",IF(ISBLANK($O242),AF242,IF($J242="ANUAL",AF242*(1+Macroindicadores!C$7),IF(AND($I242="NOVO",MONTH($O242)=MONTH(AT$4)),AF242*(1+Macroindicadores!C$7),IF(AND($J242="PONTUAL",MONTH($O242)=MONTH(AT$4)),AF242*(1+Macroindicadores!C$7),IF(AND($J242="PONTUAL",MONTH($O242)&lt;MONTH(AT$4)),MIN($AS242:AS242),IF(AND($I242="NOVO",MONTH($O242)&gt;MONTH(AT$4)),AF242,IF(MONTH($O242)&gt;MONTH(AT$4),AF242,IF(MONTH($O242)=MONTH(AT$4),AF242*(1+Macroindicadores!C$7),AS242)))))))))</f>
        <v>4</v>
      </c>
      <c r="AU242" s="39">
        <f>IF(ISBLANK(S242),"",IF(ISBLANK($O242),AG242,IF($J242="ANUAL",AG242*(1+Macroindicadores!D$7),IF(AND($I242="NOVO",MONTH($O242)=MONTH(AU$4)),AG242*(1+Macroindicadores!D$7),IF(AND($J242="PONTUAL",MONTH($O242)=MONTH(AU$4)),AG242*(1+Macroindicadores!D$7),IF(AND($J242="PONTUAL",MONTH($O242)&lt;MONTH(AU$4)),MIN($AS242:AT242),IF(AND($I242="NOVO",MONTH($O242)&gt;MONTH(AU$4)),AG242,IF(MONTH($O242)&gt;MONTH(AU$4),AG242,IF(MONTH($O242)=MONTH(AU$4),AG242*(1+Macroindicadores!D$7),AT242)))))))))</f>
        <v>4</v>
      </c>
      <c r="AV242" s="39">
        <f>IF(ISBLANK(T242),"",IF(ISBLANK($O242),AH242,IF($J242="ANUAL",AH242*(1+Macroindicadores!E$7),IF(AND($I242="NOVO",MONTH($O242)=MONTH(AV$4)),AH242*(1+Macroindicadores!E$7),IF(AND($J242="PONTUAL",MONTH($O242)=MONTH(AV$4)),AH242*(1+Macroindicadores!E$7),IF(AND($J242="PONTUAL",MONTH($O242)&lt;MONTH(AV$4)),MIN($AS242:AU242),IF(AND($I242="NOVO",MONTH($O242)&gt;MONTH(AV$4)),AH242,IF(MONTH($O242)&gt;MONTH(AV$4),AH242,IF(MONTH($O242)=MONTH(AV$4),AH242*(1+Macroindicadores!E$7),AU242)))))))))</f>
        <v>4</v>
      </c>
      <c r="AW242" s="39">
        <f>IF(ISBLANK(U242),"",IF(ISBLANK($O242),AI242,IF($J242="ANUAL",AI242*(1+Macroindicadores!F$7),IF(AND($I242="NOVO",MONTH($O242)=MONTH(AW$4)),AI242*(1+Macroindicadores!F$7),IF(AND($J242="PONTUAL",MONTH($O242)=MONTH(AW$4)),AI242*(1+Macroindicadores!F$7),IF(AND($J242="PONTUAL",MONTH($O242)&lt;MONTH(AW$4)),MIN($AS242:AV242),IF(AND($I242="NOVO",MONTH($O242)&gt;MONTH(AW$4)),AI242,IF(MONTH($O242)&gt;MONTH(AW$4),AI242,IF(MONTH($O242)=MONTH(AW$4),AI242*(1+Macroindicadores!F$7),AV242)))))))))</f>
        <v>4</v>
      </c>
      <c r="AX242" s="39">
        <f>IF(ISBLANK(V242),"",IF(ISBLANK($O242),AJ242,IF($J242="ANUAL",AJ242*(1+Macroindicadores!G$7),IF(AND($I242="NOVO",MONTH($O242)=MONTH(AX$4)),AJ242*(1+Macroindicadores!G$7),IF(AND($J242="PONTUAL",MONTH($O242)=MONTH(AX$4)),AJ242*(1+Macroindicadores!G$7),IF(AND($J242="PONTUAL",MONTH($O242)&lt;MONTH(AX$4)),MIN($AS242:AW242),IF(AND($I242="NOVO",MONTH($O242)&gt;MONTH(AX$4)),AJ242,IF(MONTH($O242)&gt;MONTH(AX$4),AJ242,IF(MONTH($O242)=MONTH(AX$4),AJ242*(1+Macroindicadores!G$7),AW242)))))))))</f>
        <v>4</v>
      </c>
      <c r="AY242" s="39">
        <f>IF(ISBLANK(W242),"",IF(ISBLANK($O242),AK242,IF($J242="ANUAL",AK242*(1+Macroindicadores!H$7),IF(AND($I242="NOVO",MONTH($O242)=MONTH(AY$4)),AK242*(1+Macroindicadores!H$7),IF(AND($J242="PONTUAL",MONTH($O242)=MONTH(AY$4)),AK242*(1+Macroindicadores!H$7),IF(AND($J242="PONTUAL",MONTH($O242)&lt;MONTH(AY$4)),MIN($AS242:AX242),IF(AND($I242="NOVO",MONTH($O242)&gt;MONTH(AY$4)),AK242,IF(MONTH($O242)&gt;MONTH(AY$4),AK242,IF(MONTH($O242)=MONTH(AY$4),AK242*(1+Macroindicadores!H$7),AX242)))))))))</f>
        <v>4</v>
      </c>
      <c r="AZ242" s="39">
        <f>IF(ISBLANK(X242),"",IF(ISBLANK($O242),AL242,IF($J242="ANUAL",AL242*(1+Macroindicadores!I$7),IF(AND($I242="NOVO",MONTH($O242)=MONTH(AZ$4)),AL242*(1+Macroindicadores!I$7),IF(AND($J242="PONTUAL",MONTH($O242)=MONTH(AZ$4)),AL242*(1+Macroindicadores!I$7),IF(AND($J242="PONTUAL",MONTH($O242)&lt;MONTH(AZ$4)),MIN($AS242:AY242),IF(AND($I242="NOVO",MONTH($O242)&gt;MONTH(AZ$4)),AL242,IF(MONTH($O242)&gt;MONTH(AZ$4),AL242,IF(MONTH($O242)=MONTH(AZ$4),AL242*(1+Macroindicadores!I$7),AY242)))))))))</f>
        <v>4</v>
      </c>
      <c r="BA242" s="39">
        <f>IF(ISBLANK(Y242),"",IF(ISBLANK($O242),AM242,IF($J242="ANUAL",AM242*(1+Macroindicadores!J$7),IF(AND($I242="NOVO",MONTH($O242)=MONTH(BA$4)),AM242*(1+Macroindicadores!J$7),IF(AND($J242="PONTUAL",MONTH($O242)=MONTH(BA$4)),AM242*(1+Macroindicadores!J$7),IF(AND($J242="PONTUAL",MONTH($O242)&lt;MONTH(BA$4)),MIN($AS242:AZ242),IF(AND($I242="NOVO",MONTH($O242)&gt;MONTH(BA$4)),AM242,IF(MONTH($O242)&gt;MONTH(BA$4),AM242,IF(MONTH($O242)=MONTH(BA$4),AM242*(1+Macroindicadores!J$7),AZ242)))))))))</f>
        <v>4</v>
      </c>
      <c r="BB242" s="39">
        <f>IF(ISBLANK(Z242),"",IF(ISBLANK($O242),AN242,IF($J242="ANUAL",AN242*(1+Macroindicadores!K$7),IF(AND($I242="NOVO",MONTH($O242)=MONTH(BB$4)),AN242*(1+Macroindicadores!K$7),IF(AND($J242="PONTUAL",MONTH($O242)=MONTH(BB$4)),AN242*(1+Macroindicadores!K$7),IF(AND($J242="PONTUAL",MONTH($O242)&lt;MONTH(BB$4)),MIN($AS242:BA242),IF(AND($I242="NOVO",MONTH($O242)&gt;MONTH(BB$4)),AN242,IF(MONTH($O242)&gt;MONTH(BB$4),AN242,IF(MONTH($O242)=MONTH(BB$4),AN242*(1+Macroindicadores!K$7),BA242)))))))))</f>
        <v>4</v>
      </c>
      <c r="BC242" s="39">
        <f>IF(ISBLANK(AA242),"",IF(ISBLANK($O242),AO242,IF($J242="ANUAL",AO242*(1+Macroindicadores!L$7),IF(AND($I242="NOVO",MONTH($O242)=MONTH(BC$4)),AO242*(1+Macroindicadores!L$7),IF(AND($J242="PONTUAL",MONTH($O242)=MONTH(BC$4)),AO242*(1+Macroindicadores!L$7),IF(AND($J242="PONTUAL",MONTH($O242)&lt;MONTH(BC$4)),MIN($AS242:BB242),IF(AND($I242="NOVO",MONTH($O242)&gt;MONTH(BC$4)),AO242,IF(MONTH($O242)&gt;MONTH(BC$4),AO242,IF(MONTH($O242)=MONTH(BC$4),AO242*(1+Macroindicadores!L$7),BB242)))))))))</f>
        <v>4</v>
      </c>
      <c r="BD242" s="39">
        <f>IF(ISBLANK(AB242),"",IF(ISBLANK($O242),AP242,IF($J242="ANUAL",AP242*(1+Macroindicadores!M$7),IF(AND($I242="NOVO",MONTH($O242)=MONTH(BD$4)),AP242*(1+Macroindicadores!M$7),IF(AND($J242="PONTUAL",MONTH($O242)=MONTH(BD$4)),AP242*(1+Macroindicadores!M$7),IF(AND($J242="PONTUAL",MONTH($O242)&lt;MONTH(BD$4)),MIN($AS242:BC242),IF(AND($I242="NOVO",MONTH($O242)&gt;MONTH(BD$4)),AP242,IF(MONTH($O242)&gt;MONTH(BD$4),AP242,IF(MONTH($O242)=MONTH(BD$4),AP242*(1+Macroindicadores!M$7),BC242)))))))))</f>
        <v>4</v>
      </c>
      <c r="BE242" s="40">
        <f t="shared" si="106"/>
        <v>48</v>
      </c>
      <c r="BG242" s="39">
        <f>IF(ISBLANK(Q242),"",AS242/Macroindicadores!B$2)</f>
        <v>0.68027210884353739</v>
      </c>
      <c r="BH242" s="39">
        <f>IF(ISBLANK(R242),"",AT242/Macroindicadores!C$2)</f>
        <v>0.68027210884353739</v>
      </c>
      <c r="BI242" s="39">
        <f>IF(ISBLANK(S242),"",AU242/Macroindicadores!D$2)</f>
        <v>0.68027210884353739</v>
      </c>
      <c r="BJ242" s="39">
        <f>IF(ISBLANK(T242),"",AV242/Macroindicadores!E$2)</f>
        <v>0.68027210884353739</v>
      </c>
      <c r="BK242" s="39">
        <f>IF(ISBLANK(U242),"",AW242/Macroindicadores!F$2)</f>
        <v>0.68027210884353739</v>
      </c>
      <c r="BL242" s="39">
        <f>IF(ISBLANK(V242),"",AX242/Macroindicadores!G$2)</f>
        <v>0.68027210884353739</v>
      </c>
      <c r="BM242" s="39">
        <f>IF(ISBLANK(W242),"",AY242/Macroindicadores!H$2)</f>
        <v>0.68027210884353739</v>
      </c>
      <c r="BN242" s="39">
        <f>IF(ISBLANK(X242),"",AZ242/Macroindicadores!I$2)</f>
        <v>0.68027210884353739</v>
      </c>
      <c r="BO242" s="39">
        <f>IF(ISBLANK(Y242),"",BA242/Macroindicadores!J$2)</f>
        <v>0.68027210884353739</v>
      </c>
      <c r="BP242" s="39">
        <f>IF(ISBLANK(Z242),"",BB242/Macroindicadores!K$2)</f>
        <v>0.68027210884353739</v>
      </c>
      <c r="BQ242" s="39">
        <f>IF(ISBLANK(AA242),"",BC242/Macroindicadores!L$2)</f>
        <v>0.68027210884353739</v>
      </c>
      <c r="BR242" s="39">
        <f>IF(ISBLANK(AB242),"",BD242/Macroindicadores!M$2)</f>
        <v>0.68027210884353739</v>
      </c>
      <c r="BS242" s="40">
        <f t="shared" si="107"/>
        <v>8.1632653061224492</v>
      </c>
      <c r="BT242" s="25" t="str">
        <f>IF(ISBLANK($L242),"",_xlfn.XLOOKUP($L242,'CENTRO CUSTO'!$A:$A,'CENTRO CUSTO'!$E:$E,FALSE,0))</f>
        <v>Custo Fixo</v>
      </c>
    </row>
    <row r="243" spans="1:72">
      <c r="A243" s="9" t="str">
        <f t="shared" si="80"/>
        <v>Budget</v>
      </c>
      <c r="B243" s="9">
        <f t="shared" si="77"/>
        <v>2026</v>
      </c>
      <c r="C243" s="18" t="str">
        <f>IF(ISBLANK($L243),"",_xlfn.XLOOKUP($L243,'CENTRO CUSTO'!$A:$A,'CENTRO CUSTO'!F:F,FALSE,0))</f>
        <v>Transporte</v>
      </c>
      <c r="D243" s="111" t="str">
        <f>IF(ISBLANK($L243),"",_xlfn.XLOOKUP($L243,'CENTRO CUSTO'!$A:$A,'CENTRO CUSTO'!G:G,FALSE,0))</f>
        <v>BU-TR</v>
      </c>
      <c r="E243" s="18" t="str">
        <f>IF(ISBLANK($L243),"",_xlfn.XLOOKUP($L243,'CENTRO CUSTO'!$A:$A,'CENTRO CUSTO'!H:H,FALSE,0))</f>
        <v>G&amp;A</v>
      </c>
      <c r="F243" s="10" t="s">
        <v>238</v>
      </c>
      <c r="G243" s="10" t="s">
        <v>233</v>
      </c>
      <c r="H243" s="10" t="s">
        <v>239</v>
      </c>
      <c r="I243" s="11" t="s">
        <v>77</v>
      </c>
      <c r="J243" s="11" t="s">
        <v>78</v>
      </c>
      <c r="K243" s="11" t="s">
        <v>121</v>
      </c>
      <c r="L243" s="11" t="s">
        <v>38</v>
      </c>
      <c r="M243" s="18" t="str">
        <f>IF(ISBLANK($L243),"",_xlfn.XLOOKUP($L243,'CENTRO CUSTO'!$A:$A,'CENTRO CUSTO'!D:D,FALSE,0))</f>
        <v>Alexandre Ayabe</v>
      </c>
      <c r="N243" s="11" t="s">
        <v>91</v>
      </c>
      <c r="O243" s="12"/>
      <c r="P243" s="11" t="s">
        <v>81</v>
      </c>
      <c r="Q243" s="41">
        <v>5000</v>
      </c>
      <c r="R243" s="41">
        <v>5000</v>
      </c>
      <c r="S243" s="41">
        <v>5000</v>
      </c>
      <c r="T243" s="41">
        <v>5000</v>
      </c>
      <c r="U243" s="41">
        <v>5000</v>
      </c>
      <c r="V243" s="41">
        <v>5000</v>
      </c>
      <c r="W243" s="41">
        <v>5000</v>
      </c>
      <c r="X243" s="41">
        <v>5000</v>
      </c>
      <c r="Y243" s="41">
        <v>5000</v>
      </c>
      <c r="Z243" s="41">
        <v>5000</v>
      </c>
      <c r="AA243" s="41">
        <v>5000</v>
      </c>
      <c r="AB243" s="41">
        <v>5000</v>
      </c>
      <c r="AC243" s="116">
        <f t="shared" si="104"/>
        <v>60000</v>
      </c>
      <c r="AE243" s="39">
        <f>IF(ISBLANK(Q243),"",IF($P243="BRL",Q243,Q243*Macroindicadores!B$2)/1000)</f>
        <v>5</v>
      </c>
      <c r="AF243" s="39">
        <f>IF(ISBLANK(R243),"",IF($P243="BRL",R243,R243*Macroindicadores!C$2)/1000)</f>
        <v>5</v>
      </c>
      <c r="AG243" s="39">
        <f>IF(ISBLANK(S243),"",IF($P243="BRL",S243,S243*Macroindicadores!D$2)/1000)</f>
        <v>5</v>
      </c>
      <c r="AH243" s="39">
        <f>IF(ISBLANK(T243),"",IF($P243="BRL",T243,T243*Macroindicadores!E$2)/1000)</f>
        <v>5</v>
      </c>
      <c r="AI243" s="39">
        <f>IF(ISBLANK(U243),"",IF($P243="BRL",U243,U243*Macroindicadores!F$2)/1000)</f>
        <v>5</v>
      </c>
      <c r="AJ243" s="39">
        <f>IF(ISBLANK(V243),"",IF($P243="BRL",V243,V243*Macroindicadores!G$2)/1000)</f>
        <v>5</v>
      </c>
      <c r="AK243" s="39">
        <f>IF(ISBLANK(W243),"",IF($P243="BRL",W243,W243*Macroindicadores!H$2)/1000)</f>
        <v>5</v>
      </c>
      <c r="AL243" s="39">
        <f>IF(ISBLANK(X243),"",IF($P243="BRL",X243,X243*Macroindicadores!I$2)/1000)</f>
        <v>5</v>
      </c>
      <c r="AM243" s="39">
        <f>IF(ISBLANK(Y243),"",IF($P243="BRL",Y243,Y243*Macroindicadores!J$2)/1000)</f>
        <v>5</v>
      </c>
      <c r="AN243" s="39">
        <f>IF(ISBLANK(Z243),"",IF($P243="BRL",Z243,Z243*Macroindicadores!K$2)/1000)</f>
        <v>5</v>
      </c>
      <c r="AO243" s="39">
        <f>IF(ISBLANK(AA243),"",IF($P243="BRL",AA243,AA243*Macroindicadores!L$2)/1000)</f>
        <v>5</v>
      </c>
      <c r="AP243" s="39">
        <f>IF(ISBLANK(AB243),"",IF($P243="BRL",AB243,AB243*Macroindicadores!M$2)/1000)</f>
        <v>5</v>
      </c>
      <c r="AQ243" s="40">
        <f t="shared" si="105"/>
        <v>60</v>
      </c>
      <c r="AS243" s="39">
        <f>IF(ISBLANK(Q243),"",IF(ISBLANK($O243),AE243,IF($J243="ANUAL",AE243*(1+Macroindicadores!B$7),IF(AND($I243="NOVO",MONTH($O243)=MONTH(AS$4)),AE243*(1+Macroindicadores!B$7),IF(AND($J243="PONTUAL",MONTH($O243)=MONTH(AS$4)),AE243*(1+Macroindicadores!B$7),IF(AND($J243="PONTUAL",MONTH($O243)&lt;MONTH(AS$4)),MIN(AR243:$AS243),IF(AND($I243="NOVO",MONTH($O243)&gt;MONTH(AS$4)),AE243,IF(MONTH($O243)&gt;MONTH(AS$4),AE243,IF(MONTH($O243)=MONTH(AS$4),AE243*(1+Macroindicadores!B$7),AR243)))))))))</f>
        <v>5</v>
      </c>
      <c r="AT243" s="39">
        <f>IF(ISBLANK(R243),"",IF(ISBLANK($O243),AF243,IF($J243="ANUAL",AF243*(1+Macroindicadores!C$7),IF(AND($I243="NOVO",MONTH($O243)=MONTH(AT$4)),AF243*(1+Macroindicadores!C$7),IF(AND($J243="PONTUAL",MONTH($O243)=MONTH(AT$4)),AF243*(1+Macroindicadores!C$7),IF(AND($J243="PONTUAL",MONTH($O243)&lt;MONTH(AT$4)),MIN($AS243:AS243),IF(AND($I243="NOVO",MONTH($O243)&gt;MONTH(AT$4)),AF243,IF(MONTH($O243)&gt;MONTH(AT$4),AF243,IF(MONTH($O243)=MONTH(AT$4),AF243*(1+Macroindicadores!C$7),AS243)))))))))</f>
        <v>5</v>
      </c>
      <c r="AU243" s="39">
        <f>IF(ISBLANK(S243),"",IF(ISBLANK($O243),AG243,IF($J243="ANUAL",AG243*(1+Macroindicadores!D$7),IF(AND($I243="NOVO",MONTH($O243)=MONTH(AU$4)),AG243*(1+Macroindicadores!D$7),IF(AND($J243="PONTUAL",MONTH($O243)=MONTH(AU$4)),AG243*(1+Macroindicadores!D$7),IF(AND($J243="PONTUAL",MONTH($O243)&lt;MONTH(AU$4)),MIN($AS243:AT243),IF(AND($I243="NOVO",MONTH($O243)&gt;MONTH(AU$4)),AG243,IF(MONTH($O243)&gt;MONTH(AU$4),AG243,IF(MONTH($O243)=MONTH(AU$4),AG243*(1+Macroindicadores!D$7),AT243)))))))))</f>
        <v>5</v>
      </c>
      <c r="AV243" s="39">
        <f>IF(ISBLANK(T243),"",IF(ISBLANK($O243),AH243,IF($J243="ANUAL",AH243*(1+Macroindicadores!E$7),IF(AND($I243="NOVO",MONTH($O243)=MONTH(AV$4)),AH243*(1+Macroindicadores!E$7),IF(AND($J243="PONTUAL",MONTH($O243)=MONTH(AV$4)),AH243*(1+Macroindicadores!E$7),IF(AND($J243="PONTUAL",MONTH($O243)&lt;MONTH(AV$4)),MIN($AS243:AU243),IF(AND($I243="NOVO",MONTH($O243)&gt;MONTH(AV$4)),AH243,IF(MONTH($O243)&gt;MONTH(AV$4),AH243,IF(MONTH($O243)=MONTH(AV$4),AH243*(1+Macroindicadores!E$7),AU243)))))))))</f>
        <v>5</v>
      </c>
      <c r="AW243" s="39">
        <f>IF(ISBLANK(U243),"",IF(ISBLANK($O243),AI243,IF($J243="ANUAL",AI243*(1+Macroindicadores!F$7),IF(AND($I243="NOVO",MONTH($O243)=MONTH(AW$4)),AI243*(1+Macroindicadores!F$7),IF(AND($J243="PONTUAL",MONTH($O243)=MONTH(AW$4)),AI243*(1+Macroindicadores!F$7),IF(AND($J243="PONTUAL",MONTH($O243)&lt;MONTH(AW$4)),MIN($AS243:AV243),IF(AND($I243="NOVO",MONTH($O243)&gt;MONTH(AW$4)),AI243,IF(MONTH($O243)&gt;MONTH(AW$4),AI243,IF(MONTH($O243)=MONTH(AW$4),AI243*(1+Macroindicadores!F$7),AV243)))))))))</f>
        <v>5</v>
      </c>
      <c r="AX243" s="39">
        <f>IF(ISBLANK(V243),"",IF(ISBLANK($O243),AJ243,IF($J243="ANUAL",AJ243*(1+Macroindicadores!G$7),IF(AND($I243="NOVO",MONTH($O243)=MONTH(AX$4)),AJ243*(1+Macroindicadores!G$7),IF(AND($J243="PONTUAL",MONTH($O243)=MONTH(AX$4)),AJ243*(1+Macroindicadores!G$7),IF(AND($J243="PONTUAL",MONTH($O243)&lt;MONTH(AX$4)),MIN($AS243:AW243),IF(AND($I243="NOVO",MONTH($O243)&gt;MONTH(AX$4)),AJ243,IF(MONTH($O243)&gt;MONTH(AX$4),AJ243,IF(MONTH($O243)=MONTH(AX$4),AJ243*(1+Macroindicadores!G$7),AW243)))))))))</f>
        <v>5</v>
      </c>
      <c r="AY243" s="39">
        <f>IF(ISBLANK(W243),"",IF(ISBLANK($O243),AK243,IF($J243="ANUAL",AK243*(1+Macroindicadores!H$7),IF(AND($I243="NOVO",MONTH($O243)=MONTH(AY$4)),AK243*(1+Macroindicadores!H$7),IF(AND($J243="PONTUAL",MONTH($O243)=MONTH(AY$4)),AK243*(1+Macroindicadores!H$7),IF(AND($J243="PONTUAL",MONTH($O243)&lt;MONTH(AY$4)),MIN($AS243:AX243),IF(AND($I243="NOVO",MONTH($O243)&gt;MONTH(AY$4)),AK243,IF(MONTH($O243)&gt;MONTH(AY$4),AK243,IF(MONTH($O243)=MONTH(AY$4),AK243*(1+Macroindicadores!H$7),AX243)))))))))</f>
        <v>5</v>
      </c>
      <c r="AZ243" s="39">
        <f>IF(ISBLANK(X243),"",IF(ISBLANK($O243),AL243,IF($J243="ANUAL",AL243*(1+Macroindicadores!I$7),IF(AND($I243="NOVO",MONTH($O243)=MONTH(AZ$4)),AL243*(1+Macroindicadores!I$7),IF(AND($J243="PONTUAL",MONTH($O243)=MONTH(AZ$4)),AL243*(1+Macroindicadores!I$7),IF(AND($J243="PONTUAL",MONTH($O243)&lt;MONTH(AZ$4)),MIN($AS243:AY243),IF(AND($I243="NOVO",MONTH($O243)&gt;MONTH(AZ$4)),AL243,IF(MONTH($O243)&gt;MONTH(AZ$4),AL243,IF(MONTH($O243)=MONTH(AZ$4),AL243*(1+Macroindicadores!I$7),AY243)))))))))</f>
        <v>5</v>
      </c>
      <c r="BA243" s="39">
        <f>IF(ISBLANK(Y243),"",IF(ISBLANK($O243),AM243,IF($J243="ANUAL",AM243*(1+Macroindicadores!J$7),IF(AND($I243="NOVO",MONTH($O243)=MONTH(BA$4)),AM243*(1+Macroindicadores!J$7),IF(AND($J243="PONTUAL",MONTH($O243)=MONTH(BA$4)),AM243*(1+Macroindicadores!J$7),IF(AND($J243="PONTUAL",MONTH($O243)&lt;MONTH(BA$4)),MIN($AS243:AZ243),IF(AND($I243="NOVO",MONTH($O243)&gt;MONTH(BA$4)),AM243,IF(MONTH($O243)&gt;MONTH(BA$4),AM243,IF(MONTH($O243)=MONTH(BA$4),AM243*(1+Macroindicadores!J$7),AZ243)))))))))</f>
        <v>5</v>
      </c>
      <c r="BB243" s="39">
        <f>IF(ISBLANK(Z243),"",IF(ISBLANK($O243),AN243,IF($J243="ANUAL",AN243*(1+Macroindicadores!K$7),IF(AND($I243="NOVO",MONTH($O243)=MONTH(BB$4)),AN243*(1+Macroindicadores!K$7),IF(AND($J243="PONTUAL",MONTH($O243)=MONTH(BB$4)),AN243*(1+Macroindicadores!K$7),IF(AND($J243="PONTUAL",MONTH($O243)&lt;MONTH(BB$4)),MIN($AS243:BA243),IF(AND($I243="NOVO",MONTH($O243)&gt;MONTH(BB$4)),AN243,IF(MONTH($O243)&gt;MONTH(BB$4),AN243,IF(MONTH($O243)=MONTH(BB$4),AN243*(1+Macroindicadores!K$7),BA243)))))))))</f>
        <v>5</v>
      </c>
      <c r="BC243" s="39">
        <f>IF(ISBLANK(AA243),"",IF(ISBLANK($O243),AO243,IF($J243="ANUAL",AO243*(1+Macroindicadores!L$7),IF(AND($I243="NOVO",MONTH($O243)=MONTH(BC$4)),AO243*(1+Macroindicadores!L$7),IF(AND($J243="PONTUAL",MONTH($O243)=MONTH(BC$4)),AO243*(1+Macroindicadores!L$7),IF(AND($J243="PONTUAL",MONTH($O243)&lt;MONTH(BC$4)),MIN($AS243:BB243),IF(AND($I243="NOVO",MONTH($O243)&gt;MONTH(BC$4)),AO243,IF(MONTH($O243)&gt;MONTH(BC$4),AO243,IF(MONTH($O243)=MONTH(BC$4),AO243*(1+Macroindicadores!L$7),BB243)))))))))</f>
        <v>5</v>
      </c>
      <c r="BD243" s="39">
        <f>IF(ISBLANK(AB243),"",IF(ISBLANK($O243),AP243,IF($J243="ANUAL",AP243*(1+Macroindicadores!M$7),IF(AND($I243="NOVO",MONTH($O243)=MONTH(BD$4)),AP243*(1+Macroindicadores!M$7),IF(AND($J243="PONTUAL",MONTH($O243)=MONTH(BD$4)),AP243*(1+Macroindicadores!M$7),IF(AND($J243="PONTUAL",MONTH($O243)&lt;MONTH(BD$4)),MIN($AS243:BC243),IF(AND($I243="NOVO",MONTH($O243)&gt;MONTH(BD$4)),AP243,IF(MONTH($O243)&gt;MONTH(BD$4),AP243,IF(MONTH($O243)=MONTH(BD$4),AP243*(1+Macroindicadores!M$7),BC243)))))))))</f>
        <v>5</v>
      </c>
      <c r="BE243" s="40">
        <f t="shared" si="106"/>
        <v>60</v>
      </c>
      <c r="BG243" s="39">
        <f>IF(ISBLANK(Q243),"",AS243/Macroindicadores!B$2)</f>
        <v>0.85034013605442182</v>
      </c>
      <c r="BH243" s="39">
        <f>IF(ISBLANK(R243),"",AT243/Macroindicadores!C$2)</f>
        <v>0.85034013605442182</v>
      </c>
      <c r="BI243" s="39">
        <f>IF(ISBLANK(S243),"",AU243/Macroindicadores!D$2)</f>
        <v>0.85034013605442182</v>
      </c>
      <c r="BJ243" s="39">
        <f>IF(ISBLANK(T243),"",AV243/Macroindicadores!E$2)</f>
        <v>0.85034013605442182</v>
      </c>
      <c r="BK243" s="39">
        <f>IF(ISBLANK(U243),"",AW243/Macroindicadores!F$2)</f>
        <v>0.85034013605442182</v>
      </c>
      <c r="BL243" s="39">
        <f>IF(ISBLANK(V243),"",AX243/Macroindicadores!G$2)</f>
        <v>0.85034013605442182</v>
      </c>
      <c r="BM243" s="39">
        <f>IF(ISBLANK(W243),"",AY243/Macroindicadores!H$2)</f>
        <v>0.85034013605442182</v>
      </c>
      <c r="BN243" s="39">
        <f>IF(ISBLANK(X243),"",AZ243/Macroindicadores!I$2)</f>
        <v>0.85034013605442182</v>
      </c>
      <c r="BO243" s="39">
        <f>IF(ISBLANK(Y243),"",BA243/Macroindicadores!J$2)</f>
        <v>0.85034013605442182</v>
      </c>
      <c r="BP243" s="39">
        <f>IF(ISBLANK(Z243),"",BB243/Macroindicadores!K$2)</f>
        <v>0.85034013605442182</v>
      </c>
      <c r="BQ243" s="39">
        <f>IF(ISBLANK(AA243),"",BC243/Macroindicadores!L$2)</f>
        <v>0.85034013605442182</v>
      </c>
      <c r="BR243" s="39">
        <f>IF(ISBLANK(AB243),"",BD243/Macroindicadores!M$2)</f>
        <v>0.85034013605442182</v>
      </c>
      <c r="BS243" s="40">
        <f t="shared" si="107"/>
        <v>10.204081632653063</v>
      </c>
      <c r="BT243" s="25" t="str">
        <f>IF(ISBLANK($L243),"",_xlfn.XLOOKUP($L243,'CENTRO CUSTO'!$A:$A,'CENTRO CUSTO'!$E:$E,FALSE,0))</f>
        <v>G&amp;A BU</v>
      </c>
    </row>
    <row r="244" spans="1:72">
      <c r="A244" s="9" t="str">
        <f t="shared" si="80"/>
        <v>Budget</v>
      </c>
      <c r="B244" s="9">
        <f t="shared" si="77"/>
        <v>2026</v>
      </c>
      <c r="C244" s="18" t="str">
        <f>IF(ISBLANK($L244),"",_xlfn.XLOOKUP($L244,'CENTRO CUSTO'!$A:$A,'CENTRO CUSTO'!F:F,FALSE,0))</f>
        <v>Cone Sul</v>
      </c>
      <c r="D244" s="111" t="str">
        <f>IF(ISBLANK($L244),"",_xlfn.XLOOKUP($L244,'CENTRO CUSTO'!$A:$A,'CENTRO CUSTO'!G:G,FALSE,0))</f>
        <v>Plataforma</v>
      </c>
      <c r="E244" s="18" t="str">
        <f>IF(ISBLANK($L244),"",_xlfn.XLOOKUP($L244,'CENTRO CUSTO'!$A:$A,'CENTRO CUSTO'!H:H,FALSE,0))</f>
        <v>G&amp;A</v>
      </c>
      <c r="F244" s="10" t="s">
        <v>240</v>
      </c>
      <c r="G244" s="10" t="s">
        <v>224</v>
      </c>
      <c r="H244" s="10" t="s">
        <v>241</v>
      </c>
      <c r="I244" s="11" t="s">
        <v>77</v>
      </c>
      <c r="J244" s="11" t="s">
        <v>120</v>
      </c>
      <c r="K244" s="11" t="s">
        <v>79</v>
      </c>
      <c r="L244" s="11" t="s">
        <v>54</v>
      </c>
      <c r="M244" s="18" t="str">
        <f>IF(ISBLANK($L244),"",_xlfn.XLOOKUP($L244,'CENTRO CUSTO'!$A:$A,'CENTRO CUSTO'!D:D,FALSE,0))</f>
        <v>Alexandre Ayabe</v>
      </c>
      <c r="N244" s="11" t="s">
        <v>87</v>
      </c>
      <c r="O244" s="12">
        <v>46235</v>
      </c>
      <c r="P244" s="11" t="s">
        <v>81</v>
      </c>
      <c r="Q244" s="41">
        <f>15000/12</f>
        <v>1250</v>
      </c>
      <c r="R244" s="41">
        <f t="shared" ref="R244:AB244" si="108">15000/12</f>
        <v>1250</v>
      </c>
      <c r="S244" s="41">
        <f t="shared" si="108"/>
        <v>1250</v>
      </c>
      <c r="T244" s="41">
        <f t="shared" si="108"/>
        <v>1250</v>
      </c>
      <c r="U244" s="41">
        <f t="shared" si="108"/>
        <v>1250</v>
      </c>
      <c r="V244" s="41">
        <f t="shared" si="108"/>
        <v>1250</v>
      </c>
      <c r="W244" s="41">
        <f t="shared" si="108"/>
        <v>1250</v>
      </c>
      <c r="X244" s="41">
        <f t="shared" si="108"/>
        <v>1250</v>
      </c>
      <c r="Y244" s="41">
        <f t="shared" si="108"/>
        <v>1250</v>
      </c>
      <c r="Z244" s="41">
        <f t="shared" si="108"/>
        <v>1250</v>
      </c>
      <c r="AA244" s="41">
        <f t="shared" si="108"/>
        <v>1250</v>
      </c>
      <c r="AB244" s="41">
        <f t="shared" si="108"/>
        <v>1250</v>
      </c>
      <c r="AC244" s="116">
        <f t="shared" si="104"/>
        <v>15000</v>
      </c>
      <c r="AE244" s="39">
        <f>IF(ISBLANK(Q244),"",IF($P244="BRL",Q244,Q244*Macroindicadores!B$2)/1000)</f>
        <v>1.25</v>
      </c>
      <c r="AF244" s="39">
        <f>IF(ISBLANK(R244),"",IF($P244="BRL",R244,R244*Macroindicadores!C$2)/1000)</f>
        <v>1.25</v>
      </c>
      <c r="AG244" s="39">
        <f>IF(ISBLANK(S244),"",IF($P244="BRL",S244,S244*Macroindicadores!D$2)/1000)</f>
        <v>1.25</v>
      </c>
      <c r="AH244" s="39">
        <f>IF(ISBLANK(T244),"",IF($P244="BRL",T244,T244*Macroindicadores!E$2)/1000)</f>
        <v>1.25</v>
      </c>
      <c r="AI244" s="39">
        <f>IF(ISBLANK(U244),"",IF($P244="BRL",U244,U244*Macroindicadores!F$2)/1000)</f>
        <v>1.25</v>
      </c>
      <c r="AJ244" s="39">
        <f>IF(ISBLANK(V244),"",IF($P244="BRL",V244,V244*Macroindicadores!G$2)/1000)</f>
        <v>1.25</v>
      </c>
      <c r="AK244" s="39">
        <f>IF(ISBLANK(W244),"",IF($P244="BRL",W244,W244*Macroindicadores!H$2)/1000)</f>
        <v>1.25</v>
      </c>
      <c r="AL244" s="39">
        <f>IF(ISBLANK(X244),"",IF($P244="BRL",X244,X244*Macroindicadores!I$2)/1000)</f>
        <v>1.25</v>
      </c>
      <c r="AM244" s="39">
        <f>IF(ISBLANK(Y244),"",IF($P244="BRL",Y244,Y244*Macroindicadores!J$2)/1000)</f>
        <v>1.25</v>
      </c>
      <c r="AN244" s="39">
        <f>IF(ISBLANK(Z244),"",IF($P244="BRL",Z244,Z244*Macroindicadores!K$2)/1000)</f>
        <v>1.25</v>
      </c>
      <c r="AO244" s="39">
        <f>IF(ISBLANK(AA244),"",IF($P244="BRL",AA244,AA244*Macroindicadores!L$2)/1000)</f>
        <v>1.25</v>
      </c>
      <c r="AP244" s="39">
        <f>IF(ISBLANK(AB244),"",IF($P244="BRL",AB244,AB244*Macroindicadores!M$2)/1000)</f>
        <v>1.25</v>
      </c>
      <c r="AQ244" s="40">
        <f t="shared" si="105"/>
        <v>15</v>
      </c>
      <c r="AS244" s="39">
        <f>IF(ISBLANK(Q244),"",IF(ISBLANK($O244),AE244,IF($J244="ANUAL",AE244*(1+Macroindicadores!B$7),IF(AND($I244="NOVO",MONTH($O244)=MONTH(AS$4)),AE244*(1+Macroindicadores!B$7),IF(AND($J244="PONTUAL",MONTH($O244)=MONTH(AS$4)),AE244*(1+Macroindicadores!B$7),IF(AND($J244="PONTUAL",MONTH($O244)&lt;MONTH(AS$4)),MIN(AR244:$AS244),IF(AND($I244="NOVO",MONTH($O244)&gt;MONTH(AS$4)),AE244,IF(MONTH($O244)&gt;MONTH(AS$4),AE244,IF(MONTH($O244)=MONTH(AS$4),AE244*(1+Macroindicadores!B$7),AR244)))))))))</f>
        <v>1.3183438491409991</v>
      </c>
      <c r="AT244" s="39">
        <f>IF(ISBLANK(R244),"",IF(ISBLANK($O244),AF244,IF($J244="ANUAL",AF244*(1+Macroindicadores!C$7),IF(AND($I244="NOVO",MONTH($O244)=MONTH(AT$4)),AF244*(1+Macroindicadores!C$7),IF(AND($J244="PONTUAL",MONTH($O244)=MONTH(AT$4)),AF244*(1+Macroindicadores!C$7),IF(AND($J244="PONTUAL",MONTH($O244)&lt;MONTH(AT$4)),MIN($AS244:AS244),IF(AND($I244="NOVO",MONTH($O244)&gt;MONTH(AT$4)),AF244,IF(MONTH($O244)&gt;MONTH(AT$4),AF244,IF(MONTH($O244)=MONTH(AT$4),AF244*(1+Macroindicadores!C$7),AS244)))))))))</f>
        <v>1.3054523095035018</v>
      </c>
      <c r="AU244" s="39">
        <f>IF(ISBLANK(S244),"",IF(ISBLANK($O244),AG244,IF($J244="ANUAL",AG244*(1+Macroindicadores!D$7),IF(AND($I244="NOVO",MONTH($O244)=MONTH(AU$4)),AG244*(1+Macroindicadores!D$7),IF(AND($J244="PONTUAL",MONTH($O244)=MONTH(AU$4)),AG244*(1+Macroindicadores!D$7),IF(AND($J244="PONTUAL",MONTH($O244)&lt;MONTH(AU$4)),MIN($AS244:AT244),IF(AND($I244="NOVO",MONTH($O244)&gt;MONTH(AU$4)),AG244,IF(MONTH($O244)&gt;MONTH(AU$4),AG244,IF(MONTH($O244)=MONTH(AU$4),AG244*(1+Macroindicadores!D$7),AT244)))))))))</f>
        <v>1.3023279916358099</v>
      </c>
      <c r="AV244" s="39">
        <f>IF(ISBLANK(T244),"",IF(ISBLANK($O244),AH244,IF($J244="ANUAL",AH244*(1+Macroindicadores!E$7),IF(AND($I244="NOVO",MONTH($O244)=MONTH(AV$4)),AH244*(1+Macroindicadores!E$7),IF(AND($J244="PONTUAL",MONTH($O244)=MONTH(AV$4)),AH244*(1+Macroindicadores!E$7),IF(AND($J244="PONTUAL",MONTH($O244)&lt;MONTH(AV$4)),MIN($AS244:AU244),IF(AND($I244="NOVO",MONTH($O244)&gt;MONTH(AV$4)),AH244,IF(MONTH($O244)&gt;MONTH(AV$4),AH244,IF(MONTH($O244)=MONTH(AV$4),AH244*(1+Macroindicadores!E$7),AU244)))))))))</f>
        <v>1.300892894149051</v>
      </c>
      <c r="AW244" s="39">
        <f>IF(ISBLANK(U244),"",IF(ISBLANK($O244),AI244,IF($J244="ANUAL",AI244*(1+Macroindicadores!F$7),IF(AND($I244="NOVO",MONTH($O244)=MONTH(AW$4)),AI244*(1+Macroindicadores!F$7),IF(AND($J244="PONTUAL",MONTH($O244)=MONTH(AW$4)),AI244*(1+Macroindicadores!F$7),IF(AND($J244="PONTUAL",MONTH($O244)&lt;MONTH(AW$4)),MIN($AS244:AV244),IF(AND($I244="NOVO",MONTH($O244)&gt;MONTH(AW$4)),AI244,IF(MONTH($O244)&gt;MONTH(AW$4),AI244,IF(MONTH($O244)=MONTH(AW$4),AI244*(1+Macroindicadores!F$7),AV244)))))))))</f>
        <v>1.3016627302917547</v>
      </c>
      <c r="AX244" s="39">
        <f>IF(ISBLANK(V244),"",IF(ISBLANK($O244),AJ244,IF($J244="ANUAL",AJ244*(1+Macroindicadores!G$7),IF(AND($I244="NOVO",MONTH($O244)=MONTH(AX$4)),AJ244*(1+Macroindicadores!G$7),IF(AND($J244="PONTUAL",MONTH($O244)=MONTH(AX$4)),AJ244*(1+Macroindicadores!G$7),IF(AND($J244="PONTUAL",MONTH($O244)&lt;MONTH(AX$4)),MIN($AS244:AW244),IF(AND($I244="NOVO",MONTH($O244)&gt;MONTH(AX$4)),AJ244,IF(MONTH($O244)&gt;MONTH(AX$4),AJ244,IF(MONTH($O244)=MONTH(AX$4),AJ244*(1+Macroindicadores!G$7),AW244)))))))))</f>
        <v>1.3026928849377504</v>
      </c>
      <c r="AY244" s="39">
        <f>IF(ISBLANK(W244),"",IF(ISBLANK($O244),AK244,IF($J244="ANUAL",AK244*(1+Macroindicadores!H$7),IF(AND($I244="NOVO",MONTH($O244)=MONTH(AY$4)),AK244*(1+Macroindicadores!H$7),IF(AND($J244="PONTUAL",MONTH($O244)=MONTH(AY$4)),AK244*(1+Macroindicadores!H$7),IF(AND($J244="PONTUAL",MONTH($O244)&lt;MONTH(AY$4)),MIN($AS244:AX244),IF(AND($I244="NOVO",MONTH($O244)&gt;MONTH(AY$4)),AK244,IF(MONTH($O244)&gt;MONTH(AY$4),AK244,IF(MONTH($O244)=MONTH(AY$4),AK244*(1+Macroindicadores!H$7),AX244)))))))))</f>
        <v>1.302034907161671</v>
      </c>
      <c r="AZ244" s="39">
        <f>IF(ISBLANK(X244),"",IF(ISBLANK($O244),AL244,IF($J244="ANUAL",AL244*(1+Macroindicadores!I$7),IF(AND($I244="NOVO",MONTH($O244)=MONTH(AZ$4)),AL244*(1+Macroindicadores!I$7),IF(AND($J244="PONTUAL",MONTH($O244)=MONTH(AZ$4)),AL244*(1+Macroindicadores!I$7),IF(AND($J244="PONTUAL",MONTH($O244)&lt;MONTH(AZ$4)),MIN($AS244:AY244),IF(AND($I244="NOVO",MONTH($O244)&gt;MONTH(AZ$4)),AL244,IF(MONTH($O244)&gt;MONTH(AZ$4),AL244,IF(MONTH($O244)=MONTH(AZ$4),AL244*(1+Macroindicadores!I$7),AY244)))))))))</f>
        <v>1.3013772617239037</v>
      </c>
      <c r="BA244" s="39">
        <f>IF(ISBLANK(Y244),"",IF(ISBLANK($O244),AM244,IF($J244="ANUAL",AM244*(1+Macroindicadores!J$7),IF(AND($I244="NOVO",MONTH($O244)=MONTH(BA$4)),AM244*(1+Macroindicadores!J$7),IF(AND($J244="PONTUAL",MONTH($O244)=MONTH(BA$4)),AM244*(1+Macroindicadores!J$7),IF(AND($J244="PONTUAL",MONTH($O244)&lt;MONTH(BA$4)),MIN($AS244:AZ244),IF(AND($I244="NOVO",MONTH($O244)&gt;MONTH(BA$4)),AM244,IF(MONTH($O244)&gt;MONTH(BA$4),AM244,IF(MONTH($O244)=MONTH(BA$4),AM244*(1+Macroindicadores!J$7),AZ244)))))))))</f>
        <v>1.3007199484565866</v>
      </c>
      <c r="BB244" s="39">
        <f>IF(ISBLANK(Z244),"",IF(ISBLANK($O244),AN244,IF($J244="ANUAL",AN244*(1+Macroindicadores!K$7),IF(AND($I244="NOVO",MONTH($O244)=MONTH(BB$4)),AN244*(1+Macroindicadores!K$7),IF(AND($J244="PONTUAL",MONTH($O244)=MONTH(BB$4)),AN244*(1+Macroindicadores!K$7),IF(AND($J244="PONTUAL",MONTH($O244)&lt;MONTH(BB$4)),MIN($AS244:BA244),IF(AND($I244="NOVO",MONTH($O244)&gt;MONTH(BB$4)),AN244,IF(MONTH($O244)&gt;MONTH(BB$4),AN244,IF(MONTH($O244)=MONTH(BB$4),AN244*(1+Macroindicadores!K$7),BA244)))))))))</f>
        <v>1.3000629671919437</v>
      </c>
      <c r="BC244" s="39">
        <f>IF(ISBLANK(AA244),"",IF(ISBLANK($O244),AO244,IF($J244="ANUAL",AO244*(1+Macroindicadores!L$7),IF(AND($I244="NOVO",MONTH($O244)=MONTH(BC$4)),AO244*(1+Macroindicadores!L$7),IF(AND($J244="PONTUAL",MONTH($O244)=MONTH(BC$4)),AO244*(1+Macroindicadores!L$7),IF(AND($J244="PONTUAL",MONTH($O244)&lt;MONTH(BC$4)),MIN($AS244:BB244),IF(AND($I244="NOVO",MONTH($O244)&gt;MONTH(BC$4)),AO244,IF(MONTH($O244)&gt;MONTH(BC$4),AO244,IF(MONTH($O244)=MONTH(BC$4),AO244*(1+Macroindicadores!L$7),BB244)))))))))</f>
        <v>1.2994063177622837</v>
      </c>
      <c r="BD244" s="39">
        <f>IF(ISBLANK(AB244),"",IF(ISBLANK($O244),AP244,IF($J244="ANUAL",AP244*(1+Macroindicadores!M$7),IF(AND($I244="NOVO",MONTH($O244)=MONTH(BD$4)),AP244*(1+Macroindicadores!M$7),IF(AND($J244="PONTUAL",MONTH($O244)=MONTH(BD$4)),AP244*(1+Macroindicadores!M$7),IF(AND($J244="PONTUAL",MONTH($O244)&lt;MONTH(BD$4)),MIN($AS244:BC244),IF(AND($I244="NOVO",MONTH($O244)&gt;MONTH(BD$4)),AP244,IF(MONTH($O244)&gt;MONTH(BD$4),AP244,IF(MONTH($O244)=MONTH(BD$4),AP244*(1+Macroindicadores!M$7),BC244)))))))))</f>
        <v>1.2987500000000014</v>
      </c>
      <c r="BE244" s="40">
        <f t="shared" si="106"/>
        <v>15.633724061955256</v>
      </c>
      <c r="BG244" s="39">
        <f>IF(ISBLANK(Q244),"",AS244/Macroindicadores!B$2)</f>
        <v>0.22420813760901345</v>
      </c>
      <c r="BH244" s="39">
        <f>IF(ISBLANK(R244),"",AT244/Macroindicadores!C$2)</f>
        <v>0.22201569889515338</v>
      </c>
      <c r="BI244" s="39">
        <f>IF(ISBLANK(S244),"",AU244/Macroindicadores!D$2)</f>
        <v>0.22148435231901531</v>
      </c>
      <c r="BJ244" s="39">
        <f>IF(ISBLANK(T244),"",AV244/Macroindicadores!E$2)</f>
        <v>0.22124028812058691</v>
      </c>
      <c r="BK244" s="39">
        <f>IF(ISBLANK(U244),"",AW244/Macroindicadores!F$2)</f>
        <v>0.22137121263465218</v>
      </c>
      <c r="BL244" s="39">
        <f>IF(ISBLANK(V244),"",AX244/Macroindicadores!G$2)</f>
        <v>0.22154640900301878</v>
      </c>
      <c r="BM244" s="39">
        <f>IF(ISBLANK(W244),"",AY244/Macroindicadores!H$2)</f>
        <v>0.22143450802069237</v>
      </c>
      <c r="BN244" s="39">
        <f>IF(ISBLANK(X244),"",AZ244/Macroindicadores!I$2)</f>
        <v>0.22132266355848701</v>
      </c>
      <c r="BO244" s="39">
        <f>IF(ISBLANK(Y244),"",BA244/Macroindicadores!J$2)</f>
        <v>0.22121087558785485</v>
      </c>
      <c r="BP244" s="39">
        <f>IF(ISBLANK(Z244),"",BB244/Macroindicadores!K$2)</f>
        <v>0.22109914408026254</v>
      </c>
      <c r="BQ244" s="39">
        <f>IF(ISBLANK(AA244),"",BC244/Macroindicadores!L$2)</f>
        <v>0.2209874690071911</v>
      </c>
      <c r="BR244" s="39">
        <f>IF(ISBLANK(AB244),"",BD244/Macroindicadores!M$2)</f>
        <v>0.22087585034013629</v>
      </c>
      <c r="BS244" s="40">
        <f t="shared" si="107"/>
        <v>2.6587966091760644</v>
      </c>
      <c r="BT244" s="25" t="str">
        <f>IF(ISBLANK($L244),"",_xlfn.XLOOKUP($L244,'CENTRO CUSTO'!$A:$A,'CENTRO CUSTO'!$E:$E,FALSE,0))</f>
        <v>G&amp;A PL</v>
      </c>
    </row>
    <row r="245" spans="1:72">
      <c r="A245" s="9" t="str">
        <f t="shared" si="80"/>
        <v>Budget</v>
      </c>
      <c r="B245" s="9">
        <f t="shared" si="77"/>
        <v>2026</v>
      </c>
      <c r="C245" s="18" t="str">
        <f>IF(ISBLANK($L245),"",_xlfn.XLOOKUP($L245,'CENTRO CUSTO'!$A:$A,'CENTRO CUSTO'!F:F,FALSE,0))</f>
        <v>Martini Meat</v>
      </c>
      <c r="D245" s="111" t="str">
        <f>IF(ISBLANK($L245),"",_xlfn.XLOOKUP($L245,'CENTRO CUSTO'!$A:$A,'CENTRO CUSTO'!G:G,FALSE,0))</f>
        <v>Itajaí</v>
      </c>
      <c r="E245" s="18" t="str">
        <f>IF(ISBLANK($L245),"",_xlfn.XLOOKUP($L245,'CENTRO CUSTO'!$A:$A,'CENTRO CUSTO'!H:H,FALSE,0))</f>
        <v>RATEIO Unidade</v>
      </c>
      <c r="F245" s="10" t="s">
        <v>242</v>
      </c>
      <c r="G245" s="10" t="s">
        <v>224</v>
      </c>
      <c r="H245" s="10" t="s">
        <v>231</v>
      </c>
      <c r="I245" s="11" t="s">
        <v>77</v>
      </c>
      <c r="J245" s="11" t="s">
        <v>78</v>
      </c>
      <c r="K245" s="11" t="s">
        <v>79</v>
      </c>
      <c r="L245" s="11" t="s">
        <v>29</v>
      </c>
      <c r="M245" s="18" t="str">
        <f>IF(ISBLANK($L245),"",_xlfn.XLOOKUP($L245,'CENTRO CUSTO'!$A:$A,'CENTRO CUSTO'!D:D,FALSE,0))</f>
        <v>Alexandre Ayabe</v>
      </c>
      <c r="N245" s="11" t="s">
        <v>132</v>
      </c>
      <c r="O245" s="12"/>
      <c r="P245" s="11" t="s">
        <v>81</v>
      </c>
      <c r="Q245" s="41">
        <v>3900</v>
      </c>
      <c r="R245" s="41">
        <v>3900</v>
      </c>
      <c r="S245" s="41">
        <v>3900</v>
      </c>
      <c r="T245" s="41">
        <v>3900</v>
      </c>
      <c r="U245" s="41">
        <v>3900</v>
      </c>
      <c r="V245" s="41">
        <v>3900</v>
      </c>
      <c r="W245" s="41">
        <v>3900</v>
      </c>
      <c r="X245" s="41">
        <v>3900</v>
      </c>
      <c r="Y245" s="41">
        <v>3900</v>
      </c>
      <c r="Z245" s="41">
        <v>3900</v>
      </c>
      <c r="AA245" s="41">
        <v>3900</v>
      </c>
      <c r="AB245" s="41">
        <v>3900</v>
      </c>
      <c r="AC245" s="116">
        <f t="shared" si="104"/>
        <v>46800</v>
      </c>
      <c r="AE245" s="39">
        <f>IF(ISBLANK(Q245),"",IF($P245="BRL",Q245,Q245*Macroindicadores!B$2)/1000)</f>
        <v>3.9</v>
      </c>
      <c r="AF245" s="39">
        <f>IF(ISBLANK(R245),"",IF($P245="BRL",R245,R245*Macroindicadores!C$2)/1000)</f>
        <v>3.9</v>
      </c>
      <c r="AG245" s="39">
        <f>IF(ISBLANK(S245),"",IF($P245="BRL",S245,S245*Macroindicadores!D$2)/1000)</f>
        <v>3.9</v>
      </c>
      <c r="AH245" s="39">
        <f>IF(ISBLANK(T245),"",IF($P245="BRL",T245,T245*Macroindicadores!E$2)/1000)</f>
        <v>3.9</v>
      </c>
      <c r="AI245" s="39">
        <f>IF(ISBLANK(U245),"",IF($P245="BRL",U245,U245*Macroindicadores!F$2)/1000)</f>
        <v>3.9</v>
      </c>
      <c r="AJ245" s="39">
        <f>IF(ISBLANK(V245),"",IF($P245="BRL",V245,V245*Macroindicadores!G$2)/1000)</f>
        <v>3.9</v>
      </c>
      <c r="AK245" s="39">
        <f>IF(ISBLANK(W245),"",IF($P245="BRL",W245,W245*Macroindicadores!H$2)/1000)</f>
        <v>3.9</v>
      </c>
      <c r="AL245" s="39">
        <f>IF(ISBLANK(X245),"",IF($P245="BRL",X245,X245*Macroindicadores!I$2)/1000)</f>
        <v>3.9</v>
      </c>
      <c r="AM245" s="39">
        <f>IF(ISBLANK(Y245),"",IF($P245="BRL",Y245,Y245*Macroindicadores!J$2)/1000)</f>
        <v>3.9</v>
      </c>
      <c r="AN245" s="39">
        <f>IF(ISBLANK(Z245),"",IF($P245="BRL",Z245,Z245*Macroindicadores!K$2)/1000)</f>
        <v>3.9</v>
      </c>
      <c r="AO245" s="39">
        <f>IF(ISBLANK(AA245),"",IF($P245="BRL",AA245,AA245*Macroindicadores!L$2)/1000)</f>
        <v>3.9</v>
      </c>
      <c r="AP245" s="39">
        <f>IF(ISBLANK(AB245),"",IF($P245="BRL",AB245,AB245*Macroindicadores!M$2)/1000)</f>
        <v>3.9</v>
      </c>
      <c r="AQ245" s="40">
        <f t="shared" si="105"/>
        <v>46.79999999999999</v>
      </c>
      <c r="AS245" s="39">
        <f>IF(ISBLANK(Q245),"",IF(ISBLANK($O245),AE245,IF($J245="ANUAL",AE245*(1+Macroindicadores!B$7),IF(AND($I245="NOVO",MONTH($O245)=MONTH(AS$4)),AE245*(1+Macroindicadores!B$7),IF(AND($J245="PONTUAL",MONTH($O245)=MONTH(AS$4)),AE245*(1+Macroindicadores!B$7),IF(AND($J245="PONTUAL",MONTH($O245)&lt;MONTH(AS$4)),MIN(AR245:$AS245),IF(AND($I245="NOVO",MONTH($O245)&gt;MONTH(AS$4)),AE245,IF(MONTH($O245)&gt;MONTH(AS$4),AE245,IF(MONTH($O245)=MONTH(AS$4),AE245*(1+Macroindicadores!B$7),AR245)))))))))</f>
        <v>3.9</v>
      </c>
      <c r="AT245" s="39">
        <f>IF(ISBLANK(R245),"",IF(ISBLANK($O245),AF245,IF($J245="ANUAL",AF245*(1+Macroindicadores!C$7),IF(AND($I245="NOVO",MONTH($O245)=MONTH(AT$4)),AF245*(1+Macroindicadores!C$7),IF(AND($J245="PONTUAL",MONTH($O245)=MONTH(AT$4)),AF245*(1+Macroindicadores!C$7),IF(AND($J245="PONTUAL",MONTH($O245)&lt;MONTH(AT$4)),MIN($AS245:AS245),IF(AND($I245="NOVO",MONTH($O245)&gt;MONTH(AT$4)),AF245,IF(MONTH($O245)&gt;MONTH(AT$4),AF245,IF(MONTH($O245)=MONTH(AT$4),AF245*(1+Macroindicadores!C$7),AS245)))))))))</f>
        <v>3.9</v>
      </c>
      <c r="AU245" s="39">
        <f>IF(ISBLANK(S245),"",IF(ISBLANK($O245),AG245,IF($J245="ANUAL",AG245*(1+Macroindicadores!D$7),IF(AND($I245="NOVO",MONTH($O245)=MONTH(AU$4)),AG245*(1+Macroindicadores!D$7),IF(AND($J245="PONTUAL",MONTH($O245)=MONTH(AU$4)),AG245*(1+Macroindicadores!D$7),IF(AND($J245="PONTUAL",MONTH($O245)&lt;MONTH(AU$4)),MIN($AS245:AT245),IF(AND($I245="NOVO",MONTH($O245)&gt;MONTH(AU$4)),AG245,IF(MONTH($O245)&gt;MONTH(AU$4),AG245,IF(MONTH($O245)=MONTH(AU$4),AG245*(1+Macroindicadores!D$7),AT245)))))))))</f>
        <v>3.9</v>
      </c>
      <c r="AV245" s="39">
        <f>IF(ISBLANK(T245),"",IF(ISBLANK($O245),AH245,IF($J245="ANUAL",AH245*(1+Macroindicadores!E$7),IF(AND($I245="NOVO",MONTH($O245)=MONTH(AV$4)),AH245*(1+Macroindicadores!E$7),IF(AND($J245="PONTUAL",MONTH($O245)=MONTH(AV$4)),AH245*(1+Macroindicadores!E$7),IF(AND($J245="PONTUAL",MONTH($O245)&lt;MONTH(AV$4)),MIN($AS245:AU245),IF(AND($I245="NOVO",MONTH($O245)&gt;MONTH(AV$4)),AH245,IF(MONTH($O245)&gt;MONTH(AV$4),AH245,IF(MONTH($O245)=MONTH(AV$4),AH245*(1+Macroindicadores!E$7),AU245)))))))))</f>
        <v>3.9</v>
      </c>
      <c r="AW245" s="39">
        <f>IF(ISBLANK(U245),"",IF(ISBLANK($O245),AI245,IF($J245="ANUAL",AI245*(1+Macroindicadores!F$7),IF(AND($I245="NOVO",MONTH($O245)=MONTH(AW$4)),AI245*(1+Macroindicadores!F$7),IF(AND($J245="PONTUAL",MONTH($O245)=MONTH(AW$4)),AI245*(1+Macroindicadores!F$7),IF(AND($J245="PONTUAL",MONTH($O245)&lt;MONTH(AW$4)),MIN($AS245:AV245),IF(AND($I245="NOVO",MONTH($O245)&gt;MONTH(AW$4)),AI245,IF(MONTH($O245)&gt;MONTH(AW$4),AI245,IF(MONTH($O245)=MONTH(AW$4),AI245*(1+Macroindicadores!F$7),AV245)))))))))</f>
        <v>3.9</v>
      </c>
      <c r="AX245" s="39">
        <f>IF(ISBLANK(V245),"",IF(ISBLANK($O245),AJ245,IF($J245="ANUAL",AJ245*(1+Macroindicadores!G$7),IF(AND($I245="NOVO",MONTH($O245)=MONTH(AX$4)),AJ245*(1+Macroindicadores!G$7),IF(AND($J245="PONTUAL",MONTH($O245)=MONTH(AX$4)),AJ245*(1+Macroindicadores!G$7),IF(AND($J245="PONTUAL",MONTH($O245)&lt;MONTH(AX$4)),MIN($AS245:AW245),IF(AND($I245="NOVO",MONTH($O245)&gt;MONTH(AX$4)),AJ245,IF(MONTH($O245)&gt;MONTH(AX$4),AJ245,IF(MONTH($O245)=MONTH(AX$4),AJ245*(1+Macroindicadores!G$7),AW245)))))))))</f>
        <v>3.9</v>
      </c>
      <c r="AY245" s="39">
        <f>IF(ISBLANK(W245),"",IF(ISBLANK($O245),AK245,IF($J245="ANUAL",AK245*(1+Macroindicadores!H$7),IF(AND($I245="NOVO",MONTH($O245)=MONTH(AY$4)),AK245*(1+Macroindicadores!H$7),IF(AND($J245="PONTUAL",MONTH($O245)=MONTH(AY$4)),AK245*(1+Macroindicadores!H$7),IF(AND($J245="PONTUAL",MONTH($O245)&lt;MONTH(AY$4)),MIN($AS245:AX245),IF(AND($I245="NOVO",MONTH($O245)&gt;MONTH(AY$4)),AK245,IF(MONTH($O245)&gt;MONTH(AY$4),AK245,IF(MONTH($O245)=MONTH(AY$4),AK245*(1+Macroindicadores!H$7),AX245)))))))))</f>
        <v>3.9</v>
      </c>
      <c r="AZ245" s="39">
        <f>IF(ISBLANK(X245),"",IF(ISBLANK($O245),AL245,IF($J245="ANUAL",AL245*(1+Macroindicadores!I$7),IF(AND($I245="NOVO",MONTH($O245)=MONTH(AZ$4)),AL245*(1+Macroindicadores!I$7),IF(AND($J245="PONTUAL",MONTH($O245)=MONTH(AZ$4)),AL245*(1+Macroindicadores!I$7),IF(AND($J245="PONTUAL",MONTH($O245)&lt;MONTH(AZ$4)),MIN($AS245:AY245),IF(AND($I245="NOVO",MONTH($O245)&gt;MONTH(AZ$4)),AL245,IF(MONTH($O245)&gt;MONTH(AZ$4),AL245,IF(MONTH($O245)=MONTH(AZ$4),AL245*(1+Macroindicadores!I$7),AY245)))))))))</f>
        <v>3.9</v>
      </c>
      <c r="BA245" s="39">
        <f>IF(ISBLANK(Y245),"",IF(ISBLANK($O245),AM245,IF($J245="ANUAL",AM245*(1+Macroindicadores!J$7),IF(AND($I245="NOVO",MONTH($O245)=MONTH(BA$4)),AM245*(1+Macroindicadores!J$7),IF(AND($J245="PONTUAL",MONTH($O245)=MONTH(BA$4)),AM245*(1+Macroindicadores!J$7),IF(AND($J245="PONTUAL",MONTH($O245)&lt;MONTH(BA$4)),MIN($AS245:AZ245),IF(AND($I245="NOVO",MONTH($O245)&gt;MONTH(BA$4)),AM245,IF(MONTH($O245)&gt;MONTH(BA$4),AM245,IF(MONTH($O245)=MONTH(BA$4),AM245*(1+Macroindicadores!J$7),AZ245)))))))))</f>
        <v>3.9</v>
      </c>
      <c r="BB245" s="39">
        <f>IF(ISBLANK(Z245),"",IF(ISBLANK($O245),AN245,IF($J245="ANUAL",AN245*(1+Macroindicadores!K$7),IF(AND($I245="NOVO",MONTH($O245)=MONTH(BB$4)),AN245*(1+Macroindicadores!K$7),IF(AND($J245="PONTUAL",MONTH($O245)=MONTH(BB$4)),AN245*(1+Macroindicadores!K$7),IF(AND($J245="PONTUAL",MONTH($O245)&lt;MONTH(BB$4)),MIN($AS245:BA245),IF(AND($I245="NOVO",MONTH($O245)&gt;MONTH(BB$4)),AN245,IF(MONTH($O245)&gt;MONTH(BB$4),AN245,IF(MONTH($O245)=MONTH(BB$4),AN245*(1+Macroindicadores!K$7),BA245)))))))))</f>
        <v>3.9</v>
      </c>
      <c r="BC245" s="39">
        <f>IF(ISBLANK(AA245),"",IF(ISBLANK($O245),AO245,IF($J245="ANUAL",AO245*(1+Macroindicadores!L$7),IF(AND($I245="NOVO",MONTH($O245)=MONTH(BC$4)),AO245*(1+Macroindicadores!L$7),IF(AND($J245="PONTUAL",MONTH($O245)=MONTH(BC$4)),AO245*(1+Macroindicadores!L$7),IF(AND($J245="PONTUAL",MONTH($O245)&lt;MONTH(BC$4)),MIN($AS245:BB245),IF(AND($I245="NOVO",MONTH($O245)&gt;MONTH(BC$4)),AO245,IF(MONTH($O245)&gt;MONTH(BC$4),AO245,IF(MONTH($O245)=MONTH(BC$4),AO245*(1+Macroindicadores!L$7),BB245)))))))))</f>
        <v>3.9</v>
      </c>
      <c r="BD245" s="39">
        <f>IF(ISBLANK(AB245),"",IF(ISBLANK($O245),AP245,IF($J245="ANUAL",AP245*(1+Macroindicadores!M$7),IF(AND($I245="NOVO",MONTH($O245)=MONTH(BD$4)),AP245*(1+Macroindicadores!M$7),IF(AND($J245="PONTUAL",MONTH($O245)=MONTH(BD$4)),AP245*(1+Macroindicadores!M$7),IF(AND($J245="PONTUAL",MONTH($O245)&lt;MONTH(BD$4)),MIN($AS245:BC245),IF(AND($I245="NOVO",MONTH($O245)&gt;MONTH(BD$4)),AP245,IF(MONTH($O245)&gt;MONTH(BD$4),AP245,IF(MONTH($O245)=MONTH(BD$4),AP245*(1+Macroindicadores!M$7),BC245)))))))))</f>
        <v>3.9</v>
      </c>
      <c r="BE245" s="40">
        <f t="shared" si="106"/>
        <v>46.79999999999999</v>
      </c>
      <c r="BG245" s="39">
        <f>IF(ISBLANK(Q245),"",AS245/Macroindicadores!B$2)</f>
        <v>0.66326530612244894</v>
      </c>
      <c r="BH245" s="39">
        <f>IF(ISBLANK(R245),"",AT245/Macroindicadores!C$2)</f>
        <v>0.66326530612244894</v>
      </c>
      <c r="BI245" s="39">
        <f>IF(ISBLANK(S245),"",AU245/Macroindicadores!D$2)</f>
        <v>0.66326530612244894</v>
      </c>
      <c r="BJ245" s="39">
        <f>IF(ISBLANK(T245),"",AV245/Macroindicadores!E$2)</f>
        <v>0.66326530612244894</v>
      </c>
      <c r="BK245" s="39">
        <f>IF(ISBLANK(U245),"",AW245/Macroindicadores!F$2)</f>
        <v>0.66326530612244894</v>
      </c>
      <c r="BL245" s="39">
        <f>IF(ISBLANK(V245),"",AX245/Macroindicadores!G$2)</f>
        <v>0.66326530612244894</v>
      </c>
      <c r="BM245" s="39">
        <f>IF(ISBLANK(W245),"",AY245/Macroindicadores!H$2)</f>
        <v>0.66326530612244894</v>
      </c>
      <c r="BN245" s="39">
        <f>IF(ISBLANK(X245),"",AZ245/Macroindicadores!I$2)</f>
        <v>0.66326530612244894</v>
      </c>
      <c r="BO245" s="39">
        <f>IF(ISBLANK(Y245),"",BA245/Macroindicadores!J$2)</f>
        <v>0.66326530612244894</v>
      </c>
      <c r="BP245" s="39">
        <f>IF(ISBLANK(Z245),"",BB245/Macroindicadores!K$2)</f>
        <v>0.66326530612244894</v>
      </c>
      <c r="BQ245" s="39">
        <f>IF(ISBLANK(AA245),"",BC245/Macroindicadores!L$2)</f>
        <v>0.66326530612244894</v>
      </c>
      <c r="BR245" s="39">
        <f>IF(ISBLANK(AB245),"",BD245/Macroindicadores!M$2)</f>
        <v>0.66326530612244894</v>
      </c>
      <c r="BS245" s="40">
        <f t="shared" si="107"/>
        <v>7.959183673469389</v>
      </c>
      <c r="BT245" s="25" t="str">
        <f>IF(ISBLANK($L245),"",_xlfn.XLOOKUP($L245,'CENTRO CUSTO'!$A:$A,'CENTRO CUSTO'!$E:$E,FALSE,0))</f>
        <v>Custo Fixo</v>
      </c>
    </row>
    <row r="246" spans="1:72">
      <c r="A246" s="9" t="str">
        <f t="shared" si="80"/>
        <v>Budget</v>
      </c>
      <c r="B246" s="9">
        <f t="shared" si="77"/>
        <v>2026</v>
      </c>
      <c r="C246" s="18" t="str">
        <f>IF(ISBLANK($L246),"",_xlfn.XLOOKUP($L246,'CENTRO CUSTO'!$A:$A,'CENTRO CUSTO'!F:F,FALSE,0))</f>
        <v>Transporte</v>
      </c>
      <c r="D246" s="111" t="str">
        <f>IF(ISBLANK($L246),"",_xlfn.XLOOKUP($L246,'CENTRO CUSTO'!$A:$A,'CENTRO CUSTO'!G:G,FALSE,0))</f>
        <v>Transportes</v>
      </c>
      <c r="E246" s="18" t="str">
        <f>IF(ISBLANK($L246),"",_xlfn.XLOOKUP($L246,'CENTRO CUSTO'!$A:$A,'CENTRO CUSTO'!H:H,FALSE,0))</f>
        <v>Transportes</v>
      </c>
      <c r="F246" s="10" t="s">
        <v>242</v>
      </c>
      <c r="G246" s="10" t="s">
        <v>224</v>
      </c>
      <c r="H246" s="10" t="s">
        <v>231</v>
      </c>
      <c r="I246" s="11" t="s">
        <v>77</v>
      </c>
      <c r="J246" s="11" t="s">
        <v>78</v>
      </c>
      <c r="K246" s="11" t="s">
        <v>79</v>
      </c>
      <c r="L246" s="11" t="s">
        <v>111</v>
      </c>
      <c r="M246" s="18" t="str">
        <f>IF(ISBLANK($L246),"",_xlfn.XLOOKUP($L246,'CENTRO CUSTO'!$A:$A,'CENTRO CUSTO'!D:D,FALSE,0))</f>
        <v>Alexandre Ayabe</v>
      </c>
      <c r="N246" s="11" t="s">
        <v>132</v>
      </c>
      <c r="O246" s="12"/>
      <c r="P246" s="11" t="s">
        <v>81</v>
      </c>
      <c r="Q246" s="41">
        <v>9100</v>
      </c>
      <c r="R246" s="41">
        <v>9100</v>
      </c>
      <c r="S246" s="41">
        <v>9100</v>
      </c>
      <c r="T246" s="41">
        <v>9100</v>
      </c>
      <c r="U246" s="41">
        <v>9100</v>
      </c>
      <c r="V246" s="41">
        <v>9100</v>
      </c>
      <c r="W246" s="41">
        <v>9100</v>
      </c>
      <c r="X246" s="41">
        <v>9100</v>
      </c>
      <c r="Y246" s="41">
        <v>9100</v>
      </c>
      <c r="Z246" s="41">
        <v>9100</v>
      </c>
      <c r="AA246" s="41">
        <v>9100</v>
      </c>
      <c r="AB246" s="41">
        <v>9100</v>
      </c>
      <c r="AC246" s="116">
        <f t="shared" si="104"/>
        <v>109200</v>
      </c>
      <c r="AE246" s="39">
        <f>IF(ISBLANK(Q246),"",IF($P246="BRL",Q246,Q246*Macroindicadores!B$2)/1000)</f>
        <v>9.1</v>
      </c>
      <c r="AF246" s="39">
        <f>IF(ISBLANK(R246),"",IF($P246="BRL",R246,R246*Macroindicadores!C$2)/1000)</f>
        <v>9.1</v>
      </c>
      <c r="AG246" s="39">
        <f>IF(ISBLANK(S246),"",IF($P246="BRL",S246,S246*Macroindicadores!D$2)/1000)</f>
        <v>9.1</v>
      </c>
      <c r="AH246" s="39">
        <f>IF(ISBLANK(T246),"",IF($P246="BRL",T246,T246*Macroindicadores!E$2)/1000)</f>
        <v>9.1</v>
      </c>
      <c r="AI246" s="39">
        <f>IF(ISBLANK(U246),"",IF($P246="BRL",U246,U246*Macroindicadores!F$2)/1000)</f>
        <v>9.1</v>
      </c>
      <c r="AJ246" s="39">
        <f>IF(ISBLANK(V246),"",IF($P246="BRL",V246,V246*Macroindicadores!G$2)/1000)</f>
        <v>9.1</v>
      </c>
      <c r="AK246" s="39">
        <f>IF(ISBLANK(W246),"",IF($P246="BRL",W246,W246*Macroindicadores!H$2)/1000)</f>
        <v>9.1</v>
      </c>
      <c r="AL246" s="39">
        <f>IF(ISBLANK(X246),"",IF($P246="BRL",X246,X246*Macroindicadores!I$2)/1000)</f>
        <v>9.1</v>
      </c>
      <c r="AM246" s="39">
        <f>IF(ISBLANK(Y246),"",IF($P246="BRL",Y246,Y246*Macroindicadores!J$2)/1000)</f>
        <v>9.1</v>
      </c>
      <c r="AN246" s="39">
        <f>IF(ISBLANK(Z246),"",IF($P246="BRL",Z246,Z246*Macroindicadores!K$2)/1000)</f>
        <v>9.1</v>
      </c>
      <c r="AO246" s="39">
        <f>IF(ISBLANK(AA246),"",IF($P246="BRL",AA246,AA246*Macroindicadores!L$2)/1000)</f>
        <v>9.1</v>
      </c>
      <c r="AP246" s="39">
        <f>IF(ISBLANK(AB246),"",IF($P246="BRL",AB246,AB246*Macroindicadores!M$2)/1000)</f>
        <v>9.1</v>
      </c>
      <c r="AQ246" s="40">
        <f t="shared" si="105"/>
        <v>109.19999999999997</v>
      </c>
      <c r="AS246" s="39">
        <f>IF(ISBLANK(Q246),"",IF(ISBLANK($O246),AE246,IF($J246="ANUAL",AE246*(1+Macroindicadores!B$7),IF(AND($I246="NOVO",MONTH($O246)=MONTH(AS$4)),AE246*(1+Macroindicadores!B$7),IF(AND($J246="PONTUAL",MONTH($O246)=MONTH(AS$4)),AE246*(1+Macroindicadores!B$7),IF(AND($J246="PONTUAL",MONTH($O246)&lt;MONTH(AS$4)),MIN(AR246:$AS246),IF(AND($I246="NOVO",MONTH($O246)&gt;MONTH(AS$4)),AE246,IF(MONTH($O246)&gt;MONTH(AS$4),AE246,IF(MONTH($O246)=MONTH(AS$4),AE246*(1+Macroindicadores!B$7),AR246)))))))))</f>
        <v>9.1</v>
      </c>
      <c r="AT246" s="39">
        <f>IF(ISBLANK(R246),"",IF(ISBLANK($O246),AF246,IF($J246="ANUAL",AF246*(1+Macroindicadores!C$7),IF(AND($I246="NOVO",MONTH($O246)=MONTH(AT$4)),AF246*(1+Macroindicadores!C$7),IF(AND($J246="PONTUAL",MONTH($O246)=MONTH(AT$4)),AF246*(1+Macroindicadores!C$7),IF(AND($J246="PONTUAL",MONTH($O246)&lt;MONTH(AT$4)),MIN($AS246:AS246),IF(AND($I246="NOVO",MONTH($O246)&gt;MONTH(AT$4)),AF246,IF(MONTH($O246)&gt;MONTH(AT$4),AF246,IF(MONTH($O246)=MONTH(AT$4),AF246*(1+Macroindicadores!C$7),AS246)))))))))</f>
        <v>9.1</v>
      </c>
      <c r="AU246" s="39">
        <f>IF(ISBLANK(S246),"",IF(ISBLANK($O246),AG246,IF($J246="ANUAL",AG246*(1+Macroindicadores!D$7),IF(AND($I246="NOVO",MONTH($O246)=MONTH(AU$4)),AG246*(1+Macroindicadores!D$7),IF(AND($J246="PONTUAL",MONTH($O246)=MONTH(AU$4)),AG246*(1+Macroindicadores!D$7),IF(AND($J246="PONTUAL",MONTH($O246)&lt;MONTH(AU$4)),MIN($AS246:AT246),IF(AND($I246="NOVO",MONTH($O246)&gt;MONTH(AU$4)),AG246,IF(MONTH($O246)&gt;MONTH(AU$4),AG246,IF(MONTH($O246)=MONTH(AU$4),AG246*(1+Macroindicadores!D$7),AT246)))))))))</f>
        <v>9.1</v>
      </c>
      <c r="AV246" s="39">
        <f>IF(ISBLANK(T246),"",IF(ISBLANK($O246),AH246,IF($J246="ANUAL",AH246*(1+Macroindicadores!E$7),IF(AND($I246="NOVO",MONTH($O246)=MONTH(AV$4)),AH246*(1+Macroindicadores!E$7),IF(AND($J246="PONTUAL",MONTH($O246)=MONTH(AV$4)),AH246*(1+Macroindicadores!E$7),IF(AND($J246="PONTUAL",MONTH($O246)&lt;MONTH(AV$4)),MIN($AS246:AU246),IF(AND($I246="NOVO",MONTH($O246)&gt;MONTH(AV$4)),AH246,IF(MONTH($O246)&gt;MONTH(AV$4),AH246,IF(MONTH($O246)=MONTH(AV$4),AH246*(1+Macroindicadores!E$7),AU246)))))))))</f>
        <v>9.1</v>
      </c>
      <c r="AW246" s="39">
        <f>IF(ISBLANK(U246),"",IF(ISBLANK($O246),AI246,IF($J246="ANUAL",AI246*(1+Macroindicadores!F$7),IF(AND($I246="NOVO",MONTH($O246)=MONTH(AW$4)),AI246*(1+Macroindicadores!F$7),IF(AND($J246="PONTUAL",MONTH($O246)=MONTH(AW$4)),AI246*(1+Macroindicadores!F$7),IF(AND($J246="PONTUAL",MONTH($O246)&lt;MONTH(AW$4)),MIN($AS246:AV246),IF(AND($I246="NOVO",MONTH($O246)&gt;MONTH(AW$4)),AI246,IF(MONTH($O246)&gt;MONTH(AW$4),AI246,IF(MONTH($O246)=MONTH(AW$4),AI246*(1+Macroindicadores!F$7),AV246)))))))))</f>
        <v>9.1</v>
      </c>
      <c r="AX246" s="39">
        <f>IF(ISBLANK(V246),"",IF(ISBLANK($O246),AJ246,IF($J246="ANUAL",AJ246*(1+Macroindicadores!G$7),IF(AND($I246="NOVO",MONTH($O246)=MONTH(AX$4)),AJ246*(1+Macroindicadores!G$7),IF(AND($J246="PONTUAL",MONTH($O246)=MONTH(AX$4)),AJ246*(1+Macroindicadores!G$7),IF(AND($J246="PONTUAL",MONTH($O246)&lt;MONTH(AX$4)),MIN($AS246:AW246),IF(AND($I246="NOVO",MONTH($O246)&gt;MONTH(AX$4)),AJ246,IF(MONTH($O246)&gt;MONTH(AX$4),AJ246,IF(MONTH($O246)=MONTH(AX$4),AJ246*(1+Macroindicadores!G$7),AW246)))))))))</f>
        <v>9.1</v>
      </c>
      <c r="AY246" s="39">
        <f>IF(ISBLANK(W246),"",IF(ISBLANK($O246),AK246,IF($J246="ANUAL",AK246*(1+Macroindicadores!H$7),IF(AND($I246="NOVO",MONTH($O246)=MONTH(AY$4)),AK246*(1+Macroindicadores!H$7),IF(AND($J246="PONTUAL",MONTH($O246)=MONTH(AY$4)),AK246*(1+Macroindicadores!H$7),IF(AND($J246="PONTUAL",MONTH($O246)&lt;MONTH(AY$4)),MIN($AS246:AX246),IF(AND($I246="NOVO",MONTH($O246)&gt;MONTH(AY$4)),AK246,IF(MONTH($O246)&gt;MONTH(AY$4),AK246,IF(MONTH($O246)=MONTH(AY$4),AK246*(1+Macroindicadores!H$7),AX246)))))))))</f>
        <v>9.1</v>
      </c>
      <c r="AZ246" s="39">
        <f>IF(ISBLANK(X246),"",IF(ISBLANK($O246),AL246,IF($J246="ANUAL",AL246*(1+Macroindicadores!I$7),IF(AND($I246="NOVO",MONTH($O246)=MONTH(AZ$4)),AL246*(1+Macroindicadores!I$7),IF(AND($J246="PONTUAL",MONTH($O246)=MONTH(AZ$4)),AL246*(1+Macroindicadores!I$7),IF(AND($J246="PONTUAL",MONTH($O246)&lt;MONTH(AZ$4)),MIN($AS246:AY246),IF(AND($I246="NOVO",MONTH($O246)&gt;MONTH(AZ$4)),AL246,IF(MONTH($O246)&gt;MONTH(AZ$4),AL246,IF(MONTH($O246)=MONTH(AZ$4),AL246*(1+Macroindicadores!I$7),AY246)))))))))</f>
        <v>9.1</v>
      </c>
      <c r="BA246" s="39">
        <f>IF(ISBLANK(Y246),"",IF(ISBLANK($O246),AM246,IF($J246="ANUAL",AM246*(1+Macroindicadores!J$7),IF(AND($I246="NOVO",MONTH($O246)=MONTH(BA$4)),AM246*(1+Macroindicadores!J$7),IF(AND($J246="PONTUAL",MONTH($O246)=MONTH(BA$4)),AM246*(1+Macroindicadores!J$7),IF(AND($J246="PONTUAL",MONTH($O246)&lt;MONTH(BA$4)),MIN($AS246:AZ246),IF(AND($I246="NOVO",MONTH($O246)&gt;MONTH(BA$4)),AM246,IF(MONTH($O246)&gt;MONTH(BA$4),AM246,IF(MONTH($O246)=MONTH(BA$4),AM246*(1+Macroindicadores!J$7),AZ246)))))))))</f>
        <v>9.1</v>
      </c>
      <c r="BB246" s="39">
        <f>IF(ISBLANK(Z246),"",IF(ISBLANK($O246),AN246,IF($J246="ANUAL",AN246*(1+Macroindicadores!K$7),IF(AND($I246="NOVO",MONTH($O246)=MONTH(BB$4)),AN246*(1+Macroindicadores!K$7),IF(AND($J246="PONTUAL",MONTH($O246)=MONTH(BB$4)),AN246*(1+Macroindicadores!K$7),IF(AND($J246="PONTUAL",MONTH($O246)&lt;MONTH(BB$4)),MIN($AS246:BA246),IF(AND($I246="NOVO",MONTH($O246)&gt;MONTH(BB$4)),AN246,IF(MONTH($O246)&gt;MONTH(BB$4),AN246,IF(MONTH($O246)=MONTH(BB$4),AN246*(1+Macroindicadores!K$7),BA246)))))))))</f>
        <v>9.1</v>
      </c>
      <c r="BC246" s="39">
        <f>IF(ISBLANK(AA246),"",IF(ISBLANK($O246),AO246,IF($J246="ANUAL",AO246*(1+Macroindicadores!L$7),IF(AND($I246="NOVO",MONTH($O246)=MONTH(BC$4)),AO246*(1+Macroindicadores!L$7),IF(AND($J246="PONTUAL",MONTH($O246)=MONTH(BC$4)),AO246*(1+Macroindicadores!L$7),IF(AND($J246="PONTUAL",MONTH($O246)&lt;MONTH(BC$4)),MIN($AS246:BB246),IF(AND($I246="NOVO",MONTH($O246)&gt;MONTH(BC$4)),AO246,IF(MONTH($O246)&gt;MONTH(BC$4),AO246,IF(MONTH($O246)=MONTH(BC$4),AO246*(1+Macroindicadores!L$7),BB246)))))))))</f>
        <v>9.1</v>
      </c>
      <c r="BD246" s="39">
        <f>IF(ISBLANK(AB246),"",IF(ISBLANK($O246),AP246,IF($J246="ANUAL",AP246*(1+Macroindicadores!M$7),IF(AND($I246="NOVO",MONTH($O246)=MONTH(BD$4)),AP246*(1+Macroindicadores!M$7),IF(AND($J246="PONTUAL",MONTH($O246)=MONTH(BD$4)),AP246*(1+Macroindicadores!M$7),IF(AND($J246="PONTUAL",MONTH($O246)&lt;MONTH(BD$4)),MIN($AS246:BC246),IF(AND($I246="NOVO",MONTH($O246)&gt;MONTH(BD$4)),AP246,IF(MONTH($O246)&gt;MONTH(BD$4),AP246,IF(MONTH($O246)=MONTH(BD$4),AP246*(1+Macroindicadores!M$7),BC246)))))))))</f>
        <v>9.1</v>
      </c>
      <c r="BE246" s="40">
        <f t="shared" si="106"/>
        <v>109.19999999999997</v>
      </c>
      <c r="BG246" s="39">
        <f>IF(ISBLANK(Q246),"",AS246/Macroindicadores!B$2)</f>
        <v>1.5476190476190477</v>
      </c>
      <c r="BH246" s="39">
        <f>IF(ISBLANK(R246),"",AT246/Macroindicadores!C$2)</f>
        <v>1.5476190476190477</v>
      </c>
      <c r="BI246" s="39">
        <f>IF(ISBLANK(S246),"",AU246/Macroindicadores!D$2)</f>
        <v>1.5476190476190477</v>
      </c>
      <c r="BJ246" s="39">
        <f>IF(ISBLANK(T246),"",AV246/Macroindicadores!E$2)</f>
        <v>1.5476190476190477</v>
      </c>
      <c r="BK246" s="39">
        <f>IF(ISBLANK(U246),"",AW246/Macroindicadores!F$2)</f>
        <v>1.5476190476190477</v>
      </c>
      <c r="BL246" s="39">
        <f>IF(ISBLANK(V246),"",AX246/Macroindicadores!G$2)</f>
        <v>1.5476190476190477</v>
      </c>
      <c r="BM246" s="39">
        <f>IF(ISBLANK(W246),"",AY246/Macroindicadores!H$2)</f>
        <v>1.5476190476190477</v>
      </c>
      <c r="BN246" s="39">
        <f>IF(ISBLANK(X246),"",AZ246/Macroindicadores!I$2)</f>
        <v>1.5476190476190477</v>
      </c>
      <c r="BO246" s="39">
        <f>IF(ISBLANK(Y246),"",BA246/Macroindicadores!J$2)</f>
        <v>1.5476190476190477</v>
      </c>
      <c r="BP246" s="39">
        <f>IF(ISBLANK(Z246),"",BB246/Macroindicadores!K$2)</f>
        <v>1.5476190476190477</v>
      </c>
      <c r="BQ246" s="39">
        <f>IF(ISBLANK(AA246),"",BC246/Macroindicadores!L$2)</f>
        <v>1.5476190476190477</v>
      </c>
      <c r="BR246" s="39">
        <f>IF(ISBLANK(AB246),"",BD246/Macroindicadores!M$2)</f>
        <v>1.5476190476190477</v>
      </c>
      <c r="BS246" s="40">
        <f t="shared" si="107"/>
        <v>18.571428571428573</v>
      </c>
      <c r="BT246" s="25" t="str">
        <f>IF(ISBLANK($L246),"",_xlfn.XLOOKUP($L246,'CENTRO CUSTO'!$A:$A,'CENTRO CUSTO'!$E:$E,FALSE,0))</f>
        <v>Custo Fixo</v>
      </c>
    </row>
    <row r="247" spans="1:72">
      <c r="A247" s="9" t="str">
        <f t="shared" si="80"/>
        <v>Budget</v>
      </c>
      <c r="B247" s="9">
        <f t="shared" si="77"/>
        <v>2026</v>
      </c>
      <c r="C247" s="18" t="str">
        <f>IF(ISBLANK($L247),"",_xlfn.XLOOKUP($L247,'CENTRO CUSTO'!$A:$A,'CENTRO CUSTO'!F:F,FALSE,0))</f>
        <v>Cone Sul</v>
      </c>
      <c r="D247" s="111" t="str">
        <f>IF(ISBLANK($L247),"",_xlfn.XLOOKUP($L247,'CENTRO CUSTO'!$A:$A,'CENTRO CUSTO'!G:G,FALSE,0))</f>
        <v>Plataforma</v>
      </c>
      <c r="E247" s="18" t="str">
        <f>IF(ISBLANK($L247),"",_xlfn.XLOOKUP($L247,'CENTRO CUSTO'!$A:$A,'CENTRO CUSTO'!H:H,FALSE,0))</f>
        <v>G&amp;A</v>
      </c>
      <c r="F247" s="10" t="s">
        <v>243</v>
      </c>
      <c r="G247" s="10" t="s">
        <v>233</v>
      </c>
      <c r="H247" s="10" t="s">
        <v>244</v>
      </c>
      <c r="I247" s="11" t="s">
        <v>77</v>
      </c>
      <c r="J247" s="11" t="s">
        <v>78</v>
      </c>
      <c r="K247" s="11" t="s">
        <v>94</v>
      </c>
      <c r="L247" s="11" t="s">
        <v>54</v>
      </c>
      <c r="M247" s="18" t="str">
        <f>IF(ISBLANK($L247),"",_xlfn.XLOOKUP($L247,'CENTRO CUSTO'!$A:$A,'CENTRO CUSTO'!D:D,FALSE,0))</f>
        <v>Alexandre Ayabe</v>
      </c>
      <c r="N247" s="11" t="s">
        <v>245</v>
      </c>
      <c r="O247" s="12"/>
      <c r="P247" s="11" t="s">
        <v>81</v>
      </c>
      <c r="Q247" s="41">
        <f>600*2</f>
        <v>1200</v>
      </c>
      <c r="R247" s="41">
        <f t="shared" ref="R247:AB247" si="109">600*2</f>
        <v>1200</v>
      </c>
      <c r="S247" s="41">
        <f t="shared" si="109"/>
        <v>1200</v>
      </c>
      <c r="T247" s="41">
        <f t="shared" si="109"/>
        <v>1200</v>
      </c>
      <c r="U247" s="41">
        <f t="shared" si="109"/>
        <v>1200</v>
      </c>
      <c r="V247" s="41">
        <f t="shared" si="109"/>
        <v>1200</v>
      </c>
      <c r="W247" s="41">
        <f t="shared" si="109"/>
        <v>1200</v>
      </c>
      <c r="X247" s="41">
        <f t="shared" si="109"/>
        <v>1200</v>
      </c>
      <c r="Y247" s="41">
        <f t="shared" si="109"/>
        <v>1200</v>
      </c>
      <c r="Z247" s="41">
        <f t="shared" si="109"/>
        <v>1200</v>
      </c>
      <c r="AA247" s="41">
        <f t="shared" si="109"/>
        <v>1200</v>
      </c>
      <c r="AB247" s="41">
        <f t="shared" si="109"/>
        <v>1200</v>
      </c>
      <c r="AC247" s="116">
        <f t="shared" si="104"/>
        <v>14400</v>
      </c>
      <c r="AE247" s="39">
        <f>IF(ISBLANK(Q247),"",IF($P247="BRL",Q247,Q247*Macroindicadores!B$2)/1000)</f>
        <v>1.2</v>
      </c>
      <c r="AF247" s="39">
        <f>IF(ISBLANK(R247),"",IF($P247="BRL",R247,R247*Macroindicadores!C$2)/1000)</f>
        <v>1.2</v>
      </c>
      <c r="AG247" s="39">
        <f>IF(ISBLANK(S247),"",IF($P247="BRL",S247,S247*Macroindicadores!D$2)/1000)</f>
        <v>1.2</v>
      </c>
      <c r="AH247" s="39">
        <f>IF(ISBLANK(T247),"",IF($P247="BRL",T247,T247*Macroindicadores!E$2)/1000)</f>
        <v>1.2</v>
      </c>
      <c r="AI247" s="39">
        <f>IF(ISBLANK(U247),"",IF($P247="BRL",U247,U247*Macroindicadores!F$2)/1000)</f>
        <v>1.2</v>
      </c>
      <c r="AJ247" s="39">
        <f>IF(ISBLANK(V247),"",IF($P247="BRL",V247,V247*Macroindicadores!G$2)/1000)</f>
        <v>1.2</v>
      </c>
      <c r="AK247" s="39">
        <f>IF(ISBLANK(W247),"",IF($P247="BRL",W247,W247*Macroindicadores!H$2)/1000)</f>
        <v>1.2</v>
      </c>
      <c r="AL247" s="39">
        <f>IF(ISBLANK(X247),"",IF($P247="BRL",X247,X247*Macroindicadores!I$2)/1000)</f>
        <v>1.2</v>
      </c>
      <c r="AM247" s="39">
        <f>IF(ISBLANK(Y247),"",IF($P247="BRL",Y247,Y247*Macroindicadores!J$2)/1000)</f>
        <v>1.2</v>
      </c>
      <c r="AN247" s="39">
        <f>IF(ISBLANK(Z247),"",IF($P247="BRL",Z247,Z247*Macroindicadores!K$2)/1000)</f>
        <v>1.2</v>
      </c>
      <c r="AO247" s="39">
        <f>IF(ISBLANK(AA247),"",IF($P247="BRL",AA247,AA247*Macroindicadores!L$2)/1000)</f>
        <v>1.2</v>
      </c>
      <c r="AP247" s="39">
        <f>IF(ISBLANK(AB247),"",IF($P247="BRL",AB247,AB247*Macroindicadores!M$2)/1000)</f>
        <v>1.2</v>
      </c>
      <c r="AQ247" s="40">
        <f t="shared" si="105"/>
        <v>14.399999999999997</v>
      </c>
      <c r="AS247" s="39">
        <f>IF(ISBLANK(Q247),"",IF(ISBLANK($O247),AE247,IF($J247="ANUAL",AE247*(1+Macroindicadores!B$7),IF(AND($I247="NOVO",MONTH($O247)=MONTH(AS$4)),AE247*(1+Macroindicadores!B$7),IF(AND($J247="PONTUAL",MONTH($O247)=MONTH(AS$4)),AE247*(1+Macroindicadores!B$7),IF(AND($J247="PONTUAL",MONTH($O247)&lt;MONTH(AS$4)),MIN(AR247:$AS247),IF(AND($I247="NOVO",MONTH($O247)&gt;MONTH(AS$4)),AE247,IF(MONTH($O247)&gt;MONTH(AS$4),AE247,IF(MONTH($O247)=MONTH(AS$4),AE247*(1+Macroindicadores!B$7),AR247)))))))))</f>
        <v>1.2</v>
      </c>
      <c r="AT247" s="39">
        <f>IF(ISBLANK(R247),"",IF(ISBLANK($O247),AF247,IF($J247="ANUAL",AF247*(1+Macroindicadores!C$7),IF(AND($I247="NOVO",MONTH($O247)=MONTH(AT$4)),AF247*(1+Macroindicadores!C$7),IF(AND($J247="PONTUAL",MONTH($O247)=MONTH(AT$4)),AF247*(1+Macroindicadores!C$7),IF(AND($J247="PONTUAL",MONTH($O247)&lt;MONTH(AT$4)),MIN($AS247:AS247),IF(AND($I247="NOVO",MONTH($O247)&gt;MONTH(AT$4)),AF247,IF(MONTH($O247)&gt;MONTH(AT$4),AF247,IF(MONTH($O247)=MONTH(AT$4),AF247*(1+Macroindicadores!C$7),AS247)))))))))</f>
        <v>1.2</v>
      </c>
      <c r="AU247" s="39">
        <f>IF(ISBLANK(S247),"",IF(ISBLANK($O247),AG247,IF($J247="ANUAL",AG247*(1+Macroindicadores!D$7),IF(AND($I247="NOVO",MONTH($O247)=MONTH(AU$4)),AG247*(1+Macroindicadores!D$7),IF(AND($J247="PONTUAL",MONTH($O247)=MONTH(AU$4)),AG247*(1+Macroindicadores!D$7),IF(AND($J247="PONTUAL",MONTH($O247)&lt;MONTH(AU$4)),MIN($AS247:AT247),IF(AND($I247="NOVO",MONTH($O247)&gt;MONTH(AU$4)),AG247,IF(MONTH($O247)&gt;MONTH(AU$4),AG247,IF(MONTH($O247)=MONTH(AU$4),AG247*(1+Macroindicadores!D$7),AT247)))))))))</f>
        <v>1.2</v>
      </c>
      <c r="AV247" s="39">
        <f>IF(ISBLANK(T247),"",IF(ISBLANK($O247),AH247,IF($J247="ANUAL",AH247*(1+Macroindicadores!E$7),IF(AND($I247="NOVO",MONTH($O247)=MONTH(AV$4)),AH247*(1+Macroindicadores!E$7),IF(AND($J247="PONTUAL",MONTH($O247)=MONTH(AV$4)),AH247*(1+Macroindicadores!E$7),IF(AND($J247="PONTUAL",MONTH($O247)&lt;MONTH(AV$4)),MIN($AS247:AU247),IF(AND($I247="NOVO",MONTH($O247)&gt;MONTH(AV$4)),AH247,IF(MONTH($O247)&gt;MONTH(AV$4),AH247,IF(MONTH($O247)=MONTH(AV$4),AH247*(1+Macroindicadores!E$7),AU247)))))))))</f>
        <v>1.2</v>
      </c>
      <c r="AW247" s="39">
        <f>IF(ISBLANK(U247),"",IF(ISBLANK($O247),AI247,IF($J247="ANUAL",AI247*(1+Macroindicadores!F$7),IF(AND($I247="NOVO",MONTH($O247)=MONTH(AW$4)),AI247*(1+Macroindicadores!F$7),IF(AND($J247="PONTUAL",MONTH($O247)=MONTH(AW$4)),AI247*(1+Macroindicadores!F$7),IF(AND($J247="PONTUAL",MONTH($O247)&lt;MONTH(AW$4)),MIN($AS247:AV247),IF(AND($I247="NOVO",MONTH($O247)&gt;MONTH(AW$4)),AI247,IF(MONTH($O247)&gt;MONTH(AW$4),AI247,IF(MONTH($O247)=MONTH(AW$4),AI247*(1+Macroindicadores!F$7),AV247)))))))))</f>
        <v>1.2</v>
      </c>
      <c r="AX247" s="39">
        <f>IF(ISBLANK(V247),"",IF(ISBLANK($O247),AJ247,IF($J247="ANUAL",AJ247*(1+Macroindicadores!G$7),IF(AND($I247="NOVO",MONTH($O247)=MONTH(AX$4)),AJ247*(1+Macroindicadores!G$7),IF(AND($J247="PONTUAL",MONTH($O247)=MONTH(AX$4)),AJ247*(1+Macroindicadores!G$7),IF(AND($J247="PONTUAL",MONTH($O247)&lt;MONTH(AX$4)),MIN($AS247:AW247),IF(AND($I247="NOVO",MONTH($O247)&gt;MONTH(AX$4)),AJ247,IF(MONTH($O247)&gt;MONTH(AX$4),AJ247,IF(MONTH($O247)=MONTH(AX$4),AJ247*(1+Macroindicadores!G$7),AW247)))))))))</f>
        <v>1.2</v>
      </c>
      <c r="AY247" s="39">
        <f>IF(ISBLANK(W247),"",IF(ISBLANK($O247),AK247,IF($J247="ANUAL",AK247*(1+Macroindicadores!H$7),IF(AND($I247="NOVO",MONTH($O247)=MONTH(AY$4)),AK247*(1+Macroindicadores!H$7),IF(AND($J247="PONTUAL",MONTH($O247)=MONTH(AY$4)),AK247*(1+Macroindicadores!H$7),IF(AND($J247="PONTUAL",MONTH($O247)&lt;MONTH(AY$4)),MIN($AS247:AX247),IF(AND($I247="NOVO",MONTH($O247)&gt;MONTH(AY$4)),AK247,IF(MONTH($O247)&gt;MONTH(AY$4),AK247,IF(MONTH($O247)=MONTH(AY$4),AK247*(1+Macroindicadores!H$7),AX247)))))))))</f>
        <v>1.2</v>
      </c>
      <c r="AZ247" s="39">
        <f>IF(ISBLANK(X247),"",IF(ISBLANK($O247),AL247,IF($J247="ANUAL",AL247*(1+Macroindicadores!I$7),IF(AND($I247="NOVO",MONTH($O247)=MONTH(AZ$4)),AL247*(1+Macroindicadores!I$7),IF(AND($J247="PONTUAL",MONTH($O247)=MONTH(AZ$4)),AL247*(1+Macroindicadores!I$7),IF(AND($J247="PONTUAL",MONTH($O247)&lt;MONTH(AZ$4)),MIN($AS247:AY247),IF(AND($I247="NOVO",MONTH($O247)&gt;MONTH(AZ$4)),AL247,IF(MONTH($O247)&gt;MONTH(AZ$4),AL247,IF(MONTH($O247)=MONTH(AZ$4),AL247*(1+Macroindicadores!I$7),AY247)))))))))</f>
        <v>1.2</v>
      </c>
      <c r="BA247" s="39">
        <f>IF(ISBLANK(Y247),"",IF(ISBLANK($O247),AM247,IF($J247="ANUAL",AM247*(1+Macroindicadores!J$7),IF(AND($I247="NOVO",MONTH($O247)=MONTH(BA$4)),AM247*(1+Macroindicadores!J$7),IF(AND($J247="PONTUAL",MONTH($O247)=MONTH(BA$4)),AM247*(1+Macroindicadores!J$7),IF(AND($J247="PONTUAL",MONTH($O247)&lt;MONTH(BA$4)),MIN($AS247:AZ247),IF(AND($I247="NOVO",MONTH($O247)&gt;MONTH(BA$4)),AM247,IF(MONTH($O247)&gt;MONTH(BA$4),AM247,IF(MONTH($O247)=MONTH(BA$4),AM247*(1+Macroindicadores!J$7),AZ247)))))))))</f>
        <v>1.2</v>
      </c>
      <c r="BB247" s="39">
        <f>IF(ISBLANK(Z247),"",IF(ISBLANK($O247),AN247,IF($J247="ANUAL",AN247*(1+Macroindicadores!K$7),IF(AND($I247="NOVO",MONTH($O247)=MONTH(BB$4)),AN247*(1+Macroindicadores!K$7),IF(AND($J247="PONTUAL",MONTH($O247)=MONTH(BB$4)),AN247*(1+Macroindicadores!K$7),IF(AND($J247="PONTUAL",MONTH($O247)&lt;MONTH(BB$4)),MIN($AS247:BA247),IF(AND($I247="NOVO",MONTH($O247)&gt;MONTH(BB$4)),AN247,IF(MONTH($O247)&gt;MONTH(BB$4),AN247,IF(MONTH($O247)=MONTH(BB$4),AN247*(1+Macroindicadores!K$7),BA247)))))))))</f>
        <v>1.2</v>
      </c>
      <c r="BC247" s="39">
        <f>IF(ISBLANK(AA247),"",IF(ISBLANK($O247),AO247,IF($J247="ANUAL",AO247*(1+Macroindicadores!L$7),IF(AND($I247="NOVO",MONTH($O247)=MONTH(BC$4)),AO247*(1+Macroindicadores!L$7),IF(AND($J247="PONTUAL",MONTH($O247)=MONTH(BC$4)),AO247*(1+Macroindicadores!L$7),IF(AND($J247="PONTUAL",MONTH($O247)&lt;MONTH(BC$4)),MIN($AS247:BB247),IF(AND($I247="NOVO",MONTH($O247)&gt;MONTH(BC$4)),AO247,IF(MONTH($O247)&gt;MONTH(BC$4),AO247,IF(MONTH($O247)=MONTH(BC$4),AO247*(1+Macroindicadores!L$7),BB247)))))))))</f>
        <v>1.2</v>
      </c>
      <c r="BD247" s="39">
        <f>IF(ISBLANK(AB247),"",IF(ISBLANK($O247),AP247,IF($J247="ANUAL",AP247*(1+Macroindicadores!M$7),IF(AND($I247="NOVO",MONTH($O247)=MONTH(BD$4)),AP247*(1+Macroindicadores!M$7),IF(AND($J247="PONTUAL",MONTH($O247)=MONTH(BD$4)),AP247*(1+Macroindicadores!M$7),IF(AND($J247="PONTUAL",MONTH($O247)&lt;MONTH(BD$4)),MIN($AS247:BC247),IF(AND($I247="NOVO",MONTH($O247)&gt;MONTH(BD$4)),AP247,IF(MONTH($O247)&gt;MONTH(BD$4),AP247,IF(MONTH($O247)=MONTH(BD$4),AP247*(1+Macroindicadores!M$7),BC247)))))))))</f>
        <v>1.2</v>
      </c>
      <c r="BE247" s="40">
        <f t="shared" si="106"/>
        <v>14.399999999999997</v>
      </c>
      <c r="BG247" s="39">
        <f>IF(ISBLANK(Q247),"",AS247/Macroindicadores!B$2)</f>
        <v>0.20408163265306123</v>
      </c>
      <c r="BH247" s="39">
        <f>IF(ISBLANK(R247),"",AT247/Macroindicadores!C$2)</f>
        <v>0.20408163265306123</v>
      </c>
      <c r="BI247" s="39">
        <f>IF(ISBLANK(S247),"",AU247/Macroindicadores!D$2)</f>
        <v>0.20408163265306123</v>
      </c>
      <c r="BJ247" s="39">
        <f>IF(ISBLANK(T247),"",AV247/Macroindicadores!E$2)</f>
        <v>0.20408163265306123</v>
      </c>
      <c r="BK247" s="39">
        <f>IF(ISBLANK(U247),"",AW247/Macroindicadores!F$2)</f>
        <v>0.20408163265306123</v>
      </c>
      <c r="BL247" s="39">
        <f>IF(ISBLANK(V247),"",AX247/Macroindicadores!G$2)</f>
        <v>0.20408163265306123</v>
      </c>
      <c r="BM247" s="39">
        <f>IF(ISBLANK(W247),"",AY247/Macroindicadores!H$2)</f>
        <v>0.20408163265306123</v>
      </c>
      <c r="BN247" s="39">
        <f>IF(ISBLANK(X247),"",AZ247/Macroindicadores!I$2)</f>
        <v>0.20408163265306123</v>
      </c>
      <c r="BO247" s="39">
        <f>IF(ISBLANK(Y247),"",BA247/Macroindicadores!J$2)</f>
        <v>0.20408163265306123</v>
      </c>
      <c r="BP247" s="39">
        <f>IF(ISBLANK(Z247),"",BB247/Macroindicadores!K$2)</f>
        <v>0.20408163265306123</v>
      </c>
      <c r="BQ247" s="39">
        <f>IF(ISBLANK(AA247),"",BC247/Macroindicadores!L$2)</f>
        <v>0.20408163265306123</v>
      </c>
      <c r="BR247" s="39">
        <f>IF(ISBLANK(AB247),"",BD247/Macroindicadores!M$2)</f>
        <v>0.20408163265306123</v>
      </c>
      <c r="BS247" s="40">
        <f t="shared" si="107"/>
        <v>2.4489795918367347</v>
      </c>
      <c r="BT247" s="25" t="str">
        <f>IF(ISBLANK($L247),"",_xlfn.XLOOKUP($L247,'CENTRO CUSTO'!$A:$A,'CENTRO CUSTO'!$E:$E,FALSE,0))</f>
        <v>G&amp;A PL</v>
      </c>
    </row>
    <row r="248" spans="1:72">
      <c r="A248" s="9" t="str">
        <f t="shared" si="80"/>
        <v>Budget</v>
      </c>
      <c r="B248" s="9">
        <f t="shared" si="77"/>
        <v>2026</v>
      </c>
      <c r="C248" s="18" t="str">
        <f>IF(ISBLANK($L248),"",_xlfn.XLOOKUP($L248,'CENTRO CUSTO'!$A:$A,'CENTRO CUSTO'!F:F,FALSE,0))</f>
        <v>Cone Sul</v>
      </c>
      <c r="D248" s="111" t="str">
        <f>IF(ISBLANK($L248),"",_xlfn.XLOOKUP($L248,'CENTRO CUSTO'!$A:$A,'CENTRO CUSTO'!G:G,FALSE,0))</f>
        <v>Plataforma</v>
      </c>
      <c r="E248" s="18" t="str">
        <f>IF(ISBLANK($L248),"",_xlfn.XLOOKUP($L248,'CENTRO CUSTO'!$A:$A,'CENTRO CUSTO'!H:H,FALSE,0))</f>
        <v>G&amp;A</v>
      </c>
      <c r="F248" s="10" t="s">
        <v>246</v>
      </c>
      <c r="G248" s="10" t="s">
        <v>233</v>
      </c>
      <c r="H248" s="10" t="s">
        <v>244</v>
      </c>
      <c r="I248" s="11" t="s">
        <v>77</v>
      </c>
      <c r="J248" s="11" t="s">
        <v>78</v>
      </c>
      <c r="K248" s="11" t="s">
        <v>94</v>
      </c>
      <c r="L248" s="11" t="s">
        <v>54</v>
      </c>
      <c r="M248" s="18" t="str">
        <f>IF(ISBLANK($L248),"",_xlfn.XLOOKUP($L248,'CENTRO CUSTO'!$A:$A,'CENTRO CUSTO'!D:D,FALSE,0))</f>
        <v>Alexandre Ayabe</v>
      </c>
      <c r="N248" s="11" t="s">
        <v>245</v>
      </c>
      <c r="O248" s="12"/>
      <c r="P248" s="11" t="s">
        <v>81</v>
      </c>
      <c r="Q248" s="41">
        <f>400*4</f>
        <v>1600</v>
      </c>
      <c r="R248" s="41">
        <f t="shared" ref="R248:AB248" si="110">400*4</f>
        <v>1600</v>
      </c>
      <c r="S248" s="41">
        <f t="shared" si="110"/>
        <v>1600</v>
      </c>
      <c r="T248" s="41">
        <f t="shared" si="110"/>
        <v>1600</v>
      </c>
      <c r="U248" s="41">
        <f t="shared" si="110"/>
        <v>1600</v>
      </c>
      <c r="V248" s="41">
        <f t="shared" si="110"/>
        <v>1600</v>
      </c>
      <c r="W248" s="41">
        <f t="shared" si="110"/>
        <v>1600</v>
      </c>
      <c r="X248" s="41">
        <f t="shared" si="110"/>
        <v>1600</v>
      </c>
      <c r="Y248" s="41">
        <f t="shared" si="110"/>
        <v>1600</v>
      </c>
      <c r="Z248" s="41">
        <f t="shared" si="110"/>
        <v>1600</v>
      </c>
      <c r="AA248" s="41">
        <f t="shared" si="110"/>
        <v>1600</v>
      </c>
      <c r="AB248" s="41">
        <f t="shared" si="110"/>
        <v>1600</v>
      </c>
      <c r="AC248" s="116">
        <f t="shared" si="104"/>
        <v>19200</v>
      </c>
      <c r="AE248" s="39">
        <f>IF(ISBLANK(Q248),"",IF($P248="BRL",Q248,Q248*Macroindicadores!B$2)/1000)</f>
        <v>1.6</v>
      </c>
      <c r="AF248" s="39">
        <f>IF(ISBLANK(R248),"",IF($P248="BRL",R248,R248*Macroindicadores!C$2)/1000)</f>
        <v>1.6</v>
      </c>
      <c r="AG248" s="39">
        <f>IF(ISBLANK(S248),"",IF($P248="BRL",S248,S248*Macroindicadores!D$2)/1000)</f>
        <v>1.6</v>
      </c>
      <c r="AH248" s="39">
        <f>IF(ISBLANK(T248),"",IF($P248="BRL",T248,T248*Macroindicadores!E$2)/1000)</f>
        <v>1.6</v>
      </c>
      <c r="AI248" s="39">
        <f>IF(ISBLANK(U248),"",IF($P248="BRL",U248,U248*Macroindicadores!F$2)/1000)</f>
        <v>1.6</v>
      </c>
      <c r="AJ248" s="39">
        <f>IF(ISBLANK(V248),"",IF($P248="BRL",V248,V248*Macroindicadores!G$2)/1000)</f>
        <v>1.6</v>
      </c>
      <c r="AK248" s="39">
        <f>IF(ISBLANK(W248),"",IF($P248="BRL",W248,W248*Macroindicadores!H$2)/1000)</f>
        <v>1.6</v>
      </c>
      <c r="AL248" s="39">
        <f>IF(ISBLANK(X248),"",IF($P248="BRL",X248,X248*Macroindicadores!I$2)/1000)</f>
        <v>1.6</v>
      </c>
      <c r="AM248" s="39">
        <f>IF(ISBLANK(Y248),"",IF($P248="BRL",Y248,Y248*Macroindicadores!J$2)/1000)</f>
        <v>1.6</v>
      </c>
      <c r="AN248" s="39">
        <f>IF(ISBLANK(Z248),"",IF($P248="BRL",Z248,Z248*Macroindicadores!K$2)/1000)</f>
        <v>1.6</v>
      </c>
      <c r="AO248" s="39">
        <f>IF(ISBLANK(AA248),"",IF($P248="BRL",AA248,AA248*Macroindicadores!L$2)/1000)</f>
        <v>1.6</v>
      </c>
      <c r="AP248" s="39">
        <f>IF(ISBLANK(AB248),"",IF($P248="BRL",AB248,AB248*Macroindicadores!M$2)/1000)</f>
        <v>1.6</v>
      </c>
      <c r="AQ248" s="40">
        <f t="shared" si="105"/>
        <v>19.2</v>
      </c>
      <c r="AS248" s="39">
        <f>IF(ISBLANK(Q248),"",IF(ISBLANK($O248),AE248,IF($J248="ANUAL",AE248*(1+Macroindicadores!B$7),IF(AND($I248="NOVO",MONTH($O248)=MONTH(AS$4)),AE248*(1+Macroindicadores!B$7),IF(AND($J248="PONTUAL",MONTH($O248)=MONTH(AS$4)),AE248*(1+Macroindicadores!B$7),IF(AND($J248="PONTUAL",MONTH($O248)&lt;MONTH(AS$4)),MIN(AR248:$AS248),IF(AND($I248="NOVO",MONTH($O248)&gt;MONTH(AS$4)),AE248,IF(MONTH($O248)&gt;MONTH(AS$4),AE248,IF(MONTH($O248)=MONTH(AS$4),AE248*(1+Macroindicadores!B$7),AR248)))))))))</f>
        <v>1.6</v>
      </c>
      <c r="AT248" s="39">
        <f>IF(ISBLANK(R248),"",IF(ISBLANK($O248),AF248,IF($J248="ANUAL",AF248*(1+Macroindicadores!C$7),IF(AND($I248="NOVO",MONTH($O248)=MONTH(AT$4)),AF248*(1+Macroindicadores!C$7),IF(AND($J248="PONTUAL",MONTH($O248)=MONTH(AT$4)),AF248*(1+Macroindicadores!C$7),IF(AND($J248="PONTUAL",MONTH($O248)&lt;MONTH(AT$4)),MIN($AS248:AS248),IF(AND($I248="NOVO",MONTH($O248)&gt;MONTH(AT$4)),AF248,IF(MONTH($O248)&gt;MONTH(AT$4),AF248,IF(MONTH($O248)=MONTH(AT$4),AF248*(1+Macroindicadores!C$7),AS248)))))))))</f>
        <v>1.6</v>
      </c>
      <c r="AU248" s="39">
        <f>IF(ISBLANK(S248),"",IF(ISBLANK($O248),AG248,IF($J248="ANUAL",AG248*(1+Macroindicadores!D$7),IF(AND($I248="NOVO",MONTH($O248)=MONTH(AU$4)),AG248*(1+Macroindicadores!D$7),IF(AND($J248="PONTUAL",MONTH($O248)=MONTH(AU$4)),AG248*(1+Macroindicadores!D$7),IF(AND($J248="PONTUAL",MONTH($O248)&lt;MONTH(AU$4)),MIN($AS248:AT248),IF(AND($I248="NOVO",MONTH($O248)&gt;MONTH(AU$4)),AG248,IF(MONTH($O248)&gt;MONTH(AU$4),AG248,IF(MONTH($O248)=MONTH(AU$4),AG248*(1+Macroindicadores!D$7),AT248)))))))))</f>
        <v>1.6</v>
      </c>
      <c r="AV248" s="39">
        <f>IF(ISBLANK(T248),"",IF(ISBLANK($O248),AH248,IF($J248="ANUAL",AH248*(1+Macroindicadores!E$7),IF(AND($I248="NOVO",MONTH($O248)=MONTH(AV$4)),AH248*(1+Macroindicadores!E$7),IF(AND($J248="PONTUAL",MONTH($O248)=MONTH(AV$4)),AH248*(1+Macroindicadores!E$7),IF(AND($J248="PONTUAL",MONTH($O248)&lt;MONTH(AV$4)),MIN($AS248:AU248),IF(AND($I248="NOVO",MONTH($O248)&gt;MONTH(AV$4)),AH248,IF(MONTH($O248)&gt;MONTH(AV$4),AH248,IF(MONTH($O248)=MONTH(AV$4),AH248*(1+Macroindicadores!E$7),AU248)))))))))</f>
        <v>1.6</v>
      </c>
      <c r="AW248" s="39">
        <f>IF(ISBLANK(U248),"",IF(ISBLANK($O248),AI248,IF($J248="ANUAL",AI248*(1+Macroindicadores!F$7),IF(AND($I248="NOVO",MONTH($O248)=MONTH(AW$4)),AI248*(1+Macroindicadores!F$7),IF(AND($J248="PONTUAL",MONTH($O248)=MONTH(AW$4)),AI248*(1+Macroindicadores!F$7),IF(AND($J248="PONTUAL",MONTH($O248)&lt;MONTH(AW$4)),MIN($AS248:AV248),IF(AND($I248="NOVO",MONTH($O248)&gt;MONTH(AW$4)),AI248,IF(MONTH($O248)&gt;MONTH(AW$4),AI248,IF(MONTH($O248)=MONTH(AW$4),AI248*(1+Macroindicadores!F$7),AV248)))))))))</f>
        <v>1.6</v>
      </c>
      <c r="AX248" s="39">
        <f>IF(ISBLANK(V248),"",IF(ISBLANK($O248),AJ248,IF($J248="ANUAL",AJ248*(1+Macroindicadores!G$7),IF(AND($I248="NOVO",MONTH($O248)=MONTH(AX$4)),AJ248*(1+Macroindicadores!G$7),IF(AND($J248="PONTUAL",MONTH($O248)=MONTH(AX$4)),AJ248*(1+Macroindicadores!G$7),IF(AND($J248="PONTUAL",MONTH($O248)&lt;MONTH(AX$4)),MIN($AS248:AW248),IF(AND($I248="NOVO",MONTH($O248)&gt;MONTH(AX$4)),AJ248,IF(MONTH($O248)&gt;MONTH(AX$4),AJ248,IF(MONTH($O248)=MONTH(AX$4),AJ248*(1+Macroindicadores!G$7),AW248)))))))))</f>
        <v>1.6</v>
      </c>
      <c r="AY248" s="39">
        <f>IF(ISBLANK(W248),"",IF(ISBLANK($O248),AK248,IF($J248="ANUAL",AK248*(1+Macroindicadores!H$7),IF(AND($I248="NOVO",MONTH($O248)=MONTH(AY$4)),AK248*(1+Macroindicadores!H$7),IF(AND($J248="PONTUAL",MONTH($O248)=MONTH(AY$4)),AK248*(1+Macroindicadores!H$7),IF(AND($J248="PONTUAL",MONTH($O248)&lt;MONTH(AY$4)),MIN($AS248:AX248),IF(AND($I248="NOVO",MONTH($O248)&gt;MONTH(AY$4)),AK248,IF(MONTH($O248)&gt;MONTH(AY$4),AK248,IF(MONTH($O248)=MONTH(AY$4),AK248*(1+Macroindicadores!H$7),AX248)))))))))</f>
        <v>1.6</v>
      </c>
      <c r="AZ248" s="39">
        <f>IF(ISBLANK(X248),"",IF(ISBLANK($O248),AL248,IF($J248="ANUAL",AL248*(1+Macroindicadores!I$7),IF(AND($I248="NOVO",MONTH($O248)=MONTH(AZ$4)),AL248*(1+Macroindicadores!I$7),IF(AND($J248="PONTUAL",MONTH($O248)=MONTH(AZ$4)),AL248*(1+Macroindicadores!I$7),IF(AND($J248="PONTUAL",MONTH($O248)&lt;MONTH(AZ$4)),MIN($AS248:AY248),IF(AND($I248="NOVO",MONTH($O248)&gt;MONTH(AZ$4)),AL248,IF(MONTH($O248)&gt;MONTH(AZ$4),AL248,IF(MONTH($O248)=MONTH(AZ$4),AL248*(1+Macroindicadores!I$7),AY248)))))))))</f>
        <v>1.6</v>
      </c>
      <c r="BA248" s="39">
        <f>IF(ISBLANK(Y248),"",IF(ISBLANK($O248),AM248,IF($J248="ANUAL",AM248*(1+Macroindicadores!J$7),IF(AND($I248="NOVO",MONTH($O248)=MONTH(BA$4)),AM248*(1+Macroindicadores!J$7),IF(AND($J248="PONTUAL",MONTH($O248)=MONTH(BA$4)),AM248*(1+Macroindicadores!J$7),IF(AND($J248="PONTUAL",MONTH($O248)&lt;MONTH(BA$4)),MIN($AS248:AZ248),IF(AND($I248="NOVO",MONTH($O248)&gt;MONTH(BA$4)),AM248,IF(MONTH($O248)&gt;MONTH(BA$4),AM248,IF(MONTH($O248)=MONTH(BA$4),AM248*(1+Macroindicadores!J$7),AZ248)))))))))</f>
        <v>1.6</v>
      </c>
      <c r="BB248" s="39">
        <f>IF(ISBLANK(Z248),"",IF(ISBLANK($O248),AN248,IF($J248="ANUAL",AN248*(1+Macroindicadores!K$7),IF(AND($I248="NOVO",MONTH($O248)=MONTH(BB$4)),AN248*(1+Macroindicadores!K$7),IF(AND($J248="PONTUAL",MONTH($O248)=MONTH(BB$4)),AN248*(1+Macroindicadores!K$7),IF(AND($J248="PONTUAL",MONTH($O248)&lt;MONTH(BB$4)),MIN($AS248:BA248),IF(AND($I248="NOVO",MONTH($O248)&gt;MONTH(BB$4)),AN248,IF(MONTH($O248)&gt;MONTH(BB$4),AN248,IF(MONTH($O248)=MONTH(BB$4),AN248*(1+Macroindicadores!K$7),BA248)))))))))</f>
        <v>1.6</v>
      </c>
      <c r="BC248" s="39">
        <f>IF(ISBLANK(AA248),"",IF(ISBLANK($O248),AO248,IF($J248="ANUAL",AO248*(1+Macroindicadores!L$7),IF(AND($I248="NOVO",MONTH($O248)=MONTH(BC$4)),AO248*(1+Macroindicadores!L$7),IF(AND($J248="PONTUAL",MONTH($O248)=MONTH(BC$4)),AO248*(1+Macroindicadores!L$7),IF(AND($J248="PONTUAL",MONTH($O248)&lt;MONTH(BC$4)),MIN($AS248:BB248),IF(AND($I248="NOVO",MONTH($O248)&gt;MONTH(BC$4)),AO248,IF(MONTH($O248)&gt;MONTH(BC$4),AO248,IF(MONTH($O248)=MONTH(BC$4),AO248*(1+Macroindicadores!L$7),BB248)))))))))</f>
        <v>1.6</v>
      </c>
      <c r="BD248" s="39">
        <f>IF(ISBLANK(AB248),"",IF(ISBLANK($O248),AP248,IF($J248="ANUAL",AP248*(1+Macroindicadores!M$7),IF(AND($I248="NOVO",MONTH($O248)=MONTH(BD$4)),AP248*(1+Macroindicadores!M$7),IF(AND($J248="PONTUAL",MONTH($O248)=MONTH(BD$4)),AP248*(1+Macroindicadores!M$7),IF(AND($J248="PONTUAL",MONTH($O248)&lt;MONTH(BD$4)),MIN($AS248:BC248),IF(AND($I248="NOVO",MONTH($O248)&gt;MONTH(BD$4)),AP248,IF(MONTH($O248)&gt;MONTH(BD$4),AP248,IF(MONTH($O248)=MONTH(BD$4),AP248*(1+Macroindicadores!M$7),BC248)))))))))</f>
        <v>1.6</v>
      </c>
      <c r="BE248" s="40">
        <f t="shared" si="106"/>
        <v>19.2</v>
      </c>
      <c r="BG248" s="39">
        <f>IF(ISBLANK(Q248),"",AS248/Macroindicadores!B$2)</f>
        <v>0.27210884353741499</v>
      </c>
      <c r="BH248" s="39">
        <f>IF(ISBLANK(R248),"",AT248/Macroindicadores!C$2)</f>
        <v>0.27210884353741499</v>
      </c>
      <c r="BI248" s="39">
        <f>IF(ISBLANK(S248),"",AU248/Macroindicadores!D$2)</f>
        <v>0.27210884353741499</v>
      </c>
      <c r="BJ248" s="39">
        <f>IF(ISBLANK(T248),"",AV248/Macroindicadores!E$2)</f>
        <v>0.27210884353741499</v>
      </c>
      <c r="BK248" s="39">
        <f>IF(ISBLANK(U248),"",AW248/Macroindicadores!F$2)</f>
        <v>0.27210884353741499</v>
      </c>
      <c r="BL248" s="39">
        <f>IF(ISBLANK(V248),"",AX248/Macroindicadores!G$2)</f>
        <v>0.27210884353741499</v>
      </c>
      <c r="BM248" s="39">
        <f>IF(ISBLANK(W248),"",AY248/Macroindicadores!H$2)</f>
        <v>0.27210884353741499</v>
      </c>
      <c r="BN248" s="39">
        <f>IF(ISBLANK(X248),"",AZ248/Macroindicadores!I$2)</f>
        <v>0.27210884353741499</v>
      </c>
      <c r="BO248" s="39">
        <f>IF(ISBLANK(Y248),"",BA248/Macroindicadores!J$2)</f>
        <v>0.27210884353741499</v>
      </c>
      <c r="BP248" s="39">
        <f>IF(ISBLANK(Z248),"",BB248/Macroindicadores!K$2)</f>
        <v>0.27210884353741499</v>
      </c>
      <c r="BQ248" s="39">
        <f>IF(ISBLANK(AA248),"",BC248/Macroindicadores!L$2)</f>
        <v>0.27210884353741499</v>
      </c>
      <c r="BR248" s="39">
        <f>IF(ISBLANK(AB248),"",BD248/Macroindicadores!M$2)</f>
        <v>0.27210884353741499</v>
      </c>
      <c r="BS248" s="40">
        <f t="shared" si="107"/>
        <v>3.2653061224489792</v>
      </c>
      <c r="BT248" s="25" t="str">
        <f>IF(ISBLANK($L248),"",_xlfn.XLOOKUP($L248,'CENTRO CUSTO'!$A:$A,'CENTRO CUSTO'!$E:$E,FALSE,0))</f>
        <v>G&amp;A PL</v>
      </c>
    </row>
    <row r="249" spans="1:72">
      <c r="A249" s="9" t="str">
        <f t="shared" si="80"/>
        <v>Budget</v>
      </c>
      <c r="B249" s="9">
        <f t="shared" si="77"/>
        <v>2026</v>
      </c>
      <c r="C249" s="18" t="str">
        <f>IF(ISBLANK($L249),"",_xlfn.XLOOKUP($L249,'CENTRO CUSTO'!$A:$A,'CENTRO CUSTO'!F:F,FALSE,0))</f>
        <v>Cone Sul</v>
      </c>
      <c r="D249" s="111" t="str">
        <f>IF(ISBLANK($L249),"",_xlfn.XLOOKUP($L249,'CENTRO CUSTO'!$A:$A,'CENTRO CUSTO'!G:G,FALSE,0))</f>
        <v>Plataforma</v>
      </c>
      <c r="E249" s="18" t="str">
        <f>IF(ISBLANK($L249),"",_xlfn.XLOOKUP($L249,'CENTRO CUSTO'!$A:$A,'CENTRO CUSTO'!H:H,FALSE,0))</f>
        <v>G&amp;A</v>
      </c>
      <c r="F249" s="10" t="s">
        <v>247</v>
      </c>
      <c r="G249" s="10" t="s">
        <v>233</v>
      </c>
      <c r="H249" s="10" t="s">
        <v>244</v>
      </c>
      <c r="I249" s="11" t="s">
        <v>77</v>
      </c>
      <c r="J249" s="11" t="s">
        <v>78</v>
      </c>
      <c r="K249" s="11" t="s">
        <v>94</v>
      </c>
      <c r="L249" s="11" t="s">
        <v>54</v>
      </c>
      <c r="M249" s="18" t="str">
        <f>IF(ISBLANK($L249),"",_xlfn.XLOOKUP($L249,'CENTRO CUSTO'!$A:$A,'CENTRO CUSTO'!D:D,FALSE,0))</f>
        <v>Alexandre Ayabe</v>
      </c>
      <c r="N249" s="11" t="s">
        <v>245</v>
      </c>
      <c r="O249" s="12"/>
      <c r="P249" s="11" t="s">
        <v>81</v>
      </c>
      <c r="Q249" s="41">
        <f>150*5</f>
        <v>750</v>
      </c>
      <c r="R249" s="41">
        <f t="shared" ref="R249:AB249" si="111">150*5</f>
        <v>750</v>
      </c>
      <c r="S249" s="41">
        <f t="shared" si="111"/>
        <v>750</v>
      </c>
      <c r="T249" s="41">
        <f t="shared" si="111"/>
        <v>750</v>
      </c>
      <c r="U249" s="41">
        <f t="shared" si="111"/>
        <v>750</v>
      </c>
      <c r="V249" s="41">
        <f t="shared" si="111"/>
        <v>750</v>
      </c>
      <c r="W249" s="41">
        <f t="shared" si="111"/>
        <v>750</v>
      </c>
      <c r="X249" s="41">
        <f t="shared" si="111"/>
        <v>750</v>
      </c>
      <c r="Y249" s="41">
        <f t="shared" si="111"/>
        <v>750</v>
      </c>
      <c r="Z249" s="41">
        <f t="shared" si="111"/>
        <v>750</v>
      </c>
      <c r="AA249" s="41">
        <f t="shared" si="111"/>
        <v>750</v>
      </c>
      <c r="AB249" s="41">
        <f t="shared" si="111"/>
        <v>750</v>
      </c>
      <c r="AC249" s="116">
        <f t="shared" si="104"/>
        <v>9000</v>
      </c>
      <c r="AE249" s="39">
        <f>IF(ISBLANK(Q249),"",IF($P249="BRL",Q249,Q249*Macroindicadores!B$2)/1000)</f>
        <v>0.75</v>
      </c>
      <c r="AF249" s="39">
        <f>IF(ISBLANK(R249),"",IF($P249="BRL",R249,R249*Macroindicadores!C$2)/1000)</f>
        <v>0.75</v>
      </c>
      <c r="AG249" s="39">
        <f>IF(ISBLANK(S249),"",IF($P249="BRL",S249,S249*Macroindicadores!D$2)/1000)</f>
        <v>0.75</v>
      </c>
      <c r="AH249" s="39">
        <f>IF(ISBLANK(T249),"",IF($P249="BRL",T249,T249*Macroindicadores!E$2)/1000)</f>
        <v>0.75</v>
      </c>
      <c r="AI249" s="39">
        <f>IF(ISBLANK(U249),"",IF($P249="BRL",U249,U249*Macroindicadores!F$2)/1000)</f>
        <v>0.75</v>
      </c>
      <c r="AJ249" s="39">
        <f>IF(ISBLANK(V249),"",IF($P249="BRL",V249,V249*Macroindicadores!G$2)/1000)</f>
        <v>0.75</v>
      </c>
      <c r="AK249" s="39">
        <f>IF(ISBLANK(W249),"",IF($P249="BRL",W249,W249*Macroindicadores!H$2)/1000)</f>
        <v>0.75</v>
      </c>
      <c r="AL249" s="39">
        <f>IF(ISBLANK(X249),"",IF($P249="BRL",X249,X249*Macroindicadores!I$2)/1000)</f>
        <v>0.75</v>
      </c>
      <c r="AM249" s="39">
        <f>IF(ISBLANK(Y249),"",IF($P249="BRL",Y249,Y249*Macroindicadores!J$2)/1000)</f>
        <v>0.75</v>
      </c>
      <c r="AN249" s="39">
        <f>IF(ISBLANK(Z249),"",IF($P249="BRL",Z249,Z249*Macroindicadores!K$2)/1000)</f>
        <v>0.75</v>
      </c>
      <c r="AO249" s="39">
        <f>IF(ISBLANK(AA249),"",IF($P249="BRL",AA249,AA249*Macroindicadores!L$2)/1000)</f>
        <v>0.75</v>
      </c>
      <c r="AP249" s="39">
        <f>IF(ISBLANK(AB249),"",IF($P249="BRL",AB249,AB249*Macroindicadores!M$2)/1000)</f>
        <v>0.75</v>
      </c>
      <c r="AQ249" s="40">
        <f t="shared" si="105"/>
        <v>9</v>
      </c>
      <c r="AS249" s="39">
        <f>IF(ISBLANK(Q249),"",IF(ISBLANK($O249),AE249,IF($J249="ANUAL",AE249*(1+Macroindicadores!B$7),IF(AND($I249="NOVO",MONTH($O249)=MONTH(AS$4)),AE249*(1+Macroindicadores!B$7),IF(AND($J249="PONTUAL",MONTH($O249)=MONTH(AS$4)),AE249*(1+Macroindicadores!B$7),IF(AND($J249="PONTUAL",MONTH($O249)&lt;MONTH(AS$4)),MIN(AR249:$AS249),IF(AND($I249="NOVO",MONTH($O249)&gt;MONTH(AS$4)),AE249,IF(MONTH($O249)&gt;MONTH(AS$4),AE249,IF(MONTH($O249)=MONTH(AS$4),AE249*(1+Macroindicadores!B$7),AR249)))))))))</f>
        <v>0.75</v>
      </c>
      <c r="AT249" s="39">
        <f>IF(ISBLANK(R249),"",IF(ISBLANK($O249),AF249,IF($J249="ANUAL",AF249*(1+Macroindicadores!C$7),IF(AND($I249="NOVO",MONTH($O249)=MONTH(AT$4)),AF249*(1+Macroindicadores!C$7),IF(AND($J249="PONTUAL",MONTH($O249)=MONTH(AT$4)),AF249*(1+Macroindicadores!C$7),IF(AND($J249="PONTUAL",MONTH($O249)&lt;MONTH(AT$4)),MIN($AS249:AS249),IF(AND($I249="NOVO",MONTH($O249)&gt;MONTH(AT$4)),AF249,IF(MONTH($O249)&gt;MONTH(AT$4),AF249,IF(MONTH($O249)=MONTH(AT$4),AF249*(1+Macroindicadores!C$7),AS249)))))))))</f>
        <v>0.75</v>
      </c>
      <c r="AU249" s="39">
        <f>IF(ISBLANK(S249),"",IF(ISBLANK($O249),AG249,IF($J249="ANUAL",AG249*(1+Macroindicadores!D$7),IF(AND($I249="NOVO",MONTH($O249)=MONTH(AU$4)),AG249*(1+Macroindicadores!D$7),IF(AND($J249="PONTUAL",MONTH($O249)=MONTH(AU$4)),AG249*(1+Macroindicadores!D$7),IF(AND($J249="PONTUAL",MONTH($O249)&lt;MONTH(AU$4)),MIN($AS249:AT249),IF(AND($I249="NOVO",MONTH($O249)&gt;MONTH(AU$4)),AG249,IF(MONTH($O249)&gt;MONTH(AU$4),AG249,IF(MONTH($O249)=MONTH(AU$4),AG249*(1+Macroindicadores!D$7),AT249)))))))))</f>
        <v>0.75</v>
      </c>
      <c r="AV249" s="39">
        <f>IF(ISBLANK(T249),"",IF(ISBLANK($O249),AH249,IF($J249="ANUAL",AH249*(1+Macroindicadores!E$7),IF(AND($I249="NOVO",MONTH($O249)=MONTH(AV$4)),AH249*(1+Macroindicadores!E$7),IF(AND($J249="PONTUAL",MONTH($O249)=MONTH(AV$4)),AH249*(1+Macroindicadores!E$7),IF(AND($J249="PONTUAL",MONTH($O249)&lt;MONTH(AV$4)),MIN($AS249:AU249),IF(AND($I249="NOVO",MONTH($O249)&gt;MONTH(AV$4)),AH249,IF(MONTH($O249)&gt;MONTH(AV$4),AH249,IF(MONTH($O249)=MONTH(AV$4),AH249*(1+Macroindicadores!E$7),AU249)))))))))</f>
        <v>0.75</v>
      </c>
      <c r="AW249" s="39">
        <f>IF(ISBLANK(U249),"",IF(ISBLANK($O249),AI249,IF($J249="ANUAL",AI249*(1+Macroindicadores!F$7),IF(AND($I249="NOVO",MONTH($O249)=MONTH(AW$4)),AI249*(1+Macroindicadores!F$7),IF(AND($J249="PONTUAL",MONTH($O249)=MONTH(AW$4)),AI249*(1+Macroindicadores!F$7),IF(AND($J249="PONTUAL",MONTH($O249)&lt;MONTH(AW$4)),MIN($AS249:AV249),IF(AND($I249="NOVO",MONTH($O249)&gt;MONTH(AW$4)),AI249,IF(MONTH($O249)&gt;MONTH(AW$4),AI249,IF(MONTH($O249)=MONTH(AW$4),AI249*(1+Macroindicadores!F$7),AV249)))))))))</f>
        <v>0.75</v>
      </c>
      <c r="AX249" s="39">
        <f>IF(ISBLANK(V249),"",IF(ISBLANK($O249),AJ249,IF($J249="ANUAL",AJ249*(1+Macroindicadores!G$7),IF(AND($I249="NOVO",MONTH($O249)=MONTH(AX$4)),AJ249*(1+Macroindicadores!G$7),IF(AND($J249="PONTUAL",MONTH($O249)=MONTH(AX$4)),AJ249*(1+Macroindicadores!G$7),IF(AND($J249="PONTUAL",MONTH($O249)&lt;MONTH(AX$4)),MIN($AS249:AW249),IF(AND($I249="NOVO",MONTH($O249)&gt;MONTH(AX$4)),AJ249,IF(MONTH($O249)&gt;MONTH(AX$4),AJ249,IF(MONTH($O249)=MONTH(AX$4),AJ249*(1+Macroindicadores!G$7),AW249)))))))))</f>
        <v>0.75</v>
      </c>
      <c r="AY249" s="39">
        <f>IF(ISBLANK(W249),"",IF(ISBLANK($O249),AK249,IF($J249="ANUAL",AK249*(1+Macroindicadores!H$7),IF(AND($I249="NOVO",MONTH($O249)=MONTH(AY$4)),AK249*(1+Macroindicadores!H$7),IF(AND($J249="PONTUAL",MONTH($O249)=MONTH(AY$4)),AK249*(1+Macroindicadores!H$7),IF(AND($J249="PONTUAL",MONTH($O249)&lt;MONTH(AY$4)),MIN($AS249:AX249),IF(AND($I249="NOVO",MONTH($O249)&gt;MONTH(AY$4)),AK249,IF(MONTH($O249)&gt;MONTH(AY$4),AK249,IF(MONTH($O249)=MONTH(AY$4),AK249*(1+Macroindicadores!H$7),AX249)))))))))</f>
        <v>0.75</v>
      </c>
      <c r="AZ249" s="39">
        <f>IF(ISBLANK(X249),"",IF(ISBLANK($O249),AL249,IF($J249="ANUAL",AL249*(1+Macroindicadores!I$7),IF(AND($I249="NOVO",MONTH($O249)=MONTH(AZ$4)),AL249*(1+Macroindicadores!I$7),IF(AND($J249="PONTUAL",MONTH($O249)=MONTH(AZ$4)),AL249*(1+Macroindicadores!I$7),IF(AND($J249="PONTUAL",MONTH($O249)&lt;MONTH(AZ$4)),MIN($AS249:AY249),IF(AND($I249="NOVO",MONTH($O249)&gt;MONTH(AZ$4)),AL249,IF(MONTH($O249)&gt;MONTH(AZ$4),AL249,IF(MONTH($O249)=MONTH(AZ$4),AL249*(1+Macroindicadores!I$7),AY249)))))))))</f>
        <v>0.75</v>
      </c>
      <c r="BA249" s="39">
        <f>IF(ISBLANK(Y249),"",IF(ISBLANK($O249),AM249,IF($J249="ANUAL",AM249*(1+Macroindicadores!J$7),IF(AND($I249="NOVO",MONTH($O249)=MONTH(BA$4)),AM249*(1+Macroindicadores!J$7),IF(AND($J249="PONTUAL",MONTH($O249)=MONTH(BA$4)),AM249*(1+Macroindicadores!J$7),IF(AND($J249="PONTUAL",MONTH($O249)&lt;MONTH(BA$4)),MIN($AS249:AZ249),IF(AND($I249="NOVO",MONTH($O249)&gt;MONTH(BA$4)),AM249,IF(MONTH($O249)&gt;MONTH(BA$4),AM249,IF(MONTH($O249)=MONTH(BA$4),AM249*(1+Macroindicadores!J$7),AZ249)))))))))</f>
        <v>0.75</v>
      </c>
      <c r="BB249" s="39">
        <f>IF(ISBLANK(Z249),"",IF(ISBLANK($O249),AN249,IF($J249="ANUAL",AN249*(1+Macroindicadores!K$7),IF(AND($I249="NOVO",MONTH($O249)=MONTH(BB$4)),AN249*(1+Macroindicadores!K$7),IF(AND($J249="PONTUAL",MONTH($O249)=MONTH(BB$4)),AN249*(1+Macroindicadores!K$7),IF(AND($J249="PONTUAL",MONTH($O249)&lt;MONTH(BB$4)),MIN($AS249:BA249),IF(AND($I249="NOVO",MONTH($O249)&gt;MONTH(BB$4)),AN249,IF(MONTH($O249)&gt;MONTH(BB$4),AN249,IF(MONTH($O249)=MONTH(BB$4),AN249*(1+Macroindicadores!K$7),BA249)))))))))</f>
        <v>0.75</v>
      </c>
      <c r="BC249" s="39">
        <f>IF(ISBLANK(AA249),"",IF(ISBLANK($O249),AO249,IF($J249="ANUAL",AO249*(1+Macroindicadores!L$7),IF(AND($I249="NOVO",MONTH($O249)=MONTH(BC$4)),AO249*(1+Macroindicadores!L$7),IF(AND($J249="PONTUAL",MONTH($O249)=MONTH(BC$4)),AO249*(1+Macroindicadores!L$7),IF(AND($J249="PONTUAL",MONTH($O249)&lt;MONTH(BC$4)),MIN($AS249:BB249),IF(AND($I249="NOVO",MONTH($O249)&gt;MONTH(BC$4)),AO249,IF(MONTH($O249)&gt;MONTH(BC$4),AO249,IF(MONTH($O249)=MONTH(BC$4),AO249*(1+Macroindicadores!L$7),BB249)))))))))</f>
        <v>0.75</v>
      </c>
      <c r="BD249" s="39">
        <f>IF(ISBLANK(AB249),"",IF(ISBLANK($O249),AP249,IF($J249="ANUAL",AP249*(1+Macroindicadores!M$7),IF(AND($I249="NOVO",MONTH($O249)=MONTH(BD$4)),AP249*(1+Macroindicadores!M$7),IF(AND($J249="PONTUAL",MONTH($O249)=MONTH(BD$4)),AP249*(1+Macroindicadores!M$7),IF(AND($J249="PONTUAL",MONTH($O249)&lt;MONTH(BD$4)),MIN($AS249:BC249),IF(AND($I249="NOVO",MONTH($O249)&gt;MONTH(BD$4)),AP249,IF(MONTH($O249)&gt;MONTH(BD$4),AP249,IF(MONTH($O249)=MONTH(BD$4),AP249*(1+Macroindicadores!M$7),BC249)))))))))</f>
        <v>0.75</v>
      </c>
      <c r="BE249" s="40">
        <f t="shared" si="106"/>
        <v>9</v>
      </c>
      <c r="BG249" s="39">
        <f>IF(ISBLANK(Q249),"",AS249/Macroindicadores!B$2)</f>
        <v>0.12755102040816327</v>
      </c>
      <c r="BH249" s="39">
        <f>IF(ISBLANK(R249),"",AT249/Macroindicadores!C$2)</f>
        <v>0.12755102040816327</v>
      </c>
      <c r="BI249" s="39">
        <f>IF(ISBLANK(S249),"",AU249/Macroindicadores!D$2)</f>
        <v>0.12755102040816327</v>
      </c>
      <c r="BJ249" s="39">
        <f>IF(ISBLANK(T249),"",AV249/Macroindicadores!E$2)</f>
        <v>0.12755102040816327</v>
      </c>
      <c r="BK249" s="39">
        <f>IF(ISBLANK(U249),"",AW249/Macroindicadores!F$2)</f>
        <v>0.12755102040816327</v>
      </c>
      <c r="BL249" s="39">
        <f>IF(ISBLANK(V249),"",AX249/Macroindicadores!G$2)</f>
        <v>0.12755102040816327</v>
      </c>
      <c r="BM249" s="39">
        <f>IF(ISBLANK(W249),"",AY249/Macroindicadores!H$2)</f>
        <v>0.12755102040816327</v>
      </c>
      <c r="BN249" s="39">
        <f>IF(ISBLANK(X249),"",AZ249/Macroindicadores!I$2)</f>
        <v>0.12755102040816327</v>
      </c>
      <c r="BO249" s="39">
        <f>IF(ISBLANK(Y249),"",BA249/Macroindicadores!J$2)</f>
        <v>0.12755102040816327</v>
      </c>
      <c r="BP249" s="39">
        <f>IF(ISBLANK(Z249),"",BB249/Macroindicadores!K$2)</f>
        <v>0.12755102040816327</v>
      </c>
      <c r="BQ249" s="39">
        <f>IF(ISBLANK(AA249),"",BC249/Macroindicadores!L$2)</f>
        <v>0.12755102040816327</v>
      </c>
      <c r="BR249" s="39">
        <f>IF(ISBLANK(AB249),"",BD249/Macroindicadores!M$2)</f>
        <v>0.12755102040816327</v>
      </c>
      <c r="BS249" s="40">
        <f t="shared" si="107"/>
        <v>1.5306122448979596</v>
      </c>
      <c r="BT249" s="25" t="str">
        <f>IF(ISBLANK($L249),"",_xlfn.XLOOKUP($L249,'CENTRO CUSTO'!$A:$A,'CENTRO CUSTO'!$E:$E,FALSE,0))</f>
        <v>G&amp;A PL</v>
      </c>
    </row>
    <row r="250" spans="1:72">
      <c r="A250" s="9" t="str">
        <f t="shared" si="80"/>
        <v>Budget</v>
      </c>
      <c r="B250" s="9">
        <f t="shared" si="77"/>
        <v>2026</v>
      </c>
      <c r="C250" s="18" t="str">
        <f>IF(ISBLANK($L250),"",_xlfn.XLOOKUP($L250,'CENTRO CUSTO'!$A:$A,'CENTRO CUSTO'!F:F,FALSE,0))</f>
        <v>Cone Sul</v>
      </c>
      <c r="D250" s="111" t="str">
        <f>IF(ISBLANK($L250),"",_xlfn.XLOOKUP($L250,'CENTRO CUSTO'!$A:$A,'CENTRO CUSTO'!G:G,FALSE,0))</f>
        <v>Plataforma</v>
      </c>
      <c r="E250" s="18" t="str">
        <f>IF(ISBLANK($L250),"",_xlfn.XLOOKUP($L250,'CENTRO CUSTO'!$A:$A,'CENTRO CUSTO'!H:H,FALSE,0))</f>
        <v>G&amp;A</v>
      </c>
      <c r="F250" s="10" t="s">
        <v>248</v>
      </c>
      <c r="G250" s="10" t="s">
        <v>233</v>
      </c>
      <c r="H250" s="10" t="s">
        <v>244</v>
      </c>
      <c r="I250" s="11" t="s">
        <v>77</v>
      </c>
      <c r="J250" s="11" t="s">
        <v>78</v>
      </c>
      <c r="K250" s="11" t="s">
        <v>94</v>
      </c>
      <c r="L250" s="11" t="s">
        <v>54</v>
      </c>
      <c r="M250" s="18" t="str">
        <f>IF(ISBLANK($L250),"",_xlfn.XLOOKUP($L250,'CENTRO CUSTO'!$A:$A,'CENTRO CUSTO'!D:D,FALSE,0))</f>
        <v>Alexandre Ayabe</v>
      </c>
      <c r="N250" s="11" t="s">
        <v>245</v>
      </c>
      <c r="O250" s="12"/>
      <c r="P250" s="11" t="s">
        <v>81</v>
      </c>
      <c r="Q250" s="41">
        <f>400*5</f>
        <v>2000</v>
      </c>
      <c r="R250" s="41">
        <f t="shared" ref="R250:AB250" si="112">400*5</f>
        <v>2000</v>
      </c>
      <c r="S250" s="41">
        <f t="shared" si="112"/>
        <v>2000</v>
      </c>
      <c r="T250" s="41">
        <f t="shared" si="112"/>
        <v>2000</v>
      </c>
      <c r="U250" s="41">
        <f t="shared" si="112"/>
        <v>2000</v>
      </c>
      <c r="V250" s="41">
        <f t="shared" si="112"/>
        <v>2000</v>
      </c>
      <c r="W250" s="41">
        <f t="shared" si="112"/>
        <v>2000</v>
      </c>
      <c r="X250" s="41">
        <f t="shared" si="112"/>
        <v>2000</v>
      </c>
      <c r="Y250" s="41">
        <f t="shared" si="112"/>
        <v>2000</v>
      </c>
      <c r="Z250" s="41">
        <f t="shared" si="112"/>
        <v>2000</v>
      </c>
      <c r="AA250" s="41">
        <f t="shared" si="112"/>
        <v>2000</v>
      </c>
      <c r="AB250" s="41">
        <f t="shared" si="112"/>
        <v>2000</v>
      </c>
      <c r="AC250" s="116">
        <f t="shared" si="104"/>
        <v>24000</v>
      </c>
      <c r="AE250" s="39">
        <f>IF(ISBLANK(Q250),"",IF($P250="BRL",Q250,Q250*Macroindicadores!B$2)/1000)</f>
        <v>2</v>
      </c>
      <c r="AF250" s="39">
        <f>IF(ISBLANK(R250),"",IF($P250="BRL",R250,R250*Macroindicadores!C$2)/1000)</f>
        <v>2</v>
      </c>
      <c r="AG250" s="39">
        <f>IF(ISBLANK(S250),"",IF($P250="BRL",S250,S250*Macroindicadores!D$2)/1000)</f>
        <v>2</v>
      </c>
      <c r="AH250" s="39">
        <f>IF(ISBLANK(T250),"",IF($P250="BRL",T250,T250*Macroindicadores!E$2)/1000)</f>
        <v>2</v>
      </c>
      <c r="AI250" s="39">
        <f>IF(ISBLANK(U250),"",IF($P250="BRL",U250,U250*Macroindicadores!F$2)/1000)</f>
        <v>2</v>
      </c>
      <c r="AJ250" s="39">
        <f>IF(ISBLANK(V250),"",IF($P250="BRL",V250,V250*Macroindicadores!G$2)/1000)</f>
        <v>2</v>
      </c>
      <c r="AK250" s="39">
        <f>IF(ISBLANK(W250),"",IF($P250="BRL",W250,W250*Macroindicadores!H$2)/1000)</f>
        <v>2</v>
      </c>
      <c r="AL250" s="39">
        <f>IF(ISBLANK(X250),"",IF($P250="BRL",X250,X250*Macroindicadores!I$2)/1000)</f>
        <v>2</v>
      </c>
      <c r="AM250" s="39">
        <f>IF(ISBLANK(Y250),"",IF($P250="BRL",Y250,Y250*Macroindicadores!J$2)/1000)</f>
        <v>2</v>
      </c>
      <c r="AN250" s="39">
        <f>IF(ISBLANK(Z250),"",IF($P250="BRL",Z250,Z250*Macroindicadores!K$2)/1000)</f>
        <v>2</v>
      </c>
      <c r="AO250" s="39">
        <f>IF(ISBLANK(AA250),"",IF($P250="BRL",AA250,AA250*Macroindicadores!L$2)/1000)</f>
        <v>2</v>
      </c>
      <c r="AP250" s="39">
        <f>IF(ISBLANK(AB250),"",IF($P250="BRL",AB250,AB250*Macroindicadores!M$2)/1000)</f>
        <v>2</v>
      </c>
      <c r="AQ250" s="40">
        <f t="shared" si="105"/>
        <v>24</v>
      </c>
      <c r="AS250" s="39">
        <f>IF(ISBLANK(Q250),"",IF(ISBLANK($O250),AE250,IF($J250="ANUAL",AE250*(1+Macroindicadores!B$7),IF(AND($I250="NOVO",MONTH($O250)=MONTH(AS$4)),AE250*(1+Macroindicadores!B$7),IF(AND($J250="PONTUAL",MONTH($O250)=MONTH(AS$4)),AE250*(1+Macroindicadores!B$7),IF(AND($J250="PONTUAL",MONTH($O250)&lt;MONTH(AS$4)),MIN(AR250:$AS250),IF(AND($I250="NOVO",MONTH($O250)&gt;MONTH(AS$4)),AE250,IF(MONTH($O250)&gt;MONTH(AS$4),AE250,IF(MONTH($O250)=MONTH(AS$4),AE250*(1+Macroindicadores!B$7),AR250)))))))))</f>
        <v>2</v>
      </c>
      <c r="AT250" s="39">
        <f>IF(ISBLANK(R250),"",IF(ISBLANK($O250),AF250,IF($J250="ANUAL",AF250*(1+Macroindicadores!C$7),IF(AND($I250="NOVO",MONTH($O250)=MONTH(AT$4)),AF250*(1+Macroindicadores!C$7),IF(AND($J250="PONTUAL",MONTH($O250)=MONTH(AT$4)),AF250*(1+Macroindicadores!C$7),IF(AND($J250="PONTUAL",MONTH($O250)&lt;MONTH(AT$4)),MIN($AS250:AS250),IF(AND($I250="NOVO",MONTH($O250)&gt;MONTH(AT$4)),AF250,IF(MONTH($O250)&gt;MONTH(AT$4),AF250,IF(MONTH($O250)=MONTH(AT$4),AF250*(1+Macroindicadores!C$7),AS250)))))))))</f>
        <v>2</v>
      </c>
      <c r="AU250" s="39">
        <f>IF(ISBLANK(S250),"",IF(ISBLANK($O250),AG250,IF($J250="ANUAL",AG250*(1+Macroindicadores!D$7),IF(AND($I250="NOVO",MONTH($O250)=MONTH(AU$4)),AG250*(1+Macroindicadores!D$7),IF(AND($J250="PONTUAL",MONTH($O250)=MONTH(AU$4)),AG250*(1+Macroindicadores!D$7),IF(AND($J250="PONTUAL",MONTH($O250)&lt;MONTH(AU$4)),MIN($AS250:AT250),IF(AND($I250="NOVO",MONTH($O250)&gt;MONTH(AU$4)),AG250,IF(MONTH($O250)&gt;MONTH(AU$4),AG250,IF(MONTH($O250)=MONTH(AU$4),AG250*(1+Macroindicadores!D$7),AT250)))))))))</f>
        <v>2</v>
      </c>
      <c r="AV250" s="39">
        <f>IF(ISBLANK(T250),"",IF(ISBLANK($O250),AH250,IF($J250="ANUAL",AH250*(1+Macroindicadores!E$7),IF(AND($I250="NOVO",MONTH($O250)=MONTH(AV$4)),AH250*(1+Macroindicadores!E$7),IF(AND($J250="PONTUAL",MONTH($O250)=MONTH(AV$4)),AH250*(1+Macroindicadores!E$7),IF(AND($J250="PONTUAL",MONTH($O250)&lt;MONTH(AV$4)),MIN($AS250:AU250),IF(AND($I250="NOVO",MONTH($O250)&gt;MONTH(AV$4)),AH250,IF(MONTH($O250)&gt;MONTH(AV$4),AH250,IF(MONTH($O250)=MONTH(AV$4),AH250*(1+Macroindicadores!E$7),AU250)))))))))</f>
        <v>2</v>
      </c>
      <c r="AW250" s="39">
        <f>IF(ISBLANK(U250),"",IF(ISBLANK($O250),AI250,IF($J250="ANUAL",AI250*(1+Macroindicadores!F$7),IF(AND($I250="NOVO",MONTH($O250)=MONTH(AW$4)),AI250*(1+Macroindicadores!F$7),IF(AND($J250="PONTUAL",MONTH($O250)=MONTH(AW$4)),AI250*(1+Macroindicadores!F$7),IF(AND($J250="PONTUAL",MONTH($O250)&lt;MONTH(AW$4)),MIN($AS250:AV250),IF(AND($I250="NOVO",MONTH($O250)&gt;MONTH(AW$4)),AI250,IF(MONTH($O250)&gt;MONTH(AW$4),AI250,IF(MONTH($O250)=MONTH(AW$4),AI250*(1+Macroindicadores!F$7),AV250)))))))))</f>
        <v>2</v>
      </c>
      <c r="AX250" s="39">
        <f>IF(ISBLANK(V250),"",IF(ISBLANK($O250),AJ250,IF($J250="ANUAL",AJ250*(1+Macroindicadores!G$7),IF(AND($I250="NOVO",MONTH($O250)=MONTH(AX$4)),AJ250*(1+Macroindicadores!G$7),IF(AND($J250="PONTUAL",MONTH($O250)=MONTH(AX$4)),AJ250*(1+Macroindicadores!G$7),IF(AND($J250="PONTUAL",MONTH($O250)&lt;MONTH(AX$4)),MIN($AS250:AW250),IF(AND($I250="NOVO",MONTH($O250)&gt;MONTH(AX$4)),AJ250,IF(MONTH($O250)&gt;MONTH(AX$4),AJ250,IF(MONTH($O250)=MONTH(AX$4),AJ250*(1+Macroindicadores!G$7),AW250)))))))))</f>
        <v>2</v>
      </c>
      <c r="AY250" s="39">
        <f>IF(ISBLANK(W250),"",IF(ISBLANK($O250),AK250,IF($J250="ANUAL",AK250*(1+Macroindicadores!H$7),IF(AND($I250="NOVO",MONTH($O250)=MONTH(AY$4)),AK250*(1+Macroindicadores!H$7),IF(AND($J250="PONTUAL",MONTH($O250)=MONTH(AY$4)),AK250*(1+Macroindicadores!H$7),IF(AND($J250="PONTUAL",MONTH($O250)&lt;MONTH(AY$4)),MIN($AS250:AX250),IF(AND($I250="NOVO",MONTH($O250)&gt;MONTH(AY$4)),AK250,IF(MONTH($O250)&gt;MONTH(AY$4),AK250,IF(MONTH($O250)=MONTH(AY$4),AK250*(1+Macroindicadores!H$7),AX250)))))))))</f>
        <v>2</v>
      </c>
      <c r="AZ250" s="39">
        <f>IF(ISBLANK(X250),"",IF(ISBLANK($O250),AL250,IF($J250="ANUAL",AL250*(1+Macroindicadores!I$7),IF(AND($I250="NOVO",MONTH($O250)=MONTH(AZ$4)),AL250*(1+Macroindicadores!I$7),IF(AND($J250="PONTUAL",MONTH($O250)=MONTH(AZ$4)),AL250*(1+Macroindicadores!I$7),IF(AND($J250="PONTUAL",MONTH($O250)&lt;MONTH(AZ$4)),MIN($AS250:AY250),IF(AND($I250="NOVO",MONTH($O250)&gt;MONTH(AZ$4)),AL250,IF(MONTH($O250)&gt;MONTH(AZ$4),AL250,IF(MONTH($O250)=MONTH(AZ$4),AL250*(1+Macroindicadores!I$7),AY250)))))))))</f>
        <v>2</v>
      </c>
      <c r="BA250" s="39">
        <f>IF(ISBLANK(Y250),"",IF(ISBLANK($O250),AM250,IF($J250="ANUAL",AM250*(1+Macroindicadores!J$7),IF(AND($I250="NOVO",MONTH($O250)=MONTH(BA$4)),AM250*(1+Macroindicadores!J$7),IF(AND($J250="PONTUAL",MONTH($O250)=MONTH(BA$4)),AM250*(1+Macroindicadores!J$7),IF(AND($J250="PONTUAL",MONTH($O250)&lt;MONTH(BA$4)),MIN($AS250:AZ250),IF(AND($I250="NOVO",MONTH($O250)&gt;MONTH(BA$4)),AM250,IF(MONTH($O250)&gt;MONTH(BA$4),AM250,IF(MONTH($O250)=MONTH(BA$4),AM250*(1+Macroindicadores!J$7),AZ250)))))))))</f>
        <v>2</v>
      </c>
      <c r="BB250" s="39">
        <f>IF(ISBLANK(Z250),"",IF(ISBLANK($O250),AN250,IF($J250="ANUAL",AN250*(1+Macroindicadores!K$7),IF(AND($I250="NOVO",MONTH($O250)=MONTH(BB$4)),AN250*(1+Macroindicadores!K$7),IF(AND($J250="PONTUAL",MONTH($O250)=MONTH(BB$4)),AN250*(1+Macroindicadores!K$7),IF(AND($J250="PONTUAL",MONTH($O250)&lt;MONTH(BB$4)),MIN($AS250:BA250),IF(AND($I250="NOVO",MONTH($O250)&gt;MONTH(BB$4)),AN250,IF(MONTH($O250)&gt;MONTH(BB$4),AN250,IF(MONTH($O250)=MONTH(BB$4),AN250*(1+Macroindicadores!K$7),BA250)))))))))</f>
        <v>2</v>
      </c>
      <c r="BC250" s="39">
        <f>IF(ISBLANK(AA250),"",IF(ISBLANK($O250),AO250,IF($J250="ANUAL",AO250*(1+Macroindicadores!L$7),IF(AND($I250="NOVO",MONTH($O250)=MONTH(BC$4)),AO250*(1+Macroindicadores!L$7),IF(AND($J250="PONTUAL",MONTH($O250)=MONTH(BC$4)),AO250*(1+Macroindicadores!L$7),IF(AND($J250="PONTUAL",MONTH($O250)&lt;MONTH(BC$4)),MIN($AS250:BB250),IF(AND($I250="NOVO",MONTH($O250)&gt;MONTH(BC$4)),AO250,IF(MONTH($O250)&gt;MONTH(BC$4),AO250,IF(MONTH($O250)=MONTH(BC$4),AO250*(1+Macroindicadores!L$7),BB250)))))))))</f>
        <v>2</v>
      </c>
      <c r="BD250" s="39">
        <f>IF(ISBLANK(AB250),"",IF(ISBLANK($O250),AP250,IF($J250="ANUAL",AP250*(1+Macroindicadores!M$7),IF(AND($I250="NOVO",MONTH($O250)=MONTH(BD$4)),AP250*(1+Macroindicadores!M$7),IF(AND($J250="PONTUAL",MONTH($O250)=MONTH(BD$4)),AP250*(1+Macroindicadores!M$7),IF(AND($J250="PONTUAL",MONTH($O250)&lt;MONTH(BD$4)),MIN($AS250:BC250),IF(AND($I250="NOVO",MONTH($O250)&gt;MONTH(BD$4)),AP250,IF(MONTH($O250)&gt;MONTH(BD$4),AP250,IF(MONTH($O250)=MONTH(BD$4),AP250*(1+Macroindicadores!M$7),BC250)))))))))</f>
        <v>2</v>
      </c>
      <c r="BE250" s="40">
        <f t="shared" si="106"/>
        <v>24</v>
      </c>
      <c r="BG250" s="39">
        <f>IF(ISBLANK(Q250),"",AS250/Macroindicadores!B$2)</f>
        <v>0.3401360544217687</v>
      </c>
      <c r="BH250" s="39">
        <f>IF(ISBLANK(R250),"",AT250/Macroindicadores!C$2)</f>
        <v>0.3401360544217687</v>
      </c>
      <c r="BI250" s="39">
        <f>IF(ISBLANK(S250),"",AU250/Macroindicadores!D$2)</f>
        <v>0.3401360544217687</v>
      </c>
      <c r="BJ250" s="39">
        <f>IF(ISBLANK(T250),"",AV250/Macroindicadores!E$2)</f>
        <v>0.3401360544217687</v>
      </c>
      <c r="BK250" s="39">
        <f>IF(ISBLANK(U250),"",AW250/Macroindicadores!F$2)</f>
        <v>0.3401360544217687</v>
      </c>
      <c r="BL250" s="39">
        <f>IF(ISBLANK(V250),"",AX250/Macroindicadores!G$2)</f>
        <v>0.3401360544217687</v>
      </c>
      <c r="BM250" s="39">
        <f>IF(ISBLANK(W250),"",AY250/Macroindicadores!H$2)</f>
        <v>0.3401360544217687</v>
      </c>
      <c r="BN250" s="39">
        <f>IF(ISBLANK(X250),"",AZ250/Macroindicadores!I$2)</f>
        <v>0.3401360544217687</v>
      </c>
      <c r="BO250" s="39">
        <f>IF(ISBLANK(Y250),"",BA250/Macroindicadores!J$2)</f>
        <v>0.3401360544217687</v>
      </c>
      <c r="BP250" s="39">
        <f>IF(ISBLANK(Z250),"",BB250/Macroindicadores!K$2)</f>
        <v>0.3401360544217687</v>
      </c>
      <c r="BQ250" s="39">
        <f>IF(ISBLANK(AA250),"",BC250/Macroindicadores!L$2)</f>
        <v>0.3401360544217687</v>
      </c>
      <c r="BR250" s="39">
        <f>IF(ISBLANK(AB250),"",BD250/Macroindicadores!M$2)</f>
        <v>0.3401360544217687</v>
      </c>
      <c r="BS250" s="40">
        <f t="shared" si="107"/>
        <v>4.0816326530612246</v>
      </c>
      <c r="BT250" s="25" t="str">
        <f>IF(ISBLANK($L250),"",_xlfn.XLOOKUP($L250,'CENTRO CUSTO'!$A:$A,'CENTRO CUSTO'!$E:$E,FALSE,0))</f>
        <v>G&amp;A PL</v>
      </c>
    </row>
    <row r="251" spans="1:72">
      <c r="A251" s="9" t="str">
        <f t="shared" si="80"/>
        <v>Budget</v>
      </c>
      <c r="B251" s="9">
        <f t="shared" si="77"/>
        <v>2026</v>
      </c>
      <c r="C251" s="18" t="str">
        <f>IF(ISBLANK($L251),"",_xlfn.XLOOKUP($L251,'CENTRO CUSTO'!$A:$A,'CENTRO CUSTO'!F:F,FALSE,0))</f>
        <v>Cone Sul</v>
      </c>
      <c r="D251" s="111" t="str">
        <f>IF(ISBLANK($L251),"",_xlfn.XLOOKUP($L251,'CENTRO CUSTO'!$A:$A,'CENTRO CUSTO'!G:G,FALSE,0))</f>
        <v>Plataforma</v>
      </c>
      <c r="E251" s="18" t="str">
        <f>IF(ISBLANK($L251),"",_xlfn.XLOOKUP($L251,'CENTRO CUSTO'!$A:$A,'CENTRO CUSTO'!H:H,FALSE,0))</f>
        <v>G&amp;A</v>
      </c>
      <c r="F251" s="10" t="s">
        <v>243</v>
      </c>
      <c r="G251" s="10" t="s">
        <v>233</v>
      </c>
      <c r="H251" s="10" t="s">
        <v>249</v>
      </c>
      <c r="I251" s="11" t="s">
        <v>77</v>
      </c>
      <c r="J251" s="11" t="s">
        <v>78</v>
      </c>
      <c r="K251" s="11" t="s">
        <v>94</v>
      </c>
      <c r="L251" s="11" t="s">
        <v>54</v>
      </c>
      <c r="M251" s="18" t="str">
        <f>IF(ISBLANK($L251),"",_xlfn.XLOOKUP($L251,'CENTRO CUSTO'!$A:$A,'CENTRO CUSTO'!D:D,FALSE,0))</f>
        <v>Alexandre Ayabe</v>
      </c>
      <c r="N251" s="11" t="s">
        <v>245</v>
      </c>
      <c r="O251" s="12"/>
      <c r="P251" s="11" t="s">
        <v>81</v>
      </c>
      <c r="Q251" s="41">
        <f>600*2</f>
        <v>1200</v>
      </c>
      <c r="R251" s="41">
        <f t="shared" ref="R251:AB251" si="113">600*2</f>
        <v>1200</v>
      </c>
      <c r="S251" s="41">
        <f t="shared" si="113"/>
        <v>1200</v>
      </c>
      <c r="T251" s="41">
        <f t="shared" si="113"/>
        <v>1200</v>
      </c>
      <c r="U251" s="41">
        <f t="shared" si="113"/>
        <v>1200</v>
      </c>
      <c r="V251" s="41">
        <f t="shared" si="113"/>
        <v>1200</v>
      </c>
      <c r="W251" s="41">
        <f t="shared" si="113"/>
        <v>1200</v>
      </c>
      <c r="X251" s="41">
        <f t="shared" si="113"/>
        <v>1200</v>
      </c>
      <c r="Y251" s="41">
        <f t="shared" si="113"/>
        <v>1200</v>
      </c>
      <c r="Z251" s="41">
        <f t="shared" si="113"/>
        <v>1200</v>
      </c>
      <c r="AA251" s="41">
        <f t="shared" si="113"/>
        <v>1200</v>
      </c>
      <c r="AB251" s="41">
        <f t="shared" si="113"/>
        <v>1200</v>
      </c>
      <c r="AC251" s="116">
        <f t="shared" si="104"/>
        <v>14400</v>
      </c>
      <c r="AE251" s="39">
        <f>IF(ISBLANK(Q251),"",IF($P251="BRL",Q251,Q251*Macroindicadores!B$2)/1000)</f>
        <v>1.2</v>
      </c>
      <c r="AF251" s="39">
        <f>IF(ISBLANK(R251),"",IF($P251="BRL",R251,R251*Macroindicadores!C$2)/1000)</f>
        <v>1.2</v>
      </c>
      <c r="AG251" s="39">
        <f>IF(ISBLANK(S251),"",IF($P251="BRL",S251,S251*Macroindicadores!D$2)/1000)</f>
        <v>1.2</v>
      </c>
      <c r="AH251" s="39">
        <f>IF(ISBLANK(T251),"",IF($P251="BRL",T251,T251*Macroindicadores!E$2)/1000)</f>
        <v>1.2</v>
      </c>
      <c r="AI251" s="39">
        <f>IF(ISBLANK(U251),"",IF($P251="BRL",U251,U251*Macroindicadores!F$2)/1000)</f>
        <v>1.2</v>
      </c>
      <c r="AJ251" s="39">
        <f>IF(ISBLANK(V251),"",IF($P251="BRL",V251,V251*Macroindicadores!G$2)/1000)</f>
        <v>1.2</v>
      </c>
      <c r="AK251" s="39">
        <f>IF(ISBLANK(W251),"",IF($P251="BRL",W251,W251*Macroindicadores!H$2)/1000)</f>
        <v>1.2</v>
      </c>
      <c r="AL251" s="39">
        <f>IF(ISBLANK(X251),"",IF($P251="BRL",X251,X251*Macroindicadores!I$2)/1000)</f>
        <v>1.2</v>
      </c>
      <c r="AM251" s="39">
        <f>IF(ISBLANK(Y251),"",IF($P251="BRL",Y251,Y251*Macroindicadores!J$2)/1000)</f>
        <v>1.2</v>
      </c>
      <c r="AN251" s="39">
        <f>IF(ISBLANK(Z251),"",IF($P251="BRL",Z251,Z251*Macroindicadores!K$2)/1000)</f>
        <v>1.2</v>
      </c>
      <c r="AO251" s="39">
        <f>IF(ISBLANK(AA251),"",IF($P251="BRL",AA251,AA251*Macroindicadores!L$2)/1000)</f>
        <v>1.2</v>
      </c>
      <c r="AP251" s="39">
        <f>IF(ISBLANK(AB251),"",IF($P251="BRL",AB251,AB251*Macroindicadores!M$2)/1000)</f>
        <v>1.2</v>
      </c>
      <c r="AQ251" s="40">
        <f t="shared" si="105"/>
        <v>14.399999999999997</v>
      </c>
      <c r="AS251" s="39">
        <f>IF(ISBLANK(Q251),"",IF(ISBLANK($O251),AE251,IF($J251="ANUAL",AE251*(1+Macroindicadores!B$7),IF(AND($I251="NOVO",MONTH($O251)=MONTH(AS$4)),AE251*(1+Macroindicadores!B$7),IF(AND($J251="PONTUAL",MONTH($O251)=MONTH(AS$4)),AE251*(1+Macroindicadores!B$7),IF(AND($J251="PONTUAL",MONTH($O251)&lt;MONTH(AS$4)),MIN(AR251:$AS251),IF(AND($I251="NOVO",MONTH($O251)&gt;MONTH(AS$4)),AE251,IF(MONTH($O251)&gt;MONTH(AS$4),AE251,IF(MONTH($O251)=MONTH(AS$4),AE251*(1+Macroindicadores!B$7),AR251)))))))))</f>
        <v>1.2</v>
      </c>
      <c r="AT251" s="39">
        <f>IF(ISBLANK(R251),"",IF(ISBLANK($O251),AF251,IF($J251="ANUAL",AF251*(1+Macroindicadores!C$7),IF(AND($I251="NOVO",MONTH($O251)=MONTH(AT$4)),AF251*(1+Macroindicadores!C$7),IF(AND($J251="PONTUAL",MONTH($O251)=MONTH(AT$4)),AF251*(1+Macroindicadores!C$7),IF(AND($J251="PONTUAL",MONTH($O251)&lt;MONTH(AT$4)),MIN($AS251:AS251),IF(AND($I251="NOVO",MONTH($O251)&gt;MONTH(AT$4)),AF251,IF(MONTH($O251)&gt;MONTH(AT$4),AF251,IF(MONTH($O251)=MONTH(AT$4),AF251*(1+Macroindicadores!C$7),AS251)))))))))</f>
        <v>1.2</v>
      </c>
      <c r="AU251" s="39">
        <f>IF(ISBLANK(S251),"",IF(ISBLANK($O251),AG251,IF($J251="ANUAL",AG251*(1+Macroindicadores!D$7),IF(AND($I251="NOVO",MONTH($O251)=MONTH(AU$4)),AG251*(1+Macroindicadores!D$7),IF(AND($J251="PONTUAL",MONTH($O251)=MONTH(AU$4)),AG251*(1+Macroindicadores!D$7),IF(AND($J251="PONTUAL",MONTH($O251)&lt;MONTH(AU$4)),MIN($AS251:AT251),IF(AND($I251="NOVO",MONTH($O251)&gt;MONTH(AU$4)),AG251,IF(MONTH($O251)&gt;MONTH(AU$4),AG251,IF(MONTH($O251)=MONTH(AU$4),AG251*(1+Macroindicadores!D$7),AT251)))))))))</f>
        <v>1.2</v>
      </c>
      <c r="AV251" s="39">
        <f>IF(ISBLANK(T251),"",IF(ISBLANK($O251),AH251,IF($J251="ANUAL",AH251*(1+Macroindicadores!E$7),IF(AND($I251="NOVO",MONTH($O251)=MONTH(AV$4)),AH251*(1+Macroindicadores!E$7),IF(AND($J251="PONTUAL",MONTH($O251)=MONTH(AV$4)),AH251*(1+Macroindicadores!E$7),IF(AND($J251="PONTUAL",MONTH($O251)&lt;MONTH(AV$4)),MIN($AS251:AU251),IF(AND($I251="NOVO",MONTH($O251)&gt;MONTH(AV$4)),AH251,IF(MONTH($O251)&gt;MONTH(AV$4),AH251,IF(MONTH($O251)=MONTH(AV$4),AH251*(1+Macroindicadores!E$7),AU251)))))))))</f>
        <v>1.2</v>
      </c>
      <c r="AW251" s="39">
        <f>IF(ISBLANK(U251),"",IF(ISBLANK($O251),AI251,IF($J251="ANUAL",AI251*(1+Macroindicadores!F$7),IF(AND($I251="NOVO",MONTH($O251)=MONTH(AW$4)),AI251*(1+Macroindicadores!F$7),IF(AND($J251="PONTUAL",MONTH($O251)=MONTH(AW$4)),AI251*(1+Macroindicadores!F$7),IF(AND($J251="PONTUAL",MONTH($O251)&lt;MONTH(AW$4)),MIN($AS251:AV251),IF(AND($I251="NOVO",MONTH($O251)&gt;MONTH(AW$4)),AI251,IF(MONTH($O251)&gt;MONTH(AW$4),AI251,IF(MONTH($O251)=MONTH(AW$4),AI251*(1+Macroindicadores!F$7),AV251)))))))))</f>
        <v>1.2</v>
      </c>
      <c r="AX251" s="39">
        <f>IF(ISBLANK(V251),"",IF(ISBLANK($O251),AJ251,IF($J251="ANUAL",AJ251*(1+Macroindicadores!G$7),IF(AND($I251="NOVO",MONTH($O251)=MONTH(AX$4)),AJ251*(1+Macroindicadores!G$7),IF(AND($J251="PONTUAL",MONTH($O251)=MONTH(AX$4)),AJ251*(1+Macroindicadores!G$7),IF(AND($J251="PONTUAL",MONTH($O251)&lt;MONTH(AX$4)),MIN($AS251:AW251),IF(AND($I251="NOVO",MONTH($O251)&gt;MONTH(AX$4)),AJ251,IF(MONTH($O251)&gt;MONTH(AX$4),AJ251,IF(MONTH($O251)=MONTH(AX$4),AJ251*(1+Macroindicadores!G$7),AW251)))))))))</f>
        <v>1.2</v>
      </c>
      <c r="AY251" s="39">
        <f>IF(ISBLANK(W251),"",IF(ISBLANK($O251),AK251,IF($J251="ANUAL",AK251*(1+Macroindicadores!H$7),IF(AND($I251="NOVO",MONTH($O251)=MONTH(AY$4)),AK251*(1+Macroindicadores!H$7),IF(AND($J251="PONTUAL",MONTH($O251)=MONTH(AY$4)),AK251*(1+Macroindicadores!H$7),IF(AND($J251="PONTUAL",MONTH($O251)&lt;MONTH(AY$4)),MIN($AS251:AX251),IF(AND($I251="NOVO",MONTH($O251)&gt;MONTH(AY$4)),AK251,IF(MONTH($O251)&gt;MONTH(AY$4),AK251,IF(MONTH($O251)=MONTH(AY$4),AK251*(1+Macroindicadores!H$7),AX251)))))))))</f>
        <v>1.2</v>
      </c>
      <c r="AZ251" s="39">
        <f>IF(ISBLANK(X251),"",IF(ISBLANK($O251),AL251,IF($J251="ANUAL",AL251*(1+Macroindicadores!I$7),IF(AND($I251="NOVO",MONTH($O251)=MONTH(AZ$4)),AL251*(1+Macroindicadores!I$7),IF(AND($J251="PONTUAL",MONTH($O251)=MONTH(AZ$4)),AL251*(1+Macroindicadores!I$7),IF(AND($J251="PONTUAL",MONTH($O251)&lt;MONTH(AZ$4)),MIN($AS251:AY251),IF(AND($I251="NOVO",MONTH($O251)&gt;MONTH(AZ$4)),AL251,IF(MONTH($O251)&gt;MONTH(AZ$4),AL251,IF(MONTH($O251)=MONTH(AZ$4),AL251*(1+Macroindicadores!I$7),AY251)))))))))</f>
        <v>1.2</v>
      </c>
      <c r="BA251" s="39">
        <f>IF(ISBLANK(Y251),"",IF(ISBLANK($O251),AM251,IF($J251="ANUAL",AM251*(1+Macroindicadores!J$7),IF(AND($I251="NOVO",MONTH($O251)=MONTH(BA$4)),AM251*(1+Macroindicadores!J$7),IF(AND($J251="PONTUAL",MONTH($O251)=MONTH(BA$4)),AM251*(1+Macroindicadores!J$7),IF(AND($J251="PONTUAL",MONTH($O251)&lt;MONTH(BA$4)),MIN($AS251:AZ251),IF(AND($I251="NOVO",MONTH($O251)&gt;MONTH(BA$4)),AM251,IF(MONTH($O251)&gt;MONTH(BA$4),AM251,IF(MONTH($O251)=MONTH(BA$4),AM251*(1+Macroindicadores!J$7),AZ251)))))))))</f>
        <v>1.2</v>
      </c>
      <c r="BB251" s="39">
        <f>IF(ISBLANK(Z251),"",IF(ISBLANK($O251),AN251,IF($J251="ANUAL",AN251*(1+Macroindicadores!K$7),IF(AND($I251="NOVO",MONTH($O251)=MONTH(BB$4)),AN251*(1+Macroindicadores!K$7),IF(AND($J251="PONTUAL",MONTH($O251)=MONTH(BB$4)),AN251*(1+Macroindicadores!K$7),IF(AND($J251="PONTUAL",MONTH($O251)&lt;MONTH(BB$4)),MIN($AS251:BA251),IF(AND($I251="NOVO",MONTH($O251)&gt;MONTH(BB$4)),AN251,IF(MONTH($O251)&gt;MONTH(BB$4),AN251,IF(MONTH($O251)=MONTH(BB$4),AN251*(1+Macroindicadores!K$7),BA251)))))))))</f>
        <v>1.2</v>
      </c>
      <c r="BC251" s="39">
        <f>IF(ISBLANK(AA251),"",IF(ISBLANK($O251),AO251,IF($J251="ANUAL",AO251*(1+Macroindicadores!L$7),IF(AND($I251="NOVO",MONTH($O251)=MONTH(BC$4)),AO251*(1+Macroindicadores!L$7),IF(AND($J251="PONTUAL",MONTH($O251)=MONTH(BC$4)),AO251*(1+Macroindicadores!L$7),IF(AND($J251="PONTUAL",MONTH($O251)&lt;MONTH(BC$4)),MIN($AS251:BB251),IF(AND($I251="NOVO",MONTH($O251)&gt;MONTH(BC$4)),AO251,IF(MONTH($O251)&gt;MONTH(BC$4),AO251,IF(MONTH($O251)=MONTH(BC$4),AO251*(1+Macroindicadores!L$7),BB251)))))))))</f>
        <v>1.2</v>
      </c>
      <c r="BD251" s="39">
        <f>IF(ISBLANK(AB251),"",IF(ISBLANK($O251),AP251,IF($J251="ANUAL",AP251*(1+Macroindicadores!M$7),IF(AND($I251="NOVO",MONTH($O251)=MONTH(BD$4)),AP251*(1+Macroindicadores!M$7),IF(AND($J251="PONTUAL",MONTH($O251)=MONTH(BD$4)),AP251*(1+Macroindicadores!M$7),IF(AND($J251="PONTUAL",MONTH($O251)&lt;MONTH(BD$4)),MIN($AS251:BC251),IF(AND($I251="NOVO",MONTH($O251)&gt;MONTH(BD$4)),AP251,IF(MONTH($O251)&gt;MONTH(BD$4),AP251,IF(MONTH($O251)=MONTH(BD$4),AP251*(1+Macroindicadores!M$7),BC251)))))))))</f>
        <v>1.2</v>
      </c>
      <c r="BE251" s="40">
        <f t="shared" si="106"/>
        <v>14.399999999999997</v>
      </c>
      <c r="BG251" s="39">
        <f>IF(ISBLANK(Q251),"",AS251/Macroindicadores!B$2)</f>
        <v>0.20408163265306123</v>
      </c>
      <c r="BH251" s="39">
        <f>IF(ISBLANK(R251),"",AT251/Macroindicadores!C$2)</f>
        <v>0.20408163265306123</v>
      </c>
      <c r="BI251" s="39">
        <f>IF(ISBLANK(S251),"",AU251/Macroindicadores!D$2)</f>
        <v>0.20408163265306123</v>
      </c>
      <c r="BJ251" s="39">
        <f>IF(ISBLANK(T251),"",AV251/Macroindicadores!E$2)</f>
        <v>0.20408163265306123</v>
      </c>
      <c r="BK251" s="39">
        <f>IF(ISBLANK(U251),"",AW251/Macroindicadores!F$2)</f>
        <v>0.20408163265306123</v>
      </c>
      <c r="BL251" s="39">
        <f>IF(ISBLANK(V251),"",AX251/Macroindicadores!G$2)</f>
        <v>0.20408163265306123</v>
      </c>
      <c r="BM251" s="39">
        <f>IF(ISBLANK(W251),"",AY251/Macroindicadores!H$2)</f>
        <v>0.20408163265306123</v>
      </c>
      <c r="BN251" s="39">
        <f>IF(ISBLANK(X251),"",AZ251/Macroindicadores!I$2)</f>
        <v>0.20408163265306123</v>
      </c>
      <c r="BO251" s="39">
        <f>IF(ISBLANK(Y251),"",BA251/Macroindicadores!J$2)</f>
        <v>0.20408163265306123</v>
      </c>
      <c r="BP251" s="39">
        <f>IF(ISBLANK(Z251),"",BB251/Macroindicadores!K$2)</f>
        <v>0.20408163265306123</v>
      </c>
      <c r="BQ251" s="39">
        <f>IF(ISBLANK(AA251),"",BC251/Macroindicadores!L$2)</f>
        <v>0.20408163265306123</v>
      </c>
      <c r="BR251" s="39">
        <f>IF(ISBLANK(AB251),"",BD251/Macroindicadores!M$2)</f>
        <v>0.20408163265306123</v>
      </c>
      <c r="BS251" s="40">
        <f t="shared" si="107"/>
        <v>2.4489795918367347</v>
      </c>
      <c r="BT251" s="25" t="str">
        <f>IF(ISBLANK($L251),"",_xlfn.XLOOKUP($L251,'CENTRO CUSTO'!$A:$A,'CENTRO CUSTO'!$E:$E,FALSE,0))</f>
        <v>G&amp;A PL</v>
      </c>
    </row>
    <row r="252" spans="1:72">
      <c r="A252" s="9" t="str">
        <f t="shared" si="80"/>
        <v>Budget</v>
      </c>
      <c r="B252" s="9">
        <f t="shared" si="77"/>
        <v>2026</v>
      </c>
      <c r="C252" s="18" t="str">
        <f>IF(ISBLANK($L252),"",_xlfn.XLOOKUP($L252,'CENTRO CUSTO'!$A:$A,'CENTRO CUSTO'!F:F,FALSE,0))</f>
        <v>Cone Sul</v>
      </c>
      <c r="D252" s="111" t="str">
        <f>IF(ISBLANK($L252),"",_xlfn.XLOOKUP($L252,'CENTRO CUSTO'!$A:$A,'CENTRO CUSTO'!G:G,FALSE,0))</f>
        <v>Plataforma</v>
      </c>
      <c r="E252" s="18" t="str">
        <f>IF(ISBLANK($L252),"",_xlfn.XLOOKUP($L252,'CENTRO CUSTO'!$A:$A,'CENTRO CUSTO'!H:H,FALSE,0))</f>
        <v>G&amp;A</v>
      </c>
      <c r="F252" s="10" t="s">
        <v>246</v>
      </c>
      <c r="G252" s="10" t="s">
        <v>233</v>
      </c>
      <c r="H252" s="10" t="s">
        <v>249</v>
      </c>
      <c r="I252" s="11" t="s">
        <v>77</v>
      </c>
      <c r="J252" s="11" t="s">
        <v>78</v>
      </c>
      <c r="K252" s="11" t="s">
        <v>94</v>
      </c>
      <c r="L252" s="11" t="s">
        <v>54</v>
      </c>
      <c r="M252" s="18" t="str">
        <f>IF(ISBLANK($L252),"",_xlfn.XLOOKUP($L252,'CENTRO CUSTO'!$A:$A,'CENTRO CUSTO'!D:D,FALSE,0))</f>
        <v>Alexandre Ayabe</v>
      </c>
      <c r="N252" s="11" t="s">
        <v>245</v>
      </c>
      <c r="O252" s="12"/>
      <c r="P252" s="11" t="s">
        <v>81</v>
      </c>
      <c r="Q252" s="41">
        <f>400*4</f>
        <v>1600</v>
      </c>
      <c r="R252" s="41">
        <f t="shared" ref="R252:AB252" si="114">400*4</f>
        <v>1600</v>
      </c>
      <c r="S252" s="41">
        <f t="shared" si="114"/>
        <v>1600</v>
      </c>
      <c r="T252" s="41">
        <f t="shared" si="114"/>
        <v>1600</v>
      </c>
      <c r="U252" s="41">
        <f t="shared" si="114"/>
        <v>1600</v>
      </c>
      <c r="V252" s="41">
        <f t="shared" si="114"/>
        <v>1600</v>
      </c>
      <c r="W252" s="41">
        <f t="shared" si="114"/>
        <v>1600</v>
      </c>
      <c r="X252" s="41">
        <f t="shared" si="114"/>
        <v>1600</v>
      </c>
      <c r="Y252" s="41">
        <f t="shared" si="114"/>
        <v>1600</v>
      </c>
      <c r="Z252" s="41">
        <f t="shared" si="114"/>
        <v>1600</v>
      </c>
      <c r="AA252" s="41">
        <f t="shared" si="114"/>
        <v>1600</v>
      </c>
      <c r="AB252" s="41">
        <f t="shared" si="114"/>
        <v>1600</v>
      </c>
      <c r="AC252" s="116">
        <f t="shared" si="104"/>
        <v>19200</v>
      </c>
      <c r="AE252" s="39">
        <f>IF(ISBLANK(Q252),"",IF($P252="BRL",Q252,Q252*Macroindicadores!B$2)/1000)</f>
        <v>1.6</v>
      </c>
      <c r="AF252" s="39">
        <f>IF(ISBLANK(R252),"",IF($P252="BRL",R252,R252*Macroindicadores!C$2)/1000)</f>
        <v>1.6</v>
      </c>
      <c r="AG252" s="39">
        <f>IF(ISBLANK(S252),"",IF($P252="BRL",S252,S252*Macroindicadores!D$2)/1000)</f>
        <v>1.6</v>
      </c>
      <c r="AH252" s="39">
        <f>IF(ISBLANK(T252),"",IF($P252="BRL",T252,T252*Macroindicadores!E$2)/1000)</f>
        <v>1.6</v>
      </c>
      <c r="AI252" s="39">
        <f>IF(ISBLANK(U252),"",IF($P252="BRL",U252,U252*Macroindicadores!F$2)/1000)</f>
        <v>1.6</v>
      </c>
      <c r="AJ252" s="39">
        <f>IF(ISBLANK(V252),"",IF($P252="BRL",V252,V252*Macroindicadores!G$2)/1000)</f>
        <v>1.6</v>
      </c>
      <c r="AK252" s="39">
        <f>IF(ISBLANK(W252),"",IF($P252="BRL",W252,W252*Macroindicadores!H$2)/1000)</f>
        <v>1.6</v>
      </c>
      <c r="AL252" s="39">
        <f>IF(ISBLANK(X252),"",IF($P252="BRL",X252,X252*Macroindicadores!I$2)/1000)</f>
        <v>1.6</v>
      </c>
      <c r="AM252" s="39">
        <f>IF(ISBLANK(Y252),"",IF($P252="BRL",Y252,Y252*Macroindicadores!J$2)/1000)</f>
        <v>1.6</v>
      </c>
      <c r="AN252" s="39">
        <f>IF(ISBLANK(Z252),"",IF($P252="BRL",Z252,Z252*Macroindicadores!K$2)/1000)</f>
        <v>1.6</v>
      </c>
      <c r="AO252" s="39">
        <f>IF(ISBLANK(AA252),"",IF($P252="BRL",AA252,AA252*Macroindicadores!L$2)/1000)</f>
        <v>1.6</v>
      </c>
      <c r="AP252" s="39">
        <f>IF(ISBLANK(AB252),"",IF($P252="BRL",AB252,AB252*Macroindicadores!M$2)/1000)</f>
        <v>1.6</v>
      </c>
      <c r="AQ252" s="40">
        <f t="shared" si="105"/>
        <v>19.2</v>
      </c>
      <c r="AS252" s="39">
        <f>IF(ISBLANK(Q252),"",IF(ISBLANK($O252),AE252,IF($J252="ANUAL",AE252*(1+Macroindicadores!B$7),IF(AND($I252="NOVO",MONTH($O252)=MONTH(AS$4)),AE252*(1+Macroindicadores!B$7),IF(AND($J252="PONTUAL",MONTH($O252)=MONTH(AS$4)),AE252*(1+Macroindicadores!B$7),IF(AND($J252="PONTUAL",MONTH($O252)&lt;MONTH(AS$4)),MIN(AR252:$AS252),IF(AND($I252="NOVO",MONTH($O252)&gt;MONTH(AS$4)),AE252,IF(MONTH($O252)&gt;MONTH(AS$4),AE252,IF(MONTH($O252)=MONTH(AS$4),AE252*(1+Macroindicadores!B$7),AR252)))))))))</f>
        <v>1.6</v>
      </c>
      <c r="AT252" s="39">
        <f>IF(ISBLANK(R252),"",IF(ISBLANK($O252),AF252,IF($J252="ANUAL",AF252*(1+Macroindicadores!C$7),IF(AND($I252="NOVO",MONTH($O252)=MONTH(AT$4)),AF252*(1+Macroindicadores!C$7),IF(AND($J252="PONTUAL",MONTH($O252)=MONTH(AT$4)),AF252*(1+Macroindicadores!C$7),IF(AND($J252="PONTUAL",MONTH($O252)&lt;MONTH(AT$4)),MIN($AS252:AS252),IF(AND($I252="NOVO",MONTH($O252)&gt;MONTH(AT$4)),AF252,IF(MONTH($O252)&gt;MONTH(AT$4),AF252,IF(MONTH($O252)=MONTH(AT$4),AF252*(1+Macroindicadores!C$7),AS252)))))))))</f>
        <v>1.6</v>
      </c>
      <c r="AU252" s="39">
        <f>IF(ISBLANK(S252),"",IF(ISBLANK($O252),AG252,IF($J252="ANUAL",AG252*(1+Macroindicadores!D$7),IF(AND($I252="NOVO",MONTH($O252)=MONTH(AU$4)),AG252*(1+Macroindicadores!D$7),IF(AND($J252="PONTUAL",MONTH($O252)=MONTH(AU$4)),AG252*(1+Macroindicadores!D$7),IF(AND($J252="PONTUAL",MONTH($O252)&lt;MONTH(AU$4)),MIN($AS252:AT252),IF(AND($I252="NOVO",MONTH($O252)&gt;MONTH(AU$4)),AG252,IF(MONTH($O252)&gt;MONTH(AU$4),AG252,IF(MONTH($O252)=MONTH(AU$4),AG252*(1+Macroindicadores!D$7),AT252)))))))))</f>
        <v>1.6</v>
      </c>
      <c r="AV252" s="39">
        <f>IF(ISBLANK(T252),"",IF(ISBLANK($O252),AH252,IF($J252="ANUAL",AH252*(1+Macroindicadores!E$7),IF(AND($I252="NOVO",MONTH($O252)=MONTH(AV$4)),AH252*(1+Macroindicadores!E$7),IF(AND($J252="PONTUAL",MONTH($O252)=MONTH(AV$4)),AH252*(1+Macroindicadores!E$7),IF(AND($J252="PONTUAL",MONTH($O252)&lt;MONTH(AV$4)),MIN($AS252:AU252),IF(AND($I252="NOVO",MONTH($O252)&gt;MONTH(AV$4)),AH252,IF(MONTH($O252)&gt;MONTH(AV$4),AH252,IF(MONTH($O252)=MONTH(AV$4),AH252*(1+Macroindicadores!E$7),AU252)))))))))</f>
        <v>1.6</v>
      </c>
      <c r="AW252" s="39">
        <f>IF(ISBLANK(U252),"",IF(ISBLANK($O252),AI252,IF($J252="ANUAL",AI252*(1+Macroindicadores!F$7),IF(AND($I252="NOVO",MONTH($O252)=MONTH(AW$4)),AI252*(1+Macroindicadores!F$7),IF(AND($J252="PONTUAL",MONTH($O252)=MONTH(AW$4)),AI252*(1+Macroindicadores!F$7),IF(AND($J252="PONTUAL",MONTH($O252)&lt;MONTH(AW$4)),MIN($AS252:AV252),IF(AND($I252="NOVO",MONTH($O252)&gt;MONTH(AW$4)),AI252,IF(MONTH($O252)&gt;MONTH(AW$4),AI252,IF(MONTH($O252)=MONTH(AW$4),AI252*(1+Macroindicadores!F$7),AV252)))))))))</f>
        <v>1.6</v>
      </c>
      <c r="AX252" s="39">
        <f>IF(ISBLANK(V252),"",IF(ISBLANK($O252),AJ252,IF($J252="ANUAL",AJ252*(1+Macroindicadores!G$7),IF(AND($I252="NOVO",MONTH($O252)=MONTH(AX$4)),AJ252*(1+Macroindicadores!G$7),IF(AND($J252="PONTUAL",MONTH($O252)=MONTH(AX$4)),AJ252*(1+Macroindicadores!G$7),IF(AND($J252="PONTUAL",MONTH($O252)&lt;MONTH(AX$4)),MIN($AS252:AW252),IF(AND($I252="NOVO",MONTH($O252)&gt;MONTH(AX$4)),AJ252,IF(MONTH($O252)&gt;MONTH(AX$4),AJ252,IF(MONTH($O252)=MONTH(AX$4),AJ252*(1+Macroindicadores!G$7),AW252)))))))))</f>
        <v>1.6</v>
      </c>
      <c r="AY252" s="39">
        <f>IF(ISBLANK(W252),"",IF(ISBLANK($O252),AK252,IF($J252="ANUAL",AK252*(1+Macroindicadores!H$7),IF(AND($I252="NOVO",MONTH($O252)=MONTH(AY$4)),AK252*(1+Macroindicadores!H$7),IF(AND($J252="PONTUAL",MONTH($O252)=MONTH(AY$4)),AK252*(1+Macroindicadores!H$7),IF(AND($J252="PONTUAL",MONTH($O252)&lt;MONTH(AY$4)),MIN($AS252:AX252),IF(AND($I252="NOVO",MONTH($O252)&gt;MONTH(AY$4)),AK252,IF(MONTH($O252)&gt;MONTH(AY$4),AK252,IF(MONTH($O252)=MONTH(AY$4),AK252*(1+Macroindicadores!H$7),AX252)))))))))</f>
        <v>1.6</v>
      </c>
      <c r="AZ252" s="39">
        <f>IF(ISBLANK(X252),"",IF(ISBLANK($O252),AL252,IF($J252="ANUAL",AL252*(1+Macroindicadores!I$7),IF(AND($I252="NOVO",MONTH($O252)=MONTH(AZ$4)),AL252*(1+Macroindicadores!I$7),IF(AND($J252="PONTUAL",MONTH($O252)=MONTH(AZ$4)),AL252*(1+Macroindicadores!I$7),IF(AND($J252="PONTUAL",MONTH($O252)&lt;MONTH(AZ$4)),MIN($AS252:AY252),IF(AND($I252="NOVO",MONTH($O252)&gt;MONTH(AZ$4)),AL252,IF(MONTH($O252)&gt;MONTH(AZ$4),AL252,IF(MONTH($O252)=MONTH(AZ$4),AL252*(1+Macroindicadores!I$7),AY252)))))))))</f>
        <v>1.6</v>
      </c>
      <c r="BA252" s="39">
        <f>IF(ISBLANK(Y252),"",IF(ISBLANK($O252),AM252,IF($J252="ANUAL",AM252*(1+Macroindicadores!J$7),IF(AND($I252="NOVO",MONTH($O252)=MONTH(BA$4)),AM252*(1+Macroindicadores!J$7),IF(AND($J252="PONTUAL",MONTH($O252)=MONTH(BA$4)),AM252*(1+Macroindicadores!J$7),IF(AND($J252="PONTUAL",MONTH($O252)&lt;MONTH(BA$4)),MIN($AS252:AZ252),IF(AND($I252="NOVO",MONTH($O252)&gt;MONTH(BA$4)),AM252,IF(MONTH($O252)&gt;MONTH(BA$4),AM252,IF(MONTH($O252)=MONTH(BA$4),AM252*(1+Macroindicadores!J$7),AZ252)))))))))</f>
        <v>1.6</v>
      </c>
      <c r="BB252" s="39">
        <f>IF(ISBLANK(Z252),"",IF(ISBLANK($O252),AN252,IF($J252="ANUAL",AN252*(1+Macroindicadores!K$7),IF(AND($I252="NOVO",MONTH($O252)=MONTH(BB$4)),AN252*(1+Macroindicadores!K$7),IF(AND($J252="PONTUAL",MONTH($O252)=MONTH(BB$4)),AN252*(1+Macroindicadores!K$7),IF(AND($J252="PONTUAL",MONTH($O252)&lt;MONTH(BB$4)),MIN($AS252:BA252),IF(AND($I252="NOVO",MONTH($O252)&gt;MONTH(BB$4)),AN252,IF(MONTH($O252)&gt;MONTH(BB$4),AN252,IF(MONTH($O252)=MONTH(BB$4),AN252*(1+Macroindicadores!K$7),BA252)))))))))</f>
        <v>1.6</v>
      </c>
      <c r="BC252" s="39">
        <f>IF(ISBLANK(AA252),"",IF(ISBLANK($O252),AO252,IF($J252="ANUAL",AO252*(1+Macroindicadores!L$7),IF(AND($I252="NOVO",MONTH($O252)=MONTH(BC$4)),AO252*(1+Macroindicadores!L$7),IF(AND($J252="PONTUAL",MONTH($O252)=MONTH(BC$4)),AO252*(1+Macroindicadores!L$7),IF(AND($J252="PONTUAL",MONTH($O252)&lt;MONTH(BC$4)),MIN($AS252:BB252),IF(AND($I252="NOVO",MONTH($O252)&gt;MONTH(BC$4)),AO252,IF(MONTH($O252)&gt;MONTH(BC$4),AO252,IF(MONTH($O252)=MONTH(BC$4),AO252*(1+Macroindicadores!L$7),BB252)))))))))</f>
        <v>1.6</v>
      </c>
      <c r="BD252" s="39">
        <f>IF(ISBLANK(AB252),"",IF(ISBLANK($O252),AP252,IF($J252="ANUAL",AP252*(1+Macroindicadores!M$7),IF(AND($I252="NOVO",MONTH($O252)=MONTH(BD$4)),AP252*(1+Macroindicadores!M$7),IF(AND($J252="PONTUAL",MONTH($O252)=MONTH(BD$4)),AP252*(1+Macroindicadores!M$7),IF(AND($J252="PONTUAL",MONTH($O252)&lt;MONTH(BD$4)),MIN($AS252:BC252),IF(AND($I252="NOVO",MONTH($O252)&gt;MONTH(BD$4)),AP252,IF(MONTH($O252)&gt;MONTH(BD$4),AP252,IF(MONTH($O252)=MONTH(BD$4),AP252*(1+Macroindicadores!M$7),BC252)))))))))</f>
        <v>1.6</v>
      </c>
      <c r="BE252" s="40">
        <f t="shared" si="106"/>
        <v>19.2</v>
      </c>
      <c r="BG252" s="39">
        <f>IF(ISBLANK(Q252),"",AS252/Macroindicadores!B$2)</f>
        <v>0.27210884353741499</v>
      </c>
      <c r="BH252" s="39">
        <f>IF(ISBLANK(R252),"",AT252/Macroindicadores!C$2)</f>
        <v>0.27210884353741499</v>
      </c>
      <c r="BI252" s="39">
        <f>IF(ISBLANK(S252),"",AU252/Macroindicadores!D$2)</f>
        <v>0.27210884353741499</v>
      </c>
      <c r="BJ252" s="39">
        <f>IF(ISBLANK(T252),"",AV252/Macroindicadores!E$2)</f>
        <v>0.27210884353741499</v>
      </c>
      <c r="BK252" s="39">
        <f>IF(ISBLANK(U252),"",AW252/Macroindicadores!F$2)</f>
        <v>0.27210884353741499</v>
      </c>
      <c r="BL252" s="39">
        <f>IF(ISBLANK(V252),"",AX252/Macroindicadores!G$2)</f>
        <v>0.27210884353741499</v>
      </c>
      <c r="BM252" s="39">
        <f>IF(ISBLANK(W252),"",AY252/Macroindicadores!H$2)</f>
        <v>0.27210884353741499</v>
      </c>
      <c r="BN252" s="39">
        <f>IF(ISBLANK(X252),"",AZ252/Macroindicadores!I$2)</f>
        <v>0.27210884353741499</v>
      </c>
      <c r="BO252" s="39">
        <f>IF(ISBLANK(Y252),"",BA252/Macroindicadores!J$2)</f>
        <v>0.27210884353741499</v>
      </c>
      <c r="BP252" s="39">
        <f>IF(ISBLANK(Z252),"",BB252/Macroindicadores!K$2)</f>
        <v>0.27210884353741499</v>
      </c>
      <c r="BQ252" s="39">
        <f>IF(ISBLANK(AA252),"",BC252/Macroindicadores!L$2)</f>
        <v>0.27210884353741499</v>
      </c>
      <c r="BR252" s="39">
        <f>IF(ISBLANK(AB252),"",BD252/Macroindicadores!M$2)</f>
        <v>0.27210884353741499</v>
      </c>
      <c r="BS252" s="40">
        <f t="shared" si="107"/>
        <v>3.2653061224489792</v>
      </c>
      <c r="BT252" s="25" t="str">
        <f>IF(ISBLANK($L252),"",_xlfn.XLOOKUP($L252,'CENTRO CUSTO'!$A:$A,'CENTRO CUSTO'!$E:$E,FALSE,0))</f>
        <v>G&amp;A PL</v>
      </c>
    </row>
    <row r="253" spans="1:72">
      <c r="A253" s="9" t="str">
        <f t="shared" si="80"/>
        <v>Budget</v>
      </c>
      <c r="B253" s="9">
        <f t="shared" si="77"/>
        <v>2026</v>
      </c>
      <c r="C253" s="18" t="str">
        <f>IF(ISBLANK($L253),"",_xlfn.XLOOKUP($L253,'CENTRO CUSTO'!$A:$A,'CENTRO CUSTO'!F:F,FALSE,0))</f>
        <v>Cone Sul</v>
      </c>
      <c r="D253" s="111" t="str">
        <f>IF(ISBLANK($L253),"",_xlfn.XLOOKUP($L253,'CENTRO CUSTO'!$A:$A,'CENTRO CUSTO'!G:G,FALSE,0))</f>
        <v>Plataforma</v>
      </c>
      <c r="E253" s="18" t="str">
        <f>IF(ISBLANK($L253),"",_xlfn.XLOOKUP($L253,'CENTRO CUSTO'!$A:$A,'CENTRO CUSTO'!H:H,FALSE,0))</f>
        <v>G&amp;A</v>
      </c>
      <c r="F253" s="10" t="s">
        <v>247</v>
      </c>
      <c r="G253" s="10" t="s">
        <v>233</v>
      </c>
      <c r="H253" s="10" t="s">
        <v>249</v>
      </c>
      <c r="I253" s="11" t="s">
        <v>77</v>
      </c>
      <c r="J253" s="11" t="s">
        <v>78</v>
      </c>
      <c r="K253" s="11" t="s">
        <v>94</v>
      </c>
      <c r="L253" s="11" t="s">
        <v>54</v>
      </c>
      <c r="M253" s="18" t="str">
        <f>IF(ISBLANK($L253),"",_xlfn.XLOOKUP($L253,'CENTRO CUSTO'!$A:$A,'CENTRO CUSTO'!D:D,FALSE,0))</f>
        <v>Alexandre Ayabe</v>
      </c>
      <c r="N253" s="11" t="s">
        <v>245</v>
      </c>
      <c r="O253" s="12"/>
      <c r="P253" s="11" t="s">
        <v>81</v>
      </c>
      <c r="Q253" s="41">
        <f>150*5</f>
        <v>750</v>
      </c>
      <c r="R253" s="41">
        <f t="shared" ref="R253:AB253" si="115">150*5</f>
        <v>750</v>
      </c>
      <c r="S253" s="41">
        <f t="shared" si="115"/>
        <v>750</v>
      </c>
      <c r="T253" s="41">
        <f t="shared" si="115"/>
        <v>750</v>
      </c>
      <c r="U253" s="41">
        <f t="shared" si="115"/>
        <v>750</v>
      </c>
      <c r="V253" s="41">
        <f t="shared" si="115"/>
        <v>750</v>
      </c>
      <c r="W253" s="41">
        <f t="shared" si="115"/>
        <v>750</v>
      </c>
      <c r="X253" s="41">
        <f t="shared" si="115"/>
        <v>750</v>
      </c>
      <c r="Y253" s="41">
        <f t="shared" si="115"/>
        <v>750</v>
      </c>
      <c r="Z253" s="41">
        <f t="shared" si="115"/>
        <v>750</v>
      </c>
      <c r="AA253" s="41">
        <f t="shared" si="115"/>
        <v>750</v>
      </c>
      <c r="AB253" s="41">
        <f t="shared" si="115"/>
        <v>750</v>
      </c>
      <c r="AC253" s="116">
        <f t="shared" si="104"/>
        <v>9000</v>
      </c>
      <c r="AE253" s="39">
        <f>IF(ISBLANK(Q253),"",IF($P253="BRL",Q253,Q253*Macroindicadores!B$2)/1000)</f>
        <v>0.75</v>
      </c>
      <c r="AF253" s="39">
        <f>IF(ISBLANK(R253),"",IF($P253="BRL",R253,R253*Macroindicadores!C$2)/1000)</f>
        <v>0.75</v>
      </c>
      <c r="AG253" s="39">
        <f>IF(ISBLANK(S253),"",IF($P253="BRL",S253,S253*Macroindicadores!D$2)/1000)</f>
        <v>0.75</v>
      </c>
      <c r="AH253" s="39">
        <f>IF(ISBLANK(T253),"",IF($P253="BRL",T253,T253*Macroindicadores!E$2)/1000)</f>
        <v>0.75</v>
      </c>
      <c r="AI253" s="39">
        <f>IF(ISBLANK(U253),"",IF($P253="BRL",U253,U253*Macroindicadores!F$2)/1000)</f>
        <v>0.75</v>
      </c>
      <c r="AJ253" s="39">
        <f>IF(ISBLANK(V253),"",IF($P253="BRL",V253,V253*Macroindicadores!G$2)/1000)</f>
        <v>0.75</v>
      </c>
      <c r="AK253" s="39">
        <f>IF(ISBLANK(W253),"",IF($P253="BRL",W253,W253*Macroindicadores!H$2)/1000)</f>
        <v>0.75</v>
      </c>
      <c r="AL253" s="39">
        <f>IF(ISBLANK(X253),"",IF($P253="BRL",X253,X253*Macroindicadores!I$2)/1000)</f>
        <v>0.75</v>
      </c>
      <c r="AM253" s="39">
        <f>IF(ISBLANK(Y253),"",IF($P253="BRL",Y253,Y253*Macroindicadores!J$2)/1000)</f>
        <v>0.75</v>
      </c>
      <c r="AN253" s="39">
        <f>IF(ISBLANK(Z253),"",IF($P253="BRL",Z253,Z253*Macroindicadores!K$2)/1000)</f>
        <v>0.75</v>
      </c>
      <c r="AO253" s="39">
        <f>IF(ISBLANK(AA253),"",IF($P253="BRL",AA253,AA253*Macroindicadores!L$2)/1000)</f>
        <v>0.75</v>
      </c>
      <c r="AP253" s="39">
        <f>IF(ISBLANK(AB253),"",IF($P253="BRL",AB253,AB253*Macroindicadores!M$2)/1000)</f>
        <v>0.75</v>
      </c>
      <c r="AQ253" s="40">
        <f t="shared" si="105"/>
        <v>9</v>
      </c>
      <c r="AS253" s="39">
        <f>IF(ISBLANK(Q253),"",IF(ISBLANK($O253),AE253,IF($J253="ANUAL",AE253*(1+Macroindicadores!B$7),IF(AND($I253="NOVO",MONTH($O253)=MONTH(AS$4)),AE253*(1+Macroindicadores!B$7),IF(AND($J253="PONTUAL",MONTH($O253)=MONTH(AS$4)),AE253*(1+Macroindicadores!B$7),IF(AND($J253="PONTUAL",MONTH($O253)&lt;MONTH(AS$4)),MIN(AR253:$AS253),IF(AND($I253="NOVO",MONTH($O253)&gt;MONTH(AS$4)),AE253,IF(MONTH($O253)&gt;MONTH(AS$4),AE253,IF(MONTH($O253)=MONTH(AS$4),AE253*(1+Macroindicadores!B$7),AR253)))))))))</f>
        <v>0.75</v>
      </c>
      <c r="AT253" s="39">
        <f>IF(ISBLANK(R253),"",IF(ISBLANK($O253),AF253,IF($J253="ANUAL",AF253*(1+Macroindicadores!C$7),IF(AND($I253="NOVO",MONTH($O253)=MONTH(AT$4)),AF253*(1+Macroindicadores!C$7),IF(AND($J253="PONTUAL",MONTH($O253)=MONTH(AT$4)),AF253*(1+Macroindicadores!C$7),IF(AND($J253="PONTUAL",MONTH($O253)&lt;MONTH(AT$4)),MIN($AS253:AS253),IF(AND($I253="NOVO",MONTH($O253)&gt;MONTH(AT$4)),AF253,IF(MONTH($O253)&gt;MONTH(AT$4),AF253,IF(MONTH($O253)=MONTH(AT$4),AF253*(1+Macroindicadores!C$7),AS253)))))))))</f>
        <v>0.75</v>
      </c>
      <c r="AU253" s="39">
        <f>IF(ISBLANK(S253),"",IF(ISBLANK($O253),AG253,IF($J253="ANUAL",AG253*(1+Macroindicadores!D$7),IF(AND($I253="NOVO",MONTH($O253)=MONTH(AU$4)),AG253*(1+Macroindicadores!D$7),IF(AND($J253="PONTUAL",MONTH($O253)=MONTH(AU$4)),AG253*(1+Macroindicadores!D$7),IF(AND($J253="PONTUAL",MONTH($O253)&lt;MONTH(AU$4)),MIN($AS253:AT253),IF(AND($I253="NOVO",MONTH($O253)&gt;MONTH(AU$4)),AG253,IF(MONTH($O253)&gt;MONTH(AU$4),AG253,IF(MONTH($O253)=MONTH(AU$4),AG253*(1+Macroindicadores!D$7),AT253)))))))))</f>
        <v>0.75</v>
      </c>
      <c r="AV253" s="39">
        <f>IF(ISBLANK(T253),"",IF(ISBLANK($O253),AH253,IF($J253="ANUAL",AH253*(1+Macroindicadores!E$7),IF(AND($I253="NOVO",MONTH($O253)=MONTH(AV$4)),AH253*(1+Macroindicadores!E$7),IF(AND($J253="PONTUAL",MONTH($O253)=MONTH(AV$4)),AH253*(1+Macroindicadores!E$7),IF(AND($J253="PONTUAL",MONTH($O253)&lt;MONTH(AV$4)),MIN($AS253:AU253),IF(AND($I253="NOVO",MONTH($O253)&gt;MONTH(AV$4)),AH253,IF(MONTH($O253)&gt;MONTH(AV$4),AH253,IF(MONTH($O253)=MONTH(AV$4),AH253*(1+Macroindicadores!E$7),AU253)))))))))</f>
        <v>0.75</v>
      </c>
      <c r="AW253" s="39">
        <f>IF(ISBLANK(U253),"",IF(ISBLANK($O253),AI253,IF($J253="ANUAL",AI253*(1+Macroindicadores!F$7),IF(AND($I253="NOVO",MONTH($O253)=MONTH(AW$4)),AI253*(1+Macroindicadores!F$7),IF(AND($J253="PONTUAL",MONTH($O253)=MONTH(AW$4)),AI253*(1+Macroindicadores!F$7),IF(AND($J253="PONTUAL",MONTH($O253)&lt;MONTH(AW$4)),MIN($AS253:AV253),IF(AND($I253="NOVO",MONTH($O253)&gt;MONTH(AW$4)),AI253,IF(MONTH($O253)&gt;MONTH(AW$4),AI253,IF(MONTH($O253)=MONTH(AW$4),AI253*(1+Macroindicadores!F$7),AV253)))))))))</f>
        <v>0.75</v>
      </c>
      <c r="AX253" s="39">
        <f>IF(ISBLANK(V253),"",IF(ISBLANK($O253),AJ253,IF($J253="ANUAL",AJ253*(1+Macroindicadores!G$7),IF(AND($I253="NOVO",MONTH($O253)=MONTH(AX$4)),AJ253*(1+Macroindicadores!G$7),IF(AND($J253="PONTUAL",MONTH($O253)=MONTH(AX$4)),AJ253*(1+Macroindicadores!G$7),IF(AND($J253="PONTUAL",MONTH($O253)&lt;MONTH(AX$4)),MIN($AS253:AW253),IF(AND($I253="NOVO",MONTH($O253)&gt;MONTH(AX$4)),AJ253,IF(MONTH($O253)&gt;MONTH(AX$4),AJ253,IF(MONTH($O253)=MONTH(AX$4),AJ253*(1+Macroindicadores!G$7),AW253)))))))))</f>
        <v>0.75</v>
      </c>
      <c r="AY253" s="39">
        <f>IF(ISBLANK(W253),"",IF(ISBLANK($O253),AK253,IF($J253="ANUAL",AK253*(1+Macroindicadores!H$7),IF(AND($I253="NOVO",MONTH($O253)=MONTH(AY$4)),AK253*(1+Macroindicadores!H$7),IF(AND($J253="PONTUAL",MONTH($O253)=MONTH(AY$4)),AK253*(1+Macroindicadores!H$7),IF(AND($J253="PONTUAL",MONTH($O253)&lt;MONTH(AY$4)),MIN($AS253:AX253),IF(AND($I253="NOVO",MONTH($O253)&gt;MONTH(AY$4)),AK253,IF(MONTH($O253)&gt;MONTH(AY$4),AK253,IF(MONTH($O253)=MONTH(AY$4),AK253*(1+Macroindicadores!H$7),AX253)))))))))</f>
        <v>0.75</v>
      </c>
      <c r="AZ253" s="39">
        <f>IF(ISBLANK(X253),"",IF(ISBLANK($O253),AL253,IF($J253="ANUAL",AL253*(1+Macroindicadores!I$7),IF(AND($I253="NOVO",MONTH($O253)=MONTH(AZ$4)),AL253*(1+Macroindicadores!I$7),IF(AND($J253="PONTUAL",MONTH($O253)=MONTH(AZ$4)),AL253*(1+Macroindicadores!I$7),IF(AND($J253="PONTUAL",MONTH($O253)&lt;MONTH(AZ$4)),MIN($AS253:AY253),IF(AND($I253="NOVO",MONTH($O253)&gt;MONTH(AZ$4)),AL253,IF(MONTH($O253)&gt;MONTH(AZ$4),AL253,IF(MONTH($O253)=MONTH(AZ$4),AL253*(1+Macroindicadores!I$7),AY253)))))))))</f>
        <v>0.75</v>
      </c>
      <c r="BA253" s="39">
        <f>IF(ISBLANK(Y253),"",IF(ISBLANK($O253),AM253,IF($J253="ANUAL",AM253*(1+Macroindicadores!J$7),IF(AND($I253="NOVO",MONTH($O253)=MONTH(BA$4)),AM253*(1+Macroindicadores!J$7),IF(AND($J253="PONTUAL",MONTH($O253)=MONTH(BA$4)),AM253*(1+Macroindicadores!J$7),IF(AND($J253="PONTUAL",MONTH($O253)&lt;MONTH(BA$4)),MIN($AS253:AZ253),IF(AND($I253="NOVO",MONTH($O253)&gt;MONTH(BA$4)),AM253,IF(MONTH($O253)&gt;MONTH(BA$4),AM253,IF(MONTH($O253)=MONTH(BA$4),AM253*(1+Macroindicadores!J$7),AZ253)))))))))</f>
        <v>0.75</v>
      </c>
      <c r="BB253" s="39">
        <f>IF(ISBLANK(Z253),"",IF(ISBLANK($O253),AN253,IF($J253="ANUAL",AN253*(1+Macroindicadores!K$7),IF(AND($I253="NOVO",MONTH($O253)=MONTH(BB$4)),AN253*(1+Macroindicadores!K$7),IF(AND($J253="PONTUAL",MONTH($O253)=MONTH(BB$4)),AN253*(1+Macroindicadores!K$7),IF(AND($J253="PONTUAL",MONTH($O253)&lt;MONTH(BB$4)),MIN($AS253:BA253),IF(AND($I253="NOVO",MONTH($O253)&gt;MONTH(BB$4)),AN253,IF(MONTH($O253)&gt;MONTH(BB$4),AN253,IF(MONTH($O253)=MONTH(BB$4),AN253*(1+Macroindicadores!K$7),BA253)))))))))</f>
        <v>0.75</v>
      </c>
      <c r="BC253" s="39">
        <f>IF(ISBLANK(AA253),"",IF(ISBLANK($O253),AO253,IF($J253="ANUAL",AO253*(1+Macroindicadores!L$7),IF(AND($I253="NOVO",MONTH($O253)=MONTH(BC$4)),AO253*(1+Macroindicadores!L$7),IF(AND($J253="PONTUAL",MONTH($O253)=MONTH(BC$4)),AO253*(1+Macroindicadores!L$7),IF(AND($J253="PONTUAL",MONTH($O253)&lt;MONTH(BC$4)),MIN($AS253:BB253),IF(AND($I253="NOVO",MONTH($O253)&gt;MONTH(BC$4)),AO253,IF(MONTH($O253)&gt;MONTH(BC$4),AO253,IF(MONTH($O253)=MONTH(BC$4),AO253*(1+Macroindicadores!L$7),BB253)))))))))</f>
        <v>0.75</v>
      </c>
      <c r="BD253" s="39">
        <f>IF(ISBLANK(AB253),"",IF(ISBLANK($O253),AP253,IF($J253="ANUAL",AP253*(1+Macroindicadores!M$7),IF(AND($I253="NOVO",MONTH($O253)=MONTH(BD$4)),AP253*(1+Macroindicadores!M$7),IF(AND($J253="PONTUAL",MONTH($O253)=MONTH(BD$4)),AP253*(1+Macroindicadores!M$7),IF(AND($J253="PONTUAL",MONTH($O253)&lt;MONTH(BD$4)),MIN($AS253:BC253),IF(AND($I253="NOVO",MONTH($O253)&gt;MONTH(BD$4)),AP253,IF(MONTH($O253)&gt;MONTH(BD$4),AP253,IF(MONTH($O253)=MONTH(BD$4),AP253*(1+Macroindicadores!M$7),BC253)))))))))</f>
        <v>0.75</v>
      </c>
      <c r="BE253" s="40">
        <f t="shared" si="106"/>
        <v>9</v>
      </c>
      <c r="BG253" s="39">
        <f>IF(ISBLANK(Q253),"",AS253/Macroindicadores!B$2)</f>
        <v>0.12755102040816327</v>
      </c>
      <c r="BH253" s="39">
        <f>IF(ISBLANK(R253),"",AT253/Macroindicadores!C$2)</f>
        <v>0.12755102040816327</v>
      </c>
      <c r="BI253" s="39">
        <f>IF(ISBLANK(S253),"",AU253/Macroindicadores!D$2)</f>
        <v>0.12755102040816327</v>
      </c>
      <c r="BJ253" s="39">
        <f>IF(ISBLANK(T253),"",AV253/Macroindicadores!E$2)</f>
        <v>0.12755102040816327</v>
      </c>
      <c r="BK253" s="39">
        <f>IF(ISBLANK(U253),"",AW253/Macroindicadores!F$2)</f>
        <v>0.12755102040816327</v>
      </c>
      <c r="BL253" s="39">
        <f>IF(ISBLANK(V253),"",AX253/Macroindicadores!G$2)</f>
        <v>0.12755102040816327</v>
      </c>
      <c r="BM253" s="39">
        <f>IF(ISBLANK(W253),"",AY253/Macroindicadores!H$2)</f>
        <v>0.12755102040816327</v>
      </c>
      <c r="BN253" s="39">
        <f>IF(ISBLANK(X253),"",AZ253/Macroindicadores!I$2)</f>
        <v>0.12755102040816327</v>
      </c>
      <c r="BO253" s="39">
        <f>IF(ISBLANK(Y253),"",BA253/Macroindicadores!J$2)</f>
        <v>0.12755102040816327</v>
      </c>
      <c r="BP253" s="39">
        <f>IF(ISBLANK(Z253),"",BB253/Macroindicadores!K$2)</f>
        <v>0.12755102040816327</v>
      </c>
      <c r="BQ253" s="39">
        <f>IF(ISBLANK(AA253),"",BC253/Macroindicadores!L$2)</f>
        <v>0.12755102040816327</v>
      </c>
      <c r="BR253" s="39">
        <f>IF(ISBLANK(AB253),"",BD253/Macroindicadores!M$2)</f>
        <v>0.12755102040816327</v>
      </c>
      <c r="BS253" s="40">
        <f t="shared" si="107"/>
        <v>1.5306122448979596</v>
      </c>
      <c r="BT253" s="25" t="str">
        <f>IF(ISBLANK($L253),"",_xlfn.XLOOKUP($L253,'CENTRO CUSTO'!$A:$A,'CENTRO CUSTO'!$E:$E,FALSE,0))</f>
        <v>G&amp;A PL</v>
      </c>
    </row>
    <row r="254" spans="1:72">
      <c r="A254" s="9" t="str">
        <f t="shared" si="80"/>
        <v>Budget</v>
      </c>
      <c r="B254" s="9">
        <f t="shared" si="77"/>
        <v>2026</v>
      </c>
      <c r="C254" s="18" t="str">
        <f>IF(ISBLANK($L254),"",_xlfn.XLOOKUP($L254,'CENTRO CUSTO'!$A:$A,'CENTRO CUSTO'!F:F,FALSE,0))</f>
        <v>Cone Sul</v>
      </c>
      <c r="D254" s="111" t="str">
        <f>IF(ISBLANK($L254),"",_xlfn.XLOOKUP($L254,'CENTRO CUSTO'!$A:$A,'CENTRO CUSTO'!G:G,FALSE,0))</f>
        <v>Plataforma</v>
      </c>
      <c r="E254" s="18" t="str">
        <f>IF(ISBLANK($L254),"",_xlfn.XLOOKUP($L254,'CENTRO CUSTO'!$A:$A,'CENTRO CUSTO'!H:H,FALSE,0))</f>
        <v>G&amp;A</v>
      </c>
      <c r="F254" s="10" t="s">
        <v>248</v>
      </c>
      <c r="G254" s="10" t="s">
        <v>233</v>
      </c>
      <c r="H254" s="10" t="s">
        <v>249</v>
      </c>
      <c r="I254" s="11" t="s">
        <v>77</v>
      </c>
      <c r="J254" s="11" t="s">
        <v>78</v>
      </c>
      <c r="K254" s="11" t="s">
        <v>94</v>
      </c>
      <c r="L254" s="11" t="s">
        <v>54</v>
      </c>
      <c r="M254" s="18" t="str">
        <f>IF(ISBLANK($L254),"",_xlfn.XLOOKUP($L254,'CENTRO CUSTO'!$A:$A,'CENTRO CUSTO'!D:D,FALSE,0))</f>
        <v>Alexandre Ayabe</v>
      </c>
      <c r="N254" s="11" t="s">
        <v>245</v>
      </c>
      <c r="O254" s="12"/>
      <c r="P254" s="11" t="s">
        <v>81</v>
      </c>
      <c r="Q254" s="41">
        <f>400*5</f>
        <v>2000</v>
      </c>
      <c r="R254" s="41">
        <f t="shared" ref="R254:AB254" si="116">400*5</f>
        <v>2000</v>
      </c>
      <c r="S254" s="41">
        <f t="shared" si="116"/>
        <v>2000</v>
      </c>
      <c r="T254" s="41">
        <f t="shared" si="116"/>
        <v>2000</v>
      </c>
      <c r="U254" s="41">
        <f t="shared" si="116"/>
        <v>2000</v>
      </c>
      <c r="V254" s="41">
        <f t="shared" si="116"/>
        <v>2000</v>
      </c>
      <c r="W254" s="41">
        <f t="shared" si="116"/>
        <v>2000</v>
      </c>
      <c r="X254" s="41">
        <f t="shared" si="116"/>
        <v>2000</v>
      </c>
      <c r="Y254" s="41">
        <f t="shared" si="116"/>
        <v>2000</v>
      </c>
      <c r="Z254" s="41">
        <f t="shared" si="116"/>
        <v>2000</v>
      </c>
      <c r="AA254" s="41">
        <f t="shared" si="116"/>
        <v>2000</v>
      </c>
      <c r="AB254" s="41">
        <f t="shared" si="116"/>
        <v>2000</v>
      </c>
      <c r="AC254" s="116">
        <f t="shared" si="104"/>
        <v>24000</v>
      </c>
      <c r="AE254" s="39">
        <f>IF(ISBLANK(Q254),"",IF($P254="BRL",Q254,Q254*Macroindicadores!B$2)/1000)</f>
        <v>2</v>
      </c>
      <c r="AF254" s="39">
        <f>IF(ISBLANK(R254),"",IF($P254="BRL",R254,R254*Macroindicadores!C$2)/1000)</f>
        <v>2</v>
      </c>
      <c r="AG254" s="39">
        <f>IF(ISBLANK(S254),"",IF($P254="BRL",S254,S254*Macroindicadores!D$2)/1000)</f>
        <v>2</v>
      </c>
      <c r="AH254" s="39">
        <f>IF(ISBLANK(T254),"",IF($P254="BRL",T254,T254*Macroindicadores!E$2)/1000)</f>
        <v>2</v>
      </c>
      <c r="AI254" s="39">
        <f>IF(ISBLANK(U254),"",IF($P254="BRL",U254,U254*Macroindicadores!F$2)/1000)</f>
        <v>2</v>
      </c>
      <c r="AJ254" s="39">
        <f>IF(ISBLANK(V254),"",IF($P254="BRL",V254,V254*Macroindicadores!G$2)/1000)</f>
        <v>2</v>
      </c>
      <c r="AK254" s="39">
        <f>IF(ISBLANK(W254),"",IF($P254="BRL",W254,W254*Macroindicadores!H$2)/1000)</f>
        <v>2</v>
      </c>
      <c r="AL254" s="39">
        <f>IF(ISBLANK(X254),"",IF($P254="BRL",X254,X254*Macroindicadores!I$2)/1000)</f>
        <v>2</v>
      </c>
      <c r="AM254" s="39">
        <f>IF(ISBLANK(Y254),"",IF($P254="BRL",Y254,Y254*Macroindicadores!J$2)/1000)</f>
        <v>2</v>
      </c>
      <c r="AN254" s="39">
        <f>IF(ISBLANK(Z254),"",IF($P254="BRL",Z254,Z254*Macroindicadores!K$2)/1000)</f>
        <v>2</v>
      </c>
      <c r="AO254" s="39">
        <f>IF(ISBLANK(AA254),"",IF($P254="BRL",AA254,AA254*Macroindicadores!L$2)/1000)</f>
        <v>2</v>
      </c>
      <c r="AP254" s="39">
        <f>IF(ISBLANK(AB254),"",IF($P254="BRL",AB254,AB254*Macroindicadores!M$2)/1000)</f>
        <v>2</v>
      </c>
      <c r="AQ254" s="40">
        <f t="shared" si="105"/>
        <v>24</v>
      </c>
      <c r="AS254" s="39">
        <f>IF(ISBLANK(Q254),"",IF(ISBLANK($O254),AE254,IF($J254="ANUAL",AE254*(1+Macroindicadores!B$7),IF(AND($I254="NOVO",MONTH($O254)=MONTH(AS$4)),AE254*(1+Macroindicadores!B$7),IF(AND($J254="PONTUAL",MONTH($O254)=MONTH(AS$4)),AE254*(1+Macroindicadores!B$7),IF(AND($J254="PONTUAL",MONTH($O254)&lt;MONTH(AS$4)),MIN(AR254:$AS254),IF(AND($I254="NOVO",MONTH($O254)&gt;MONTH(AS$4)),AE254,IF(MONTH($O254)&gt;MONTH(AS$4),AE254,IF(MONTH($O254)=MONTH(AS$4),AE254*(1+Macroindicadores!B$7),AR254)))))))))</f>
        <v>2</v>
      </c>
      <c r="AT254" s="39">
        <f>IF(ISBLANK(R254),"",IF(ISBLANK($O254),AF254,IF($J254="ANUAL",AF254*(1+Macroindicadores!C$7),IF(AND($I254="NOVO",MONTH($O254)=MONTH(AT$4)),AF254*(1+Macroindicadores!C$7),IF(AND($J254="PONTUAL",MONTH($O254)=MONTH(AT$4)),AF254*(1+Macroindicadores!C$7),IF(AND($J254="PONTUAL",MONTH($O254)&lt;MONTH(AT$4)),MIN($AS254:AS254),IF(AND($I254="NOVO",MONTH($O254)&gt;MONTH(AT$4)),AF254,IF(MONTH($O254)&gt;MONTH(AT$4),AF254,IF(MONTH($O254)=MONTH(AT$4),AF254*(1+Macroindicadores!C$7),AS254)))))))))</f>
        <v>2</v>
      </c>
      <c r="AU254" s="39">
        <f>IF(ISBLANK(S254),"",IF(ISBLANK($O254),AG254,IF($J254="ANUAL",AG254*(1+Macroindicadores!D$7),IF(AND($I254="NOVO",MONTH($O254)=MONTH(AU$4)),AG254*(1+Macroindicadores!D$7),IF(AND($J254="PONTUAL",MONTH($O254)=MONTH(AU$4)),AG254*(1+Macroindicadores!D$7),IF(AND($J254="PONTUAL",MONTH($O254)&lt;MONTH(AU$4)),MIN($AS254:AT254),IF(AND($I254="NOVO",MONTH($O254)&gt;MONTH(AU$4)),AG254,IF(MONTH($O254)&gt;MONTH(AU$4),AG254,IF(MONTH($O254)=MONTH(AU$4),AG254*(1+Macroindicadores!D$7),AT254)))))))))</f>
        <v>2</v>
      </c>
      <c r="AV254" s="39">
        <f>IF(ISBLANK(T254),"",IF(ISBLANK($O254),AH254,IF($J254="ANUAL",AH254*(1+Macroindicadores!E$7),IF(AND($I254="NOVO",MONTH($O254)=MONTH(AV$4)),AH254*(1+Macroindicadores!E$7),IF(AND($J254="PONTUAL",MONTH($O254)=MONTH(AV$4)),AH254*(1+Macroindicadores!E$7),IF(AND($J254="PONTUAL",MONTH($O254)&lt;MONTH(AV$4)),MIN($AS254:AU254),IF(AND($I254="NOVO",MONTH($O254)&gt;MONTH(AV$4)),AH254,IF(MONTH($O254)&gt;MONTH(AV$4),AH254,IF(MONTH($O254)=MONTH(AV$4),AH254*(1+Macroindicadores!E$7),AU254)))))))))</f>
        <v>2</v>
      </c>
      <c r="AW254" s="39">
        <f>IF(ISBLANK(U254),"",IF(ISBLANK($O254),AI254,IF($J254="ANUAL",AI254*(1+Macroindicadores!F$7),IF(AND($I254="NOVO",MONTH($O254)=MONTH(AW$4)),AI254*(1+Macroindicadores!F$7),IF(AND($J254="PONTUAL",MONTH($O254)=MONTH(AW$4)),AI254*(1+Macroindicadores!F$7),IF(AND($J254="PONTUAL",MONTH($O254)&lt;MONTH(AW$4)),MIN($AS254:AV254),IF(AND($I254="NOVO",MONTH($O254)&gt;MONTH(AW$4)),AI254,IF(MONTH($O254)&gt;MONTH(AW$4),AI254,IF(MONTH($O254)=MONTH(AW$4),AI254*(1+Macroindicadores!F$7),AV254)))))))))</f>
        <v>2</v>
      </c>
      <c r="AX254" s="39">
        <f>IF(ISBLANK(V254),"",IF(ISBLANK($O254),AJ254,IF($J254="ANUAL",AJ254*(1+Macroindicadores!G$7),IF(AND($I254="NOVO",MONTH($O254)=MONTH(AX$4)),AJ254*(1+Macroindicadores!G$7),IF(AND($J254="PONTUAL",MONTH($O254)=MONTH(AX$4)),AJ254*(1+Macroindicadores!G$7),IF(AND($J254="PONTUAL",MONTH($O254)&lt;MONTH(AX$4)),MIN($AS254:AW254),IF(AND($I254="NOVO",MONTH($O254)&gt;MONTH(AX$4)),AJ254,IF(MONTH($O254)&gt;MONTH(AX$4),AJ254,IF(MONTH($O254)=MONTH(AX$4),AJ254*(1+Macroindicadores!G$7),AW254)))))))))</f>
        <v>2</v>
      </c>
      <c r="AY254" s="39">
        <f>IF(ISBLANK(W254),"",IF(ISBLANK($O254),AK254,IF($J254="ANUAL",AK254*(1+Macroindicadores!H$7),IF(AND($I254="NOVO",MONTH($O254)=MONTH(AY$4)),AK254*(1+Macroindicadores!H$7),IF(AND($J254="PONTUAL",MONTH($O254)=MONTH(AY$4)),AK254*(1+Macroindicadores!H$7),IF(AND($J254="PONTUAL",MONTH($O254)&lt;MONTH(AY$4)),MIN($AS254:AX254),IF(AND($I254="NOVO",MONTH($O254)&gt;MONTH(AY$4)),AK254,IF(MONTH($O254)&gt;MONTH(AY$4),AK254,IF(MONTH($O254)=MONTH(AY$4),AK254*(1+Macroindicadores!H$7),AX254)))))))))</f>
        <v>2</v>
      </c>
      <c r="AZ254" s="39">
        <f>IF(ISBLANK(X254),"",IF(ISBLANK($O254),AL254,IF($J254="ANUAL",AL254*(1+Macroindicadores!I$7),IF(AND($I254="NOVO",MONTH($O254)=MONTH(AZ$4)),AL254*(1+Macroindicadores!I$7),IF(AND($J254="PONTUAL",MONTH($O254)=MONTH(AZ$4)),AL254*(1+Macroindicadores!I$7),IF(AND($J254="PONTUAL",MONTH($O254)&lt;MONTH(AZ$4)),MIN($AS254:AY254),IF(AND($I254="NOVO",MONTH($O254)&gt;MONTH(AZ$4)),AL254,IF(MONTH($O254)&gt;MONTH(AZ$4),AL254,IF(MONTH($O254)=MONTH(AZ$4),AL254*(1+Macroindicadores!I$7),AY254)))))))))</f>
        <v>2</v>
      </c>
      <c r="BA254" s="39">
        <f>IF(ISBLANK(Y254),"",IF(ISBLANK($O254),AM254,IF($J254="ANUAL",AM254*(1+Macroindicadores!J$7),IF(AND($I254="NOVO",MONTH($O254)=MONTH(BA$4)),AM254*(1+Macroindicadores!J$7),IF(AND($J254="PONTUAL",MONTH($O254)=MONTH(BA$4)),AM254*(1+Macroindicadores!J$7),IF(AND($J254="PONTUAL",MONTH($O254)&lt;MONTH(BA$4)),MIN($AS254:AZ254),IF(AND($I254="NOVO",MONTH($O254)&gt;MONTH(BA$4)),AM254,IF(MONTH($O254)&gt;MONTH(BA$4),AM254,IF(MONTH($O254)=MONTH(BA$4),AM254*(1+Macroindicadores!J$7),AZ254)))))))))</f>
        <v>2</v>
      </c>
      <c r="BB254" s="39">
        <f>IF(ISBLANK(Z254),"",IF(ISBLANK($O254),AN254,IF($J254="ANUAL",AN254*(1+Macroindicadores!K$7),IF(AND($I254="NOVO",MONTH($O254)=MONTH(BB$4)),AN254*(1+Macroindicadores!K$7),IF(AND($J254="PONTUAL",MONTH($O254)=MONTH(BB$4)),AN254*(1+Macroindicadores!K$7),IF(AND($J254="PONTUAL",MONTH($O254)&lt;MONTH(BB$4)),MIN($AS254:BA254),IF(AND($I254="NOVO",MONTH($O254)&gt;MONTH(BB$4)),AN254,IF(MONTH($O254)&gt;MONTH(BB$4),AN254,IF(MONTH($O254)=MONTH(BB$4),AN254*(1+Macroindicadores!K$7),BA254)))))))))</f>
        <v>2</v>
      </c>
      <c r="BC254" s="39">
        <f>IF(ISBLANK(AA254),"",IF(ISBLANK($O254),AO254,IF($J254="ANUAL",AO254*(1+Macroindicadores!L$7),IF(AND($I254="NOVO",MONTH($O254)=MONTH(BC$4)),AO254*(1+Macroindicadores!L$7),IF(AND($J254="PONTUAL",MONTH($O254)=MONTH(BC$4)),AO254*(1+Macroindicadores!L$7),IF(AND($J254="PONTUAL",MONTH($O254)&lt;MONTH(BC$4)),MIN($AS254:BB254),IF(AND($I254="NOVO",MONTH($O254)&gt;MONTH(BC$4)),AO254,IF(MONTH($O254)&gt;MONTH(BC$4),AO254,IF(MONTH($O254)=MONTH(BC$4),AO254*(1+Macroindicadores!L$7),BB254)))))))))</f>
        <v>2</v>
      </c>
      <c r="BD254" s="39">
        <f>IF(ISBLANK(AB254),"",IF(ISBLANK($O254),AP254,IF($J254="ANUAL",AP254*(1+Macroindicadores!M$7),IF(AND($I254="NOVO",MONTH($O254)=MONTH(BD$4)),AP254*(1+Macroindicadores!M$7),IF(AND($J254="PONTUAL",MONTH($O254)=MONTH(BD$4)),AP254*(1+Macroindicadores!M$7),IF(AND($J254="PONTUAL",MONTH($O254)&lt;MONTH(BD$4)),MIN($AS254:BC254),IF(AND($I254="NOVO",MONTH($O254)&gt;MONTH(BD$4)),AP254,IF(MONTH($O254)&gt;MONTH(BD$4),AP254,IF(MONTH($O254)=MONTH(BD$4),AP254*(1+Macroindicadores!M$7),BC254)))))))))</f>
        <v>2</v>
      </c>
      <c r="BE254" s="40">
        <f t="shared" si="106"/>
        <v>24</v>
      </c>
      <c r="BG254" s="39">
        <f>IF(ISBLANK(Q254),"",AS254/Macroindicadores!B$2)</f>
        <v>0.3401360544217687</v>
      </c>
      <c r="BH254" s="39">
        <f>IF(ISBLANK(R254),"",AT254/Macroindicadores!C$2)</f>
        <v>0.3401360544217687</v>
      </c>
      <c r="BI254" s="39">
        <f>IF(ISBLANK(S254),"",AU254/Macroindicadores!D$2)</f>
        <v>0.3401360544217687</v>
      </c>
      <c r="BJ254" s="39">
        <f>IF(ISBLANK(T254),"",AV254/Macroindicadores!E$2)</f>
        <v>0.3401360544217687</v>
      </c>
      <c r="BK254" s="39">
        <f>IF(ISBLANK(U254),"",AW254/Macroindicadores!F$2)</f>
        <v>0.3401360544217687</v>
      </c>
      <c r="BL254" s="39">
        <f>IF(ISBLANK(V254),"",AX254/Macroindicadores!G$2)</f>
        <v>0.3401360544217687</v>
      </c>
      <c r="BM254" s="39">
        <f>IF(ISBLANK(W254),"",AY254/Macroindicadores!H$2)</f>
        <v>0.3401360544217687</v>
      </c>
      <c r="BN254" s="39">
        <f>IF(ISBLANK(X254),"",AZ254/Macroindicadores!I$2)</f>
        <v>0.3401360544217687</v>
      </c>
      <c r="BO254" s="39">
        <f>IF(ISBLANK(Y254),"",BA254/Macroindicadores!J$2)</f>
        <v>0.3401360544217687</v>
      </c>
      <c r="BP254" s="39">
        <f>IF(ISBLANK(Z254),"",BB254/Macroindicadores!K$2)</f>
        <v>0.3401360544217687</v>
      </c>
      <c r="BQ254" s="39">
        <f>IF(ISBLANK(AA254),"",BC254/Macroindicadores!L$2)</f>
        <v>0.3401360544217687</v>
      </c>
      <c r="BR254" s="39">
        <f>IF(ISBLANK(AB254),"",BD254/Macroindicadores!M$2)</f>
        <v>0.3401360544217687</v>
      </c>
      <c r="BS254" s="40">
        <f t="shared" si="107"/>
        <v>4.0816326530612246</v>
      </c>
      <c r="BT254" s="25" t="str">
        <f>IF(ISBLANK($L254),"",_xlfn.XLOOKUP($L254,'CENTRO CUSTO'!$A:$A,'CENTRO CUSTO'!$E:$E,FALSE,0))</f>
        <v>G&amp;A PL</v>
      </c>
    </row>
    <row r="255" spans="1:72">
      <c r="A255" s="9" t="str">
        <f t="shared" si="80"/>
        <v>Budget</v>
      </c>
      <c r="B255" s="9">
        <f t="shared" si="77"/>
        <v>2026</v>
      </c>
      <c r="C255" s="18" t="str">
        <f>IF(ISBLANK($L255),"",_xlfn.XLOOKUP($L255,'CENTRO CUSTO'!$A:$A,'CENTRO CUSTO'!F:F,FALSE,0))</f>
        <v>Cone Sul</v>
      </c>
      <c r="D255" s="111" t="str">
        <f>IF(ISBLANK($L255),"",_xlfn.XLOOKUP($L255,'CENTRO CUSTO'!$A:$A,'CENTRO CUSTO'!G:G,FALSE,0))</f>
        <v>Plataforma</v>
      </c>
      <c r="E255" s="18" t="str">
        <f>IF(ISBLANK($L255),"",_xlfn.XLOOKUP($L255,'CENTRO CUSTO'!$A:$A,'CENTRO CUSTO'!H:H,FALSE,0))</f>
        <v>G&amp;A</v>
      </c>
      <c r="F255" s="10" t="s">
        <v>243</v>
      </c>
      <c r="G255" s="10" t="s">
        <v>233</v>
      </c>
      <c r="H255" s="10" t="s">
        <v>250</v>
      </c>
      <c r="I255" s="11" t="s">
        <v>77</v>
      </c>
      <c r="J255" s="11" t="s">
        <v>78</v>
      </c>
      <c r="K255" s="11" t="s">
        <v>94</v>
      </c>
      <c r="L255" s="11" t="s">
        <v>54</v>
      </c>
      <c r="M255" s="18" t="str">
        <f>IF(ISBLANK($L255),"",_xlfn.XLOOKUP($L255,'CENTRO CUSTO'!$A:$A,'CENTRO CUSTO'!D:D,FALSE,0))</f>
        <v>Alexandre Ayabe</v>
      </c>
      <c r="N255" s="11" t="s">
        <v>245</v>
      </c>
      <c r="O255" s="12"/>
      <c r="P255" s="11" t="s">
        <v>81</v>
      </c>
      <c r="Q255" s="41">
        <f>600*2</f>
        <v>1200</v>
      </c>
      <c r="R255" s="41">
        <f t="shared" ref="R255:AB255" si="117">600*2</f>
        <v>1200</v>
      </c>
      <c r="S255" s="41">
        <f t="shared" si="117"/>
        <v>1200</v>
      </c>
      <c r="T255" s="41">
        <f t="shared" si="117"/>
        <v>1200</v>
      </c>
      <c r="U255" s="41">
        <f t="shared" si="117"/>
        <v>1200</v>
      </c>
      <c r="V255" s="41">
        <f t="shared" si="117"/>
        <v>1200</v>
      </c>
      <c r="W255" s="41">
        <f t="shared" si="117"/>
        <v>1200</v>
      </c>
      <c r="X255" s="41">
        <f t="shared" si="117"/>
        <v>1200</v>
      </c>
      <c r="Y255" s="41">
        <f t="shared" si="117"/>
        <v>1200</v>
      </c>
      <c r="Z255" s="41">
        <f t="shared" si="117"/>
        <v>1200</v>
      </c>
      <c r="AA255" s="41">
        <f t="shared" si="117"/>
        <v>1200</v>
      </c>
      <c r="AB255" s="41">
        <f t="shared" si="117"/>
        <v>1200</v>
      </c>
      <c r="AC255" s="116">
        <f t="shared" si="104"/>
        <v>14400</v>
      </c>
      <c r="AE255" s="39">
        <f>IF(ISBLANK(Q255),"",IF($P255="BRL",Q255,Q255*Macroindicadores!B$2)/1000)</f>
        <v>1.2</v>
      </c>
      <c r="AF255" s="39">
        <f>IF(ISBLANK(R255),"",IF($P255="BRL",R255,R255*Macroindicadores!C$2)/1000)</f>
        <v>1.2</v>
      </c>
      <c r="AG255" s="39">
        <f>IF(ISBLANK(S255),"",IF($P255="BRL",S255,S255*Macroindicadores!D$2)/1000)</f>
        <v>1.2</v>
      </c>
      <c r="AH255" s="39">
        <f>IF(ISBLANK(T255),"",IF($P255="BRL",T255,T255*Macroindicadores!E$2)/1000)</f>
        <v>1.2</v>
      </c>
      <c r="AI255" s="39">
        <f>IF(ISBLANK(U255),"",IF($P255="BRL",U255,U255*Macroindicadores!F$2)/1000)</f>
        <v>1.2</v>
      </c>
      <c r="AJ255" s="39">
        <f>IF(ISBLANK(V255),"",IF($P255="BRL",V255,V255*Macroindicadores!G$2)/1000)</f>
        <v>1.2</v>
      </c>
      <c r="AK255" s="39">
        <f>IF(ISBLANK(W255),"",IF($P255="BRL",W255,W255*Macroindicadores!H$2)/1000)</f>
        <v>1.2</v>
      </c>
      <c r="AL255" s="39">
        <f>IF(ISBLANK(X255),"",IF($P255="BRL",X255,X255*Macroindicadores!I$2)/1000)</f>
        <v>1.2</v>
      </c>
      <c r="AM255" s="39">
        <f>IF(ISBLANK(Y255),"",IF($P255="BRL",Y255,Y255*Macroindicadores!J$2)/1000)</f>
        <v>1.2</v>
      </c>
      <c r="AN255" s="39">
        <f>IF(ISBLANK(Z255),"",IF($P255="BRL",Z255,Z255*Macroindicadores!K$2)/1000)</f>
        <v>1.2</v>
      </c>
      <c r="AO255" s="39">
        <f>IF(ISBLANK(AA255),"",IF($P255="BRL",AA255,AA255*Macroindicadores!L$2)/1000)</f>
        <v>1.2</v>
      </c>
      <c r="AP255" s="39">
        <f>IF(ISBLANK(AB255),"",IF($P255="BRL",AB255,AB255*Macroindicadores!M$2)/1000)</f>
        <v>1.2</v>
      </c>
      <c r="AQ255" s="40">
        <f t="shared" si="105"/>
        <v>14.399999999999997</v>
      </c>
      <c r="AS255" s="39">
        <f>IF(ISBLANK(Q255),"",IF(ISBLANK($O255),AE255,IF($J255="ANUAL",AE255*(1+Macroindicadores!B$7),IF(AND($I255="NOVO",MONTH($O255)=MONTH(AS$4)),AE255*(1+Macroindicadores!B$7),IF(AND($J255="PONTUAL",MONTH($O255)=MONTH(AS$4)),AE255*(1+Macroindicadores!B$7),IF(AND($J255="PONTUAL",MONTH($O255)&lt;MONTH(AS$4)),MIN(AR255:$AS255),IF(AND($I255="NOVO",MONTH($O255)&gt;MONTH(AS$4)),AE255,IF(MONTH($O255)&gt;MONTH(AS$4),AE255,IF(MONTH($O255)=MONTH(AS$4),AE255*(1+Macroindicadores!B$7),AR255)))))))))</f>
        <v>1.2</v>
      </c>
      <c r="AT255" s="39">
        <f>IF(ISBLANK(R255),"",IF(ISBLANK($O255),AF255,IF($J255="ANUAL",AF255*(1+Macroindicadores!C$7),IF(AND($I255="NOVO",MONTH($O255)=MONTH(AT$4)),AF255*(1+Macroindicadores!C$7),IF(AND($J255="PONTUAL",MONTH($O255)=MONTH(AT$4)),AF255*(1+Macroindicadores!C$7),IF(AND($J255="PONTUAL",MONTH($O255)&lt;MONTH(AT$4)),MIN($AS255:AS255),IF(AND($I255="NOVO",MONTH($O255)&gt;MONTH(AT$4)),AF255,IF(MONTH($O255)&gt;MONTH(AT$4),AF255,IF(MONTH($O255)=MONTH(AT$4),AF255*(1+Macroindicadores!C$7),AS255)))))))))</f>
        <v>1.2</v>
      </c>
      <c r="AU255" s="39">
        <f>IF(ISBLANK(S255),"",IF(ISBLANK($O255),AG255,IF($J255="ANUAL",AG255*(1+Macroindicadores!D$7),IF(AND($I255="NOVO",MONTH($O255)=MONTH(AU$4)),AG255*(1+Macroindicadores!D$7),IF(AND($J255="PONTUAL",MONTH($O255)=MONTH(AU$4)),AG255*(1+Macroindicadores!D$7),IF(AND($J255="PONTUAL",MONTH($O255)&lt;MONTH(AU$4)),MIN($AS255:AT255),IF(AND($I255="NOVO",MONTH($O255)&gt;MONTH(AU$4)),AG255,IF(MONTH($O255)&gt;MONTH(AU$4),AG255,IF(MONTH($O255)=MONTH(AU$4),AG255*(1+Macroindicadores!D$7),AT255)))))))))</f>
        <v>1.2</v>
      </c>
      <c r="AV255" s="39">
        <f>IF(ISBLANK(T255),"",IF(ISBLANK($O255),AH255,IF($J255="ANUAL",AH255*(1+Macroindicadores!E$7),IF(AND($I255="NOVO",MONTH($O255)=MONTH(AV$4)),AH255*(1+Macroindicadores!E$7),IF(AND($J255="PONTUAL",MONTH($O255)=MONTH(AV$4)),AH255*(1+Macroindicadores!E$7),IF(AND($J255="PONTUAL",MONTH($O255)&lt;MONTH(AV$4)),MIN($AS255:AU255),IF(AND($I255="NOVO",MONTH($O255)&gt;MONTH(AV$4)),AH255,IF(MONTH($O255)&gt;MONTH(AV$4),AH255,IF(MONTH($O255)=MONTH(AV$4),AH255*(1+Macroindicadores!E$7),AU255)))))))))</f>
        <v>1.2</v>
      </c>
      <c r="AW255" s="39">
        <f>IF(ISBLANK(U255),"",IF(ISBLANK($O255),AI255,IF($J255="ANUAL",AI255*(1+Macroindicadores!F$7),IF(AND($I255="NOVO",MONTH($O255)=MONTH(AW$4)),AI255*(1+Macroindicadores!F$7),IF(AND($J255="PONTUAL",MONTH($O255)=MONTH(AW$4)),AI255*(1+Macroindicadores!F$7),IF(AND($J255="PONTUAL",MONTH($O255)&lt;MONTH(AW$4)),MIN($AS255:AV255),IF(AND($I255="NOVO",MONTH($O255)&gt;MONTH(AW$4)),AI255,IF(MONTH($O255)&gt;MONTH(AW$4),AI255,IF(MONTH($O255)=MONTH(AW$4),AI255*(1+Macroindicadores!F$7),AV255)))))))))</f>
        <v>1.2</v>
      </c>
      <c r="AX255" s="39">
        <f>IF(ISBLANK(V255),"",IF(ISBLANK($O255),AJ255,IF($J255="ANUAL",AJ255*(1+Macroindicadores!G$7),IF(AND($I255="NOVO",MONTH($O255)=MONTH(AX$4)),AJ255*(1+Macroindicadores!G$7),IF(AND($J255="PONTUAL",MONTH($O255)=MONTH(AX$4)),AJ255*(1+Macroindicadores!G$7),IF(AND($J255="PONTUAL",MONTH($O255)&lt;MONTH(AX$4)),MIN($AS255:AW255),IF(AND($I255="NOVO",MONTH($O255)&gt;MONTH(AX$4)),AJ255,IF(MONTH($O255)&gt;MONTH(AX$4),AJ255,IF(MONTH($O255)=MONTH(AX$4),AJ255*(1+Macroindicadores!G$7),AW255)))))))))</f>
        <v>1.2</v>
      </c>
      <c r="AY255" s="39">
        <f>IF(ISBLANK(W255),"",IF(ISBLANK($O255),AK255,IF($J255="ANUAL",AK255*(1+Macroindicadores!H$7),IF(AND($I255="NOVO",MONTH($O255)=MONTH(AY$4)),AK255*(1+Macroindicadores!H$7),IF(AND($J255="PONTUAL",MONTH($O255)=MONTH(AY$4)),AK255*(1+Macroindicadores!H$7),IF(AND($J255="PONTUAL",MONTH($O255)&lt;MONTH(AY$4)),MIN($AS255:AX255),IF(AND($I255="NOVO",MONTH($O255)&gt;MONTH(AY$4)),AK255,IF(MONTH($O255)&gt;MONTH(AY$4),AK255,IF(MONTH($O255)=MONTH(AY$4),AK255*(1+Macroindicadores!H$7),AX255)))))))))</f>
        <v>1.2</v>
      </c>
      <c r="AZ255" s="39">
        <f>IF(ISBLANK(X255),"",IF(ISBLANK($O255),AL255,IF($J255="ANUAL",AL255*(1+Macroindicadores!I$7),IF(AND($I255="NOVO",MONTH($O255)=MONTH(AZ$4)),AL255*(1+Macroindicadores!I$7),IF(AND($J255="PONTUAL",MONTH($O255)=MONTH(AZ$4)),AL255*(1+Macroindicadores!I$7),IF(AND($J255="PONTUAL",MONTH($O255)&lt;MONTH(AZ$4)),MIN($AS255:AY255),IF(AND($I255="NOVO",MONTH($O255)&gt;MONTH(AZ$4)),AL255,IF(MONTH($O255)&gt;MONTH(AZ$4),AL255,IF(MONTH($O255)=MONTH(AZ$4),AL255*(1+Macroindicadores!I$7),AY255)))))))))</f>
        <v>1.2</v>
      </c>
      <c r="BA255" s="39">
        <f>IF(ISBLANK(Y255),"",IF(ISBLANK($O255),AM255,IF($J255="ANUAL",AM255*(1+Macroindicadores!J$7),IF(AND($I255="NOVO",MONTH($O255)=MONTH(BA$4)),AM255*(1+Macroindicadores!J$7),IF(AND($J255="PONTUAL",MONTH($O255)=MONTH(BA$4)),AM255*(1+Macroindicadores!J$7),IF(AND($J255="PONTUAL",MONTH($O255)&lt;MONTH(BA$4)),MIN($AS255:AZ255),IF(AND($I255="NOVO",MONTH($O255)&gt;MONTH(BA$4)),AM255,IF(MONTH($O255)&gt;MONTH(BA$4),AM255,IF(MONTH($O255)=MONTH(BA$4),AM255*(1+Macroindicadores!J$7),AZ255)))))))))</f>
        <v>1.2</v>
      </c>
      <c r="BB255" s="39">
        <f>IF(ISBLANK(Z255),"",IF(ISBLANK($O255),AN255,IF($J255="ANUAL",AN255*(1+Macroindicadores!K$7),IF(AND($I255="NOVO",MONTH($O255)=MONTH(BB$4)),AN255*(1+Macroindicadores!K$7),IF(AND($J255="PONTUAL",MONTH($O255)=MONTH(BB$4)),AN255*(1+Macroindicadores!K$7),IF(AND($J255="PONTUAL",MONTH($O255)&lt;MONTH(BB$4)),MIN($AS255:BA255),IF(AND($I255="NOVO",MONTH($O255)&gt;MONTH(BB$4)),AN255,IF(MONTH($O255)&gt;MONTH(BB$4),AN255,IF(MONTH($O255)=MONTH(BB$4),AN255*(1+Macroindicadores!K$7),BA255)))))))))</f>
        <v>1.2</v>
      </c>
      <c r="BC255" s="39">
        <f>IF(ISBLANK(AA255),"",IF(ISBLANK($O255),AO255,IF($J255="ANUAL",AO255*(1+Macroindicadores!L$7),IF(AND($I255="NOVO",MONTH($O255)=MONTH(BC$4)),AO255*(1+Macroindicadores!L$7),IF(AND($J255="PONTUAL",MONTH($O255)=MONTH(BC$4)),AO255*(1+Macroindicadores!L$7),IF(AND($J255="PONTUAL",MONTH($O255)&lt;MONTH(BC$4)),MIN($AS255:BB255),IF(AND($I255="NOVO",MONTH($O255)&gt;MONTH(BC$4)),AO255,IF(MONTH($O255)&gt;MONTH(BC$4),AO255,IF(MONTH($O255)=MONTH(BC$4),AO255*(1+Macroindicadores!L$7),BB255)))))))))</f>
        <v>1.2</v>
      </c>
      <c r="BD255" s="39">
        <f>IF(ISBLANK(AB255),"",IF(ISBLANK($O255),AP255,IF($J255="ANUAL",AP255*(1+Macroindicadores!M$7),IF(AND($I255="NOVO",MONTH($O255)=MONTH(BD$4)),AP255*(1+Macroindicadores!M$7),IF(AND($J255="PONTUAL",MONTH($O255)=MONTH(BD$4)),AP255*(1+Macroindicadores!M$7),IF(AND($J255="PONTUAL",MONTH($O255)&lt;MONTH(BD$4)),MIN($AS255:BC255),IF(AND($I255="NOVO",MONTH($O255)&gt;MONTH(BD$4)),AP255,IF(MONTH($O255)&gt;MONTH(BD$4),AP255,IF(MONTH($O255)=MONTH(BD$4),AP255*(1+Macroindicadores!M$7),BC255)))))))))</f>
        <v>1.2</v>
      </c>
      <c r="BE255" s="40">
        <f t="shared" si="106"/>
        <v>14.399999999999997</v>
      </c>
      <c r="BG255" s="39">
        <f>IF(ISBLANK(Q255),"",AS255/Macroindicadores!B$2)</f>
        <v>0.20408163265306123</v>
      </c>
      <c r="BH255" s="39">
        <f>IF(ISBLANK(R255),"",AT255/Macroindicadores!C$2)</f>
        <v>0.20408163265306123</v>
      </c>
      <c r="BI255" s="39">
        <f>IF(ISBLANK(S255),"",AU255/Macroindicadores!D$2)</f>
        <v>0.20408163265306123</v>
      </c>
      <c r="BJ255" s="39">
        <f>IF(ISBLANK(T255),"",AV255/Macroindicadores!E$2)</f>
        <v>0.20408163265306123</v>
      </c>
      <c r="BK255" s="39">
        <f>IF(ISBLANK(U255),"",AW255/Macroindicadores!F$2)</f>
        <v>0.20408163265306123</v>
      </c>
      <c r="BL255" s="39">
        <f>IF(ISBLANK(V255),"",AX255/Macroindicadores!G$2)</f>
        <v>0.20408163265306123</v>
      </c>
      <c r="BM255" s="39">
        <f>IF(ISBLANK(W255),"",AY255/Macroindicadores!H$2)</f>
        <v>0.20408163265306123</v>
      </c>
      <c r="BN255" s="39">
        <f>IF(ISBLANK(X255),"",AZ255/Macroindicadores!I$2)</f>
        <v>0.20408163265306123</v>
      </c>
      <c r="BO255" s="39">
        <f>IF(ISBLANK(Y255),"",BA255/Macroindicadores!J$2)</f>
        <v>0.20408163265306123</v>
      </c>
      <c r="BP255" s="39">
        <f>IF(ISBLANK(Z255),"",BB255/Macroindicadores!K$2)</f>
        <v>0.20408163265306123</v>
      </c>
      <c r="BQ255" s="39">
        <f>IF(ISBLANK(AA255),"",BC255/Macroindicadores!L$2)</f>
        <v>0.20408163265306123</v>
      </c>
      <c r="BR255" s="39">
        <f>IF(ISBLANK(AB255),"",BD255/Macroindicadores!M$2)</f>
        <v>0.20408163265306123</v>
      </c>
      <c r="BS255" s="40">
        <f t="shared" si="107"/>
        <v>2.4489795918367347</v>
      </c>
      <c r="BT255" s="25" t="str">
        <f>IF(ISBLANK($L255),"",_xlfn.XLOOKUP($L255,'CENTRO CUSTO'!$A:$A,'CENTRO CUSTO'!$E:$E,FALSE,0))</f>
        <v>G&amp;A PL</v>
      </c>
    </row>
    <row r="256" spans="1:72">
      <c r="A256" s="9" t="str">
        <f t="shared" si="80"/>
        <v>Budget</v>
      </c>
      <c r="B256" s="9">
        <f t="shared" si="77"/>
        <v>2026</v>
      </c>
      <c r="C256" s="18" t="str">
        <f>IF(ISBLANK($L256),"",_xlfn.XLOOKUP($L256,'CENTRO CUSTO'!$A:$A,'CENTRO CUSTO'!F:F,FALSE,0))</f>
        <v>Cone Sul</v>
      </c>
      <c r="D256" s="111" t="str">
        <f>IF(ISBLANK($L256),"",_xlfn.XLOOKUP($L256,'CENTRO CUSTO'!$A:$A,'CENTRO CUSTO'!G:G,FALSE,0))</f>
        <v>Plataforma</v>
      </c>
      <c r="E256" s="18" t="str">
        <f>IF(ISBLANK($L256),"",_xlfn.XLOOKUP($L256,'CENTRO CUSTO'!$A:$A,'CENTRO CUSTO'!H:H,FALSE,0))</f>
        <v>G&amp;A</v>
      </c>
      <c r="F256" s="10" t="s">
        <v>246</v>
      </c>
      <c r="G256" s="10" t="s">
        <v>233</v>
      </c>
      <c r="H256" s="10" t="s">
        <v>250</v>
      </c>
      <c r="I256" s="11" t="s">
        <v>77</v>
      </c>
      <c r="J256" s="11" t="s">
        <v>78</v>
      </c>
      <c r="K256" s="11" t="s">
        <v>94</v>
      </c>
      <c r="L256" s="11" t="s">
        <v>54</v>
      </c>
      <c r="M256" s="18" t="str">
        <f>IF(ISBLANK($L256),"",_xlfn.XLOOKUP($L256,'CENTRO CUSTO'!$A:$A,'CENTRO CUSTO'!D:D,FALSE,0))</f>
        <v>Alexandre Ayabe</v>
      </c>
      <c r="N256" s="11" t="s">
        <v>245</v>
      </c>
      <c r="O256" s="12"/>
      <c r="P256" s="11" t="s">
        <v>81</v>
      </c>
      <c r="Q256" s="41">
        <f>400*4</f>
        <v>1600</v>
      </c>
      <c r="R256" s="41">
        <f t="shared" ref="R256:AB256" si="118">400*4</f>
        <v>1600</v>
      </c>
      <c r="S256" s="41">
        <f t="shared" si="118"/>
        <v>1600</v>
      </c>
      <c r="T256" s="41">
        <f t="shared" si="118"/>
        <v>1600</v>
      </c>
      <c r="U256" s="41">
        <f t="shared" si="118"/>
        <v>1600</v>
      </c>
      <c r="V256" s="41">
        <f t="shared" si="118"/>
        <v>1600</v>
      </c>
      <c r="W256" s="41">
        <f t="shared" si="118"/>
        <v>1600</v>
      </c>
      <c r="X256" s="41">
        <f t="shared" si="118"/>
        <v>1600</v>
      </c>
      <c r="Y256" s="41">
        <f t="shared" si="118"/>
        <v>1600</v>
      </c>
      <c r="Z256" s="41">
        <f t="shared" si="118"/>
        <v>1600</v>
      </c>
      <c r="AA256" s="41">
        <f t="shared" si="118"/>
        <v>1600</v>
      </c>
      <c r="AB256" s="41">
        <f t="shared" si="118"/>
        <v>1600</v>
      </c>
      <c r="AC256" s="116">
        <f t="shared" si="104"/>
        <v>19200</v>
      </c>
      <c r="AE256" s="39">
        <f>IF(ISBLANK(Q256),"",IF($P256="BRL",Q256,Q256*Macroindicadores!B$2)/1000)</f>
        <v>1.6</v>
      </c>
      <c r="AF256" s="39">
        <f>IF(ISBLANK(R256),"",IF($P256="BRL",R256,R256*Macroindicadores!C$2)/1000)</f>
        <v>1.6</v>
      </c>
      <c r="AG256" s="39">
        <f>IF(ISBLANK(S256),"",IF($P256="BRL",S256,S256*Macroindicadores!D$2)/1000)</f>
        <v>1.6</v>
      </c>
      <c r="AH256" s="39">
        <f>IF(ISBLANK(T256),"",IF($P256="BRL",T256,T256*Macroindicadores!E$2)/1000)</f>
        <v>1.6</v>
      </c>
      <c r="AI256" s="39">
        <f>IF(ISBLANK(U256),"",IF($P256="BRL",U256,U256*Macroindicadores!F$2)/1000)</f>
        <v>1.6</v>
      </c>
      <c r="AJ256" s="39">
        <f>IF(ISBLANK(V256),"",IF($P256="BRL",V256,V256*Macroindicadores!G$2)/1000)</f>
        <v>1.6</v>
      </c>
      <c r="AK256" s="39">
        <f>IF(ISBLANK(W256),"",IF($P256="BRL",W256,W256*Macroindicadores!H$2)/1000)</f>
        <v>1.6</v>
      </c>
      <c r="AL256" s="39">
        <f>IF(ISBLANK(X256),"",IF($P256="BRL",X256,X256*Macroindicadores!I$2)/1000)</f>
        <v>1.6</v>
      </c>
      <c r="AM256" s="39">
        <f>IF(ISBLANK(Y256),"",IF($P256="BRL",Y256,Y256*Macroindicadores!J$2)/1000)</f>
        <v>1.6</v>
      </c>
      <c r="AN256" s="39">
        <f>IF(ISBLANK(Z256),"",IF($P256="BRL",Z256,Z256*Macroindicadores!K$2)/1000)</f>
        <v>1.6</v>
      </c>
      <c r="AO256" s="39">
        <f>IF(ISBLANK(AA256),"",IF($P256="BRL",AA256,AA256*Macroindicadores!L$2)/1000)</f>
        <v>1.6</v>
      </c>
      <c r="AP256" s="39">
        <f>IF(ISBLANK(AB256),"",IF($P256="BRL",AB256,AB256*Macroindicadores!M$2)/1000)</f>
        <v>1.6</v>
      </c>
      <c r="AQ256" s="40">
        <f t="shared" si="105"/>
        <v>19.2</v>
      </c>
      <c r="AS256" s="39">
        <f>IF(ISBLANK(Q256),"",IF(ISBLANK($O256),AE256,IF($J256="ANUAL",AE256*(1+Macroindicadores!B$7),IF(AND($I256="NOVO",MONTH($O256)=MONTH(AS$4)),AE256*(1+Macroindicadores!B$7),IF(AND($J256="PONTUAL",MONTH($O256)=MONTH(AS$4)),AE256*(1+Macroindicadores!B$7),IF(AND($J256="PONTUAL",MONTH($O256)&lt;MONTH(AS$4)),MIN(AR256:$AS256),IF(AND($I256="NOVO",MONTH($O256)&gt;MONTH(AS$4)),AE256,IF(MONTH($O256)&gt;MONTH(AS$4),AE256,IF(MONTH($O256)=MONTH(AS$4),AE256*(1+Macroindicadores!B$7),AR256)))))))))</f>
        <v>1.6</v>
      </c>
      <c r="AT256" s="39">
        <f>IF(ISBLANK(R256),"",IF(ISBLANK($O256),AF256,IF($J256="ANUAL",AF256*(1+Macroindicadores!C$7),IF(AND($I256="NOVO",MONTH($O256)=MONTH(AT$4)),AF256*(1+Macroindicadores!C$7),IF(AND($J256="PONTUAL",MONTH($O256)=MONTH(AT$4)),AF256*(1+Macroindicadores!C$7),IF(AND($J256="PONTUAL",MONTH($O256)&lt;MONTH(AT$4)),MIN($AS256:AS256),IF(AND($I256="NOVO",MONTH($O256)&gt;MONTH(AT$4)),AF256,IF(MONTH($O256)&gt;MONTH(AT$4),AF256,IF(MONTH($O256)=MONTH(AT$4),AF256*(1+Macroindicadores!C$7),AS256)))))))))</f>
        <v>1.6</v>
      </c>
      <c r="AU256" s="39">
        <f>IF(ISBLANK(S256),"",IF(ISBLANK($O256),AG256,IF($J256="ANUAL",AG256*(1+Macroindicadores!D$7),IF(AND($I256="NOVO",MONTH($O256)=MONTH(AU$4)),AG256*(1+Macroindicadores!D$7),IF(AND($J256="PONTUAL",MONTH($O256)=MONTH(AU$4)),AG256*(1+Macroindicadores!D$7),IF(AND($J256="PONTUAL",MONTH($O256)&lt;MONTH(AU$4)),MIN($AS256:AT256),IF(AND($I256="NOVO",MONTH($O256)&gt;MONTH(AU$4)),AG256,IF(MONTH($O256)&gt;MONTH(AU$4),AG256,IF(MONTH($O256)=MONTH(AU$4),AG256*(1+Macroindicadores!D$7),AT256)))))))))</f>
        <v>1.6</v>
      </c>
      <c r="AV256" s="39">
        <f>IF(ISBLANK(T256),"",IF(ISBLANK($O256),AH256,IF($J256="ANUAL",AH256*(1+Macroindicadores!E$7),IF(AND($I256="NOVO",MONTH($O256)=MONTH(AV$4)),AH256*(1+Macroindicadores!E$7),IF(AND($J256="PONTUAL",MONTH($O256)=MONTH(AV$4)),AH256*(1+Macroindicadores!E$7),IF(AND($J256="PONTUAL",MONTH($O256)&lt;MONTH(AV$4)),MIN($AS256:AU256),IF(AND($I256="NOVO",MONTH($O256)&gt;MONTH(AV$4)),AH256,IF(MONTH($O256)&gt;MONTH(AV$4),AH256,IF(MONTH($O256)=MONTH(AV$4),AH256*(1+Macroindicadores!E$7),AU256)))))))))</f>
        <v>1.6</v>
      </c>
      <c r="AW256" s="39">
        <f>IF(ISBLANK(U256),"",IF(ISBLANK($O256),AI256,IF($J256="ANUAL",AI256*(1+Macroindicadores!F$7),IF(AND($I256="NOVO",MONTH($O256)=MONTH(AW$4)),AI256*(1+Macroindicadores!F$7),IF(AND($J256="PONTUAL",MONTH($O256)=MONTH(AW$4)),AI256*(1+Macroindicadores!F$7),IF(AND($J256="PONTUAL",MONTH($O256)&lt;MONTH(AW$4)),MIN($AS256:AV256),IF(AND($I256="NOVO",MONTH($O256)&gt;MONTH(AW$4)),AI256,IF(MONTH($O256)&gt;MONTH(AW$4),AI256,IF(MONTH($O256)=MONTH(AW$4),AI256*(1+Macroindicadores!F$7),AV256)))))))))</f>
        <v>1.6</v>
      </c>
      <c r="AX256" s="39">
        <f>IF(ISBLANK(V256),"",IF(ISBLANK($O256),AJ256,IF($J256="ANUAL",AJ256*(1+Macroindicadores!G$7),IF(AND($I256="NOVO",MONTH($O256)=MONTH(AX$4)),AJ256*(1+Macroindicadores!G$7),IF(AND($J256="PONTUAL",MONTH($O256)=MONTH(AX$4)),AJ256*(1+Macroindicadores!G$7),IF(AND($J256="PONTUAL",MONTH($O256)&lt;MONTH(AX$4)),MIN($AS256:AW256),IF(AND($I256="NOVO",MONTH($O256)&gt;MONTH(AX$4)),AJ256,IF(MONTH($O256)&gt;MONTH(AX$4),AJ256,IF(MONTH($O256)=MONTH(AX$4),AJ256*(1+Macroindicadores!G$7),AW256)))))))))</f>
        <v>1.6</v>
      </c>
      <c r="AY256" s="39">
        <f>IF(ISBLANK(W256),"",IF(ISBLANK($O256),AK256,IF($J256="ANUAL",AK256*(1+Macroindicadores!H$7),IF(AND($I256="NOVO",MONTH($O256)=MONTH(AY$4)),AK256*(1+Macroindicadores!H$7),IF(AND($J256="PONTUAL",MONTH($O256)=MONTH(AY$4)),AK256*(1+Macroindicadores!H$7),IF(AND($J256="PONTUAL",MONTH($O256)&lt;MONTH(AY$4)),MIN($AS256:AX256),IF(AND($I256="NOVO",MONTH($O256)&gt;MONTH(AY$4)),AK256,IF(MONTH($O256)&gt;MONTH(AY$4),AK256,IF(MONTH($O256)=MONTH(AY$4),AK256*(1+Macroindicadores!H$7),AX256)))))))))</f>
        <v>1.6</v>
      </c>
      <c r="AZ256" s="39">
        <f>IF(ISBLANK(X256),"",IF(ISBLANK($O256),AL256,IF($J256="ANUAL",AL256*(1+Macroindicadores!I$7),IF(AND($I256="NOVO",MONTH($O256)=MONTH(AZ$4)),AL256*(1+Macroindicadores!I$7),IF(AND($J256="PONTUAL",MONTH($O256)=MONTH(AZ$4)),AL256*(1+Macroindicadores!I$7),IF(AND($J256="PONTUAL",MONTH($O256)&lt;MONTH(AZ$4)),MIN($AS256:AY256),IF(AND($I256="NOVO",MONTH($O256)&gt;MONTH(AZ$4)),AL256,IF(MONTH($O256)&gt;MONTH(AZ$4),AL256,IF(MONTH($O256)=MONTH(AZ$4),AL256*(1+Macroindicadores!I$7),AY256)))))))))</f>
        <v>1.6</v>
      </c>
      <c r="BA256" s="39">
        <f>IF(ISBLANK(Y256),"",IF(ISBLANK($O256),AM256,IF($J256="ANUAL",AM256*(1+Macroindicadores!J$7),IF(AND($I256="NOVO",MONTH($O256)=MONTH(BA$4)),AM256*(1+Macroindicadores!J$7),IF(AND($J256="PONTUAL",MONTH($O256)=MONTH(BA$4)),AM256*(1+Macroindicadores!J$7),IF(AND($J256="PONTUAL",MONTH($O256)&lt;MONTH(BA$4)),MIN($AS256:AZ256),IF(AND($I256="NOVO",MONTH($O256)&gt;MONTH(BA$4)),AM256,IF(MONTH($O256)&gt;MONTH(BA$4),AM256,IF(MONTH($O256)=MONTH(BA$4),AM256*(1+Macroindicadores!J$7),AZ256)))))))))</f>
        <v>1.6</v>
      </c>
      <c r="BB256" s="39">
        <f>IF(ISBLANK(Z256),"",IF(ISBLANK($O256),AN256,IF($J256="ANUAL",AN256*(1+Macroindicadores!K$7),IF(AND($I256="NOVO",MONTH($O256)=MONTH(BB$4)),AN256*(1+Macroindicadores!K$7),IF(AND($J256="PONTUAL",MONTH($O256)=MONTH(BB$4)),AN256*(1+Macroindicadores!K$7),IF(AND($J256="PONTUAL",MONTH($O256)&lt;MONTH(BB$4)),MIN($AS256:BA256),IF(AND($I256="NOVO",MONTH($O256)&gt;MONTH(BB$4)),AN256,IF(MONTH($O256)&gt;MONTH(BB$4),AN256,IF(MONTH($O256)=MONTH(BB$4),AN256*(1+Macroindicadores!K$7),BA256)))))))))</f>
        <v>1.6</v>
      </c>
      <c r="BC256" s="39">
        <f>IF(ISBLANK(AA256),"",IF(ISBLANK($O256),AO256,IF($J256="ANUAL",AO256*(1+Macroindicadores!L$7),IF(AND($I256="NOVO",MONTH($O256)=MONTH(BC$4)),AO256*(1+Macroindicadores!L$7),IF(AND($J256="PONTUAL",MONTH($O256)=MONTH(BC$4)),AO256*(1+Macroindicadores!L$7),IF(AND($J256="PONTUAL",MONTH($O256)&lt;MONTH(BC$4)),MIN($AS256:BB256),IF(AND($I256="NOVO",MONTH($O256)&gt;MONTH(BC$4)),AO256,IF(MONTH($O256)&gt;MONTH(BC$4),AO256,IF(MONTH($O256)=MONTH(BC$4),AO256*(1+Macroindicadores!L$7),BB256)))))))))</f>
        <v>1.6</v>
      </c>
      <c r="BD256" s="39">
        <f>IF(ISBLANK(AB256),"",IF(ISBLANK($O256),AP256,IF($J256="ANUAL",AP256*(1+Macroindicadores!M$7),IF(AND($I256="NOVO",MONTH($O256)=MONTH(BD$4)),AP256*(1+Macroindicadores!M$7),IF(AND($J256="PONTUAL",MONTH($O256)=MONTH(BD$4)),AP256*(1+Macroindicadores!M$7),IF(AND($J256="PONTUAL",MONTH($O256)&lt;MONTH(BD$4)),MIN($AS256:BC256),IF(AND($I256="NOVO",MONTH($O256)&gt;MONTH(BD$4)),AP256,IF(MONTH($O256)&gt;MONTH(BD$4),AP256,IF(MONTH($O256)=MONTH(BD$4),AP256*(1+Macroindicadores!M$7),BC256)))))))))</f>
        <v>1.6</v>
      </c>
      <c r="BE256" s="40">
        <f t="shared" si="106"/>
        <v>19.2</v>
      </c>
      <c r="BG256" s="39">
        <f>IF(ISBLANK(Q256),"",AS256/Macroindicadores!B$2)</f>
        <v>0.27210884353741499</v>
      </c>
      <c r="BH256" s="39">
        <f>IF(ISBLANK(R256),"",AT256/Macroindicadores!C$2)</f>
        <v>0.27210884353741499</v>
      </c>
      <c r="BI256" s="39">
        <f>IF(ISBLANK(S256),"",AU256/Macroindicadores!D$2)</f>
        <v>0.27210884353741499</v>
      </c>
      <c r="BJ256" s="39">
        <f>IF(ISBLANK(T256),"",AV256/Macroindicadores!E$2)</f>
        <v>0.27210884353741499</v>
      </c>
      <c r="BK256" s="39">
        <f>IF(ISBLANK(U256),"",AW256/Macroindicadores!F$2)</f>
        <v>0.27210884353741499</v>
      </c>
      <c r="BL256" s="39">
        <f>IF(ISBLANK(V256),"",AX256/Macroindicadores!G$2)</f>
        <v>0.27210884353741499</v>
      </c>
      <c r="BM256" s="39">
        <f>IF(ISBLANK(W256),"",AY256/Macroindicadores!H$2)</f>
        <v>0.27210884353741499</v>
      </c>
      <c r="BN256" s="39">
        <f>IF(ISBLANK(X256),"",AZ256/Macroindicadores!I$2)</f>
        <v>0.27210884353741499</v>
      </c>
      <c r="BO256" s="39">
        <f>IF(ISBLANK(Y256),"",BA256/Macroindicadores!J$2)</f>
        <v>0.27210884353741499</v>
      </c>
      <c r="BP256" s="39">
        <f>IF(ISBLANK(Z256),"",BB256/Macroindicadores!K$2)</f>
        <v>0.27210884353741499</v>
      </c>
      <c r="BQ256" s="39">
        <f>IF(ISBLANK(AA256),"",BC256/Macroindicadores!L$2)</f>
        <v>0.27210884353741499</v>
      </c>
      <c r="BR256" s="39">
        <f>IF(ISBLANK(AB256),"",BD256/Macroindicadores!M$2)</f>
        <v>0.27210884353741499</v>
      </c>
      <c r="BS256" s="40">
        <f t="shared" si="107"/>
        <v>3.2653061224489792</v>
      </c>
      <c r="BT256" s="25" t="str">
        <f>IF(ISBLANK($L256),"",_xlfn.XLOOKUP($L256,'CENTRO CUSTO'!$A:$A,'CENTRO CUSTO'!$E:$E,FALSE,0))</f>
        <v>G&amp;A PL</v>
      </c>
    </row>
    <row r="257" spans="1:72">
      <c r="A257" s="9" t="str">
        <f t="shared" si="80"/>
        <v>Budget</v>
      </c>
      <c r="B257" s="9">
        <f t="shared" si="77"/>
        <v>2026</v>
      </c>
      <c r="C257" s="18" t="str">
        <f>IF(ISBLANK($L257),"",_xlfn.XLOOKUP($L257,'CENTRO CUSTO'!$A:$A,'CENTRO CUSTO'!F:F,FALSE,0))</f>
        <v>Cone Sul</v>
      </c>
      <c r="D257" s="111" t="str">
        <f>IF(ISBLANK($L257),"",_xlfn.XLOOKUP($L257,'CENTRO CUSTO'!$A:$A,'CENTRO CUSTO'!G:G,FALSE,0))</f>
        <v>Plataforma</v>
      </c>
      <c r="E257" s="18" t="str">
        <f>IF(ISBLANK($L257),"",_xlfn.XLOOKUP($L257,'CENTRO CUSTO'!$A:$A,'CENTRO CUSTO'!H:H,FALSE,0))</f>
        <v>G&amp;A</v>
      </c>
      <c r="F257" s="10" t="s">
        <v>247</v>
      </c>
      <c r="G257" s="10" t="s">
        <v>233</v>
      </c>
      <c r="H257" s="10" t="s">
        <v>250</v>
      </c>
      <c r="I257" s="11" t="s">
        <v>77</v>
      </c>
      <c r="J257" s="11" t="s">
        <v>78</v>
      </c>
      <c r="K257" s="11" t="s">
        <v>94</v>
      </c>
      <c r="L257" s="11" t="s">
        <v>54</v>
      </c>
      <c r="M257" s="18" t="str">
        <f>IF(ISBLANK($L257),"",_xlfn.XLOOKUP($L257,'CENTRO CUSTO'!$A:$A,'CENTRO CUSTO'!D:D,FALSE,0))</f>
        <v>Alexandre Ayabe</v>
      </c>
      <c r="N257" s="11" t="s">
        <v>245</v>
      </c>
      <c r="O257" s="12"/>
      <c r="P257" s="11" t="s">
        <v>81</v>
      </c>
      <c r="Q257" s="41">
        <f>150*5</f>
        <v>750</v>
      </c>
      <c r="R257" s="41">
        <f t="shared" ref="R257:AB257" si="119">150*5</f>
        <v>750</v>
      </c>
      <c r="S257" s="41">
        <f t="shared" si="119"/>
        <v>750</v>
      </c>
      <c r="T257" s="41">
        <f t="shared" si="119"/>
        <v>750</v>
      </c>
      <c r="U257" s="41">
        <f t="shared" si="119"/>
        <v>750</v>
      </c>
      <c r="V257" s="41">
        <f t="shared" si="119"/>
        <v>750</v>
      </c>
      <c r="W257" s="41">
        <f t="shared" si="119"/>
        <v>750</v>
      </c>
      <c r="X257" s="41">
        <f t="shared" si="119"/>
        <v>750</v>
      </c>
      <c r="Y257" s="41">
        <f t="shared" si="119"/>
        <v>750</v>
      </c>
      <c r="Z257" s="41">
        <f t="shared" si="119"/>
        <v>750</v>
      </c>
      <c r="AA257" s="41">
        <f t="shared" si="119"/>
        <v>750</v>
      </c>
      <c r="AB257" s="41">
        <f t="shared" si="119"/>
        <v>750</v>
      </c>
      <c r="AC257" s="116">
        <f t="shared" si="104"/>
        <v>9000</v>
      </c>
      <c r="AE257" s="39">
        <f>IF(ISBLANK(Q257),"",IF($P257="BRL",Q257,Q257*Macroindicadores!B$2)/1000)</f>
        <v>0.75</v>
      </c>
      <c r="AF257" s="39">
        <f>IF(ISBLANK(R257),"",IF($P257="BRL",R257,R257*Macroindicadores!C$2)/1000)</f>
        <v>0.75</v>
      </c>
      <c r="AG257" s="39">
        <f>IF(ISBLANK(S257),"",IF($P257="BRL",S257,S257*Macroindicadores!D$2)/1000)</f>
        <v>0.75</v>
      </c>
      <c r="AH257" s="39">
        <f>IF(ISBLANK(T257),"",IF($P257="BRL",T257,T257*Macroindicadores!E$2)/1000)</f>
        <v>0.75</v>
      </c>
      <c r="AI257" s="39">
        <f>IF(ISBLANK(U257),"",IF($P257="BRL",U257,U257*Macroindicadores!F$2)/1000)</f>
        <v>0.75</v>
      </c>
      <c r="AJ257" s="39">
        <f>IF(ISBLANK(V257),"",IF($P257="BRL",V257,V257*Macroindicadores!G$2)/1000)</f>
        <v>0.75</v>
      </c>
      <c r="AK257" s="39">
        <f>IF(ISBLANK(W257),"",IF($P257="BRL",W257,W257*Macroindicadores!H$2)/1000)</f>
        <v>0.75</v>
      </c>
      <c r="AL257" s="39">
        <f>IF(ISBLANK(X257),"",IF($P257="BRL",X257,X257*Macroindicadores!I$2)/1000)</f>
        <v>0.75</v>
      </c>
      <c r="AM257" s="39">
        <f>IF(ISBLANK(Y257),"",IF($P257="BRL",Y257,Y257*Macroindicadores!J$2)/1000)</f>
        <v>0.75</v>
      </c>
      <c r="AN257" s="39">
        <f>IF(ISBLANK(Z257),"",IF($P257="BRL",Z257,Z257*Macroindicadores!K$2)/1000)</f>
        <v>0.75</v>
      </c>
      <c r="AO257" s="39">
        <f>IF(ISBLANK(AA257),"",IF($P257="BRL",AA257,AA257*Macroindicadores!L$2)/1000)</f>
        <v>0.75</v>
      </c>
      <c r="AP257" s="39">
        <f>IF(ISBLANK(AB257),"",IF($P257="BRL",AB257,AB257*Macroindicadores!M$2)/1000)</f>
        <v>0.75</v>
      </c>
      <c r="AQ257" s="40">
        <f t="shared" si="105"/>
        <v>9</v>
      </c>
      <c r="AS257" s="39">
        <f>IF(ISBLANK(Q257),"",IF(ISBLANK($O257),AE257,IF($J257="ANUAL",AE257*(1+Macroindicadores!B$7),IF(AND($I257="NOVO",MONTH($O257)=MONTH(AS$4)),AE257*(1+Macroindicadores!B$7),IF(AND($J257="PONTUAL",MONTH($O257)=MONTH(AS$4)),AE257*(1+Macroindicadores!B$7),IF(AND($J257="PONTUAL",MONTH($O257)&lt;MONTH(AS$4)),MIN(AR257:$AS257),IF(AND($I257="NOVO",MONTH($O257)&gt;MONTH(AS$4)),AE257,IF(MONTH($O257)&gt;MONTH(AS$4),AE257,IF(MONTH($O257)=MONTH(AS$4),AE257*(1+Macroindicadores!B$7),AR257)))))))))</f>
        <v>0.75</v>
      </c>
      <c r="AT257" s="39">
        <f>IF(ISBLANK(R257),"",IF(ISBLANK($O257),AF257,IF($J257="ANUAL",AF257*(1+Macroindicadores!C$7),IF(AND($I257="NOVO",MONTH($O257)=MONTH(AT$4)),AF257*(1+Macroindicadores!C$7),IF(AND($J257="PONTUAL",MONTH($O257)=MONTH(AT$4)),AF257*(1+Macroindicadores!C$7),IF(AND($J257="PONTUAL",MONTH($O257)&lt;MONTH(AT$4)),MIN($AS257:AS257),IF(AND($I257="NOVO",MONTH($O257)&gt;MONTH(AT$4)),AF257,IF(MONTH($O257)&gt;MONTH(AT$4),AF257,IF(MONTH($O257)=MONTH(AT$4),AF257*(1+Macroindicadores!C$7),AS257)))))))))</f>
        <v>0.75</v>
      </c>
      <c r="AU257" s="39">
        <f>IF(ISBLANK(S257),"",IF(ISBLANK($O257),AG257,IF($J257="ANUAL",AG257*(1+Macroindicadores!D$7),IF(AND($I257="NOVO",MONTH($O257)=MONTH(AU$4)),AG257*(1+Macroindicadores!D$7),IF(AND($J257="PONTUAL",MONTH($O257)=MONTH(AU$4)),AG257*(1+Macroindicadores!D$7),IF(AND($J257="PONTUAL",MONTH($O257)&lt;MONTH(AU$4)),MIN($AS257:AT257),IF(AND($I257="NOVO",MONTH($O257)&gt;MONTH(AU$4)),AG257,IF(MONTH($O257)&gt;MONTH(AU$4),AG257,IF(MONTH($O257)=MONTH(AU$4),AG257*(1+Macroindicadores!D$7),AT257)))))))))</f>
        <v>0.75</v>
      </c>
      <c r="AV257" s="39">
        <f>IF(ISBLANK(T257),"",IF(ISBLANK($O257),AH257,IF($J257="ANUAL",AH257*(1+Macroindicadores!E$7),IF(AND($I257="NOVO",MONTH($O257)=MONTH(AV$4)),AH257*(1+Macroindicadores!E$7),IF(AND($J257="PONTUAL",MONTH($O257)=MONTH(AV$4)),AH257*(1+Macroindicadores!E$7),IF(AND($J257="PONTUAL",MONTH($O257)&lt;MONTH(AV$4)),MIN($AS257:AU257),IF(AND($I257="NOVO",MONTH($O257)&gt;MONTH(AV$4)),AH257,IF(MONTH($O257)&gt;MONTH(AV$4),AH257,IF(MONTH($O257)=MONTH(AV$4),AH257*(1+Macroindicadores!E$7),AU257)))))))))</f>
        <v>0.75</v>
      </c>
      <c r="AW257" s="39">
        <f>IF(ISBLANK(U257),"",IF(ISBLANK($O257),AI257,IF($J257="ANUAL",AI257*(1+Macroindicadores!F$7),IF(AND($I257="NOVO",MONTH($O257)=MONTH(AW$4)),AI257*(1+Macroindicadores!F$7),IF(AND($J257="PONTUAL",MONTH($O257)=MONTH(AW$4)),AI257*(1+Macroindicadores!F$7),IF(AND($J257="PONTUAL",MONTH($O257)&lt;MONTH(AW$4)),MIN($AS257:AV257),IF(AND($I257="NOVO",MONTH($O257)&gt;MONTH(AW$4)),AI257,IF(MONTH($O257)&gt;MONTH(AW$4),AI257,IF(MONTH($O257)=MONTH(AW$4),AI257*(1+Macroindicadores!F$7),AV257)))))))))</f>
        <v>0.75</v>
      </c>
      <c r="AX257" s="39">
        <f>IF(ISBLANK(V257),"",IF(ISBLANK($O257),AJ257,IF($J257="ANUAL",AJ257*(1+Macroindicadores!G$7),IF(AND($I257="NOVO",MONTH($O257)=MONTH(AX$4)),AJ257*(1+Macroindicadores!G$7),IF(AND($J257="PONTUAL",MONTH($O257)=MONTH(AX$4)),AJ257*(1+Macroindicadores!G$7),IF(AND($J257="PONTUAL",MONTH($O257)&lt;MONTH(AX$4)),MIN($AS257:AW257),IF(AND($I257="NOVO",MONTH($O257)&gt;MONTH(AX$4)),AJ257,IF(MONTH($O257)&gt;MONTH(AX$4),AJ257,IF(MONTH($O257)=MONTH(AX$4),AJ257*(1+Macroindicadores!G$7),AW257)))))))))</f>
        <v>0.75</v>
      </c>
      <c r="AY257" s="39">
        <f>IF(ISBLANK(W257),"",IF(ISBLANK($O257),AK257,IF($J257="ANUAL",AK257*(1+Macroindicadores!H$7),IF(AND($I257="NOVO",MONTH($O257)=MONTH(AY$4)),AK257*(1+Macroindicadores!H$7),IF(AND($J257="PONTUAL",MONTH($O257)=MONTH(AY$4)),AK257*(1+Macroindicadores!H$7),IF(AND($J257="PONTUAL",MONTH($O257)&lt;MONTH(AY$4)),MIN($AS257:AX257),IF(AND($I257="NOVO",MONTH($O257)&gt;MONTH(AY$4)),AK257,IF(MONTH($O257)&gt;MONTH(AY$4),AK257,IF(MONTH($O257)=MONTH(AY$4),AK257*(1+Macroindicadores!H$7),AX257)))))))))</f>
        <v>0.75</v>
      </c>
      <c r="AZ257" s="39">
        <f>IF(ISBLANK(X257),"",IF(ISBLANK($O257),AL257,IF($J257="ANUAL",AL257*(1+Macroindicadores!I$7),IF(AND($I257="NOVO",MONTH($O257)=MONTH(AZ$4)),AL257*(1+Macroindicadores!I$7),IF(AND($J257="PONTUAL",MONTH($O257)=MONTH(AZ$4)),AL257*(1+Macroindicadores!I$7),IF(AND($J257="PONTUAL",MONTH($O257)&lt;MONTH(AZ$4)),MIN($AS257:AY257),IF(AND($I257="NOVO",MONTH($O257)&gt;MONTH(AZ$4)),AL257,IF(MONTH($O257)&gt;MONTH(AZ$4),AL257,IF(MONTH($O257)=MONTH(AZ$4),AL257*(1+Macroindicadores!I$7),AY257)))))))))</f>
        <v>0.75</v>
      </c>
      <c r="BA257" s="39">
        <f>IF(ISBLANK(Y257),"",IF(ISBLANK($O257),AM257,IF($J257="ANUAL",AM257*(1+Macroindicadores!J$7),IF(AND($I257="NOVO",MONTH($O257)=MONTH(BA$4)),AM257*(1+Macroindicadores!J$7),IF(AND($J257="PONTUAL",MONTH($O257)=MONTH(BA$4)),AM257*(1+Macroindicadores!J$7),IF(AND($J257="PONTUAL",MONTH($O257)&lt;MONTH(BA$4)),MIN($AS257:AZ257),IF(AND($I257="NOVO",MONTH($O257)&gt;MONTH(BA$4)),AM257,IF(MONTH($O257)&gt;MONTH(BA$4),AM257,IF(MONTH($O257)=MONTH(BA$4),AM257*(1+Macroindicadores!J$7),AZ257)))))))))</f>
        <v>0.75</v>
      </c>
      <c r="BB257" s="39">
        <f>IF(ISBLANK(Z257),"",IF(ISBLANK($O257),AN257,IF($J257="ANUAL",AN257*(1+Macroindicadores!K$7),IF(AND($I257="NOVO",MONTH($O257)=MONTH(BB$4)),AN257*(1+Macroindicadores!K$7),IF(AND($J257="PONTUAL",MONTH($O257)=MONTH(BB$4)),AN257*(1+Macroindicadores!K$7),IF(AND($J257="PONTUAL",MONTH($O257)&lt;MONTH(BB$4)),MIN($AS257:BA257),IF(AND($I257="NOVO",MONTH($O257)&gt;MONTH(BB$4)),AN257,IF(MONTH($O257)&gt;MONTH(BB$4),AN257,IF(MONTH($O257)=MONTH(BB$4),AN257*(1+Macroindicadores!K$7),BA257)))))))))</f>
        <v>0.75</v>
      </c>
      <c r="BC257" s="39">
        <f>IF(ISBLANK(AA257),"",IF(ISBLANK($O257),AO257,IF($J257="ANUAL",AO257*(1+Macroindicadores!L$7),IF(AND($I257="NOVO",MONTH($O257)=MONTH(BC$4)),AO257*(1+Macroindicadores!L$7),IF(AND($J257="PONTUAL",MONTH($O257)=MONTH(BC$4)),AO257*(1+Macroindicadores!L$7),IF(AND($J257="PONTUAL",MONTH($O257)&lt;MONTH(BC$4)),MIN($AS257:BB257),IF(AND($I257="NOVO",MONTH($O257)&gt;MONTH(BC$4)),AO257,IF(MONTH($O257)&gt;MONTH(BC$4),AO257,IF(MONTH($O257)=MONTH(BC$4),AO257*(1+Macroindicadores!L$7),BB257)))))))))</f>
        <v>0.75</v>
      </c>
      <c r="BD257" s="39">
        <f>IF(ISBLANK(AB257),"",IF(ISBLANK($O257),AP257,IF($J257="ANUAL",AP257*(1+Macroindicadores!M$7),IF(AND($I257="NOVO",MONTH($O257)=MONTH(BD$4)),AP257*(1+Macroindicadores!M$7),IF(AND($J257="PONTUAL",MONTH($O257)=MONTH(BD$4)),AP257*(1+Macroindicadores!M$7),IF(AND($J257="PONTUAL",MONTH($O257)&lt;MONTH(BD$4)),MIN($AS257:BC257),IF(AND($I257="NOVO",MONTH($O257)&gt;MONTH(BD$4)),AP257,IF(MONTH($O257)&gt;MONTH(BD$4),AP257,IF(MONTH($O257)=MONTH(BD$4),AP257*(1+Macroindicadores!M$7),BC257)))))))))</f>
        <v>0.75</v>
      </c>
      <c r="BE257" s="40">
        <f t="shared" si="106"/>
        <v>9</v>
      </c>
      <c r="BG257" s="39">
        <f>IF(ISBLANK(Q257),"",AS257/Macroindicadores!B$2)</f>
        <v>0.12755102040816327</v>
      </c>
      <c r="BH257" s="39">
        <f>IF(ISBLANK(R257),"",AT257/Macroindicadores!C$2)</f>
        <v>0.12755102040816327</v>
      </c>
      <c r="BI257" s="39">
        <f>IF(ISBLANK(S257),"",AU257/Macroindicadores!D$2)</f>
        <v>0.12755102040816327</v>
      </c>
      <c r="BJ257" s="39">
        <f>IF(ISBLANK(T257),"",AV257/Macroindicadores!E$2)</f>
        <v>0.12755102040816327</v>
      </c>
      <c r="BK257" s="39">
        <f>IF(ISBLANK(U257),"",AW257/Macroindicadores!F$2)</f>
        <v>0.12755102040816327</v>
      </c>
      <c r="BL257" s="39">
        <f>IF(ISBLANK(V257),"",AX257/Macroindicadores!G$2)</f>
        <v>0.12755102040816327</v>
      </c>
      <c r="BM257" s="39">
        <f>IF(ISBLANK(W257),"",AY257/Macroindicadores!H$2)</f>
        <v>0.12755102040816327</v>
      </c>
      <c r="BN257" s="39">
        <f>IF(ISBLANK(X257),"",AZ257/Macroindicadores!I$2)</f>
        <v>0.12755102040816327</v>
      </c>
      <c r="BO257" s="39">
        <f>IF(ISBLANK(Y257),"",BA257/Macroindicadores!J$2)</f>
        <v>0.12755102040816327</v>
      </c>
      <c r="BP257" s="39">
        <f>IF(ISBLANK(Z257),"",BB257/Macroindicadores!K$2)</f>
        <v>0.12755102040816327</v>
      </c>
      <c r="BQ257" s="39">
        <f>IF(ISBLANK(AA257),"",BC257/Macroindicadores!L$2)</f>
        <v>0.12755102040816327</v>
      </c>
      <c r="BR257" s="39">
        <f>IF(ISBLANK(AB257),"",BD257/Macroindicadores!M$2)</f>
        <v>0.12755102040816327</v>
      </c>
      <c r="BS257" s="40">
        <f t="shared" si="107"/>
        <v>1.5306122448979596</v>
      </c>
      <c r="BT257" s="25" t="str">
        <f>IF(ISBLANK($L257),"",_xlfn.XLOOKUP($L257,'CENTRO CUSTO'!$A:$A,'CENTRO CUSTO'!$E:$E,FALSE,0))</f>
        <v>G&amp;A PL</v>
      </c>
    </row>
    <row r="258" spans="1:72">
      <c r="A258" s="9" t="str">
        <f t="shared" si="80"/>
        <v>Budget</v>
      </c>
      <c r="B258" s="9">
        <f t="shared" si="77"/>
        <v>2026</v>
      </c>
      <c r="C258" s="18" t="str">
        <f>IF(ISBLANK($L258),"",_xlfn.XLOOKUP($L258,'CENTRO CUSTO'!$A:$A,'CENTRO CUSTO'!F:F,FALSE,0))</f>
        <v>Cone Sul</v>
      </c>
      <c r="D258" s="111" t="str">
        <f>IF(ISBLANK($L258),"",_xlfn.XLOOKUP($L258,'CENTRO CUSTO'!$A:$A,'CENTRO CUSTO'!G:G,FALSE,0))</f>
        <v>Plataforma</v>
      </c>
      <c r="E258" s="18" t="str">
        <f>IF(ISBLANK($L258),"",_xlfn.XLOOKUP($L258,'CENTRO CUSTO'!$A:$A,'CENTRO CUSTO'!H:H,FALSE,0))</f>
        <v>G&amp;A</v>
      </c>
      <c r="F258" s="10" t="s">
        <v>248</v>
      </c>
      <c r="G258" s="10" t="s">
        <v>233</v>
      </c>
      <c r="H258" s="10" t="s">
        <v>250</v>
      </c>
      <c r="I258" s="11" t="s">
        <v>77</v>
      </c>
      <c r="J258" s="11" t="s">
        <v>78</v>
      </c>
      <c r="K258" s="11" t="s">
        <v>94</v>
      </c>
      <c r="L258" s="11" t="s">
        <v>54</v>
      </c>
      <c r="M258" s="18" t="str">
        <f>IF(ISBLANK($L258),"",_xlfn.XLOOKUP($L258,'CENTRO CUSTO'!$A:$A,'CENTRO CUSTO'!D:D,FALSE,0))</f>
        <v>Alexandre Ayabe</v>
      </c>
      <c r="N258" s="11" t="s">
        <v>245</v>
      </c>
      <c r="O258" s="12"/>
      <c r="P258" s="11" t="s">
        <v>81</v>
      </c>
      <c r="Q258" s="41">
        <f>400*5</f>
        <v>2000</v>
      </c>
      <c r="R258" s="41">
        <f t="shared" ref="R258:AB258" si="120">400*5</f>
        <v>2000</v>
      </c>
      <c r="S258" s="41">
        <f t="shared" si="120"/>
        <v>2000</v>
      </c>
      <c r="T258" s="41">
        <f t="shared" si="120"/>
        <v>2000</v>
      </c>
      <c r="U258" s="41">
        <f t="shared" si="120"/>
        <v>2000</v>
      </c>
      <c r="V258" s="41">
        <f t="shared" si="120"/>
        <v>2000</v>
      </c>
      <c r="W258" s="41">
        <f t="shared" si="120"/>
        <v>2000</v>
      </c>
      <c r="X258" s="41">
        <f t="shared" si="120"/>
        <v>2000</v>
      </c>
      <c r="Y258" s="41">
        <f t="shared" si="120"/>
        <v>2000</v>
      </c>
      <c r="Z258" s="41">
        <f t="shared" si="120"/>
        <v>2000</v>
      </c>
      <c r="AA258" s="41">
        <f t="shared" si="120"/>
        <v>2000</v>
      </c>
      <c r="AB258" s="41">
        <f t="shared" si="120"/>
        <v>2000</v>
      </c>
      <c r="AC258" s="116">
        <f t="shared" si="104"/>
        <v>24000</v>
      </c>
      <c r="AE258" s="39">
        <f>IF(ISBLANK(Q258),"",IF($P258="BRL",Q258,Q258*Macroindicadores!B$2)/1000)</f>
        <v>2</v>
      </c>
      <c r="AF258" s="39">
        <f>IF(ISBLANK(R258),"",IF($P258="BRL",R258,R258*Macroindicadores!C$2)/1000)</f>
        <v>2</v>
      </c>
      <c r="AG258" s="39">
        <f>IF(ISBLANK(S258),"",IF($P258="BRL",S258,S258*Macroindicadores!D$2)/1000)</f>
        <v>2</v>
      </c>
      <c r="AH258" s="39">
        <f>IF(ISBLANK(T258),"",IF($P258="BRL",T258,T258*Macroindicadores!E$2)/1000)</f>
        <v>2</v>
      </c>
      <c r="AI258" s="39">
        <f>IF(ISBLANK(U258),"",IF($P258="BRL",U258,U258*Macroindicadores!F$2)/1000)</f>
        <v>2</v>
      </c>
      <c r="AJ258" s="39">
        <f>IF(ISBLANK(V258),"",IF($P258="BRL",V258,V258*Macroindicadores!G$2)/1000)</f>
        <v>2</v>
      </c>
      <c r="AK258" s="39">
        <f>IF(ISBLANK(W258),"",IF($P258="BRL",W258,W258*Macroindicadores!H$2)/1000)</f>
        <v>2</v>
      </c>
      <c r="AL258" s="39">
        <f>IF(ISBLANK(X258),"",IF($P258="BRL",X258,X258*Macroindicadores!I$2)/1000)</f>
        <v>2</v>
      </c>
      <c r="AM258" s="39">
        <f>IF(ISBLANK(Y258),"",IF($P258="BRL",Y258,Y258*Macroindicadores!J$2)/1000)</f>
        <v>2</v>
      </c>
      <c r="AN258" s="39">
        <f>IF(ISBLANK(Z258),"",IF($P258="BRL",Z258,Z258*Macroindicadores!K$2)/1000)</f>
        <v>2</v>
      </c>
      <c r="AO258" s="39">
        <f>IF(ISBLANK(AA258),"",IF($P258="BRL",AA258,AA258*Macroindicadores!L$2)/1000)</f>
        <v>2</v>
      </c>
      <c r="AP258" s="39">
        <f>IF(ISBLANK(AB258),"",IF($P258="BRL",AB258,AB258*Macroindicadores!M$2)/1000)</f>
        <v>2</v>
      </c>
      <c r="AQ258" s="40">
        <f t="shared" si="105"/>
        <v>24</v>
      </c>
      <c r="AS258" s="39">
        <f>IF(ISBLANK(Q258),"",IF(ISBLANK($O258),AE258,IF($J258="ANUAL",AE258*(1+Macroindicadores!B$7),IF(AND($I258="NOVO",MONTH($O258)=MONTH(AS$4)),AE258*(1+Macroindicadores!B$7),IF(AND($J258="PONTUAL",MONTH($O258)=MONTH(AS$4)),AE258*(1+Macroindicadores!B$7),IF(AND($J258="PONTUAL",MONTH($O258)&lt;MONTH(AS$4)),MIN(AR258:$AS258),IF(AND($I258="NOVO",MONTH($O258)&gt;MONTH(AS$4)),AE258,IF(MONTH($O258)&gt;MONTH(AS$4),AE258,IF(MONTH($O258)=MONTH(AS$4),AE258*(1+Macroindicadores!B$7),AR258)))))))))</f>
        <v>2</v>
      </c>
      <c r="AT258" s="39">
        <f>IF(ISBLANK(R258),"",IF(ISBLANK($O258),AF258,IF($J258="ANUAL",AF258*(1+Macroindicadores!C$7),IF(AND($I258="NOVO",MONTH($O258)=MONTH(AT$4)),AF258*(1+Macroindicadores!C$7),IF(AND($J258="PONTUAL",MONTH($O258)=MONTH(AT$4)),AF258*(1+Macroindicadores!C$7),IF(AND($J258="PONTUAL",MONTH($O258)&lt;MONTH(AT$4)),MIN($AS258:AS258),IF(AND($I258="NOVO",MONTH($O258)&gt;MONTH(AT$4)),AF258,IF(MONTH($O258)&gt;MONTH(AT$4),AF258,IF(MONTH($O258)=MONTH(AT$4),AF258*(1+Macroindicadores!C$7),AS258)))))))))</f>
        <v>2</v>
      </c>
      <c r="AU258" s="39">
        <f>IF(ISBLANK(S258),"",IF(ISBLANK($O258),AG258,IF($J258="ANUAL",AG258*(1+Macroindicadores!D$7),IF(AND($I258="NOVO",MONTH($O258)=MONTH(AU$4)),AG258*(1+Macroindicadores!D$7),IF(AND($J258="PONTUAL",MONTH($O258)=MONTH(AU$4)),AG258*(1+Macroindicadores!D$7),IF(AND($J258="PONTUAL",MONTH($O258)&lt;MONTH(AU$4)),MIN($AS258:AT258),IF(AND($I258="NOVO",MONTH($O258)&gt;MONTH(AU$4)),AG258,IF(MONTH($O258)&gt;MONTH(AU$4),AG258,IF(MONTH($O258)=MONTH(AU$4),AG258*(1+Macroindicadores!D$7),AT258)))))))))</f>
        <v>2</v>
      </c>
      <c r="AV258" s="39">
        <f>IF(ISBLANK(T258),"",IF(ISBLANK($O258),AH258,IF($J258="ANUAL",AH258*(1+Macroindicadores!E$7),IF(AND($I258="NOVO",MONTH($O258)=MONTH(AV$4)),AH258*(1+Macroindicadores!E$7),IF(AND($J258="PONTUAL",MONTH($O258)=MONTH(AV$4)),AH258*(1+Macroindicadores!E$7),IF(AND($J258="PONTUAL",MONTH($O258)&lt;MONTH(AV$4)),MIN($AS258:AU258),IF(AND($I258="NOVO",MONTH($O258)&gt;MONTH(AV$4)),AH258,IF(MONTH($O258)&gt;MONTH(AV$4),AH258,IF(MONTH($O258)=MONTH(AV$4),AH258*(1+Macroindicadores!E$7),AU258)))))))))</f>
        <v>2</v>
      </c>
      <c r="AW258" s="39">
        <f>IF(ISBLANK(U258),"",IF(ISBLANK($O258),AI258,IF($J258="ANUAL",AI258*(1+Macroindicadores!F$7),IF(AND($I258="NOVO",MONTH($O258)=MONTH(AW$4)),AI258*(1+Macroindicadores!F$7),IF(AND($J258="PONTUAL",MONTH($O258)=MONTH(AW$4)),AI258*(1+Macroindicadores!F$7),IF(AND($J258="PONTUAL",MONTH($O258)&lt;MONTH(AW$4)),MIN($AS258:AV258),IF(AND($I258="NOVO",MONTH($O258)&gt;MONTH(AW$4)),AI258,IF(MONTH($O258)&gt;MONTH(AW$4),AI258,IF(MONTH($O258)=MONTH(AW$4),AI258*(1+Macroindicadores!F$7),AV258)))))))))</f>
        <v>2</v>
      </c>
      <c r="AX258" s="39">
        <f>IF(ISBLANK(V258),"",IF(ISBLANK($O258),AJ258,IF($J258="ANUAL",AJ258*(1+Macroindicadores!G$7),IF(AND($I258="NOVO",MONTH($O258)=MONTH(AX$4)),AJ258*(1+Macroindicadores!G$7),IF(AND($J258="PONTUAL",MONTH($O258)=MONTH(AX$4)),AJ258*(1+Macroindicadores!G$7),IF(AND($J258="PONTUAL",MONTH($O258)&lt;MONTH(AX$4)),MIN($AS258:AW258),IF(AND($I258="NOVO",MONTH($O258)&gt;MONTH(AX$4)),AJ258,IF(MONTH($O258)&gt;MONTH(AX$4),AJ258,IF(MONTH($O258)=MONTH(AX$4),AJ258*(1+Macroindicadores!G$7),AW258)))))))))</f>
        <v>2</v>
      </c>
      <c r="AY258" s="39">
        <f>IF(ISBLANK(W258),"",IF(ISBLANK($O258),AK258,IF($J258="ANUAL",AK258*(1+Macroindicadores!H$7),IF(AND($I258="NOVO",MONTH($O258)=MONTH(AY$4)),AK258*(1+Macroindicadores!H$7),IF(AND($J258="PONTUAL",MONTH($O258)=MONTH(AY$4)),AK258*(1+Macroindicadores!H$7),IF(AND($J258="PONTUAL",MONTH($O258)&lt;MONTH(AY$4)),MIN($AS258:AX258),IF(AND($I258="NOVO",MONTH($O258)&gt;MONTH(AY$4)),AK258,IF(MONTH($O258)&gt;MONTH(AY$4),AK258,IF(MONTH($O258)=MONTH(AY$4),AK258*(1+Macroindicadores!H$7),AX258)))))))))</f>
        <v>2</v>
      </c>
      <c r="AZ258" s="39">
        <f>IF(ISBLANK(X258),"",IF(ISBLANK($O258),AL258,IF($J258="ANUAL",AL258*(1+Macroindicadores!I$7),IF(AND($I258="NOVO",MONTH($O258)=MONTH(AZ$4)),AL258*(1+Macroindicadores!I$7),IF(AND($J258="PONTUAL",MONTH($O258)=MONTH(AZ$4)),AL258*(1+Macroindicadores!I$7),IF(AND($J258="PONTUAL",MONTH($O258)&lt;MONTH(AZ$4)),MIN($AS258:AY258),IF(AND($I258="NOVO",MONTH($O258)&gt;MONTH(AZ$4)),AL258,IF(MONTH($O258)&gt;MONTH(AZ$4),AL258,IF(MONTH($O258)=MONTH(AZ$4),AL258*(1+Macroindicadores!I$7),AY258)))))))))</f>
        <v>2</v>
      </c>
      <c r="BA258" s="39">
        <f>IF(ISBLANK(Y258),"",IF(ISBLANK($O258),AM258,IF($J258="ANUAL",AM258*(1+Macroindicadores!J$7),IF(AND($I258="NOVO",MONTH($O258)=MONTH(BA$4)),AM258*(1+Macroindicadores!J$7),IF(AND($J258="PONTUAL",MONTH($O258)=MONTH(BA$4)),AM258*(1+Macroindicadores!J$7),IF(AND($J258="PONTUAL",MONTH($O258)&lt;MONTH(BA$4)),MIN($AS258:AZ258),IF(AND($I258="NOVO",MONTH($O258)&gt;MONTH(BA$4)),AM258,IF(MONTH($O258)&gt;MONTH(BA$4),AM258,IF(MONTH($O258)=MONTH(BA$4),AM258*(1+Macroindicadores!J$7),AZ258)))))))))</f>
        <v>2</v>
      </c>
      <c r="BB258" s="39">
        <f>IF(ISBLANK(Z258),"",IF(ISBLANK($O258),AN258,IF($J258="ANUAL",AN258*(1+Macroindicadores!K$7),IF(AND($I258="NOVO",MONTH($O258)=MONTH(BB$4)),AN258*(1+Macroindicadores!K$7),IF(AND($J258="PONTUAL",MONTH($O258)=MONTH(BB$4)),AN258*(1+Macroindicadores!K$7),IF(AND($J258="PONTUAL",MONTH($O258)&lt;MONTH(BB$4)),MIN($AS258:BA258),IF(AND($I258="NOVO",MONTH($O258)&gt;MONTH(BB$4)),AN258,IF(MONTH($O258)&gt;MONTH(BB$4),AN258,IF(MONTH($O258)=MONTH(BB$4),AN258*(1+Macroindicadores!K$7),BA258)))))))))</f>
        <v>2</v>
      </c>
      <c r="BC258" s="39">
        <f>IF(ISBLANK(AA258),"",IF(ISBLANK($O258),AO258,IF($J258="ANUAL",AO258*(1+Macroindicadores!L$7),IF(AND($I258="NOVO",MONTH($O258)=MONTH(BC$4)),AO258*(1+Macroindicadores!L$7),IF(AND($J258="PONTUAL",MONTH($O258)=MONTH(BC$4)),AO258*(1+Macroindicadores!L$7),IF(AND($J258="PONTUAL",MONTH($O258)&lt;MONTH(BC$4)),MIN($AS258:BB258),IF(AND($I258="NOVO",MONTH($O258)&gt;MONTH(BC$4)),AO258,IF(MONTH($O258)&gt;MONTH(BC$4),AO258,IF(MONTH($O258)=MONTH(BC$4),AO258*(1+Macroindicadores!L$7),BB258)))))))))</f>
        <v>2</v>
      </c>
      <c r="BD258" s="39">
        <f>IF(ISBLANK(AB258),"",IF(ISBLANK($O258),AP258,IF($J258="ANUAL",AP258*(1+Macroindicadores!M$7),IF(AND($I258="NOVO",MONTH($O258)=MONTH(BD$4)),AP258*(1+Macroindicadores!M$7),IF(AND($J258="PONTUAL",MONTH($O258)=MONTH(BD$4)),AP258*(1+Macroindicadores!M$7),IF(AND($J258="PONTUAL",MONTH($O258)&lt;MONTH(BD$4)),MIN($AS258:BC258),IF(AND($I258="NOVO",MONTH($O258)&gt;MONTH(BD$4)),AP258,IF(MONTH($O258)&gt;MONTH(BD$4),AP258,IF(MONTH($O258)=MONTH(BD$4),AP258*(1+Macroindicadores!M$7),BC258)))))))))</f>
        <v>2</v>
      </c>
      <c r="BE258" s="40">
        <f t="shared" si="106"/>
        <v>24</v>
      </c>
      <c r="BG258" s="39">
        <f>IF(ISBLANK(Q258),"",AS258/Macroindicadores!B$2)</f>
        <v>0.3401360544217687</v>
      </c>
      <c r="BH258" s="39">
        <f>IF(ISBLANK(R258),"",AT258/Macroindicadores!C$2)</f>
        <v>0.3401360544217687</v>
      </c>
      <c r="BI258" s="39">
        <f>IF(ISBLANK(S258),"",AU258/Macroindicadores!D$2)</f>
        <v>0.3401360544217687</v>
      </c>
      <c r="BJ258" s="39">
        <f>IF(ISBLANK(T258),"",AV258/Macroindicadores!E$2)</f>
        <v>0.3401360544217687</v>
      </c>
      <c r="BK258" s="39">
        <f>IF(ISBLANK(U258),"",AW258/Macroindicadores!F$2)</f>
        <v>0.3401360544217687</v>
      </c>
      <c r="BL258" s="39">
        <f>IF(ISBLANK(V258),"",AX258/Macroindicadores!G$2)</f>
        <v>0.3401360544217687</v>
      </c>
      <c r="BM258" s="39">
        <f>IF(ISBLANK(W258),"",AY258/Macroindicadores!H$2)</f>
        <v>0.3401360544217687</v>
      </c>
      <c r="BN258" s="39">
        <f>IF(ISBLANK(X258),"",AZ258/Macroindicadores!I$2)</f>
        <v>0.3401360544217687</v>
      </c>
      <c r="BO258" s="39">
        <f>IF(ISBLANK(Y258),"",BA258/Macroindicadores!J$2)</f>
        <v>0.3401360544217687</v>
      </c>
      <c r="BP258" s="39">
        <f>IF(ISBLANK(Z258),"",BB258/Macroindicadores!K$2)</f>
        <v>0.3401360544217687</v>
      </c>
      <c r="BQ258" s="39">
        <f>IF(ISBLANK(AA258),"",BC258/Macroindicadores!L$2)</f>
        <v>0.3401360544217687</v>
      </c>
      <c r="BR258" s="39">
        <f>IF(ISBLANK(AB258),"",BD258/Macroindicadores!M$2)</f>
        <v>0.3401360544217687</v>
      </c>
      <c r="BS258" s="40">
        <f t="shared" si="107"/>
        <v>4.0816326530612246</v>
      </c>
      <c r="BT258" s="25" t="str">
        <f>IF(ISBLANK($L258),"",_xlfn.XLOOKUP($L258,'CENTRO CUSTO'!$A:$A,'CENTRO CUSTO'!$E:$E,FALSE,0))</f>
        <v>G&amp;A PL</v>
      </c>
    </row>
    <row r="259" spans="1:72">
      <c r="A259" s="9" t="str">
        <f t="shared" si="80"/>
        <v>Budget</v>
      </c>
      <c r="B259" s="9">
        <f t="shared" si="77"/>
        <v>2026</v>
      </c>
      <c r="C259" s="18" t="str">
        <f>IF(ISBLANK($L259),"",_xlfn.XLOOKUP($L259,'CENTRO CUSTO'!$A:$A,'CENTRO CUSTO'!F:F,FALSE,0))</f>
        <v>Cone Sul</v>
      </c>
      <c r="D259" s="111" t="str">
        <f>IF(ISBLANK($L259),"",_xlfn.XLOOKUP($L259,'CENTRO CUSTO'!$A:$A,'CENTRO CUSTO'!G:G,FALSE,0))</f>
        <v>Plataforma</v>
      </c>
      <c r="E259" s="18" t="str">
        <f>IF(ISBLANK($L259),"",_xlfn.XLOOKUP($L259,'CENTRO CUSTO'!$A:$A,'CENTRO CUSTO'!H:H,FALSE,0))</f>
        <v>G&amp;A</v>
      </c>
      <c r="F259" s="10" t="s">
        <v>243</v>
      </c>
      <c r="G259" s="10" t="s">
        <v>233</v>
      </c>
      <c r="H259" s="10" t="s">
        <v>251</v>
      </c>
      <c r="I259" s="11" t="s">
        <v>77</v>
      </c>
      <c r="J259" s="11" t="s">
        <v>78</v>
      </c>
      <c r="K259" s="11" t="s">
        <v>94</v>
      </c>
      <c r="L259" s="11" t="s">
        <v>54</v>
      </c>
      <c r="M259" s="18" t="str">
        <f>IF(ISBLANK($L259),"",_xlfn.XLOOKUP($L259,'CENTRO CUSTO'!$A:$A,'CENTRO CUSTO'!D:D,FALSE,0))</f>
        <v>Alexandre Ayabe</v>
      </c>
      <c r="N259" s="11" t="s">
        <v>245</v>
      </c>
      <c r="O259" s="12"/>
      <c r="P259" s="11" t="s">
        <v>81</v>
      </c>
      <c r="Q259" s="41">
        <v>4000</v>
      </c>
      <c r="R259" s="41"/>
      <c r="S259" s="41">
        <v>4000</v>
      </c>
      <c r="T259" s="41"/>
      <c r="U259" s="41">
        <v>4000</v>
      </c>
      <c r="V259" s="41"/>
      <c r="W259" s="41">
        <v>4000</v>
      </c>
      <c r="X259" s="41"/>
      <c r="Y259" s="41">
        <v>4000</v>
      </c>
      <c r="Z259" s="41"/>
      <c r="AA259" s="41">
        <v>4000</v>
      </c>
      <c r="AB259" s="41"/>
      <c r="AC259" s="116">
        <f t="shared" si="104"/>
        <v>24000</v>
      </c>
      <c r="AE259" s="39">
        <f>IF(ISBLANK(Q259),"",IF($P259="BRL",Q259,Q259*Macroindicadores!B$2)/1000)</f>
        <v>4</v>
      </c>
      <c r="AF259" s="39" t="str">
        <f>IF(ISBLANK(R259),"",IF($P259="BRL",R259,R259*Macroindicadores!C$2)/1000)</f>
        <v/>
      </c>
      <c r="AG259" s="39">
        <f>IF(ISBLANK(S259),"",IF($P259="BRL",S259,S259*Macroindicadores!D$2)/1000)</f>
        <v>4</v>
      </c>
      <c r="AH259" s="39" t="str">
        <f>IF(ISBLANK(T259),"",IF($P259="BRL",T259,T259*Macroindicadores!E$2)/1000)</f>
        <v/>
      </c>
      <c r="AI259" s="39">
        <f>IF(ISBLANK(U259),"",IF($P259="BRL",U259,U259*Macroindicadores!F$2)/1000)</f>
        <v>4</v>
      </c>
      <c r="AJ259" s="39" t="str">
        <f>IF(ISBLANK(V259),"",IF($P259="BRL",V259,V259*Macroindicadores!G$2)/1000)</f>
        <v/>
      </c>
      <c r="AK259" s="39">
        <f>IF(ISBLANK(W259),"",IF($P259="BRL",W259,W259*Macroindicadores!H$2)/1000)</f>
        <v>4</v>
      </c>
      <c r="AL259" s="39" t="str">
        <f>IF(ISBLANK(X259),"",IF($P259="BRL",X259,X259*Macroindicadores!I$2)/1000)</f>
        <v/>
      </c>
      <c r="AM259" s="39">
        <f>IF(ISBLANK(Y259),"",IF($P259="BRL",Y259,Y259*Macroindicadores!J$2)/1000)</f>
        <v>4</v>
      </c>
      <c r="AN259" s="39" t="str">
        <f>IF(ISBLANK(Z259),"",IF($P259="BRL",Z259,Z259*Macroindicadores!K$2)/1000)</f>
        <v/>
      </c>
      <c r="AO259" s="39">
        <f>IF(ISBLANK(AA259),"",IF($P259="BRL",AA259,AA259*Macroindicadores!L$2)/1000)</f>
        <v>4</v>
      </c>
      <c r="AP259" s="39" t="str">
        <f>IF(ISBLANK(AB259),"",IF($P259="BRL",AB259,AB259*Macroindicadores!M$2)/1000)</f>
        <v/>
      </c>
      <c r="AQ259" s="40">
        <f t="shared" si="105"/>
        <v>24</v>
      </c>
      <c r="AS259" s="39">
        <f>IF(ISBLANK(Q259),"",IF(ISBLANK($O259),AE259,IF($J259="ANUAL",AE259*(1+Macroindicadores!B$7),IF(AND($I259="NOVO",MONTH($O259)=MONTH(AS$4)),AE259*(1+Macroindicadores!B$7),IF(AND($J259="PONTUAL",MONTH($O259)=MONTH(AS$4)),AE259*(1+Macroindicadores!B$7),IF(AND($J259="PONTUAL",MONTH($O259)&lt;MONTH(AS$4)),MIN(AR259:$AS259),IF(AND($I259="NOVO",MONTH($O259)&gt;MONTH(AS$4)),AE259,IF(MONTH($O259)&gt;MONTH(AS$4),AE259,IF(MONTH($O259)=MONTH(AS$4),AE259*(1+Macroindicadores!B$7),AR259)))))))))</f>
        <v>4</v>
      </c>
      <c r="AT259" s="39" t="str">
        <f>IF(ISBLANK(R259),"",IF(ISBLANK($O259),AF259,IF($J259="ANUAL",AF259*(1+Macroindicadores!C$7),IF(AND($I259="NOVO",MONTH($O259)=MONTH(AT$4)),AF259*(1+Macroindicadores!C$7),IF(AND($J259="PONTUAL",MONTH($O259)=MONTH(AT$4)),AF259*(1+Macroindicadores!C$7),IF(AND($J259="PONTUAL",MONTH($O259)&lt;MONTH(AT$4)),MIN($AS259:AS259),IF(AND($I259="NOVO",MONTH($O259)&gt;MONTH(AT$4)),AF259,IF(MONTH($O259)&gt;MONTH(AT$4),AF259,IF(MONTH($O259)=MONTH(AT$4),AF259*(1+Macroindicadores!C$7),AS259)))))))))</f>
        <v/>
      </c>
      <c r="AU259" s="39">
        <f>IF(ISBLANK(S259),"",IF(ISBLANK($O259),AG259,IF($J259="ANUAL",AG259*(1+Macroindicadores!D$7),IF(AND($I259="NOVO",MONTH($O259)=MONTH(AU$4)),AG259*(1+Macroindicadores!D$7),IF(AND($J259="PONTUAL",MONTH($O259)=MONTH(AU$4)),AG259*(1+Macroindicadores!D$7),IF(AND($J259="PONTUAL",MONTH($O259)&lt;MONTH(AU$4)),MIN($AS259:AT259),IF(AND($I259="NOVO",MONTH($O259)&gt;MONTH(AU$4)),AG259,IF(MONTH($O259)&gt;MONTH(AU$4),AG259,IF(MONTH($O259)=MONTH(AU$4),AG259*(1+Macroindicadores!D$7),AT259)))))))))</f>
        <v>4</v>
      </c>
      <c r="AV259" s="39" t="str">
        <f>IF(ISBLANK(T259),"",IF(ISBLANK($O259),AH259,IF($J259="ANUAL",AH259*(1+Macroindicadores!E$7),IF(AND($I259="NOVO",MONTH($O259)=MONTH(AV$4)),AH259*(1+Macroindicadores!E$7),IF(AND($J259="PONTUAL",MONTH($O259)=MONTH(AV$4)),AH259*(1+Macroindicadores!E$7),IF(AND($J259="PONTUAL",MONTH($O259)&lt;MONTH(AV$4)),MIN($AS259:AU259),IF(AND($I259="NOVO",MONTH($O259)&gt;MONTH(AV$4)),AH259,IF(MONTH($O259)&gt;MONTH(AV$4),AH259,IF(MONTH($O259)=MONTH(AV$4),AH259*(1+Macroindicadores!E$7),AU259)))))))))</f>
        <v/>
      </c>
      <c r="AW259" s="39">
        <f>IF(ISBLANK(U259),"",IF(ISBLANK($O259),AI259,IF($J259="ANUAL",AI259*(1+Macroindicadores!F$7),IF(AND($I259="NOVO",MONTH($O259)=MONTH(AW$4)),AI259*(1+Macroindicadores!F$7),IF(AND($J259="PONTUAL",MONTH($O259)=MONTH(AW$4)),AI259*(1+Macroindicadores!F$7),IF(AND($J259="PONTUAL",MONTH($O259)&lt;MONTH(AW$4)),MIN($AS259:AV259),IF(AND($I259="NOVO",MONTH($O259)&gt;MONTH(AW$4)),AI259,IF(MONTH($O259)&gt;MONTH(AW$4),AI259,IF(MONTH($O259)=MONTH(AW$4),AI259*(1+Macroindicadores!F$7),AV259)))))))))</f>
        <v>4</v>
      </c>
      <c r="AX259" s="39" t="str">
        <f>IF(ISBLANK(V259),"",IF(ISBLANK($O259),AJ259,IF($J259="ANUAL",AJ259*(1+Macroindicadores!G$7),IF(AND($I259="NOVO",MONTH($O259)=MONTH(AX$4)),AJ259*(1+Macroindicadores!G$7),IF(AND($J259="PONTUAL",MONTH($O259)=MONTH(AX$4)),AJ259*(1+Macroindicadores!G$7),IF(AND($J259="PONTUAL",MONTH($O259)&lt;MONTH(AX$4)),MIN($AS259:AW259),IF(AND($I259="NOVO",MONTH($O259)&gt;MONTH(AX$4)),AJ259,IF(MONTH($O259)&gt;MONTH(AX$4),AJ259,IF(MONTH($O259)=MONTH(AX$4),AJ259*(1+Macroindicadores!G$7),AW259)))))))))</f>
        <v/>
      </c>
      <c r="AY259" s="39">
        <f>IF(ISBLANK(W259),"",IF(ISBLANK($O259),AK259,IF($J259="ANUAL",AK259*(1+Macroindicadores!H$7),IF(AND($I259="NOVO",MONTH($O259)=MONTH(AY$4)),AK259*(1+Macroindicadores!H$7),IF(AND($J259="PONTUAL",MONTH($O259)=MONTH(AY$4)),AK259*(1+Macroindicadores!H$7),IF(AND($J259="PONTUAL",MONTH($O259)&lt;MONTH(AY$4)),MIN($AS259:AX259),IF(AND($I259="NOVO",MONTH($O259)&gt;MONTH(AY$4)),AK259,IF(MONTH($O259)&gt;MONTH(AY$4),AK259,IF(MONTH($O259)=MONTH(AY$4),AK259*(1+Macroindicadores!H$7),AX259)))))))))</f>
        <v>4</v>
      </c>
      <c r="AZ259" s="39" t="str">
        <f>IF(ISBLANK(X259),"",IF(ISBLANK($O259),AL259,IF($J259="ANUAL",AL259*(1+Macroindicadores!I$7),IF(AND($I259="NOVO",MONTH($O259)=MONTH(AZ$4)),AL259*(1+Macroindicadores!I$7),IF(AND($J259="PONTUAL",MONTH($O259)=MONTH(AZ$4)),AL259*(1+Macroindicadores!I$7),IF(AND($J259="PONTUAL",MONTH($O259)&lt;MONTH(AZ$4)),MIN($AS259:AY259),IF(AND($I259="NOVO",MONTH($O259)&gt;MONTH(AZ$4)),AL259,IF(MONTH($O259)&gt;MONTH(AZ$4),AL259,IF(MONTH($O259)=MONTH(AZ$4),AL259*(1+Macroindicadores!I$7),AY259)))))))))</f>
        <v/>
      </c>
      <c r="BA259" s="39">
        <f>IF(ISBLANK(Y259),"",IF(ISBLANK($O259),AM259,IF($J259="ANUAL",AM259*(1+Macroindicadores!J$7),IF(AND($I259="NOVO",MONTH($O259)=MONTH(BA$4)),AM259*(1+Macroindicadores!J$7),IF(AND($J259="PONTUAL",MONTH($O259)=MONTH(BA$4)),AM259*(1+Macroindicadores!J$7),IF(AND($J259="PONTUAL",MONTH($O259)&lt;MONTH(BA$4)),MIN($AS259:AZ259),IF(AND($I259="NOVO",MONTH($O259)&gt;MONTH(BA$4)),AM259,IF(MONTH($O259)&gt;MONTH(BA$4),AM259,IF(MONTH($O259)=MONTH(BA$4),AM259*(1+Macroindicadores!J$7),AZ259)))))))))</f>
        <v>4</v>
      </c>
      <c r="BB259" s="39" t="str">
        <f>IF(ISBLANK(Z259),"",IF(ISBLANK($O259),AN259,IF($J259="ANUAL",AN259*(1+Macroindicadores!K$7),IF(AND($I259="NOVO",MONTH($O259)=MONTH(BB$4)),AN259*(1+Macroindicadores!K$7),IF(AND($J259="PONTUAL",MONTH($O259)=MONTH(BB$4)),AN259*(1+Macroindicadores!K$7),IF(AND($J259="PONTUAL",MONTH($O259)&lt;MONTH(BB$4)),MIN($AS259:BA259),IF(AND($I259="NOVO",MONTH($O259)&gt;MONTH(BB$4)),AN259,IF(MONTH($O259)&gt;MONTH(BB$4),AN259,IF(MONTH($O259)=MONTH(BB$4),AN259*(1+Macroindicadores!K$7),BA259)))))))))</f>
        <v/>
      </c>
      <c r="BC259" s="39">
        <f>IF(ISBLANK(AA259),"",IF(ISBLANK($O259),AO259,IF($J259="ANUAL",AO259*(1+Macroindicadores!L$7),IF(AND($I259="NOVO",MONTH($O259)=MONTH(BC$4)),AO259*(1+Macroindicadores!L$7),IF(AND($J259="PONTUAL",MONTH($O259)=MONTH(BC$4)),AO259*(1+Macroindicadores!L$7),IF(AND($J259="PONTUAL",MONTH($O259)&lt;MONTH(BC$4)),MIN($AS259:BB259),IF(AND($I259="NOVO",MONTH($O259)&gt;MONTH(BC$4)),AO259,IF(MONTH($O259)&gt;MONTH(BC$4),AO259,IF(MONTH($O259)=MONTH(BC$4),AO259*(1+Macroindicadores!L$7),BB259)))))))))</f>
        <v>4</v>
      </c>
      <c r="BD259" s="39" t="str">
        <f>IF(ISBLANK(AB259),"",IF(ISBLANK($O259),AP259,IF($J259="ANUAL",AP259*(1+Macroindicadores!M$7),IF(AND($I259="NOVO",MONTH($O259)=MONTH(BD$4)),AP259*(1+Macroindicadores!M$7),IF(AND($J259="PONTUAL",MONTH($O259)=MONTH(BD$4)),AP259*(1+Macroindicadores!M$7),IF(AND($J259="PONTUAL",MONTH($O259)&lt;MONTH(BD$4)),MIN($AS259:BC259),IF(AND($I259="NOVO",MONTH($O259)&gt;MONTH(BD$4)),AP259,IF(MONTH($O259)&gt;MONTH(BD$4),AP259,IF(MONTH($O259)=MONTH(BD$4),AP259*(1+Macroindicadores!M$7),BC259)))))))))</f>
        <v/>
      </c>
      <c r="BE259" s="40">
        <f t="shared" si="106"/>
        <v>24</v>
      </c>
      <c r="BG259" s="39">
        <f>IF(ISBLANK(Q259),"",AS259/Macroindicadores!B$2)</f>
        <v>0.68027210884353739</v>
      </c>
      <c r="BH259" s="39" t="str">
        <f>IF(ISBLANK(R259),"",AT259/Macroindicadores!C$2)</f>
        <v/>
      </c>
      <c r="BI259" s="39">
        <f>IF(ISBLANK(S259),"",AU259/Macroindicadores!D$2)</f>
        <v>0.68027210884353739</v>
      </c>
      <c r="BJ259" s="39" t="str">
        <f>IF(ISBLANK(T259),"",AV259/Macroindicadores!E$2)</f>
        <v/>
      </c>
      <c r="BK259" s="39">
        <f>IF(ISBLANK(U259),"",AW259/Macroindicadores!F$2)</f>
        <v>0.68027210884353739</v>
      </c>
      <c r="BL259" s="39" t="str">
        <f>IF(ISBLANK(V259),"",AX259/Macroindicadores!G$2)</f>
        <v/>
      </c>
      <c r="BM259" s="39">
        <f>IF(ISBLANK(W259),"",AY259/Macroindicadores!H$2)</f>
        <v>0.68027210884353739</v>
      </c>
      <c r="BN259" s="39" t="str">
        <f>IF(ISBLANK(X259),"",AZ259/Macroindicadores!I$2)</f>
        <v/>
      </c>
      <c r="BO259" s="39">
        <f>IF(ISBLANK(Y259),"",BA259/Macroindicadores!J$2)</f>
        <v>0.68027210884353739</v>
      </c>
      <c r="BP259" s="39" t="str">
        <f>IF(ISBLANK(Z259),"",BB259/Macroindicadores!K$2)</f>
        <v/>
      </c>
      <c r="BQ259" s="39">
        <f>IF(ISBLANK(AA259),"",BC259/Macroindicadores!L$2)</f>
        <v>0.68027210884353739</v>
      </c>
      <c r="BR259" s="39" t="str">
        <f>IF(ISBLANK(AB259),"",BD259/Macroindicadores!M$2)</f>
        <v/>
      </c>
      <c r="BS259" s="40">
        <f t="shared" si="107"/>
        <v>4.0816326530612246</v>
      </c>
      <c r="BT259" s="25" t="str">
        <f>IF(ISBLANK($L259),"",_xlfn.XLOOKUP($L259,'CENTRO CUSTO'!$A:$A,'CENTRO CUSTO'!$E:$E,FALSE,0))</f>
        <v>G&amp;A PL</v>
      </c>
    </row>
    <row r="260" spans="1:72">
      <c r="A260" s="9" t="str">
        <f t="shared" si="80"/>
        <v>Budget</v>
      </c>
      <c r="B260" s="9">
        <f t="shared" si="77"/>
        <v>2026</v>
      </c>
      <c r="C260" s="18" t="str">
        <f>IF(ISBLANK($L260),"",_xlfn.XLOOKUP($L260,'CENTRO CUSTO'!$A:$A,'CENTRO CUSTO'!F:F,FALSE,0))</f>
        <v>Cone Sul</v>
      </c>
      <c r="D260" s="111" t="str">
        <f>IF(ISBLANK($L260),"",_xlfn.XLOOKUP($L260,'CENTRO CUSTO'!$A:$A,'CENTRO CUSTO'!G:G,FALSE,0))</f>
        <v>Plataforma</v>
      </c>
      <c r="E260" s="18" t="str">
        <f>IF(ISBLANK($L260),"",_xlfn.XLOOKUP($L260,'CENTRO CUSTO'!$A:$A,'CENTRO CUSTO'!H:H,FALSE,0))</f>
        <v>G&amp;A</v>
      </c>
      <c r="F260" s="10" t="s">
        <v>246</v>
      </c>
      <c r="G260" s="10" t="s">
        <v>233</v>
      </c>
      <c r="H260" s="10" t="s">
        <v>251</v>
      </c>
      <c r="I260" s="11" t="s">
        <v>77</v>
      </c>
      <c r="J260" s="11" t="s">
        <v>78</v>
      </c>
      <c r="K260" s="11" t="s">
        <v>94</v>
      </c>
      <c r="L260" s="11" t="s">
        <v>54</v>
      </c>
      <c r="M260" s="18" t="str">
        <f>IF(ISBLANK($L260),"",_xlfn.XLOOKUP($L260,'CENTRO CUSTO'!$A:$A,'CENTRO CUSTO'!D:D,FALSE,0))</f>
        <v>Alexandre Ayabe</v>
      </c>
      <c r="N260" s="11" t="s">
        <v>245</v>
      </c>
      <c r="O260" s="12"/>
      <c r="P260" s="11" t="s">
        <v>81</v>
      </c>
      <c r="Q260" s="41">
        <f>400*2</f>
        <v>800</v>
      </c>
      <c r="R260" s="41"/>
      <c r="S260" s="41">
        <f t="shared" ref="S260:AA260" si="121">400*2</f>
        <v>800</v>
      </c>
      <c r="T260" s="41"/>
      <c r="U260" s="41">
        <f t="shared" si="121"/>
        <v>800</v>
      </c>
      <c r="V260" s="41"/>
      <c r="W260" s="41">
        <f t="shared" si="121"/>
        <v>800</v>
      </c>
      <c r="X260" s="41"/>
      <c r="Y260" s="41">
        <f t="shared" si="121"/>
        <v>800</v>
      </c>
      <c r="Z260" s="41"/>
      <c r="AA260" s="41">
        <f t="shared" si="121"/>
        <v>800</v>
      </c>
      <c r="AB260" s="41"/>
      <c r="AC260" s="116">
        <f t="shared" si="104"/>
        <v>4800</v>
      </c>
      <c r="AE260" s="39">
        <f>IF(ISBLANK(Q260),"",IF($P260="BRL",Q260,Q260*Macroindicadores!B$2)/1000)</f>
        <v>0.8</v>
      </c>
      <c r="AF260" s="39" t="str">
        <f>IF(ISBLANK(R260),"",IF($P260="BRL",R260,R260*Macroindicadores!C$2)/1000)</f>
        <v/>
      </c>
      <c r="AG260" s="39">
        <f>IF(ISBLANK(S260),"",IF($P260="BRL",S260,S260*Macroindicadores!D$2)/1000)</f>
        <v>0.8</v>
      </c>
      <c r="AH260" s="39" t="str">
        <f>IF(ISBLANK(T260),"",IF($P260="BRL",T260,T260*Macroindicadores!E$2)/1000)</f>
        <v/>
      </c>
      <c r="AI260" s="39">
        <f>IF(ISBLANK(U260),"",IF($P260="BRL",U260,U260*Macroindicadores!F$2)/1000)</f>
        <v>0.8</v>
      </c>
      <c r="AJ260" s="39" t="str">
        <f>IF(ISBLANK(V260),"",IF($P260="BRL",V260,V260*Macroindicadores!G$2)/1000)</f>
        <v/>
      </c>
      <c r="AK260" s="39">
        <f>IF(ISBLANK(W260),"",IF($P260="BRL",W260,W260*Macroindicadores!H$2)/1000)</f>
        <v>0.8</v>
      </c>
      <c r="AL260" s="39" t="str">
        <f>IF(ISBLANK(X260),"",IF($P260="BRL",X260,X260*Macroindicadores!I$2)/1000)</f>
        <v/>
      </c>
      <c r="AM260" s="39">
        <f>IF(ISBLANK(Y260),"",IF($P260="BRL",Y260,Y260*Macroindicadores!J$2)/1000)</f>
        <v>0.8</v>
      </c>
      <c r="AN260" s="39" t="str">
        <f>IF(ISBLANK(Z260),"",IF($P260="BRL",Z260,Z260*Macroindicadores!K$2)/1000)</f>
        <v/>
      </c>
      <c r="AO260" s="39">
        <f>IF(ISBLANK(AA260),"",IF($P260="BRL",AA260,AA260*Macroindicadores!L$2)/1000)</f>
        <v>0.8</v>
      </c>
      <c r="AP260" s="39" t="str">
        <f>IF(ISBLANK(AB260),"",IF($P260="BRL",AB260,AB260*Macroindicadores!M$2)/1000)</f>
        <v/>
      </c>
      <c r="AQ260" s="40">
        <f t="shared" si="105"/>
        <v>4.8</v>
      </c>
      <c r="AS260" s="39">
        <f>IF(ISBLANK(Q260),"",IF(ISBLANK($O260),AE260,IF($J260="ANUAL",AE260*(1+Macroindicadores!B$7),IF(AND($I260="NOVO",MONTH($O260)=MONTH(AS$4)),AE260*(1+Macroindicadores!B$7),IF(AND($J260="PONTUAL",MONTH($O260)=MONTH(AS$4)),AE260*(1+Macroindicadores!B$7),IF(AND($J260="PONTUAL",MONTH($O260)&lt;MONTH(AS$4)),MIN(AR260:$AS260),IF(AND($I260="NOVO",MONTH($O260)&gt;MONTH(AS$4)),AE260,IF(MONTH($O260)&gt;MONTH(AS$4),AE260,IF(MONTH($O260)=MONTH(AS$4),AE260*(1+Macroindicadores!B$7),AR260)))))))))</f>
        <v>0.8</v>
      </c>
      <c r="AT260" s="39" t="str">
        <f>IF(ISBLANK(R260),"",IF(ISBLANK($O260),AF260,IF($J260="ANUAL",AF260*(1+Macroindicadores!C$7),IF(AND($I260="NOVO",MONTH($O260)=MONTH(AT$4)),AF260*(1+Macroindicadores!C$7),IF(AND($J260="PONTUAL",MONTH($O260)=MONTH(AT$4)),AF260*(1+Macroindicadores!C$7),IF(AND($J260="PONTUAL",MONTH($O260)&lt;MONTH(AT$4)),MIN($AS260:AS260),IF(AND($I260="NOVO",MONTH($O260)&gt;MONTH(AT$4)),AF260,IF(MONTH($O260)&gt;MONTH(AT$4),AF260,IF(MONTH($O260)=MONTH(AT$4),AF260*(1+Macroindicadores!C$7),AS260)))))))))</f>
        <v/>
      </c>
      <c r="AU260" s="39">
        <f>IF(ISBLANK(S260),"",IF(ISBLANK($O260),AG260,IF($J260="ANUAL",AG260*(1+Macroindicadores!D$7),IF(AND($I260="NOVO",MONTH($O260)=MONTH(AU$4)),AG260*(1+Macroindicadores!D$7),IF(AND($J260="PONTUAL",MONTH($O260)=MONTH(AU$4)),AG260*(1+Macroindicadores!D$7),IF(AND($J260="PONTUAL",MONTH($O260)&lt;MONTH(AU$4)),MIN($AS260:AT260),IF(AND($I260="NOVO",MONTH($O260)&gt;MONTH(AU$4)),AG260,IF(MONTH($O260)&gt;MONTH(AU$4),AG260,IF(MONTH($O260)=MONTH(AU$4),AG260*(1+Macroindicadores!D$7),AT260)))))))))</f>
        <v>0.8</v>
      </c>
      <c r="AV260" s="39" t="str">
        <f>IF(ISBLANK(T260),"",IF(ISBLANK($O260),AH260,IF($J260="ANUAL",AH260*(1+Macroindicadores!E$7),IF(AND($I260="NOVO",MONTH($O260)=MONTH(AV$4)),AH260*(1+Macroindicadores!E$7),IF(AND($J260="PONTUAL",MONTH($O260)=MONTH(AV$4)),AH260*(1+Macroindicadores!E$7),IF(AND($J260="PONTUAL",MONTH($O260)&lt;MONTH(AV$4)),MIN($AS260:AU260),IF(AND($I260="NOVO",MONTH($O260)&gt;MONTH(AV$4)),AH260,IF(MONTH($O260)&gt;MONTH(AV$4),AH260,IF(MONTH($O260)=MONTH(AV$4),AH260*(1+Macroindicadores!E$7),AU260)))))))))</f>
        <v/>
      </c>
      <c r="AW260" s="39">
        <f>IF(ISBLANK(U260),"",IF(ISBLANK($O260),AI260,IF($J260="ANUAL",AI260*(1+Macroindicadores!F$7),IF(AND($I260="NOVO",MONTH($O260)=MONTH(AW$4)),AI260*(1+Macroindicadores!F$7),IF(AND($J260="PONTUAL",MONTH($O260)=MONTH(AW$4)),AI260*(1+Macroindicadores!F$7),IF(AND($J260="PONTUAL",MONTH($O260)&lt;MONTH(AW$4)),MIN($AS260:AV260),IF(AND($I260="NOVO",MONTH($O260)&gt;MONTH(AW$4)),AI260,IF(MONTH($O260)&gt;MONTH(AW$4),AI260,IF(MONTH($O260)=MONTH(AW$4),AI260*(1+Macroindicadores!F$7),AV260)))))))))</f>
        <v>0.8</v>
      </c>
      <c r="AX260" s="39" t="str">
        <f>IF(ISBLANK(V260),"",IF(ISBLANK($O260),AJ260,IF($J260="ANUAL",AJ260*(1+Macroindicadores!G$7),IF(AND($I260="NOVO",MONTH($O260)=MONTH(AX$4)),AJ260*(1+Macroindicadores!G$7),IF(AND($J260="PONTUAL",MONTH($O260)=MONTH(AX$4)),AJ260*(1+Macroindicadores!G$7),IF(AND($J260="PONTUAL",MONTH($O260)&lt;MONTH(AX$4)),MIN($AS260:AW260),IF(AND($I260="NOVO",MONTH($O260)&gt;MONTH(AX$4)),AJ260,IF(MONTH($O260)&gt;MONTH(AX$4),AJ260,IF(MONTH($O260)=MONTH(AX$4),AJ260*(1+Macroindicadores!G$7),AW260)))))))))</f>
        <v/>
      </c>
      <c r="AY260" s="39">
        <f>IF(ISBLANK(W260),"",IF(ISBLANK($O260),AK260,IF($J260="ANUAL",AK260*(1+Macroindicadores!H$7),IF(AND($I260="NOVO",MONTH($O260)=MONTH(AY$4)),AK260*(1+Macroindicadores!H$7),IF(AND($J260="PONTUAL",MONTH($O260)=MONTH(AY$4)),AK260*(1+Macroindicadores!H$7),IF(AND($J260="PONTUAL",MONTH($O260)&lt;MONTH(AY$4)),MIN($AS260:AX260),IF(AND($I260="NOVO",MONTH($O260)&gt;MONTH(AY$4)),AK260,IF(MONTH($O260)&gt;MONTH(AY$4),AK260,IF(MONTH($O260)=MONTH(AY$4),AK260*(1+Macroindicadores!H$7),AX260)))))))))</f>
        <v>0.8</v>
      </c>
      <c r="AZ260" s="39" t="str">
        <f>IF(ISBLANK(X260),"",IF(ISBLANK($O260),AL260,IF($J260="ANUAL",AL260*(1+Macroindicadores!I$7),IF(AND($I260="NOVO",MONTH($O260)=MONTH(AZ$4)),AL260*(1+Macroindicadores!I$7),IF(AND($J260="PONTUAL",MONTH($O260)=MONTH(AZ$4)),AL260*(1+Macroindicadores!I$7),IF(AND($J260="PONTUAL",MONTH($O260)&lt;MONTH(AZ$4)),MIN($AS260:AY260),IF(AND($I260="NOVO",MONTH($O260)&gt;MONTH(AZ$4)),AL260,IF(MONTH($O260)&gt;MONTH(AZ$4),AL260,IF(MONTH($O260)=MONTH(AZ$4),AL260*(1+Macroindicadores!I$7),AY260)))))))))</f>
        <v/>
      </c>
      <c r="BA260" s="39">
        <f>IF(ISBLANK(Y260),"",IF(ISBLANK($O260),AM260,IF($J260="ANUAL",AM260*(1+Macroindicadores!J$7),IF(AND($I260="NOVO",MONTH($O260)=MONTH(BA$4)),AM260*(1+Macroindicadores!J$7),IF(AND($J260="PONTUAL",MONTH($O260)=MONTH(BA$4)),AM260*(1+Macroindicadores!J$7),IF(AND($J260="PONTUAL",MONTH($O260)&lt;MONTH(BA$4)),MIN($AS260:AZ260),IF(AND($I260="NOVO",MONTH($O260)&gt;MONTH(BA$4)),AM260,IF(MONTH($O260)&gt;MONTH(BA$4),AM260,IF(MONTH($O260)=MONTH(BA$4),AM260*(1+Macroindicadores!J$7),AZ260)))))))))</f>
        <v>0.8</v>
      </c>
      <c r="BB260" s="39" t="str">
        <f>IF(ISBLANK(Z260),"",IF(ISBLANK($O260),AN260,IF($J260="ANUAL",AN260*(1+Macroindicadores!K$7),IF(AND($I260="NOVO",MONTH($O260)=MONTH(BB$4)),AN260*(1+Macroindicadores!K$7),IF(AND($J260="PONTUAL",MONTH($O260)=MONTH(BB$4)),AN260*(1+Macroindicadores!K$7),IF(AND($J260="PONTUAL",MONTH($O260)&lt;MONTH(BB$4)),MIN($AS260:BA260),IF(AND($I260="NOVO",MONTH($O260)&gt;MONTH(BB$4)),AN260,IF(MONTH($O260)&gt;MONTH(BB$4),AN260,IF(MONTH($O260)=MONTH(BB$4),AN260*(1+Macroindicadores!K$7),BA260)))))))))</f>
        <v/>
      </c>
      <c r="BC260" s="39">
        <f>IF(ISBLANK(AA260),"",IF(ISBLANK($O260),AO260,IF($J260="ANUAL",AO260*(1+Macroindicadores!L$7),IF(AND($I260="NOVO",MONTH($O260)=MONTH(BC$4)),AO260*(1+Macroindicadores!L$7),IF(AND($J260="PONTUAL",MONTH($O260)=MONTH(BC$4)),AO260*(1+Macroindicadores!L$7),IF(AND($J260="PONTUAL",MONTH($O260)&lt;MONTH(BC$4)),MIN($AS260:BB260),IF(AND($I260="NOVO",MONTH($O260)&gt;MONTH(BC$4)),AO260,IF(MONTH($O260)&gt;MONTH(BC$4),AO260,IF(MONTH($O260)=MONTH(BC$4),AO260*(1+Macroindicadores!L$7),BB260)))))))))</f>
        <v>0.8</v>
      </c>
      <c r="BD260" s="39" t="str">
        <f>IF(ISBLANK(AB260),"",IF(ISBLANK($O260),AP260,IF($J260="ANUAL",AP260*(1+Macroindicadores!M$7),IF(AND($I260="NOVO",MONTH($O260)=MONTH(BD$4)),AP260*(1+Macroindicadores!M$7),IF(AND($J260="PONTUAL",MONTH($O260)=MONTH(BD$4)),AP260*(1+Macroindicadores!M$7),IF(AND($J260="PONTUAL",MONTH($O260)&lt;MONTH(BD$4)),MIN($AS260:BC260),IF(AND($I260="NOVO",MONTH($O260)&gt;MONTH(BD$4)),AP260,IF(MONTH($O260)&gt;MONTH(BD$4),AP260,IF(MONTH($O260)=MONTH(BD$4),AP260*(1+Macroindicadores!M$7),BC260)))))))))</f>
        <v/>
      </c>
      <c r="BE260" s="40">
        <f t="shared" si="106"/>
        <v>4.8</v>
      </c>
      <c r="BG260" s="39">
        <f>IF(ISBLANK(Q260),"",AS260/Macroindicadores!B$2)</f>
        <v>0.1360544217687075</v>
      </c>
      <c r="BH260" s="39" t="str">
        <f>IF(ISBLANK(R260),"",AT260/Macroindicadores!C$2)</f>
        <v/>
      </c>
      <c r="BI260" s="39">
        <f>IF(ISBLANK(S260),"",AU260/Macroindicadores!D$2)</f>
        <v>0.1360544217687075</v>
      </c>
      <c r="BJ260" s="39" t="str">
        <f>IF(ISBLANK(T260),"",AV260/Macroindicadores!E$2)</f>
        <v/>
      </c>
      <c r="BK260" s="39">
        <f>IF(ISBLANK(U260),"",AW260/Macroindicadores!F$2)</f>
        <v>0.1360544217687075</v>
      </c>
      <c r="BL260" s="39" t="str">
        <f>IF(ISBLANK(V260),"",AX260/Macroindicadores!G$2)</f>
        <v/>
      </c>
      <c r="BM260" s="39">
        <f>IF(ISBLANK(W260),"",AY260/Macroindicadores!H$2)</f>
        <v>0.1360544217687075</v>
      </c>
      <c r="BN260" s="39" t="str">
        <f>IF(ISBLANK(X260),"",AZ260/Macroindicadores!I$2)</f>
        <v/>
      </c>
      <c r="BO260" s="39">
        <f>IF(ISBLANK(Y260),"",BA260/Macroindicadores!J$2)</f>
        <v>0.1360544217687075</v>
      </c>
      <c r="BP260" s="39" t="str">
        <f>IF(ISBLANK(Z260),"",BB260/Macroindicadores!K$2)</f>
        <v/>
      </c>
      <c r="BQ260" s="39">
        <f>IF(ISBLANK(AA260),"",BC260/Macroindicadores!L$2)</f>
        <v>0.1360544217687075</v>
      </c>
      <c r="BR260" s="39" t="str">
        <f>IF(ISBLANK(AB260),"",BD260/Macroindicadores!M$2)</f>
        <v/>
      </c>
      <c r="BS260" s="40">
        <f t="shared" si="107"/>
        <v>0.81632653061224503</v>
      </c>
      <c r="BT260" s="25" t="str">
        <f>IF(ISBLANK($L260),"",_xlfn.XLOOKUP($L260,'CENTRO CUSTO'!$A:$A,'CENTRO CUSTO'!$E:$E,FALSE,0))</f>
        <v>G&amp;A PL</v>
      </c>
    </row>
    <row r="261" spans="1:72">
      <c r="A261" s="9" t="str">
        <f t="shared" si="80"/>
        <v>Budget</v>
      </c>
      <c r="B261" s="9">
        <f t="shared" si="77"/>
        <v>2026</v>
      </c>
      <c r="C261" s="18" t="str">
        <f>IF(ISBLANK($L261),"",_xlfn.XLOOKUP($L261,'CENTRO CUSTO'!$A:$A,'CENTRO CUSTO'!F:F,FALSE,0))</f>
        <v>Cone Sul</v>
      </c>
      <c r="D261" s="111" t="str">
        <f>IF(ISBLANK($L261),"",_xlfn.XLOOKUP($L261,'CENTRO CUSTO'!$A:$A,'CENTRO CUSTO'!G:G,FALSE,0))</f>
        <v>Plataforma</v>
      </c>
      <c r="E261" s="18" t="str">
        <f>IF(ISBLANK($L261),"",_xlfn.XLOOKUP($L261,'CENTRO CUSTO'!$A:$A,'CENTRO CUSTO'!H:H,FALSE,0))</f>
        <v>G&amp;A</v>
      </c>
      <c r="F261" s="10" t="s">
        <v>247</v>
      </c>
      <c r="G261" s="10" t="s">
        <v>233</v>
      </c>
      <c r="H261" s="10" t="s">
        <v>251</v>
      </c>
      <c r="I261" s="11" t="s">
        <v>77</v>
      </c>
      <c r="J261" s="11" t="s">
        <v>78</v>
      </c>
      <c r="K261" s="11" t="s">
        <v>94</v>
      </c>
      <c r="L261" s="11" t="s">
        <v>54</v>
      </c>
      <c r="M261" s="18" t="str">
        <f>IF(ISBLANK($L261),"",_xlfn.XLOOKUP($L261,'CENTRO CUSTO'!$A:$A,'CENTRO CUSTO'!D:D,FALSE,0))</f>
        <v>Alexandre Ayabe</v>
      </c>
      <c r="N261" s="11" t="s">
        <v>245</v>
      </c>
      <c r="O261" s="12"/>
      <c r="P261" s="11" t="s">
        <v>81</v>
      </c>
      <c r="Q261" s="41">
        <f>150*3</f>
        <v>450</v>
      </c>
      <c r="R261" s="41"/>
      <c r="S261" s="41">
        <f t="shared" ref="S261:AA261" si="122">150*3</f>
        <v>450</v>
      </c>
      <c r="T261" s="41"/>
      <c r="U261" s="41">
        <f t="shared" si="122"/>
        <v>450</v>
      </c>
      <c r="V261" s="41"/>
      <c r="W261" s="41">
        <f t="shared" si="122"/>
        <v>450</v>
      </c>
      <c r="X261" s="41"/>
      <c r="Y261" s="41">
        <f t="shared" si="122"/>
        <v>450</v>
      </c>
      <c r="Z261" s="41"/>
      <c r="AA261" s="41">
        <f t="shared" si="122"/>
        <v>450</v>
      </c>
      <c r="AB261" s="41"/>
      <c r="AC261" s="116">
        <f t="shared" si="104"/>
        <v>2700</v>
      </c>
      <c r="AE261" s="39">
        <f>IF(ISBLANK(Q261),"",IF($P261="BRL",Q261,Q261*Macroindicadores!B$2)/1000)</f>
        <v>0.45</v>
      </c>
      <c r="AF261" s="39" t="str">
        <f>IF(ISBLANK(R261),"",IF($P261="BRL",R261,R261*Macroindicadores!C$2)/1000)</f>
        <v/>
      </c>
      <c r="AG261" s="39">
        <f>IF(ISBLANK(S261),"",IF($P261="BRL",S261,S261*Macroindicadores!D$2)/1000)</f>
        <v>0.45</v>
      </c>
      <c r="AH261" s="39" t="str">
        <f>IF(ISBLANK(T261),"",IF($P261="BRL",T261,T261*Macroindicadores!E$2)/1000)</f>
        <v/>
      </c>
      <c r="AI261" s="39">
        <f>IF(ISBLANK(U261),"",IF($P261="BRL",U261,U261*Macroindicadores!F$2)/1000)</f>
        <v>0.45</v>
      </c>
      <c r="AJ261" s="39" t="str">
        <f>IF(ISBLANK(V261),"",IF($P261="BRL",V261,V261*Macroindicadores!G$2)/1000)</f>
        <v/>
      </c>
      <c r="AK261" s="39">
        <f>IF(ISBLANK(W261),"",IF($P261="BRL",W261,W261*Macroindicadores!H$2)/1000)</f>
        <v>0.45</v>
      </c>
      <c r="AL261" s="39" t="str">
        <f>IF(ISBLANK(X261),"",IF($P261="BRL",X261,X261*Macroindicadores!I$2)/1000)</f>
        <v/>
      </c>
      <c r="AM261" s="39">
        <f>IF(ISBLANK(Y261),"",IF($P261="BRL",Y261,Y261*Macroindicadores!J$2)/1000)</f>
        <v>0.45</v>
      </c>
      <c r="AN261" s="39" t="str">
        <f>IF(ISBLANK(Z261),"",IF($P261="BRL",Z261,Z261*Macroindicadores!K$2)/1000)</f>
        <v/>
      </c>
      <c r="AO261" s="39">
        <f>IF(ISBLANK(AA261),"",IF($P261="BRL",AA261,AA261*Macroindicadores!L$2)/1000)</f>
        <v>0.45</v>
      </c>
      <c r="AP261" s="39" t="str">
        <f>IF(ISBLANK(AB261),"",IF($P261="BRL",AB261,AB261*Macroindicadores!M$2)/1000)</f>
        <v/>
      </c>
      <c r="AQ261" s="40">
        <f t="shared" si="105"/>
        <v>2.7</v>
      </c>
      <c r="AS261" s="39">
        <f>IF(ISBLANK(Q261),"",IF(ISBLANK($O261),AE261,IF($J261="ANUAL",AE261*(1+Macroindicadores!B$7),IF(AND($I261="NOVO",MONTH($O261)=MONTH(AS$4)),AE261*(1+Macroindicadores!B$7),IF(AND($J261="PONTUAL",MONTH($O261)=MONTH(AS$4)),AE261*(1+Macroindicadores!B$7),IF(AND($J261="PONTUAL",MONTH($O261)&lt;MONTH(AS$4)),MIN(AR261:$AS261),IF(AND($I261="NOVO",MONTH($O261)&gt;MONTH(AS$4)),AE261,IF(MONTH($O261)&gt;MONTH(AS$4),AE261,IF(MONTH($O261)=MONTH(AS$4),AE261*(1+Macroindicadores!B$7),AR261)))))))))</f>
        <v>0.45</v>
      </c>
      <c r="AT261" s="39" t="str">
        <f>IF(ISBLANK(R261),"",IF(ISBLANK($O261),AF261,IF($J261="ANUAL",AF261*(1+Macroindicadores!C$7),IF(AND($I261="NOVO",MONTH($O261)=MONTH(AT$4)),AF261*(1+Macroindicadores!C$7),IF(AND($J261="PONTUAL",MONTH($O261)=MONTH(AT$4)),AF261*(1+Macroindicadores!C$7),IF(AND($J261="PONTUAL",MONTH($O261)&lt;MONTH(AT$4)),MIN($AS261:AS261),IF(AND($I261="NOVO",MONTH($O261)&gt;MONTH(AT$4)),AF261,IF(MONTH($O261)&gt;MONTH(AT$4),AF261,IF(MONTH($O261)=MONTH(AT$4),AF261*(1+Macroindicadores!C$7),AS261)))))))))</f>
        <v/>
      </c>
      <c r="AU261" s="39">
        <f>IF(ISBLANK(S261),"",IF(ISBLANK($O261),AG261,IF($J261="ANUAL",AG261*(1+Macroindicadores!D$7),IF(AND($I261="NOVO",MONTH($O261)=MONTH(AU$4)),AG261*(1+Macroindicadores!D$7),IF(AND($J261="PONTUAL",MONTH($O261)=MONTH(AU$4)),AG261*(1+Macroindicadores!D$7),IF(AND($J261="PONTUAL",MONTH($O261)&lt;MONTH(AU$4)),MIN($AS261:AT261),IF(AND($I261="NOVO",MONTH($O261)&gt;MONTH(AU$4)),AG261,IF(MONTH($O261)&gt;MONTH(AU$4),AG261,IF(MONTH($O261)=MONTH(AU$4),AG261*(1+Macroindicadores!D$7),AT261)))))))))</f>
        <v>0.45</v>
      </c>
      <c r="AV261" s="39" t="str">
        <f>IF(ISBLANK(T261),"",IF(ISBLANK($O261),AH261,IF($J261="ANUAL",AH261*(1+Macroindicadores!E$7),IF(AND($I261="NOVO",MONTH($O261)=MONTH(AV$4)),AH261*(1+Macroindicadores!E$7),IF(AND($J261="PONTUAL",MONTH($O261)=MONTH(AV$4)),AH261*(1+Macroindicadores!E$7),IF(AND($J261="PONTUAL",MONTH($O261)&lt;MONTH(AV$4)),MIN($AS261:AU261),IF(AND($I261="NOVO",MONTH($O261)&gt;MONTH(AV$4)),AH261,IF(MONTH($O261)&gt;MONTH(AV$4),AH261,IF(MONTH($O261)=MONTH(AV$4),AH261*(1+Macroindicadores!E$7),AU261)))))))))</f>
        <v/>
      </c>
      <c r="AW261" s="39">
        <f>IF(ISBLANK(U261),"",IF(ISBLANK($O261),AI261,IF($J261="ANUAL",AI261*(1+Macroindicadores!F$7),IF(AND($I261="NOVO",MONTH($O261)=MONTH(AW$4)),AI261*(1+Macroindicadores!F$7),IF(AND($J261="PONTUAL",MONTH($O261)=MONTH(AW$4)),AI261*(1+Macroindicadores!F$7),IF(AND($J261="PONTUAL",MONTH($O261)&lt;MONTH(AW$4)),MIN($AS261:AV261),IF(AND($I261="NOVO",MONTH($O261)&gt;MONTH(AW$4)),AI261,IF(MONTH($O261)&gt;MONTH(AW$4),AI261,IF(MONTH($O261)=MONTH(AW$4),AI261*(1+Macroindicadores!F$7),AV261)))))))))</f>
        <v>0.45</v>
      </c>
      <c r="AX261" s="39" t="str">
        <f>IF(ISBLANK(V261),"",IF(ISBLANK($O261),AJ261,IF($J261="ANUAL",AJ261*(1+Macroindicadores!G$7),IF(AND($I261="NOVO",MONTH($O261)=MONTH(AX$4)),AJ261*(1+Macroindicadores!G$7),IF(AND($J261="PONTUAL",MONTH($O261)=MONTH(AX$4)),AJ261*(1+Macroindicadores!G$7),IF(AND($J261="PONTUAL",MONTH($O261)&lt;MONTH(AX$4)),MIN($AS261:AW261),IF(AND($I261="NOVO",MONTH($O261)&gt;MONTH(AX$4)),AJ261,IF(MONTH($O261)&gt;MONTH(AX$4),AJ261,IF(MONTH($O261)=MONTH(AX$4),AJ261*(1+Macroindicadores!G$7),AW261)))))))))</f>
        <v/>
      </c>
      <c r="AY261" s="39">
        <f>IF(ISBLANK(W261),"",IF(ISBLANK($O261),AK261,IF($J261="ANUAL",AK261*(1+Macroindicadores!H$7),IF(AND($I261="NOVO",MONTH($O261)=MONTH(AY$4)),AK261*(1+Macroindicadores!H$7),IF(AND($J261="PONTUAL",MONTH($O261)=MONTH(AY$4)),AK261*(1+Macroindicadores!H$7),IF(AND($J261="PONTUAL",MONTH($O261)&lt;MONTH(AY$4)),MIN($AS261:AX261),IF(AND($I261="NOVO",MONTH($O261)&gt;MONTH(AY$4)),AK261,IF(MONTH($O261)&gt;MONTH(AY$4),AK261,IF(MONTH($O261)=MONTH(AY$4),AK261*(1+Macroindicadores!H$7),AX261)))))))))</f>
        <v>0.45</v>
      </c>
      <c r="AZ261" s="39" t="str">
        <f>IF(ISBLANK(X261),"",IF(ISBLANK($O261),AL261,IF($J261="ANUAL",AL261*(1+Macroindicadores!I$7),IF(AND($I261="NOVO",MONTH($O261)=MONTH(AZ$4)),AL261*(1+Macroindicadores!I$7),IF(AND($J261="PONTUAL",MONTH($O261)=MONTH(AZ$4)),AL261*(1+Macroindicadores!I$7),IF(AND($J261="PONTUAL",MONTH($O261)&lt;MONTH(AZ$4)),MIN($AS261:AY261),IF(AND($I261="NOVO",MONTH($O261)&gt;MONTH(AZ$4)),AL261,IF(MONTH($O261)&gt;MONTH(AZ$4),AL261,IF(MONTH($O261)=MONTH(AZ$4),AL261*(1+Macroindicadores!I$7),AY261)))))))))</f>
        <v/>
      </c>
      <c r="BA261" s="39">
        <f>IF(ISBLANK(Y261),"",IF(ISBLANK($O261),AM261,IF($J261="ANUAL",AM261*(1+Macroindicadores!J$7),IF(AND($I261="NOVO",MONTH($O261)=MONTH(BA$4)),AM261*(1+Macroindicadores!J$7),IF(AND($J261="PONTUAL",MONTH($O261)=MONTH(BA$4)),AM261*(1+Macroindicadores!J$7),IF(AND($J261="PONTUAL",MONTH($O261)&lt;MONTH(BA$4)),MIN($AS261:AZ261),IF(AND($I261="NOVO",MONTH($O261)&gt;MONTH(BA$4)),AM261,IF(MONTH($O261)&gt;MONTH(BA$4),AM261,IF(MONTH($O261)=MONTH(BA$4),AM261*(1+Macroindicadores!J$7),AZ261)))))))))</f>
        <v>0.45</v>
      </c>
      <c r="BB261" s="39" t="str">
        <f>IF(ISBLANK(Z261),"",IF(ISBLANK($O261),AN261,IF($J261="ANUAL",AN261*(1+Macroindicadores!K$7),IF(AND($I261="NOVO",MONTH($O261)=MONTH(BB$4)),AN261*(1+Macroindicadores!K$7),IF(AND($J261="PONTUAL",MONTH($O261)=MONTH(BB$4)),AN261*(1+Macroindicadores!K$7),IF(AND($J261="PONTUAL",MONTH($O261)&lt;MONTH(BB$4)),MIN($AS261:BA261),IF(AND($I261="NOVO",MONTH($O261)&gt;MONTH(BB$4)),AN261,IF(MONTH($O261)&gt;MONTH(BB$4),AN261,IF(MONTH($O261)=MONTH(BB$4),AN261*(1+Macroindicadores!K$7),BA261)))))))))</f>
        <v/>
      </c>
      <c r="BC261" s="39">
        <f>IF(ISBLANK(AA261),"",IF(ISBLANK($O261),AO261,IF($J261="ANUAL",AO261*(1+Macroindicadores!L$7),IF(AND($I261="NOVO",MONTH($O261)=MONTH(BC$4)),AO261*(1+Macroindicadores!L$7),IF(AND($J261="PONTUAL",MONTH($O261)=MONTH(BC$4)),AO261*(1+Macroindicadores!L$7),IF(AND($J261="PONTUAL",MONTH($O261)&lt;MONTH(BC$4)),MIN($AS261:BB261),IF(AND($I261="NOVO",MONTH($O261)&gt;MONTH(BC$4)),AO261,IF(MONTH($O261)&gt;MONTH(BC$4),AO261,IF(MONTH($O261)=MONTH(BC$4),AO261*(1+Macroindicadores!L$7),BB261)))))))))</f>
        <v>0.45</v>
      </c>
      <c r="BD261" s="39" t="str">
        <f>IF(ISBLANK(AB261),"",IF(ISBLANK($O261),AP261,IF($J261="ANUAL",AP261*(1+Macroindicadores!M$7),IF(AND($I261="NOVO",MONTH($O261)=MONTH(BD$4)),AP261*(1+Macroindicadores!M$7),IF(AND($J261="PONTUAL",MONTH($O261)=MONTH(BD$4)),AP261*(1+Macroindicadores!M$7),IF(AND($J261="PONTUAL",MONTH($O261)&lt;MONTH(BD$4)),MIN($AS261:BC261),IF(AND($I261="NOVO",MONTH($O261)&gt;MONTH(BD$4)),AP261,IF(MONTH($O261)&gt;MONTH(BD$4),AP261,IF(MONTH($O261)=MONTH(BD$4),AP261*(1+Macroindicadores!M$7),BC261)))))))))</f>
        <v/>
      </c>
      <c r="BE261" s="40">
        <f t="shared" si="106"/>
        <v>2.7</v>
      </c>
      <c r="BG261" s="39">
        <f>IF(ISBLANK(Q261),"",AS261/Macroindicadores!B$2)</f>
        <v>7.6530612244897961E-2</v>
      </c>
      <c r="BH261" s="39" t="str">
        <f>IF(ISBLANK(R261),"",AT261/Macroindicadores!C$2)</f>
        <v/>
      </c>
      <c r="BI261" s="39">
        <f>IF(ISBLANK(S261),"",AU261/Macroindicadores!D$2)</f>
        <v>7.6530612244897961E-2</v>
      </c>
      <c r="BJ261" s="39" t="str">
        <f>IF(ISBLANK(T261),"",AV261/Macroindicadores!E$2)</f>
        <v/>
      </c>
      <c r="BK261" s="39">
        <f>IF(ISBLANK(U261),"",AW261/Macroindicadores!F$2)</f>
        <v>7.6530612244897961E-2</v>
      </c>
      <c r="BL261" s="39" t="str">
        <f>IF(ISBLANK(V261),"",AX261/Macroindicadores!G$2)</f>
        <v/>
      </c>
      <c r="BM261" s="39">
        <f>IF(ISBLANK(W261),"",AY261/Macroindicadores!H$2)</f>
        <v>7.6530612244897961E-2</v>
      </c>
      <c r="BN261" s="39" t="str">
        <f>IF(ISBLANK(X261),"",AZ261/Macroindicadores!I$2)</f>
        <v/>
      </c>
      <c r="BO261" s="39">
        <f>IF(ISBLANK(Y261),"",BA261/Macroindicadores!J$2)</f>
        <v>7.6530612244897961E-2</v>
      </c>
      <c r="BP261" s="39" t="str">
        <f>IF(ISBLANK(Z261),"",BB261/Macroindicadores!K$2)</f>
        <v/>
      </c>
      <c r="BQ261" s="39">
        <f>IF(ISBLANK(AA261),"",BC261/Macroindicadores!L$2)</f>
        <v>7.6530612244897961E-2</v>
      </c>
      <c r="BR261" s="39" t="str">
        <f>IF(ISBLANK(AB261),"",BD261/Macroindicadores!M$2)</f>
        <v/>
      </c>
      <c r="BS261" s="40">
        <f t="shared" si="107"/>
        <v>0.45918367346938782</v>
      </c>
      <c r="BT261" s="25" t="str">
        <f>IF(ISBLANK($L261),"",_xlfn.XLOOKUP($L261,'CENTRO CUSTO'!$A:$A,'CENTRO CUSTO'!$E:$E,FALSE,0))</f>
        <v>G&amp;A PL</v>
      </c>
    </row>
    <row r="262" spans="1:72">
      <c r="A262" s="9" t="str">
        <f t="shared" si="80"/>
        <v>Budget</v>
      </c>
      <c r="B262" s="9">
        <f t="shared" si="77"/>
        <v>2026</v>
      </c>
      <c r="C262" s="18" t="str">
        <f>IF(ISBLANK($L262),"",_xlfn.XLOOKUP($L262,'CENTRO CUSTO'!$A:$A,'CENTRO CUSTO'!F:F,FALSE,0))</f>
        <v>Cone Sul</v>
      </c>
      <c r="D262" s="111" t="str">
        <f>IF(ISBLANK($L262),"",_xlfn.XLOOKUP($L262,'CENTRO CUSTO'!$A:$A,'CENTRO CUSTO'!G:G,FALSE,0))</f>
        <v>Plataforma</v>
      </c>
      <c r="E262" s="18" t="str">
        <f>IF(ISBLANK($L262),"",_xlfn.XLOOKUP($L262,'CENTRO CUSTO'!$A:$A,'CENTRO CUSTO'!H:H,FALSE,0))</f>
        <v>G&amp;A</v>
      </c>
      <c r="F262" s="10" t="s">
        <v>248</v>
      </c>
      <c r="G262" s="10" t="s">
        <v>233</v>
      </c>
      <c r="H262" s="10" t="s">
        <v>251</v>
      </c>
      <c r="I262" s="11" t="s">
        <v>77</v>
      </c>
      <c r="J262" s="11" t="s">
        <v>78</v>
      </c>
      <c r="K262" s="11" t="s">
        <v>94</v>
      </c>
      <c r="L262" s="11" t="s">
        <v>54</v>
      </c>
      <c r="M262" s="18" t="str">
        <f>IF(ISBLANK($L262),"",_xlfn.XLOOKUP($L262,'CENTRO CUSTO'!$A:$A,'CENTRO CUSTO'!D:D,FALSE,0))</f>
        <v>Alexandre Ayabe</v>
      </c>
      <c r="N262" s="11" t="s">
        <v>245</v>
      </c>
      <c r="O262" s="12"/>
      <c r="P262" s="11" t="s">
        <v>81</v>
      </c>
      <c r="Q262" s="41">
        <f>400*3</f>
        <v>1200</v>
      </c>
      <c r="R262" s="41"/>
      <c r="S262" s="41">
        <f t="shared" ref="S262:AA262" si="123">400*3</f>
        <v>1200</v>
      </c>
      <c r="T262" s="41"/>
      <c r="U262" s="41">
        <f t="shared" si="123"/>
        <v>1200</v>
      </c>
      <c r="V262" s="41"/>
      <c r="W262" s="41">
        <f t="shared" si="123"/>
        <v>1200</v>
      </c>
      <c r="X262" s="41"/>
      <c r="Y262" s="41">
        <f t="shared" si="123"/>
        <v>1200</v>
      </c>
      <c r="Z262" s="41"/>
      <c r="AA262" s="41">
        <f t="shared" si="123"/>
        <v>1200</v>
      </c>
      <c r="AB262" s="41"/>
      <c r="AC262" s="116">
        <f t="shared" si="104"/>
        <v>7200</v>
      </c>
      <c r="AE262" s="39">
        <f>IF(ISBLANK(Q262),"",IF($P262="BRL",Q262,Q262*Macroindicadores!B$2)/1000)</f>
        <v>1.2</v>
      </c>
      <c r="AF262" s="39" t="str">
        <f>IF(ISBLANK(R262),"",IF($P262="BRL",R262,R262*Macroindicadores!C$2)/1000)</f>
        <v/>
      </c>
      <c r="AG262" s="39">
        <f>IF(ISBLANK(S262),"",IF($P262="BRL",S262,S262*Macroindicadores!D$2)/1000)</f>
        <v>1.2</v>
      </c>
      <c r="AH262" s="39" t="str">
        <f>IF(ISBLANK(T262),"",IF($P262="BRL",T262,T262*Macroindicadores!E$2)/1000)</f>
        <v/>
      </c>
      <c r="AI262" s="39">
        <f>IF(ISBLANK(U262),"",IF($P262="BRL",U262,U262*Macroindicadores!F$2)/1000)</f>
        <v>1.2</v>
      </c>
      <c r="AJ262" s="39" t="str">
        <f>IF(ISBLANK(V262),"",IF($P262="BRL",V262,V262*Macroindicadores!G$2)/1000)</f>
        <v/>
      </c>
      <c r="AK262" s="39">
        <f>IF(ISBLANK(W262),"",IF($P262="BRL",W262,W262*Macroindicadores!H$2)/1000)</f>
        <v>1.2</v>
      </c>
      <c r="AL262" s="39" t="str">
        <f>IF(ISBLANK(X262),"",IF($P262="BRL",X262,X262*Macroindicadores!I$2)/1000)</f>
        <v/>
      </c>
      <c r="AM262" s="39">
        <f>IF(ISBLANK(Y262),"",IF($P262="BRL",Y262,Y262*Macroindicadores!J$2)/1000)</f>
        <v>1.2</v>
      </c>
      <c r="AN262" s="39" t="str">
        <f>IF(ISBLANK(Z262),"",IF($P262="BRL",Z262,Z262*Macroindicadores!K$2)/1000)</f>
        <v/>
      </c>
      <c r="AO262" s="39">
        <f>IF(ISBLANK(AA262),"",IF($P262="BRL",AA262,AA262*Macroindicadores!L$2)/1000)</f>
        <v>1.2</v>
      </c>
      <c r="AP262" s="39" t="str">
        <f>IF(ISBLANK(AB262),"",IF($P262="BRL",AB262,AB262*Macroindicadores!M$2)/1000)</f>
        <v/>
      </c>
      <c r="AQ262" s="40">
        <f t="shared" si="105"/>
        <v>7.2</v>
      </c>
      <c r="AS262" s="39">
        <f>IF(ISBLANK(Q262),"",IF(ISBLANK($O262),AE262,IF($J262="ANUAL",AE262*(1+Macroindicadores!B$7),IF(AND($I262="NOVO",MONTH($O262)=MONTH(AS$4)),AE262*(1+Macroindicadores!B$7),IF(AND($J262="PONTUAL",MONTH($O262)=MONTH(AS$4)),AE262*(1+Macroindicadores!B$7),IF(AND($J262="PONTUAL",MONTH($O262)&lt;MONTH(AS$4)),MIN(AR262:$AS262),IF(AND($I262="NOVO",MONTH($O262)&gt;MONTH(AS$4)),AE262,IF(MONTH($O262)&gt;MONTH(AS$4),AE262,IF(MONTH($O262)=MONTH(AS$4),AE262*(1+Macroindicadores!B$7),AR262)))))))))</f>
        <v>1.2</v>
      </c>
      <c r="AT262" s="39" t="str">
        <f>IF(ISBLANK(R262),"",IF(ISBLANK($O262),AF262,IF($J262="ANUAL",AF262*(1+Macroindicadores!C$7),IF(AND($I262="NOVO",MONTH($O262)=MONTH(AT$4)),AF262*(1+Macroindicadores!C$7),IF(AND($J262="PONTUAL",MONTH($O262)=MONTH(AT$4)),AF262*(1+Macroindicadores!C$7),IF(AND($J262="PONTUAL",MONTH($O262)&lt;MONTH(AT$4)),MIN($AS262:AS262),IF(AND($I262="NOVO",MONTH($O262)&gt;MONTH(AT$4)),AF262,IF(MONTH($O262)&gt;MONTH(AT$4),AF262,IF(MONTH($O262)=MONTH(AT$4),AF262*(1+Macroindicadores!C$7),AS262)))))))))</f>
        <v/>
      </c>
      <c r="AU262" s="39">
        <f>IF(ISBLANK(S262),"",IF(ISBLANK($O262),AG262,IF($J262="ANUAL",AG262*(1+Macroindicadores!D$7),IF(AND($I262="NOVO",MONTH($O262)=MONTH(AU$4)),AG262*(1+Macroindicadores!D$7),IF(AND($J262="PONTUAL",MONTH($O262)=MONTH(AU$4)),AG262*(1+Macroindicadores!D$7),IF(AND($J262="PONTUAL",MONTH($O262)&lt;MONTH(AU$4)),MIN($AS262:AT262),IF(AND($I262="NOVO",MONTH($O262)&gt;MONTH(AU$4)),AG262,IF(MONTH($O262)&gt;MONTH(AU$4),AG262,IF(MONTH($O262)=MONTH(AU$4),AG262*(1+Macroindicadores!D$7),AT262)))))))))</f>
        <v>1.2</v>
      </c>
      <c r="AV262" s="39" t="str">
        <f>IF(ISBLANK(T262),"",IF(ISBLANK($O262),AH262,IF($J262="ANUAL",AH262*(1+Macroindicadores!E$7),IF(AND($I262="NOVO",MONTH($O262)=MONTH(AV$4)),AH262*(1+Macroindicadores!E$7),IF(AND($J262="PONTUAL",MONTH($O262)=MONTH(AV$4)),AH262*(1+Macroindicadores!E$7),IF(AND($J262="PONTUAL",MONTH($O262)&lt;MONTH(AV$4)),MIN($AS262:AU262),IF(AND($I262="NOVO",MONTH($O262)&gt;MONTH(AV$4)),AH262,IF(MONTH($O262)&gt;MONTH(AV$4),AH262,IF(MONTH($O262)=MONTH(AV$4),AH262*(1+Macroindicadores!E$7),AU262)))))))))</f>
        <v/>
      </c>
      <c r="AW262" s="39">
        <f>IF(ISBLANK(U262),"",IF(ISBLANK($O262),AI262,IF($J262="ANUAL",AI262*(1+Macroindicadores!F$7),IF(AND($I262="NOVO",MONTH($O262)=MONTH(AW$4)),AI262*(1+Macroindicadores!F$7),IF(AND($J262="PONTUAL",MONTH($O262)=MONTH(AW$4)),AI262*(1+Macroindicadores!F$7),IF(AND($J262="PONTUAL",MONTH($O262)&lt;MONTH(AW$4)),MIN($AS262:AV262),IF(AND($I262="NOVO",MONTH($O262)&gt;MONTH(AW$4)),AI262,IF(MONTH($O262)&gt;MONTH(AW$4),AI262,IF(MONTH($O262)=MONTH(AW$4),AI262*(1+Macroindicadores!F$7),AV262)))))))))</f>
        <v>1.2</v>
      </c>
      <c r="AX262" s="39" t="str">
        <f>IF(ISBLANK(V262),"",IF(ISBLANK($O262),AJ262,IF($J262="ANUAL",AJ262*(1+Macroindicadores!G$7),IF(AND($I262="NOVO",MONTH($O262)=MONTH(AX$4)),AJ262*(1+Macroindicadores!G$7),IF(AND($J262="PONTUAL",MONTH($O262)=MONTH(AX$4)),AJ262*(1+Macroindicadores!G$7),IF(AND($J262="PONTUAL",MONTH($O262)&lt;MONTH(AX$4)),MIN($AS262:AW262),IF(AND($I262="NOVO",MONTH($O262)&gt;MONTH(AX$4)),AJ262,IF(MONTH($O262)&gt;MONTH(AX$4),AJ262,IF(MONTH($O262)=MONTH(AX$4),AJ262*(1+Macroindicadores!G$7),AW262)))))))))</f>
        <v/>
      </c>
      <c r="AY262" s="39">
        <f>IF(ISBLANK(W262),"",IF(ISBLANK($O262),AK262,IF($J262="ANUAL",AK262*(1+Macroindicadores!H$7),IF(AND($I262="NOVO",MONTH($O262)=MONTH(AY$4)),AK262*(1+Macroindicadores!H$7),IF(AND($J262="PONTUAL",MONTH($O262)=MONTH(AY$4)),AK262*(1+Macroindicadores!H$7),IF(AND($J262="PONTUAL",MONTH($O262)&lt;MONTH(AY$4)),MIN($AS262:AX262),IF(AND($I262="NOVO",MONTH($O262)&gt;MONTH(AY$4)),AK262,IF(MONTH($O262)&gt;MONTH(AY$4),AK262,IF(MONTH($O262)=MONTH(AY$4),AK262*(1+Macroindicadores!H$7),AX262)))))))))</f>
        <v>1.2</v>
      </c>
      <c r="AZ262" s="39" t="str">
        <f>IF(ISBLANK(X262),"",IF(ISBLANK($O262),AL262,IF($J262="ANUAL",AL262*(1+Macroindicadores!I$7),IF(AND($I262="NOVO",MONTH($O262)=MONTH(AZ$4)),AL262*(1+Macroindicadores!I$7),IF(AND($J262="PONTUAL",MONTH($O262)=MONTH(AZ$4)),AL262*(1+Macroindicadores!I$7),IF(AND($J262="PONTUAL",MONTH($O262)&lt;MONTH(AZ$4)),MIN($AS262:AY262),IF(AND($I262="NOVO",MONTH($O262)&gt;MONTH(AZ$4)),AL262,IF(MONTH($O262)&gt;MONTH(AZ$4),AL262,IF(MONTH($O262)=MONTH(AZ$4),AL262*(1+Macroindicadores!I$7),AY262)))))))))</f>
        <v/>
      </c>
      <c r="BA262" s="39">
        <f>IF(ISBLANK(Y262),"",IF(ISBLANK($O262),AM262,IF($J262="ANUAL",AM262*(1+Macroindicadores!J$7),IF(AND($I262="NOVO",MONTH($O262)=MONTH(BA$4)),AM262*(1+Macroindicadores!J$7),IF(AND($J262="PONTUAL",MONTH($O262)=MONTH(BA$4)),AM262*(1+Macroindicadores!J$7),IF(AND($J262="PONTUAL",MONTH($O262)&lt;MONTH(BA$4)),MIN($AS262:AZ262),IF(AND($I262="NOVO",MONTH($O262)&gt;MONTH(BA$4)),AM262,IF(MONTH($O262)&gt;MONTH(BA$4),AM262,IF(MONTH($O262)=MONTH(BA$4),AM262*(1+Macroindicadores!J$7),AZ262)))))))))</f>
        <v>1.2</v>
      </c>
      <c r="BB262" s="39" t="str">
        <f>IF(ISBLANK(Z262),"",IF(ISBLANK($O262),AN262,IF($J262="ANUAL",AN262*(1+Macroindicadores!K$7),IF(AND($I262="NOVO",MONTH($O262)=MONTH(BB$4)),AN262*(1+Macroindicadores!K$7),IF(AND($J262="PONTUAL",MONTH($O262)=MONTH(BB$4)),AN262*(1+Macroindicadores!K$7),IF(AND($J262="PONTUAL",MONTH($O262)&lt;MONTH(BB$4)),MIN($AS262:BA262),IF(AND($I262="NOVO",MONTH($O262)&gt;MONTH(BB$4)),AN262,IF(MONTH($O262)&gt;MONTH(BB$4),AN262,IF(MONTH($O262)=MONTH(BB$4),AN262*(1+Macroindicadores!K$7),BA262)))))))))</f>
        <v/>
      </c>
      <c r="BC262" s="39">
        <f>IF(ISBLANK(AA262),"",IF(ISBLANK($O262),AO262,IF($J262="ANUAL",AO262*(1+Macroindicadores!L$7),IF(AND($I262="NOVO",MONTH($O262)=MONTH(BC$4)),AO262*(1+Macroindicadores!L$7),IF(AND($J262="PONTUAL",MONTH($O262)=MONTH(BC$4)),AO262*(1+Macroindicadores!L$7),IF(AND($J262="PONTUAL",MONTH($O262)&lt;MONTH(BC$4)),MIN($AS262:BB262),IF(AND($I262="NOVO",MONTH($O262)&gt;MONTH(BC$4)),AO262,IF(MONTH($O262)&gt;MONTH(BC$4),AO262,IF(MONTH($O262)=MONTH(BC$4),AO262*(1+Macroindicadores!L$7),BB262)))))))))</f>
        <v>1.2</v>
      </c>
      <c r="BD262" s="39" t="str">
        <f>IF(ISBLANK(AB262),"",IF(ISBLANK($O262),AP262,IF($J262="ANUAL",AP262*(1+Macroindicadores!M$7),IF(AND($I262="NOVO",MONTH($O262)=MONTH(BD$4)),AP262*(1+Macroindicadores!M$7),IF(AND($J262="PONTUAL",MONTH($O262)=MONTH(BD$4)),AP262*(1+Macroindicadores!M$7),IF(AND($J262="PONTUAL",MONTH($O262)&lt;MONTH(BD$4)),MIN($AS262:BC262),IF(AND($I262="NOVO",MONTH($O262)&gt;MONTH(BD$4)),AP262,IF(MONTH($O262)&gt;MONTH(BD$4),AP262,IF(MONTH($O262)=MONTH(BD$4),AP262*(1+Macroindicadores!M$7),BC262)))))))))</f>
        <v/>
      </c>
      <c r="BE262" s="40">
        <f t="shared" si="106"/>
        <v>7.2</v>
      </c>
      <c r="BG262" s="39">
        <f>IF(ISBLANK(Q262),"",AS262/Macroindicadores!B$2)</f>
        <v>0.20408163265306123</v>
      </c>
      <c r="BH262" s="39" t="str">
        <f>IF(ISBLANK(R262),"",AT262/Macroindicadores!C$2)</f>
        <v/>
      </c>
      <c r="BI262" s="39">
        <f>IF(ISBLANK(S262),"",AU262/Macroindicadores!D$2)</f>
        <v>0.20408163265306123</v>
      </c>
      <c r="BJ262" s="39" t="str">
        <f>IF(ISBLANK(T262),"",AV262/Macroindicadores!E$2)</f>
        <v/>
      </c>
      <c r="BK262" s="39">
        <f>IF(ISBLANK(U262),"",AW262/Macroindicadores!F$2)</f>
        <v>0.20408163265306123</v>
      </c>
      <c r="BL262" s="39" t="str">
        <f>IF(ISBLANK(V262),"",AX262/Macroindicadores!G$2)</f>
        <v/>
      </c>
      <c r="BM262" s="39">
        <f>IF(ISBLANK(W262),"",AY262/Macroindicadores!H$2)</f>
        <v>0.20408163265306123</v>
      </c>
      <c r="BN262" s="39" t="str">
        <f>IF(ISBLANK(X262),"",AZ262/Macroindicadores!I$2)</f>
        <v/>
      </c>
      <c r="BO262" s="39">
        <f>IF(ISBLANK(Y262),"",BA262/Macroindicadores!J$2)</f>
        <v>0.20408163265306123</v>
      </c>
      <c r="BP262" s="39" t="str">
        <f>IF(ISBLANK(Z262),"",BB262/Macroindicadores!K$2)</f>
        <v/>
      </c>
      <c r="BQ262" s="39">
        <f>IF(ISBLANK(AA262),"",BC262/Macroindicadores!L$2)</f>
        <v>0.20408163265306123</v>
      </c>
      <c r="BR262" s="39" t="str">
        <f>IF(ISBLANK(AB262),"",BD262/Macroindicadores!M$2)</f>
        <v/>
      </c>
      <c r="BS262" s="40">
        <f t="shared" si="107"/>
        <v>1.2244897959183674</v>
      </c>
      <c r="BT262" s="25" t="str">
        <f>IF(ISBLANK($L262),"",_xlfn.XLOOKUP($L262,'CENTRO CUSTO'!$A:$A,'CENTRO CUSTO'!$E:$E,FALSE,0))</f>
        <v>G&amp;A PL</v>
      </c>
    </row>
    <row r="263" spans="1:72">
      <c r="A263" s="9" t="str">
        <f t="shared" si="80"/>
        <v>Budget</v>
      </c>
      <c r="B263" s="9">
        <f t="shared" si="77"/>
        <v>2026</v>
      </c>
      <c r="C263" s="18" t="str">
        <f>IF(ISBLANK($L263),"",_xlfn.XLOOKUP($L263,'CENTRO CUSTO'!$A:$A,'CENTRO CUSTO'!F:F,FALSE,0))</f>
        <v>Cone Sul</v>
      </c>
      <c r="D263" s="111" t="str">
        <f>IF(ISBLANK($L263),"",_xlfn.XLOOKUP($L263,'CENTRO CUSTO'!$A:$A,'CENTRO CUSTO'!G:G,FALSE,0))</f>
        <v>Plataforma</v>
      </c>
      <c r="E263" s="18" t="str">
        <f>IF(ISBLANK($L263),"",_xlfn.XLOOKUP($L263,'CENTRO CUSTO'!$A:$A,'CENTRO CUSTO'!H:H,FALSE,0))</f>
        <v>G&amp;A</v>
      </c>
      <c r="F263" s="10" t="s">
        <v>252</v>
      </c>
      <c r="G263" s="10" t="s">
        <v>233</v>
      </c>
      <c r="H263" s="10" t="s">
        <v>253</v>
      </c>
      <c r="I263" s="11" t="s">
        <v>77</v>
      </c>
      <c r="J263" s="11" t="s">
        <v>78</v>
      </c>
      <c r="K263" s="11" t="s">
        <v>94</v>
      </c>
      <c r="L263" s="11" t="s">
        <v>54</v>
      </c>
      <c r="M263" s="18" t="str">
        <f>IF(ISBLANK($L263),"",_xlfn.XLOOKUP($L263,'CENTRO CUSTO'!$A:$A,'CENTRO CUSTO'!D:D,FALSE,0))</f>
        <v>Alexandre Ayabe</v>
      </c>
      <c r="N263" s="11" t="s">
        <v>245</v>
      </c>
      <c r="O263" s="12"/>
      <c r="P263" s="11" t="s">
        <v>81</v>
      </c>
      <c r="Q263" s="41"/>
      <c r="R263" s="41">
        <f>2500+500*2</f>
        <v>3500</v>
      </c>
      <c r="S263" s="41"/>
      <c r="T263" s="41"/>
      <c r="U263" s="41">
        <f>2500+500*2</f>
        <v>3500</v>
      </c>
      <c r="V263" s="41"/>
      <c r="W263" s="41"/>
      <c r="X263" s="41">
        <f>2500+500*2</f>
        <v>3500</v>
      </c>
      <c r="Y263" s="41"/>
      <c r="Z263" s="41"/>
      <c r="AA263" s="41">
        <f>2500+500*2</f>
        <v>3500</v>
      </c>
      <c r="AB263" s="41"/>
      <c r="AC263" s="116">
        <f t="shared" si="104"/>
        <v>14000</v>
      </c>
      <c r="AE263" s="39" t="str">
        <f>IF(ISBLANK(Q263),"",IF($P263="BRL",Q263,Q263*Macroindicadores!B$2)/1000)</f>
        <v/>
      </c>
      <c r="AF263" s="39">
        <f>IF(ISBLANK(R263),"",IF($P263="BRL",R263,R263*Macroindicadores!C$2)/1000)</f>
        <v>3.5</v>
      </c>
      <c r="AG263" s="39" t="str">
        <f>IF(ISBLANK(S263),"",IF($P263="BRL",S263,S263*Macroindicadores!D$2)/1000)</f>
        <v/>
      </c>
      <c r="AH263" s="39" t="str">
        <f>IF(ISBLANK(T263),"",IF($P263="BRL",T263,T263*Macroindicadores!E$2)/1000)</f>
        <v/>
      </c>
      <c r="AI263" s="39">
        <f>IF(ISBLANK(U263),"",IF($P263="BRL",U263,U263*Macroindicadores!F$2)/1000)</f>
        <v>3.5</v>
      </c>
      <c r="AJ263" s="39" t="str">
        <f>IF(ISBLANK(V263),"",IF($P263="BRL",V263,V263*Macroindicadores!G$2)/1000)</f>
        <v/>
      </c>
      <c r="AK263" s="39" t="str">
        <f>IF(ISBLANK(W263),"",IF($P263="BRL",W263,W263*Macroindicadores!H$2)/1000)</f>
        <v/>
      </c>
      <c r="AL263" s="39">
        <f>IF(ISBLANK(X263),"",IF($P263="BRL",X263,X263*Macroindicadores!I$2)/1000)</f>
        <v>3.5</v>
      </c>
      <c r="AM263" s="39" t="str">
        <f>IF(ISBLANK(Y263),"",IF($P263="BRL",Y263,Y263*Macroindicadores!J$2)/1000)</f>
        <v/>
      </c>
      <c r="AN263" s="39" t="str">
        <f>IF(ISBLANK(Z263),"",IF($P263="BRL",Z263,Z263*Macroindicadores!K$2)/1000)</f>
        <v/>
      </c>
      <c r="AO263" s="39">
        <f>IF(ISBLANK(AA263),"",IF($P263="BRL",AA263,AA263*Macroindicadores!L$2)/1000)</f>
        <v>3.5</v>
      </c>
      <c r="AP263" s="39" t="str">
        <f>IF(ISBLANK(AB263),"",IF($P263="BRL",AB263,AB263*Macroindicadores!M$2)/1000)</f>
        <v/>
      </c>
      <c r="AQ263" s="40">
        <f t="shared" si="105"/>
        <v>14</v>
      </c>
      <c r="AS263" s="39" t="str">
        <f>IF(ISBLANK(Q263),"",IF(ISBLANK($O263),AE263,IF($J263="ANUAL",AE263*(1+Macroindicadores!B$7),IF(AND($I263="NOVO",MONTH($O263)=MONTH(AS$4)),AE263*(1+Macroindicadores!B$7),IF(AND($J263="PONTUAL",MONTH($O263)=MONTH(AS$4)),AE263*(1+Macroindicadores!B$7),IF(AND($J263="PONTUAL",MONTH($O263)&lt;MONTH(AS$4)),MIN(AR263:$AS263),IF(AND($I263="NOVO",MONTH($O263)&gt;MONTH(AS$4)),AE263,IF(MONTH($O263)&gt;MONTH(AS$4),AE263,IF(MONTH($O263)=MONTH(AS$4),AE263*(1+Macroindicadores!B$7),AR263)))))))))</f>
        <v/>
      </c>
      <c r="AT263" s="39">
        <f>IF(ISBLANK(R263),"",IF(ISBLANK($O263),AF263,IF($J263="ANUAL",AF263*(1+Macroindicadores!C$7),IF(AND($I263="NOVO",MONTH($O263)=MONTH(AT$4)),AF263*(1+Macroindicadores!C$7),IF(AND($J263="PONTUAL",MONTH($O263)=MONTH(AT$4)),AF263*(1+Macroindicadores!C$7),IF(AND($J263="PONTUAL",MONTH($O263)&lt;MONTH(AT$4)),MIN($AS263:AS263),IF(AND($I263="NOVO",MONTH($O263)&gt;MONTH(AT$4)),AF263,IF(MONTH($O263)&gt;MONTH(AT$4),AF263,IF(MONTH($O263)=MONTH(AT$4),AF263*(1+Macroindicadores!C$7),AS263)))))))))</f>
        <v>3.5</v>
      </c>
      <c r="AU263" s="39" t="str">
        <f>IF(ISBLANK(S263),"",IF(ISBLANK($O263),AG263,IF($J263="ANUAL",AG263*(1+Macroindicadores!D$7),IF(AND($I263="NOVO",MONTH($O263)=MONTH(AU$4)),AG263*(1+Macroindicadores!D$7),IF(AND($J263="PONTUAL",MONTH($O263)=MONTH(AU$4)),AG263*(1+Macroindicadores!D$7),IF(AND($J263="PONTUAL",MONTH($O263)&lt;MONTH(AU$4)),MIN($AS263:AT263),IF(AND($I263="NOVO",MONTH($O263)&gt;MONTH(AU$4)),AG263,IF(MONTH($O263)&gt;MONTH(AU$4),AG263,IF(MONTH($O263)=MONTH(AU$4),AG263*(1+Macroindicadores!D$7),AT263)))))))))</f>
        <v/>
      </c>
      <c r="AV263" s="39" t="str">
        <f>IF(ISBLANK(T263),"",IF(ISBLANK($O263),AH263,IF($J263="ANUAL",AH263*(1+Macroindicadores!E$7),IF(AND($I263="NOVO",MONTH($O263)=MONTH(AV$4)),AH263*(1+Macroindicadores!E$7),IF(AND($J263="PONTUAL",MONTH($O263)=MONTH(AV$4)),AH263*(1+Macroindicadores!E$7),IF(AND($J263="PONTUAL",MONTH($O263)&lt;MONTH(AV$4)),MIN($AS263:AU263),IF(AND($I263="NOVO",MONTH($O263)&gt;MONTH(AV$4)),AH263,IF(MONTH($O263)&gt;MONTH(AV$4),AH263,IF(MONTH($O263)=MONTH(AV$4),AH263*(1+Macroindicadores!E$7),AU263)))))))))</f>
        <v/>
      </c>
      <c r="AW263" s="39">
        <f>IF(ISBLANK(U263),"",IF(ISBLANK($O263),AI263,IF($J263="ANUAL",AI263*(1+Macroindicadores!F$7),IF(AND($I263="NOVO",MONTH($O263)=MONTH(AW$4)),AI263*(1+Macroindicadores!F$7),IF(AND($J263="PONTUAL",MONTH($O263)=MONTH(AW$4)),AI263*(1+Macroindicadores!F$7),IF(AND($J263="PONTUAL",MONTH($O263)&lt;MONTH(AW$4)),MIN($AS263:AV263),IF(AND($I263="NOVO",MONTH($O263)&gt;MONTH(AW$4)),AI263,IF(MONTH($O263)&gt;MONTH(AW$4),AI263,IF(MONTH($O263)=MONTH(AW$4),AI263*(1+Macroindicadores!F$7),AV263)))))))))</f>
        <v>3.5</v>
      </c>
      <c r="AX263" s="39" t="str">
        <f>IF(ISBLANK(V263),"",IF(ISBLANK($O263),AJ263,IF($J263="ANUAL",AJ263*(1+Macroindicadores!G$7),IF(AND($I263="NOVO",MONTH($O263)=MONTH(AX$4)),AJ263*(1+Macroindicadores!G$7),IF(AND($J263="PONTUAL",MONTH($O263)=MONTH(AX$4)),AJ263*(1+Macroindicadores!G$7),IF(AND($J263="PONTUAL",MONTH($O263)&lt;MONTH(AX$4)),MIN($AS263:AW263),IF(AND($I263="NOVO",MONTH($O263)&gt;MONTH(AX$4)),AJ263,IF(MONTH($O263)&gt;MONTH(AX$4),AJ263,IF(MONTH($O263)=MONTH(AX$4),AJ263*(1+Macroindicadores!G$7),AW263)))))))))</f>
        <v/>
      </c>
      <c r="AY263" s="39" t="str">
        <f>IF(ISBLANK(W263),"",IF(ISBLANK($O263),AK263,IF($J263="ANUAL",AK263*(1+Macroindicadores!H$7),IF(AND($I263="NOVO",MONTH($O263)=MONTH(AY$4)),AK263*(1+Macroindicadores!H$7),IF(AND($J263="PONTUAL",MONTH($O263)=MONTH(AY$4)),AK263*(1+Macroindicadores!H$7),IF(AND($J263="PONTUAL",MONTH($O263)&lt;MONTH(AY$4)),MIN($AS263:AX263),IF(AND($I263="NOVO",MONTH($O263)&gt;MONTH(AY$4)),AK263,IF(MONTH($O263)&gt;MONTH(AY$4),AK263,IF(MONTH($O263)=MONTH(AY$4),AK263*(1+Macroindicadores!H$7),AX263)))))))))</f>
        <v/>
      </c>
      <c r="AZ263" s="39">
        <f>IF(ISBLANK(X263),"",IF(ISBLANK($O263),AL263,IF($J263="ANUAL",AL263*(1+Macroindicadores!I$7),IF(AND($I263="NOVO",MONTH($O263)=MONTH(AZ$4)),AL263*(1+Macroindicadores!I$7),IF(AND($J263="PONTUAL",MONTH($O263)=MONTH(AZ$4)),AL263*(1+Macroindicadores!I$7),IF(AND($J263="PONTUAL",MONTH($O263)&lt;MONTH(AZ$4)),MIN($AS263:AY263),IF(AND($I263="NOVO",MONTH($O263)&gt;MONTH(AZ$4)),AL263,IF(MONTH($O263)&gt;MONTH(AZ$4),AL263,IF(MONTH($O263)=MONTH(AZ$4),AL263*(1+Macroindicadores!I$7),AY263)))))))))</f>
        <v>3.5</v>
      </c>
      <c r="BA263" s="39" t="str">
        <f>IF(ISBLANK(Y263),"",IF(ISBLANK($O263),AM263,IF($J263="ANUAL",AM263*(1+Macroindicadores!J$7),IF(AND($I263="NOVO",MONTH($O263)=MONTH(BA$4)),AM263*(1+Macroindicadores!J$7),IF(AND($J263="PONTUAL",MONTH($O263)=MONTH(BA$4)),AM263*(1+Macroindicadores!J$7),IF(AND($J263="PONTUAL",MONTH($O263)&lt;MONTH(BA$4)),MIN($AS263:AZ263),IF(AND($I263="NOVO",MONTH($O263)&gt;MONTH(BA$4)),AM263,IF(MONTH($O263)&gt;MONTH(BA$4),AM263,IF(MONTH($O263)=MONTH(BA$4),AM263*(1+Macroindicadores!J$7),AZ263)))))))))</f>
        <v/>
      </c>
      <c r="BB263" s="39" t="str">
        <f>IF(ISBLANK(Z263),"",IF(ISBLANK($O263),AN263,IF($J263="ANUAL",AN263*(1+Macroindicadores!K$7),IF(AND($I263="NOVO",MONTH($O263)=MONTH(BB$4)),AN263*(1+Macroindicadores!K$7),IF(AND($J263="PONTUAL",MONTH($O263)=MONTH(BB$4)),AN263*(1+Macroindicadores!K$7),IF(AND($J263="PONTUAL",MONTH($O263)&lt;MONTH(BB$4)),MIN($AS263:BA263),IF(AND($I263="NOVO",MONTH($O263)&gt;MONTH(BB$4)),AN263,IF(MONTH($O263)&gt;MONTH(BB$4),AN263,IF(MONTH($O263)=MONTH(BB$4),AN263*(1+Macroindicadores!K$7),BA263)))))))))</f>
        <v/>
      </c>
      <c r="BC263" s="39">
        <f>IF(ISBLANK(AA263),"",IF(ISBLANK($O263),AO263,IF($J263="ANUAL",AO263*(1+Macroindicadores!L$7),IF(AND($I263="NOVO",MONTH($O263)=MONTH(BC$4)),AO263*(1+Macroindicadores!L$7),IF(AND($J263="PONTUAL",MONTH($O263)=MONTH(BC$4)),AO263*(1+Macroindicadores!L$7),IF(AND($J263="PONTUAL",MONTH($O263)&lt;MONTH(BC$4)),MIN($AS263:BB263),IF(AND($I263="NOVO",MONTH($O263)&gt;MONTH(BC$4)),AO263,IF(MONTH($O263)&gt;MONTH(BC$4),AO263,IF(MONTH($O263)=MONTH(BC$4),AO263*(1+Macroindicadores!L$7),BB263)))))))))</f>
        <v>3.5</v>
      </c>
      <c r="BD263" s="39" t="str">
        <f>IF(ISBLANK(AB263),"",IF(ISBLANK($O263),AP263,IF($J263="ANUAL",AP263*(1+Macroindicadores!M$7),IF(AND($I263="NOVO",MONTH($O263)=MONTH(BD$4)),AP263*(1+Macroindicadores!M$7),IF(AND($J263="PONTUAL",MONTH($O263)=MONTH(BD$4)),AP263*(1+Macroindicadores!M$7),IF(AND($J263="PONTUAL",MONTH($O263)&lt;MONTH(BD$4)),MIN($AS263:BC263),IF(AND($I263="NOVO",MONTH($O263)&gt;MONTH(BD$4)),AP263,IF(MONTH($O263)&gt;MONTH(BD$4),AP263,IF(MONTH($O263)=MONTH(BD$4),AP263*(1+Macroindicadores!M$7),BC263)))))))))</f>
        <v/>
      </c>
      <c r="BE263" s="40">
        <f t="shared" si="106"/>
        <v>14</v>
      </c>
      <c r="BG263" s="39" t="str">
        <f>IF(ISBLANK(Q263),"",AS263/Macroindicadores!B$2)</f>
        <v/>
      </c>
      <c r="BH263" s="39">
        <f>IF(ISBLANK(R263),"",AT263/Macroindicadores!C$2)</f>
        <v>0.59523809523809523</v>
      </c>
      <c r="BI263" s="39" t="str">
        <f>IF(ISBLANK(S263),"",AU263/Macroindicadores!D$2)</f>
        <v/>
      </c>
      <c r="BJ263" s="39" t="str">
        <f>IF(ISBLANK(T263),"",AV263/Macroindicadores!E$2)</f>
        <v/>
      </c>
      <c r="BK263" s="39">
        <f>IF(ISBLANK(U263),"",AW263/Macroindicadores!F$2)</f>
        <v>0.59523809523809523</v>
      </c>
      <c r="BL263" s="39" t="str">
        <f>IF(ISBLANK(V263),"",AX263/Macroindicadores!G$2)</f>
        <v/>
      </c>
      <c r="BM263" s="39" t="str">
        <f>IF(ISBLANK(W263),"",AY263/Macroindicadores!H$2)</f>
        <v/>
      </c>
      <c r="BN263" s="39">
        <f>IF(ISBLANK(X263),"",AZ263/Macroindicadores!I$2)</f>
        <v>0.59523809523809523</v>
      </c>
      <c r="BO263" s="39" t="str">
        <f>IF(ISBLANK(Y263),"",BA263/Macroindicadores!J$2)</f>
        <v/>
      </c>
      <c r="BP263" s="39" t="str">
        <f>IF(ISBLANK(Z263),"",BB263/Macroindicadores!K$2)</f>
        <v/>
      </c>
      <c r="BQ263" s="39">
        <f>IF(ISBLANK(AA263),"",BC263/Macroindicadores!L$2)</f>
        <v>0.59523809523809523</v>
      </c>
      <c r="BR263" s="39" t="str">
        <f>IF(ISBLANK(AB263),"",BD263/Macroindicadores!M$2)</f>
        <v/>
      </c>
      <c r="BS263" s="40">
        <f t="shared" si="107"/>
        <v>2.3809523809523809</v>
      </c>
      <c r="BT263" s="25" t="str">
        <f>IF(ISBLANK($L263),"",_xlfn.XLOOKUP($L263,'CENTRO CUSTO'!$A:$A,'CENTRO CUSTO'!$E:$E,FALSE,0))</f>
        <v>G&amp;A PL</v>
      </c>
    </row>
    <row r="264" spans="1:72">
      <c r="A264" s="9" t="str">
        <f t="shared" si="80"/>
        <v>Budget</v>
      </c>
      <c r="B264" s="9">
        <f t="shared" si="77"/>
        <v>2026</v>
      </c>
      <c r="C264" s="18" t="str">
        <f>IF(ISBLANK($L264),"",_xlfn.XLOOKUP($L264,'CENTRO CUSTO'!$A:$A,'CENTRO CUSTO'!F:F,FALSE,0))</f>
        <v>Cone Sul</v>
      </c>
      <c r="D264" s="111" t="str">
        <f>IF(ISBLANK($L264),"",_xlfn.XLOOKUP($L264,'CENTRO CUSTO'!$A:$A,'CENTRO CUSTO'!G:G,FALSE,0))</f>
        <v>Plataforma</v>
      </c>
      <c r="E264" s="18" t="str">
        <f>IF(ISBLANK($L264),"",_xlfn.XLOOKUP($L264,'CENTRO CUSTO'!$A:$A,'CENTRO CUSTO'!H:H,FALSE,0))</f>
        <v>G&amp;A</v>
      </c>
      <c r="F264" s="10" t="s">
        <v>248</v>
      </c>
      <c r="G264" s="10" t="s">
        <v>233</v>
      </c>
      <c r="H264" s="10" t="s">
        <v>254</v>
      </c>
      <c r="I264" s="11" t="s">
        <v>77</v>
      </c>
      <c r="J264" s="11" t="s">
        <v>78</v>
      </c>
      <c r="K264" s="11" t="s">
        <v>94</v>
      </c>
      <c r="L264" s="11" t="s">
        <v>54</v>
      </c>
      <c r="M264" s="18" t="str">
        <f>IF(ISBLANK($L264),"",_xlfn.XLOOKUP($L264,'CENTRO CUSTO'!$A:$A,'CENTRO CUSTO'!D:D,FALSE,0))</f>
        <v>Alexandre Ayabe</v>
      </c>
      <c r="N264" s="11" t="s">
        <v>245</v>
      </c>
      <c r="O264" s="12"/>
      <c r="P264" s="11" t="s">
        <v>88</v>
      </c>
      <c r="Q264" s="41"/>
      <c r="R264" s="41">
        <f>50*3</f>
        <v>150</v>
      </c>
      <c r="S264" s="41"/>
      <c r="T264" s="41"/>
      <c r="U264" s="41">
        <f>50*3</f>
        <v>150</v>
      </c>
      <c r="V264" s="41"/>
      <c r="W264" s="41"/>
      <c r="X264" s="41">
        <f>50*3</f>
        <v>150</v>
      </c>
      <c r="Y264" s="41"/>
      <c r="Z264" s="41"/>
      <c r="AA264" s="41">
        <f>50*3</f>
        <v>150</v>
      </c>
      <c r="AB264" s="41"/>
      <c r="AC264" s="116">
        <f t="shared" si="104"/>
        <v>600</v>
      </c>
      <c r="AE264" s="39" t="str">
        <f>IF(ISBLANK(Q264),"",IF($P264="BRL",Q264,Q264*Macroindicadores!B$2)/1000)</f>
        <v/>
      </c>
      <c r="AF264" s="39">
        <f>IF(ISBLANK(R264),"",IF($P264="BRL",R264,R264*Macroindicadores!C$2)/1000)</f>
        <v>0.88200000000000001</v>
      </c>
      <c r="AG264" s="39" t="str">
        <f>IF(ISBLANK(S264),"",IF($P264="BRL",S264,S264*Macroindicadores!D$2)/1000)</f>
        <v/>
      </c>
      <c r="AH264" s="39" t="str">
        <f>IF(ISBLANK(T264),"",IF($P264="BRL",T264,T264*Macroindicadores!E$2)/1000)</f>
        <v/>
      </c>
      <c r="AI264" s="39">
        <f>IF(ISBLANK(U264),"",IF($P264="BRL",U264,U264*Macroindicadores!F$2)/1000)</f>
        <v>0.88200000000000001</v>
      </c>
      <c r="AJ264" s="39" t="str">
        <f>IF(ISBLANK(V264),"",IF($P264="BRL",V264,V264*Macroindicadores!G$2)/1000)</f>
        <v/>
      </c>
      <c r="AK264" s="39" t="str">
        <f>IF(ISBLANK(W264),"",IF($P264="BRL",W264,W264*Macroindicadores!H$2)/1000)</f>
        <v/>
      </c>
      <c r="AL264" s="39">
        <f>IF(ISBLANK(X264),"",IF($P264="BRL",X264,X264*Macroindicadores!I$2)/1000)</f>
        <v>0.88200000000000001</v>
      </c>
      <c r="AM264" s="39" t="str">
        <f>IF(ISBLANK(Y264),"",IF($P264="BRL",Y264,Y264*Macroindicadores!J$2)/1000)</f>
        <v/>
      </c>
      <c r="AN264" s="39" t="str">
        <f>IF(ISBLANK(Z264),"",IF($P264="BRL",Z264,Z264*Macroindicadores!K$2)/1000)</f>
        <v/>
      </c>
      <c r="AO264" s="39">
        <f>IF(ISBLANK(AA264),"",IF($P264="BRL",AA264,AA264*Macroindicadores!L$2)/1000)</f>
        <v>0.88200000000000001</v>
      </c>
      <c r="AP264" s="39" t="str">
        <f>IF(ISBLANK(AB264),"",IF($P264="BRL",AB264,AB264*Macroindicadores!M$2)/1000)</f>
        <v/>
      </c>
      <c r="AQ264" s="40">
        <f t="shared" si="105"/>
        <v>3.528</v>
      </c>
      <c r="AS264" s="39" t="str">
        <f>IF(ISBLANK(Q264),"",IF(ISBLANK($O264),AE264,IF($J264="ANUAL",AE264*(1+Macroindicadores!B$7),IF(AND($I264="NOVO",MONTH($O264)=MONTH(AS$4)),AE264*(1+Macroindicadores!B$7),IF(AND($J264="PONTUAL",MONTH($O264)=MONTH(AS$4)),AE264*(1+Macroindicadores!B$7),IF(AND($J264="PONTUAL",MONTH($O264)&lt;MONTH(AS$4)),MIN(AR264:$AS264),IF(AND($I264="NOVO",MONTH($O264)&gt;MONTH(AS$4)),AE264,IF(MONTH($O264)&gt;MONTH(AS$4),AE264,IF(MONTH($O264)=MONTH(AS$4),AE264*(1+Macroindicadores!B$7),AR264)))))))))</f>
        <v/>
      </c>
      <c r="AT264" s="39">
        <f>IF(ISBLANK(R264),"",IF(ISBLANK($O264),AF264,IF($J264="ANUAL",AF264*(1+Macroindicadores!C$7),IF(AND($I264="NOVO",MONTH($O264)=MONTH(AT$4)),AF264*(1+Macroindicadores!C$7),IF(AND($J264="PONTUAL",MONTH($O264)=MONTH(AT$4)),AF264*(1+Macroindicadores!C$7),IF(AND($J264="PONTUAL",MONTH($O264)&lt;MONTH(AT$4)),MIN($AS264:AS264),IF(AND($I264="NOVO",MONTH($O264)&gt;MONTH(AT$4)),AF264,IF(MONTH($O264)&gt;MONTH(AT$4),AF264,IF(MONTH($O264)=MONTH(AT$4),AF264*(1+Macroindicadores!C$7),AS264)))))))))</f>
        <v>0.88200000000000001</v>
      </c>
      <c r="AU264" s="39" t="str">
        <f>IF(ISBLANK(S264),"",IF(ISBLANK($O264),AG264,IF($J264="ANUAL",AG264*(1+Macroindicadores!D$7),IF(AND($I264="NOVO",MONTH($O264)=MONTH(AU$4)),AG264*(1+Macroindicadores!D$7),IF(AND($J264="PONTUAL",MONTH($O264)=MONTH(AU$4)),AG264*(1+Macroindicadores!D$7),IF(AND($J264="PONTUAL",MONTH($O264)&lt;MONTH(AU$4)),MIN($AS264:AT264),IF(AND($I264="NOVO",MONTH($O264)&gt;MONTH(AU$4)),AG264,IF(MONTH($O264)&gt;MONTH(AU$4),AG264,IF(MONTH($O264)=MONTH(AU$4),AG264*(1+Macroindicadores!D$7),AT264)))))))))</f>
        <v/>
      </c>
      <c r="AV264" s="39" t="str">
        <f>IF(ISBLANK(T264),"",IF(ISBLANK($O264),AH264,IF($J264="ANUAL",AH264*(1+Macroindicadores!E$7),IF(AND($I264="NOVO",MONTH($O264)=MONTH(AV$4)),AH264*(1+Macroindicadores!E$7),IF(AND($J264="PONTUAL",MONTH($O264)=MONTH(AV$4)),AH264*(1+Macroindicadores!E$7),IF(AND($J264="PONTUAL",MONTH($O264)&lt;MONTH(AV$4)),MIN($AS264:AU264),IF(AND($I264="NOVO",MONTH($O264)&gt;MONTH(AV$4)),AH264,IF(MONTH($O264)&gt;MONTH(AV$4),AH264,IF(MONTH($O264)=MONTH(AV$4),AH264*(1+Macroindicadores!E$7),AU264)))))))))</f>
        <v/>
      </c>
      <c r="AW264" s="39">
        <f>IF(ISBLANK(U264),"",IF(ISBLANK($O264),AI264,IF($J264="ANUAL",AI264*(1+Macroindicadores!F$7),IF(AND($I264="NOVO",MONTH($O264)=MONTH(AW$4)),AI264*(1+Macroindicadores!F$7),IF(AND($J264="PONTUAL",MONTH($O264)=MONTH(AW$4)),AI264*(1+Macroindicadores!F$7),IF(AND($J264="PONTUAL",MONTH($O264)&lt;MONTH(AW$4)),MIN($AS264:AV264),IF(AND($I264="NOVO",MONTH($O264)&gt;MONTH(AW$4)),AI264,IF(MONTH($O264)&gt;MONTH(AW$4),AI264,IF(MONTH($O264)=MONTH(AW$4),AI264*(1+Macroindicadores!F$7),AV264)))))))))</f>
        <v>0.88200000000000001</v>
      </c>
      <c r="AX264" s="39" t="str">
        <f>IF(ISBLANK(V264),"",IF(ISBLANK($O264),AJ264,IF($J264="ANUAL",AJ264*(1+Macroindicadores!G$7),IF(AND($I264="NOVO",MONTH($O264)=MONTH(AX$4)),AJ264*(1+Macroindicadores!G$7),IF(AND($J264="PONTUAL",MONTH($O264)=MONTH(AX$4)),AJ264*(1+Macroindicadores!G$7),IF(AND($J264="PONTUAL",MONTH($O264)&lt;MONTH(AX$4)),MIN($AS264:AW264),IF(AND($I264="NOVO",MONTH($O264)&gt;MONTH(AX$4)),AJ264,IF(MONTH($O264)&gt;MONTH(AX$4),AJ264,IF(MONTH($O264)=MONTH(AX$4),AJ264*(1+Macroindicadores!G$7),AW264)))))))))</f>
        <v/>
      </c>
      <c r="AY264" s="39" t="str">
        <f>IF(ISBLANK(W264),"",IF(ISBLANK($O264),AK264,IF($J264="ANUAL",AK264*(1+Macroindicadores!H$7),IF(AND($I264="NOVO",MONTH($O264)=MONTH(AY$4)),AK264*(1+Macroindicadores!H$7),IF(AND($J264="PONTUAL",MONTH($O264)=MONTH(AY$4)),AK264*(1+Macroindicadores!H$7),IF(AND($J264="PONTUAL",MONTH($O264)&lt;MONTH(AY$4)),MIN($AS264:AX264),IF(AND($I264="NOVO",MONTH($O264)&gt;MONTH(AY$4)),AK264,IF(MONTH($O264)&gt;MONTH(AY$4),AK264,IF(MONTH($O264)=MONTH(AY$4),AK264*(1+Macroindicadores!H$7),AX264)))))))))</f>
        <v/>
      </c>
      <c r="AZ264" s="39">
        <f>IF(ISBLANK(X264),"",IF(ISBLANK($O264),AL264,IF($J264="ANUAL",AL264*(1+Macroindicadores!I$7),IF(AND($I264="NOVO",MONTH($O264)=MONTH(AZ$4)),AL264*(1+Macroindicadores!I$7),IF(AND($J264="PONTUAL",MONTH($O264)=MONTH(AZ$4)),AL264*(1+Macroindicadores!I$7),IF(AND($J264="PONTUAL",MONTH($O264)&lt;MONTH(AZ$4)),MIN($AS264:AY264),IF(AND($I264="NOVO",MONTH($O264)&gt;MONTH(AZ$4)),AL264,IF(MONTH($O264)&gt;MONTH(AZ$4),AL264,IF(MONTH($O264)=MONTH(AZ$4),AL264*(1+Macroindicadores!I$7),AY264)))))))))</f>
        <v>0.88200000000000001</v>
      </c>
      <c r="BA264" s="39" t="str">
        <f>IF(ISBLANK(Y264),"",IF(ISBLANK($O264),AM264,IF($J264="ANUAL",AM264*(1+Macroindicadores!J$7),IF(AND($I264="NOVO",MONTH($O264)=MONTH(BA$4)),AM264*(1+Macroindicadores!J$7),IF(AND($J264="PONTUAL",MONTH($O264)=MONTH(BA$4)),AM264*(1+Macroindicadores!J$7),IF(AND($J264="PONTUAL",MONTH($O264)&lt;MONTH(BA$4)),MIN($AS264:AZ264),IF(AND($I264="NOVO",MONTH($O264)&gt;MONTH(BA$4)),AM264,IF(MONTH($O264)&gt;MONTH(BA$4),AM264,IF(MONTH($O264)=MONTH(BA$4),AM264*(1+Macroindicadores!J$7),AZ264)))))))))</f>
        <v/>
      </c>
      <c r="BB264" s="39" t="str">
        <f>IF(ISBLANK(Z264),"",IF(ISBLANK($O264),AN264,IF($J264="ANUAL",AN264*(1+Macroindicadores!K$7),IF(AND($I264="NOVO",MONTH($O264)=MONTH(BB$4)),AN264*(1+Macroindicadores!K$7),IF(AND($J264="PONTUAL",MONTH($O264)=MONTH(BB$4)),AN264*(1+Macroindicadores!K$7),IF(AND($J264="PONTUAL",MONTH($O264)&lt;MONTH(BB$4)),MIN($AS264:BA264),IF(AND($I264="NOVO",MONTH($O264)&gt;MONTH(BB$4)),AN264,IF(MONTH($O264)&gt;MONTH(BB$4),AN264,IF(MONTH($O264)=MONTH(BB$4),AN264*(1+Macroindicadores!K$7),BA264)))))))))</f>
        <v/>
      </c>
      <c r="BC264" s="39">
        <f>IF(ISBLANK(AA264),"",IF(ISBLANK($O264),AO264,IF($J264="ANUAL",AO264*(1+Macroindicadores!L$7),IF(AND($I264="NOVO",MONTH($O264)=MONTH(BC$4)),AO264*(1+Macroindicadores!L$7),IF(AND($J264="PONTUAL",MONTH($O264)=MONTH(BC$4)),AO264*(1+Macroindicadores!L$7),IF(AND($J264="PONTUAL",MONTH($O264)&lt;MONTH(BC$4)),MIN($AS264:BB264),IF(AND($I264="NOVO",MONTH($O264)&gt;MONTH(BC$4)),AO264,IF(MONTH($O264)&gt;MONTH(BC$4),AO264,IF(MONTH($O264)=MONTH(BC$4),AO264*(1+Macroindicadores!L$7),BB264)))))))))</f>
        <v>0.88200000000000001</v>
      </c>
      <c r="BD264" s="39" t="str">
        <f>IF(ISBLANK(AB264),"",IF(ISBLANK($O264),AP264,IF($J264="ANUAL",AP264*(1+Macroindicadores!M$7),IF(AND($I264="NOVO",MONTH($O264)=MONTH(BD$4)),AP264*(1+Macroindicadores!M$7),IF(AND($J264="PONTUAL",MONTH($O264)=MONTH(BD$4)),AP264*(1+Macroindicadores!M$7),IF(AND($J264="PONTUAL",MONTH($O264)&lt;MONTH(BD$4)),MIN($AS264:BC264),IF(AND($I264="NOVO",MONTH($O264)&gt;MONTH(BD$4)),AP264,IF(MONTH($O264)&gt;MONTH(BD$4),AP264,IF(MONTH($O264)=MONTH(BD$4),AP264*(1+Macroindicadores!M$7),BC264)))))))))</f>
        <v/>
      </c>
      <c r="BE264" s="40">
        <f t="shared" si="106"/>
        <v>3.528</v>
      </c>
      <c r="BG264" s="39" t="str">
        <f>IF(ISBLANK(Q264),"",AS264/Macroindicadores!B$2)</f>
        <v/>
      </c>
      <c r="BH264" s="39">
        <f>IF(ISBLANK(R264),"",AT264/Macroindicadores!C$2)</f>
        <v>0.15</v>
      </c>
      <c r="BI264" s="39" t="str">
        <f>IF(ISBLANK(S264),"",AU264/Macroindicadores!D$2)</f>
        <v/>
      </c>
      <c r="BJ264" s="39" t="str">
        <f>IF(ISBLANK(T264),"",AV264/Macroindicadores!E$2)</f>
        <v/>
      </c>
      <c r="BK264" s="39">
        <f>IF(ISBLANK(U264),"",AW264/Macroindicadores!F$2)</f>
        <v>0.15</v>
      </c>
      <c r="BL264" s="39" t="str">
        <f>IF(ISBLANK(V264),"",AX264/Macroindicadores!G$2)</f>
        <v/>
      </c>
      <c r="BM264" s="39" t="str">
        <f>IF(ISBLANK(W264),"",AY264/Macroindicadores!H$2)</f>
        <v/>
      </c>
      <c r="BN264" s="39">
        <f>IF(ISBLANK(X264),"",AZ264/Macroindicadores!I$2)</f>
        <v>0.15</v>
      </c>
      <c r="BO264" s="39" t="str">
        <f>IF(ISBLANK(Y264),"",BA264/Macroindicadores!J$2)</f>
        <v/>
      </c>
      <c r="BP264" s="39" t="str">
        <f>IF(ISBLANK(Z264),"",BB264/Macroindicadores!K$2)</f>
        <v/>
      </c>
      <c r="BQ264" s="39">
        <f>IF(ISBLANK(AA264),"",BC264/Macroindicadores!L$2)</f>
        <v>0.15</v>
      </c>
      <c r="BR264" s="39" t="str">
        <f>IF(ISBLANK(AB264),"",BD264/Macroindicadores!M$2)</f>
        <v/>
      </c>
      <c r="BS264" s="40">
        <f t="shared" si="107"/>
        <v>0.6</v>
      </c>
      <c r="BT264" s="25" t="str">
        <f>IF(ISBLANK($L264),"",_xlfn.XLOOKUP($L264,'CENTRO CUSTO'!$A:$A,'CENTRO CUSTO'!$E:$E,FALSE,0))</f>
        <v>G&amp;A PL</v>
      </c>
    </row>
    <row r="265" spans="1:72">
      <c r="A265" s="9" t="str">
        <f t="shared" si="80"/>
        <v>Budget</v>
      </c>
      <c r="B265" s="9">
        <f t="shared" si="77"/>
        <v>2026</v>
      </c>
      <c r="C265" s="18" t="str">
        <f>IF(ISBLANK($L265),"",_xlfn.XLOOKUP($L265,'CENTRO CUSTO'!$A:$A,'CENTRO CUSTO'!F:F,FALSE,0))</f>
        <v>Cone Sul</v>
      </c>
      <c r="D265" s="111" t="str">
        <f>IF(ISBLANK($L265),"",_xlfn.XLOOKUP($L265,'CENTRO CUSTO'!$A:$A,'CENTRO CUSTO'!G:G,FALSE,0))</f>
        <v>Plataforma</v>
      </c>
      <c r="E265" s="18" t="str">
        <f>IF(ISBLANK($L265),"",_xlfn.XLOOKUP($L265,'CENTRO CUSTO'!$A:$A,'CENTRO CUSTO'!H:H,FALSE,0))</f>
        <v>G&amp;A</v>
      </c>
      <c r="F265" s="10" t="s">
        <v>252</v>
      </c>
      <c r="G265" s="10" t="s">
        <v>233</v>
      </c>
      <c r="H265" s="10" t="s">
        <v>255</v>
      </c>
      <c r="I265" s="11" t="s">
        <v>77</v>
      </c>
      <c r="J265" s="11" t="s">
        <v>78</v>
      </c>
      <c r="K265" s="11" t="s">
        <v>94</v>
      </c>
      <c r="L265" s="11" t="s">
        <v>54</v>
      </c>
      <c r="M265" s="18" t="str">
        <f>IF(ISBLANK($L265),"",_xlfn.XLOOKUP($L265,'CENTRO CUSTO'!$A:$A,'CENTRO CUSTO'!D:D,FALSE,0))</f>
        <v>Alexandre Ayabe</v>
      </c>
      <c r="N265" s="11" t="s">
        <v>245</v>
      </c>
      <c r="O265" s="12"/>
      <c r="P265" s="11" t="s">
        <v>81</v>
      </c>
      <c r="Q265" s="41"/>
      <c r="R265" s="41">
        <f>2500+500*2</f>
        <v>3500</v>
      </c>
      <c r="S265" s="41"/>
      <c r="T265" s="41"/>
      <c r="U265" s="41">
        <f>2500+500*2</f>
        <v>3500</v>
      </c>
      <c r="V265" s="41"/>
      <c r="W265" s="41"/>
      <c r="X265" s="41">
        <f>2500+500*2</f>
        <v>3500</v>
      </c>
      <c r="Y265" s="41"/>
      <c r="Z265" s="41"/>
      <c r="AA265" s="41">
        <f>2500+500*2</f>
        <v>3500</v>
      </c>
      <c r="AB265" s="41"/>
      <c r="AC265" s="116">
        <f t="shared" si="104"/>
        <v>14000</v>
      </c>
      <c r="AE265" s="39" t="str">
        <f>IF(ISBLANK(Q265),"",IF($P265="BRL",Q265,Q265*Macroindicadores!B$2)/1000)</f>
        <v/>
      </c>
      <c r="AF265" s="39">
        <f>IF(ISBLANK(R265),"",IF($P265="BRL",R265,R265*Macroindicadores!C$2)/1000)</f>
        <v>3.5</v>
      </c>
      <c r="AG265" s="39" t="str">
        <f>IF(ISBLANK(S265),"",IF($P265="BRL",S265,S265*Macroindicadores!D$2)/1000)</f>
        <v/>
      </c>
      <c r="AH265" s="39" t="str">
        <f>IF(ISBLANK(T265),"",IF($P265="BRL",T265,T265*Macroindicadores!E$2)/1000)</f>
        <v/>
      </c>
      <c r="AI265" s="39">
        <f>IF(ISBLANK(U265),"",IF($P265="BRL",U265,U265*Macroindicadores!F$2)/1000)</f>
        <v>3.5</v>
      </c>
      <c r="AJ265" s="39" t="str">
        <f>IF(ISBLANK(V265),"",IF($P265="BRL",V265,V265*Macroindicadores!G$2)/1000)</f>
        <v/>
      </c>
      <c r="AK265" s="39" t="str">
        <f>IF(ISBLANK(W265),"",IF($P265="BRL",W265,W265*Macroindicadores!H$2)/1000)</f>
        <v/>
      </c>
      <c r="AL265" s="39">
        <f>IF(ISBLANK(X265),"",IF($P265="BRL",X265,X265*Macroindicadores!I$2)/1000)</f>
        <v>3.5</v>
      </c>
      <c r="AM265" s="39" t="str">
        <f>IF(ISBLANK(Y265),"",IF($P265="BRL",Y265,Y265*Macroindicadores!J$2)/1000)</f>
        <v/>
      </c>
      <c r="AN265" s="39" t="str">
        <f>IF(ISBLANK(Z265),"",IF($P265="BRL",Z265,Z265*Macroindicadores!K$2)/1000)</f>
        <v/>
      </c>
      <c r="AO265" s="39">
        <f>IF(ISBLANK(AA265),"",IF($P265="BRL",AA265,AA265*Macroindicadores!L$2)/1000)</f>
        <v>3.5</v>
      </c>
      <c r="AP265" s="39" t="str">
        <f>IF(ISBLANK(AB265),"",IF($P265="BRL",AB265,AB265*Macroindicadores!M$2)/1000)</f>
        <v/>
      </c>
      <c r="AQ265" s="40">
        <f t="shared" si="105"/>
        <v>14</v>
      </c>
      <c r="AS265" s="39" t="str">
        <f>IF(ISBLANK(Q265),"",IF(ISBLANK($O265),AE265,IF($J265="ANUAL",AE265*(1+Macroindicadores!B$7),IF(AND($I265="NOVO",MONTH($O265)=MONTH(AS$4)),AE265*(1+Macroindicadores!B$7),IF(AND($J265="PONTUAL",MONTH($O265)=MONTH(AS$4)),AE265*(1+Macroindicadores!B$7),IF(AND($J265="PONTUAL",MONTH($O265)&lt;MONTH(AS$4)),MIN(AR265:$AS265),IF(AND($I265="NOVO",MONTH($O265)&gt;MONTH(AS$4)),AE265,IF(MONTH($O265)&gt;MONTH(AS$4),AE265,IF(MONTH($O265)=MONTH(AS$4),AE265*(1+Macroindicadores!B$7),AR265)))))))))</f>
        <v/>
      </c>
      <c r="AT265" s="39">
        <f>IF(ISBLANK(R265),"",IF(ISBLANK($O265),AF265,IF($J265="ANUAL",AF265*(1+Macroindicadores!C$7),IF(AND($I265="NOVO",MONTH($O265)=MONTH(AT$4)),AF265*(1+Macroindicadores!C$7),IF(AND($J265="PONTUAL",MONTH($O265)=MONTH(AT$4)),AF265*(1+Macroindicadores!C$7),IF(AND($J265="PONTUAL",MONTH($O265)&lt;MONTH(AT$4)),MIN($AS265:AS265),IF(AND($I265="NOVO",MONTH($O265)&gt;MONTH(AT$4)),AF265,IF(MONTH($O265)&gt;MONTH(AT$4),AF265,IF(MONTH($O265)=MONTH(AT$4),AF265*(1+Macroindicadores!C$7),AS265)))))))))</f>
        <v>3.5</v>
      </c>
      <c r="AU265" s="39" t="str">
        <f>IF(ISBLANK(S265),"",IF(ISBLANK($O265),AG265,IF($J265="ANUAL",AG265*(1+Macroindicadores!D$7),IF(AND($I265="NOVO",MONTH($O265)=MONTH(AU$4)),AG265*(1+Macroindicadores!D$7),IF(AND($J265="PONTUAL",MONTH($O265)=MONTH(AU$4)),AG265*(1+Macroindicadores!D$7),IF(AND($J265="PONTUAL",MONTH($O265)&lt;MONTH(AU$4)),MIN($AS265:AT265),IF(AND($I265="NOVO",MONTH($O265)&gt;MONTH(AU$4)),AG265,IF(MONTH($O265)&gt;MONTH(AU$4),AG265,IF(MONTH($O265)=MONTH(AU$4),AG265*(1+Macroindicadores!D$7),AT265)))))))))</f>
        <v/>
      </c>
      <c r="AV265" s="39" t="str">
        <f>IF(ISBLANK(T265),"",IF(ISBLANK($O265),AH265,IF($J265="ANUAL",AH265*(1+Macroindicadores!E$7),IF(AND($I265="NOVO",MONTH($O265)=MONTH(AV$4)),AH265*(1+Macroindicadores!E$7),IF(AND($J265="PONTUAL",MONTH($O265)=MONTH(AV$4)),AH265*(1+Macroindicadores!E$7),IF(AND($J265="PONTUAL",MONTH($O265)&lt;MONTH(AV$4)),MIN($AS265:AU265),IF(AND($I265="NOVO",MONTH($O265)&gt;MONTH(AV$4)),AH265,IF(MONTH($O265)&gt;MONTH(AV$4),AH265,IF(MONTH($O265)=MONTH(AV$4),AH265*(1+Macroindicadores!E$7),AU265)))))))))</f>
        <v/>
      </c>
      <c r="AW265" s="39">
        <f>IF(ISBLANK(U265),"",IF(ISBLANK($O265),AI265,IF($J265="ANUAL",AI265*(1+Macroindicadores!F$7),IF(AND($I265="NOVO",MONTH($O265)=MONTH(AW$4)),AI265*(1+Macroindicadores!F$7),IF(AND($J265="PONTUAL",MONTH($O265)=MONTH(AW$4)),AI265*(1+Macroindicadores!F$7),IF(AND($J265="PONTUAL",MONTH($O265)&lt;MONTH(AW$4)),MIN($AS265:AV265),IF(AND($I265="NOVO",MONTH($O265)&gt;MONTH(AW$4)),AI265,IF(MONTH($O265)&gt;MONTH(AW$4),AI265,IF(MONTH($O265)=MONTH(AW$4),AI265*(1+Macroindicadores!F$7),AV265)))))))))</f>
        <v>3.5</v>
      </c>
      <c r="AX265" s="39" t="str">
        <f>IF(ISBLANK(V265),"",IF(ISBLANK($O265),AJ265,IF($J265="ANUAL",AJ265*(1+Macroindicadores!G$7),IF(AND($I265="NOVO",MONTH($O265)=MONTH(AX$4)),AJ265*(1+Macroindicadores!G$7),IF(AND($J265="PONTUAL",MONTH($O265)=MONTH(AX$4)),AJ265*(1+Macroindicadores!G$7),IF(AND($J265="PONTUAL",MONTH($O265)&lt;MONTH(AX$4)),MIN($AS265:AW265),IF(AND($I265="NOVO",MONTH($O265)&gt;MONTH(AX$4)),AJ265,IF(MONTH($O265)&gt;MONTH(AX$4),AJ265,IF(MONTH($O265)=MONTH(AX$4),AJ265*(1+Macroindicadores!G$7),AW265)))))))))</f>
        <v/>
      </c>
      <c r="AY265" s="39" t="str">
        <f>IF(ISBLANK(W265),"",IF(ISBLANK($O265),AK265,IF($J265="ANUAL",AK265*(1+Macroindicadores!H$7),IF(AND($I265="NOVO",MONTH($O265)=MONTH(AY$4)),AK265*(1+Macroindicadores!H$7),IF(AND($J265="PONTUAL",MONTH($O265)=MONTH(AY$4)),AK265*(1+Macroindicadores!H$7),IF(AND($J265="PONTUAL",MONTH($O265)&lt;MONTH(AY$4)),MIN($AS265:AX265),IF(AND($I265="NOVO",MONTH($O265)&gt;MONTH(AY$4)),AK265,IF(MONTH($O265)&gt;MONTH(AY$4),AK265,IF(MONTH($O265)=MONTH(AY$4),AK265*(1+Macroindicadores!H$7),AX265)))))))))</f>
        <v/>
      </c>
      <c r="AZ265" s="39">
        <f>IF(ISBLANK(X265),"",IF(ISBLANK($O265),AL265,IF($J265="ANUAL",AL265*(1+Macroindicadores!I$7),IF(AND($I265="NOVO",MONTH($O265)=MONTH(AZ$4)),AL265*(1+Macroindicadores!I$7),IF(AND($J265="PONTUAL",MONTH($O265)=MONTH(AZ$4)),AL265*(1+Macroindicadores!I$7),IF(AND($J265="PONTUAL",MONTH($O265)&lt;MONTH(AZ$4)),MIN($AS265:AY265),IF(AND($I265="NOVO",MONTH($O265)&gt;MONTH(AZ$4)),AL265,IF(MONTH($O265)&gt;MONTH(AZ$4),AL265,IF(MONTH($O265)=MONTH(AZ$4),AL265*(1+Macroindicadores!I$7),AY265)))))))))</f>
        <v>3.5</v>
      </c>
      <c r="BA265" s="39" t="str">
        <f>IF(ISBLANK(Y265),"",IF(ISBLANK($O265),AM265,IF($J265="ANUAL",AM265*(1+Macroindicadores!J$7),IF(AND($I265="NOVO",MONTH($O265)=MONTH(BA$4)),AM265*(1+Macroindicadores!J$7),IF(AND($J265="PONTUAL",MONTH($O265)=MONTH(BA$4)),AM265*(1+Macroindicadores!J$7),IF(AND($J265="PONTUAL",MONTH($O265)&lt;MONTH(BA$4)),MIN($AS265:AZ265),IF(AND($I265="NOVO",MONTH($O265)&gt;MONTH(BA$4)),AM265,IF(MONTH($O265)&gt;MONTH(BA$4),AM265,IF(MONTH($O265)=MONTH(BA$4),AM265*(1+Macroindicadores!J$7),AZ265)))))))))</f>
        <v/>
      </c>
      <c r="BB265" s="39" t="str">
        <f>IF(ISBLANK(Z265),"",IF(ISBLANK($O265),AN265,IF($J265="ANUAL",AN265*(1+Macroindicadores!K$7),IF(AND($I265="NOVO",MONTH($O265)=MONTH(BB$4)),AN265*(1+Macroindicadores!K$7),IF(AND($J265="PONTUAL",MONTH($O265)=MONTH(BB$4)),AN265*(1+Macroindicadores!K$7),IF(AND($J265="PONTUAL",MONTH($O265)&lt;MONTH(BB$4)),MIN($AS265:BA265),IF(AND($I265="NOVO",MONTH($O265)&gt;MONTH(BB$4)),AN265,IF(MONTH($O265)&gt;MONTH(BB$4),AN265,IF(MONTH($O265)=MONTH(BB$4),AN265*(1+Macroindicadores!K$7),BA265)))))))))</f>
        <v/>
      </c>
      <c r="BC265" s="39">
        <f>IF(ISBLANK(AA265),"",IF(ISBLANK($O265),AO265,IF($J265="ANUAL",AO265*(1+Macroindicadores!L$7),IF(AND($I265="NOVO",MONTH($O265)=MONTH(BC$4)),AO265*(1+Macroindicadores!L$7),IF(AND($J265="PONTUAL",MONTH($O265)=MONTH(BC$4)),AO265*(1+Macroindicadores!L$7),IF(AND($J265="PONTUAL",MONTH($O265)&lt;MONTH(BC$4)),MIN($AS265:BB265),IF(AND($I265="NOVO",MONTH($O265)&gt;MONTH(BC$4)),AO265,IF(MONTH($O265)&gt;MONTH(BC$4),AO265,IF(MONTH($O265)=MONTH(BC$4),AO265*(1+Macroindicadores!L$7),BB265)))))))))</f>
        <v>3.5</v>
      </c>
      <c r="BD265" s="39" t="str">
        <f>IF(ISBLANK(AB265),"",IF(ISBLANK($O265),AP265,IF($J265="ANUAL",AP265*(1+Macroindicadores!M$7),IF(AND($I265="NOVO",MONTH($O265)=MONTH(BD$4)),AP265*(1+Macroindicadores!M$7),IF(AND($J265="PONTUAL",MONTH($O265)=MONTH(BD$4)),AP265*(1+Macroindicadores!M$7),IF(AND($J265="PONTUAL",MONTH($O265)&lt;MONTH(BD$4)),MIN($AS265:BC265),IF(AND($I265="NOVO",MONTH($O265)&gt;MONTH(BD$4)),AP265,IF(MONTH($O265)&gt;MONTH(BD$4),AP265,IF(MONTH($O265)=MONTH(BD$4),AP265*(1+Macroindicadores!M$7),BC265)))))))))</f>
        <v/>
      </c>
      <c r="BE265" s="40">
        <f t="shared" si="106"/>
        <v>14</v>
      </c>
      <c r="BG265" s="39" t="str">
        <f>IF(ISBLANK(Q265),"",AS265/Macroindicadores!B$2)</f>
        <v/>
      </c>
      <c r="BH265" s="39">
        <f>IF(ISBLANK(R265),"",AT265/Macroindicadores!C$2)</f>
        <v>0.59523809523809523</v>
      </c>
      <c r="BI265" s="39" t="str">
        <f>IF(ISBLANK(S265),"",AU265/Macroindicadores!D$2)</f>
        <v/>
      </c>
      <c r="BJ265" s="39" t="str">
        <f>IF(ISBLANK(T265),"",AV265/Macroindicadores!E$2)</f>
        <v/>
      </c>
      <c r="BK265" s="39">
        <f>IF(ISBLANK(U265),"",AW265/Macroindicadores!F$2)</f>
        <v>0.59523809523809523</v>
      </c>
      <c r="BL265" s="39" t="str">
        <f>IF(ISBLANK(V265),"",AX265/Macroindicadores!G$2)</f>
        <v/>
      </c>
      <c r="BM265" s="39" t="str">
        <f>IF(ISBLANK(W265),"",AY265/Macroindicadores!H$2)</f>
        <v/>
      </c>
      <c r="BN265" s="39">
        <f>IF(ISBLANK(X265),"",AZ265/Macroindicadores!I$2)</f>
        <v>0.59523809523809523</v>
      </c>
      <c r="BO265" s="39" t="str">
        <f>IF(ISBLANK(Y265),"",BA265/Macroindicadores!J$2)</f>
        <v/>
      </c>
      <c r="BP265" s="39" t="str">
        <f>IF(ISBLANK(Z265),"",BB265/Macroindicadores!K$2)</f>
        <v/>
      </c>
      <c r="BQ265" s="39">
        <f>IF(ISBLANK(AA265),"",BC265/Macroindicadores!L$2)</f>
        <v>0.59523809523809523</v>
      </c>
      <c r="BR265" s="39" t="str">
        <f>IF(ISBLANK(AB265),"",BD265/Macroindicadores!M$2)</f>
        <v/>
      </c>
      <c r="BS265" s="40">
        <f t="shared" si="107"/>
        <v>2.3809523809523809</v>
      </c>
      <c r="BT265" s="25" t="str">
        <f>IF(ISBLANK($L265),"",_xlfn.XLOOKUP($L265,'CENTRO CUSTO'!$A:$A,'CENTRO CUSTO'!$E:$E,FALSE,0))</f>
        <v>G&amp;A PL</v>
      </c>
    </row>
    <row r="266" spans="1:72">
      <c r="A266" s="9" t="str">
        <f t="shared" si="80"/>
        <v>Budget</v>
      </c>
      <c r="B266" s="9">
        <f t="shared" si="77"/>
        <v>2026</v>
      </c>
      <c r="C266" s="18" t="str">
        <f>IF(ISBLANK($L266),"",_xlfn.XLOOKUP($L266,'CENTRO CUSTO'!$A:$A,'CENTRO CUSTO'!F:F,FALSE,0))</f>
        <v>Cone Sul</v>
      </c>
      <c r="D266" s="111" t="str">
        <f>IF(ISBLANK($L266),"",_xlfn.XLOOKUP($L266,'CENTRO CUSTO'!$A:$A,'CENTRO CUSTO'!G:G,FALSE,0))</f>
        <v>Plataforma</v>
      </c>
      <c r="E266" s="18" t="str">
        <f>IF(ISBLANK($L266),"",_xlfn.XLOOKUP($L266,'CENTRO CUSTO'!$A:$A,'CENTRO CUSTO'!H:H,FALSE,0))</f>
        <v>G&amp;A</v>
      </c>
      <c r="F266" s="10" t="s">
        <v>248</v>
      </c>
      <c r="G266" s="10" t="s">
        <v>233</v>
      </c>
      <c r="H266" s="10" t="s">
        <v>256</v>
      </c>
      <c r="I266" s="11" t="s">
        <v>77</v>
      </c>
      <c r="J266" s="11" t="s">
        <v>78</v>
      </c>
      <c r="K266" s="11" t="s">
        <v>94</v>
      </c>
      <c r="L266" s="11" t="s">
        <v>54</v>
      </c>
      <c r="M266" s="18" t="str">
        <f>IF(ISBLANK($L266),"",_xlfn.XLOOKUP($L266,'CENTRO CUSTO'!$A:$A,'CENTRO CUSTO'!D:D,FALSE,0))</f>
        <v>Alexandre Ayabe</v>
      </c>
      <c r="N266" s="11" t="s">
        <v>245</v>
      </c>
      <c r="O266" s="12"/>
      <c r="P266" s="11" t="s">
        <v>88</v>
      </c>
      <c r="Q266" s="41"/>
      <c r="R266" s="41">
        <f>50*3</f>
        <v>150</v>
      </c>
      <c r="S266" s="41"/>
      <c r="T266" s="41"/>
      <c r="U266" s="41">
        <f>50*3</f>
        <v>150</v>
      </c>
      <c r="V266" s="41"/>
      <c r="W266" s="41"/>
      <c r="X266" s="41">
        <f>50*3</f>
        <v>150</v>
      </c>
      <c r="Y266" s="41"/>
      <c r="Z266" s="41"/>
      <c r="AA266" s="41">
        <f>50*3</f>
        <v>150</v>
      </c>
      <c r="AB266" s="41"/>
      <c r="AC266" s="116">
        <f t="shared" si="104"/>
        <v>600</v>
      </c>
      <c r="AE266" s="39" t="str">
        <f>IF(ISBLANK(Q266),"",IF($P266="BRL",Q266,Q266*Macroindicadores!B$2)/1000)</f>
        <v/>
      </c>
      <c r="AF266" s="39">
        <f>IF(ISBLANK(R266),"",IF($P266="BRL",R266,R266*Macroindicadores!C$2)/1000)</f>
        <v>0.88200000000000001</v>
      </c>
      <c r="AG266" s="39" t="str">
        <f>IF(ISBLANK(S266),"",IF($P266="BRL",S266,S266*Macroindicadores!D$2)/1000)</f>
        <v/>
      </c>
      <c r="AH266" s="39" t="str">
        <f>IF(ISBLANK(T266),"",IF($P266="BRL",T266,T266*Macroindicadores!E$2)/1000)</f>
        <v/>
      </c>
      <c r="AI266" s="39">
        <f>IF(ISBLANK(U266),"",IF($P266="BRL",U266,U266*Macroindicadores!F$2)/1000)</f>
        <v>0.88200000000000001</v>
      </c>
      <c r="AJ266" s="39" t="str">
        <f>IF(ISBLANK(V266),"",IF($P266="BRL",V266,V266*Macroindicadores!G$2)/1000)</f>
        <v/>
      </c>
      <c r="AK266" s="39" t="str">
        <f>IF(ISBLANK(W266),"",IF($P266="BRL",W266,W266*Macroindicadores!H$2)/1000)</f>
        <v/>
      </c>
      <c r="AL266" s="39">
        <f>IF(ISBLANK(X266),"",IF($P266="BRL",X266,X266*Macroindicadores!I$2)/1000)</f>
        <v>0.88200000000000001</v>
      </c>
      <c r="AM266" s="39" t="str">
        <f>IF(ISBLANK(Y266),"",IF($P266="BRL",Y266,Y266*Macroindicadores!J$2)/1000)</f>
        <v/>
      </c>
      <c r="AN266" s="39" t="str">
        <f>IF(ISBLANK(Z266),"",IF($P266="BRL",Z266,Z266*Macroindicadores!K$2)/1000)</f>
        <v/>
      </c>
      <c r="AO266" s="39">
        <f>IF(ISBLANK(AA266),"",IF($P266="BRL",AA266,AA266*Macroindicadores!L$2)/1000)</f>
        <v>0.88200000000000001</v>
      </c>
      <c r="AP266" s="39" t="str">
        <f>IF(ISBLANK(AB266),"",IF($P266="BRL",AB266,AB266*Macroindicadores!M$2)/1000)</f>
        <v/>
      </c>
      <c r="AQ266" s="40">
        <f t="shared" si="105"/>
        <v>3.528</v>
      </c>
      <c r="AS266" s="39" t="str">
        <f>IF(ISBLANK(Q266),"",IF(ISBLANK($O266),AE266,IF($J266="ANUAL",AE266*(1+Macroindicadores!B$7),IF(AND($I266="NOVO",MONTH($O266)=MONTH(AS$4)),AE266*(1+Macroindicadores!B$7),IF(AND($J266="PONTUAL",MONTH($O266)=MONTH(AS$4)),AE266*(1+Macroindicadores!B$7),IF(AND($J266="PONTUAL",MONTH($O266)&lt;MONTH(AS$4)),MIN(AR266:$AS266),IF(AND($I266="NOVO",MONTH($O266)&gt;MONTH(AS$4)),AE266,IF(MONTH($O266)&gt;MONTH(AS$4),AE266,IF(MONTH($O266)=MONTH(AS$4),AE266*(1+Macroindicadores!B$7),AR266)))))))))</f>
        <v/>
      </c>
      <c r="AT266" s="39">
        <f>IF(ISBLANK(R266),"",IF(ISBLANK($O266),AF266,IF($J266="ANUAL",AF266*(1+Macroindicadores!C$7),IF(AND($I266="NOVO",MONTH($O266)=MONTH(AT$4)),AF266*(1+Macroindicadores!C$7),IF(AND($J266="PONTUAL",MONTH($O266)=MONTH(AT$4)),AF266*(1+Macroindicadores!C$7),IF(AND($J266="PONTUAL",MONTH($O266)&lt;MONTH(AT$4)),MIN($AS266:AS266),IF(AND($I266="NOVO",MONTH($O266)&gt;MONTH(AT$4)),AF266,IF(MONTH($O266)&gt;MONTH(AT$4),AF266,IF(MONTH($O266)=MONTH(AT$4),AF266*(1+Macroindicadores!C$7),AS266)))))))))</f>
        <v>0.88200000000000001</v>
      </c>
      <c r="AU266" s="39" t="str">
        <f>IF(ISBLANK(S266),"",IF(ISBLANK($O266),AG266,IF($J266="ANUAL",AG266*(1+Macroindicadores!D$7),IF(AND($I266="NOVO",MONTH($O266)=MONTH(AU$4)),AG266*(1+Macroindicadores!D$7),IF(AND($J266="PONTUAL",MONTH($O266)=MONTH(AU$4)),AG266*(1+Macroindicadores!D$7),IF(AND($J266="PONTUAL",MONTH($O266)&lt;MONTH(AU$4)),MIN($AS266:AT266),IF(AND($I266="NOVO",MONTH($O266)&gt;MONTH(AU$4)),AG266,IF(MONTH($O266)&gt;MONTH(AU$4),AG266,IF(MONTH($O266)=MONTH(AU$4),AG266*(1+Macroindicadores!D$7),AT266)))))))))</f>
        <v/>
      </c>
      <c r="AV266" s="39" t="str">
        <f>IF(ISBLANK(T266),"",IF(ISBLANK($O266),AH266,IF($J266="ANUAL",AH266*(1+Macroindicadores!E$7),IF(AND($I266="NOVO",MONTH($O266)=MONTH(AV$4)),AH266*(1+Macroindicadores!E$7),IF(AND($J266="PONTUAL",MONTH($O266)=MONTH(AV$4)),AH266*(1+Macroindicadores!E$7),IF(AND($J266="PONTUAL",MONTH($O266)&lt;MONTH(AV$4)),MIN($AS266:AU266),IF(AND($I266="NOVO",MONTH($O266)&gt;MONTH(AV$4)),AH266,IF(MONTH($O266)&gt;MONTH(AV$4),AH266,IF(MONTH($O266)=MONTH(AV$4),AH266*(1+Macroindicadores!E$7),AU266)))))))))</f>
        <v/>
      </c>
      <c r="AW266" s="39">
        <f>IF(ISBLANK(U266),"",IF(ISBLANK($O266),AI266,IF($J266="ANUAL",AI266*(1+Macroindicadores!F$7),IF(AND($I266="NOVO",MONTH($O266)=MONTH(AW$4)),AI266*(1+Macroindicadores!F$7),IF(AND($J266="PONTUAL",MONTH($O266)=MONTH(AW$4)),AI266*(1+Macroindicadores!F$7),IF(AND($J266="PONTUAL",MONTH($O266)&lt;MONTH(AW$4)),MIN($AS266:AV266),IF(AND($I266="NOVO",MONTH($O266)&gt;MONTH(AW$4)),AI266,IF(MONTH($O266)&gt;MONTH(AW$4),AI266,IF(MONTH($O266)=MONTH(AW$4),AI266*(1+Macroindicadores!F$7),AV266)))))))))</f>
        <v>0.88200000000000001</v>
      </c>
      <c r="AX266" s="39" t="str">
        <f>IF(ISBLANK(V266),"",IF(ISBLANK($O266),AJ266,IF($J266="ANUAL",AJ266*(1+Macroindicadores!G$7),IF(AND($I266="NOVO",MONTH($O266)=MONTH(AX$4)),AJ266*(1+Macroindicadores!G$7),IF(AND($J266="PONTUAL",MONTH($O266)=MONTH(AX$4)),AJ266*(1+Macroindicadores!G$7),IF(AND($J266="PONTUAL",MONTH($O266)&lt;MONTH(AX$4)),MIN($AS266:AW266),IF(AND($I266="NOVO",MONTH($O266)&gt;MONTH(AX$4)),AJ266,IF(MONTH($O266)&gt;MONTH(AX$4),AJ266,IF(MONTH($O266)=MONTH(AX$4),AJ266*(1+Macroindicadores!G$7),AW266)))))))))</f>
        <v/>
      </c>
      <c r="AY266" s="39" t="str">
        <f>IF(ISBLANK(W266),"",IF(ISBLANK($O266),AK266,IF($J266="ANUAL",AK266*(1+Macroindicadores!H$7),IF(AND($I266="NOVO",MONTH($O266)=MONTH(AY$4)),AK266*(1+Macroindicadores!H$7),IF(AND($J266="PONTUAL",MONTH($O266)=MONTH(AY$4)),AK266*(1+Macroindicadores!H$7),IF(AND($J266="PONTUAL",MONTH($O266)&lt;MONTH(AY$4)),MIN($AS266:AX266),IF(AND($I266="NOVO",MONTH($O266)&gt;MONTH(AY$4)),AK266,IF(MONTH($O266)&gt;MONTH(AY$4),AK266,IF(MONTH($O266)=MONTH(AY$4),AK266*(1+Macroindicadores!H$7),AX266)))))))))</f>
        <v/>
      </c>
      <c r="AZ266" s="39">
        <f>IF(ISBLANK(X266),"",IF(ISBLANK($O266),AL266,IF($J266="ANUAL",AL266*(1+Macroindicadores!I$7),IF(AND($I266="NOVO",MONTH($O266)=MONTH(AZ$4)),AL266*(1+Macroindicadores!I$7),IF(AND($J266="PONTUAL",MONTH($O266)=MONTH(AZ$4)),AL266*(1+Macroindicadores!I$7),IF(AND($J266="PONTUAL",MONTH($O266)&lt;MONTH(AZ$4)),MIN($AS266:AY266),IF(AND($I266="NOVO",MONTH($O266)&gt;MONTH(AZ$4)),AL266,IF(MONTH($O266)&gt;MONTH(AZ$4),AL266,IF(MONTH($O266)=MONTH(AZ$4),AL266*(1+Macroindicadores!I$7),AY266)))))))))</f>
        <v>0.88200000000000001</v>
      </c>
      <c r="BA266" s="39" t="str">
        <f>IF(ISBLANK(Y266),"",IF(ISBLANK($O266),AM266,IF($J266="ANUAL",AM266*(1+Macroindicadores!J$7),IF(AND($I266="NOVO",MONTH($O266)=MONTH(BA$4)),AM266*(1+Macroindicadores!J$7),IF(AND($J266="PONTUAL",MONTH($O266)=MONTH(BA$4)),AM266*(1+Macroindicadores!J$7),IF(AND($J266="PONTUAL",MONTH($O266)&lt;MONTH(BA$4)),MIN($AS266:AZ266),IF(AND($I266="NOVO",MONTH($O266)&gt;MONTH(BA$4)),AM266,IF(MONTH($O266)&gt;MONTH(BA$4),AM266,IF(MONTH($O266)=MONTH(BA$4),AM266*(1+Macroindicadores!J$7),AZ266)))))))))</f>
        <v/>
      </c>
      <c r="BB266" s="39" t="str">
        <f>IF(ISBLANK(Z266),"",IF(ISBLANK($O266),AN266,IF($J266="ANUAL",AN266*(1+Macroindicadores!K$7),IF(AND($I266="NOVO",MONTH($O266)=MONTH(BB$4)),AN266*(1+Macroindicadores!K$7),IF(AND($J266="PONTUAL",MONTH($O266)=MONTH(BB$4)),AN266*(1+Macroindicadores!K$7),IF(AND($J266="PONTUAL",MONTH($O266)&lt;MONTH(BB$4)),MIN($AS266:BA266),IF(AND($I266="NOVO",MONTH($O266)&gt;MONTH(BB$4)),AN266,IF(MONTH($O266)&gt;MONTH(BB$4),AN266,IF(MONTH($O266)=MONTH(BB$4),AN266*(1+Macroindicadores!K$7),BA266)))))))))</f>
        <v/>
      </c>
      <c r="BC266" s="39">
        <f>IF(ISBLANK(AA266),"",IF(ISBLANK($O266),AO266,IF($J266="ANUAL",AO266*(1+Macroindicadores!L$7),IF(AND($I266="NOVO",MONTH($O266)=MONTH(BC$4)),AO266*(1+Macroindicadores!L$7),IF(AND($J266="PONTUAL",MONTH($O266)=MONTH(BC$4)),AO266*(1+Macroindicadores!L$7),IF(AND($J266="PONTUAL",MONTH($O266)&lt;MONTH(BC$4)),MIN($AS266:BB266),IF(AND($I266="NOVO",MONTH($O266)&gt;MONTH(BC$4)),AO266,IF(MONTH($O266)&gt;MONTH(BC$4),AO266,IF(MONTH($O266)=MONTH(BC$4),AO266*(1+Macroindicadores!L$7),BB266)))))))))</f>
        <v>0.88200000000000001</v>
      </c>
      <c r="BD266" s="39" t="str">
        <f>IF(ISBLANK(AB266),"",IF(ISBLANK($O266),AP266,IF($J266="ANUAL",AP266*(1+Macroindicadores!M$7),IF(AND($I266="NOVO",MONTH($O266)=MONTH(BD$4)),AP266*(1+Macroindicadores!M$7),IF(AND($J266="PONTUAL",MONTH($O266)=MONTH(BD$4)),AP266*(1+Macroindicadores!M$7),IF(AND($J266="PONTUAL",MONTH($O266)&lt;MONTH(BD$4)),MIN($AS266:BC266),IF(AND($I266="NOVO",MONTH($O266)&gt;MONTH(BD$4)),AP266,IF(MONTH($O266)&gt;MONTH(BD$4),AP266,IF(MONTH($O266)=MONTH(BD$4),AP266*(1+Macroindicadores!M$7),BC266)))))))))</f>
        <v/>
      </c>
      <c r="BE266" s="40">
        <f t="shared" si="106"/>
        <v>3.528</v>
      </c>
      <c r="BG266" s="39" t="str">
        <f>IF(ISBLANK(Q266),"",AS266/Macroindicadores!B$2)</f>
        <v/>
      </c>
      <c r="BH266" s="39">
        <f>IF(ISBLANK(R266),"",AT266/Macroindicadores!C$2)</f>
        <v>0.15</v>
      </c>
      <c r="BI266" s="39" t="str">
        <f>IF(ISBLANK(S266),"",AU266/Macroindicadores!D$2)</f>
        <v/>
      </c>
      <c r="BJ266" s="39" t="str">
        <f>IF(ISBLANK(T266),"",AV266/Macroindicadores!E$2)</f>
        <v/>
      </c>
      <c r="BK266" s="39">
        <f>IF(ISBLANK(U266),"",AW266/Macroindicadores!F$2)</f>
        <v>0.15</v>
      </c>
      <c r="BL266" s="39" t="str">
        <f>IF(ISBLANK(V266),"",AX266/Macroindicadores!G$2)</f>
        <v/>
      </c>
      <c r="BM266" s="39" t="str">
        <f>IF(ISBLANK(W266),"",AY266/Macroindicadores!H$2)</f>
        <v/>
      </c>
      <c r="BN266" s="39">
        <f>IF(ISBLANK(X266),"",AZ266/Macroindicadores!I$2)</f>
        <v>0.15</v>
      </c>
      <c r="BO266" s="39" t="str">
        <f>IF(ISBLANK(Y266),"",BA266/Macroindicadores!J$2)</f>
        <v/>
      </c>
      <c r="BP266" s="39" t="str">
        <f>IF(ISBLANK(Z266),"",BB266/Macroindicadores!K$2)</f>
        <v/>
      </c>
      <c r="BQ266" s="39">
        <f>IF(ISBLANK(AA266),"",BC266/Macroindicadores!L$2)</f>
        <v>0.15</v>
      </c>
      <c r="BR266" s="39" t="str">
        <f>IF(ISBLANK(AB266),"",BD266/Macroindicadores!M$2)</f>
        <v/>
      </c>
      <c r="BS266" s="40">
        <f t="shared" si="107"/>
        <v>0.6</v>
      </c>
      <c r="BT266" s="25" t="str">
        <f>IF(ISBLANK($L266),"",_xlfn.XLOOKUP($L266,'CENTRO CUSTO'!$A:$A,'CENTRO CUSTO'!$E:$E,FALSE,0))</f>
        <v>G&amp;A PL</v>
      </c>
    </row>
    <row r="267" spans="1:72">
      <c r="A267" s="9" t="str">
        <f t="shared" si="80"/>
        <v>Budget</v>
      </c>
      <c r="B267" s="9">
        <f t="shared" si="77"/>
        <v>2026</v>
      </c>
      <c r="C267" s="18" t="str">
        <f>IF(ISBLANK($L267),"",_xlfn.XLOOKUP($L267,'CENTRO CUSTO'!$A:$A,'CENTRO CUSTO'!F:F,FALSE,0))</f>
        <v>Cone Sul</v>
      </c>
      <c r="D267" s="111" t="str">
        <f>IF(ISBLANK($L267),"",_xlfn.XLOOKUP($L267,'CENTRO CUSTO'!$A:$A,'CENTRO CUSTO'!G:G,FALSE,0))</f>
        <v>Plataforma</v>
      </c>
      <c r="E267" s="18" t="str">
        <f>IF(ISBLANK($L267),"",_xlfn.XLOOKUP($L267,'CENTRO CUSTO'!$A:$A,'CENTRO CUSTO'!H:H,FALSE,0))</f>
        <v>G&amp;A</v>
      </c>
      <c r="F267" s="10" t="s">
        <v>243</v>
      </c>
      <c r="G267" s="10" t="s">
        <v>233</v>
      </c>
      <c r="H267" s="10" t="s">
        <v>257</v>
      </c>
      <c r="I267" s="11" t="s">
        <v>77</v>
      </c>
      <c r="J267" s="11" t="s">
        <v>78</v>
      </c>
      <c r="K267" s="11" t="s">
        <v>94</v>
      </c>
      <c r="L267" s="11" t="s">
        <v>54</v>
      </c>
      <c r="M267" s="18" t="str">
        <f>IF(ISBLANK($L267),"",_xlfn.XLOOKUP($L267,'CENTRO CUSTO'!$A:$A,'CENTRO CUSTO'!D:D,FALSE,0))</f>
        <v>Alexandre Ayabe</v>
      </c>
      <c r="N267" s="11" t="s">
        <v>245</v>
      </c>
      <c r="O267" s="12"/>
      <c r="P267" s="11" t="s">
        <v>81</v>
      </c>
      <c r="Q267" s="41">
        <f>600*2</f>
        <v>1200</v>
      </c>
      <c r="R267" s="41"/>
      <c r="S267" s="41">
        <f t="shared" ref="S267:AA267" si="124">600*2</f>
        <v>1200</v>
      </c>
      <c r="T267" s="41"/>
      <c r="U267" s="41">
        <f t="shared" si="124"/>
        <v>1200</v>
      </c>
      <c r="V267" s="41"/>
      <c r="W267" s="41">
        <f t="shared" si="124"/>
        <v>1200</v>
      </c>
      <c r="X267" s="41"/>
      <c r="Y267" s="41">
        <f t="shared" si="124"/>
        <v>1200</v>
      </c>
      <c r="Z267" s="41"/>
      <c r="AA267" s="41">
        <f t="shared" si="124"/>
        <v>1200</v>
      </c>
      <c r="AB267" s="41"/>
      <c r="AC267" s="116">
        <f t="shared" si="104"/>
        <v>7200</v>
      </c>
      <c r="AE267" s="39">
        <f>IF(ISBLANK(Q267),"",IF($P267="BRL",Q267,Q267*Macroindicadores!B$2)/1000)</f>
        <v>1.2</v>
      </c>
      <c r="AF267" s="39" t="str">
        <f>IF(ISBLANK(R267),"",IF($P267="BRL",R267,R267*Macroindicadores!C$2)/1000)</f>
        <v/>
      </c>
      <c r="AG267" s="39">
        <f>IF(ISBLANK(S267),"",IF($P267="BRL",S267,S267*Macroindicadores!D$2)/1000)</f>
        <v>1.2</v>
      </c>
      <c r="AH267" s="39" t="str">
        <f>IF(ISBLANK(T267),"",IF($P267="BRL",T267,T267*Macroindicadores!E$2)/1000)</f>
        <v/>
      </c>
      <c r="AI267" s="39">
        <f>IF(ISBLANK(U267),"",IF($P267="BRL",U267,U267*Macroindicadores!F$2)/1000)</f>
        <v>1.2</v>
      </c>
      <c r="AJ267" s="39" t="str">
        <f>IF(ISBLANK(V267),"",IF($P267="BRL",V267,V267*Macroindicadores!G$2)/1000)</f>
        <v/>
      </c>
      <c r="AK267" s="39">
        <f>IF(ISBLANK(W267),"",IF($P267="BRL",W267,W267*Macroindicadores!H$2)/1000)</f>
        <v>1.2</v>
      </c>
      <c r="AL267" s="39" t="str">
        <f>IF(ISBLANK(X267),"",IF($P267="BRL",X267,X267*Macroindicadores!I$2)/1000)</f>
        <v/>
      </c>
      <c r="AM267" s="39">
        <f>IF(ISBLANK(Y267),"",IF($P267="BRL",Y267,Y267*Macroindicadores!J$2)/1000)</f>
        <v>1.2</v>
      </c>
      <c r="AN267" s="39" t="str">
        <f>IF(ISBLANK(Z267),"",IF($P267="BRL",Z267,Z267*Macroindicadores!K$2)/1000)</f>
        <v/>
      </c>
      <c r="AO267" s="39">
        <f>IF(ISBLANK(AA267),"",IF($P267="BRL",AA267,AA267*Macroindicadores!L$2)/1000)</f>
        <v>1.2</v>
      </c>
      <c r="AP267" s="39" t="str">
        <f>IF(ISBLANK(AB267),"",IF($P267="BRL",AB267,AB267*Macroindicadores!M$2)/1000)</f>
        <v/>
      </c>
      <c r="AQ267" s="40">
        <f t="shared" si="105"/>
        <v>7.2</v>
      </c>
      <c r="AS267" s="39">
        <f>IF(ISBLANK(Q267),"",IF(ISBLANK($O267),AE267,IF($J267="ANUAL",AE267*(1+Macroindicadores!B$7),IF(AND($I267="NOVO",MONTH($O267)=MONTH(AS$4)),AE267*(1+Macroindicadores!B$7),IF(AND($J267="PONTUAL",MONTH($O267)=MONTH(AS$4)),AE267*(1+Macroindicadores!B$7),IF(AND($J267="PONTUAL",MONTH($O267)&lt;MONTH(AS$4)),MIN(AR267:$AS267),IF(AND($I267="NOVO",MONTH($O267)&gt;MONTH(AS$4)),AE267,IF(MONTH($O267)&gt;MONTH(AS$4),AE267,IF(MONTH($O267)=MONTH(AS$4),AE267*(1+Macroindicadores!B$7),AR267)))))))))</f>
        <v>1.2</v>
      </c>
      <c r="AT267" s="39" t="str">
        <f>IF(ISBLANK(R267),"",IF(ISBLANK($O267),AF267,IF($J267="ANUAL",AF267*(1+Macroindicadores!C$7),IF(AND($I267="NOVO",MONTH($O267)=MONTH(AT$4)),AF267*(1+Macroindicadores!C$7),IF(AND($J267="PONTUAL",MONTH($O267)=MONTH(AT$4)),AF267*(1+Macroindicadores!C$7),IF(AND($J267="PONTUAL",MONTH($O267)&lt;MONTH(AT$4)),MIN($AS267:AS267),IF(AND($I267="NOVO",MONTH($O267)&gt;MONTH(AT$4)),AF267,IF(MONTH($O267)&gt;MONTH(AT$4),AF267,IF(MONTH($O267)=MONTH(AT$4),AF267*(1+Macroindicadores!C$7),AS267)))))))))</f>
        <v/>
      </c>
      <c r="AU267" s="39">
        <f>IF(ISBLANK(S267),"",IF(ISBLANK($O267),AG267,IF($J267="ANUAL",AG267*(1+Macroindicadores!D$7),IF(AND($I267="NOVO",MONTH($O267)=MONTH(AU$4)),AG267*(1+Macroindicadores!D$7),IF(AND($J267="PONTUAL",MONTH($O267)=MONTH(AU$4)),AG267*(1+Macroindicadores!D$7),IF(AND($J267="PONTUAL",MONTH($O267)&lt;MONTH(AU$4)),MIN($AS267:AT267),IF(AND($I267="NOVO",MONTH($O267)&gt;MONTH(AU$4)),AG267,IF(MONTH($O267)&gt;MONTH(AU$4),AG267,IF(MONTH($O267)=MONTH(AU$4),AG267*(1+Macroindicadores!D$7),AT267)))))))))</f>
        <v>1.2</v>
      </c>
      <c r="AV267" s="39" t="str">
        <f>IF(ISBLANK(T267),"",IF(ISBLANK($O267),AH267,IF($J267="ANUAL",AH267*(1+Macroindicadores!E$7),IF(AND($I267="NOVO",MONTH($O267)=MONTH(AV$4)),AH267*(1+Macroindicadores!E$7),IF(AND($J267="PONTUAL",MONTH($O267)=MONTH(AV$4)),AH267*(1+Macroindicadores!E$7),IF(AND($J267="PONTUAL",MONTH($O267)&lt;MONTH(AV$4)),MIN($AS267:AU267),IF(AND($I267="NOVO",MONTH($O267)&gt;MONTH(AV$4)),AH267,IF(MONTH($O267)&gt;MONTH(AV$4),AH267,IF(MONTH($O267)=MONTH(AV$4),AH267*(1+Macroindicadores!E$7),AU267)))))))))</f>
        <v/>
      </c>
      <c r="AW267" s="39">
        <f>IF(ISBLANK(U267),"",IF(ISBLANK($O267),AI267,IF($J267="ANUAL",AI267*(1+Macroindicadores!F$7),IF(AND($I267="NOVO",MONTH($O267)=MONTH(AW$4)),AI267*(1+Macroindicadores!F$7),IF(AND($J267="PONTUAL",MONTH($O267)=MONTH(AW$4)),AI267*(1+Macroindicadores!F$7),IF(AND($J267="PONTUAL",MONTH($O267)&lt;MONTH(AW$4)),MIN($AS267:AV267),IF(AND($I267="NOVO",MONTH($O267)&gt;MONTH(AW$4)),AI267,IF(MONTH($O267)&gt;MONTH(AW$4),AI267,IF(MONTH($O267)=MONTH(AW$4),AI267*(1+Macroindicadores!F$7),AV267)))))))))</f>
        <v>1.2</v>
      </c>
      <c r="AX267" s="39" t="str">
        <f>IF(ISBLANK(V267),"",IF(ISBLANK($O267),AJ267,IF($J267="ANUAL",AJ267*(1+Macroindicadores!G$7),IF(AND($I267="NOVO",MONTH($O267)=MONTH(AX$4)),AJ267*(1+Macroindicadores!G$7),IF(AND($J267="PONTUAL",MONTH($O267)=MONTH(AX$4)),AJ267*(1+Macroindicadores!G$7),IF(AND($J267="PONTUAL",MONTH($O267)&lt;MONTH(AX$4)),MIN($AS267:AW267),IF(AND($I267="NOVO",MONTH($O267)&gt;MONTH(AX$4)),AJ267,IF(MONTH($O267)&gt;MONTH(AX$4),AJ267,IF(MONTH($O267)=MONTH(AX$4),AJ267*(1+Macroindicadores!G$7),AW267)))))))))</f>
        <v/>
      </c>
      <c r="AY267" s="39">
        <f>IF(ISBLANK(W267),"",IF(ISBLANK($O267),AK267,IF($J267="ANUAL",AK267*(1+Macroindicadores!H$7),IF(AND($I267="NOVO",MONTH($O267)=MONTH(AY$4)),AK267*(1+Macroindicadores!H$7),IF(AND($J267="PONTUAL",MONTH($O267)=MONTH(AY$4)),AK267*(1+Macroindicadores!H$7),IF(AND($J267="PONTUAL",MONTH($O267)&lt;MONTH(AY$4)),MIN($AS267:AX267),IF(AND($I267="NOVO",MONTH($O267)&gt;MONTH(AY$4)),AK267,IF(MONTH($O267)&gt;MONTH(AY$4),AK267,IF(MONTH($O267)=MONTH(AY$4),AK267*(1+Macroindicadores!H$7),AX267)))))))))</f>
        <v>1.2</v>
      </c>
      <c r="AZ267" s="39" t="str">
        <f>IF(ISBLANK(X267),"",IF(ISBLANK($O267),AL267,IF($J267="ANUAL",AL267*(1+Macroindicadores!I$7),IF(AND($I267="NOVO",MONTH($O267)=MONTH(AZ$4)),AL267*(1+Macroindicadores!I$7),IF(AND($J267="PONTUAL",MONTH($O267)=MONTH(AZ$4)),AL267*(1+Macroindicadores!I$7),IF(AND($J267="PONTUAL",MONTH($O267)&lt;MONTH(AZ$4)),MIN($AS267:AY267),IF(AND($I267="NOVO",MONTH($O267)&gt;MONTH(AZ$4)),AL267,IF(MONTH($O267)&gt;MONTH(AZ$4),AL267,IF(MONTH($O267)=MONTH(AZ$4),AL267*(1+Macroindicadores!I$7),AY267)))))))))</f>
        <v/>
      </c>
      <c r="BA267" s="39">
        <f>IF(ISBLANK(Y267),"",IF(ISBLANK($O267),AM267,IF($J267="ANUAL",AM267*(1+Macroindicadores!J$7),IF(AND($I267="NOVO",MONTH($O267)=MONTH(BA$4)),AM267*(1+Macroindicadores!J$7),IF(AND($J267="PONTUAL",MONTH($O267)=MONTH(BA$4)),AM267*(1+Macroindicadores!J$7),IF(AND($J267="PONTUAL",MONTH($O267)&lt;MONTH(BA$4)),MIN($AS267:AZ267),IF(AND($I267="NOVO",MONTH($O267)&gt;MONTH(BA$4)),AM267,IF(MONTH($O267)&gt;MONTH(BA$4),AM267,IF(MONTH($O267)=MONTH(BA$4),AM267*(1+Macroindicadores!J$7),AZ267)))))))))</f>
        <v>1.2</v>
      </c>
      <c r="BB267" s="39" t="str">
        <f>IF(ISBLANK(Z267),"",IF(ISBLANK($O267),AN267,IF($J267="ANUAL",AN267*(1+Macroindicadores!K$7),IF(AND($I267="NOVO",MONTH($O267)=MONTH(BB$4)),AN267*(1+Macroindicadores!K$7),IF(AND($J267="PONTUAL",MONTH($O267)=MONTH(BB$4)),AN267*(1+Macroindicadores!K$7),IF(AND($J267="PONTUAL",MONTH($O267)&lt;MONTH(BB$4)),MIN($AS267:BA267),IF(AND($I267="NOVO",MONTH($O267)&gt;MONTH(BB$4)),AN267,IF(MONTH($O267)&gt;MONTH(BB$4),AN267,IF(MONTH($O267)=MONTH(BB$4),AN267*(1+Macroindicadores!K$7),BA267)))))))))</f>
        <v/>
      </c>
      <c r="BC267" s="39">
        <f>IF(ISBLANK(AA267),"",IF(ISBLANK($O267),AO267,IF($J267="ANUAL",AO267*(1+Macroindicadores!L$7),IF(AND($I267="NOVO",MONTH($O267)=MONTH(BC$4)),AO267*(1+Macroindicadores!L$7),IF(AND($J267="PONTUAL",MONTH($O267)=MONTH(BC$4)),AO267*(1+Macroindicadores!L$7),IF(AND($J267="PONTUAL",MONTH($O267)&lt;MONTH(BC$4)),MIN($AS267:BB267),IF(AND($I267="NOVO",MONTH($O267)&gt;MONTH(BC$4)),AO267,IF(MONTH($O267)&gt;MONTH(BC$4),AO267,IF(MONTH($O267)=MONTH(BC$4),AO267*(1+Macroindicadores!L$7),BB267)))))))))</f>
        <v>1.2</v>
      </c>
      <c r="BD267" s="39" t="str">
        <f>IF(ISBLANK(AB267),"",IF(ISBLANK($O267),AP267,IF($J267="ANUAL",AP267*(1+Macroindicadores!M$7),IF(AND($I267="NOVO",MONTH($O267)=MONTH(BD$4)),AP267*(1+Macroindicadores!M$7),IF(AND($J267="PONTUAL",MONTH($O267)=MONTH(BD$4)),AP267*(1+Macroindicadores!M$7),IF(AND($J267="PONTUAL",MONTH($O267)&lt;MONTH(BD$4)),MIN($AS267:BC267),IF(AND($I267="NOVO",MONTH($O267)&gt;MONTH(BD$4)),AP267,IF(MONTH($O267)&gt;MONTH(BD$4),AP267,IF(MONTH($O267)=MONTH(BD$4),AP267*(1+Macroindicadores!M$7),BC267)))))))))</f>
        <v/>
      </c>
      <c r="BE267" s="40">
        <f t="shared" si="106"/>
        <v>7.2</v>
      </c>
      <c r="BG267" s="39">
        <f>IF(ISBLANK(Q267),"",AS267/Macroindicadores!B$2)</f>
        <v>0.20408163265306123</v>
      </c>
      <c r="BH267" s="39" t="str">
        <f>IF(ISBLANK(R267),"",AT267/Macroindicadores!C$2)</f>
        <v/>
      </c>
      <c r="BI267" s="39">
        <f>IF(ISBLANK(S267),"",AU267/Macroindicadores!D$2)</f>
        <v>0.20408163265306123</v>
      </c>
      <c r="BJ267" s="39" t="str">
        <f>IF(ISBLANK(T267),"",AV267/Macroindicadores!E$2)</f>
        <v/>
      </c>
      <c r="BK267" s="39">
        <f>IF(ISBLANK(U267),"",AW267/Macroindicadores!F$2)</f>
        <v>0.20408163265306123</v>
      </c>
      <c r="BL267" s="39" t="str">
        <f>IF(ISBLANK(V267),"",AX267/Macroindicadores!G$2)</f>
        <v/>
      </c>
      <c r="BM267" s="39">
        <f>IF(ISBLANK(W267),"",AY267/Macroindicadores!H$2)</f>
        <v>0.20408163265306123</v>
      </c>
      <c r="BN267" s="39" t="str">
        <f>IF(ISBLANK(X267),"",AZ267/Macroindicadores!I$2)</f>
        <v/>
      </c>
      <c r="BO267" s="39">
        <f>IF(ISBLANK(Y267),"",BA267/Macroindicadores!J$2)</f>
        <v>0.20408163265306123</v>
      </c>
      <c r="BP267" s="39" t="str">
        <f>IF(ISBLANK(Z267),"",BB267/Macroindicadores!K$2)</f>
        <v/>
      </c>
      <c r="BQ267" s="39">
        <f>IF(ISBLANK(AA267),"",BC267/Macroindicadores!L$2)</f>
        <v>0.20408163265306123</v>
      </c>
      <c r="BR267" s="39" t="str">
        <f>IF(ISBLANK(AB267),"",BD267/Macroindicadores!M$2)</f>
        <v/>
      </c>
      <c r="BS267" s="40">
        <f t="shared" si="107"/>
        <v>1.2244897959183674</v>
      </c>
      <c r="BT267" s="25" t="str">
        <f>IF(ISBLANK($L267),"",_xlfn.XLOOKUP($L267,'CENTRO CUSTO'!$A:$A,'CENTRO CUSTO'!$E:$E,FALSE,0))</f>
        <v>G&amp;A PL</v>
      </c>
    </row>
    <row r="268" spans="1:72">
      <c r="A268" s="9" t="str">
        <f t="shared" si="80"/>
        <v>Budget</v>
      </c>
      <c r="B268" s="9">
        <f t="shared" si="77"/>
        <v>2026</v>
      </c>
      <c r="C268" s="18" t="str">
        <f>IF(ISBLANK($L268),"",_xlfn.XLOOKUP($L268,'CENTRO CUSTO'!$A:$A,'CENTRO CUSTO'!F:F,FALSE,0))</f>
        <v>Cone Sul</v>
      </c>
      <c r="D268" s="111" t="str">
        <f>IF(ISBLANK($L268),"",_xlfn.XLOOKUP($L268,'CENTRO CUSTO'!$A:$A,'CENTRO CUSTO'!G:G,FALSE,0))</f>
        <v>Plataforma</v>
      </c>
      <c r="E268" s="18" t="str">
        <f>IF(ISBLANK($L268),"",_xlfn.XLOOKUP($L268,'CENTRO CUSTO'!$A:$A,'CENTRO CUSTO'!H:H,FALSE,0))</f>
        <v>G&amp;A</v>
      </c>
      <c r="F268" s="10" t="s">
        <v>246</v>
      </c>
      <c r="G268" s="10" t="s">
        <v>233</v>
      </c>
      <c r="H268" s="10" t="s">
        <v>257</v>
      </c>
      <c r="I268" s="11" t="s">
        <v>77</v>
      </c>
      <c r="J268" s="11" t="s">
        <v>78</v>
      </c>
      <c r="K268" s="11" t="s">
        <v>94</v>
      </c>
      <c r="L268" s="11" t="s">
        <v>54</v>
      </c>
      <c r="M268" s="18" t="str">
        <f>IF(ISBLANK($L268),"",_xlfn.XLOOKUP($L268,'CENTRO CUSTO'!$A:$A,'CENTRO CUSTO'!D:D,FALSE,0))</f>
        <v>Alexandre Ayabe</v>
      </c>
      <c r="N268" s="11" t="s">
        <v>245</v>
      </c>
      <c r="O268" s="12"/>
      <c r="P268" s="11" t="s">
        <v>81</v>
      </c>
      <c r="Q268" s="41">
        <f>400*2</f>
        <v>800</v>
      </c>
      <c r="R268" s="41"/>
      <c r="S268" s="41">
        <f t="shared" ref="S268:AA268" si="125">400*2</f>
        <v>800</v>
      </c>
      <c r="T268" s="41"/>
      <c r="U268" s="41">
        <f t="shared" si="125"/>
        <v>800</v>
      </c>
      <c r="V268" s="41"/>
      <c r="W268" s="41">
        <f t="shared" si="125"/>
        <v>800</v>
      </c>
      <c r="X268" s="41"/>
      <c r="Y268" s="41">
        <f t="shared" si="125"/>
        <v>800</v>
      </c>
      <c r="Z268" s="41"/>
      <c r="AA268" s="41">
        <f t="shared" si="125"/>
        <v>800</v>
      </c>
      <c r="AB268" s="41"/>
      <c r="AC268" s="116">
        <f t="shared" si="104"/>
        <v>4800</v>
      </c>
      <c r="AE268" s="39">
        <f>IF(ISBLANK(Q268),"",IF($P268="BRL",Q268,Q268*Macroindicadores!B$2)/1000)</f>
        <v>0.8</v>
      </c>
      <c r="AF268" s="39" t="str">
        <f>IF(ISBLANK(R268),"",IF($P268="BRL",R268,R268*Macroindicadores!C$2)/1000)</f>
        <v/>
      </c>
      <c r="AG268" s="39">
        <f>IF(ISBLANK(S268),"",IF($P268="BRL",S268,S268*Macroindicadores!D$2)/1000)</f>
        <v>0.8</v>
      </c>
      <c r="AH268" s="39" t="str">
        <f>IF(ISBLANK(T268),"",IF($P268="BRL",T268,T268*Macroindicadores!E$2)/1000)</f>
        <v/>
      </c>
      <c r="AI268" s="39">
        <f>IF(ISBLANK(U268),"",IF($P268="BRL",U268,U268*Macroindicadores!F$2)/1000)</f>
        <v>0.8</v>
      </c>
      <c r="AJ268" s="39" t="str">
        <f>IF(ISBLANK(V268),"",IF($P268="BRL",V268,V268*Macroindicadores!G$2)/1000)</f>
        <v/>
      </c>
      <c r="AK268" s="39">
        <f>IF(ISBLANK(W268),"",IF($P268="BRL",W268,W268*Macroindicadores!H$2)/1000)</f>
        <v>0.8</v>
      </c>
      <c r="AL268" s="39" t="str">
        <f>IF(ISBLANK(X268),"",IF($P268="BRL",X268,X268*Macroindicadores!I$2)/1000)</f>
        <v/>
      </c>
      <c r="AM268" s="39">
        <f>IF(ISBLANK(Y268),"",IF($P268="BRL",Y268,Y268*Macroindicadores!J$2)/1000)</f>
        <v>0.8</v>
      </c>
      <c r="AN268" s="39" t="str">
        <f>IF(ISBLANK(Z268),"",IF($P268="BRL",Z268,Z268*Macroindicadores!K$2)/1000)</f>
        <v/>
      </c>
      <c r="AO268" s="39">
        <f>IF(ISBLANK(AA268),"",IF($P268="BRL",AA268,AA268*Macroindicadores!L$2)/1000)</f>
        <v>0.8</v>
      </c>
      <c r="AP268" s="39" t="str">
        <f>IF(ISBLANK(AB268),"",IF($P268="BRL",AB268,AB268*Macroindicadores!M$2)/1000)</f>
        <v/>
      </c>
      <c r="AQ268" s="40">
        <f t="shared" si="105"/>
        <v>4.8</v>
      </c>
      <c r="AS268" s="39">
        <f>IF(ISBLANK(Q268),"",IF(ISBLANK($O268),AE268,IF($J268="ANUAL",AE268*(1+Macroindicadores!B$7),IF(AND($I268="NOVO",MONTH($O268)=MONTH(AS$4)),AE268*(1+Macroindicadores!B$7),IF(AND($J268="PONTUAL",MONTH($O268)=MONTH(AS$4)),AE268*(1+Macroindicadores!B$7),IF(AND($J268="PONTUAL",MONTH($O268)&lt;MONTH(AS$4)),MIN(AR268:$AS268),IF(AND($I268="NOVO",MONTH($O268)&gt;MONTH(AS$4)),AE268,IF(MONTH($O268)&gt;MONTH(AS$4),AE268,IF(MONTH($O268)=MONTH(AS$4),AE268*(1+Macroindicadores!B$7),AR268)))))))))</f>
        <v>0.8</v>
      </c>
      <c r="AT268" s="39" t="str">
        <f>IF(ISBLANK(R268),"",IF(ISBLANK($O268),AF268,IF($J268="ANUAL",AF268*(1+Macroindicadores!C$7),IF(AND($I268="NOVO",MONTH($O268)=MONTH(AT$4)),AF268*(1+Macroindicadores!C$7),IF(AND($J268="PONTUAL",MONTH($O268)=MONTH(AT$4)),AF268*(1+Macroindicadores!C$7),IF(AND($J268="PONTUAL",MONTH($O268)&lt;MONTH(AT$4)),MIN($AS268:AS268),IF(AND($I268="NOVO",MONTH($O268)&gt;MONTH(AT$4)),AF268,IF(MONTH($O268)&gt;MONTH(AT$4),AF268,IF(MONTH($O268)=MONTH(AT$4),AF268*(1+Macroindicadores!C$7),AS268)))))))))</f>
        <v/>
      </c>
      <c r="AU268" s="39">
        <f>IF(ISBLANK(S268),"",IF(ISBLANK($O268),AG268,IF($J268="ANUAL",AG268*(1+Macroindicadores!D$7),IF(AND($I268="NOVO",MONTH($O268)=MONTH(AU$4)),AG268*(1+Macroindicadores!D$7),IF(AND($J268="PONTUAL",MONTH($O268)=MONTH(AU$4)),AG268*(1+Macroindicadores!D$7),IF(AND($J268="PONTUAL",MONTH($O268)&lt;MONTH(AU$4)),MIN($AS268:AT268),IF(AND($I268="NOVO",MONTH($O268)&gt;MONTH(AU$4)),AG268,IF(MONTH($O268)&gt;MONTH(AU$4),AG268,IF(MONTH($O268)=MONTH(AU$4),AG268*(1+Macroindicadores!D$7),AT268)))))))))</f>
        <v>0.8</v>
      </c>
      <c r="AV268" s="39" t="str">
        <f>IF(ISBLANK(T268),"",IF(ISBLANK($O268),AH268,IF($J268="ANUAL",AH268*(1+Macroindicadores!E$7),IF(AND($I268="NOVO",MONTH($O268)=MONTH(AV$4)),AH268*(1+Macroindicadores!E$7),IF(AND($J268="PONTUAL",MONTH($O268)=MONTH(AV$4)),AH268*(1+Macroindicadores!E$7),IF(AND($J268="PONTUAL",MONTH($O268)&lt;MONTH(AV$4)),MIN($AS268:AU268),IF(AND($I268="NOVO",MONTH($O268)&gt;MONTH(AV$4)),AH268,IF(MONTH($O268)&gt;MONTH(AV$4),AH268,IF(MONTH($O268)=MONTH(AV$4),AH268*(1+Macroindicadores!E$7),AU268)))))))))</f>
        <v/>
      </c>
      <c r="AW268" s="39">
        <f>IF(ISBLANK(U268),"",IF(ISBLANK($O268),AI268,IF($J268="ANUAL",AI268*(1+Macroindicadores!F$7),IF(AND($I268="NOVO",MONTH($O268)=MONTH(AW$4)),AI268*(1+Macroindicadores!F$7),IF(AND($J268="PONTUAL",MONTH($O268)=MONTH(AW$4)),AI268*(1+Macroindicadores!F$7),IF(AND($J268="PONTUAL",MONTH($O268)&lt;MONTH(AW$4)),MIN($AS268:AV268),IF(AND($I268="NOVO",MONTH($O268)&gt;MONTH(AW$4)),AI268,IF(MONTH($O268)&gt;MONTH(AW$4),AI268,IF(MONTH($O268)=MONTH(AW$4),AI268*(1+Macroindicadores!F$7),AV268)))))))))</f>
        <v>0.8</v>
      </c>
      <c r="AX268" s="39" t="str">
        <f>IF(ISBLANK(V268),"",IF(ISBLANK($O268),AJ268,IF($J268="ANUAL",AJ268*(1+Macroindicadores!G$7),IF(AND($I268="NOVO",MONTH($O268)=MONTH(AX$4)),AJ268*(1+Macroindicadores!G$7),IF(AND($J268="PONTUAL",MONTH($O268)=MONTH(AX$4)),AJ268*(1+Macroindicadores!G$7),IF(AND($J268="PONTUAL",MONTH($O268)&lt;MONTH(AX$4)),MIN($AS268:AW268),IF(AND($I268="NOVO",MONTH($O268)&gt;MONTH(AX$4)),AJ268,IF(MONTH($O268)&gt;MONTH(AX$4),AJ268,IF(MONTH($O268)=MONTH(AX$4),AJ268*(1+Macroindicadores!G$7),AW268)))))))))</f>
        <v/>
      </c>
      <c r="AY268" s="39">
        <f>IF(ISBLANK(W268),"",IF(ISBLANK($O268),AK268,IF($J268="ANUAL",AK268*(1+Macroindicadores!H$7),IF(AND($I268="NOVO",MONTH($O268)=MONTH(AY$4)),AK268*(1+Macroindicadores!H$7),IF(AND($J268="PONTUAL",MONTH($O268)=MONTH(AY$4)),AK268*(1+Macroindicadores!H$7),IF(AND($J268="PONTUAL",MONTH($O268)&lt;MONTH(AY$4)),MIN($AS268:AX268),IF(AND($I268="NOVO",MONTH($O268)&gt;MONTH(AY$4)),AK268,IF(MONTH($O268)&gt;MONTH(AY$4),AK268,IF(MONTH($O268)=MONTH(AY$4),AK268*(1+Macroindicadores!H$7),AX268)))))))))</f>
        <v>0.8</v>
      </c>
      <c r="AZ268" s="39" t="str">
        <f>IF(ISBLANK(X268),"",IF(ISBLANK($O268),AL268,IF($J268="ANUAL",AL268*(1+Macroindicadores!I$7),IF(AND($I268="NOVO",MONTH($O268)=MONTH(AZ$4)),AL268*(1+Macroindicadores!I$7),IF(AND($J268="PONTUAL",MONTH($O268)=MONTH(AZ$4)),AL268*(1+Macroindicadores!I$7),IF(AND($J268="PONTUAL",MONTH($O268)&lt;MONTH(AZ$4)),MIN($AS268:AY268),IF(AND($I268="NOVO",MONTH($O268)&gt;MONTH(AZ$4)),AL268,IF(MONTH($O268)&gt;MONTH(AZ$4),AL268,IF(MONTH($O268)=MONTH(AZ$4),AL268*(1+Macroindicadores!I$7),AY268)))))))))</f>
        <v/>
      </c>
      <c r="BA268" s="39">
        <f>IF(ISBLANK(Y268),"",IF(ISBLANK($O268),AM268,IF($J268="ANUAL",AM268*(1+Macroindicadores!J$7),IF(AND($I268="NOVO",MONTH($O268)=MONTH(BA$4)),AM268*(1+Macroindicadores!J$7),IF(AND($J268="PONTUAL",MONTH($O268)=MONTH(BA$4)),AM268*(1+Macroindicadores!J$7),IF(AND($J268="PONTUAL",MONTH($O268)&lt;MONTH(BA$4)),MIN($AS268:AZ268),IF(AND($I268="NOVO",MONTH($O268)&gt;MONTH(BA$4)),AM268,IF(MONTH($O268)&gt;MONTH(BA$4),AM268,IF(MONTH($O268)=MONTH(BA$4),AM268*(1+Macroindicadores!J$7),AZ268)))))))))</f>
        <v>0.8</v>
      </c>
      <c r="BB268" s="39" t="str">
        <f>IF(ISBLANK(Z268),"",IF(ISBLANK($O268),AN268,IF($J268="ANUAL",AN268*(1+Macroindicadores!K$7),IF(AND($I268="NOVO",MONTH($O268)=MONTH(BB$4)),AN268*(1+Macroindicadores!K$7),IF(AND($J268="PONTUAL",MONTH($O268)=MONTH(BB$4)),AN268*(1+Macroindicadores!K$7),IF(AND($J268="PONTUAL",MONTH($O268)&lt;MONTH(BB$4)),MIN($AS268:BA268),IF(AND($I268="NOVO",MONTH($O268)&gt;MONTH(BB$4)),AN268,IF(MONTH($O268)&gt;MONTH(BB$4),AN268,IF(MONTH($O268)=MONTH(BB$4),AN268*(1+Macroindicadores!K$7),BA268)))))))))</f>
        <v/>
      </c>
      <c r="BC268" s="39">
        <f>IF(ISBLANK(AA268),"",IF(ISBLANK($O268),AO268,IF($J268="ANUAL",AO268*(1+Macroindicadores!L$7),IF(AND($I268="NOVO",MONTH($O268)=MONTH(BC$4)),AO268*(1+Macroindicadores!L$7),IF(AND($J268="PONTUAL",MONTH($O268)=MONTH(BC$4)),AO268*(1+Macroindicadores!L$7),IF(AND($J268="PONTUAL",MONTH($O268)&lt;MONTH(BC$4)),MIN($AS268:BB268),IF(AND($I268="NOVO",MONTH($O268)&gt;MONTH(BC$4)),AO268,IF(MONTH($O268)&gt;MONTH(BC$4),AO268,IF(MONTH($O268)=MONTH(BC$4),AO268*(1+Macroindicadores!L$7),BB268)))))))))</f>
        <v>0.8</v>
      </c>
      <c r="BD268" s="39" t="str">
        <f>IF(ISBLANK(AB268),"",IF(ISBLANK($O268),AP268,IF($J268="ANUAL",AP268*(1+Macroindicadores!M$7),IF(AND($I268="NOVO",MONTH($O268)=MONTH(BD$4)),AP268*(1+Macroindicadores!M$7),IF(AND($J268="PONTUAL",MONTH($O268)=MONTH(BD$4)),AP268*(1+Macroindicadores!M$7),IF(AND($J268="PONTUAL",MONTH($O268)&lt;MONTH(BD$4)),MIN($AS268:BC268),IF(AND($I268="NOVO",MONTH($O268)&gt;MONTH(BD$4)),AP268,IF(MONTH($O268)&gt;MONTH(BD$4),AP268,IF(MONTH($O268)=MONTH(BD$4),AP268*(1+Macroindicadores!M$7),BC268)))))))))</f>
        <v/>
      </c>
      <c r="BE268" s="40">
        <f t="shared" si="106"/>
        <v>4.8</v>
      </c>
      <c r="BG268" s="39">
        <f>IF(ISBLANK(Q268),"",AS268/Macroindicadores!B$2)</f>
        <v>0.1360544217687075</v>
      </c>
      <c r="BH268" s="39" t="str">
        <f>IF(ISBLANK(R268),"",AT268/Macroindicadores!C$2)</f>
        <v/>
      </c>
      <c r="BI268" s="39">
        <f>IF(ISBLANK(S268),"",AU268/Macroindicadores!D$2)</f>
        <v>0.1360544217687075</v>
      </c>
      <c r="BJ268" s="39" t="str">
        <f>IF(ISBLANK(T268),"",AV268/Macroindicadores!E$2)</f>
        <v/>
      </c>
      <c r="BK268" s="39">
        <f>IF(ISBLANK(U268),"",AW268/Macroindicadores!F$2)</f>
        <v>0.1360544217687075</v>
      </c>
      <c r="BL268" s="39" t="str">
        <f>IF(ISBLANK(V268),"",AX268/Macroindicadores!G$2)</f>
        <v/>
      </c>
      <c r="BM268" s="39">
        <f>IF(ISBLANK(W268),"",AY268/Macroindicadores!H$2)</f>
        <v>0.1360544217687075</v>
      </c>
      <c r="BN268" s="39" t="str">
        <f>IF(ISBLANK(X268),"",AZ268/Macroindicadores!I$2)</f>
        <v/>
      </c>
      <c r="BO268" s="39">
        <f>IF(ISBLANK(Y268),"",BA268/Macroindicadores!J$2)</f>
        <v>0.1360544217687075</v>
      </c>
      <c r="BP268" s="39" t="str">
        <f>IF(ISBLANK(Z268),"",BB268/Macroindicadores!K$2)</f>
        <v/>
      </c>
      <c r="BQ268" s="39">
        <f>IF(ISBLANK(AA268),"",BC268/Macroindicadores!L$2)</f>
        <v>0.1360544217687075</v>
      </c>
      <c r="BR268" s="39" t="str">
        <f>IF(ISBLANK(AB268),"",BD268/Macroindicadores!M$2)</f>
        <v/>
      </c>
      <c r="BS268" s="40">
        <f t="shared" si="107"/>
        <v>0.81632653061224503</v>
      </c>
      <c r="BT268" s="25" t="str">
        <f>IF(ISBLANK($L268),"",_xlfn.XLOOKUP($L268,'CENTRO CUSTO'!$A:$A,'CENTRO CUSTO'!$E:$E,FALSE,0))</f>
        <v>G&amp;A PL</v>
      </c>
    </row>
    <row r="269" spans="1:72">
      <c r="A269" s="9" t="str">
        <f t="shared" si="80"/>
        <v>Budget</v>
      </c>
      <c r="B269" s="9">
        <f t="shared" si="77"/>
        <v>2026</v>
      </c>
      <c r="C269" s="18" t="str">
        <f>IF(ISBLANK($L269),"",_xlfn.XLOOKUP($L269,'CENTRO CUSTO'!$A:$A,'CENTRO CUSTO'!F:F,FALSE,0))</f>
        <v>Cone Sul</v>
      </c>
      <c r="D269" s="111" t="str">
        <f>IF(ISBLANK($L269),"",_xlfn.XLOOKUP($L269,'CENTRO CUSTO'!$A:$A,'CENTRO CUSTO'!G:G,FALSE,0))</f>
        <v>Plataforma</v>
      </c>
      <c r="E269" s="18" t="str">
        <f>IF(ISBLANK($L269),"",_xlfn.XLOOKUP($L269,'CENTRO CUSTO'!$A:$A,'CENTRO CUSTO'!H:H,FALSE,0))</f>
        <v>G&amp;A</v>
      </c>
      <c r="F269" s="10" t="s">
        <v>258</v>
      </c>
      <c r="G269" s="10" t="s">
        <v>233</v>
      </c>
      <c r="H269" s="10" t="s">
        <v>257</v>
      </c>
      <c r="I269" s="11" t="s">
        <v>77</v>
      </c>
      <c r="J269" s="11" t="s">
        <v>78</v>
      </c>
      <c r="K269" s="11" t="s">
        <v>94</v>
      </c>
      <c r="L269" s="11" t="s">
        <v>54</v>
      </c>
      <c r="M269" s="18" t="str">
        <f>IF(ISBLANK($L269),"",_xlfn.XLOOKUP($L269,'CENTRO CUSTO'!$A:$A,'CENTRO CUSTO'!D:D,FALSE,0))</f>
        <v>Alexandre Ayabe</v>
      </c>
      <c r="N269" s="11" t="s">
        <v>245</v>
      </c>
      <c r="O269" s="12"/>
      <c r="P269" s="11" t="s">
        <v>81</v>
      </c>
      <c r="Q269" s="41">
        <f>150*3</f>
        <v>450</v>
      </c>
      <c r="R269" s="41"/>
      <c r="S269" s="41">
        <f t="shared" ref="S269:AA269" si="126">150*3</f>
        <v>450</v>
      </c>
      <c r="T269" s="41"/>
      <c r="U269" s="41">
        <f t="shared" si="126"/>
        <v>450</v>
      </c>
      <c r="V269" s="41"/>
      <c r="W269" s="41">
        <f t="shared" si="126"/>
        <v>450</v>
      </c>
      <c r="X269" s="41"/>
      <c r="Y269" s="41">
        <f t="shared" si="126"/>
        <v>450</v>
      </c>
      <c r="Z269" s="41"/>
      <c r="AA269" s="41">
        <f t="shared" si="126"/>
        <v>450</v>
      </c>
      <c r="AB269" s="41"/>
      <c r="AC269" s="116">
        <f t="shared" si="104"/>
        <v>2700</v>
      </c>
      <c r="AE269" s="39">
        <f>IF(ISBLANK(Q269),"",IF($P269="BRL",Q269,Q269*Macroindicadores!B$2)/1000)</f>
        <v>0.45</v>
      </c>
      <c r="AF269" s="39" t="str">
        <f>IF(ISBLANK(R269),"",IF($P269="BRL",R269,R269*Macroindicadores!C$2)/1000)</f>
        <v/>
      </c>
      <c r="AG269" s="39">
        <f>IF(ISBLANK(S269),"",IF($P269="BRL",S269,S269*Macroindicadores!D$2)/1000)</f>
        <v>0.45</v>
      </c>
      <c r="AH269" s="39" t="str">
        <f>IF(ISBLANK(T269),"",IF($P269="BRL",T269,T269*Macroindicadores!E$2)/1000)</f>
        <v/>
      </c>
      <c r="AI269" s="39">
        <f>IF(ISBLANK(U269),"",IF($P269="BRL",U269,U269*Macroindicadores!F$2)/1000)</f>
        <v>0.45</v>
      </c>
      <c r="AJ269" s="39" t="str">
        <f>IF(ISBLANK(V269),"",IF($P269="BRL",V269,V269*Macroindicadores!G$2)/1000)</f>
        <v/>
      </c>
      <c r="AK269" s="39">
        <f>IF(ISBLANK(W269),"",IF($P269="BRL",W269,W269*Macroindicadores!H$2)/1000)</f>
        <v>0.45</v>
      </c>
      <c r="AL269" s="39" t="str">
        <f>IF(ISBLANK(X269),"",IF($P269="BRL",X269,X269*Macroindicadores!I$2)/1000)</f>
        <v/>
      </c>
      <c r="AM269" s="39">
        <f>IF(ISBLANK(Y269),"",IF($P269="BRL",Y269,Y269*Macroindicadores!J$2)/1000)</f>
        <v>0.45</v>
      </c>
      <c r="AN269" s="39" t="str">
        <f>IF(ISBLANK(Z269),"",IF($P269="BRL",Z269,Z269*Macroindicadores!K$2)/1000)</f>
        <v/>
      </c>
      <c r="AO269" s="39">
        <f>IF(ISBLANK(AA269),"",IF($P269="BRL",AA269,AA269*Macroindicadores!L$2)/1000)</f>
        <v>0.45</v>
      </c>
      <c r="AP269" s="39" t="str">
        <f>IF(ISBLANK(AB269),"",IF($P269="BRL",AB269,AB269*Macroindicadores!M$2)/1000)</f>
        <v/>
      </c>
      <c r="AQ269" s="40">
        <f t="shared" si="105"/>
        <v>2.7</v>
      </c>
      <c r="AS269" s="39">
        <f>IF(ISBLANK(Q269),"",IF(ISBLANK($O269),AE269,IF($J269="ANUAL",AE269*(1+Macroindicadores!B$7),IF(AND($I269="NOVO",MONTH($O269)=MONTH(AS$4)),AE269*(1+Macroindicadores!B$7),IF(AND($J269="PONTUAL",MONTH($O269)=MONTH(AS$4)),AE269*(1+Macroindicadores!B$7),IF(AND($J269="PONTUAL",MONTH($O269)&lt;MONTH(AS$4)),MIN(AR269:$AS269),IF(AND($I269="NOVO",MONTH($O269)&gt;MONTH(AS$4)),AE269,IF(MONTH($O269)&gt;MONTH(AS$4),AE269,IF(MONTH($O269)=MONTH(AS$4),AE269*(1+Macroindicadores!B$7),AR269)))))))))</f>
        <v>0.45</v>
      </c>
      <c r="AT269" s="39" t="str">
        <f>IF(ISBLANK(R269),"",IF(ISBLANK($O269),AF269,IF($J269="ANUAL",AF269*(1+Macroindicadores!C$7),IF(AND($I269="NOVO",MONTH($O269)=MONTH(AT$4)),AF269*(1+Macroindicadores!C$7),IF(AND($J269="PONTUAL",MONTH($O269)=MONTH(AT$4)),AF269*(1+Macroindicadores!C$7),IF(AND($J269="PONTUAL",MONTH($O269)&lt;MONTH(AT$4)),MIN($AS269:AS269),IF(AND($I269="NOVO",MONTH($O269)&gt;MONTH(AT$4)),AF269,IF(MONTH($O269)&gt;MONTH(AT$4),AF269,IF(MONTH($O269)=MONTH(AT$4),AF269*(1+Macroindicadores!C$7),AS269)))))))))</f>
        <v/>
      </c>
      <c r="AU269" s="39">
        <f>IF(ISBLANK(S269),"",IF(ISBLANK($O269),AG269,IF($J269="ANUAL",AG269*(1+Macroindicadores!D$7),IF(AND($I269="NOVO",MONTH($O269)=MONTH(AU$4)),AG269*(1+Macroindicadores!D$7),IF(AND($J269="PONTUAL",MONTH($O269)=MONTH(AU$4)),AG269*(1+Macroindicadores!D$7),IF(AND($J269="PONTUAL",MONTH($O269)&lt;MONTH(AU$4)),MIN($AS269:AT269),IF(AND($I269="NOVO",MONTH($O269)&gt;MONTH(AU$4)),AG269,IF(MONTH($O269)&gt;MONTH(AU$4),AG269,IF(MONTH($O269)=MONTH(AU$4),AG269*(1+Macroindicadores!D$7),AT269)))))))))</f>
        <v>0.45</v>
      </c>
      <c r="AV269" s="39" t="str">
        <f>IF(ISBLANK(T269),"",IF(ISBLANK($O269),AH269,IF($J269="ANUAL",AH269*(1+Macroindicadores!E$7),IF(AND($I269="NOVO",MONTH($O269)=MONTH(AV$4)),AH269*(1+Macroindicadores!E$7),IF(AND($J269="PONTUAL",MONTH($O269)=MONTH(AV$4)),AH269*(1+Macroindicadores!E$7),IF(AND($J269="PONTUAL",MONTH($O269)&lt;MONTH(AV$4)),MIN($AS269:AU269),IF(AND($I269="NOVO",MONTH($O269)&gt;MONTH(AV$4)),AH269,IF(MONTH($O269)&gt;MONTH(AV$4),AH269,IF(MONTH($O269)=MONTH(AV$4),AH269*(1+Macroindicadores!E$7),AU269)))))))))</f>
        <v/>
      </c>
      <c r="AW269" s="39">
        <f>IF(ISBLANK(U269),"",IF(ISBLANK($O269),AI269,IF($J269="ANUAL",AI269*(1+Macroindicadores!F$7),IF(AND($I269="NOVO",MONTH($O269)=MONTH(AW$4)),AI269*(1+Macroindicadores!F$7),IF(AND($J269="PONTUAL",MONTH($O269)=MONTH(AW$4)),AI269*(1+Macroindicadores!F$7),IF(AND($J269="PONTUAL",MONTH($O269)&lt;MONTH(AW$4)),MIN($AS269:AV269),IF(AND($I269="NOVO",MONTH($O269)&gt;MONTH(AW$4)),AI269,IF(MONTH($O269)&gt;MONTH(AW$4),AI269,IF(MONTH($O269)=MONTH(AW$4),AI269*(1+Macroindicadores!F$7),AV269)))))))))</f>
        <v>0.45</v>
      </c>
      <c r="AX269" s="39" t="str">
        <f>IF(ISBLANK(V269),"",IF(ISBLANK($O269),AJ269,IF($J269="ANUAL",AJ269*(1+Macroindicadores!G$7),IF(AND($I269="NOVO",MONTH($O269)=MONTH(AX$4)),AJ269*(1+Macroindicadores!G$7),IF(AND($J269="PONTUAL",MONTH($O269)=MONTH(AX$4)),AJ269*(1+Macroindicadores!G$7),IF(AND($J269="PONTUAL",MONTH($O269)&lt;MONTH(AX$4)),MIN($AS269:AW269),IF(AND($I269="NOVO",MONTH($O269)&gt;MONTH(AX$4)),AJ269,IF(MONTH($O269)&gt;MONTH(AX$4),AJ269,IF(MONTH($O269)=MONTH(AX$4),AJ269*(1+Macroindicadores!G$7),AW269)))))))))</f>
        <v/>
      </c>
      <c r="AY269" s="39">
        <f>IF(ISBLANK(W269),"",IF(ISBLANK($O269),AK269,IF($J269="ANUAL",AK269*(1+Macroindicadores!H$7),IF(AND($I269="NOVO",MONTH($O269)=MONTH(AY$4)),AK269*(1+Macroindicadores!H$7),IF(AND($J269="PONTUAL",MONTH($O269)=MONTH(AY$4)),AK269*(1+Macroindicadores!H$7),IF(AND($J269="PONTUAL",MONTH($O269)&lt;MONTH(AY$4)),MIN($AS269:AX269),IF(AND($I269="NOVO",MONTH($O269)&gt;MONTH(AY$4)),AK269,IF(MONTH($O269)&gt;MONTH(AY$4),AK269,IF(MONTH($O269)=MONTH(AY$4),AK269*(1+Macroindicadores!H$7),AX269)))))))))</f>
        <v>0.45</v>
      </c>
      <c r="AZ269" s="39" t="str">
        <f>IF(ISBLANK(X269),"",IF(ISBLANK($O269),AL269,IF($J269="ANUAL",AL269*(1+Macroindicadores!I$7),IF(AND($I269="NOVO",MONTH($O269)=MONTH(AZ$4)),AL269*(1+Macroindicadores!I$7),IF(AND($J269="PONTUAL",MONTH($O269)=MONTH(AZ$4)),AL269*(1+Macroindicadores!I$7),IF(AND($J269="PONTUAL",MONTH($O269)&lt;MONTH(AZ$4)),MIN($AS269:AY269),IF(AND($I269="NOVO",MONTH($O269)&gt;MONTH(AZ$4)),AL269,IF(MONTH($O269)&gt;MONTH(AZ$4),AL269,IF(MONTH($O269)=MONTH(AZ$4),AL269*(1+Macroindicadores!I$7),AY269)))))))))</f>
        <v/>
      </c>
      <c r="BA269" s="39">
        <f>IF(ISBLANK(Y269),"",IF(ISBLANK($O269),AM269,IF($J269="ANUAL",AM269*(1+Macroindicadores!J$7),IF(AND($I269="NOVO",MONTH($O269)=MONTH(BA$4)),AM269*(1+Macroindicadores!J$7),IF(AND($J269="PONTUAL",MONTH($O269)=MONTH(BA$4)),AM269*(1+Macroindicadores!J$7),IF(AND($J269="PONTUAL",MONTH($O269)&lt;MONTH(BA$4)),MIN($AS269:AZ269),IF(AND($I269="NOVO",MONTH($O269)&gt;MONTH(BA$4)),AM269,IF(MONTH($O269)&gt;MONTH(BA$4),AM269,IF(MONTH($O269)=MONTH(BA$4),AM269*(1+Macroindicadores!J$7),AZ269)))))))))</f>
        <v>0.45</v>
      </c>
      <c r="BB269" s="39" t="str">
        <f>IF(ISBLANK(Z269),"",IF(ISBLANK($O269),AN269,IF($J269="ANUAL",AN269*(1+Macroindicadores!K$7),IF(AND($I269="NOVO",MONTH($O269)=MONTH(BB$4)),AN269*(1+Macroindicadores!K$7),IF(AND($J269="PONTUAL",MONTH($O269)=MONTH(BB$4)),AN269*(1+Macroindicadores!K$7),IF(AND($J269="PONTUAL",MONTH($O269)&lt;MONTH(BB$4)),MIN($AS269:BA269),IF(AND($I269="NOVO",MONTH($O269)&gt;MONTH(BB$4)),AN269,IF(MONTH($O269)&gt;MONTH(BB$4),AN269,IF(MONTH($O269)=MONTH(BB$4),AN269*(1+Macroindicadores!K$7),BA269)))))))))</f>
        <v/>
      </c>
      <c r="BC269" s="39">
        <f>IF(ISBLANK(AA269),"",IF(ISBLANK($O269),AO269,IF($J269="ANUAL",AO269*(1+Macroindicadores!L$7),IF(AND($I269="NOVO",MONTH($O269)=MONTH(BC$4)),AO269*(1+Macroindicadores!L$7),IF(AND($J269="PONTUAL",MONTH($O269)=MONTH(BC$4)),AO269*(1+Macroindicadores!L$7),IF(AND($J269="PONTUAL",MONTH($O269)&lt;MONTH(BC$4)),MIN($AS269:BB269),IF(AND($I269="NOVO",MONTH($O269)&gt;MONTH(BC$4)),AO269,IF(MONTH($O269)&gt;MONTH(BC$4),AO269,IF(MONTH($O269)=MONTH(BC$4),AO269*(1+Macroindicadores!L$7),BB269)))))))))</f>
        <v>0.45</v>
      </c>
      <c r="BD269" s="39" t="str">
        <f>IF(ISBLANK(AB269),"",IF(ISBLANK($O269),AP269,IF($J269="ANUAL",AP269*(1+Macroindicadores!M$7),IF(AND($I269="NOVO",MONTH($O269)=MONTH(BD$4)),AP269*(1+Macroindicadores!M$7),IF(AND($J269="PONTUAL",MONTH($O269)=MONTH(BD$4)),AP269*(1+Macroindicadores!M$7),IF(AND($J269="PONTUAL",MONTH($O269)&lt;MONTH(BD$4)),MIN($AS269:BC269),IF(AND($I269="NOVO",MONTH($O269)&gt;MONTH(BD$4)),AP269,IF(MONTH($O269)&gt;MONTH(BD$4),AP269,IF(MONTH($O269)=MONTH(BD$4),AP269*(1+Macroindicadores!M$7),BC269)))))))))</f>
        <v/>
      </c>
      <c r="BE269" s="40">
        <f t="shared" si="106"/>
        <v>2.7</v>
      </c>
      <c r="BG269" s="39">
        <f>IF(ISBLANK(Q269),"",AS269/Macroindicadores!B$2)</f>
        <v>7.6530612244897961E-2</v>
      </c>
      <c r="BH269" s="39" t="str">
        <f>IF(ISBLANK(R269),"",AT269/Macroindicadores!C$2)</f>
        <v/>
      </c>
      <c r="BI269" s="39">
        <f>IF(ISBLANK(S269),"",AU269/Macroindicadores!D$2)</f>
        <v>7.6530612244897961E-2</v>
      </c>
      <c r="BJ269" s="39" t="str">
        <f>IF(ISBLANK(T269),"",AV269/Macroindicadores!E$2)</f>
        <v/>
      </c>
      <c r="BK269" s="39">
        <f>IF(ISBLANK(U269),"",AW269/Macroindicadores!F$2)</f>
        <v>7.6530612244897961E-2</v>
      </c>
      <c r="BL269" s="39" t="str">
        <f>IF(ISBLANK(V269),"",AX269/Macroindicadores!G$2)</f>
        <v/>
      </c>
      <c r="BM269" s="39">
        <f>IF(ISBLANK(W269),"",AY269/Macroindicadores!H$2)</f>
        <v>7.6530612244897961E-2</v>
      </c>
      <c r="BN269" s="39" t="str">
        <f>IF(ISBLANK(X269),"",AZ269/Macroindicadores!I$2)</f>
        <v/>
      </c>
      <c r="BO269" s="39">
        <f>IF(ISBLANK(Y269),"",BA269/Macroindicadores!J$2)</f>
        <v>7.6530612244897961E-2</v>
      </c>
      <c r="BP269" s="39" t="str">
        <f>IF(ISBLANK(Z269),"",BB269/Macroindicadores!K$2)</f>
        <v/>
      </c>
      <c r="BQ269" s="39">
        <f>IF(ISBLANK(AA269),"",BC269/Macroindicadores!L$2)</f>
        <v>7.6530612244897961E-2</v>
      </c>
      <c r="BR269" s="39" t="str">
        <f>IF(ISBLANK(AB269),"",BD269/Macroindicadores!M$2)</f>
        <v/>
      </c>
      <c r="BS269" s="40">
        <f t="shared" si="107"/>
        <v>0.45918367346938782</v>
      </c>
      <c r="BT269" s="25" t="str">
        <f>IF(ISBLANK($L269),"",_xlfn.XLOOKUP($L269,'CENTRO CUSTO'!$A:$A,'CENTRO CUSTO'!$E:$E,FALSE,0))</f>
        <v>G&amp;A PL</v>
      </c>
    </row>
    <row r="270" spans="1:72">
      <c r="A270" s="9" t="str">
        <f t="shared" si="80"/>
        <v>Budget</v>
      </c>
      <c r="B270" s="9">
        <f t="shared" si="77"/>
        <v>2026</v>
      </c>
      <c r="C270" s="18" t="str">
        <f>IF(ISBLANK($L270),"",_xlfn.XLOOKUP($L270,'CENTRO CUSTO'!$A:$A,'CENTRO CUSTO'!F:F,FALSE,0))</f>
        <v>Cone Sul</v>
      </c>
      <c r="D270" s="111" t="str">
        <f>IF(ISBLANK($L270),"",_xlfn.XLOOKUP($L270,'CENTRO CUSTO'!$A:$A,'CENTRO CUSTO'!G:G,FALSE,0))</f>
        <v>Plataforma</v>
      </c>
      <c r="E270" s="18" t="str">
        <f>IF(ISBLANK($L270),"",_xlfn.XLOOKUP($L270,'CENTRO CUSTO'!$A:$A,'CENTRO CUSTO'!H:H,FALSE,0))</f>
        <v>G&amp;A</v>
      </c>
      <c r="F270" s="10" t="s">
        <v>248</v>
      </c>
      <c r="G270" s="10" t="s">
        <v>233</v>
      </c>
      <c r="H270" s="10" t="s">
        <v>257</v>
      </c>
      <c r="I270" s="11" t="s">
        <v>77</v>
      </c>
      <c r="J270" s="11" t="s">
        <v>78</v>
      </c>
      <c r="K270" s="11" t="s">
        <v>94</v>
      </c>
      <c r="L270" s="11" t="s">
        <v>54</v>
      </c>
      <c r="M270" s="18" t="str">
        <f>IF(ISBLANK($L270),"",_xlfn.XLOOKUP($L270,'CENTRO CUSTO'!$A:$A,'CENTRO CUSTO'!D:D,FALSE,0))</f>
        <v>Alexandre Ayabe</v>
      </c>
      <c r="N270" s="11" t="s">
        <v>245</v>
      </c>
      <c r="O270" s="12"/>
      <c r="P270" s="11" t="s">
        <v>81</v>
      </c>
      <c r="Q270" s="41">
        <f>400*3</f>
        <v>1200</v>
      </c>
      <c r="R270" s="41"/>
      <c r="S270" s="41">
        <f t="shared" ref="S270:AA270" si="127">400*3</f>
        <v>1200</v>
      </c>
      <c r="T270" s="41"/>
      <c r="U270" s="41">
        <f t="shared" si="127"/>
        <v>1200</v>
      </c>
      <c r="V270" s="41"/>
      <c r="W270" s="41">
        <f t="shared" si="127"/>
        <v>1200</v>
      </c>
      <c r="X270" s="41"/>
      <c r="Y270" s="41">
        <f t="shared" si="127"/>
        <v>1200</v>
      </c>
      <c r="Z270" s="41"/>
      <c r="AA270" s="41">
        <f t="shared" si="127"/>
        <v>1200</v>
      </c>
      <c r="AB270" s="41"/>
      <c r="AC270" s="116">
        <f t="shared" si="104"/>
        <v>7200</v>
      </c>
      <c r="AE270" s="39">
        <f>IF(ISBLANK(Q270),"",IF($P270="BRL",Q270,Q270*Macroindicadores!B$2)/1000)</f>
        <v>1.2</v>
      </c>
      <c r="AF270" s="39" t="str">
        <f>IF(ISBLANK(R270),"",IF($P270="BRL",R270,R270*Macroindicadores!C$2)/1000)</f>
        <v/>
      </c>
      <c r="AG270" s="39">
        <f>IF(ISBLANK(S270),"",IF($P270="BRL",S270,S270*Macroindicadores!D$2)/1000)</f>
        <v>1.2</v>
      </c>
      <c r="AH270" s="39" t="str">
        <f>IF(ISBLANK(T270),"",IF($P270="BRL",T270,T270*Macroindicadores!E$2)/1000)</f>
        <v/>
      </c>
      <c r="AI270" s="39">
        <f>IF(ISBLANK(U270),"",IF($P270="BRL",U270,U270*Macroindicadores!F$2)/1000)</f>
        <v>1.2</v>
      </c>
      <c r="AJ270" s="39" t="str">
        <f>IF(ISBLANK(V270),"",IF($P270="BRL",V270,V270*Macroindicadores!G$2)/1000)</f>
        <v/>
      </c>
      <c r="AK270" s="39">
        <f>IF(ISBLANK(W270),"",IF($P270="BRL",W270,W270*Macroindicadores!H$2)/1000)</f>
        <v>1.2</v>
      </c>
      <c r="AL270" s="39" t="str">
        <f>IF(ISBLANK(X270),"",IF($P270="BRL",X270,X270*Macroindicadores!I$2)/1000)</f>
        <v/>
      </c>
      <c r="AM270" s="39">
        <f>IF(ISBLANK(Y270),"",IF($P270="BRL",Y270,Y270*Macroindicadores!J$2)/1000)</f>
        <v>1.2</v>
      </c>
      <c r="AN270" s="39" t="str">
        <f>IF(ISBLANK(Z270),"",IF($P270="BRL",Z270,Z270*Macroindicadores!K$2)/1000)</f>
        <v/>
      </c>
      <c r="AO270" s="39">
        <f>IF(ISBLANK(AA270),"",IF($P270="BRL",AA270,AA270*Macroindicadores!L$2)/1000)</f>
        <v>1.2</v>
      </c>
      <c r="AP270" s="39" t="str">
        <f>IF(ISBLANK(AB270),"",IF($P270="BRL",AB270,AB270*Macroindicadores!M$2)/1000)</f>
        <v/>
      </c>
      <c r="AQ270" s="40">
        <f t="shared" si="105"/>
        <v>7.2</v>
      </c>
      <c r="AS270" s="39">
        <f>IF(ISBLANK(Q270),"",IF(ISBLANK($O270),AE270,IF($J270="ANUAL",AE270*(1+Macroindicadores!B$7),IF(AND($I270="NOVO",MONTH($O270)=MONTH(AS$4)),AE270*(1+Macroindicadores!B$7),IF(AND($J270="PONTUAL",MONTH($O270)=MONTH(AS$4)),AE270*(1+Macroindicadores!B$7),IF(AND($J270="PONTUAL",MONTH($O270)&lt;MONTH(AS$4)),MIN(AR270:$AS270),IF(AND($I270="NOVO",MONTH($O270)&gt;MONTH(AS$4)),AE270,IF(MONTH($O270)&gt;MONTH(AS$4),AE270,IF(MONTH($O270)=MONTH(AS$4),AE270*(1+Macroindicadores!B$7),AR270)))))))))</f>
        <v>1.2</v>
      </c>
      <c r="AT270" s="39" t="str">
        <f>IF(ISBLANK(R270),"",IF(ISBLANK($O270),AF270,IF($J270="ANUAL",AF270*(1+Macroindicadores!C$7),IF(AND($I270="NOVO",MONTH($O270)=MONTH(AT$4)),AF270*(1+Macroindicadores!C$7),IF(AND($J270="PONTUAL",MONTH($O270)=MONTH(AT$4)),AF270*(1+Macroindicadores!C$7),IF(AND($J270="PONTUAL",MONTH($O270)&lt;MONTH(AT$4)),MIN($AS270:AS270),IF(AND($I270="NOVO",MONTH($O270)&gt;MONTH(AT$4)),AF270,IF(MONTH($O270)&gt;MONTH(AT$4),AF270,IF(MONTH($O270)=MONTH(AT$4),AF270*(1+Macroindicadores!C$7),AS270)))))))))</f>
        <v/>
      </c>
      <c r="AU270" s="39">
        <f>IF(ISBLANK(S270),"",IF(ISBLANK($O270),AG270,IF($J270="ANUAL",AG270*(1+Macroindicadores!D$7),IF(AND($I270="NOVO",MONTH($O270)=MONTH(AU$4)),AG270*(1+Macroindicadores!D$7),IF(AND($J270="PONTUAL",MONTH($O270)=MONTH(AU$4)),AG270*(1+Macroindicadores!D$7),IF(AND($J270="PONTUAL",MONTH($O270)&lt;MONTH(AU$4)),MIN($AS270:AT270),IF(AND($I270="NOVO",MONTH($O270)&gt;MONTH(AU$4)),AG270,IF(MONTH($O270)&gt;MONTH(AU$4),AG270,IF(MONTH($O270)=MONTH(AU$4),AG270*(1+Macroindicadores!D$7),AT270)))))))))</f>
        <v>1.2</v>
      </c>
      <c r="AV270" s="39" t="str">
        <f>IF(ISBLANK(T270),"",IF(ISBLANK($O270),AH270,IF($J270="ANUAL",AH270*(1+Macroindicadores!E$7),IF(AND($I270="NOVO",MONTH($O270)=MONTH(AV$4)),AH270*(1+Macroindicadores!E$7),IF(AND($J270="PONTUAL",MONTH($O270)=MONTH(AV$4)),AH270*(1+Macroindicadores!E$7),IF(AND($J270="PONTUAL",MONTH($O270)&lt;MONTH(AV$4)),MIN($AS270:AU270),IF(AND($I270="NOVO",MONTH($O270)&gt;MONTH(AV$4)),AH270,IF(MONTH($O270)&gt;MONTH(AV$4),AH270,IF(MONTH($O270)=MONTH(AV$4),AH270*(1+Macroindicadores!E$7),AU270)))))))))</f>
        <v/>
      </c>
      <c r="AW270" s="39">
        <f>IF(ISBLANK(U270),"",IF(ISBLANK($O270),AI270,IF($J270="ANUAL",AI270*(1+Macroindicadores!F$7),IF(AND($I270="NOVO",MONTH($O270)=MONTH(AW$4)),AI270*(1+Macroindicadores!F$7),IF(AND($J270="PONTUAL",MONTH($O270)=MONTH(AW$4)),AI270*(1+Macroindicadores!F$7),IF(AND($J270="PONTUAL",MONTH($O270)&lt;MONTH(AW$4)),MIN($AS270:AV270),IF(AND($I270="NOVO",MONTH($O270)&gt;MONTH(AW$4)),AI270,IF(MONTH($O270)&gt;MONTH(AW$4),AI270,IF(MONTH($O270)=MONTH(AW$4),AI270*(1+Macroindicadores!F$7),AV270)))))))))</f>
        <v>1.2</v>
      </c>
      <c r="AX270" s="39" t="str">
        <f>IF(ISBLANK(V270),"",IF(ISBLANK($O270),AJ270,IF($J270="ANUAL",AJ270*(1+Macroindicadores!G$7),IF(AND($I270="NOVO",MONTH($O270)=MONTH(AX$4)),AJ270*(1+Macroindicadores!G$7),IF(AND($J270="PONTUAL",MONTH($O270)=MONTH(AX$4)),AJ270*(1+Macroindicadores!G$7),IF(AND($J270="PONTUAL",MONTH($O270)&lt;MONTH(AX$4)),MIN($AS270:AW270),IF(AND($I270="NOVO",MONTH($O270)&gt;MONTH(AX$4)),AJ270,IF(MONTH($O270)&gt;MONTH(AX$4),AJ270,IF(MONTH($O270)=MONTH(AX$4),AJ270*(1+Macroindicadores!G$7),AW270)))))))))</f>
        <v/>
      </c>
      <c r="AY270" s="39">
        <f>IF(ISBLANK(W270),"",IF(ISBLANK($O270),AK270,IF($J270="ANUAL",AK270*(1+Macroindicadores!H$7),IF(AND($I270="NOVO",MONTH($O270)=MONTH(AY$4)),AK270*(1+Macroindicadores!H$7),IF(AND($J270="PONTUAL",MONTH($O270)=MONTH(AY$4)),AK270*(1+Macroindicadores!H$7),IF(AND($J270="PONTUAL",MONTH($O270)&lt;MONTH(AY$4)),MIN($AS270:AX270),IF(AND($I270="NOVO",MONTH($O270)&gt;MONTH(AY$4)),AK270,IF(MONTH($O270)&gt;MONTH(AY$4),AK270,IF(MONTH($O270)=MONTH(AY$4),AK270*(1+Macroindicadores!H$7),AX270)))))))))</f>
        <v>1.2</v>
      </c>
      <c r="AZ270" s="39" t="str">
        <f>IF(ISBLANK(X270),"",IF(ISBLANK($O270),AL270,IF($J270="ANUAL",AL270*(1+Macroindicadores!I$7),IF(AND($I270="NOVO",MONTH($O270)=MONTH(AZ$4)),AL270*(1+Macroindicadores!I$7),IF(AND($J270="PONTUAL",MONTH($O270)=MONTH(AZ$4)),AL270*(1+Macroindicadores!I$7),IF(AND($J270="PONTUAL",MONTH($O270)&lt;MONTH(AZ$4)),MIN($AS270:AY270),IF(AND($I270="NOVO",MONTH($O270)&gt;MONTH(AZ$4)),AL270,IF(MONTH($O270)&gt;MONTH(AZ$4),AL270,IF(MONTH($O270)=MONTH(AZ$4),AL270*(1+Macroindicadores!I$7),AY270)))))))))</f>
        <v/>
      </c>
      <c r="BA270" s="39">
        <f>IF(ISBLANK(Y270),"",IF(ISBLANK($O270),AM270,IF($J270="ANUAL",AM270*(1+Macroindicadores!J$7),IF(AND($I270="NOVO",MONTH($O270)=MONTH(BA$4)),AM270*(1+Macroindicadores!J$7),IF(AND($J270="PONTUAL",MONTH($O270)=MONTH(BA$4)),AM270*(1+Macroindicadores!J$7),IF(AND($J270="PONTUAL",MONTH($O270)&lt;MONTH(BA$4)),MIN($AS270:AZ270),IF(AND($I270="NOVO",MONTH($O270)&gt;MONTH(BA$4)),AM270,IF(MONTH($O270)&gt;MONTH(BA$4),AM270,IF(MONTH($O270)=MONTH(BA$4),AM270*(1+Macroindicadores!J$7),AZ270)))))))))</f>
        <v>1.2</v>
      </c>
      <c r="BB270" s="39" t="str">
        <f>IF(ISBLANK(Z270),"",IF(ISBLANK($O270),AN270,IF($J270="ANUAL",AN270*(1+Macroindicadores!K$7),IF(AND($I270="NOVO",MONTH($O270)=MONTH(BB$4)),AN270*(1+Macroindicadores!K$7),IF(AND($J270="PONTUAL",MONTH($O270)=MONTH(BB$4)),AN270*(1+Macroindicadores!K$7),IF(AND($J270="PONTUAL",MONTH($O270)&lt;MONTH(BB$4)),MIN($AS270:BA270),IF(AND($I270="NOVO",MONTH($O270)&gt;MONTH(BB$4)),AN270,IF(MONTH($O270)&gt;MONTH(BB$4),AN270,IF(MONTH($O270)=MONTH(BB$4),AN270*(1+Macroindicadores!K$7),BA270)))))))))</f>
        <v/>
      </c>
      <c r="BC270" s="39">
        <f>IF(ISBLANK(AA270),"",IF(ISBLANK($O270),AO270,IF($J270="ANUAL",AO270*(1+Macroindicadores!L$7),IF(AND($I270="NOVO",MONTH($O270)=MONTH(BC$4)),AO270*(1+Macroindicadores!L$7),IF(AND($J270="PONTUAL",MONTH($O270)=MONTH(BC$4)),AO270*(1+Macroindicadores!L$7),IF(AND($J270="PONTUAL",MONTH($O270)&lt;MONTH(BC$4)),MIN($AS270:BB270),IF(AND($I270="NOVO",MONTH($O270)&gt;MONTH(BC$4)),AO270,IF(MONTH($O270)&gt;MONTH(BC$4),AO270,IF(MONTH($O270)=MONTH(BC$4),AO270*(1+Macroindicadores!L$7),BB270)))))))))</f>
        <v>1.2</v>
      </c>
      <c r="BD270" s="39" t="str">
        <f>IF(ISBLANK(AB270),"",IF(ISBLANK($O270),AP270,IF($J270="ANUAL",AP270*(1+Macroindicadores!M$7),IF(AND($I270="NOVO",MONTH($O270)=MONTH(BD$4)),AP270*(1+Macroindicadores!M$7),IF(AND($J270="PONTUAL",MONTH($O270)=MONTH(BD$4)),AP270*(1+Macroindicadores!M$7),IF(AND($J270="PONTUAL",MONTH($O270)&lt;MONTH(BD$4)),MIN($AS270:BC270),IF(AND($I270="NOVO",MONTH($O270)&gt;MONTH(BD$4)),AP270,IF(MONTH($O270)&gt;MONTH(BD$4),AP270,IF(MONTH($O270)=MONTH(BD$4),AP270*(1+Macroindicadores!M$7),BC270)))))))))</f>
        <v/>
      </c>
      <c r="BE270" s="40">
        <f t="shared" si="106"/>
        <v>7.2</v>
      </c>
      <c r="BG270" s="39">
        <f>IF(ISBLANK(Q270),"",AS270/Macroindicadores!B$2)</f>
        <v>0.20408163265306123</v>
      </c>
      <c r="BH270" s="39" t="str">
        <f>IF(ISBLANK(R270),"",AT270/Macroindicadores!C$2)</f>
        <v/>
      </c>
      <c r="BI270" s="39">
        <f>IF(ISBLANK(S270),"",AU270/Macroindicadores!D$2)</f>
        <v>0.20408163265306123</v>
      </c>
      <c r="BJ270" s="39" t="str">
        <f>IF(ISBLANK(T270),"",AV270/Macroindicadores!E$2)</f>
        <v/>
      </c>
      <c r="BK270" s="39">
        <f>IF(ISBLANK(U270),"",AW270/Macroindicadores!F$2)</f>
        <v>0.20408163265306123</v>
      </c>
      <c r="BL270" s="39" t="str">
        <f>IF(ISBLANK(V270),"",AX270/Macroindicadores!G$2)</f>
        <v/>
      </c>
      <c r="BM270" s="39">
        <f>IF(ISBLANK(W270),"",AY270/Macroindicadores!H$2)</f>
        <v>0.20408163265306123</v>
      </c>
      <c r="BN270" s="39" t="str">
        <f>IF(ISBLANK(X270),"",AZ270/Macroindicadores!I$2)</f>
        <v/>
      </c>
      <c r="BO270" s="39">
        <f>IF(ISBLANK(Y270),"",BA270/Macroindicadores!J$2)</f>
        <v>0.20408163265306123</v>
      </c>
      <c r="BP270" s="39" t="str">
        <f>IF(ISBLANK(Z270),"",BB270/Macroindicadores!K$2)</f>
        <v/>
      </c>
      <c r="BQ270" s="39">
        <f>IF(ISBLANK(AA270),"",BC270/Macroindicadores!L$2)</f>
        <v>0.20408163265306123</v>
      </c>
      <c r="BR270" s="39" t="str">
        <f>IF(ISBLANK(AB270),"",BD270/Macroindicadores!M$2)</f>
        <v/>
      </c>
      <c r="BS270" s="40">
        <f t="shared" si="107"/>
        <v>1.2244897959183674</v>
      </c>
      <c r="BT270" s="25" t="str">
        <f>IF(ISBLANK($L270),"",_xlfn.XLOOKUP($L270,'CENTRO CUSTO'!$A:$A,'CENTRO CUSTO'!$E:$E,FALSE,0))</f>
        <v>G&amp;A PL</v>
      </c>
    </row>
    <row r="271" spans="1:72">
      <c r="A271" s="9" t="str">
        <f t="shared" si="80"/>
        <v>Budget</v>
      </c>
      <c r="B271" s="9">
        <f t="shared" si="77"/>
        <v>2026</v>
      </c>
      <c r="C271" s="18" t="str">
        <f>IF(ISBLANK($L271),"",_xlfn.XLOOKUP($L271,'CENTRO CUSTO'!$A:$A,'CENTRO CUSTO'!F:F,FALSE,0))</f>
        <v>Cone Sul</v>
      </c>
      <c r="D271" s="111" t="str">
        <f>IF(ISBLANK($L271),"",_xlfn.XLOOKUP($L271,'CENTRO CUSTO'!$A:$A,'CENTRO CUSTO'!G:G,FALSE,0))</f>
        <v>Plataforma</v>
      </c>
      <c r="E271" s="18" t="str">
        <f>IF(ISBLANK($L271),"",_xlfn.XLOOKUP($L271,'CENTRO CUSTO'!$A:$A,'CENTRO CUSTO'!H:H,FALSE,0))</f>
        <v>G&amp;A</v>
      </c>
      <c r="F271" s="10" t="s">
        <v>259</v>
      </c>
      <c r="G271" s="10" t="s">
        <v>233</v>
      </c>
      <c r="H271" s="10" t="s">
        <v>260</v>
      </c>
      <c r="I271" s="11" t="s">
        <v>77</v>
      </c>
      <c r="J271" s="11" t="s">
        <v>78</v>
      </c>
      <c r="K271" s="11" t="s">
        <v>94</v>
      </c>
      <c r="L271" s="11" t="s">
        <v>54</v>
      </c>
      <c r="M271" s="18" t="str">
        <f>IF(ISBLANK($L271),"",_xlfn.XLOOKUP($L271,'CENTRO CUSTO'!$A:$A,'CENTRO CUSTO'!D:D,FALSE,0))</f>
        <v>Alexandre Ayabe</v>
      </c>
      <c r="N271" s="11" t="s">
        <v>245</v>
      </c>
      <c r="O271" s="12"/>
      <c r="P271" s="11" t="s">
        <v>81</v>
      </c>
      <c r="Q271" s="41">
        <v>3000</v>
      </c>
      <c r="R271" s="41">
        <v>3000</v>
      </c>
      <c r="S271" s="41">
        <v>3000</v>
      </c>
      <c r="T271" s="41">
        <v>3000</v>
      </c>
      <c r="U271" s="41">
        <v>3000</v>
      </c>
      <c r="V271" s="41">
        <v>3000</v>
      </c>
      <c r="W271" s="41">
        <v>3000</v>
      </c>
      <c r="X271" s="41">
        <v>3000</v>
      </c>
      <c r="Y271" s="41">
        <v>3000</v>
      </c>
      <c r="Z271" s="41">
        <v>3000</v>
      </c>
      <c r="AA271" s="41">
        <v>3000</v>
      </c>
      <c r="AB271" s="41">
        <v>3000</v>
      </c>
      <c r="AC271" s="116">
        <f t="shared" si="104"/>
        <v>36000</v>
      </c>
      <c r="AE271" s="39">
        <f>IF(ISBLANK(Q271),"",IF($P271="BRL",Q271,Q271*Macroindicadores!B$2)/1000)</f>
        <v>3</v>
      </c>
      <c r="AF271" s="39">
        <f>IF(ISBLANK(R271),"",IF($P271="BRL",R271,R271*Macroindicadores!C$2)/1000)</f>
        <v>3</v>
      </c>
      <c r="AG271" s="39">
        <f>IF(ISBLANK(S271),"",IF($P271="BRL",S271,S271*Macroindicadores!D$2)/1000)</f>
        <v>3</v>
      </c>
      <c r="AH271" s="39">
        <f>IF(ISBLANK(T271),"",IF($P271="BRL",T271,T271*Macroindicadores!E$2)/1000)</f>
        <v>3</v>
      </c>
      <c r="AI271" s="39">
        <f>IF(ISBLANK(U271),"",IF($P271="BRL",U271,U271*Macroindicadores!F$2)/1000)</f>
        <v>3</v>
      </c>
      <c r="AJ271" s="39">
        <f>IF(ISBLANK(V271),"",IF($P271="BRL",V271,V271*Macroindicadores!G$2)/1000)</f>
        <v>3</v>
      </c>
      <c r="AK271" s="39">
        <f>IF(ISBLANK(W271),"",IF($P271="BRL",W271,W271*Macroindicadores!H$2)/1000)</f>
        <v>3</v>
      </c>
      <c r="AL271" s="39">
        <f>IF(ISBLANK(X271),"",IF($P271="BRL",X271,X271*Macroindicadores!I$2)/1000)</f>
        <v>3</v>
      </c>
      <c r="AM271" s="39">
        <f>IF(ISBLANK(Y271),"",IF($P271="BRL",Y271,Y271*Macroindicadores!J$2)/1000)</f>
        <v>3</v>
      </c>
      <c r="AN271" s="39">
        <f>IF(ISBLANK(Z271),"",IF($P271="BRL",Z271,Z271*Macroindicadores!K$2)/1000)</f>
        <v>3</v>
      </c>
      <c r="AO271" s="39">
        <f>IF(ISBLANK(AA271),"",IF($P271="BRL",AA271,AA271*Macroindicadores!L$2)/1000)</f>
        <v>3</v>
      </c>
      <c r="AP271" s="39">
        <f>IF(ISBLANK(AB271),"",IF($P271="BRL",AB271,AB271*Macroindicadores!M$2)/1000)</f>
        <v>3</v>
      </c>
      <c r="AQ271" s="40">
        <f t="shared" si="105"/>
        <v>36</v>
      </c>
      <c r="AS271" s="39">
        <f>IF(ISBLANK(Q271),"",IF(ISBLANK($O271),AE271,IF($J271="ANUAL",AE271*(1+Macroindicadores!B$7),IF(AND($I271="NOVO",MONTH($O271)=MONTH(AS$4)),AE271*(1+Macroindicadores!B$7),IF(AND($J271="PONTUAL",MONTH($O271)=MONTH(AS$4)),AE271*(1+Macroindicadores!B$7),IF(AND($J271="PONTUAL",MONTH($O271)&lt;MONTH(AS$4)),MIN(AR271:$AS271),IF(AND($I271="NOVO",MONTH($O271)&gt;MONTH(AS$4)),AE271,IF(MONTH($O271)&gt;MONTH(AS$4),AE271,IF(MONTH($O271)=MONTH(AS$4),AE271*(1+Macroindicadores!B$7),AR271)))))))))</f>
        <v>3</v>
      </c>
      <c r="AT271" s="39">
        <f>IF(ISBLANK(R271),"",IF(ISBLANK($O271),AF271,IF($J271="ANUAL",AF271*(1+Macroindicadores!C$7),IF(AND($I271="NOVO",MONTH($O271)=MONTH(AT$4)),AF271*(1+Macroindicadores!C$7),IF(AND($J271="PONTUAL",MONTH($O271)=MONTH(AT$4)),AF271*(1+Macroindicadores!C$7),IF(AND($J271="PONTUAL",MONTH($O271)&lt;MONTH(AT$4)),MIN($AS271:AS271),IF(AND($I271="NOVO",MONTH($O271)&gt;MONTH(AT$4)),AF271,IF(MONTH($O271)&gt;MONTH(AT$4),AF271,IF(MONTH($O271)=MONTH(AT$4),AF271*(1+Macroindicadores!C$7),AS271)))))))))</f>
        <v>3</v>
      </c>
      <c r="AU271" s="39">
        <f>IF(ISBLANK(S271),"",IF(ISBLANK($O271),AG271,IF($J271="ANUAL",AG271*(1+Macroindicadores!D$7),IF(AND($I271="NOVO",MONTH($O271)=MONTH(AU$4)),AG271*(1+Macroindicadores!D$7),IF(AND($J271="PONTUAL",MONTH($O271)=MONTH(AU$4)),AG271*(1+Macroindicadores!D$7),IF(AND($J271="PONTUAL",MONTH($O271)&lt;MONTH(AU$4)),MIN($AS271:AT271),IF(AND($I271="NOVO",MONTH($O271)&gt;MONTH(AU$4)),AG271,IF(MONTH($O271)&gt;MONTH(AU$4),AG271,IF(MONTH($O271)=MONTH(AU$4),AG271*(1+Macroindicadores!D$7),AT271)))))))))</f>
        <v>3</v>
      </c>
      <c r="AV271" s="39">
        <f>IF(ISBLANK(T271),"",IF(ISBLANK($O271),AH271,IF($J271="ANUAL",AH271*(1+Macroindicadores!E$7),IF(AND($I271="NOVO",MONTH($O271)=MONTH(AV$4)),AH271*(1+Macroindicadores!E$7),IF(AND($J271="PONTUAL",MONTH($O271)=MONTH(AV$4)),AH271*(1+Macroindicadores!E$7),IF(AND($J271="PONTUAL",MONTH($O271)&lt;MONTH(AV$4)),MIN($AS271:AU271),IF(AND($I271="NOVO",MONTH($O271)&gt;MONTH(AV$4)),AH271,IF(MONTH($O271)&gt;MONTH(AV$4),AH271,IF(MONTH($O271)=MONTH(AV$4),AH271*(1+Macroindicadores!E$7),AU271)))))))))</f>
        <v>3</v>
      </c>
      <c r="AW271" s="39">
        <f>IF(ISBLANK(U271),"",IF(ISBLANK($O271),AI271,IF($J271="ANUAL",AI271*(1+Macroindicadores!F$7),IF(AND($I271="NOVO",MONTH($O271)=MONTH(AW$4)),AI271*(1+Macroindicadores!F$7),IF(AND($J271="PONTUAL",MONTH($O271)=MONTH(AW$4)),AI271*(1+Macroindicadores!F$7),IF(AND($J271="PONTUAL",MONTH($O271)&lt;MONTH(AW$4)),MIN($AS271:AV271),IF(AND($I271="NOVO",MONTH($O271)&gt;MONTH(AW$4)),AI271,IF(MONTH($O271)&gt;MONTH(AW$4),AI271,IF(MONTH($O271)=MONTH(AW$4),AI271*(1+Macroindicadores!F$7),AV271)))))))))</f>
        <v>3</v>
      </c>
      <c r="AX271" s="39">
        <f>IF(ISBLANK(V271),"",IF(ISBLANK($O271),AJ271,IF($J271="ANUAL",AJ271*(1+Macroindicadores!G$7),IF(AND($I271="NOVO",MONTH($O271)=MONTH(AX$4)),AJ271*(1+Macroindicadores!G$7),IF(AND($J271="PONTUAL",MONTH($O271)=MONTH(AX$4)),AJ271*(1+Macroindicadores!G$7),IF(AND($J271="PONTUAL",MONTH($O271)&lt;MONTH(AX$4)),MIN($AS271:AW271),IF(AND($I271="NOVO",MONTH($O271)&gt;MONTH(AX$4)),AJ271,IF(MONTH($O271)&gt;MONTH(AX$4),AJ271,IF(MONTH($O271)=MONTH(AX$4),AJ271*(1+Macroindicadores!G$7),AW271)))))))))</f>
        <v>3</v>
      </c>
      <c r="AY271" s="39">
        <f>IF(ISBLANK(W271),"",IF(ISBLANK($O271),AK271,IF($J271="ANUAL",AK271*(1+Macroindicadores!H$7),IF(AND($I271="NOVO",MONTH($O271)=MONTH(AY$4)),AK271*(1+Macroindicadores!H$7),IF(AND($J271="PONTUAL",MONTH($O271)=MONTH(AY$4)),AK271*(1+Macroindicadores!H$7),IF(AND($J271="PONTUAL",MONTH($O271)&lt;MONTH(AY$4)),MIN($AS271:AX271),IF(AND($I271="NOVO",MONTH($O271)&gt;MONTH(AY$4)),AK271,IF(MONTH($O271)&gt;MONTH(AY$4),AK271,IF(MONTH($O271)=MONTH(AY$4),AK271*(1+Macroindicadores!H$7),AX271)))))))))</f>
        <v>3</v>
      </c>
      <c r="AZ271" s="39">
        <f>IF(ISBLANK(X271),"",IF(ISBLANK($O271),AL271,IF($J271="ANUAL",AL271*(1+Macroindicadores!I$7),IF(AND($I271="NOVO",MONTH($O271)=MONTH(AZ$4)),AL271*(1+Macroindicadores!I$7),IF(AND($J271="PONTUAL",MONTH($O271)=MONTH(AZ$4)),AL271*(1+Macroindicadores!I$7),IF(AND($J271="PONTUAL",MONTH($O271)&lt;MONTH(AZ$4)),MIN($AS271:AY271),IF(AND($I271="NOVO",MONTH($O271)&gt;MONTH(AZ$4)),AL271,IF(MONTH($O271)&gt;MONTH(AZ$4),AL271,IF(MONTH($O271)=MONTH(AZ$4),AL271*(1+Macroindicadores!I$7),AY271)))))))))</f>
        <v>3</v>
      </c>
      <c r="BA271" s="39">
        <f>IF(ISBLANK(Y271),"",IF(ISBLANK($O271),AM271,IF($J271="ANUAL",AM271*(1+Macroindicadores!J$7),IF(AND($I271="NOVO",MONTH($O271)=MONTH(BA$4)),AM271*(1+Macroindicadores!J$7),IF(AND($J271="PONTUAL",MONTH($O271)=MONTH(BA$4)),AM271*(1+Macroindicadores!J$7),IF(AND($J271="PONTUAL",MONTH($O271)&lt;MONTH(BA$4)),MIN($AS271:AZ271),IF(AND($I271="NOVO",MONTH($O271)&gt;MONTH(BA$4)),AM271,IF(MONTH($O271)&gt;MONTH(BA$4),AM271,IF(MONTH($O271)=MONTH(BA$4),AM271*(1+Macroindicadores!J$7),AZ271)))))))))</f>
        <v>3</v>
      </c>
      <c r="BB271" s="39">
        <f>IF(ISBLANK(Z271),"",IF(ISBLANK($O271),AN271,IF($J271="ANUAL",AN271*(1+Macroindicadores!K$7),IF(AND($I271="NOVO",MONTH($O271)=MONTH(BB$4)),AN271*(1+Macroindicadores!K$7),IF(AND($J271="PONTUAL",MONTH($O271)=MONTH(BB$4)),AN271*(1+Macroindicadores!K$7),IF(AND($J271="PONTUAL",MONTH($O271)&lt;MONTH(BB$4)),MIN($AS271:BA271),IF(AND($I271="NOVO",MONTH($O271)&gt;MONTH(BB$4)),AN271,IF(MONTH($O271)&gt;MONTH(BB$4),AN271,IF(MONTH($O271)=MONTH(BB$4),AN271*(1+Macroindicadores!K$7),BA271)))))))))</f>
        <v>3</v>
      </c>
      <c r="BC271" s="39">
        <f>IF(ISBLANK(AA271),"",IF(ISBLANK($O271),AO271,IF($J271="ANUAL",AO271*(1+Macroindicadores!L$7),IF(AND($I271="NOVO",MONTH($O271)=MONTH(BC$4)),AO271*(1+Macroindicadores!L$7),IF(AND($J271="PONTUAL",MONTH($O271)=MONTH(BC$4)),AO271*(1+Macroindicadores!L$7),IF(AND($J271="PONTUAL",MONTH($O271)&lt;MONTH(BC$4)),MIN($AS271:BB271),IF(AND($I271="NOVO",MONTH($O271)&gt;MONTH(BC$4)),AO271,IF(MONTH($O271)&gt;MONTH(BC$4),AO271,IF(MONTH($O271)=MONTH(BC$4),AO271*(1+Macroindicadores!L$7),BB271)))))))))</f>
        <v>3</v>
      </c>
      <c r="BD271" s="39">
        <f>IF(ISBLANK(AB271),"",IF(ISBLANK($O271),AP271,IF($J271="ANUAL",AP271*(1+Macroindicadores!M$7),IF(AND($I271="NOVO",MONTH($O271)=MONTH(BD$4)),AP271*(1+Macroindicadores!M$7),IF(AND($J271="PONTUAL",MONTH($O271)=MONTH(BD$4)),AP271*(1+Macroindicadores!M$7),IF(AND($J271="PONTUAL",MONTH($O271)&lt;MONTH(BD$4)),MIN($AS271:BC271),IF(AND($I271="NOVO",MONTH($O271)&gt;MONTH(BD$4)),AP271,IF(MONTH($O271)&gt;MONTH(BD$4),AP271,IF(MONTH($O271)=MONTH(BD$4),AP271*(1+Macroindicadores!M$7),BC271)))))))))</f>
        <v>3</v>
      </c>
      <c r="BE271" s="40">
        <f t="shared" si="106"/>
        <v>36</v>
      </c>
      <c r="BG271" s="39">
        <f>IF(ISBLANK(Q271),"",AS271/Macroindicadores!B$2)</f>
        <v>0.51020408163265307</v>
      </c>
      <c r="BH271" s="39">
        <f>IF(ISBLANK(R271),"",AT271/Macroindicadores!C$2)</f>
        <v>0.51020408163265307</v>
      </c>
      <c r="BI271" s="39">
        <f>IF(ISBLANK(S271),"",AU271/Macroindicadores!D$2)</f>
        <v>0.51020408163265307</v>
      </c>
      <c r="BJ271" s="39">
        <f>IF(ISBLANK(T271),"",AV271/Macroindicadores!E$2)</f>
        <v>0.51020408163265307</v>
      </c>
      <c r="BK271" s="39">
        <f>IF(ISBLANK(U271),"",AW271/Macroindicadores!F$2)</f>
        <v>0.51020408163265307</v>
      </c>
      <c r="BL271" s="39">
        <f>IF(ISBLANK(V271),"",AX271/Macroindicadores!G$2)</f>
        <v>0.51020408163265307</v>
      </c>
      <c r="BM271" s="39">
        <f>IF(ISBLANK(W271),"",AY271/Macroindicadores!H$2)</f>
        <v>0.51020408163265307</v>
      </c>
      <c r="BN271" s="39">
        <f>IF(ISBLANK(X271),"",AZ271/Macroindicadores!I$2)</f>
        <v>0.51020408163265307</v>
      </c>
      <c r="BO271" s="39">
        <f>IF(ISBLANK(Y271),"",BA271/Macroindicadores!J$2)</f>
        <v>0.51020408163265307</v>
      </c>
      <c r="BP271" s="39">
        <f>IF(ISBLANK(Z271),"",BB271/Macroindicadores!K$2)</f>
        <v>0.51020408163265307</v>
      </c>
      <c r="BQ271" s="39">
        <f>IF(ISBLANK(AA271),"",BC271/Macroindicadores!L$2)</f>
        <v>0.51020408163265307</v>
      </c>
      <c r="BR271" s="39">
        <f>IF(ISBLANK(AB271),"",BD271/Macroindicadores!M$2)</f>
        <v>0.51020408163265307</v>
      </c>
      <c r="BS271" s="40">
        <f t="shared" si="107"/>
        <v>6.1224489795918382</v>
      </c>
      <c r="BT271" s="25" t="str">
        <f>IF(ISBLANK($L271),"",_xlfn.XLOOKUP($L271,'CENTRO CUSTO'!$A:$A,'CENTRO CUSTO'!$E:$E,FALSE,0))</f>
        <v>G&amp;A PL</v>
      </c>
    </row>
    <row r="272" spans="1:72">
      <c r="A272" s="9" t="str">
        <f t="shared" si="80"/>
        <v>Budget</v>
      </c>
      <c r="B272" s="9">
        <f t="shared" si="77"/>
        <v>2026</v>
      </c>
      <c r="C272" s="18" t="str">
        <f>IF(ISBLANK($L272),"",_xlfn.XLOOKUP($L272,'CENTRO CUSTO'!$A:$A,'CENTRO CUSTO'!F:F,FALSE,0))</f>
        <v>Martini Meat</v>
      </c>
      <c r="D272" s="111" t="str">
        <f>IF(ISBLANK($L272),"",_xlfn.XLOOKUP($L272,'CENTRO CUSTO'!$A:$A,'CENTRO CUSTO'!G:G,FALSE,0))</f>
        <v>Paranaguá</v>
      </c>
      <c r="E272" s="18" t="str">
        <f>IF(ISBLANK($L272),"",_xlfn.XLOOKUP($L272,'CENTRO CUSTO'!$A:$A,'CENTRO CUSTO'!H:H,FALSE,0))</f>
        <v>RATEIO Unidade</v>
      </c>
      <c r="F272" s="10" t="s">
        <v>261</v>
      </c>
      <c r="G272" s="10" t="s">
        <v>123</v>
      </c>
      <c r="H272" s="10" t="s">
        <v>135</v>
      </c>
      <c r="I272" s="11" t="s">
        <v>77</v>
      </c>
      <c r="J272" s="11" t="s">
        <v>78</v>
      </c>
      <c r="K272" s="11" t="s">
        <v>79</v>
      </c>
      <c r="L272" s="11" t="s">
        <v>19</v>
      </c>
      <c r="M272" s="18" t="str">
        <f>IF(ISBLANK($L272),"",_xlfn.XLOOKUP($L272,'CENTRO CUSTO'!$A:$A,'CENTRO CUSTO'!D:D,FALSE,0))</f>
        <v>Alexandre Ayabe</v>
      </c>
      <c r="N272" s="11" t="s">
        <v>132</v>
      </c>
      <c r="O272" s="12"/>
      <c r="P272" s="11" t="s">
        <v>81</v>
      </c>
      <c r="Q272" s="41">
        <v>2500</v>
      </c>
      <c r="R272" s="41">
        <v>2500</v>
      </c>
      <c r="S272" s="41">
        <v>2500</v>
      </c>
      <c r="T272" s="41">
        <v>2500</v>
      </c>
      <c r="U272" s="41">
        <v>2500</v>
      </c>
      <c r="V272" s="41">
        <v>2500</v>
      </c>
      <c r="W272" s="41">
        <v>2500</v>
      </c>
      <c r="X272" s="41">
        <v>2500</v>
      </c>
      <c r="Y272" s="41">
        <v>2500</v>
      </c>
      <c r="Z272" s="41">
        <v>2500</v>
      </c>
      <c r="AA272" s="41">
        <v>2500</v>
      </c>
      <c r="AB272" s="41">
        <v>2500</v>
      </c>
      <c r="AC272" s="116">
        <f t="shared" si="104"/>
        <v>30000</v>
      </c>
      <c r="AE272" s="39">
        <f>IF(ISBLANK(Q272),"",IF($P272="BRL",Q272,Q272*Macroindicadores!B$2)/1000)</f>
        <v>2.5</v>
      </c>
      <c r="AF272" s="39">
        <f>IF(ISBLANK(R272),"",IF($P272="BRL",R272,R272*Macroindicadores!C$2)/1000)</f>
        <v>2.5</v>
      </c>
      <c r="AG272" s="39">
        <f>IF(ISBLANK(S272),"",IF($P272="BRL",S272,S272*Macroindicadores!D$2)/1000)</f>
        <v>2.5</v>
      </c>
      <c r="AH272" s="39">
        <f>IF(ISBLANK(T272),"",IF($P272="BRL",T272,T272*Macroindicadores!E$2)/1000)</f>
        <v>2.5</v>
      </c>
      <c r="AI272" s="39">
        <f>IF(ISBLANK(U272),"",IF($P272="BRL",U272,U272*Macroindicadores!F$2)/1000)</f>
        <v>2.5</v>
      </c>
      <c r="AJ272" s="39">
        <f>IF(ISBLANK(V272),"",IF($P272="BRL",V272,V272*Macroindicadores!G$2)/1000)</f>
        <v>2.5</v>
      </c>
      <c r="AK272" s="39">
        <f>IF(ISBLANK(W272),"",IF($P272="BRL",W272,W272*Macroindicadores!H$2)/1000)</f>
        <v>2.5</v>
      </c>
      <c r="AL272" s="39">
        <f>IF(ISBLANK(X272),"",IF($P272="BRL",X272,X272*Macroindicadores!I$2)/1000)</f>
        <v>2.5</v>
      </c>
      <c r="AM272" s="39">
        <f>IF(ISBLANK(Y272),"",IF($P272="BRL",Y272,Y272*Macroindicadores!J$2)/1000)</f>
        <v>2.5</v>
      </c>
      <c r="AN272" s="39">
        <f>IF(ISBLANK(Z272),"",IF($P272="BRL",Z272,Z272*Macroindicadores!K$2)/1000)</f>
        <v>2.5</v>
      </c>
      <c r="AO272" s="39">
        <f>IF(ISBLANK(AA272),"",IF($P272="BRL",AA272,AA272*Macroindicadores!L$2)/1000)</f>
        <v>2.5</v>
      </c>
      <c r="AP272" s="39">
        <f>IF(ISBLANK(AB272),"",IF($P272="BRL",AB272,AB272*Macroindicadores!M$2)/1000)</f>
        <v>2.5</v>
      </c>
      <c r="AQ272" s="40">
        <f t="shared" si="105"/>
        <v>30</v>
      </c>
      <c r="AS272" s="39">
        <f>IF(ISBLANK(Q272),"",IF(ISBLANK($O272),AE272,IF($J272="ANUAL",AE272*(1+Macroindicadores!B$7),IF(AND($I272="NOVO",MONTH($O272)=MONTH(AS$4)),AE272*(1+Macroindicadores!B$7),IF(AND($J272="PONTUAL",MONTH($O272)=MONTH(AS$4)),AE272*(1+Macroindicadores!B$7),IF(AND($J272="PONTUAL",MONTH($O272)&lt;MONTH(AS$4)),MIN(AR272:$AS272),IF(AND($I272="NOVO",MONTH($O272)&gt;MONTH(AS$4)),AE272,IF(MONTH($O272)&gt;MONTH(AS$4),AE272,IF(MONTH($O272)=MONTH(AS$4),AE272*(1+Macroindicadores!B$7),AR272)))))))))</f>
        <v>2.5</v>
      </c>
      <c r="AT272" s="39">
        <f>IF(ISBLANK(R272),"",IF(ISBLANK($O272),AF272,IF($J272="ANUAL",AF272*(1+Macroindicadores!C$7),IF(AND($I272="NOVO",MONTH($O272)=MONTH(AT$4)),AF272*(1+Macroindicadores!C$7),IF(AND($J272="PONTUAL",MONTH($O272)=MONTH(AT$4)),AF272*(1+Macroindicadores!C$7),IF(AND($J272="PONTUAL",MONTH($O272)&lt;MONTH(AT$4)),MIN($AS272:AS272),IF(AND($I272="NOVO",MONTH($O272)&gt;MONTH(AT$4)),AF272,IF(MONTH($O272)&gt;MONTH(AT$4),AF272,IF(MONTH($O272)=MONTH(AT$4),AF272*(1+Macroindicadores!C$7),AS272)))))))))</f>
        <v>2.5</v>
      </c>
      <c r="AU272" s="39">
        <f>IF(ISBLANK(S272),"",IF(ISBLANK($O272),AG272,IF($J272="ANUAL",AG272*(1+Macroindicadores!D$7),IF(AND($I272="NOVO",MONTH($O272)=MONTH(AU$4)),AG272*(1+Macroindicadores!D$7),IF(AND($J272="PONTUAL",MONTH($O272)=MONTH(AU$4)),AG272*(1+Macroindicadores!D$7),IF(AND($J272="PONTUAL",MONTH($O272)&lt;MONTH(AU$4)),MIN($AS272:AT272),IF(AND($I272="NOVO",MONTH($O272)&gt;MONTH(AU$4)),AG272,IF(MONTH($O272)&gt;MONTH(AU$4),AG272,IF(MONTH($O272)=MONTH(AU$4),AG272*(1+Macroindicadores!D$7),AT272)))))))))</f>
        <v>2.5</v>
      </c>
      <c r="AV272" s="39">
        <f>IF(ISBLANK(T272),"",IF(ISBLANK($O272),AH272,IF($J272="ANUAL",AH272*(1+Macroindicadores!E$7),IF(AND($I272="NOVO",MONTH($O272)=MONTH(AV$4)),AH272*(1+Macroindicadores!E$7),IF(AND($J272="PONTUAL",MONTH($O272)=MONTH(AV$4)),AH272*(1+Macroindicadores!E$7),IF(AND($J272="PONTUAL",MONTH($O272)&lt;MONTH(AV$4)),MIN($AS272:AU272),IF(AND($I272="NOVO",MONTH($O272)&gt;MONTH(AV$4)),AH272,IF(MONTH($O272)&gt;MONTH(AV$4),AH272,IF(MONTH($O272)=MONTH(AV$4),AH272*(1+Macroindicadores!E$7),AU272)))))))))</f>
        <v>2.5</v>
      </c>
      <c r="AW272" s="39">
        <f>IF(ISBLANK(U272),"",IF(ISBLANK($O272),AI272,IF($J272="ANUAL",AI272*(1+Macroindicadores!F$7),IF(AND($I272="NOVO",MONTH($O272)=MONTH(AW$4)),AI272*(1+Macroindicadores!F$7),IF(AND($J272="PONTUAL",MONTH($O272)=MONTH(AW$4)),AI272*(1+Macroindicadores!F$7),IF(AND($J272="PONTUAL",MONTH($O272)&lt;MONTH(AW$4)),MIN($AS272:AV272),IF(AND($I272="NOVO",MONTH($O272)&gt;MONTH(AW$4)),AI272,IF(MONTH($O272)&gt;MONTH(AW$4),AI272,IF(MONTH($O272)=MONTH(AW$4),AI272*(1+Macroindicadores!F$7),AV272)))))))))</f>
        <v>2.5</v>
      </c>
      <c r="AX272" s="39">
        <f>IF(ISBLANK(V272),"",IF(ISBLANK($O272),AJ272,IF($J272="ANUAL",AJ272*(1+Macroindicadores!G$7),IF(AND($I272="NOVO",MONTH($O272)=MONTH(AX$4)),AJ272*(1+Macroindicadores!G$7),IF(AND($J272="PONTUAL",MONTH($O272)=MONTH(AX$4)),AJ272*(1+Macroindicadores!G$7),IF(AND($J272="PONTUAL",MONTH($O272)&lt;MONTH(AX$4)),MIN($AS272:AW272),IF(AND($I272="NOVO",MONTH($O272)&gt;MONTH(AX$4)),AJ272,IF(MONTH($O272)&gt;MONTH(AX$4),AJ272,IF(MONTH($O272)=MONTH(AX$4),AJ272*(1+Macroindicadores!G$7),AW272)))))))))</f>
        <v>2.5</v>
      </c>
      <c r="AY272" s="39">
        <f>IF(ISBLANK(W272),"",IF(ISBLANK($O272),AK272,IF($J272="ANUAL",AK272*(1+Macroindicadores!H$7),IF(AND($I272="NOVO",MONTH($O272)=MONTH(AY$4)),AK272*(1+Macroindicadores!H$7),IF(AND($J272="PONTUAL",MONTH($O272)=MONTH(AY$4)),AK272*(1+Macroindicadores!H$7),IF(AND($J272="PONTUAL",MONTH($O272)&lt;MONTH(AY$4)),MIN($AS272:AX272),IF(AND($I272="NOVO",MONTH($O272)&gt;MONTH(AY$4)),AK272,IF(MONTH($O272)&gt;MONTH(AY$4),AK272,IF(MONTH($O272)=MONTH(AY$4),AK272*(1+Macroindicadores!H$7),AX272)))))))))</f>
        <v>2.5</v>
      </c>
      <c r="AZ272" s="39">
        <f>IF(ISBLANK(X272),"",IF(ISBLANK($O272),AL272,IF($J272="ANUAL",AL272*(1+Macroindicadores!I$7),IF(AND($I272="NOVO",MONTH($O272)=MONTH(AZ$4)),AL272*(1+Macroindicadores!I$7),IF(AND($J272="PONTUAL",MONTH($O272)=MONTH(AZ$4)),AL272*(1+Macroindicadores!I$7),IF(AND($J272="PONTUAL",MONTH($O272)&lt;MONTH(AZ$4)),MIN($AS272:AY272),IF(AND($I272="NOVO",MONTH($O272)&gt;MONTH(AZ$4)),AL272,IF(MONTH($O272)&gt;MONTH(AZ$4),AL272,IF(MONTH($O272)=MONTH(AZ$4),AL272*(1+Macroindicadores!I$7),AY272)))))))))</f>
        <v>2.5</v>
      </c>
      <c r="BA272" s="39">
        <f>IF(ISBLANK(Y272),"",IF(ISBLANK($O272),AM272,IF($J272="ANUAL",AM272*(1+Macroindicadores!J$7),IF(AND($I272="NOVO",MONTH($O272)=MONTH(BA$4)),AM272*(1+Macroindicadores!J$7),IF(AND($J272="PONTUAL",MONTH($O272)=MONTH(BA$4)),AM272*(1+Macroindicadores!J$7),IF(AND($J272="PONTUAL",MONTH($O272)&lt;MONTH(BA$4)),MIN($AS272:AZ272),IF(AND($I272="NOVO",MONTH($O272)&gt;MONTH(BA$4)),AM272,IF(MONTH($O272)&gt;MONTH(BA$4),AM272,IF(MONTH($O272)=MONTH(BA$4),AM272*(1+Macroindicadores!J$7),AZ272)))))))))</f>
        <v>2.5</v>
      </c>
      <c r="BB272" s="39">
        <f>IF(ISBLANK(Z272),"",IF(ISBLANK($O272),AN272,IF($J272="ANUAL",AN272*(1+Macroindicadores!K$7),IF(AND($I272="NOVO",MONTH($O272)=MONTH(BB$4)),AN272*(1+Macroindicadores!K$7),IF(AND($J272="PONTUAL",MONTH($O272)=MONTH(BB$4)),AN272*(1+Macroindicadores!K$7),IF(AND($J272="PONTUAL",MONTH($O272)&lt;MONTH(BB$4)),MIN($AS272:BA272),IF(AND($I272="NOVO",MONTH($O272)&gt;MONTH(BB$4)),AN272,IF(MONTH($O272)&gt;MONTH(BB$4),AN272,IF(MONTH($O272)=MONTH(BB$4),AN272*(1+Macroindicadores!K$7),BA272)))))))))</f>
        <v>2.5</v>
      </c>
      <c r="BC272" s="39">
        <f>IF(ISBLANK(AA272),"",IF(ISBLANK($O272),AO272,IF($J272="ANUAL",AO272*(1+Macroindicadores!L$7),IF(AND($I272="NOVO",MONTH($O272)=MONTH(BC$4)),AO272*(1+Macroindicadores!L$7),IF(AND($J272="PONTUAL",MONTH($O272)=MONTH(BC$4)),AO272*(1+Macroindicadores!L$7),IF(AND($J272="PONTUAL",MONTH($O272)&lt;MONTH(BC$4)),MIN($AS272:BB272),IF(AND($I272="NOVO",MONTH($O272)&gt;MONTH(BC$4)),AO272,IF(MONTH($O272)&gt;MONTH(BC$4),AO272,IF(MONTH($O272)=MONTH(BC$4),AO272*(1+Macroindicadores!L$7),BB272)))))))))</f>
        <v>2.5</v>
      </c>
      <c r="BD272" s="39">
        <f>IF(ISBLANK(AB272),"",IF(ISBLANK($O272),AP272,IF($J272="ANUAL",AP272*(1+Macroindicadores!M$7),IF(AND($I272="NOVO",MONTH($O272)=MONTH(BD$4)),AP272*(1+Macroindicadores!M$7),IF(AND($J272="PONTUAL",MONTH($O272)=MONTH(BD$4)),AP272*(1+Macroindicadores!M$7),IF(AND($J272="PONTUAL",MONTH($O272)&lt;MONTH(BD$4)),MIN($AS272:BC272),IF(AND($I272="NOVO",MONTH($O272)&gt;MONTH(BD$4)),AP272,IF(MONTH($O272)&gt;MONTH(BD$4),AP272,IF(MONTH($O272)=MONTH(BD$4),AP272*(1+Macroindicadores!M$7),BC272)))))))))</f>
        <v>2.5</v>
      </c>
      <c r="BE272" s="40">
        <f t="shared" si="106"/>
        <v>30</v>
      </c>
      <c r="BG272" s="39">
        <f>IF(ISBLANK(Q272),"",AS272/Macroindicadores!B$2)</f>
        <v>0.42517006802721091</v>
      </c>
      <c r="BH272" s="39">
        <f>IF(ISBLANK(R272),"",AT272/Macroindicadores!C$2)</f>
        <v>0.42517006802721091</v>
      </c>
      <c r="BI272" s="39">
        <f>IF(ISBLANK(S272),"",AU272/Macroindicadores!D$2)</f>
        <v>0.42517006802721091</v>
      </c>
      <c r="BJ272" s="39">
        <f>IF(ISBLANK(T272),"",AV272/Macroindicadores!E$2)</f>
        <v>0.42517006802721091</v>
      </c>
      <c r="BK272" s="39">
        <f>IF(ISBLANK(U272),"",AW272/Macroindicadores!F$2)</f>
        <v>0.42517006802721091</v>
      </c>
      <c r="BL272" s="39">
        <f>IF(ISBLANK(V272),"",AX272/Macroindicadores!G$2)</f>
        <v>0.42517006802721091</v>
      </c>
      <c r="BM272" s="39">
        <f>IF(ISBLANK(W272),"",AY272/Macroindicadores!H$2)</f>
        <v>0.42517006802721091</v>
      </c>
      <c r="BN272" s="39">
        <f>IF(ISBLANK(X272),"",AZ272/Macroindicadores!I$2)</f>
        <v>0.42517006802721091</v>
      </c>
      <c r="BO272" s="39">
        <f>IF(ISBLANK(Y272),"",BA272/Macroindicadores!J$2)</f>
        <v>0.42517006802721091</v>
      </c>
      <c r="BP272" s="39">
        <f>IF(ISBLANK(Z272),"",BB272/Macroindicadores!K$2)</f>
        <v>0.42517006802721091</v>
      </c>
      <c r="BQ272" s="39">
        <f>IF(ISBLANK(AA272),"",BC272/Macroindicadores!L$2)</f>
        <v>0.42517006802721091</v>
      </c>
      <c r="BR272" s="39">
        <f>IF(ISBLANK(AB272),"",BD272/Macroindicadores!M$2)</f>
        <v>0.42517006802721091</v>
      </c>
      <c r="BS272" s="40">
        <f t="shared" si="107"/>
        <v>5.1020408163265314</v>
      </c>
      <c r="BT272" s="25" t="str">
        <f>IF(ISBLANK($L272),"",_xlfn.XLOOKUP($L272,'CENTRO CUSTO'!$A:$A,'CENTRO CUSTO'!$E:$E,FALSE,0))</f>
        <v>Custo Fixo</v>
      </c>
    </row>
    <row r="273" spans="1:72">
      <c r="A273" s="9" t="str">
        <f t="shared" si="80"/>
        <v>Budget</v>
      </c>
      <c r="B273" s="9">
        <f t="shared" si="77"/>
        <v>2026</v>
      </c>
      <c r="C273" s="18" t="str">
        <f>IF(ISBLANK($L273),"",_xlfn.XLOOKUP($L273,'CENTRO CUSTO'!$A:$A,'CENTRO CUSTO'!F:F,FALSE,0))</f>
        <v>Martini Meat</v>
      </c>
      <c r="D273" s="111" t="str">
        <f>IF(ISBLANK($L273),"",_xlfn.XLOOKUP($L273,'CENTRO CUSTO'!$A:$A,'CENTRO CUSTO'!G:G,FALSE,0))</f>
        <v>Paranaguá</v>
      </c>
      <c r="E273" s="18" t="str">
        <f>IF(ISBLANK($L273),"",_xlfn.XLOOKUP($L273,'CENTRO CUSTO'!$A:$A,'CENTRO CUSTO'!H:H,FALSE,0))</f>
        <v>Carga Geral</v>
      </c>
      <c r="F273" s="10" t="s">
        <v>261</v>
      </c>
      <c r="G273" s="10" t="s">
        <v>123</v>
      </c>
      <c r="H273" s="10" t="s">
        <v>135</v>
      </c>
      <c r="I273" s="11" t="s">
        <v>77</v>
      </c>
      <c r="J273" s="11" t="s">
        <v>78</v>
      </c>
      <c r="K273" s="11" t="s">
        <v>79</v>
      </c>
      <c r="L273" s="11" t="s">
        <v>12</v>
      </c>
      <c r="M273" s="18" t="str">
        <f>IF(ISBLANK($L273),"",_xlfn.XLOOKUP($L273,'CENTRO CUSTO'!$A:$A,'CENTRO CUSTO'!D:D,FALSE,0))</f>
        <v>Alexandre Ayabe</v>
      </c>
      <c r="N273" s="11" t="s">
        <v>132</v>
      </c>
      <c r="O273" s="12"/>
      <c r="P273" s="11" t="s">
        <v>81</v>
      </c>
      <c r="Q273" s="41">
        <v>2500</v>
      </c>
      <c r="R273" s="41">
        <v>2500</v>
      </c>
      <c r="S273" s="41">
        <v>2500</v>
      </c>
      <c r="T273" s="41">
        <v>2500</v>
      </c>
      <c r="U273" s="41">
        <v>2500</v>
      </c>
      <c r="V273" s="41">
        <v>2500</v>
      </c>
      <c r="W273" s="41">
        <v>2500</v>
      </c>
      <c r="X273" s="41">
        <v>2500</v>
      </c>
      <c r="Y273" s="41">
        <v>2500</v>
      </c>
      <c r="Z273" s="41">
        <v>2500</v>
      </c>
      <c r="AA273" s="41">
        <v>2500</v>
      </c>
      <c r="AB273" s="41">
        <v>2500</v>
      </c>
      <c r="AC273" s="116">
        <f t="shared" si="104"/>
        <v>30000</v>
      </c>
      <c r="AE273" s="39">
        <f>IF(ISBLANK(Q273),"",IF($P273="BRL",Q273,Q273*Macroindicadores!B$2)/1000)</f>
        <v>2.5</v>
      </c>
      <c r="AF273" s="39">
        <f>IF(ISBLANK(R273),"",IF($P273="BRL",R273,R273*Macroindicadores!C$2)/1000)</f>
        <v>2.5</v>
      </c>
      <c r="AG273" s="39">
        <f>IF(ISBLANK(S273),"",IF($P273="BRL",S273,S273*Macroindicadores!D$2)/1000)</f>
        <v>2.5</v>
      </c>
      <c r="AH273" s="39">
        <f>IF(ISBLANK(T273),"",IF($P273="BRL",T273,T273*Macroindicadores!E$2)/1000)</f>
        <v>2.5</v>
      </c>
      <c r="AI273" s="39">
        <f>IF(ISBLANK(U273),"",IF($P273="BRL",U273,U273*Macroindicadores!F$2)/1000)</f>
        <v>2.5</v>
      </c>
      <c r="AJ273" s="39">
        <f>IF(ISBLANK(V273),"",IF($P273="BRL",V273,V273*Macroindicadores!G$2)/1000)</f>
        <v>2.5</v>
      </c>
      <c r="AK273" s="39">
        <f>IF(ISBLANK(W273),"",IF($P273="BRL",W273,W273*Macroindicadores!H$2)/1000)</f>
        <v>2.5</v>
      </c>
      <c r="AL273" s="39">
        <f>IF(ISBLANK(X273),"",IF($P273="BRL",X273,X273*Macroindicadores!I$2)/1000)</f>
        <v>2.5</v>
      </c>
      <c r="AM273" s="39">
        <f>IF(ISBLANK(Y273),"",IF($P273="BRL",Y273,Y273*Macroindicadores!J$2)/1000)</f>
        <v>2.5</v>
      </c>
      <c r="AN273" s="39">
        <f>IF(ISBLANK(Z273),"",IF($P273="BRL",Z273,Z273*Macroindicadores!K$2)/1000)</f>
        <v>2.5</v>
      </c>
      <c r="AO273" s="39">
        <f>IF(ISBLANK(AA273),"",IF($P273="BRL",AA273,AA273*Macroindicadores!L$2)/1000)</f>
        <v>2.5</v>
      </c>
      <c r="AP273" s="39">
        <f>IF(ISBLANK(AB273),"",IF($P273="BRL",AB273,AB273*Macroindicadores!M$2)/1000)</f>
        <v>2.5</v>
      </c>
      <c r="AQ273" s="40">
        <f t="shared" si="105"/>
        <v>30</v>
      </c>
      <c r="AS273" s="39">
        <f>IF(ISBLANK(Q273),"",IF(ISBLANK($O273),AE273,IF($J273="ANUAL",AE273*(1+Macroindicadores!B$7),IF(AND($I273="NOVO",MONTH($O273)=MONTH(AS$4)),AE273*(1+Macroindicadores!B$7),IF(AND($J273="PONTUAL",MONTH($O273)=MONTH(AS$4)),AE273*(1+Macroindicadores!B$7),IF(AND($J273="PONTUAL",MONTH($O273)&lt;MONTH(AS$4)),MIN(AR273:$AS273),IF(AND($I273="NOVO",MONTH($O273)&gt;MONTH(AS$4)),AE273,IF(MONTH($O273)&gt;MONTH(AS$4),AE273,IF(MONTH($O273)=MONTH(AS$4),AE273*(1+Macroindicadores!B$7),AR273)))))))))</f>
        <v>2.5</v>
      </c>
      <c r="AT273" s="39">
        <f>IF(ISBLANK(R273),"",IF(ISBLANK($O273),AF273,IF($J273="ANUAL",AF273*(1+Macroindicadores!C$7),IF(AND($I273="NOVO",MONTH($O273)=MONTH(AT$4)),AF273*(1+Macroindicadores!C$7),IF(AND($J273="PONTUAL",MONTH($O273)=MONTH(AT$4)),AF273*(1+Macroindicadores!C$7),IF(AND($J273="PONTUAL",MONTH($O273)&lt;MONTH(AT$4)),MIN($AS273:AS273),IF(AND($I273="NOVO",MONTH($O273)&gt;MONTH(AT$4)),AF273,IF(MONTH($O273)&gt;MONTH(AT$4),AF273,IF(MONTH($O273)=MONTH(AT$4),AF273*(1+Macroindicadores!C$7),AS273)))))))))</f>
        <v>2.5</v>
      </c>
      <c r="AU273" s="39">
        <f>IF(ISBLANK(S273),"",IF(ISBLANK($O273),AG273,IF($J273="ANUAL",AG273*(1+Macroindicadores!D$7),IF(AND($I273="NOVO",MONTH($O273)=MONTH(AU$4)),AG273*(1+Macroindicadores!D$7),IF(AND($J273="PONTUAL",MONTH($O273)=MONTH(AU$4)),AG273*(1+Macroindicadores!D$7),IF(AND($J273="PONTUAL",MONTH($O273)&lt;MONTH(AU$4)),MIN($AS273:AT273),IF(AND($I273="NOVO",MONTH($O273)&gt;MONTH(AU$4)),AG273,IF(MONTH($O273)&gt;MONTH(AU$4),AG273,IF(MONTH($O273)=MONTH(AU$4),AG273*(1+Macroindicadores!D$7),AT273)))))))))</f>
        <v>2.5</v>
      </c>
      <c r="AV273" s="39">
        <f>IF(ISBLANK(T273),"",IF(ISBLANK($O273),AH273,IF($J273="ANUAL",AH273*(1+Macroindicadores!E$7),IF(AND($I273="NOVO",MONTH($O273)=MONTH(AV$4)),AH273*(1+Macroindicadores!E$7),IF(AND($J273="PONTUAL",MONTH($O273)=MONTH(AV$4)),AH273*(1+Macroindicadores!E$7),IF(AND($J273="PONTUAL",MONTH($O273)&lt;MONTH(AV$4)),MIN($AS273:AU273),IF(AND($I273="NOVO",MONTH($O273)&gt;MONTH(AV$4)),AH273,IF(MONTH($O273)&gt;MONTH(AV$4),AH273,IF(MONTH($O273)=MONTH(AV$4),AH273*(1+Macroindicadores!E$7),AU273)))))))))</f>
        <v>2.5</v>
      </c>
      <c r="AW273" s="39">
        <f>IF(ISBLANK(U273),"",IF(ISBLANK($O273),AI273,IF($J273="ANUAL",AI273*(1+Macroindicadores!F$7),IF(AND($I273="NOVO",MONTH($O273)=MONTH(AW$4)),AI273*(1+Macroindicadores!F$7),IF(AND($J273="PONTUAL",MONTH($O273)=MONTH(AW$4)),AI273*(1+Macroindicadores!F$7),IF(AND($J273="PONTUAL",MONTH($O273)&lt;MONTH(AW$4)),MIN($AS273:AV273),IF(AND($I273="NOVO",MONTH($O273)&gt;MONTH(AW$4)),AI273,IF(MONTH($O273)&gt;MONTH(AW$4),AI273,IF(MONTH($O273)=MONTH(AW$4),AI273*(1+Macroindicadores!F$7),AV273)))))))))</f>
        <v>2.5</v>
      </c>
      <c r="AX273" s="39">
        <f>IF(ISBLANK(V273),"",IF(ISBLANK($O273),AJ273,IF($J273="ANUAL",AJ273*(1+Macroindicadores!G$7),IF(AND($I273="NOVO",MONTH($O273)=MONTH(AX$4)),AJ273*(1+Macroindicadores!G$7),IF(AND($J273="PONTUAL",MONTH($O273)=MONTH(AX$4)),AJ273*(1+Macroindicadores!G$7),IF(AND($J273="PONTUAL",MONTH($O273)&lt;MONTH(AX$4)),MIN($AS273:AW273),IF(AND($I273="NOVO",MONTH($O273)&gt;MONTH(AX$4)),AJ273,IF(MONTH($O273)&gt;MONTH(AX$4),AJ273,IF(MONTH($O273)=MONTH(AX$4),AJ273*(1+Macroindicadores!G$7),AW273)))))))))</f>
        <v>2.5</v>
      </c>
      <c r="AY273" s="39">
        <f>IF(ISBLANK(W273),"",IF(ISBLANK($O273),AK273,IF($J273="ANUAL",AK273*(1+Macroindicadores!H$7),IF(AND($I273="NOVO",MONTH($O273)=MONTH(AY$4)),AK273*(1+Macroindicadores!H$7),IF(AND($J273="PONTUAL",MONTH($O273)=MONTH(AY$4)),AK273*(1+Macroindicadores!H$7),IF(AND($J273="PONTUAL",MONTH($O273)&lt;MONTH(AY$4)),MIN($AS273:AX273),IF(AND($I273="NOVO",MONTH($O273)&gt;MONTH(AY$4)),AK273,IF(MONTH($O273)&gt;MONTH(AY$4),AK273,IF(MONTH($O273)=MONTH(AY$4),AK273*(1+Macroindicadores!H$7),AX273)))))))))</f>
        <v>2.5</v>
      </c>
      <c r="AZ273" s="39">
        <f>IF(ISBLANK(X273),"",IF(ISBLANK($O273),AL273,IF($J273="ANUAL",AL273*(1+Macroindicadores!I$7),IF(AND($I273="NOVO",MONTH($O273)=MONTH(AZ$4)),AL273*(1+Macroindicadores!I$7),IF(AND($J273="PONTUAL",MONTH($O273)=MONTH(AZ$4)),AL273*(1+Macroindicadores!I$7),IF(AND($J273="PONTUAL",MONTH($O273)&lt;MONTH(AZ$4)),MIN($AS273:AY273),IF(AND($I273="NOVO",MONTH($O273)&gt;MONTH(AZ$4)),AL273,IF(MONTH($O273)&gt;MONTH(AZ$4),AL273,IF(MONTH($O273)=MONTH(AZ$4),AL273*(1+Macroindicadores!I$7),AY273)))))))))</f>
        <v>2.5</v>
      </c>
      <c r="BA273" s="39">
        <f>IF(ISBLANK(Y273),"",IF(ISBLANK($O273),AM273,IF($J273="ANUAL",AM273*(1+Macroindicadores!J$7),IF(AND($I273="NOVO",MONTH($O273)=MONTH(BA$4)),AM273*(1+Macroindicadores!J$7),IF(AND($J273="PONTUAL",MONTH($O273)=MONTH(BA$4)),AM273*(1+Macroindicadores!J$7),IF(AND($J273="PONTUAL",MONTH($O273)&lt;MONTH(BA$4)),MIN($AS273:AZ273),IF(AND($I273="NOVO",MONTH($O273)&gt;MONTH(BA$4)),AM273,IF(MONTH($O273)&gt;MONTH(BA$4),AM273,IF(MONTH($O273)=MONTH(BA$4),AM273*(1+Macroindicadores!J$7),AZ273)))))))))</f>
        <v>2.5</v>
      </c>
      <c r="BB273" s="39">
        <f>IF(ISBLANK(Z273),"",IF(ISBLANK($O273),AN273,IF($J273="ANUAL",AN273*(1+Macroindicadores!K$7),IF(AND($I273="NOVO",MONTH($O273)=MONTH(BB$4)),AN273*(1+Macroindicadores!K$7),IF(AND($J273="PONTUAL",MONTH($O273)=MONTH(BB$4)),AN273*(1+Macroindicadores!K$7),IF(AND($J273="PONTUAL",MONTH($O273)&lt;MONTH(BB$4)),MIN($AS273:BA273),IF(AND($I273="NOVO",MONTH($O273)&gt;MONTH(BB$4)),AN273,IF(MONTH($O273)&gt;MONTH(BB$4),AN273,IF(MONTH($O273)=MONTH(BB$4),AN273*(1+Macroindicadores!K$7),BA273)))))))))</f>
        <v>2.5</v>
      </c>
      <c r="BC273" s="39">
        <f>IF(ISBLANK(AA273),"",IF(ISBLANK($O273),AO273,IF($J273="ANUAL",AO273*(1+Macroindicadores!L$7),IF(AND($I273="NOVO",MONTH($O273)=MONTH(BC$4)),AO273*(1+Macroindicadores!L$7),IF(AND($J273="PONTUAL",MONTH($O273)=MONTH(BC$4)),AO273*(1+Macroindicadores!L$7),IF(AND($J273="PONTUAL",MONTH($O273)&lt;MONTH(BC$4)),MIN($AS273:BB273),IF(AND($I273="NOVO",MONTH($O273)&gt;MONTH(BC$4)),AO273,IF(MONTH($O273)&gt;MONTH(BC$4),AO273,IF(MONTH($O273)=MONTH(BC$4),AO273*(1+Macroindicadores!L$7),BB273)))))))))</f>
        <v>2.5</v>
      </c>
      <c r="BD273" s="39">
        <f>IF(ISBLANK(AB273),"",IF(ISBLANK($O273),AP273,IF($J273="ANUAL",AP273*(1+Macroindicadores!M$7),IF(AND($I273="NOVO",MONTH($O273)=MONTH(BD$4)),AP273*(1+Macroindicadores!M$7),IF(AND($J273="PONTUAL",MONTH($O273)=MONTH(BD$4)),AP273*(1+Macroindicadores!M$7),IF(AND($J273="PONTUAL",MONTH($O273)&lt;MONTH(BD$4)),MIN($AS273:BC273),IF(AND($I273="NOVO",MONTH($O273)&gt;MONTH(BD$4)),AP273,IF(MONTH($O273)&gt;MONTH(BD$4),AP273,IF(MONTH($O273)=MONTH(BD$4),AP273*(1+Macroindicadores!M$7),BC273)))))))))</f>
        <v>2.5</v>
      </c>
      <c r="BE273" s="40">
        <f t="shared" si="106"/>
        <v>30</v>
      </c>
      <c r="BG273" s="39">
        <f>IF(ISBLANK(Q273),"",AS273/Macroindicadores!B$2)</f>
        <v>0.42517006802721091</v>
      </c>
      <c r="BH273" s="39">
        <f>IF(ISBLANK(R273),"",AT273/Macroindicadores!C$2)</f>
        <v>0.42517006802721091</v>
      </c>
      <c r="BI273" s="39">
        <f>IF(ISBLANK(S273),"",AU273/Macroindicadores!D$2)</f>
        <v>0.42517006802721091</v>
      </c>
      <c r="BJ273" s="39">
        <f>IF(ISBLANK(T273),"",AV273/Macroindicadores!E$2)</f>
        <v>0.42517006802721091</v>
      </c>
      <c r="BK273" s="39">
        <f>IF(ISBLANK(U273),"",AW273/Macroindicadores!F$2)</f>
        <v>0.42517006802721091</v>
      </c>
      <c r="BL273" s="39">
        <f>IF(ISBLANK(V273),"",AX273/Macroindicadores!G$2)</f>
        <v>0.42517006802721091</v>
      </c>
      <c r="BM273" s="39">
        <f>IF(ISBLANK(W273),"",AY273/Macroindicadores!H$2)</f>
        <v>0.42517006802721091</v>
      </c>
      <c r="BN273" s="39">
        <f>IF(ISBLANK(X273),"",AZ273/Macroindicadores!I$2)</f>
        <v>0.42517006802721091</v>
      </c>
      <c r="BO273" s="39">
        <f>IF(ISBLANK(Y273),"",BA273/Macroindicadores!J$2)</f>
        <v>0.42517006802721091</v>
      </c>
      <c r="BP273" s="39">
        <f>IF(ISBLANK(Z273),"",BB273/Macroindicadores!K$2)</f>
        <v>0.42517006802721091</v>
      </c>
      <c r="BQ273" s="39">
        <f>IF(ISBLANK(AA273),"",BC273/Macroindicadores!L$2)</f>
        <v>0.42517006802721091</v>
      </c>
      <c r="BR273" s="39">
        <f>IF(ISBLANK(AB273),"",BD273/Macroindicadores!M$2)</f>
        <v>0.42517006802721091</v>
      </c>
      <c r="BS273" s="40">
        <f t="shared" si="107"/>
        <v>5.1020408163265314</v>
      </c>
      <c r="BT273" s="25" t="str">
        <f>IF(ISBLANK($L273),"",_xlfn.XLOOKUP($L273,'CENTRO CUSTO'!$A:$A,'CENTRO CUSTO'!$E:$E,FALSE,0))</f>
        <v>Custo Fixo</v>
      </c>
    </row>
    <row r="274" spans="1:72">
      <c r="A274" s="9" t="str">
        <f t="shared" si="80"/>
        <v>Budget</v>
      </c>
      <c r="B274" s="9">
        <f t="shared" si="77"/>
        <v>2026</v>
      </c>
      <c r="C274" s="18" t="str">
        <f>IF(ISBLANK($L274),"",_xlfn.XLOOKUP($L274,'CENTRO CUSTO'!$A:$A,'CENTRO CUSTO'!F:F,FALSE,0))</f>
        <v>Martini Meat</v>
      </c>
      <c r="D274" s="111" t="str">
        <f>IF(ISBLANK($L274),"",_xlfn.XLOOKUP($L274,'CENTRO CUSTO'!$A:$A,'CENTRO CUSTO'!G:G,FALSE,0))</f>
        <v>Itajaí</v>
      </c>
      <c r="E274" s="18" t="str">
        <f>IF(ISBLANK($L274),"",_xlfn.XLOOKUP($L274,'CENTRO CUSTO'!$A:$A,'CENTRO CUSTO'!H:H,FALSE,0))</f>
        <v>RATEIO Unidade</v>
      </c>
      <c r="F274" s="10" t="s">
        <v>261</v>
      </c>
      <c r="G274" s="10" t="s">
        <v>123</v>
      </c>
      <c r="H274" s="10" t="s">
        <v>135</v>
      </c>
      <c r="I274" s="11" t="s">
        <v>77</v>
      </c>
      <c r="J274" s="11" t="s">
        <v>78</v>
      </c>
      <c r="K274" s="11" t="s">
        <v>79</v>
      </c>
      <c r="L274" s="11" t="s">
        <v>29</v>
      </c>
      <c r="M274" s="18" t="str">
        <f>IF(ISBLANK($L274),"",_xlfn.XLOOKUP($L274,'CENTRO CUSTO'!$A:$A,'CENTRO CUSTO'!D:D,FALSE,0))</f>
        <v>Alexandre Ayabe</v>
      </c>
      <c r="N274" s="11" t="s">
        <v>132</v>
      </c>
      <c r="O274" s="12"/>
      <c r="P274" s="11" t="s">
        <v>81</v>
      </c>
      <c r="Q274" s="41">
        <v>3000</v>
      </c>
      <c r="R274" s="41">
        <v>3000</v>
      </c>
      <c r="S274" s="41">
        <v>3000</v>
      </c>
      <c r="T274" s="41">
        <v>3000</v>
      </c>
      <c r="U274" s="41">
        <v>3000</v>
      </c>
      <c r="V274" s="41">
        <v>3000</v>
      </c>
      <c r="W274" s="41">
        <v>3000</v>
      </c>
      <c r="X274" s="41">
        <v>3000</v>
      </c>
      <c r="Y274" s="41">
        <v>3000</v>
      </c>
      <c r="Z274" s="41">
        <v>3000</v>
      </c>
      <c r="AA274" s="41">
        <v>3000</v>
      </c>
      <c r="AB274" s="41">
        <v>3000</v>
      </c>
      <c r="AC274" s="116">
        <f t="shared" si="104"/>
        <v>36000</v>
      </c>
      <c r="AE274" s="39">
        <f>IF(ISBLANK(Q274),"",IF($P274="BRL",Q274,Q274*Macroindicadores!B$2)/1000)</f>
        <v>3</v>
      </c>
      <c r="AF274" s="39">
        <f>IF(ISBLANK(R274),"",IF($P274="BRL",R274,R274*Macroindicadores!C$2)/1000)</f>
        <v>3</v>
      </c>
      <c r="AG274" s="39">
        <f>IF(ISBLANK(S274),"",IF($P274="BRL",S274,S274*Macroindicadores!D$2)/1000)</f>
        <v>3</v>
      </c>
      <c r="AH274" s="39">
        <f>IF(ISBLANK(T274),"",IF($P274="BRL",T274,T274*Macroindicadores!E$2)/1000)</f>
        <v>3</v>
      </c>
      <c r="AI274" s="39">
        <f>IF(ISBLANK(U274),"",IF($P274="BRL",U274,U274*Macroindicadores!F$2)/1000)</f>
        <v>3</v>
      </c>
      <c r="AJ274" s="39">
        <f>IF(ISBLANK(V274),"",IF($P274="BRL",V274,V274*Macroindicadores!G$2)/1000)</f>
        <v>3</v>
      </c>
      <c r="AK274" s="39">
        <f>IF(ISBLANK(W274),"",IF($P274="BRL",W274,W274*Macroindicadores!H$2)/1000)</f>
        <v>3</v>
      </c>
      <c r="AL274" s="39">
        <f>IF(ISBLANK(X274),"",IF($P274="BRL",X274,X274*Macroindicadores!I$2)/1000)</f>
        <v>3</v>
      </c>
      <c r="AM274" s="39">
        <f>IF(ISBLANK(Y274),"",IF($P274="BRL",Y274,Y274*Macroindicadores!J$2)/1000)</f>
        <v>3</v>
      </c>
      <c r="AN274" s="39">
        <f>IF(ISBLANK(Z274),"",IF($P274="BRL",Z274,Z274*Macroindicadores!K$2)/1000)</f>
        <v>3</v>
      </c>
      <c r="AO274" s="39">
        <f>IF(ISBLANK(AA274),"",IF($P274="BRL",AA274,AA274*Macroindicadores!L$2)/1000)</f>
        <v>3</v>
      </c>
      <c r="AP274" s="39">
        <f>IF(ISBLANK(AB274),"",IF($P274="BRL",AB274,AB274*Macroindicadores!M$2)/1000)</f>
        <v>3</v>
      </c>
      <c r="AQ274" s="40">
        <f t="shared" si="105"/>
        <v>36</v>
      </c>
      <c r="AS274" s="39">
        <f>IF(ISBLANK(Q274),"",IF(ISBLANK($O274),AE274,IF($J274="ANUAL",AE274*(1+Macroindicadores!B$7),IF(AND($I274="NOVO",MONTH($O274)=MONTH(AS$4)),AE274*(1+Macroindicadores!B$7),IF(AND($J274="PONTUAL",MONTH($O274)=MONTH(AS$4)),AE274*(1+Macroindicadores!B$7),IF(AND($J274="PONTUAL",MONTH($O274)&lt;MONTH(AS$4)),MIN(AR274:$AS274),IF(AND($I274="NOVO",MONTH($O274)&gt;MONTH(AS$4)),AE274,IF(MONTH($O274)&gt;MONTH(AS$4),AE274,IF(MONTH($O274)=MONTH(AS$4),AE274*(1+Macroindicadores!B$7),AR274)))))))))</f>
        <v>3</v>
      </c>
      <c r="AT274" s="39">
        <f>IF(ISBLANK(R274),"",IF(ISBLANK($O274),AF274,IF($J274="ANUAL",AF274*(1+Macroindicadores!C$7),IF(AND($I274="NOVO",MONTH($O274)=MONTH(AT$4)),AF274*(1+Macroindicadores!C$7),IF(AND($J274="PONTUAL",MONTH($O274)=MONTH(AT$4)),AF274*(1+Macroindicadores!C$7),IF(AND($J274="PONTUAL",MONTH($O274)&lt;MONTH(AT$4)),MIN($AS274:AS274),IF(AND($I274="NOVO",MONTH($O274)&gt;MONTH(AT$4)),AF274,IF(MONTH($O274)&gt;MONTH(AT$4),AF274,IF(MONTH($O274)=MONTH(AT$4),AF274*(1+Macroindicadores!C$7),AS274)))))))))</f>
        <v>3</v>
      </c>
      <c r="AU274" s="39">
        <f>IF(ISBLANK(S274),"",IF(ISBLANK($O274),AG274,IF($J274="ANUAL",AG274*(1+Macroindicadores!D$7),IF(AND($I274="NOVO",MONTH($O274)=MONTH(AU$4)),AG274*(1+Macroindicadores!D$7),IF(AND($J274="PONTUAL",MONTH($O274)=MONTH(AU$4)),AG274*(1+Macroindicadores!D$7),IF(AND($J274="PONTUAL",MONTH($O274)&lt;MONTH(AU$4)),MIN($AS274:AT274),IF(AND($I274="NOVO",MONTH($O274)&gt;MONTH(AU$4)),AG274,IF(MONTH($O274)&gt;MONTH(AU$4),AG274,IF(MONTH($O274)=MONTH(AU$4),AG274*(1+Macroindicadores!D$7),AT274)))))))))</f>
        <v>3</v>
      </c>
      <c r="AV274" s="39">
        <f>IF(ISBLANK(T274),"",IF(ISBLANK($O274),AH274,IF($J274="ANUAL",AH274*(1+Macroindicadores!E$7),IF(AND($I274="NOVO",MONTH($O274)=MONTH(AV$4)),AH274*(1+Macroindicadores!E$7),IF(AND($J274="PONTUAL",MONTH($O274)=MONTH(AV$4)),AH274*(1+Macroindicadores!E$7),IF(AND($J274="PONTUAL",MONTH($O274)&lt;MONTH(AV$4)),MIN($AS274:AU274),IF(AND($I274="NOVO",MONTH($O274)&gt;MONTH(AV$4)),AH274,IF(MONTH($O274)&gt;MONTH(AV$4),AH274,IF(MONTH($O274)=MONTH(AV$4),AH274*(1+Macroindicadores!E$7),AU274)))))))))</f>
        <v>3</v>
      </c>
      <c r="AW274" s="39">
        <f>IF(ISBLANK(U274),"",IF(ISBLANK($O274),AI274,IF($J274="ANUAL",AI274*(1+Macroindicadores!F$7),IF(AND($I274="NOVO",MONTH($O274)=MONTH(AW$4)),AI274*(1+Macroindicadores!F$7),IF(AND($J274="PONTUAL",MONTH($O274)=MONTH(AW$4)),AI274*(1+Macroindicadores!F$7),IF(AND($J274="PONTUAL",MONTH($O274)&lt;MONTH(AW$4)),MIN($AS274:AV274),IF(AND($I274="NOVO",MONTH($O274)&gt;MONTH(AW$4)),AI274,IF(MONTH($O274)&gt;MONTH(AW$4),AI274,IF(MONTH($O274)=MONTH(AW$4),AI274*(1+Macroindicadores!F$7),AV274)))))))))</f>
        <v>3</v>
      </c>
      <c r="AX274" s="39">
        <f>IF(ISBLANK(V274),"",IF(ISBLANK($O274),AJ274,IF($J274="ANUAL",AJ274*(1+Macroindicadores!G$7),IF(AND($I274="NOVO",MONTH($O274)=MONTH(AX$4)),AJ274*(1+Macroindicadores!G$7),IF(AND($J274="PONTUAL",MONTH($O274)=MONTH(AX$4)),AJ274*(1+Macroindicadores!G$7),IF(AND($J274="PONTUAL",MONTH($O274)&lt;MONTH(AX$4)),MIN($AS274:AW274),IF(AND($I274="NOVO",MONTH($O274)&gt;MONTH(AX$4)),AJ274,IF(MONTH($O274)&gt;MONTH(AX$4),AJ274,IF(MONTH($O274)=MONTH(AX$4),AJ274*(1+Macroindicadores!G$7),AW274)))))))))</f>
        <v>3</v>
      </c>
      <c r="AY274" s="39">
        <f>IF(ISBLANK(W274),"",IF(ISBLANK($O274),AK274,IF($J274="ANUAL",AK274*(1+Macroindicadores!H$7),IF(AND($I274="NOVO",MONTH($O274)=MONTH(AY$4)),AK274*(1+Macroindicadores!H$7),IF(AND($J274="PONTUAL",MONTH($O274)=MONTH(AY$4)),AK274*(1+Macroindicadores!H$7),IF(AND($J274="PONTUAL",MONTH($O274)&lt;MONTH(AY$4)),MIN($AS274:AX274),IF(AND($I274="NOVO",MONTH($O274)&gt;MONTH(AY$4)),AK274,IF(MONTH($O274)&gt;MONTH(AY$4),AK274,IF(MONTH($O274)=MONTH(AY$4),AK274*(1+Macroindicadores!H$7),AX274)))))))))</f>
        <v>3</v>
      </c>
      <c r="AZ274" s="39">
        <f>IF(ISBLANK(X274),"",IF(ISBLANK($O274),AL274,IF($J274="ANUAL",AL274*(1+Macroindicadores!I$7),IF(AND($I274="NOVO",MONTH($O274)=MONTH(AZ$4)),AL274*(1+Macroindicadores!I$7),IF(AND($J274="PONTUAL",MONTH($O274)=MONTH(AZ$4)),AL274*(1+Macroindicadores!I$7),IF(AND($J274="PONTUAL",MONTH($O274)&lt;MONTH(AZ$4)),MIN($AS274:AY274),IF(AND($I274="NOVO",MONTH($O274)&gt;MONTH(AZ$4)),AL274,IF(MONTH($O274)&gt;MONTH(AZ$4),AL274,IF(MONTH($O274)=MONTH(AZ$4),AL274*(1+Macroindicadores!I$7),AY274)))))))))</f>
        <v>3</v>
      </c>
      <c r="BA274" s="39">
        <f>IF(ISBLANK(Y274),"",IF(ISBLANK($O274),AM274,IF($J274="ANUAL",AM274*(1+Macroindicadores!J$7),IF(AND($I274="NOVO",MONTH($O274)=MONTH(BA$4)),AM274*(1+Macroindicadores!J$7),IF(AND($J274="PONTUAL",MONTH($O274)=MONTH(BA$4)),AM274*(1+Macroindicadores!J$7),IF(AND($J274="PONTUAL",MONTH($O274)&lt;MONTH(BA$4)),MIN($AS274:AZ274),IF(AND($I274="NOVO",MONTH($O274)&gt;MONTH(BA$4)),AM274,IF(MONTH($O274)&gt;MONTH(BA$4),AM274,IF(MONTH($O274)=MONTH(BA$4),AM274*(1+Macroindicadores!J$7),AZ274)))))))))</f>
        <v>3</v>
      </c>
      <c r="BB274" s="39">
        <f>IF(ISBLANK(Z274),"",IF(ISBLANK($O274),AN274,IF($J274="ANUAL",AN274*(1+Macroindicadores!K$7),IF(AND($I274="NOVO",MONTH($O274)=MONTH(BB$4)),AN274*(1+Macroindicadores!K$7),IF(AND($J274="PONTUAL",MONTH($O274)=MONTH(BB$4)),AN274*(1+Macroindicadores!K$7),IF(AND($J274="PONTUAL",MONTH($O274)&lt;MONTH(BB$4)),MIN($AS274:BA274),IF(AND($I274="NOVO",MONTH($O274)&gt;MONTH(BB$4)),AN274,IF(MONTH($O274)&gt;MONTH(BB$4),AN274,IF(MONTH($O274)=MONTH(BB$4),AN274*(1+Macroindicadores!K$7),BA274)))))))))</f>
        <v>3</v>
      </c>
      <c r="BC274" s="39">
        <f>IF(ISBLANK(AA274),"",IF(ISBLANK($O274),AO274,IF($J274="ANUAL",AO274*(1+Macroindicadores!L$7),IF(AND($I274="NOVO",MONTH($O274)=MONTH(BC$4)),AO274*(1+Macroindicadores!L$7),IF(AND($J274="PONTUAL",MONTH($O274)=MONTH(BC$4)),AO274*(1+Macroindicadores!L$7),IF(AND($J274="PONTUAL",MONTH($O274)&lt;MONTH(BC$4)),MIN($AS274:BB274),IF(AND($I274="NOVO",MONTH($O274)&gt;MONTH(BC$4)),AO274,IF(MONTH($O274)&gt;MONTH(BC$4),AO274,IF(MONTH($O274)=MONTH(BC$4),AO274*(1+Macroindicadores!L$7),BB274)))))))))</f>
        <v>3</v>
      </c>
      <c r="BD274" s="39">
        <f>IF(ISBLANK(AB274),"",IF(ISBLANK($O274),AP274,IF($J274="ANUAL",AP274*(1+Macroindicadores!M$7),IF(AND($I274="NOVO",MONTH($O274)=MONTH(BD$4)),AP274*(1+Macroindicadores!M$7),IF(AND($J274="PONTUAL",MONTH($O274)=MONTH(BD$4)),AP274*(1+Macroindicadores!M$7),IF(AND($J274="PONTUAL",MONTH($O274)&lt;MONTH(BD$4)),MIN($AS274:BC274),IF(AND($I274="NOVO",MONTH($O274)&gt;MONTH(BD$4)),AP274,IF(MONTH($O274)&gt;MONTH(BD$4),AP274,IF(MONTH($O274)=MONTH(BD$4),AP274*(1+Macroindicadores!M$7),BC274)))))))))</f>
        <v>3</v>
      </c>
      <c r="BE274" s="40">
        <f t="shared" si="106"/>
        <v>36</v>
      </c>
      <c r="BG274" s="39">
        <f>IF(ISBLANK(Q274),"",AS274/Macroindicadores!B$2)</f>
        <v>0.51020408163265307</v>
      </c>
      <c r="BH274" s="39">
        <f>IF(ISBLANK(R274),"",AT274/Macroindicadores!C$2)</f>
        <v>0.51020408163265307</v>
      </c>
      <c r="BI274" s="39">
        <f>IF(ISBLANK(S274),"",AU274/Macroindicadores!D$2)</f>
        <v>0.51020408163265307</v>
      </c>
      <c r="BJ274" s="39">
        <f>IF(ISBLANK(T274),"",AV274/Macroindicadores!E$2)</f>
        <v>0.51020408163265307</v>
      </c>
      <c r="BK274" s="39">
        <f>IF(ISBLANK(U274),"",AW274/Macroindicadores!F$2)</f>
        <v>0.51020408163265307</v>
      </c>
      <c r="BL274" s="39">
        <f>IF(ISBLANK(V274),"",AX274/Macroindicadores!G$2)</f>
        <v>0.51020408163265307</v>
      </c>
      <c r="BM274" s="39">
        <f>IF(ISBLANK(W274),"",AY274/Macroindicadores!H$2)</f>
        <v>0.51020408163265307</v>
      </c>
      <c r="BN274" s="39">
        <f>IF(ISBLANK(X274),"",AZ274/Macroindicadores!I$2)</f>
        <v>0.51020408163265307</v>
      </c>
      <c r="BO274" s="39">
        <f>IF(ISBLANK(Y274),"",BA274/Macroindicadores!J$2)</f>
        <v>0.51020408163265307</v>
      </c>
      <c r="BP274" s="39">
        <f>IF(ISBLANK(Z274),"",BB274/Macroindicadores!K$2)</f>
        <v>0.51020408163265307</v>
      </c>
      <c r="BQ274" s="39">
        <f>IF(ISBLANK(AA274),"",BC274/Macroindicadores!L$2)</f>
        <v>0.51020408163265307</v>
      </c>
      <c r="BR274" s="39">
        <f>IF(ISBLANK(AB274),"",BD274/Macroindicadores!M$2)</f>
        <v>0.51020408163265307</v>
      </c>
      <c r="BS274" s="40">
        <f t="shared" si="107"/>
        <v>6.1224489795918382</v>
      </c>
      <c r="BT274" s="25" t="str">
        <f>IF(ISBLANK($L274),"",_xlfn.XLOOKUP($L274,'CENTRO CUSTO'!$A:$A,'CENTRO CUSTO'!$E:$E,FALSE,0))</f>
        <v>Custo Fixo</v>
      </c>
    </row>
    <row r="275" spans="1:72">
      <c r="A275" s="9" t="str">
        <f t="shared" si="80"/>
        <v>Budget</v>
      </c>
      <c r="B275" s="9">
        <f t="shared" si="77"/>
        <v>2026</v>
      </c>
      <c r="C275" s="18" t="str">
        <f>IF(ISBLANK($L275),"",_xlfn.XLOOKUP($L275,'CENTRO CUSTO'!$A:$A,'CENTRO CUSTO'!F:F,FALSE,0))</f>
        <v>Martini Meat</v>
      </c>
      <c r="D275" s="111" t="str">
        <f>IF(ISBLANK($L275),"",_xlfn.XLOOKUP($L275,'CENTRO CUSTO'!$A:$A,'CENTRO CUSTO'!G:G,FALSE,0))</f>
        <v>Rio Grande</v>
      </c>
      <c r="E275" s="18" t="str">
        <f>IF(ISBLANK($L275),"",_xlfn.XLOOKUP($L275,'CENTRO CUSTO'!$A:$A,'CENTRO CUSTO'!H:H,FALSE,0))</f>
        <v>RATEIO Unidade</v>
      </c>
      <c r="F275" s="10" t="s">
        <v>261</v>
      </c>
      <c r="G275" s="10" t="s">
        <v>123</v>
      </c>
      <c r="H275" s="10" t="s">
        <v>135</v>
      </c>
      <c r="I275" s="11" t="s">
        <v>77</v>
      </c>
      <c r="J275" s="11" t="s">
        <v>78</v>
      </c>
      <c r="K275" s="11" t="s">
        <v>79</v>
      </c>
      <c r="L275" s="11" t="s">
        <v>23</v>
      </c>
      <c r="M275" s="18" t="str">
        <f>IF(ISBLANK($L275),"",_xlfn.XLOOKUP($L275,'CENTRO CUSTO'!$A:$A,'CENTRO CUSTO'!D:D,FALSE,0))</f>
        <v>Alexandre Ayabe</v>
      </c>
      <c r="N275" s="11" t="s">
        <v>132</v>
      </c>
      <c r="O275" s="12"/>
      <c r="P275" s="11" t="s">
        <v>81</v>
      </c>
      <c r="Q275" s="41">
        <v>1500</v>
      </c>
      <c r="R275" s="41">
        <v>1500</v>
      </c>
      <c r="S275" s="41">
        <v>1500</v>
      </c>
      <c r="T275" s="41">
        <v>1500</v>
      </c>
      <c r="U275" s="41">
        <v>1500</v>
      </c>
      <c r="V275" s="41">
        <v>1500</v>
      </c>
      <c r="W275" s="41">
        <v>1500</v>
      </c>
      <c r="X275" s="41">
        <v>1500</v>
      </c>
      <c r="Y275" s="41">
        <v>1500</v>
      </c>
      <c r="Z275" s="41">
        <v>1500</v>
      </c>
      <c r="AA275" s="41">
        <v>1500</v>
      </c>
      <c r="AB275" s="41">
        <v>1500</v>
      </c>
      <c r="AC275" s="116">
        <f t="shared" si="104"/>
        <v>18000</v>
      </c>
      <c r="AE275" s="39">
        <f>IF(ISBLANK(Q275),"",IF($P275="BRL",Q275,Q275*Macroindicadores!B$2)/1000)</f>
        <v>1.5</v>
      </c>
      <c r="AF275" s="39">
        <f>IF(ISBLANK(R275),"",IF($P275="BRL",R275,R275*Macroindicadores!C$2)/1000)</f>
        <v>1.5</v>
      </c>
      <c r="AG275" s="39">
        <f>IF(ISBLANK(S275),"",IF($P275="BRL",S275,S275*Macroindicadores!D$2)/1000)</f>
        <v>1.5</v>
      </c>
      <c r="AH275" s="39">
        <f>IF(ISBLANK(T275),"",IF($P275="BRL",T275,T275*Macroindicadores!E$2)/1000)</f>
        <v>1.5</v>
      </c>
      <c r="AI275" s="39">
        <f>IF(ISBLANK(U275),"",IF($P275="BRL",U275,U275*Macroindicadores!F$2)/1000)</f>
        <v>1.5</v>
      </c>
      <c r="AJ275" s="39">
        <f>IF(ISBLANK(V275),"",IF($P275="BRL",V275,V275*Macroindicadores!G$2)/1000)</f>
        <v>1.5</v>
      </c>
      <c r="AK275" s="39">
        <f>IF(ISBLANK(W275),"",IF($P275="BRL",W275,W275*Macroindicadores!H$2)/1000)</f>
        <v>1.5</v>
      </c>
      <c r="AL275" s="39">
        <f>IF(ISBLANK(X275),"",IF($P275="BRL",X275,X275*Macroindicadores!I$2)/1000)</f>
        <v>1.5</v>
      </c>
      <c r="AM275" s="39">
        <f>IF(ISBLANK(Y275),"",IF($P275="BRL",Y275,Y275*Macroindicadores!J$2)/1000)</f>
        <v>1.5</v>
      </c>
      <c r="AN275" s="39">
        <f>IF(ISBLANK(Z275),"",IF($P275="BRL",Z275,Z275*Macroindicadores!K$2)/1000)</f>
        <v>1.5</v>
      </c>
      <c r="AO275" s="39">
        <f>IF(ISBLANK(AA275),"",IF($P275="BRL",AA275,AA275*Macroindicadores!L$2)/1000)</f>
        <v>1.5</v>
      </c>
      <c r="AP275" s="39">
        <f>IF(ISBLANK(AB275),"",IF($P275="BRL",AB275,AB275*Macroindicadores!M$2)/1000)</f>
        <v>1.5</v>
      </c>
      <c r="AQ275" s="40">
        <f t="shared" si="105"/>
        <v>18</v>
      </c>
      <c r="AS275" s="39">
        <f>IF(ISBLANK(Q275),"",IF(ISBLANK($O275),AE275,IF($J275="ANUAL",AE275*(1+Macroindicadores!B$7),IF(AND($I275="NOVO",MONTH($O275)=MONTH(AS$4)),AE275*(1+Macroindicadores!B$7),IF(AND($J275="PONTUAL",MONTH($O275)=MONTH(AS$4)),AE275*(1+Macroindicadores!B$7),IF(AND($J275="PONTUAL",MONTH($O275)&lt;MONTH(AS$4)),MIN(AR275:$AS275),IF(AND($I275="NOVO",MONTH($O275)&gt;MONTH(AS$4)),AE275,IF(MONTH($O275)&gt;MONTH(AS$4),AE275,IF(MONTH($O275)=MONTH(AS$4),AE275*(1+Macroindicadores!B$7),AR275)))))))))</f>
        <v>1.5</v>
      </c>
      <c r="AT275" s="39">
        <f>IF(ISBLANK(R275),"",IF(ISBLANK($O275),AF275,IF($J275="ANUAL",AF275*(1+Macroindicadores!C$7),IF(AND($I275="NOVO",MONTH($O275)=MONTH(AT$4)),AF275*(1+Macroindicadores!C$7),IF(AND($J275="PONTUAL",MONTH($O275)=MONTH(AT$4)),AF275*(1+Macroindicadores!C$7),IF(AND($J275="PONTUAL",MONTH($O275)&lt;MONTH(AT$4)),MIN($AS275:AS275),IF(AND($I275="NOVO",MONTH($O275)&gt;MONTH(AT$4)),AF275,IF(MONTH($O275)&gt;MONTH(AT$4),AF275,IF(MONTH($O275)=MONTH(AT$4),AF275*(1+Macroindicadores!C$7),AS275)))))))))</f>
        <v>1.5</v>
      </c>
      <c r="AU275" s="39">
        <f>IF(ISBLANK(S275),"",IF(ISBLANK($O275),AG275,IF($J275="ANUAL",AG275*(1+Macroindicadores!D$7),IF(AND($I275="NOVO",MONTH($O275)=MONTH(AU$4)),AG275*(1+Macroindicadores!D$7),IF(AND($J275="PONTUAL",MONTH($O275)=MONTH(AU$4)),AG275*(1+Macroindicadores!D$7),IF(AND($J275="PONTUAL",MONTH($O275)&lt;MONTH(AU$4)),MIN($AS275:AT275),IF(AND($I275="NOVO",MONTH($O275)&gt;MONTH(AU$4)),AG275,IF(MONTH($O275)&gt;MONTH(AU$4),AG275,IF(MONTH($O275)=MONTH(AU$4),AG275*(1+Macroindicadores!D$7),AT275)))))))))</f>
        <v>1.5</v>
      </c>
      <c r="AV275" s="39">
        <f>IF(ISBLANK(T275),"",IF(ISBLANK($O275),AH275,IF($J275="ANUAL",AH275*(1+Macroindicadores!E$7),IF(AND($I275="NOVO",MONTH($O275)=MONTH(AV$4)),AH275*(1+Macroindicadores!E$7),IF(AND($J275="PONTUAL",MONTH($O275)=MONTH(AV$4)),AH275*(1+Macroindicadores!E$7),IF(AND($J275="PONTUAL",MONTH($O275)&lt;MONTH(AV$4)),MIN($AS275:AU275),IF(AND($I275="NOVO",MONTH($O275)&gt;MONTH(AV$4)),AH275,IF(MONTH($O275)&gt;MONTH(AV$4),AH275,IF(MONTH($O275)=MONTH(AV$4),AH275*(1+Macroindicadores!E$7),AU275)))))))))</f>
        <v>1.5</v>
      </c>
      <c r="AW275" s="39">
        <f>IF(ISBLANK(U275),"",IF(ISBLANK($O275),AI275,IF($J275="ANUAL",AI275*(1+Macroindicadores!F$7),IF(AND($I275="NOVO",MONTH($O275)=MONTH(AW$4)),AI275*(1+Macroindicadores!F$7),IF(AND($J275="PONTUAL",MONTH($O275)=MONTH(AW$4)),AI275*(1+Macroindicadores!F$7),IF(AND($J275="PONTUAL",MONTH($O275)&lt;MONTH(AW$4)),MIN($AS275:AV275),IF(AND($I275="NOVO",MONTH($O275)&gt;MONTH(AW$4)),AI275,IF(MONTH($O275)&gt;MONTH(AW$4),AI275,IF(MONTH($O275)=MONTH(AW$4),AI275*(1+Macroindicadores!F$7),AV275)))))))))</f>
        <v>1.5</v>
      </c>
      <c r="AX275" s="39">
        <f>IF(ISBLANK(V275),"",IF(ISBLANK($O275),AJ275,IF($J275="ANUAL",AJ275*(1+Macroindicadores!G$7),IF(AND($I275="NOVO",MONTH($O275)=MONTH(AX$4)),AJ275*(1+Macroindicadores!G$7),IF(AND($J275="PONTUAL",MONTH($O275)=MONTH(AX$4)),AJ275*(1+Macroindicadores!G$7),IF(AND($J275="PONTUAL",MONTH($O275)&lt;MONTH(AX$4)),MIN($AS275:AW275),IF(AND($I275="NOVO",MONTH($O275)&gt;MONTH(AX$4)),AJ275,IF(MONTH($O275)&gt;MONTH(AX$4),AJ275,IF(MONTH($O275)=MONTH(AX$4),AJ275*(1+Macroindicadores!G$7),AW275)))))))))</f>
        <v>1.5</v>
      </c>
      <c r="AY275" s="39">
        <f>IF(ISBLANK(W275),"",IF(ISBLANK($O275),AK275,IF($J275="ANUAL",AK275*(1+Macroindicadores!H$7),IF(AND($I275="NOVO",MONTH($O275)=MONTH(AY$4)),AK275*(1+Macroindicadores!H$7),IF(AND($J275="PONTUAL",MONTH($O275)=MONTH(AY$4)),AK275*(1+Macroindicadores!H$7),IF(AND($J275="PONTUAL",MONTH($O275)&lt;MONTH(AY$4)),MIN($AS275:AX275),IF(AND($I275="NOVO",MONTH($O275)&gt;MONTH(AY$4)),AK275,IF(MONTH($O275)&gt;MONTH(AY$4),AK275,IF(MONTH($O275)=MONTH(AY$4),AK275*(1+Macroindicadores!H$7),AX275)))))))))</f>
        <v>1.5</v>
      </c>
      <c r="AZ275" s="39">
        <f>IF(ISBLANK(X275),"",IF(ISBLANK($O275),AL275,IF($J275="ANUAL",AL275*(1+Macroindicadores!I$7),IF(AND($I275="NOVO",MONTH($O275)=MONTH(AZ$4)),AL275*(1+Macroindicadores!I$7),IF(AND($J275="PONTUAL",MONTH($O275)=MONTH(AZ$4)),AL275*(1+Macroindicadores!I$7),IF(AND($J275="PONTUAL",MONTH($O275)&lt;MONTH(AZ$4)),MIN($AS275:AY275),IF(AND($I275="NOVO",MONTH($O275)&gt;MONTH(AZ$4)),AL275,IF(MONTH($O275)&gt;MONTH(AZ$4),AL275,IF(MONTH($O275)=MONTH(AZ$4),AL275*(1+Macroindicadores!I$7),AY275)))))))))</f>
        <v>1.5</v>
      </c>
      <c r="BA275" s="39">
        <f>IF(ISBLANK(Y275),"",IF(ISBLANK($O275),AM275,IF($J275="ANUAL",AM275*(1+Macroindicadores!J$7),IF(AND($I275="NOVO",MONTH($O275)=MONTH(BA$4)),AM275*(1+Macroindicadores!J$7),IF(AND($J275="PONTUAL",MONTH($O275)=MONTH(BA$4)),AM275*(1+Macroindicadores!J$7),IF(AND($J275="PONTUAL",MONTH($O275)&lt;MONTH(BA$4)),MIN($AS275:AZ275),IF(AND($I275="NOVO",MONTH($O275)&gt;MONTH(BA$4)),AM275,IF(MONTH($O275)&gt;MONTH(BA$4),AM275,IF(MONTH($O275)=MONTH(BA$4),AM275*(1+Macroindicadores!J$7),AZ275)))))))))</f>
        <v>1.5</v>
      </c>
      <c r="BB275" s="39">
        <f>IF(ISBLANK(Z275),"",IF(ISBLANK($O275),AN275,IF($J275="ANUAL",AN275*(1+Macroindicadores!K$7),IF(AND($I275="NOVO",MONTH($O275)=MONTH(BB$4)),AN275*(1+Macroindicadores!K$7),IF(AND($J275="PONTUAL",MONTH($O275)=MONTH(BB$4)),AN275*(1+Macroindicadores!K$7),IF(AND($J275="PONTUAL",MONTH($O275)&lt;MONTH(BB$4)),MIN($AS275:BA275),IF(AND($I275="NOVO",MONTH($O275)&gt;MONTH(BB$4)),AN275,IF(MONTH($O275)&gt;MONTH(BB$4),AN275,IF(MONTH($O275)=MONTH(BB$4),AN275*(1+Macroindicadores!K$7),BA275)))))))))</f>
        <v>1.5</v>
      </c>
      <c r="BC275" s="39">
        <f>IF(ISBLANK(AA275),"",IF(ISBLANK($O275),AO275,IF($J275="ANUAL",AO275*(1+Macroindicadores!L$7),IF(AND($I275="NOVO",MONTH($O275)=MONTH(BC$4)),AO275*(1+Macroindicadores!L$7),IF(AND($J275="PONTUAL",MONTH($O275)=MONTH(BC$4)),AO275*(1+Macroindicadores!L$7),IF(AND($J275="PONTUAL",MONTH($O275)&lt;MONTH(BC$4)),MIN($AS275:BB275),IF(AND($I275="NOVO",MONTH($O275)&gt;MONTH(BC$4)),AO275,IF(MONTH($O275)&gt;MONTH(BC$4),AO275,IF(MONTH($O275)=MONTH(BC$4),AO275*(1+Macroindicadores!L$7),BB275)))))))))</f>
        <v>1.5</v>
      </c>
      <c r="BD275" s="39">
        <f>IF(ISBLANK(AB275),"",IF(ISBLANK($O275),AP275,IF($J275="ANUAL",AP275*(1+Macroindicadores!M$7),IF(AND($I275="NOVO",MONTH($O275)=MONTH(BD$4)),AP275*(1+Macroindicadores!M$7),IF(AND($J275="PONTUAL",MONTH($O275)=MONTH(BD$4)),AP275*(1+Macroindicadores!M$7),IF(AND($J275="PONTUAL",MONTH($O275)&lt;MONTH(BD$4)),MIN($AS275:BC275),IF(AND($I275="NOVO",MONTH($O275)&gt;MONTH(BD$4)),AP275,IF(MONTH($O275)&gt;MONTH(BD$4),AP275,IF(MONTH($O275)=MONTH(BD$4),AP275*(1+Macroindicadores!M$7),BC275)))))))))</f>
        <v>1.5</v>
      </c>
      <c r="BE275" s="40">
        <f t="shared" si="106"/>
        <v>18</v>
      </c>
      <c r="BG275" s="39">
        <f>IF(ISBLANK(Q275),"",AS275/Macroindicadores!B$2)</f>
        <v>0.25510204081632654</v>
      </c>
      <c r="BH275" s="39">
        <f>IF(ISBLANK(R275),"",AT275/Macroindicadores!C$2)</f>
        <v>0.25510204081632654</v>
      </c>
      <c r="BI275" s="39">
        <f>IF(ISBLANK(S275),"",AU275/Macroindicadores!D$2)</f>
        <v>0.25510204081632654</v>
      </c>
      <c r="BJ275" s="39">
        <f>IF(ISBLANK(T275),"",AV275/Macroindicadores!E$2)</f>
        <v>0.25510204081632654</v>
      </c>
      <c r="BK275" s="39">
        <f>IF(ISBLANK(U275),"",AW275/Macroindicadores!F$2)</f>
        <v>0.25510204081632654</v>
      </c>
      <c r="BL275" s="39">
        <f>IF(ISBLANK(V275),"",AX275/Macroindicadores!G$2)</f>
        <v>0.25510204081632654</v>
      </c>
      <c r="BM275" s="39">
        <f>IF(ISBLANK(W275),"",AY275/Macroindicadores!H$2)</f>
        <v>0.25510204081632654</v>
      </c>
      <c r="BN275" s="39">
        <f>IF(ISBLANK(X275),"",AZ275/Macroindicadores!I$2)</f>
        <v>0.25510204081632654</v>
      </c>
      <c r="BO275" s="39">
        <f>IF(ISBLANK(Y275),"",BA275/Macroindicadores!J$2)</f>
        <v>0.25510204081632654</v>
      </c>
      <c r="BP275" s="39">
        <f>IF(ISBLANK(Z275),"",BB275/Macroindicadores!K$2)</f>
        <v>0.25510204081632654</v>
      </c>
      <c r="BQ275" s="39">
        <f>IF(ISBLANK(AA275),"",BC275/Macroindicadores!L$2)</f>
        <v>0.25510204081632654</v>
      </c>
      <c r="BR275" s="39">
        <f>IF(ISBLANK(AB275),"",BD275/Macroindicadores!M$2)</f>
        <v>0.25510204081632654</v>
      </c>
      <c r="BS275" s="40">
        <f t="shared" si="107"/>
        <v>3.0612244897959191</v>
      </c>
      <c r="BT275" s="25" t="str">
        <f>IF(ISBLANK($L275),"",_xlfn.XLOOKUP($L275,'CENTRO CUSTO'!$A:$A,'CENTRO CUSTO'!$E:$E,FALSE,0))</f>
        <v>Custo Fixo</v>
      </c>
    </row>
    <row r="276" spans="1:72">
      <c r="A276" s="9" t="str">
        <f t="shared" si="80"/>
        <v>Budget</v>
      </c>
      <c r="B276" s="9">
        <f t="shared" si="77"/>
        <v>2026</v>
      </c>
      <c r="C276" s="18" t="str">
        <f>IF(ISBLANK($L276),"",_xlfn.XLOOKUP($L276,'CENTRO CUSTO'!$A:$A,'CENTRO CUSTO'!F:F,FALSE,0))</f>
        <v>Martini Meat</v>
      </c>
      <c r="D276" s="111" t="str">
        <f>IF(ISBLANK($L276),"",_xlfn.XLOOKUP($L276,'CENTRO CUSTO'!$A:$A,'CENTRO CUSTO'!G:G,FALSE,0))</f>
        <v>Ponta Grossa</v>
      </c>
      <c r="E276" s="18" t="str">
        <f>IF(ISBLANK($L276),"",_xlfn.XLOOKUP($L276,'CENTRO CUSTO'!$A:$A,'CENTRO CUSTO'!H:H,FALSE,0))</f>
        <v>Carga Geral</v>
      </c>
      <c r="F276" s="10" t="s">
        <v>261</v>
      </c>
      <c r="G276" s="10" t="s">
        <v>123</v>
      </c>
      <c r="H276" s="10" t="s">
        <v>135</v>
      </c>
      <c r="I276" s="11" t="s">
        <v>77</v>
      </c>
      <c r="J276" s="11" t="s">
        <v>78</v>
      </c>
      <c r="K276" s="11" t="s">
        <v>79</v>
      </c>
      <c r="L276" s="11" t="s">
        <v>25</v>
      </c>
      <c r="M276" s="18" t="str">
        <f>IF(ISBLANK($L276),"",_xlfn.XLOOKUP($L276,'CENTRO CUSTO'!$A:$A,'CENTRO CUSTO'!D:D,FALSE,0))</f>
        <v>Alexandre Ayabe</v>
      </c>
      <c r="N276" s="11" t="s">
        <v>132</v>
      </c>
      <c r="O276" s="12"/>
      <c r="P276" s="11" t="s">
        <v>81</v>
      </c>
      <c r="Q276" s="41">
        <v>1500</v>
      </c>
      <c r="R276" s="41">
        <v>1500</v>
      </c>
      <c r="S276" s="41">
        <v>1500</v>
      </c>
      <c r="T276" s="41">
        <v>1500</v>
      </c>
      <c r="U276" s="41">
        <v>1500</v>
      </c>
      <c r="V276" s="41">
        <v>1500</v>
      </c>
      <c r="W276" s="41">
        <v>1500</v>
      </c>
      <c r="X276" s="41">
        <v>1500</v>
      </c>
      <c r="Y276" s="41">
        <v>1500</v>
      </c>
      <c r="Z276" s="41">
        <v>1500</v>
      </c>
      <c r="AA276" s="41">
        <v>1500</v>
      </c>
      <c r="AB276" s="41">
        <v>1500</v>
      </c>
      <c r="AC276" s="116">
        <f t="shared" si="104"/>
        <v>18000</v>
      </c>
      <c r="AE276" s="39">
        <f>IF(ISBLANK(Q276),"",IF($P276="BRL",Q276,Q276*Macroindicadores!B$2)/1000)</f>
        <v>1.5</v>
      </c>
      <c r="AF276" s="39">
        <f>IF(ISBLANK(R276),"",IF($P276="BRL",R276,R276*Macroindicadores!C$2)/1000)</f>
        <v>1.5</v>
      </c>
      <c r="AG276" s="39">
        <f>IF(ISBLANK(S276),"",IF($P276="BRL",S276,S276*Macroindicadores!D$2)/1000)</f>
        <v>1.5</v>
      </c>
      <c r="AH276" s="39">
        <f>IF(ISBLANK(T276),"",IF($P276="BRL",T276,T276*Macroindicadores!E$2)/1000)</f>
        <v>1.5</v>
      </c>
      <c r="AI276" s="39">
        <f>IF(ISBLANK(U276),"",IF($P276="BRL",U276,U276*Macroindicadores!F$2)/1000)</f>
        <v>1.5</v>
      </c>
      <c r="AJ276" s="39">
        <f>IF(ISBLANK(V276),"",IF($P276="BRL",V276,V276*Macroindicadores!G$2)/1000)</f>
        <v>1.5</v>
      </c>
      <c r="AK276" s="39">
        <f>IF(ISBLANK(W276),"",IF($P276="BRL",W276,W276*Macroindicadores!H$2)/1000)</f>
        <v>1.5</v>
      </c>
      <c r="AL276" s="39">
        <f>IF(ISBLANK(X276),"",IF($P276="BRL",X276,X276*Macroindicadores!I$2)/1000)</f>
        <v>1.5</v>
      </c>
      <c r="AM276" s="39">
        <f>IF(ISBLANK(Y276),"",IF($P276="BRL",Y276,Y276*Macroindicadores!J$2)/1000)</f>
        <v>1.5</v>
      </c>
      <c r="AN276" s="39">
        <f>IF(ISBLANK(Z276),"",IF($P276="BRL",Z276,Z276*Macroindicadores!K$2)/1000)</f>
        <v>1.5</v>
      </c>
      <c r="AO276" s="39">
        <f>IF(ISBLANK(AA276),"",IF($P276="BRL",AA276,AA276*Macroindicadores!L$2)/1000)</f>
        <v>1.5</v>
      </c>
      <c r="AP276" s="39">
        <f>IF(ISBLANK(AB276),"",IF($P276="BRL",AB276,AB276*Macroindicadores!M$2)/1000)</f>
        <v>1.5</v>
      </c>
      <c r="AQ276" s="40">
        <f t="shared" si="105"/>
        <v>18</v>
      </c>
      <c r="AS276" s="39">
        <f>IF(ISBLANK(Q276),"",IF(ISBLANK($O276),AE276,IF($J276="ANUAL",AE276*(1+Macroindicadores!B$7),IF(AND($I276="NOVO",MONTH($O276)=MONTH(AS$4)),AE276*(1+Macroindicadores!B$7),IF(AND($J276="PONTUAL",MONTH($O276)=MONTH(AS$4)),AE276*(1+Macroindicadores!B$7),IF(AND($J276="PONTUAL",MONTH($O276)&lt;MONTH(AS$4)),MIN(AR276:$AS276),IF(AND($I276="NOVO",MONTH($O276)&gt;MONTH(AS$4)),AE276,IF(MONTH($O276)&gt;MONTH(AS$4),AE276,IF(MONTH($O276)=MONTH(AS$4),AE276*(1+Macroindicadores!B$7),AR276)))))))))</f>
        <v>1.5</v>
      </c>
      <c r="AT276" s="39">
        <f>IF(ISBLANK(R276),"",IF(ISBLANK($O276),AF276,IF($J276="ANUAL",AF276*(1+Macroindicadores!C$7),IF(AND($I276="NOVO",MONTH($O276)=MONTH(AT$4)),AF276*(1+Macroindicadores!C$7),IF(AND($J276="PONTUAL",MONTH($O276)=MONTH(AT$4)),AF276*(1+Macroindicadores!C$7),IF(AND($J276="PONTUAL",MONTH($O276)&lt;MONTH(AT$4)),MIN($AS276:AS276),IF(AND($I276="NOVO",MONTH($O276)&gt;MONTH(AT$4)),AF276,IF(MONTH($O276)&gt;MONTH(AT$4),AF276,IF(MONTH($O276)=MONTH(AT$4),AF276*(1+Macroindicadores!C$7),AS276)))))))))</f>
        <v>1.5</v>
      </c>
      <c r="AU276" s="39">
        <f>IF(ISBLANK(S276),"",IF(ISBLANK($O276),AG276,IF($J276="ANUAL",AG276*(1+Macroindicadores!D$7),IF(AND($I276="NOVO",MONTH($O276)=MONTH(AU$4)),AG276*(1+Macroindicadores!D$7),IF(AND($J276="PONTUAL",MONTH($O276)=MONTH(AU$4)),AG276*(1+Macroindicadores!D$7),IF(AND($J276="PONTUAL",MONTH($O276)&lt;MONTH(AU$4)),MIN($AS276:AT276),IF(AND($I276="NOVO",MONTH($O276)&gt;MONTH(AU$4)),AG276,IF(MONTH($O276)&gt;MONTH(AU$4),AG276,IF(MONTH($O276)=MONTH(AU$4),AG276*(1+Macroindicadores!D$7),AT276)))))))))</f>
        <v>1.5</v>
      </c>
      <c r="AV276" s="39">
        <f>IF(ISBLANK(T276),"",IF(ISBLANK($O276),AH276,IF($J276="ANUAL",AH276*(1+Macroindicadores!E$7),IF(AND($I276="NOVO",MONTH($O276)=MONTH(AV$4)),AH276*(1+Macroindicadores!E$7),IF(AND($J276="PONTUAL",MONTH($O276)=MONTH(AV$4)),AH276*(1+Macroindicadores!E$7),IF(AND($J276="PONTUAL",MONTH($O276)&lt;MONTH(AV$4)),MIN($AS276:AU276),IF(AND($I276="NOVO",MONTH($O276)&gt;MONTH(AV$4)),AH276,IF(MONTH($O276)&gt;MONTH(AV$4),AH276,IF(MONTH($O276)=MONTH(AV$4),AH276*(1+Macroindicadores!E$7),AU276)))))))))</f>
        <v>1.5</v>
      </c>
      <c r="AW276" s="39">
        <f>IF(ISBLANK(U276),"",IF(ISBLANK($O276),AI276,IF($J276="ANUAL",AI276*(1+Macroindicadores!F$7),IF(AND($I276="NOVO",MONTH($O276)=MONTH(AW$4)),AI276*(1+Macroindicadores!F$7),IF(AND($J276="PONTUAL",MONTH($O276)=MONTH(AW$4)),AI276*(1+Macroindicadores!F$7),IF(AND($J276="PONTUAL",MONTH($O276)&lt;MONTH(AW$4)),MIN($AS276:AV276),IF(AND($I276="NOVO",MONTH($O276)&gt;MONTH(AW$4)),AI276,IF(MONTH($O276)&gt;MONTH(AW$4),AI276,IF(MONTH($O276)=MONTH(AW$4),AI276*(1+Macroindicadores!F$7),AV276)))))))))</f>
        <v>1.5</v>
      </c>
      <c r="AX276" s="39">
        <f>IF(ISBLANK(V276),"",IF(ISBLANK($O276),AJ276,IF($J276="ANUAL",AJ276*(1+Macroindicadores!G$7),IF(AND($I276="NOVO",MONTH($O276)=MONTH(AX$4)),AJ276*(1+Macroindicadores!G$7),IF(AND($J276="PONTUAL",MONTH($O276)=MONTH(AX$4)),AJ276*(1+Macroindicadores!G$7),IF(AND($J276="PONTUAL",MONTH($O276)&lt;MONTH(AX$4)),MIN($AS276:AW276),IF(AND($I276="NOVO",MONTH($O276)&gt;MONTH(AX$4)),AJ276,IF(MONTH($O276)&gt;MONTH(AX$4),AJ276,IF(MONTH($O276)=MONTH(AX$4),AJ276*(1+Macroindicadores!G$7),AW276)))))))))</f>
        <v>1.5</v>
      </c>
      <c r="AY276" s="39">
        <f>IF(ISBLANK(W276),"",IF(ISBLANK($O276),AK276,IF($J276="ANUAL",AK276*(1+Macroindicadores!H$7),IF(AND($I276="NOVO",MONTH($O276)=MONTH(AY$4)),AK276*(1+Macroindicadores!H$7),IF(AND($J276="PONTUAL",MONTH($O276)=MONTH(AY$4)),AK276*(1+Macroindicadores!H$7),IF(AND($J276="PONTUAL",MONTH($O276)&lt;MONTH(AY$4)),MIN($AS276:AX276),IF(AND($I276="NOVO",MONTH($O276)&gt;MONTH(AY$4)),AK276,IF(MONTH($O276)&gt;MONTH(AY$4),AK276,IF(MONTH($O276)=MONTH(AY$4),AK276*(1+Macroindicadores!H$7),AX276)))))))))</f>
        <v>1.5</v>
      </c>
      <c r="AZ276" s="39">
        <f>IF(ISBLANK(X276),"",IF(ISBLANK($O276),AL276,IF($J276="ANUAL",AL276*(1+Macroindicadores!I$7),IF(AND($I276="NOVO",MONTH($O276)=MONTH(AZ$4)),AL276*(1+Macroindicadores!I$7),IF(AND($J276="PONTUAL",MONTH($O276)=MONTH(AZ$4)),AL276*(1+Macroindicadores!I$7),IF(AND($J276="PONTUAL",MONTH($O276)&lt;MONTH(AZ$4)),MIN($AS276:AY276),IF(AND($I276="NOVO",MONTH($O276)&gt;MONTH(AZ$4)),AL276,IF(MONTH($O276)&gt;MONTH(AZ$4),AL276,IF(MONTH($O276)=MONTH(AZ$4),AL276*(1+Macroindicadores!I$7),AY276)))))))))</f>
        <v>1.5</v>
      </c>
      <c r="BA276" s="39">
        <f>IF(ISBLANK(Y276),"",IF(ISBLANK($O276),AM276,IF($J276="ANUAL",AM276*(1+Macroindicadores!J$7),IF(AND($I276="NOVO",MONTH($O276)=MONTH(BA$4)),AM276*(1+Macroindicadores!J$7),IF(AND($J276="PONTUAL",MONTH($O276)=MONTH(BA$4)),AM276*(1+Macroindicadores!J$7),IF(AND($J276="PONTUAL",MONTH($O276)&lt;MONTH(BA$4)),MIN($AS276:AZ276),IF(AND($I276="NOVO",MONTH($O276)&gt;MONTH(BA$4)),AM276,IF(MONTH($O276)&gt;MONTH(BA$4),AM276,IF(MONTH($O276)=MONTH(BA$4),AM276*(1+Macroindicadores!J$7),AZ276)))))))))</f>
        <v>1.5</v>
      </c>
      <c r="BB276" s="39">
        <f>IF(ISBLANK(Z276),"",IF(ISBLANK($O276),AN276,IF($J276="ANUAL",AN276*(1+Macroindicadores!K$7),IF(AND($I276="NOVO",MONTH($O276)=MONTH(BB$4)),AN276*(1+Macroindicadores!K$7),IF(AND($J276="PONTUAL",MONTH($O276)=MONTH(BB$4)),AN276*(1+Macroindicadores!K$7),IF(AND($J276="PONTUAL",MONTH($O276)&lt;MONTH(BB$4)),MIN($AS276:BA276),IF(AND($I276="NOVO",MONTH($O276)&gt;MONTH(BB$4)),AN276,IF(MONTH($O276)&gt;MONTH(BB$4),AN276,IF(MONTH($O276)=MONTH(BB$4),AN276*(1+Macroindicadores!K$7),BA276)))))))))</f>
        <v>1.5</v>
      </c>
      <c r="BC276" s="39">
        <f>IF(ISBLANK(AA276),"",IF(ISBLANK($O276),AO276,IF($J276="ANUAL",AO276*(1+Macroindicadores!L$7),IF(AND($I276="NOVO",MONTH($O276)=MONTH(BC$4)),AO276*(1+Macroindicadores!L$7),IF(AND($J276="PONTUAL",MONTH($O276)=MONTH(BC$4)),AO276*(1+Macroindicadores!L$7),IF(AND($J276="PONTUAL",MONTH($O276)&lt;MONTH(BC$4)),MIN($AS276:BB276),IF(AND($I276="NOVO",MONTH($O276)&gt;MONTH(BC$4)),AO276,IF(MONTH($O276)&gt;MONTH(BC$4),AO276,IF(MONTH($O276)=MONTH(BC$4),AO276*(1+Macroindicadores!L$7),BB276)))))))))</f>
        <v>1.5</v>
      </c>
      <c r="BD276" s="39">
        <f>IF(ISBLANK(AB276),"",IF(ISBLANK($O276),AP276,IF($J276="ANUAL",AP276*(1+Macroindicadores!M$7),IF(AND($I276="NOVO",MONTH($O276)=MONTH(BD$4)),AP276*(1+Macroindicadores!M$7),IF(AND($J276="PONTUAL",MONTH($O276)=MONTH(BD$4)),AP276*(1+Macroindicadores!M$7),IF(AND($J276="PONTUAL",MONTH($O276)&lt;MONTH(BD$4)),MIN($AS276:BC276),IF(AND($I276="NOVO",MONTH($O276)&gt;MONTH(BD$4)),AP276,IF(MONTH($O276)&gt;MONTH(BD$4),AP276,IF(MONTH($O276)=MONTH(BD$4),AP276*(1+Macroindicadores!M$7),BC276)))))))))</f>
        <v>1.5</v>
      </c>
      <c r="BE276" s="40">
        <f t="shared" si="106"/>
        <v>18</v>
      </c>
      <c r="BG276" s="39">
        <f>IF(ISBLANK(Q276),"",AS276/Macroindicadores!B$2)</f>
        <v>0.25510204081632654</v>
      </c>
      <c r="BH276" s="39">
        <f>IF(ISBLANK(R276),"",AT276/Macroindicadores!C$2)</f>
        <v>0.25510204081632654</v>
      </c>
      <c r="BI276" s="39">
        <f>IF(ISBLANK(S276),"",AU276/Macroindicadores!D$2)</f>
        <v>0.25510204081632654</v>
      </c>
      <c r="BJ276" s="39">
        <f>IF(ISBLANK(T276),"",AV276/Macroindicadores!E$2)</f>
        <v>0.25510204081632654</v>
      </c>
      <c r="BK276" s="39">
        <f>IF(ISBLANK(U276),"",AW276/Macroindicadores!F$2)</f>
        <v>0.25510204081632654</v>
      </c>
      <c r="BL276" s="39">
        <f>IF(ISBLANK(V276),"",AX276/Macroindicadores!G$2)</f>
        <v>0.25510204081632654</v>
      </c>
      <c r="BM276" s="39">
        <f>IF(ISBLANK(W276),"",AY276/Macroindicadores!H$2)</f>
        <v>0.25510204081632654</v>
      </c>
      <c r="BN276" s="39">
        <f>IF(ISBLANK(X276),"",AZ276/Macroindicadores!I$2)</f>
        <v>0.25510204081632654</v>
      </c>
      <c r="BO276" s="39">
        <f>IF(ISBLANK(Y276),"",BA276/Macroindicadores!J$2)</f>
        <v>0.25510204081632654</v>
      </c>
      <c r="BP276" s="39">
        <f>IF(ISBLANK(Z276),"",BB276/Macroindicadores!K$2)</f>
        <v>0.25510204081632654</v>
      </c>
      <c r="BQ276" s="39">
        <f>IF(ISBLANK(AA276),"",BC276/Macroindicadores!L$2)</f>
        <v>0.25510204081632654</v>
      </c>
      <c r="BR276" s="39">
        <f>IF(ISBLANK(AB276),"",BD276/Macroindicadores!M$2)</f>
        <v>0.25510204081632654</v>
      </c>
      <c r="BS276" s="40">
        <f t="shared" si="107"/>
        <v>3.0612244897959191</v>
      </c>
      <c r="BT276" s="25" t="str">
        <f>IF(ISBLANK($L276),"",_xlfn.XLOOKUP($L276,'CENTRO CUSTO'!$A:$A,'CENTRO CUSTO'!$E:$E,FALSE,0))</f>
        <v>Custo Fixo</v>
      </c>
    </row>
    <row r="277" spans="1:72">
      <c r="A277" s="9" t="str">
        <f t="shared" si="80"/>
        <v>Budget</v>
      </c>
      <c r="B277" s="9">
        <f t="shared" si="77"/>
        <v>2026</v>
      </c>
      <c r="C277" s="18" t="str">
        <f>IF(ISBLANK($L277),"",_xlfn.XLOOKUP($L277,'CENTRO CUSTO'!$A:$A,'CENTRO CUSTO'!F:F,FALSE,0))</f>
        <v>MRV</v>
      </c>
      <c r="D277" s="111" t="str">
        <f>IF(ISBLANK($L277),"",_xlfn.XLOOKUP($L277,'CENTRO CUSTO'!$A:$A,'CENTRO CUSTO'!G:G,FALSE,0))</f>
        <v>Velopark</v>
      </c>
      <c r="E277" s="18" t="str">
        <f>IF(ISBLANK($L277),"",_xlfn.XLOOKUP($L277,'CENTRO CUSTO'!$A:$A,'CENTRO CUSTO'!H:H,FALSE,0))</f>
        <v>Frigorífico</v>
      </c>
      <c r="F277" s="10" t="s">
        <v>261</v>
      </c>
      <c r="G277" s="10" t="s">
        <v>123</v>
      </c>
      <c r="H277" s="10" t="s">
        <v>135</v>
      </c>
      <c r="I277" s="11" t="s">
        <v>77</v>
      </c>
      <c r="J277" s="11" t="s">
        <v>78</v>
      </c>
      <c r="K277" s="11" t="s">
        <v>79</v>
      </c>
      <c r="L277" s="11" t="s">
        <v>43</v>
      </c>
      <c r="M277" s="18" t="str">
        <f>IF(ISBLANK($L277),"",_xlfn.XLOOKUP($L277,'CENTRO CUSTO'!$A:$A,'CENTRO CUSTO'!D:D,FALSE,0))</f>
        <v>Alexandre Ayabe</v>
      </c>
      <c r="N277" s="11" t="s">
        <v>132</v>
      </c>
      <c r="O277" s="12"/>
      <c r="P277" s="11" t="s">
        <v>81</v>
      </c>
      <c r="Q277" s="41">
        <v>2000</v>
      </c>
      <c r="R277" s="41">
        <v>2000</v>
      </c>
      <c r="S277" s="41">
        <v>2000</v>
      </c>
      <c r="T277" s="41">
        <v>2000</v>
      </c>
      <c r="U277" s="41">
        <v>2000</v>
      </c>
      <c r="V277" s="41">
        <v>2000</v>
      </c>
      <c r="W277" s="41">
        <v>2000</v>
      </c>
      <c r="X277" s="41">
        <v>2000</v>
      </c>
      <c r="Y277" s="41">
        <v>2000</v>
      </c>
      <c r="Z277" s="41">
        <v>2000</v>
      </c>
      <c r="AA277" s="41">
        <v>2000</v>
      </c>
      <c r="AB277" s="41">
        <v>2000</v>
      </c>
      <c r="AC277" s="116">
        <f t="shared" si="104"/>
        <v>24000</v>
      </c>
      <c r="AE277" s="39">
        <f>IF(ISBLANK(Q277),"",IF($P277="BRL",Q277,Q277*Macroindicadores!B$2)/1000)</f>
        <v>2</v>
      </c>
      <c r="AF277" s="39">
        <f>IF(ISBLANK(R277),"",IF($P277="BRL",R277,R277*Macroindicadores!C$2)/1000)</f>
        <v>2</v>
      </c>
      <c r="AG277" s="39">
        <f>IF(ISBLANK(S277),"",IF($P277="BRL",S277,S277*Macroindicadores!D$2)/1000)</f>
        <v>2</v>
      </c>
      <c r="AH277" s="39">
        <f>IF(ISBLANK(T277),"",IF($P277="BRL",T277,T277*Macroindicadores!E$2)/1000)</f>
        <v>2</v>
      </c>
      <c r="AI277" s="39">
        <f>IF(ISBLANK(U277),"",IF($P277="BRL",U277,U277*Macroindicadores!F$2)/1000)</f>
        <v>2</v>
      </c>
      <c r="AJ277" s="39">
        <f>IF(ISBLANK(V277),"",IF($P277="BRL",V277,V277*Macroindicadores!G$2)/1000)</f>
        <v>2</v>
      </c>
      <c r="AK277" s="39">
        <f>IF(ISBLANK(W277),"",IF($P277="BRL",W277,W277*Macroindicadores!H$2)/1000)</f>
        <v>2</v>
      </c>
      <c r="AL277" s="39">
        <f>IF(ISBLANK(X277),"",IF($P277="BRL",X277,X277*Macroindicadores!I$2)/1000)</f>
        <v>2</v>
      </c>
      <c r="AM277" s="39">
        <f>IF(ISBLANK(Y277),"",IF($P277="BRL",Y277,Y277*Macroindicadores!J$2)/1000)</f>
        <v>2</v>
      </c>
      <c r="AN277" s="39">
        <f>IF(ISBLANK(Z277),"",IF($P277="BRL",Z277,Z277*Macroindicadores!K$2)/1000)</f>
        <v>2</v>
      </c>
      <c r="AO277" s="39">
        <f>IF(ISBLANK(AA277),"",IF($P277="BRL",AA277,AA277*Macroindicadores!L$2)/1000)</f>
        <v>2</v>
      </c>
      <c r="AP277" s="39">
        <f>IF(ISBLANK(AB277),"",IF($P277="BRL",AB277,AB277*Macroindicadores!M$2)/1000)</f>
        <v>2</v>
      </c>
      <c r="AQ277" s="40">
        <f t="shared" si="105"/>
        <v>24</v>
      </c>
      <c r="AS277" s="39">
        <f>IF(ISBLANK(Q277),"",IF(ISBLANK($O277),AE277,IF($J277="ANUAL",AE277*(1+Macroindicadores!B$7),IF(AND($I277="NOVO",MONTH($O277)=MONTH(AS$4)),AE277*(1+Macroindicadores!B$7),IF(AND($J277="PONTUAL",MONTH($O277)=MONTH(AS$4)),AE277*(1+Macroindicadores!B$7),IF(AND($J277="PONTUAL",MONTH($O277)&lt;MONTH(AS$4)),MIN(AR277:$AS277),IF(AND($I277="NOVO",MONTH($O277)&gt;MONTH(AS$4)),AE277,IF(MONTH($O277)&gt;MONTH(AS$4),AE277,IF(MONTH($O277)=MONTH(AS$4),AE277*(1+Macroindicadores!B$7),AR277)))))))))</f>
        <v>2</v>
      </c>
      <c r="AT277" s="39">
        <f>IF(ISBLANK(R277),"",IF(ISBLANK($O277),AF277,IF($J277="ANUAL",AF277*(1+Macroindicadores!C$7),IF(AND($I277="NOVO",MONTH($O277)=MONTH(AT$4)),AF277*(1+Macroindicadores!C$7),IF(AND($J277="PONTUAL",MONTH($O277)=MONTH(AT$4)),AF277*(1+Macroindicadores!C$7),IF(AND($J277="PONTUAL",MONTH($O277)&lt;MONTH(AT$4)),MIN($AS277:AS277),IF(AND($I277="NOVO",MONTH($O277)&gt;MONTH(AT$4)),AF277,IF(MONTH($O277)&gt;MONTH(AT$4),AF277,IF(MONTH($O277)=MONTH(AT$4),AF277*(1+Macroindicadores!C$7),AS277)))))))))</f>
        <v>2</v>
      </c>
      <c r="AU277" s="39">
        <f>IF(ISBLANK(S277),"",IF(ISBLANK($O277),AG277,IF($J277="ANUAL",AG277*(1+Macroindicadores!D$7),IF(AND($I277="NOVO",MONTH($O277)=MONTH(AU$4)),AG277*(1+Macroindicadores!D$7),IF(AND($J277="PONTUAL",MONTH($O277)=MONTH(AU$4)),AG277*(1+Macroindicadores!D$7),IF(AND($J277="PONTUAL",MONTH($O277)&lt;MONTH(AU$4)),MIN($AS277:AT277),IF(AND($I277="NOVO",MONTH($O277)&gt;MONTH(AU$4)),AG277,IF(MONTH($O277)&gt;MONTH(AU$4),AG277,IF(MONTH($O277)=MONTH(AU$4),AG277*(1+Macroindicadores!D$7),AT277)))))))))</f>
        <v>2</v>
      </c>
      <c r="AV277" s="39">
        <f>IF(ISBLANK(T277),"",IF(ISBLANK($O277),AH277,IF($J277="ANUAL",AH277*(1+Macroindicadores!E$7),IF(AND($I277="NOVO",MONTH($O277)=MONTH(AV$4)),AH277*(1+Macroindicadores!E$7),IF(AND($J277="PONTUAL",MONTH($O277)=MONTH(AV$4)),AH277*(1+Macroindicadores!E$7),IF(AND($J277="PONTUAL",MONTH($O277)&lt;MONTH(AV$4)),MIN($AS277:AU277),IF(AND($I277="NOVO",MONTH($O277)&gt;MONTH(AV$4)),AH277,IF(MONTH($O277)&gt;MONTH(AV$4),AH277,IF(MONTH($O277)=MONTH(AV$4),AH277*(1+Macroindicadores!E$7),AU277)))))))))</f>
        <v>2</v>
      </c>
      <c r="AW277" s="39">
        <f>IF(ISBLANK(U277),"",IF(ISBLANK($O277),AI277,IF($J277="ANUAL",AI277*(1+Macroindicadores!F$7),IF(AND($I277="NOVO",MONTH($O277)=MONTH(AW$4)),AI277*(1+Macroindicadores!F$7),IF(AND($J277="PONTUAL",MONTH($O277)=MONTH(AW$4)),AI277*(1+Macroindicadores!F$7),IF(AND($J277="PONTUAL",MONTH($O277)&lt;MONTH(AW$4)),MIN($AS277:AV277),IF(AND($I277="NOVO",MONTH($O277)&gt;MONTH(AW$4)),AI277,IF(MONTH($O277)&gt;MONTH(AW$4),AI277,IF(MONTH($O277)=MONTH(AW$4),AI277*(1+Macroindicadores!F$7),AV277)))))))))</f>
        <v>2</v>
      </c>
      <c r="AX277" s="39">
        <f>IF(ISBLANK(V277),"",IF(ISBLANK($O277),AJ277,IF($J277="ANUAL",AJ277*(1+Macroindicadores!G$7),IF(AND($I277="NOVO",MONTH($O277)=MONTH(AX$4)),AJ277*(1+Macroindicadores!G$7),IF(AND($J277="PONTUAL",MONTH($O277)=MONTH(AX$4)),AJ277*(1+Macroindicadores!G$7),IF(AND($J277="PONTUAL",MONTH($O277)&lt;MONTH(AX$4)),MIN($AS277:AW277),IF(AND($I277="NOVO",MONTH($O277)&gt;MONTH(AX$4)),AJ277,IF(MONTH($O277)&gt;MONTH(AX$4),AJ277,IF(MONTH($O277)=MONTH(AX$4),AJ277*(1+Macroindicadores!G$7),AW277)))))))))</f>
        <v>2</v>
      </c>
      <c r="AY277" s="39">
        <f>IF(ISBLANK(W277),"",IF(ISBLANK($O277),AK277,IF($J277="ANUAL",AK277*(1+Macroindicadores!H$7),IF(AND($I277="NOVO",MONTH($O277)=MONTH(AY$4)),AK277*(1+Macroindicadores!H$7),IF(AND($J277="PONTUAL",MONTH($O277)=MONTH(AY$4)),AK277*(1+Macroindicadores!H$7),IF(AND($J277="PONTUAL",MONTH($O277)&lt;MONTH(AY$4)),MIN($AS277:AX277),IF(AND($I277="NOVO",MONTH($O277)&gt;MONTH(AY$4)),AK277,IF(MONTH($O277)&gt;MONTH(AY$4),AK277,IF(MONTH($O277)=MONTH(AY$4),AK277*(1+Macroindicadores!H$7),AX277)))))))))</f>
        <v>2</v>
      </c>
      <c r="AZ277" s="39">
        <f>IF(ISBLANK(X277),"",IF(ISBLANK($O277),AL277,IF($J277="ANUAL",AL277*(1+Macroindicadores!I$7),IF(AND($I277="NOVO",MONTH($O277)=MONTH(AZ$4)),AL277*(1+Macroindicadores!I$7),IF(AND($J277="PONTUAL",MONTH($O277)=MONTH(AZ$4)),AL277*(1+Macroindicadores!I$7),IF(AND($J277="PONTUAL",MONTH($O277)&lt;MONTH(AZ$4)),MIN($AS277:AY277),IF(AND($I277="NOVO",MONTH($O277)&gt;MONTH(AZ$4)),AL277,IF(MONTH($O277)&gt;MONTH(AZ$4),AL277,IF(MONTH($O277)=MONTH(AZ$4),AL277*(1+Macroindicadores!I$7),AY277)))))))))</f>
        <v>2</v>
      </c>
      <c r="BA277" s="39">
        <f>IF(ISBLANK(Y277),"",IF(ISBLANK($O277),AM277,IF($J277="ANUAL",AM277*(1+Macroindicadores!J$7),IF(AND($I277="NOVO",MONTH($O277)=MONTH(BA$4)),AM277*(1+Macroindicadores!J$7),IF(AND($J277="PONTUAL",MONTH($O277)=MONTH(BA$4)),AM277*(1+Macroindicadores!J$7),IF(AND($J277="PONTUAL",MONTH($O277)&lt;MONTH(BA$4)),MIN($AS277:AZ277),IF(AND($I277="NOVO",MONTH($O277)&gt;MONTH(BA$4)),AM277,IF(MONTH($O277)&gt;MONTH(BA$4),AM277,IF(MONTH($O277)=MONTH(BA$4),AM277*(1+Macroindicadores!J$7),AZ277)))))))))</f>
        <v>2</v>
      </c>
      <c r="BB277" s="39">
        <f>IF(ISBLANK(Z277),"",IF(ISBLANK($O277),AN277,IF($J277="ANUAL",AN277*(1+Macroindicadores!K$7),IF(AND($I277="NOVO",MONTH($O277)=MONTH(BB$4)),AN277*(1+Macroindicadores!K$7),IF(AND($J277="PONTUAL",MONTH($O277)=MONTH(BB$4)),AN277*(1+Macroindicadores!K$7),IF(AND($J277="PONTUAL",MONTH($O277)&lt;MONTH(BB$4)),MIN($AS277:BA277),IF(AND($I277="NOVO",MONTH($O277)&gt;MONTH(BB$4)),AN277,IF(MONTH($O277)&gt;MONTH(BB$4),AN277,IF(MONTH($O277)=MONTH(BB$4),AN277*(1+Macroindicadores!K$7),BA277)))))))))</f>
        <v>2</v>
      </c>
      <c r="BC277" s="39">
        <f>IF(ISBLANK(AA277),"",IF(ISBLANK($O277),AO277,IF($J277="ANUAL",AO277*(1+Macroindicadores!L$7),IF(AND($I277="NOVO",MONTH($O277)=MONTH(BC$4)),AO277*(1+Macroindicadores!L$7),IF(AND($J277="PONTUAL",MONTH($O277)=MONTH(BC$4)),AO277*(1+Macroindicadores!L$7),IF(AND($J277="PONTUAL",MONTH($O277)&lt;MONTH(BC$4)),MIN($AS277:BB277),IF(AND($I277="NOVO",MONTH($O277)&gt;MONTH(BC$4)),AO277,IF(MONTH($O277)&gt;MONTH(BC$4),AO277,IF(MONTH($O277)=MONTH(BC$4),AO277*(1+Macroindicadores!L$7),BB277)))))))))</f>
        <v>2</v>
      </c>
      <c r="BD277" s="39">
        <f>IF(ISBLANK(AB277),"",IF(ISBLANK($O277),AP277,IF($J277="ANUAL",AP277*(1+Macroindicadores!M$7),IF(AND($I277="NOVO",MONTH($O277)=MONTH(BD$4)),AP277*(1+Macroindicadores!M$7),IF(AND($J277="PONTUAL",MONTH($O277)=MONTH(BD$4)),AP277*(1+Macroindicadores!M$7),IF(AND($J277="PONTUAL",MONTH($O277)&lt;MONTH(BD$4)),MIN($AS277:BC277),IF(AND($I277="NOVO",MONTH($O277)&gt;MONTH(BD$4)),AP277,IF(MONTH($O277)&gt;MONTH(BD$4),AP277,IF(MONTH($O277)=MONTH(BD$4),AP277*(1+Macroindicadores!M$7),BC277)))))))))</f>
        <v>2</v>
      </c>
      <c r="BE277" s="40">
        <f t="shared" si="106"/>
        <v>24</v>
      </c>
      <c r="BG277" s="39">
        <f>IF(ISBLANK(Q277),"",AS277/Macroindicadores!B$2)</f>
        <v>0.3401360544217687</v>
      </c>
      <c r="BH277" s="39">
        <f>IF(ISBLANK(R277),"",AT277/Macroindicadores!C$2)</f>
        <v>0.3401360544217687</v>
      </c>
      <c r="BI277" s="39">
        <f>IF(ISBLANK(S277),"",AU277/Macroindicadores!D$2)</f>
        <v>0.3401360544217687</v>
      </c>
      <c r="BJ277" s="39">
        <f>IF(ISBLANK(T277),"",AV277/Macroindicadores!E$2)</f>
        <v>0.3401360544217687</v>
      </c>
      <c r="BK277" s="39">
        <f>IF(ISBLANK(U277),"",AW277/Macroindicadores!F$2)</f>
        <v>0.3401360544217687</v>
      </c>
      <c r="BL277" s="39">
        <f>IF(ISBLANK(V277),"",AX277/Macroindicadores!G$2)</f>
        <v>0.3401360544217687</v>
      </c>
      <c r="BM277" s="39">
        <f>IF(ISBLANK(W277),"",AY277/Macroindicadores!H$2)</f>
        <v>0.3401360544217687</v>
      </c>
      <c r="BN277" s="39">
        <f>IF(ISBLANK(X277),"",AZ277/Macroindicadores!I$2)</f>
        <v>0.3401360544217687</v>
      </c>
      <c r="BO277" s="39">
        <f>IF(ISBLANK(Y277),"",BA277/Macroindicadores!J$2)</f>
        <v>0.3401360544217687</v>
      </c>
      <c r="BP277" s="39">
        <f>IF(ISBLANK(Z277),"",BB277/Macroindicadores!K$2)</f>
        <v>0.3401360544217687</v>
      </c>
      <c r="BQ277" s="39">
        <f>IF(ISBLANK(AA277),"",BC277/Macroindicadores!L$2)</f>
        <v>0.3401360544217687</v>
      </c>
      <c r="BR277" s="39">
        <f>IF(ISBLANK(AB277),"",BD277/Macroindicadores!M$2)</f>
        <v>0.3401360544217687</v>
      </c>
      <c r="BS277" s="40">
        <f t="shared" si="107"/>
        <v>4.0816326530612246</v>
      </c>
      <c r="BT277" s="25" t="str">
        <f>IF(ISBLANK($L277),"",_xlfn.XLOOKUP($L277,'CENTRO CUSTO'!$A:$A,'CENTRO CUSTO'!$E:$E,FALSE,0))</f>
        <v>Custo Fixo</v>
      </c>
    </row>
    <row r="278" spans="1:72">
      <c r="A278" s="9" t="str">
        <f t="shared" si="80"/>
        <v>Budget</v>
      </c>
      <c r="B278" s="9">
        <f t="shared" si="77"/>
        <v>2026</v>
      </c>
      <c r="C278" s="18" t="s">
        <v>262</v>
      </c>
      <c r="D278" s="111" t="s">
        <v>263</v>
      </c>
      <c r="E278" s="18" t="s">
        <v>14</v>
      </c>
      <c r="F278" s="10" t="s">
        <v>163</v>
      </c>
      <c r="G278" s="10" t="s">
        <v>75</v>
      </c>
      <c r="H278" s="10" t="s">
        <v>264</v>
      </c>
      <c r="I278" s="11" t="s">
        <v>77</v>
      </c>
      <c r="J278" s="11" t="s">
        <v>78</v>
      </c>
      <c r="K278" s="11" t="s">
        <v>79</v>
      </c>
      <c r="L278" s="11"/>
      <c r="M278" s="18" t="str">
        <f>IF(ISBLANK($L278),"",_xlfn.XLOOKUP($L278,'CENTRO CUSTO'!$A:$A,'CENTRO CUSTO'!D:D,FALSE,0))</f>
        <v/>
      </c>
      <c r="N278" s="11" t="s">
        <v>91</v>
      </c>
      <c r="O278" s="12"/>
      <c r="P278" s="11" t="s">
        <v>88</v>
      </c>
      <c r="Q278" s="41">
        <v>932</v>
      </c>
      <c r="R278" s="41"/>
      <c r="S278" s="41"/>
      <c r="T278" s="41">
        <v>932</v>
      </c>
      <c r="U278" s="41"/>
      <c r="V278" s="41"/>
      <c r="W278" s="41">
        <v>932</v>
      </c>
      <c r="X278" s="41"/>
      <c r="Y278" s="41"/>
      <c r="Z278" s="41">
        <v>932</v>
      </c>
      <c r="AA278" s="41"/>
      <c r="AB278" s="41"/>
      <c r="AC278" s="116">
        <f t="shared" ref="AC278:AC281" si="128">IF(AND(ISBLANK($Q278),ISBLANK($R278),ISBLANK($S278),ISBLANK($T278),ISBLANK($U278),ISBLANK($V278),ISBLANK($W278),ISBLANK($X278),ISBLANK($Y278),ISBLANK($Z278),ISBLANK($AA278),ISBLANK($AB278)),"",SUM(Q278:AB278))</f>
        <v>3728</v>
      </c>
      <c r="AE278" s="39">
        <f>IF(ISBLANK(Q278),"",IF($P278="BRL",Q278,Q278*Macroindicadores!B$2)/1000)</f>
        <v>5.4801599999999997</v>
      </c>
      <c r="AF278" s="39" t="str">
        <f>IF(ISBLANK(R278),"",IF($P278="BRL",R278,R278*Macroindicadores!C$2)/1000)</f>
        <v/>
      </c>
      <c r="AG278" s="39" t="str">
        <f>IF(ISBLANK(S278),"",IF($P278="BRL",S278,S278*Macroindicadores!D$2)/1000)</f>
        <v/>
      </c>
      <c r="AH278" s="39">
        <f>IF(ISBLANK(T278),"",IF($P278="BRL",T278,T278*Macroindicadores!E$2)/1000)</f>
        <v>5.4801599999999997</v>
      </c>
      <c r="AI278" s="39" t="str">
        <f>IF(ISBLANK(U278),"",IF($P278="BRL",U278,U278*Macroindicadores!F$2)/1000)</f>
        <v/>
      </c>
      <c r="AJ278" s="39" t="str">
        <f>IF(ISBLANK(V278),"",IF($P278="BRL",V278,V278*Macroindicadores!G$2)/1000)</f>
        <v/>
      </c>
      <c r="AK278" s="39">
        <f>IF(ISBLANK(W278),"",IF($P278="BRL",W278,W278*Macroindicadores!H$2)/1000)</f>
        <v>5.4801599999999997</v>
      </c>
      <c r="AL278" s="39" t="str">
        <f>IF(ISBLANK(X278),"",IF($P278="BRL",X278,X278*Macroindicadores!I$2)/1000)</f>
        <v/>
      </c>
      <c r="AM278" s="39" t="str">
        <f>IF(ISBLANK(Y278),"",IF($P278="BRL",Y278,Y278*Macroindicadores!J$2)/1000)</f>
        <v/>
      </c>
      <c r="AN278" s="39">
        <f>IF(ISBLANK(Z278),"",IF($P278="BRL",Z278,Z278*Macroindicadores!K$2)/1000)</f>
        <v>5.4801599999999997</v>
      </c>
      <c r="AO278" s="39" t="str">
        <f>IF(ISBLANK(AA278),"",IF($P278="BRL",AA278,AA278*Macroindicadores!L$2)/1000)</f>
        <v/>
      </c>
      <c r="AP278" s="39" t="str">
        <f>IF(ISBLANK(AB278),"",IF($P278="BRL",AB278,AB278*Macroindicadores!M$2)/1000)</f>
        <v/>
      </c>
      <c r="AQ278" s="40">
        <f t="shared" ref="AQ278:AQ283" si="129">IF(AND(ISBLANK($Q278),ISBLANK($R278),ISBLANK($S278),ISBLANK($T278),ISBLANK($U278),ISBLANK($V278),ISBLANK($W278),ISBLANK($X278),ISBLANK($Y278),ISBLANK($Z278),ISBLANK($AA278),ISBLANK($AB278)),"",SUM(AE278:AP278))</f>
        <v>21.920639999999999</v>
      </c>
      <c r="AS278" s="39">
        <f>IF(ISBLANK(Q278),"",IF(ISBLANK($O278),AE278,IF($J278="ANUAL",AE278*(1+Macroindicadores!B$7),IF(AND($I278="NOVO",MONTH($O278)=MONTH(AS$4)),AE278*(1+Macroindicadores!B$7),IF(AND($J278="PONTUAL",MONTH($O278)=MONTH(AS$4)),AE278*(1+Macroindicadores!B$7),IF(AND($J278="PONTUAL",MONTH($O278)&lt;MONTH(AS$4)),MIN(AR278:$AS278),IF(AND($I278="NOVO",MONTH($O278)&gt;MONTH(AS$4)),AE278,IF(MONTH($O278)&gt;MONTH(AS$4),AE278,IF(MONTH($O278)=MONTH(AS$4),AE278*(1+Macroindicadores!B$7),AR278)))))))))</f>
        <v>5.4801599999999997</v>
      </c>
      <c r="AT278" s="39" t="str">
        <f>IF(ISBLANK(R278),"",IF(ISBLANK($O278),AF278,IF($J278="ANUAL",AF278*(1+Macroindicadores!C$7),IF(AND($I278="NOVO",MONTH($O278)=MONTH(AT$4)),AF278*(1+Macroindicadores!C$7),IF(AND($J278="PONTUAL",MONTH($O278)=MONTH(AT$4)),AF278*(1+Macroindicadores!C$7),IF(AND($J278="PONTUAL",MONTH($O278)&lt;MONTH(AT$4)),MIN($AS278:AS278),IF(AND($I278="NOVO",MONTH($O278)&gt;MONTH(AT$4)),AF278,IF(MONTH($O278)&gt;MONTH(AT$4),AF278,IF(MONTH($O278)=MONTH(AT$4),AF278*(1+Macroindicadores!C$7),AS278)))))))))</f>
        <v/>
      </c>
      <c r="AU278" s="39" t="str">
        <f>IF(ISBLANK(S278),"",IF(ISBLANK($O278),AG278,IF($J278="ANUAL",AG278*(1+Macroindicadores!D$7),IF(AND($I278="NOVO",MONTH($O278)=MONTH(AU$4)),AG278*(1+Macroindicadores!D$7),IF(AND($J278="PONTUAL",MONTH($O278)=MONTH(AU$4)),AG278*(1+Macroindicadores!D$7),IF(AND($J278="PONTUAL",MONTH($O278)&lt;MONTH(AU$4)),MIN($AS278:AT278),IF(AND($I278="NOVO",MONTH($O278)&gt;MONTH(AU$4)),AG278,IF(MONTH($O278)&gt;MONTH(AU$4),AG278,IF(MONTH($O278)=MONTH(AU$4),AG278*(1+Macroindicadores!D$7),AT278)))))))))</f>
        <v/>
      </c>
      <c r="AV278" s="39">
        <f>IF(ISBLANK(T278),"",IF(ISBLANK($O278),AH278,IF($J278="ANUAL",AH278*(1+Macroindicadores!E$7),IF(AND($I278="NOVO",MONTH($O278)=MONTH(AV$4)),AH278*(1+Macroindicadores!E$7),IF(AND($J278="PONTUAL",MONTH($O278)=MONTH(AV$4)),AH278*(1+Macroindicadores!E$7),IF(AND($J278="PONTUAL",MONTH($O278)&lt;MONTH(AV$4)),MIN($AS278:AU278),IF(AND($I278="NOVO",MONTH($O278)&gt;MONTH(AV$4)),AH278,IF(MONTH($O278)&gt;MONTH(AV$4),AH278,IF(MONTH($O278)=MONTH(AV$4),AH278*(1+Macroindicadores!E$7),AU278)))))))))</f>
        <v>5.4801599999999997</v>
      </c>
      <c r="AW278" s="39" t="str">
        <f>IF(ISBLANK(U278),"",IF(ISBLANK($O278),AI278,IF($J278="ANUAL",AI278*(1+Macroindicadores!F$7),IF(AND($I278="NOVO",MONTH($O278)=MONTH(AW$4)),AI278*(1+Macroindicadores!F$7),IF(AND($J278="PONTUAL",MONTH($O278)=MONTH(AW$4)),AI278*(1+Macroindicadores!F$7),IF(AND($J278="PONTUAL",MONTH($O278)&lt;MONTH(AW$4)),MIN($AS278:AV278),IF(AND($I278="NOVO",MONTH($O278)&gt;MONTH(AW$4)),AI278,IF(MONTH($O278)&gt;MONTH(AW$4),AI278,IF(MONTH($O278)=MONTH(AW$4),AI278*(1+Macroindicadores!F$7),AV278)))))))))</f>
        <v/>
      </c>
      <c r="AX278" s="39" t="str">
        <f>IF(ISBLANK(V278),"",IF(ISBLANK($O278),AJ278,IF($J278="ANUAL",AJ278*(1+Macroindicadores!G$7),IF(AND($I278="NOVO",MONTH($O278)=MONTH(AX$4)),AJ278*(1+Macroindicadores!G$7),IF(AND($J278="PONTUAL",MONTH($O278)=MONTH(AX$4)),AJ278*(1+Macroindicadores!G$7),IF(AND($J278="PONTUAL",MONTH($O278)&lt;MONTH(AX$4)),MIN($AS278:AW278),IF(AND($I278="NOVO",MONTH($O278)&gt;MONTH(AX$4)),AJ278,IF(MONTH($O278)&gt;MONTH(AX$4),AJ278,IF(MONTH($O278)=MONTH(AX$4),AJ278*(1+Macroindicadores!G$7),AW278)))))))))</f>
        <v/>
      </c>
      <c r="AY278" s="39">
        <f>IF(ISBLANK(W278),"",IF(ISBLANK($O278),AK278,IF($J278="ANUAL",AK278*(1+Macroindicadores!H$7),IF(AND($I278="NOVO",MONTH($O278)=MONTH(AY$4)),AK278*(1+Macroindicadores!H$7),IF(AND($J278="PONTUAL",MONTH($O278)=MONTH(AY$4)),AK278*(1+Macroindicadores!H$7),IF(AND($J278="PONTUAL",MONTH($O278)&lt;MONTH(AY$4)),MIN($AS278:AX278),IF(AND($I278="NOVO",MONTH($O278)&gt;MONTH(AY$4)),AK278,IF(MONTH($O278)&gt;MONTH(AY$4),AK278,IF(MONTH($O278)=MONTH(AY$4),AK278*(1+Macroindicadores!H$7),AX278)))))))))</f>
        <v>5.4801599999999997</v>
      </c>
      <c r="AZ278" s="39" t="str">
        <f>IF(ISBLANK(X278),"",IF(ISBLANK($O278),AL278,IF($J278="ANUAL",AL278*(1+Macroindicadores!I$7),IF(AND($I278="NOVO",MONTH($O278)=MONTH(AZ$4)),AL278*(1+Macroindicadores!I$7),IF(AND($J278="PONTUAL",MONTH($O278)=MONTH(AZ$4)),AL278*(1+Macroindicadores!I$7),IF(AND($J278="PONTUAL",MONTH($O278)&lt;MONTH(AZ$4)),MIN($AS278:AY278),IF(AND($I278="NOVO",MONTH($O278)&gt;MONTH(AZ$4)),AL278,IF(MONTH($O278)&gt;MONTH(AZ$4),AL278,IF(MONTH($O278)=MONTH(AZ$4),AL278*(1+Macroindicadores!I$7),AY278)))))))))</f>
        <v/>
      </c>
      <c r="BA278" s="39" t="str">
        <f>IF(ISBLANK(Y278),"",IF(ISBLANK($O278),AM278,IF($J278="ANUAL",AM278*(1+Macroindicadores!J$7),IF(AND($I278="NOVO",MONTH($O278)=MONTH(BA$4)),AM278*(1+Macroindicadores!J$7),IF(AND($J278="PONTUAL",MONTH($O278)=MONTH(BA$4)),AM278*(1+Macroindicadores!J$7),IF(AND($J278="PONTUAL",MONTH($O278)&lt;MONTH(BA$4)),MIN($AS278:AZ278),IF(AND($I278="NOVO",MONTH($O278)&gt;MONTH(BA$4)),AM278,IF(MONTH($O278)&gt;MONTH(BA$4),AM278,IF(MONTH($O278)=MONTH(BA$4),AM278*(1+Macroindicadores!J$7),AZ278)))))))))</f>
        <v/>
      </c>
      <c r="BB278" s="39">
        <f>IF(ISBLANK(Z278),"",IF(ISBLANK($O278),AN278,IF($J278="ANUAL",AN278*(1+Macroindicadores!K$7),IF(AND($I278="NOVO",MONTH($O278)=MONTH(BB$4)),AN278*(1+Macroindicadores!K$7),IF(AND($J278="PONTUAL",MONTH($O278)=MONTH(BB$4)),AN278*(1+Macroindicadores!K$7),IF(AND($J278="PONTUAL",MONTH($O278)&lt;MONTH(BB$4)),MIN($AS278:BA278),IF(AND($I278="NOVO",MONTH($O278)&gt;MONTH(BB$4)),AN278,IF(MONTH($O278)&gt;MONTH(BB$4),AN278,IF(MONTH($O278)=MONTH(BB$4),AN278*(1+Macroindicadores!K$7),BA278)))))))))</f>
        <v>5.4801599999999997</v>
      </c>
      <c r="BC278" s="39" t="str">
        <f>IF(ISBLANK(AA278),"",IF(ISBLANK($O278),AO278,IF($J278="ANUAL",AO278*(1+Macroindicadores!L$7),IF(AND($I278="NOVO",MONTH($O278)=MONTH(BC$4)),AO278*(1+Macroindicadores!L$7),IF(AND($J278="PONTUAL",MONTH($O278)=MONTH(BC$4)),AO278*(1+Macroindicadores!L$7),IF(AND($J278="PONTUAL",MONTH($O278)&lt;MONTH(BC$4)),MIN($AS278:BB278),IF(AND($I278="NOVO",MONTH($O278)&gt;MONTH(BC$4)),AO278,IF(MONTH($O278)&gt;MONTH(BC$4),AO278,IF(MONTH($O278)=MONTH(BC$4),AO278*(1+Macroindicadores!L$7),BB278)))))))))</f>
        <v/>
      </c>
      <c r="BD278" s="39" t="str">
        <f>IF(ISBLANK(AB278),"",IF(ISBLANK($O278),AP278,IF($J278="ANUAL",AP278*(1+Macroindicadores!M$7),IF(AND($I278="NOVO",MONTH($O278)=MONTH(BD$4)),AP278*(1+Macroindicadores!M$7),IF(AND($J278="PONTUAL",MONTH($O278)=MONTH(BD$4)),AP278*(1+Macroindicadores!M$7),IF(AND($J278="PONTUAL",MONTH($O278)&lt;MONTH(BD$4)),MIN($AS278:BC278),IF(AND($I278="NOVO",MONTH($O278)&gt;MONTH(BD$4)),AP278,IF(MONTH($O278)&gt;MONTH(BD$4),AP278,IF(MONTH($O278)=MONTH(BD$4),AP278*(1+Macroindicadores!M$7),BC278)))))))))</f>
        <v/>
      </c>
      <c r="BE278" s="40">
        <f t="shared" ref="BE278:BE281" si="130">IF(AND(ISBLANK($Q278),ISBLANK($R278),ISBLANK($S278),ISBLANK($T278),ISBLANK($U278),ISBLANK($V278),ISBLANK($W278),ISBLANK($X278),ISBLANK($Y278),ISBLANK($Z278),ISBLANK($AA278),ISBLANK($AB278)),"",SUM(AS278:BD278))</f>
        <v>21.920639999999999</v>
      </c>
      <c r="BG278" s="39">
        <f>IF(ISBLANK(Q278),"",AS278/Macroindicadores!B$2)</f>
        <v>0.93199999999999994</v>
      </c>
      <c r="BH278" s="39" t="str">
        <f>IF(ISBLANK(R278),"",AT278/Macroindicadores!C$2)</f>
        <v/>
      </c>
      <c r="BI278" s="39" t="str">
        <f>IF(ISBLANK(S278),"",AU278/Macroindicadores!D$2)</f>
        <v/>
      </c>
      <c r="BJ278" s="39">
        <f>IF(ISBLANK(T278),"",AV278/Macroindicadores!E$2)</f>
        <v>0.93199999999999994</v>
      </c>
      <c r="BK278" s="39" t="str">
        <f>IF(ISBLANK(U278),"",AW278/Macroindicadores!F$2)</f>
        <v/>
      </c>
      <c r="BL278" s="39" t="str">
        <f>IF(ISBLANK(V278),"",AX278/Macroindicadores!G$2)</f>
        <v/>
      </c>
      <c r="BM278" s="39">
        <f>IF(ISBLANK(W278),"",AY278/Macroindicadores!H$2)</f>
        <v>0.93199999999999994</v>
      </c>
      <c r="BN278" s="39" t="str">
        <f>IF(ISBLANK(X278),"",AZ278/Macroindicadores!I$2)</f>
        <v/>
      </c>
      <c r="BO278" s="39" t="str">
        <f>IF(ISBLANK(Y278),"",BA278/Macroindicadores!J$2)</f>
        <v/>
      </c>
      <c r="BP278" s="39">
        <f>IF(ISBLANK(Z278),"",BB278/Macroindicadores!K$2)</f>
        <v>0.93199999999999994</v>
      </c>
      <c r="BQ278" s="39" t="str">
        <f>IF(ISBLANK(AA278),"",BC278/Macroindicadores!L$2)</f>
        <v/>
      </c>
      <c r="BR278" s="39" t="str">
        <f>IF(ISBLANK(AB278),"",BD278/Macroindicadores!M$2)</f>
        <v/>
      </c>
      <c r="BS278" s="40">
        <f t="shared" ref="BS278:BS281" si="131">IF(AND(ISBLANK($Q278),ISBLANK($R278),ISBLANK($S278),ISBLANK($T278),ISBLANK($U278),ISBLANK($V278),ISBLANK($W278),ISBLANK($X278),ISBLANK($Y278),ISBLANK($Z278),ISBLANK($AA278),ISBLANK($AB278)),"",SUM(BG278:BR278))</f>
        <v>3.7279999999999998</v>
      </c>
      <c r="BT278" s="25" t="str">
        <f>IF(ISBLANK($L278),"",_xlfn.XLOOKUP($L278,'CENTRO CUSTO'!$A:$A,'CENTRO CUSTO'!$E:$E,FALSE,0))</f>
        <v/>
      </c>
    </row>
    <row r="279" spans="1:72">
      <c r="A279" s="9" t="str">
        <f t="shared" si="80"/>
        <v>Budget</v>
      </c>
      <c r="B279" s="9">
        <f t="shared" si="77"/>
        <v>2026</v>
      </c>
      <c r="C279" s="18" t="s">
        <v>262</v>
      </c>
      <c r="D279" s="111" t="s">
        <v>263</v>
      </c>
      <c r="E279" s="18" t="s">
        <v>14</v>
      </c>
      <c r="F279" s="10" t="s">
        <v>265</v>
      </c>
      <c r="G279" s="10" t="s">
        <v>126</v>
      </c>
      <c r="H279" s="10" t="s">
        <v>266</v>
      </c>
      <c r="I279" s="11" t="s">
        <v>77</v>
      </c>
      <c r="J279" s="11" t="s">
        <v>120</v>
      </c>
      <c r="K279" s="11" t="s">
        <v>79</v>
      </c>
      <c r="L279" s="11"/>
      <c r="M279" s="18" t="str">
        <f>IF(ISBLANK($L279),"",_xlfn.XLOOKUP($L279,'CENTRO CUSTO'!$A:$A,'CENTRO CUSTO'!D:D,FALSE,0))</f>
        <v/>
      </c>
      <c r="N279" s="11" t="s">
        <v>91</v>
      </c>
      <c r="O279" s="12"/>
      <c r="P279" s="11" t="s">
        <v>88</v>
      </c>
      <c r="Q279" s="41"/>
      <c r="R279" s="41"/>
      <c r="S279" s="41"/>
      <c r="T279" s="41"/>
      <c r="U279" s="41"/>
      <c r="V279" s="41"/>
      <c r="W279" s="41"/>
      <c r="X279" s="41"/>
      <c r="Y279" s="41">
        <v>2000</v>
      </c>
      <c r="Z279" s="41"/>
      <c r="AA279" s="41"/>
      <c r="AB279" s="41"/>
      <c r="AC279" s="116">
        <f t="shared" si="128"/>
        <v>2000</v>
      </c>
      <c r="AE279" s="39" t="str">
        <f>IF(ISBLANK(Q279),"",IF($P279="BRL",Q279,Q279*Macroindicadores!B$2)/1000)</f>
        <v/>
      </c>
      <c r="AF279" s="39" t="str">
        <f>IF(ISBLANK(R279),"",IF($P279="BRL",R279,R279*Macroindicadores!C$2)/1000)</f>
        <v/>
      </c>
      <c r="AG279" s="39" t="str">
        <f>IF(ISBLANK(S279),"",IF($P279="BRL",S279,S279*Macroindicadores!D$2)/1000)</f>
        <v/>
      </c>
      <c r="AH279" s="39" t="str">
        <f>IF(ISBLANK(T279),"",IF($P279="BRL",T279,T279*Macroindicadores!E$2)/1000)</f>
        <v/>
      </c>
      <c r="AI279" s="39" t="str">
        <f>IF(ISBLANK(U279),"",IF($P279="BRL",U279,U279*Macroindicadores!F$2)/1000)</f>
        <v/>
      </c>
      <c r="AJ279" s="39" t="str">
        <f>IF(ISBLANK(V279),"",IF($P279="BRL",V279,V279*Macroindicadores!G$2)/1000)</f>
        <v/>
      </c>
      <c r="AK279" s="39" t="str">
        <f>IF(ISBLANK(W279),"",IF($P279="BRL",W279,W279*Macroindicadores!H$2)/1000)</f>
        <v/>
      </c>
      <c r="AL279" s="39" t="str">
        <f>IF(ISBLANK(X279),"",IF($P279="BRL",X279,X279*Macroindicadores!I$2)/1000)</f>
        <v/>
      </c>
      <c r="AM279" s="39">
        <f>IF(ISBLANK(Y279),"",IF($P279="BRL",Y279,Y279*Macroindicadores!J$2)/1000)</f>
        <v>11.76</v>
      </c>
      <c r="AN279" s="39" t="str">
        <f>IF(ISBLANK(Z279),"",IF($P279="BRL",Z279,Z279*Macroindicadores!K$2)/1000)</f>
        <v/>
      </c>
      <c r="AO279" s="39" t="str">
        <f>IF(ISBLANK(AA279),"",IF($P279="BRL",AA279,AA279*Macroindicadores!L$2)/1000)</f>
        <v/>
      </c>
      <c r="AP279" s="39" t="str">
        <f>IF(ISBLANK(AB279),"",IF($P279="BRL",AB279,AB279*Macroindicadores!M$2)/1000)</f>
        <v/>
      </c>
      <c r="AQ279" s="40">
        <f t="shared" si="129"/>
        <v>11.76</v>
      </c>
      <c r="AS279" s="39" t="str">
        <f>IF(ISBLANK(Q279),"",IF(ISBLANK($O279),AE279,IF($J279="ANUAL",AE279*(1+Macroindicadores!B$7),IF(AND($I279="NOVO",MONTH($O279)=MONTH(AS$4)),AE279*(1+Macroindicadores!B$7),IF(AND($J279="PONTUAL",MONTH($O279)=MONTH(AS$4)),AE279*(1+Macroindicadores!B$7),IF(AND($J279="PONTUAL",MONTH($O279)&lt;MONTH(AS$4)),MIN(AR279:$AS279),IF(AND($I279="NOVO",MONTH($O279)&gt;MONTH(AS$4)),AE279,IF(MONTH($O279)&gt;MONTH(AS$4),AE279,IF(MONTH($O279)=MONTH(AS$4),AE279*(1+Macroindicadores!B$7),AR279)))))))))</f>
        <v/>
      </c>
      <c r="AT279" s="39" t="str">
        <f>IF(ISBLANK(R279),"",IF(ISBLANK($O279),AF279,IF($J279="ANUAL",AF279*(1+Macroindicadores!C$7),IF(AND($I279="NOVO",MONTH($O279)=MONTH(AT$4)),AF279*(1+Macroindicadores!C$7),IF(AND($J279="PONTUAL",MONTH($O279)=MONTH(AT$4)),AF279*(1+Macroindicadores!C$7),IF(AND($J279="PONTUAL",MONTH($O279)&lt;MONTH(AT$4)),MIN($AS279:AS279),IF(AND($I279="NOVO",MONTH($O279)&gt;MONTH(AT$4)),AF279,IF(MONTH($O279)&gt;MONTH(AT$4),AF279,IF(MONTH($O279)=MONTH(AT$4),AF279*(1+Macroindicadores!C$7),AS279)))))))))</f>
        <v/>
      </c>
      <c r="AU279" s="39" t="str">
        <f>IF(ISBLANK(S279),"",IF(ISBLANK($O279),AG279,IF($J279="ANUAL",AG279*(1+Macroindicadores!D$7),IF(AND($I279="NOVO",MONTH($O279)=MONTH(AU$4)),AG279*(1+Macroindicadores!D$7),IF(AND($J279="PONTUAL",MONTH($O279)=MONTH(AU$4)),AG279*(1+Macroindicadores!D$7),IF(AND($J279="PONTUAL",MONTH($O279)&lt;MONTH(AU$4)),MIN($AS279:AT279),IF(AND($I279="NOVO",MONTH($O279)&gt;MONTH(AU$4)),AG279,IF(MONTH($O279)&gt;MONTH(AU$4),AG279,IF(MONTH($O279)=MONTH(AU$4),AG279*(1+Macroindicadores!D$7),AT279)))))))))</f>
        <v/>
      </c>
      <c r="AV279" s="39" t="str">
        <f>IF(ISBLANK(T279),"",IF(ISBLANK($O279),AH279,IF($J279="ANUAL",AH279*(1+Macroindicadores!E$7),IF(AND($I279="NOVO",MONTH($O279)=MONTH(AV$4)),AH279*(1+Macroindicadores!E$7),IF(AND($J279="PONTUAL",MONTH($O279)=MONTH(AV$4)),AH279*(1+Macroindicadores!E$7),IF(AND($J279="PONTUAL",MONTH($O279)&lt;MONTH(AV$4)),MIN($AS279:AU279),IF(AND($I279="NOVO",MONTH($O279)&gt;MONTH(AV$4)),AH279,IF(MONTH($O279)&gt;MONTH(AV$4),AH279,IF(MONTH($O279)=MONTH(AV$4),AH279*(1+Macroindicadores!E$7),AU279)))))))))</f>
        <v/>
      </c>
      <c r="AW279" s="39" t="str">
        <f>IF(ISBLANK(U279),"",IF(ISBLANK($O279),AI279,IF($J279="ANUAL",AI279*(1+Macroindicadores!F$7),IF(AND($I279="NOVO",MONTH($O279)=MONTH(AW$4)),AI279*(1+Macroindicadores!F$7),IF(AND($J279="PONTUAL",MONTH($O279)=MONTH(AW$4)),AI279*(1+Macroindicadores!F$7),IF(AND($J279="PONTUAL",MONTH($O279)&lt;MONTH(AW$4)),MIN($AS279:AV279),IF(AND($I279="NOVO",MONTH($O279)&gt;MONTH(AW$4)),AI279,IF(MONTH($O279)&gt;MONTH(AW$4),AI279,IF(MONTH($O279)=MONTH(AW$4),AI279*(1+Macroindicadores!F$7),AV279)))))))))</f>
        <v/>
      </c>
      <c r="AX279" s="39" t="str">
        <f>IF(ISBLANK(V279),"",IF(ISBLANK($O279),AJ279,IF($J279="ANUAL",AJ279*(1+Macroindicadores!G$7),IF(AND($I279="NOVO",MONTH($O279)=MONTH(AX$4)),AJ279*(1+Macroindicadores!G$7),IF(AND($J279="PONTUAL",MONTH($O279)=MONTH(AX$4)),AJ279*(1+Macroindicadores!G$7),IF(AND($J279="PONTUAL",MONTH($O279)&lt;MONTH(AX$4)),MIN($AS279:AW279),IF(AND($I279="NOVO",MONTH($O279)&gt;MONTH(AX$4)),AJ279,IF(MONTH($O279)&gt;MONTH(AX$4),AJ279,IF(MONTH($O279)=MONTH(AX$4),AJ279*(1+Macroindicadores!G$7),AW279)))))))))</f>
        <v/>
      </c>
      <c r="AY279" s="39" t="str">
        <f>IF(ISBLANK(W279),"",IF(ISBLANK($O279),AK279,IF($J279="ANUAL",AK279*(1+Macroindicadores!H$7),IF(AND($I279="NOVO",MONTH($O279)=MONTH(AY$4)),AK279*(1+Macroindicadores!H$7),IF(AND($J279="PONTUAL",MONTH($O279)=MONTH(AY$4)),AK279*(1+Macroindicadores!H$7),IF(AND($J279="PONTUAL",MONTH($O279)&lt;MONTH(AY$4)),MIN($AS279:AX279),IF(AND($I279="NOVO",MONTH($O279)&gt;MONTH(AY$4)),AK279,IF(MONTH($O279)&gt;MONTH(AY$4),AK279,IF(MONTH($O279)=MONTH(AY$4),AK279*(1+Macroindicadores!H$7),AX279)))))))))</f>
        <v/>
      </c>
      <c r="AZ279" s="39" t="str">
        <f>IF(ISBLANK(X279),"",IF(ISBLANK($O279),AL279,IF($J279="ANUAL",AL279*(1+Macroindicadores!I$7),IF(AND($I279="NOVO",MONTH($O279)=MONTH(AZ$4)),AL279*(1+Macroindicadores!I$7),IF(AND($J279="PONTUAL",MONTH($O279)=MONTH(AZ$4)),AL279*(1+Macroindicadores!I$7),IF(AND($J279="PONTUAL",MONTH($O279)&lt;MONTH(AZ$4)),MIN($AS279:AY279),IF(AND($I279="NOVO",MONTH($O279)&gt;MONTH(AZ$4)),AL279,IF(MONTH($O279)&gt;MONTH(AZ$4),AL279,IF(MONTH($O279)=MONTH(AZ$4),AL279*(1+Macroindicadores!I$7),AY279)))))))))</f>
        <v/>
      </c>
      <c r="BA279" s="39">
        <f>IF(ISBLANK(Y279),"",IF(ISBLANK($O279),AM279,IF($J279="ANUAL",AM279*(1+Macroindicadores!J$7),IF(AND($I279="NOVO",MONTH($O279)=MONTH(BA$4)),AM279*(1+Macroindicadores!J$7),IF(AND($J279="PONTUAL",MONTH($O279)=MONTH(BA$4)),AM279*(1+Macroindicadores!J$7),IF(AND($J279="PONTUAL",MONTH($O279)&lt;MONTH(BA$4)),MIN($AS279:AZ279),IF(AND($I279="NOVO",MONTH($O279)&gt;MONTH(BA$4)),AM279,IF(MONTH($O279)&gt;MONTH(BA$4),AM279,IF(MONTH($O279)=MONTH(BA$4),AM279*(1+Macroindicadores!J$7),AZ279)))))))))</f>
        <v>11.76</v>
      </c>
      <c r="BB279" s="39" t="str">
        <f>IF(ISBLANK(Z279),"",IF(ISBLANK($O279),AN279,IF($J279="ANUAL",AN279*(1+Macroindicadores!K$7),IF(AND($I279="NOVO",MONTH($O279)=MONTH(BB$4)),AN279*(1+Macroindicadores!K$7),IF(AND($J279="PONTUAL",MONTH($O279)=MONTH(BB$4)),AN279*(1+Macroindicadores!K$7),IF(AND($J279="PONTUAL",MONTH($O279)&lt;MONTH(BB$4)),MIN($AS279:BA279),IF(AND($I279="NOVO",MONTH($O279)&gt;MONTH(BB$4)),AN279,IF(MONTH($O279)&gt;MONTH(BB$4),AN279,IF(MONTH($O279)=MONTH(BB$4),AN279*(1+Macroindicadores!K$7),BA279)))))))))</f>
        <v/>
      </c>
      <c r="BC279" s="39" t="str">
        <f>IF(ISBLANK(AA279),"",IF(ISBLANK($O279),AO279,IF($J279="ANUAL",AO279*(1+Macroindicadores!L$7),IF(AND($I279="NOVO",MONTH($O279)=MONTH(BC$4)),AO279*(1+Macroindicadores!L$7),IF(AND($J279="PONTUAL",MONTH($O279)=MONTH(BC$4)),AO279*(1+Macroindicadores!L$7),IF(AND($J279="PONTUAL",MONTH($O279)&lt;MONTH(BC$4)),MIN($AS279:BB279),IF(AND($I279="NOVO",MONTH($O279)&gt;MONTH(BC$4)),AO279,IF(MONTH($O279)&gt;MONTH(BC$4),AO279,IF(MONTH($O279)=MONTH(BC$4),AO279*(1+Macroindicadores!L$7),BB279)))))))))</f>
        <v/>
      </c>
      <c r="BD279" s="39" t="str">
        <f>IF(ISBLANK(AB279),"",IF(ISBLANK($O279),AP279,IF($J279="ANUAL",AP279*(1+Macroindicadores!M$7),IF(AND($I279="NOVO",MONTH($O279)=MONTH(BD$4)),AP279*(1+Macroindicadores!M$7),IF(AND($J279="PONTUAL",MONTH($O279)=MONTH(BD$4)),AP279*(1+Macroindicadores!M$7),IF(AND($J279="PONTUAL",MONTH($O279)&lt;MONTH(BD$4)),MIN($AS279:BC279),IF(AND($I279="NOVO",MONTH($O279)&gt;MONTH(BD$4)),AP279,IF(MONTH($O279)&gt;MONTH(BD$4),AP279,IF(MONTH($O279)=MONTH(BD$4),AP279*(1+Macroindicadores!M$7),BC279)))))))))</f>
        <v/>
      </c>
      <c r="BE279" s="40">
        <f t="shared" si="130"/>
        <v>11.76</v>
      </c>
      <c r="BG279" s="39" t="str">
        <f>IF(ISBLANK(Q279),"",AS279/Macroindicadores!B$2)</f>
        <v/>
      </c>
      <c r="BH279" s="39" t="str">
        <f>IF(ISBLANK(R279),"",AT279/Macroindicadores!C$2)</f>
        <v/>
      </c>
      <c r="BI279" s="39" t="str">
        <f>IF(ISBLANK(S279),"",AU279/Macroindicadores!D$2)</f>
        <v/>
      </c>
      <c r="BJ279" s="39" t="str">
        <f>IF(ISBLANK(T279),"",AV279/Macroindicadores!E$2)</f>
        <v/>
      </c>
      <c r="BK279" s="39" t="str">
        <f>IF(ISBLANK(U279),"",AW279/Macroindicadores!F$2)</f>
        <v/>
      </c>
      <c r="BL279" s="39" t="str">
        <f>IF(ISBLANK(V279),"",AX279/Macroindicadores!G$2)</f>
        <v/>
      </c>
      <c r="BM279" s="39" t="str">
        <f>IF(ISBLANK(W279),"",AY279/Macroindicadores!H$2)</f>
        <v/>
      </c>
      <c r="BN279" s="39" t="str">
        <f>IF(ISBLANK(X279),"",AZ279/Macroindicadores!I$2)</f>
        <v/>
      </c>
      <c r="BO279" s="39">
        <f>IF(ISBLANK(Y279),"",BA279/Macroindicadores!J$2)</f>
        <v>2</v>
      </c>
      <c r="BP279" s="39" t="str">
        <f>IF(ISBLANK(Z279),"",BB279/Macroindicadores!K$2)</f>
        <v/>
      </c>
      <c r="BQ279" s="39" t="str">
        <f>IF(ISBLANK(AA279),"",BC279/Macroindicadores!L$2)</f>
        <v/>
      </c>
      <c r="BR279" s="39" t="str">
        <f>IF(ISBLANK(AB279),"",BD279/Macroindicadores!M$2)</f>
        <v/>
      </c>
      <c r="BS279" s="40">
        <f t="shared" si="131"/>
        <v>2</v>
      </c>
      <c r="BT279" s="25" t="str">
        <f>IF(ISBLANK($L279),"",_xlfn.XLOOKUP($L279,'CENTRO CUSTO'!$A:$A,'CENTRO CUSTO'!$E:$E,FALSE,0))</f>
        <v/>
      </c>
    </row>
    <row r="280" spans="1:72">
      <c r="A280" s="9" t="str">
        <f t="shared" si="80"/>
        <v>Budget</v>
      </c>
      <c r="B280" s="9">
        <f t="shared" si="77"/>
        <v>2026</v>
      </c>
      <c r="C280" s="18" t="s">
        <v>262</v>
      </c>
      <c r="D280" s="111" t="s">
        <v>263</v>
      </c>
      <c r="E280" s="18" t="s">
        <v>14</v>
      </c>
      <c r="F280" s="10" t="s">
        <v>125</v>
      </c>
      <c r="G280" s="10" t="s">
        <v>126</v>
      </c>
      <c r="H280" s="10" t="s">
        <v>267</v>
      </c>
      <c r="I280" s="11" t="s">
        <v>77</v>
      </c>
      <c r="J280" s="11" t="s">
        <v>120</v>
      </c>
      <c r="K280" s="11" t="s">
        <v>79</v>
      </c>
      <c r="L280" s="11"/>
      <c r="M280" s="18" t="str">
        <f>IF(ISBLANK($L280),"",_xlfn.XLOOKUP($L280,'CENTRO CUSTO'!$A:$A,'CENTRO CUSTO'!D:D,FALSE,0))</f>
        <v/>
      </c>
      <c r="N280" s="11" t="s">
        <v>87</v>
      </c>
      <c r="O280" s="12"/>
      <c r="P280" s="11" t="s">
        <v>88</v>
      </c>
      <c r="Q280" s="41"/>
      <c r="R280" s="41"/>
      <c r="S280" s="41"/>
      <c r="T280" s="41"/>
      <c r="U280" s="41"/>
      <c r="V280" s="41"/>
      <c r="W280" s="41"/>
      <c r="X280" s="41">
        <v>2700</v>
      </c>
      <c r="Y280" s="41"/>
      <c r="Z280" s="41"/>
      <c r="AA280" s="41"/>
      <c r="AB280" s="41"/>
      <c r="AC280" s="116">
        <f t="shared" si="128"/>
        <v>2700</v>
      </c>
      <c r="AE280" s="39" t="str">
        <f>IF(ISBLANK(Q280),"",IF($P280="BRL",Q280,Q280*Macroindicadores!B$2)/1000)</f>
        <v/>
      </c>
      <c r="AF280" s="39" t="str">
        <f>IF(ISBLANK(R280),"",IF($P280="BRL",R280,R280*Macroindicadores!C$2)/1000)</f>
        <v/>
      </c>
      <c r="AG280" s="39" t="str">
        <f>IF(ISBLANK(S280),"",IF($P280="BRL",S280,S280*Macroindicadores!D$2)/1000)</f>
        <v/>
      </c>
      <c r="AH280" s="39" t="str">
        <f>IF(ISBLANK(T280),"",IF($P280="BRL",T280,T280*Macroindicadores!E$2)/1000)</f>
        <v/>
      </c>
      <c r="AI280" s="39" t="str">
        <f>IF(ISBLANK(U280),"",IF($P280="BRL",U280,U280*Macroindicadores!F$2)/1000)</f>
        <v/>
      </c>
      <c r="AJ280" s="39" t="str">
        <f>IF(ISBLANK(V280),"",IF($P280="BRL",V280,V280*Macroindicadores!G$2)/1000)</f>
        <v/>
      </c>
      <c r="AK280" s="39" t="str">
        <f>IF(ISBLANK(W280),"",IF($P280="BRL",W280,W280*Macroindicadores!H$2)/1000)</f>
        <v/>
      </c>
      <c r="AL280" s="39">
        <f>IF(ISBLANK(X280),"",IF($P280="BRL",X280,X280*Macroindicadores!I$2)/1000)</f>
        <v>15.875999999999999</v>
      </c>
      <c r="AM280" s="39" t="str">
        <f>IF(ISBLANK(Y280),"",IF($P280="BRL",Y280,Y280*Macroindicadores!J$2)/1000)</f>
        <v/>
      </c>
      <c r="AN280" s="39" t="str">
        <f>IF(ISBLANK(Z280),"",IF($P280="BRL",Z280,Z280*Macroindicadores!K$2)/1000)</f>
        <v/>
      </c>
      <c r="AO280" s="39" t="str">
        <f>IF(ISBLANK(AA280),"",IF($P280="BRL",AA280,AA280*Macroindicadores!L$2)/1000)</f>
        <v/>
      </c>
      <c r="AP280" s="39" t="str">
        <f>IF(ISBLANK(AB280),"",IF($P280="BRL",AB280,AB280*Macroindicadores!M$2)/1000)</f>
        <v/>
      </c>
      <c r="AQ280" s="40">
        <f t="shared" si="129"/>
        <v>15.875999999999999</v>
      </c>
      <c r="AS280" s="39" t="str">
        <f>IF(ISBLANK(Q280),"",IF(ISBLANK($O280),AE280,IF($J280="ANUAL",AE280*(1+Macroindicadores!B$7),IF(AND($I280="NOVO",MONTH($O280)=MONTH(AS$4)),AE280*(1+Macroindicadores!B$7),IF(AND($J280="PONTUAL",MONTH($O280)=MONTH(AS$4)),AE280*(1+Macroindicadores!B$7),IF(AND($J280="PONTUAL",MONTH($O280)&lt;MONTH(AS$4)),MIN(AR280:$AS280),IF(AND($I280="NOVO",MONTH($O280)&gt;MONTH(AS$4)),AE280,IF(MONTH($O280)&gt;MONTH(AS$4),AE280,IF(MONTH($O280)=MONTH(AS$4),AE280*(1+Macroindicadores!B$7),AR280)))))))))</f>
        <v/>
      </c>
      <c r="AT280" s="39" t="str">
        <f>IF(ISBLANK(R280),"",IF(ISBLANK($O280),AF280,IF($J280="ANUAL",AF280*(1+Macroindicadores!C$7),IF(AND($I280="NOVO",MONTH($O280)=MONTH(AT$4)),AF280*(1+Macroindicadores!C$7),IF(AND($J280="PONTUAL",MONTH($O280)=MONTH(AT$4)),AF280*(1+Macroindicadores!C$7),IF(AND($J280="PONTUAL",MONTH($O280)&lt;MONTH(AT$4)),MIN($AS280:AS280),IF(AND($I280="NOVO",MONTH($O280)&gt;MONTH(AT$4)),AF280,IF(MONTH($O280)&gt;MONTH(AT$4),AF280,IF(MONTH($O280)=MONTH(AT$4),AF280*(1+Macroindicadores!C$7),AS280)))))))))</f>
        <v/>
      </c>
      <c r="AU280" s="39" t="str">
        <f>IF(ISBLANK(S280),"",IF(ISBLANK($O280),AG280,IF($J280="ANUAL",AG280*(1+Macroindicadores!D$7),IF(AND($I280="NOVO",MONTH($O280)=MONTH(AU$4)),AG280*(1+Macroindicadores!D$7),IF(AND($J280="PONTUAL",MONTH($O280)=MONTH(AU$4)),AG280*(1+Macroindicadores!D$7),IF(AND($J280="PONTUAL",MONTH($O280)&lt;MONTH(AU$4)),MIN($AS280:AT280),IF(AND($I280="NOVO",MONTH($O280)&gt;MONTH(AU$4)),AG280,IF(MONTH($O280)&gt;MONTH(AU$4),AG280,IF(MONTH($O280)=MONTH(AU$4),AG280*(1+Macroindicadores!D$7),AT280)))))))))</f>
        <v/>
      </c>
      <c r="AV280" s="39" t="str">
        <f>IF(ISBLANK(T280),"",IF(ISBLANK($O280),AH280,IF($J280="ANUAL",AH280*(1+Macroindicadores!E$7),IF(AND($I280="NOVO",MONTH($O280)=MONTH(AV$4)),AH280*(1+Macroindicadores!E$7),IF(AND($J280="PONTUAL",MONTH($O280)=MONTH(AV$4)),AH280*(1+Macroindicadores!E$7),IF(AND($J280="PONTUAL",MONTH($O280)&lt;MONTH(AV$4)),MIN($AS280:AU280),IF(AND($I280="NOVO",MONTH($O280)&gt;MONTH(AV$4)),AH280,IF(MONTH($O280)&gt;MONTH(AV$4),AH280,IF(MONTH($O280)=MONTH(AV$4),AH280*(1+Macroindicadores!E$7),AU280)))))))))</f>
        <v/>
      </c>
      <c r="AW280" s="39" t="str">
        <f>IF(ISBLANK(U280),"",IF(ISBLANK($O280),AI280,IF($J280="ANUAL",AI280*(1+Macroindicadores!F$7),IF(AND($I280="NOVO",MONTH($O280)=MONTH(AW$4)),AI280*(1+Macroindicadores!F$7),IF(AND($J280="PONTUAL",MONTH($O280)=MONTH(AW$4)),AI280*(1+Macroindicadores!F$7),IF(AND($J280="PONTUAL",MONTH($O280)&lt;MONTH(AW$4)),MIN($AS280:AV280),IF(AND($I280="NOVO",MONTH($O280)&gt;MONTH(AW$4)),AI280,IF(MONTH($O280)&gt;MONTH(AW$4),AI280,IF(MONTH($O280)=MONTH(AW$4),AI280*(1+Macroindicadores!F$7),AV280)))))))))</f>
        <v/>
      </c>
      <c r="AX280" s="39" t="str">
        <f>IF(ISBLANK(V280),"",IF(ISBLANK($O280),AJ280,IF($J280="ANUAL",AJ280*(1+Macroindicadores!G$7),IF(AND($I280="NOVO",MONTH($O280)=MONTH(AX$4)),AJ280*(1+Macroindicadores!G$7),IF(AND($J280="PONTUAL",MONTH($O280)=MONTH(AX$4)),AJ280*(1+Macroindicadores!G$7),IF(AND($J280="PONTUAL",MONTH($O280)&lt;MONTH(AX$4)),MIN($AS280:AW280),IF(AND($I280="NOVO",MONTH($O280)&gt;MONTH(AX$4)),AJ280,IF(MONTH($O280)&gt;MONTH(AX$4),AJ280,IF(MONTH($O280)=MONTH(AX$4),AJ280*(1+Macroindicadores!G$7),AW280)))))))))</f>
        <v/>
      </c>
      <c r="AY280" s="39" t="str">
        <f>IF(ISBLANK(W280),"",IF(ISBLANK($O280),AK280,IF($J280="ANUAL",AK280*(1+Macroindicadores!H$7),IF(AND($I280="NOVO",MONTH($O280)=MONTH(AY$4)),AK280*(1+Macroindicadores!H$7),IF(AND($J280="PONTUAL",MONTH($O280)=MONTH(AY$4)),AK280*(1+Macroindicadores!H$7),IF(AND($J280="PONTUAL",MONTH($O280)&lt;MONTH(AY$4)),MIN($AS280:AX280),IF(AND($I280="NOVO",MONTH($O280)&gt;MONTH(AY$4)),AK280,IF(MONTH($O280)&gt;MONTH(AY$4),AK280,IF(MONTH($O280)=MONTH(AY$4),AK280*(1+Macroindicadores!H$7),AX280)))))))))</f>
        <v/>
      </c>
      <c r="AZ280" s="39">
        <f>IF(ISBLANK(X280),"",IF(ISBLANK($O280),AL280,IF($J280="ANUAL",AL280*(1+Macroindicadores!I$7),IF(AND($I280="NOVO",MONTH($O280)=MONTH(AZ$4)),AL280*(1+Macroindicadores!I$7),IF(AND($J280="PONTUAL",MONTH($O280)=MONTH(AZ$4)),AL280*(1+Macroindicadores!I$7),IF(AND($J280="PONTUAL",MONTH($O280)&lt;MONTH(AZ$4)),MIN($AS280:AY280),IF(AND($I280="NOVO",MONTH($O280)&gt;MONTH(AZ$4)),AL280,IF(MONTH($O280)&gt;MONTH(AZ$4),AL280,IF(MONTH($O280)=MONTH(AZ$4),AL280*(1+Macroindicadores!I$7),AY280)))))))))</f>
        <v>15.875999999999999</v>
      </c>
      <c r="BA280" s="39" t="str">
        <f>IF(ISBLANK(Y280),"",IF(ISBLANK($O280),AM280,IF($J280="ANUAL",AM280*(1+Macroindicadores!J$7),IF(AND($I280="NOVO",MONTH($O280)=MONTH(BA$4)),AM280*(1+Macroindicadores!J$7),IF(AND($J280="PONTUAL",MONTH($O280)=MONTH(BA$4)),AM280*(1+Macroindicadores!J$7),IF(AND($J280="PONTUAL",MONTH($O280)&lt;MONTH(BA$4)),MIN($AS280:AZ280),IF(AND($I280="NOVO",MONTH($O280)&gt;MONTH(BA$4)),AM280,IF(MONTH($O280)&gt;MONTH(BA$4),AM280,IF(MONTH($O280)=MONTH(BA$4),AM280*(1+Macroindicadores!J$7),AZ280)))))))))</f>
        <v/>
      </c>
      <c r="BB280" s="39" t="str">
        <f>IF(ISBLANK(Z280),"",IF(ISBLANK($O280),AN280,IF($J280="ANUAL",AN280*(1+Macroindicadores!K$7),IF(AND($I280="NOVO",MONTH($O280)=MONTH(BB$4)),AN280*(1+Macroindicadores!K$7),IF(AND($J280="PONTUAL",MONTH($O280)=MONTH(BB$4)),AN280*(1+Macroindicadores!K$7),IF(AND($J280="PONTUAL",MONTH($O280)&lt;MONTH(BB$4)),MIN($AS280:BA280),IF(AND($I280="NOVO",MONTH($O280)&gt;MONTH(BB$4)),AN280,IF(MONTH($O280)&gt;MONTH(BB$4),AN280,IF(MONTH($O280)=MONTH(BB$4),AN280*(1+Macroindicadores!K$7),BA280)))))))))</f>
        <v/>
      </c>
      <c r="BC280" s="39" t="str">
        <f>IF(ISBLANK(AA280),"",IF(ISBLANK($O280),AO280,IF($J280="ANUAL",AO280*(1+Macroindicadores!L$7),IF(AND($I280="NOVO",MONTH($O280)=MONTH(BC$4)),AO280*(1+Macroindicadores!L$7),IF(AND($J280="PONTUAL",MONTH($O280)=MONTH(BC$4)),AO280*(1+Macroindicadores!L$7),IF(AND($J280="PONTUAL",MONTH($O280)&lt;MONTH(BC$4)),MIN($AS280:BB280),IF(AND($I280="NOVO",MONTH($O280)&gt;MONTH(BC$4)),AO280,IF(MONTH($O280)&gt;MONTH(BC$4),AO280,IF(MONTH($O280)=MONTH(BC$4),AO280*(1+Macroindicadores!L$7),BB280)))))))))</f>
        <v/>
      </c>
      <c r="BD280" s="39" t="str">
        <f>IF(ISBLANK(AB280),"",IF(ISBLANK($O280),AP280,IF($J280="ANUAL",AP280*(1+Macroindicadores!M$7),IF(AND($I280="NOVO",MONTH($O280)=MONTH(BD$4)),AP280*(1+Macroindicadores!M$7),IF(AND($J280="PONTUAL",MONTH($O280)=MONTH(BD$4)),AP280*(1+Macroindicadores!M$7),IF(AND($J280="PONTUAL",MONTH($O280)&lt;MONTH(BD$4)),MIN($AS280:BC280),IF(AND($I280="NOVO",MONTH($O280)&gt;MONTH(BD$4)),AP280,IF(MONTH($O280)&gt;MONTH(BD$4),AP280,IF(MONTH($O280)=MONTH(BD$4),AP280*(1+Macroindicadores!M$7),BC280)))))))))</f>
        <v/>
      </c>
      <c r="BE280" s="40">
        <f t="shared" si="130"/>
        <v>15.875999999999999</v>
      </c>
      <c r="BG280" s="39" t="str">
        <f>IF(ISBLANK(Q280),"",AS280/Macroindicadores!B$2)</f>
        <v/>
      </c>
      <c r="BH280" s="39" t="str">
        <f>IF(ISBLANK(R280),"",AT280/Macroindicadores!C$2)</f>
        <v/>
      </c>
      <c r="BI280" s="39" t="str">
        <f>IF(ISBLANK(S280),"",AU280/Macroindicadores!D$2)</f>
        <v/>
      </c>
      <c r="BJ280" s="39" t="str">
        <f>IF(ISBLANK(T280),"",AV280/Macroindicadores!E$2)</f>
        <v/>
      </c>
      <c r="BK280" s="39" t="str">
        <f>IF(ISBLANK(U280),"",AW280/Macroindicadores!F$2)</f>
        <v/>
      </c>
      <c r="BL280" s="39" t="str">
        <f>IF(ISBLANK(V280),"",AX280/Macroindicadores!G$2)</f>
        <v/>
      </c>
      <c r="BM280" s="39" t="str">
        <f>IF(ISBLANK(W280),"",AY280/Macroindicadores!H$2)</f>
        <v/>
      </c>
      <c r="BN280" s="39">
        <f>IF(ISBLANK(X280),"",AZ280/Macroindicadores!I$2)</f>
        <v>2.6999999999999997</v>
      </c>
      <c r="BO280" s="39" t="str">
        <f>IF(ISBLANK(Y280),"",BA280/Macroindicadores!J$2)</f>
        <v/>
      </c>
      <c r="BP280" s="39" t="str">
        <f>IF(ISBLANK(Z280),"",BB280/Macroindicadores!K$2)</f>
        <v/>
      </c>
      <c r="BQ280" s="39" t="str">
        <f>IF(ISBLANK(AA280),"",BC280/Macroindicadores!L$2)</f>
        <v/>
      </c>
      <c r="BR280" s="39" t="str">
        <f>IF(ISBLANK(AB280),"",BD280/Macroindicadores!M$2)</f>
        <v/>
      </c>
      <c r="BS280" s="40">
        <f t="shared" si="131"/>
        <v>2.6999999999999997</v>
      </c>
      <c r="BT280" s="25" t="str">
        <f>IF(ISBLANK($L280),"",_xlfn.XLOOKUP($L280,'CENTRO CUSTO'!$A:$A,'CENTRO CUSTO'!$E:$E,FALSE,0))</f>
        <v/>
      </c>
    </row>
    <row r="281" spans="1:72">
      <c r="A281" s="9" t="str">
        <f t="shared" si="80"/>
        <v>Budget</v>
      </c>
      <c r="B281" s="9">
        <f t="shared" si="77"/>
        <v>2026</v>
      </c>
      <c r="C281" s="111" t="s">
        <v>262</v>
      </c>
      <c r="D281" s="111" t="s">
        <v>263</v>
      </c>
      <c r="E281" s="111" t="s">
        <v>14</v>
      </c>
      <c r="F281" s="112" t="s">
        <v>99</v>
      </c>
      <c r="G281" s="112" t="s">
        <v>75</v>
      </c>
      <c r="H281" s="112" t="s">
        <v>102</v>
      </c>
      <c r="I281" s="11" t="s">
        <v>77</v>
      </c>
      <c r="J281" s="11" t="s">
        <v>78</v>
      </c>
      <c r="K281" s="11" t="s">
        <v>79</v>
      </c>
      <c r="L281" s="11"/>
      <c r="M281" s="18" t="str">
        <f>IF(ISBLANK($L281),"",_xlfn.XLOOKUP($L281,'CENTRO CUSTO'!$A:$A,'CENTRO CUSTO'!D:D,FALSE,0))</f>
        <v/>
      </c>
      <c r="N281" s="113" t="s">
        <v>91</v>
      </c>
      <c r="O281" s="12"/>
      <c r="P281" s="113" t="s">
        <v>88</v>
      </c>
      <c r="Q281" s="41">
        <v>120</v>
      </c>
      <c r="R281" s="41">
        <v>120</v>
      </c>
      <c r="S281" s="41">
        <v>120</v>
      </c>
      <c r="T281" s="41">
        <v>120</v>
      </c>
      <c r="U281" s="41">
        <v>120</v>
      </c>
      <c r="V281" s="41">
        <v>120</v>
      </c>
      <c r="W281" s="41">
        <v>120</v>
      </c>
      <c r="X281" s="41">
        <v>120</v>
      </c>
      <c r="Y281" s="41">
        <v>120</v>
      </c>
      <c r="Z281" s="41">
        <v>120</v>
      </c>
      <c r="AA281" s="41">
        <v>120</v>
      </c>
      <c r="AB281" s="41">
        <v>120</v>
      </c>
      <c r="AC281" s="116">
        <f t="shared" si="128"/>
        <v>1440</v>
      </c>
      <c r="AE281" s="39">
        <f>IF(ISBLANK(Q281),"",IF($P281="BRL",Q281,Q281*Macroindicadores!B$2)/1000)</f>
        <v>0.7056</v>
      </c>
      <c r="AF281" s="39">
        <f>IF(ISBLANK(R281),"",IF($P281="BRL",R281,R281*Macroindicadores!C$2)/1000)</f>
        <v>0.7056</v>
      </c>
      <c r="AG281" s="39">
        <f>IF(ISBLANK(S281),"",IF($P281="BRL",S281,S281*Macroindicadores!D$2)/1000)</f>
        <v>0.7056</v>
      </c>
      <c r="AH281" s="39">
        <f>IF(ISBLANK(T281),"",IF($P281="BRL",T281,T281*Macroindicadores!E$2)/1000)</f>
        <v>0.7056</v>
      </c>
      <c r="AI281" s="39">
        <f>IF(ISBLANK(U281),"",IF($P281="BRL",U281,U281*Macroindicadores!F$2)/1000)</f>
        <v>0.7056</v>
      </c>
      <c r="AJ281" s="39">
        <f>IF(ISBLANK(V281),"",IF($P281="BRL",V281,V281*Macroindicadores!G$2)/1000)</f>
        <v>0.7056</v>
      </c>
      <c r="AK281" s="39">
        <f>IF(ISBLANK(W281),"",IF($P281="BRL",W281,W281*Macroindicadores!H$2)/1000)</f>
        <v>0.7056</v>
      </c>
      <c r="AL281" s="39">
        <f>IF(ISBLANK(X281),"",IF($P281="BRL",X281,X281*Macroindicadores!I$2)/1000)</f>
        <v>0.7056</v>
      </c>
      <c r="AM281" s="39">
        <f>IF(ISBLANK(Y281),"",IF($P281="BRL",Y281,Y281*Macroindicadores!J$2)/1000)</f>
        <v>0.7056</v>
      </c>
      <c r="AN281" s="39">
        <f>IF(ISBLANK(Z281),"",IF($P281="BRL",Z281,Z281*Macroindicadores!K$2)/1000)</f>
        <v>0.7056</v>
      </c>
      <c r="AO281" s="39">
        <f>IF(ISBLANK(AA281),"",IF($P281="BRL",AA281,AA281*Macroindicadores!L$2)/1000)</f>
        <v>0.7056</v>
      </c>
      <c r="AP281" s="39">
        <f>IF(ISBLANK(AB281),"",IF($P281="BRL",AB281,AB281*Macroindicadores!M$2)/1000)</f>
        <v>0.7056</v>
      </c>
      <c r="AQ281" s="40">
        <f t="shared" si="129"/>
        <v>8.4672000000000018</v>
      </c>
      <c r="AS281" s="39">
        <f>IF(ISBLANK(Q281),"",IF(ISBLANK($O281),AE281,IF($J281="ANUAL",AE281*(1+Macroindicadores!B$7),IF(AND($I281="NOVO",MONTH($O281)=MONTH(AS$4)),AE281*(1+Macroindicadores!B$7),IF(AND($J281="PONTUAL",MONTH($O281)=MONTH(AS$4)),AE281*(1+Macroindicadores!B$7),IF(AND($J281="PONTUAL",MONTH($O281)&lt;MONTH(AS$4)),MIN(AR281:$AS281),IF(AND($I281="NOVO",MONTH($O281)&gt;MONTH(AS$4)),AE281,IF(MONTH($O281)&gt;MONTH(AS$4),AE281,IF(MONTH($O281)=MONTH(AS$4),AE281*(1+Macroindicadores!B$7),AR281)))))))))</f>
        <v>0.7056</v>
      </c>
      <c r="AT281" s="39">
        <f>IF(ISBLANK(R281),"",IF(ISBLANK($O281),AF281,IF($J281="ANUAL",AF281*(1+Macroindicadores!C$7),IF(AND($I281="NOVO",MONTH($O281)=MONTH(AT$4)),AF281*(1+Macroindicadores!C$7),IF(AND($J281="PONTUAL",MONTH($O281)=MONTH(AT$4)),AF281*(1+Macroindicadores!C$7),IF(AND($J281="PONTUAL",MONTH($O281)&lt;MONTH(AT$4)),MIN($AS281:AS281),IF(AND($I281="NOVO",MONTH($O281)&gt;MONTH(AT$4)),AF281,IF(MONTH($O281)&gt;MONTH(AT$4),AF281,IF(MONTH($O281)=MONTH(AT$4),AF281*(1+Macroindicadores!C$7),AS281)))))))))</f>
        <v>0.7056</v>
      </c>
      <c r="AU281" s="39">
        <f>IF(ISBLANK(S281),"",IF(ISBLANK($O281),AG281,IF($J281="ANUAL",AG281*(1+Macroindicadores!D$7),IF(AND($I281="NOVO",MONTH($O281)=MONTH(AU$4)),AG281*(1+Macroindicadores!D$7),IF(AND($J281="PONTUAL",MONTH($O281)=MONTH(AU$4)),AG281*(1+Macroindicadores!D$7),IF(AND($J281="PONTUAL",MONTH($O281)&lt;MONTH(AU$4)),MIN($AS281:AT281),IF(AND($I281="NOVO",MONTH($O281)&gt;MONTH(AU$4)),AG281,IF(MONTH($O281)&gt;MONTH(AU$4),AG281,IF(MONTH($O281)=MONTH(AU$4),AG281*(1+Macroindicadores!D$7),AT281)))))))))</f>
        <v>0.7056</v>
      </c>
      <c r="AV281" s="39">
        <f>IF(ISBLANK(T281),"",IF(ISBLANK($O281),AH281,IF($J281="ANUAL",AH281*(1+Macroindicadores!E$7),IF(AND($I281="NOVO",MONTH($O281)=MONTH(AV$4)),AH281*(1+Macroindicadores!E$7),IF(AND($J281="PONTUAL",MONTH($O281)=MONTH(AV$4)),AH281*(1+Macroindicadores!E$7),IF(AND($J281="PONTUAL",MONTH($O281)&lt;MONTH(AV$4)),MIN($AS281:AU281),IF(AND($I281="NOVO",MONTH($O281)&gt;MONTH(AV$4)),AH281,IF(MONTH($O281)&gt;MONTH(AV$4),AH281,IF(MONTH($O281)=MONTH(AV$4),AH281*(1+Macroindicadores!E$7),AU281)))))))))</f>
        <v>0.7056</v>
      </c>
      <c r="AW281" s="39">
        <f>IF(ISBLANK(U281),"",IF(ISBLANK($O281),AI281,IF($J281="ANUAL",AI281*(1+Macroindicadores!F$7),IF(AND($I281="NOVO",MONTH($O281)=MONTH(AW$4)),AI281*(1+Macroindicadores!F$7),IF(AND($J281="PONTUAL",MONTH($O281)=MONTH(AW$4)),AI281*(1+Macroindicadores!F$7),IF(AND($J281="PONTUAL",MONTH($O281)&lt;MONTH(AW$4)),MIN($AS281:AV281),IF(AND($I281="NOVO",MONTH($O281)&gt;MONTH(AW$4)),AI281,IF(MONTH($O281)&gt;MONTH(AW$4),AI281,IF(MONTH($O281)=MONTH(AW$4),AI281*(1+Macroindicadores!F$7),AV281)))))))))</f>
        <v>0.7056</v>
      </c>
      <c r="AX281" s="39">
        <f>IF(ISBLANK(V281),"",IF(ISBLANK($O281),AJ281,IF($J281="ANUAL",AJ281*(1+Macroindicadores!G$7),IF(AND($I281="NOVO",MONTH($O281)=MONTH(AX$4)),AJ281*(1+Macroindicadores!G$7),IF(AND($J281="PONTUAL",MONTH($O281)=MONTH(AX$4)),AJ281*(1+Macroindicadores!G$7),IF(AND($J281="PONTUAL",MONTH($O281)&lt;MONTH(AX$4)),MIN($AS281:AW281),IF(AND($I281="NOVO",MONTH($O281)&gt;MONTH(AX$4)),AJ281,IF(MONTH($O281)&gt;MONTH(AX$4),AJ281,IF(MONTH($O281)=MONTH(AX$4),AJ281*(1+Macroindicadores!G$7),AW281)))))))))</f>
        <v>0.7056</v>
      </c>
      <c r="AY281" s="39">
        <f>IF(ISBLANK(W281),"",IF(ISBLANK($O281),AK281,IF($J281="ANUAL",AK281*(1+Macroindicadores!H$7),IF(AND($I281="NOVO",MONTH($O281)=MONTH(AY$4)),AK281*(1+Macroindicadores!H$7),IF(AND($J281="PONTUAL",MONTH($O281)=MONTH(AY$4)),AK281*(1+Macroindicadores!H$7),IF(AND($J281="PONTUAL",MONTH($O281)&lt;MONTH(AY$4)),MIN($AS281:AX281),IF(AND($I281="NOVO",MONTH($O281)&gt;MONTH(AY$4)),AK281,IF(MONTH($O281)&gt;MONTH(AY$4),AK281,IF(MONTH($O281)=MONTH(AY$4),AK281*(1+Macroindicadores!H$7),AX281)))))))))</f>
        <v>0.7056</v>
      </c>
      <c r="AZ281" s="39">
        <f>IF(ISBLANK(X281),"",IF(ISBLANK($O281),AL281,IF($J281="ANUAL",AL281*(1+Macroindicadores!I$7),IF(AND($I281="NOVO",MONTH($O281)=MONTH(AZ$4)),AL281*(1+Macroindicadores!I$7),IF(AND($J281="PONTUAL",MONTH($O281)=MONTH(AZ$4)),AL281*(1+Macroindicadores!I$7),IF(AND($J281="PONTUAL",MONTH($O281)&lt;MONTH(AZ$4)),MIN($AS281:AY281),IF(AND($I281="NOVO",MONTH($O281)&gt;MONTH(AZ$4)),AL281,IF(MONTH($O281)&gt;MONTH(AZ$4),AL281,IF(MONTH($O281)=MONTH(AZ$4),AL281*(1+Macroindicadores!I$7),AY281)))))))))</f>
        <v>0.7056</v>
      </c>
      <c r="BA281" s="39">
        <f>IF(ISBLANK(Y281),"",IF(ISBLANK($O281),AM281,IF($J281="ANUAL",AM281*(1+Macroindicadores!J$7),IF(AND($I281="NOVO",MONTH($O281)=MONTH(BA$4)),AM281*(1+Macroindicadores!J$7),IF(AND($J281="PONTUAL",MONTH($O281)=MONTH(BA$4)),AM281*(1+Macroindicadores!J$7),IF(AND($J281="PONTUAL",MONTH($O281)&lt;MONTH(BA$4)),MIN($AS281:AZ281),IF(AND($I281="NOVO",MONTH($O281)&gt;MONTH(BA$4)),AM281,IF(MONTH($O281)&gt;MONTH(BA$4),AM281,IF(MONTH($O281)=MONTH(BA$4),AM281*(1+Macroindicadores!J$7),AZ281)))))))))</f>
        <v>0.7056</v>
      </c>
      <c r="BB281" s="39">
        <f>IF(ISBLANK(Z281),"",IF(ISBLANK($O281),AN281,IF($J281="ANUAL",AN281*(1+Macroindicadores!K$7),IF(AND($I281="NOVO",MONTH($O281)=MONTH(BB$4)),AN281*(1+Macroindicadores!K$7),IF(AND($J281="PONTUAL",MONTH($O281)=MONTH(BB$4)),AN281*(1+Macroindicadores!K$7),IF(AND($J281="PONTUAL",MONTH($O281)&lt;MONTH(BB$4)),MIN($AS281:BA281),IF(AND($I281="NOVO",MONTH($O281)&gt;MONTH(BB$4)),AN281,IF(MONTH($O281)&gt;MONTH(BB$4),AN281,IF(MONTH($O281)=MONTH(BB$4),AN281*(1+Macroindicadores!K$7),BA281)))))))))</f>
        <v>0.7056</v>
      </c>
      <c r="BC281" s="39">
        <f>IF(ISBLANK(AA281),"",IF(ISBLANK($O281),AO281,IF($J281="ANUAL",AO281*(1+Macroindicadores!L$7),IF(AND($I281="NOVO",MONTH($O281)=MONTH(BC$4)),AO281*(1+Macroindicadores!L$7),IF(AND($J281="PONTUAL",MONTH($O281)=MONTH(BC$4)),AO281*(1+Macroindicadores!L$7),IF(AND($J281="PONTUAL",MONTH($O281)&lt;MONTH(BC$4)),MIN($AS281:BB281),IF(AND($I281="NOVO",MONTH($O281)&gt;MONTH(BC$4)),AO281,IF(MONTH($O281)&gt;MONTH(BC$4),AO281,IF(MONTH($O281)=MONTH(BC$4),AO281*(1+Macroindicadores!L$7),BB281)))))))))</f>
        <v>0.7056</v>
      </c>
      <c r="BD281" s="39">
        <f>IF(ISBLANK(AB281),"",IF(ISBLANK($O281),AP281,IF($J281="ANUAL",AP281*(1+Macroindicadores!M$7),IF(AND($I281="NOVO",MONTH($O281)=MONTH(BD$4)),AP281*(1+Macroindicadores!M$7),IF(AND($J281="PONTUAL",MONTH($O281)=MONTH(BD$4)),AP281*(1+Macroindicadores!M$7),IF(AND($J281="PONTUAL",MONTH($O281)&lt;MONTH(BD$4)),MIN($AS281:BC281),IF(AND($I281="NOVO",MONTH($O281)&gt;MONTH(BD$4)),AP281,IF(MONTH($O281)&gt;MONTH(BD$4),AP281,IF(MONTH($O281)=MONTH(BD$4),AP281*(1+Macroindicadores!M$7),BC281)))))))))</f>
        <v>0.7056</v>
      </c>
      <c r="BE281" s="40">
        <f t="shared" si="130"/>
        <v>8.4672000000000018</v>
      </c>
      <c r="BG281" s="39">
        <f>IF(ISBLANK(Q281),"",AS281/Macroindicadores!B$2)</f>
        <v>0.12000000000000001</v>
      </c>
      <c r="BH281" s="39">
        <f>IF(ISBLANK(R281),"",AT281/Macroindicadores!C$2)</f>
        <v>0.12000000000000001</v>
      </c>
      <c r="BI281" s="39">
        <f>IF(ISBLANK(S281),"",AU281/Macroindicadores!D$2)</f>
        <v>0.12000000000000001</v>
      </c>
      <c r="BJ281" s="39">
        <f>IF(ISBLANK(T281),"",AV281/Macroindicadores!E$2)</f>
        <v>0.12000000000000001</v>
      </c>
      <c r="BK281" s="39">
        <f>IF(ISBLANK(U281),"",AW281/Macroindicadores!F$2)</f>
        <v>0.12000000000000001</v>
      </c>
      <c r="BL281" s="39">
        <f>IF(ISBLANK(V281),"",AX281/Macroindicadores!G$2)</f>
        <v>0.12000000000000001</v>
      </c>
      <c r="BM281" s="39">
        <f>IF(ISBLANK(W281),"",AY281/Macroindicadores!H$2)</f>
        <v>0.12000000000000001</v>
      </c>
      <c r="BN281" s="39">
        <f>IF(ISBLANK(X281),"",AZ281/Macroindicadores!I$2)</f>
        <v>0.12000000000000001</v>
      </c>
      <c r="BO281" s="39">
        <f>IF(ISBLANK(Y281),"",BA281/Macroindicadores!J$2)</f>
        <v>0.12000000000000001</v>
      </c>
      <c r="BP281" s="39">
        <f>IF(ISBLANK(Z281),"",BB281/Macroindicadores!K$2)</f>
        <v>0.12000000000000001</v>
      </c>
      <c r="BQ281" s="39">
        <f>IF(ISBLANK(AA281),"",BC281/Macroindicadores!L$2)</f>
        <v>0.12000000000000001</v>
      </c>
      <c r="BR281" s="39">
        <f>IF(ISBLANK(AB281),"",BD281/Macroindicadores!M$2)</f>
        <v>0.12000000000000001</v>
      </c>
      <c r="BS281" s="40">
        <f t="shared" si="131"/>
        <v>1.4400000000000004</v>
      </c>
      <c r="BT281" s="25" t="str">
        <f>IF(ISBLANK($L281),"",_xlfn.XLOOKUP($L281,'CENTRO CUSTO'!$A:$A,'CENTRO CUSTO'!$E:$E,FALSE,0))</f>
        <v/>
      </c>
    </row>
    <row r="282" spans="1:72">
      <c r="A282" s="9" t="str">
        <f t="shared" si="80"/>
        <v>Budget</v>
      </c>
      <c r="B282" s="9">
        <f t="shared" si="77"/>
        <v>2026</v>
      </c>
      <c r="C282" s="111" t="s">
        <v>262</v>
      </c>
      <c r="D282" s="111" t="s">
        <v>263</v>
      </c>
      <c r="E282" s="111" t="s">
        <v>14</v>
      </c>
      <c r="F282" s="112" t="s">
        <v>268</v>
      </c>
      <c r="G282" s="112" t="s">
        <v>75</v>
      </c>
      <c r="H282" s="112" t="s">
        <v>269</v>
      </c>
      <c r="I282" s="11" t="s">
        <v>77</v>
      </c>
      <c r="J282" s="11" t="s">
        <v>181</v>
      </c>
      <c r="K282" s="11" t="s">
        <v>79</v>
      </c>
      <c r="L282" s="11"/>
      <c r="M282" s="18" t="str">
        <f>IF(ISBLANK($L282),"",_xlfn.XLOOKUP($L282,'CENTRO CUSTO'!$A:$A,'CENTRO CUSTO'!D:D,FALSE,0))</f>
        <v/>
      </c>
      <c r="N282" s="11"/>
      <c r="O282" s="12"/>
      <c r="P282" s="113" t="s">
        <v>88</v>
      </c>
      <c r="Q282" s="41">
        <f>5000/12</f>
        <v>416.66666666666669</v>
      </c>
      <c r="R282" s="41">
        <f t="shared" ref="R282:AB282" si="132">5000/12</f>
        <v>416.66666666666669</v>
      </c>
      <c r="S282" s="41">
        <f t="shared" si="132"/>
        <v>416.66666666666669</v>
      </c>
      <c r="T282" s="41">
        <f t="shared" si="132"/>
        <v>416.66666666666669</v>
      </c>
      <c r="U282" s="41">
        <f t="shared" si="132"/>
        <v>416.66666666666669</v>
      </c>
      <c r="V282" s="41">
        <f t="shared" si="132"/>
        <v>416.66666666666669</v>
      </c>
      <c r="W282" s="41">
        <f t="shared" si="132"/>
        <v>416.66666666666669</v>
      </c>
      <c r="X282" s="41">
        <f t="shared" si="132"/>
        <v>416.66666666666669</v>
      </c>
      <c r="Y282" s="41">
        <f t="shared" si="132"/>
        <v>416.66666666666669</v>
      </c>
      <c r="Z282" s="41">
        <f t="shared" si="132"/>
        <v>416.66666666666669</v>
      </c>
      <c r="AA282" s="41">
        <f t="shared" si="132"/>
        <v>416.66666666666669</v>
      </c>
      <c r="AB282" s="41">
        <f t="shared" si="132"/>
        <v>416.66666666666669</v>
      </c>
      <c r="AC282" s="116">
        <f t="shared" si="104"/>
        <v>5000</v>
      </c>
      <c r="AE282" s="39">
        <f>IF(ISBLANK(Q282),"",IF($P282="BRL",Q282,Q282*Macroindicadores!B$2)/1000)</f>
        <v>2.4500000000000002</v>
      </c>
      <c r="AF282" s="39">
        <f>IF(ISBLANK(R282),"",IF($P282="BRL",R282,R282*Macroindicadores!C$2)/1000)</f>
        <v>2.4500000000000002</v>
      </c>
      <c r="AG282" s="39">
        <f>IF(ISBLANK(S282),"",IF($P282="BRL",S282,S282*Macroindicadores!D$2)/1000)</f>
        <v>2.4500000000000002</v>
      </c>
      <c r="AH282" s="39">
        <f>IF(ISBLANK(T282),"",IF($P282="BRL",T282,T282*Macroindicadores!E$2)/1000)</f>
        <v>2.4500000000000002</v>
      </c>
      <c r="AI282" s="39">
        <f>IF(ISBLANK(U282),"",IF($P282="BRL",U282,U282*Macroindicadores!F$2)/1000)</f>
        <v>2.4500000000000002</v>
      </c>
      <c r="AJ282" s="39">
        <f>IF(ISBLANK(V282),"",IF($P282="BRL",V282,V282*Macroindicadores!G$2)/1000)</f>
        <v>2.4500000000000002</v>
      </c>
      <c r="AK282" s="39">
        <f>IF(ISBLANK(W282),"",IF($P282="BRL",W282,W282*Macroindicadores!H$2)/1000)</f>
        <v>2.4500000000000002</v>
      </c>
      <c r="AL282" s="39">
        <f>IF(ISBLANK(X282),"",IF($P282="BRL",X282,X282*Macroindicadores!I$2)/1000)</f>
        <v>2.4500000000000002</v>
      </c>
      <c r="AM282" s="39">
        <f>IF(ISBLANK(Y282),"",IF($P282="BRL",Y282,Y282*Macroindicadores!J$2)/1000)</f>
        <v>2.4500000000000002</v>
      </c>
      <c r="AN282" s="39">
        <f>IF(ISBLANK(Z282),"",IF($P282="BRL",Z282,Z282*Macroindicadores!K$2)/1000)</f>
        <v>2.4500000000000002</v>
      </c>
      <c r="AO282" s="39">
        <f>IF(ISBLANK(AA282),"",IF($P282="BRL",AA282,AA282*Macroindicadores!L$2)/1000)</f>
        <v>2.4500000000000002</v>
      </c>
      <c r="AP282" s="39">
        <f>IF(ISBLANK(AB282),"",IF($P282="BRL",AB282,AB282*Macroindicadores!M$2)/1000)</f>
        <v>2.4500000000000002</v>
      </c>
      <c r="AQ282" s="40">
        <f t="shared" si="105"/>
        <v>29.399999999999995</v>
      </c>
      <c r="AS282" s="39">
        <f>IF(ISBLANK(Q282),"",IF(ISBLANK($O282),AE282,IF($J282="ANUAL",AE282*(1+Macroindicadores!B$7),IF(AND($I282="NOVO",MONTH($O282)=MONTH(AS$4)),AE282*(1+Macroindicadores!B$7),IF(AND($J282="PONTUAL",MONTH($O282)=MONTH(AS$4)),AE282*(1+Macroindicadores!B$7),IF(AND($J282="PONTUAL",MONTH($O282)&lt;MONTH(AS$4)),MIN(AR282:$AS282),IF(AND($I282="NOVO",MONTH($O282)&gt;MONTH(AS$4)),AE282,IF(MONTH($O282)&gt;MONTH(AS$4),AE282,IF(MONTH($O282)=MONTH(AS$4),AE282*(1+Macroindicadores!B$7),AR282)))))))))</f>
        <v>2.4500000000000002</v>
      </c>
      <c r="AT282" s="39">
        <f>IF(ISBLANK(R282),"",IF(ISBLANK($O282),AF282,IF($J282="ANUAL",AF282*(1+Macroindicadores!C$7),IF(AND($I282="NOVO",MONTH($O282)=MONTH(AT$4)),AF282*(1+Macroindicadores!C$7),IF(AND($J282="PONTUAL",MONTH($O282)=MONTH(AT$4)),AF282*(1+Macroindicadores!C$7),IF(AND($J282="PONTUAL",MONTH($O282)&lt;MONTH(AT$4)),MIN($AS282:AS282),IF(AND($I282="NOVO",MONTH($O282)&gt;MONTH(AT$4)),AF282,IF(MONTH($O282)&gt;MONTH(AT$4),AF282,IF(MONTH($O282)=MONTH(AT$4),AF282*(1+Macroindicadores!C$7),AS282)))))))))</f>
        <v>2.4500000000000002</v>
      </c>
      <c r="AU282" s="39">
        <f>IF(ISBLANK(S282),"",IF(ISBLANK($O282),AG282,IF($J282="ANUAL",AG282*(1+Macroindicadores!D$7),IF(AND($I282="NOVO",MONTH($O282)=MONTH(AU$4)),AG282*(1+Macroindicadores!D$7),IF(AND($J282="PONTUAL",MONTH($O282)=MONTH(AU$4)),AG282*(1+Macroindicadores!D$7),IF(AND($J282="PONTUAL",MONTH($O282)&lt;MONTH(AU$4)),MIN($AS282:AT282),IF(AND($I282="NOVO",MONTH($O282)&gt;MONTH(AU$4)),AG282,IF(MONTH($O282)&gt;MONTH(AU$4),AG282,IF(MONTH($O282)=MONTH(AU$4),AG282*(1+Macroindicadores!D$7),AT282)))))))))</f>
        <v>2.4500000000000002</v>
      </c>
      <c r="AV282" s="39">
        <f>IF(ISBLANK(T282),"",IF(ISBLANK($O282),AH282,IF($J282="ANUAL",AH282*(1+Macroindicadores!E$7),IF(AND($I282="NOVO",MONTH($O282)=MONTH(AV$4)),AH282*(1+Macroindicadores!E$7),IF(AND($J282="PONTUAL",MONTH($O282)=MONTH(AV$4)),AH282*(1+Macroindicadores!E$7),IF(AND($J282="PONTUAL",MONTH($O282)&lt;MONTH(AV$4)),MIN($AS282:AU282),IF(AND($I282="NOVO",MONTH($O282)&gt;MONTH(AV$4)),AH282,IF(MONTH($O282)&gt;MONTH(AV$4),AH282,IF(MONTH($O282)=MONTH(AV$4),AH282*(1+Macroindicadores!E$7),AU282)))))))))</f>
        <v>2.4500000000000002</v>
      </c>
      <c r="AW282" s="39">
        <f>IF(ISBLANK(U282),"",IF(ISBLANK($O282),AI282,IF($J282="ANUAL",AI282*(1+Macroindicadores!F$7),IF(AND($I282="NOVO",MONTH($O282)=MONTH(AW$4)),AI282*(1+Macroindicadores!F$7),IF(AND($J282="PONTUAL",MONTH($O282)=MONTH(AW$4)),AI282*(1+Macroindicadores!F$7),IF(AND($J282="PONTUAL",MONTH($O282)&lt;MONTH(AW$4)),MIN($AS282:AV282),IF(AND($I282="NOVO",MONTH($O282)&gt;MONTH(AW$4)),AI282,IF(MONTH($O282)&gt;MONTH(AW$4),AI282,IF(MONTH($O282)=MONTH(AW$4),AI282*(1+Macroindicadores!F$7),AV282)))))))))</f>
        <v>2.4500000000000002</v>
      </c>
      <c r="AX282" s="39">
        <f>IF(ISBLANK(V282),"",IF(ISBLANK($O282),AJ282,IF($J282="ANUAL",AJ282*(1+Macroindicadores!G$7),IF(AND($I282="NOVO",MONTH($O282)=MONTH(AX$4)),AJ282*(1+Macroindicadores!G$7),IF(AND($J282="PONTUAL",MONTH($O282)=MONTH(AX$4)),AJ282*(1+Macroindicadores!G$7),IF(AND($J282="PONTUAL",MONTH($O282)&lt;MONTH(AX$4)),MIN($AS282:AW282),IF(AND($I282="NOVO",MONTH($O282)&gt;MONTH(AX$4)),AJ282,IF(MONTH($O282)&gt;MONTH(AX$4),AJ282,IF(MONTH($O282)=MONTH(AX$4),AJ282*(1+Macroindicadores!G$7),AW282)))))))))</f>
        <v>2.4500000000000002</v>
      </c>
      <c r="AY282" s="39">
        <f>IF(ISBLANK(W282),"",IF(ISBLANK($O282),AK282,IF($J282="ANUAL",AK282*(1+Macroindicadores!H$7),IF(AND($I282="NOVO",MONTH($O282)=MONTH(AY$4)),AK282*(1+Macroindicadores!H$7),IF(AND($J282="PONTUAL",MONTH($O282)=MONTH(AY$4)),AK282*(1+Macroindicadores!H$7),IF(AND($J282="PONTUAL",MONTH($O282)&lt;MONTH(AY$4)),MIN($AS282:AX282),IF(AND($I282="NOVO",MONTH($O282)&gt;MONTH(AY$4)),AK282,IF(MONTH($O282)&gt;MONTH(AY$4),AK282,IF(MONTH($O282)=MONTH(AY$4),AK282*(1+Macroindicadores!H$7),AX282)))))))))</f>
        <v>2.4500000000000002</v>
      </c>
      <c r="AZ282" s="39">
        <f>IF(ISBLANK(X282),"",IF(ISBLANK($O282),AL282,IF($J282="ANUAL",AL282*(1+Macroindicadores!I$7),IF(AND($I282="NOVO",MONTH($O282)=MONTH(AZ$4)),AL282*(1+Macroindicadores!I$7),IF(AND($J282="PONTUAL",MONTH($O282)=MONTH(AZ$4)),AL282*(1+Macroindicadores!I$7),IF(AND($J282="PONTUAL",MONTH($O282)&lt;MONTH(AZ$4)),MIN($AS282:AY282),IF(AND($I282="NOVO",MONTH($O282)&gt;MONTH(AZ$4)),AL282,IF(MONTH($O282)&gt;MONTH(AZ$4),AL282,IF(MONTH($O282)=MONTH(AZ$4),AL282*(1+Macroindicadores!I$7),AY282)))))))))</f>
        <v>2.4500000000000002</v>
      </c>
      <c r="BA282" s="39">
        <f>IF(ISBLANK(Y282),"",IF(ISBLANK($O282),AM282,IF($J282="ANUAL",AM282*(1+Macroindicadores!J$7),IF(AND($I282="NOVO",MONTH($O282)=MONTH(BA$4)),AM282*(1+Macroindicadores!J$7),IF(AND($J282="PONTUAL",MONTH($O282)=MONTH(BA$4)),AM282*(1+Macroindicadores!J$7),IF(AND($J282="PONTUAL",MONTH($O282)&lt;MONTH(BA$4)),MIN($AS282:AZ282),IF(AND($I282="NOVO",MONTH($O282)&gt;MONTH(BA$4)),AM282,IF(MONTH($O282)&gt;MONTH(BA$4),AM282,IF(MONTH($O282)=MONTH(BA$4),AM282*(1+Macroindicadores!J$7),AZ282)))))))))</f>
        <v>2.4500000000000002</v>
      </c>
      <c r="BB282" s="39">
        <f>IF(ISBLANK(Z282),"",IF(ISBLANK($O282),AN282,IF($J282="ANUAL",AN282*(1+Macroindicadores!K$7),IF(AND($I282="NOVO",MONTH($O282)=MONTH(BB$4)),AN282*(1+Macroindicadores!K$7),IF(AND($J282="PONTUAL",MONTH($O282)=MONTH(BB$4)),AN282*(1+Macroindicadores!K$7),IF(AND($J282="PONTUAL",MONTH($O282)&lt;MONTH(BB$4)),MIN($AS282:BA282),IF(AND($I282="NOVO",MONTH($O282)&gt;MONTH(BB$4)),AN282,IF(MONTH($O282)&gt;MONTH(BB$4),AN282,IF(MONTH($O282)=MONTH(BB$4),AN282*(1+Macroindicadores!K$7),BA282)))))))))</f>
        <v>2.4500000000000002</v>
      </c>
      <c r="BC282" s="39">
        <f>IF(ISBLANK(AA282),"",IF(ISBLANK($O282),AO282,IF($J282="ANUAL",AO282*(1+Macroindicadores!L$7),IF(AND($I282="NOVO",MONTH($O282)=MONTH(BC$4)),AO282*(1+Macroindicadores!L$7),IF(AND($J282="PONTUAL",MONTH($O282)=MONTH(BC$4)),AO282*(1+Macroindicadores!L$7),IF(AND($J282="PONTUAL",MONTH($O282)&lt;MONTH(BC$4)),MIN($AS282:BB282),IF(AND($I282="NOVO",MONTH($O282)&gt;MONTH(BC$4)),AO282,IF(MONTH($O282)&gt;MONTH(BC$4),AO282,IF(MONTH($O282)=MONTH(BC$4),AO282*(1+Macroindicadores!L$7),BB282)))))))))</f>
        <v>2.4500000000000002</v>
      </c>
      <c r="BD282" s="39">
        <f>IF(ISBLANK(AB282),"",IF(ISBLANK($O282),AP282,IF($J282="ANUAL",AP282*(1+Macroindicadores!M$7),IF(AND($I282="NOVO",MONTH($O282)=MONTH(BD$4)),AP282*(1+Macroindicadores!M$7),IF(AND($J282="PONTUAL",MONTH($O282)=MONTH(BD$4)),AP282*(1+Macroindicadores!M$7),IF(AND($J282="PONTUAL",MONTH($O282)&lt;MONTH(BD$4)),MIN($AS282:BC282),IF(AND($I282="NOVO",MONTH($O282)&gt;MONTH(BD$4)),AP282,IF(MONTH($O282)&gt;MONTH(BD$4),AP282,IF(MONTH($O282)=MONTH(BD$4),AP282*(1+Macroindicadores!M$7),BC282)))))))))</f>
        <v>2.4500000000000002</v>
      </c>
      <c r="BE282" s="40">
        <f t="shared" si="106"/>
        <v>29.399999999999995</v>
      </c>
      <c r="BG282" s="39">
        <f>IF(ISBLANK(Q282),"",AS282/Macroindicadores!B$2)</f>
        <v>0.41666666666666669</v>
      </c>
      <c r="BH282" s="39">
        <f>IF(ISBLANK(R282),"",AT282/Macroindicadores!C$2)</f>
        <v>0.41666666666666669</v>
      </c>
      <c r="BI282" s="39">
        <f>IF(ISBLANK(S282),"",AU282/Macroindicadores!D$2)</f>
        <v>0.41666666666666669</v>
      </c>
      <c r="BJ282" s="39">
        <f>IF(ISBLANK(T282),"",AV282/Macroindicadores!E$2)</f>
        <v>0.41666666666666669</v>
      </c>
      <c r="BK282" s="39">
        <f>IF(ISBLANK(U282),"",AW282/Macroindicadores!F$2)</f>
        <v>0.41666666666666669</v>
      </c>
      <c r="BL282" s="39">
        <f>IF(ISBLANK(V282),"",AX282/Macroindicadores!G$2)</f>
        <v>0.41666666666666669</v>
      </c>
      <c r="BM282" s="39">
        <f>IF(ISBLANK(W282),"",AY282/Macroindicadores!H$2)</f>
        <v>0.41666666666666669</v>
      </c>
      <c r="BN282" s="39">
        <f>IF(ISBLANK(X282),"",AZ282/Macroindicadores!I$2)</f>
        <v>0.41666666666666669</v>
      </c>
      <c r="BO282" s="39">
        <f>IF(ISBLANK(Y282),"",BA282/Macroindicadores!J$2)</f>
        <v>0.41666666666666669</v>
      </c>
      <c r="BP282" s="39">
        <f>IF(ISBLANK(Z282),"",BB282/Macroindicadores!K$2)</f>
        <v>0.41666666666666669</v>
      </c>
      <c r="BQ282" s="39">
        <f>IF(ISBLANK(AA282),"",BC282/Macroindicadores!L$2)</f>
        <v>0.41666666666666669</v>
      </c>
      <c r="BR282" s="39">
        <f>IF(ISBLANK(AB282),"",BD282/Macroindicadores!M$2)</f>
        <v>0.41666666666666669</v>
      </c>
      <c r="BS282" s="40">
        <f t="shared" si="107"/>
        <v>5</v>
      </c>
      <c r="BT282" s="25" t="str">
        <f>IF(ISBLANK($L282),"",_xlfn.XLOOKUP($L282,'CENTRO CUSTO'!$A:$A,'CENTRO CUSTO'!$E:$E,FALSE,0))</f>
        <v/>
      </c>
    </row>
    <row r="283" spans="1:72">
      <c r="A283" s="9" t="str">
        <f t="shared" si="80"/>
        <v>Budget</v>
      </c>
      <c r="B283" s="9">
        <f t="shared" si="77"/>
        <v>2026</v>
      </c>
      <c r="C283" s="111" t="s">
        <v>262</v>
      </c>
      <c r="D283" s="111" t="s">
        <v>263</v>
      </c>
      <c r="E283" s="111" t="s">
        <v>14</v>
      </c>
      <c r="F283" s="112" t="s">
        <v>99</v>
      </c>
      <c r="G283" s="112" t="s">
        <v>75</v>
      </c>
      <c r="H283" s="112" t="s">
        <v>270</v>
      </c>
      <c r="I283" s="11" t="s">
        <v>77</v>
      </c>
      <c r="J283" s="11" t="s">
        <v>120</v>
      </c>
      <c r="K283" s="11" t="s">
        <v>79</v>
      </c>
      <c r="L283" s="11"/>
      <c r="M283" s="18" t="str">
        <f>IF(ISBLANK($L283),"",_xlfn.XLOOKUP($L283,'CENTRO CUSTO'!$A:$A,'CENTRO CUSTO'!D:D,FALSE,0))</f>
        <v/>
      </c>
      <c r="N283" s="113" t="s">
        <v>101</v>
      </c>
      <c r="O283" s="12"/>
      <c r="P283" s="113" t="s">
        <v>88</v>
      </c>
      <c r="Q283" s="41" t="s">
        <v>271</v>
      </c>
      <c r="R283" s="41">
        <v>1200</v>
      </c>
      <c r="S283" s="41">
        <v>1200</v>
      </c>
      <c r="T283" s="41">
        <v>1200</v>
      </c>
      <c r="U283" s="41">
        <v>1200</v>
      </c>
      <c r="V283" s="41">
        <v>1200</v>
      </c>
      <c r="W283" s="41">
        <v>1200</v>
      </c>
      <c r="X283" s="41">
        <v>1200</v>
      </c>
      <c r="Y283" s="41">
        <v>1200</v>
      </c>
      <c r="Z283" s="41">
        <v>1200</v>
      </c>
      <c r="AA283" s="41">
        <v>1200</v>
      </c>
      <c r="AB283" s="41">
        <v>1200</v>
      </c>
      <c r="AC283" s="116">
        <f t="shared" si="104"/>
        <v>13200</v>
      </c>
      <c r="AE283" s="39">
        <v>7.06</v>
      </c>
      <c r="AF283" s="39">
        <f>IF(ISBLANK(R283),"",IF($P283="BRL",R283,R283*Macroindicadores!C$2)/1000)</f>
        <v>7.056</v>
      </c>
      <c r="AG283" s="39">
        <f>IF(ISBLANK(S283),"",IF($P283="BRL",S283,S283*Macroindicadores!D$2)/1000)</f>
        <v>7.056</v>
      </c>
      <c r="AH283" s="39">
        <f>IF(ISBLANK(T283),"",IF($P283="BRL",T283,T283*Macroindicadores!E$2)/1000)</f>
        <v>7.056</v>
      </c>
      <c r="AI283" s="39">
        <f>IF(ISBLANK(U283),"",IF($P283="BRL",U283,U283*Macroindicadores!F$2)/1000)</f>
        <v>7.056</v>
      </c>
      <c r="AJ283" s="39">
        <f>IF(ISBLANK(V283),"",IF($P283="BRL",V283,V283*Macroindicadores!G$2)/1000)</f>
        <v>7.056</v>
      </c>
      <c r="AK283" s="39">
        <f>IF(ISBLANK(W283),"",IF($P283="BRL",W283,W283*Macroindicadores!H$2)/1000)</f>
        <v>7.056</v>
      </c>
      <c r="AL283" s="39">
        <f>IF(ISBLANK(X283),"",IF($P283="BRL",X283,X283*Macroindicadores!I$2)/1000)</f>
        <v>7.056</v>
      </c>
      <c r="AM283" s="39">
        <f>IF(ISBLANK(Y283),"",IF($P283="BRL",Y283,Y283*Macroindicadores!J$2)/1000)</f>
        <v>7.056</v>
      </c>
      <c r="AN283" s="39">
        <f>IF(ISBLANK(Z283),"",IF($P283="BRL",Z283,Z283*Macroindicadores!K$2)/1000)</f>
        <v>7.056</v>
      </c>
      <c r="AO283" s="39">
        <f>IF(ISBLANK(AA283),"",IF($P283="BRL",AA283,AA283*Macroindicadores!L$2)/1000)</f>
        <v>7.056</v>
      </c>
      <c r="AP283" s="39">
        <f>IF(ISBLANK(AB283),"",IF($P283="BRL",AB283,AB283*Macroindicadores!M$2)/1000)</f>
        <v>7.056</v>
      </c>
      <c r="AQ283" s="40">
        <f t="shared" si="129"/>
        <v>84.675999999999988</v>
      </c>
      <c r="AS283" s="39">
        <f>IF(ISBLANK(Q283),"",IF(ISBLANK($O283),AE283,IF($J283="ANUAL",AE283*(1+Macroindicadores!B$7),IF(AND($I283="NOVO",MONTH($O283)=MONTH(AS$4)),AE283*(1+Macroindicadores!B$7),IF(AND($J283="PONTUAL",MONTH($O283)=MONTH(AS$4)),AE283*(1+Macroindicadores!B$7),IF(AND($J283="PONTUAL",MONTH($O283)&lt;MONTH(AS$4)),MIN(AR283:$AS283),IF(AND($I283="NOVO",MONTH($O283)&gt;MONTH(AS$4)),AE283,IF(MONTH($O283)&gt;MONTH(AS$4),AE283,IF(MONTH($O283)=MONTH(AS$4),AE283*(1+Macroindicadores!B$7),AR283)))))))))</f>
        <v>7.06</v>
      </c>
      <c r="AT283" s="39">
        <f>IF(ISBLANK(R283),"",IF(ISBLANK($O283),AF283,IF($J283="ANUAL",AF283*(1+Macroindicadores!C$7),IF(AND($I283="NOVO",MONTH($O283)=MONTH(AT$4)),AF283*(1+Macroindicadores!C$7),IF(AND($J283="PONTUAL",MONTH($O283)=MONTH(AT$4)),AF283*(1+Macroindicadores!C$7),IF(AND($J283="PONTUAL",MONTH($O283)&lt;MONTH(AT$4)),MIN($AS283:AS283),IF(AND($I283="NOVO",MONTH($O283)&gt;MONTH(AT$4)),AF283,IF(MONTH($O283)&gt;MONTH(AT$4),AF283,IF(MONTH($O283)=MONTH(AT$4),AF283*(1+Macroindicadores!C$7),AS283)))))))))</f>
        <v>7.056</v>
      </c>
      <c r="AU283" s="39">
        <f>IF(ISBLANK(S283),"",IF(ISBLANK($O283),AG283,IF($J283="ANUAL",AG283*(1+Macroindicadores!D$7),IF(AND($I283="NOVO",MONTH($O283)=MONTH(AU$4)),AG283*(1+Macroindicadores!D$7),IF(AND($J283="PONTUAL",MONTH($O283)=MONTH(AU$4)),AG283*(1+Macroindicadores!D$7),IF(AND($J283="PONTUAL",MONTH($O283)&lt;MONTH(AU$4)),MIN($AS283:AT283),IF(AND($I283="NOVO",MONTH($O283)&gt;MONTH(AU$4)),AG283,IF(MONTH($O283)&gt;MONTH(AU$4),AG283,IF(MONTH($O283)=MONTH(AU$4),AG283*(1+Macroindicadores!D$7),AT283)))))))))</f>
        <v>7.056</v>
      </c>
      <c r="AV283" s="39">
        <f>IF(ISBLANK(T283),"",IF(ISBLANK($O283),AH283,IF($J283="ANUAL",AH283*(1+Macroindicadores!E$7),IF(AND($I283="NOVO",MONTH($O283)=MONTH(AV$4)),AH283*(1+Macroindicadores!E$7),IF(AND($J283="PONTUAL",MONTH($O283)=MONTH(AV$4)),AH283*(1+Macroindicadores!E$7),IF(AND($J283="PONTUAL",MONTH($O283)&lt;MONTH(AV$4)),MIN($AS283:AU283),IF(AND($I283="NOVO",MONTH($O283)&gt;MONTH(AV$4)),AH283,IF(MONTH($O283)&gt;MONTH(AV$4),AH283,IF(MONTH($O283)=MONTH(AV$4),AH283*(1+Macroindicadores!E$7),AU283)))))))))</f>
        <v>7.056</v>
      </c>
      <c r="AW283" s="39">
        <f>IF(ISBLANK(U283),"",IF(ISBLANK($O283),AI283,IF($J283="ANUAL",AI283*(1+Macroindicadores!F$7),IF(AND($I283="NOVO",MONTH($O283)=MONTH(AW$4)),AI283*(1+Macroindicadores!F$7),IF(AND($J283="PONTUAL",MONTH($O283)=MONTH(AW$4)),AI283*(1+Macroindicadores!F$7),IF(AND($J283="PONTUAL",MONTH($O283)&lt;MONTH(AW$4)),MIN($AS283:AV283),IF(AND($I283="NOVO",MONTH($O283)&gt;MONTH(AW$4)),AI283,IF(MONTH($O283)&gt;MONTH(AW$4),AI283,IF(MONTH($O283)=MONTH(AW$4),AI283*(1+Macroindicadores!F$7),AV283)))))))))</f>
        <v>7.056</v>
      </c>
      <c r="AX283" s="39">
        <f>IF(ISBLANK(V283),"",IF(ISBLANK($O283),AJ283,IF($J283="ANUAL",AJ283*(1+Macroindicadores!G$7),IF(AND($I283="NOVO",MONTH($O283)=MONTH(AX$4)),AJ283*(1+Macroindicadores!G$7),IF(AND($J283="PONTUAL",MONTH($O283)=MONTH(AX$4)),AJ283*(1+Macroindicadores!G$7),IF(AND($J283="PONTUAL",MONTH($O283)&lt;MONTH(AX$4)),MIN($AS283:AW283),IF(AND($I283="NOVO",MONTH($O283)&gt;MONTH(AX$4)),AJ283,IF(MONTH($O283)&gt;MONTH(AX$4),AJ283,IF(MONTH($O283)=MONTH(AX$4),AJ283*(1+Macroindicadores!G$7),AW283)))))))))</f>
        <v>7.056</v>
      </c>
      <c r="AY283" s="39">
        <f>IF(ISBLANK(W283),"",IF(ISBLANK($O283),AK283,IF($J283="ANUAL",AK283*(1+Macroindicadores!H$7),IF(AND($I283="NOVO",MONTH($O283)=MONTH(AY$4)),AK283*(1+Macroindicadores!H$7),IF(AND($J283="PONTUAL",MONTH($O283)=MONTH(AY$4)),AK283*(1+Macroindicadores!H$7),IF(AND($J283="PONTUAL",MONTH($O283)&lt;MONTH(AY$4)),MIN($AS283:AX283),IF(AND($I283="NOVO",MONTH($O283)&gt;MONTH(AY$4)),AK283,IF(MONTH($O283)&gt;MONTH(AY$4),AK283,IF(MONTH($O283)=MONTH(AY$4),AK283*(1+Macroindicadores!H$7),AX283)))))))))</f>
        <v>7.056</v>
      </c>
      <c r="AZ283" s="39">
        <f>IF(ISBLANK(X283),"",IF(ISBLANK($O283),AL283,IF($J283="ANUAL",AL283*(1+Macroindicadores!I$7),IF(AND($I283="NOVO",MONTH($O283)=MONTH(AZ$4)),AL283*(1+Macroindicadores!I$7),IF(AND($J283="PONTUAL",MONTH($O283)=MONTH(AZ$4)),AL283*(1+Macroindicadores!I$7),IF(AND($J283="PONTUAL",MONTH($O283)&lt;MONTH(AZ$4)),MIN($AS283:AY283),IF(AND($I283="NOVO",MONTH($O283)&gt;MONTH(AZ$4)),AL283,IF(MONTH($O283)&gt;MONTH(AZ$4),AL283,IF(MONTH($O283)=MONTH(AZ$4),AL283*(1+Macroindicadores!I$7),AY283)))))))))</f>
        <v>7.056</v>
      </c>
      <c r="BA283" s="39">
        <f>IF(ISBLANK(Y283),"",IF(ISBLANK($O283),AM283,IF($J283="ANUAL",AM283*(1+Macroindicadores!J$7),IF(AND($I283="NOVO",MONTH($O283)=MONTH(BA$4)),AM283*(1+Macroindicadores!J$7),IF(AND($J283="PONTUAL",MONTH($O283)=MONTH(BA$4)),AM283*(1+Macroindicadores!J$7),IF(AND($J283="PONTUAL",MONTH($O283)&lt;MONTH(BA$4)),MIN($AS283:AZ283),IF(AND($I283="NOVO",MONTH($O283)&gt;MONTH(BA$4)),AM283,IF(MONTH($O283)&gt;MONTH(BA$4),AM283,IF(MONTH($O283)=MONTH(BA$4),AM283*(1+Macroindicadores!J$7),AZ283)))))))))</f>
        <v>7.056</v>
      </c>
      <c r="BB283" s="39">
        <f>IF(ISBLANK(Z283),"",IF(ISBLANK($O283),AN283,IF($J283="ANUAL",AN283*(1+Macroindicadores!K$7),IF(AND($I283="NOVO",MONTH($O283)=MONTH(BB$4)),AN283*(1+Macroindicadores!K$7),IF(AND($J283="PONTUAL",MONTH($O283)=MONTH(BB$4)),AN283*(1+Macroindicadores!K$7),IF(AND($J283="PONTUAL",MONTH($O283)&lt;MONTH(BB$4)),MIN($AS283:BA283),IF(AND($I283="NOVO",MONTH($O283)&gt;MONTH(BB$4)),AN283,IF(MONTH($O283)&gt;MONTH(BB$4),AN283,IF(MONTH($O283)=MONTH(BB$4),AN283*(1+Macroindicadores!K$7),BA283)))))))))</f>
        <v>7.056</v>
      </c>
      <c r="BC283" s="39">
        <f>IF(ISBLANK(AA283),"",IF(ISBLANK($O283),AO283,IF($J283="ANUAL",AO283*(1+Macroindicadores!L$7),IF(AND($I283="NOVO",MONTH($O283)=MONTH(BC$4)),AO283*(1+Macroindicadores!L$7),IF(AND($J283="PONTUAL",MONTH($O283)=MONTH(BC$4)),AO283*(1+Macroindicadores!L$7),IF(AND($J283="PONTUAL",MONTH($O283)&lt;MONTH(BC$4)),MIN($AS283:BB283),IF(AND($I283="NOVO",MONTH($O283)&gt;MONTH(BC$4)),AO283,IF(MONTH($O283)&gt;MONTH(BC$4),AO283,IF(MONTH($O283)=MONTH(BC$4),AO283*(1+Macroindicadores!L$7),BB283)))))))))</f>
        <v>7.056</v>
      </c>
      <c r="BD283" s="39">
        <f>IF(ISBLANK(AB283),"",IF(ISBLANK($O283),AP283,IF($J283="ANUAL",AP283*(1+Macroindicadores!M$7),IF(AND($I283="NOVO",MONTH($O283)=MONTH(BD$4)),AP283*(1+Macroindicadores!M$7),IF(AND($J283="PONTUAL",MONTH($O283)=MONTH(BD$4)),AP283*(1+Macroindicadores!M$7),IF(AND($J283="PONTUAL",MONTH($O283)&lt;MONTH(BD$4)),MIN($AS283:BC283),IF(AND($I283="NOVO",MONTH($O283)&gt;MONTH(BD$4)),AP283,IF(MONTH($O283)&gt;MONTH(BD$4),AP283,IF(MONTH($O283)=MONTH(BD$4),AP283*(1+Macroindicadores!M$7),BC283)))))))))</f>
        <v>7.056</v>
      </c>
      <c r="BE283" s="40">
        <f t="shared" si="106"/>
        <v>84.675999999999988</v>
      </c>
      <c r="BG283" s="39">
        <f>IF(ISBLANK(Q283),"",AS283/Macroindicadores!B$2)</f>
        <v>1.2006802721088434</v>
      </c>
      <c r="BH283" s="39">
        <f>IF(ISBLANK(R283),"",AT283/Macroindicadores!C$2)</f>
        <v>1.2</v>
      </c>
      <c r="BI283" s="39">
        <f>IF(ISBLANK(S283),"",AU283/Macroindicadores!D$2)</f>
        <v>1.2</v>
      </c>
      <c r="BJ283" s="39">
        <f>IF(ISBLANK(T283),"",AV283/Macroindicadores!E$2)</f>
        <v>1.2</v>
      </c>
      <c r="BK283" s="39">
        <f>IF(ISBLANK(U283),"",AW283/Macroindicadores!F$2)</f>
        <v>1.2</v>
      </c>
      <c r="BL283" s="39">
        <f>IF(ISBLANK(V283),"",AX283/Macroindicadores!G$2)</f>
        <v>1.2</v>
      </c>
      <c r="BM283" s="39">
        <f>IF(ISBLANK(W283),"",AY283/Macroindicadores!H$2)</f>
        <v>1.2</v>
      </c>
      <c r="BN283" s="39">
        <f>IF(ISBLANK(X283),"",AZ283/Macroindicadores!I$2)</f>
        <v>1.2</v>
      </c>
      <c r="BO283" s="39">
        <f>IF(ISBLANK(Y283),"",BA283/Macroindicadores!J$2)</f>
        <v>1.2</v>
      </c>
      <c r="BP283" s="39">
        <f>IF(ISBLANK(Z283),"",BB283/Macroindicadores!K$2)</f>
        <v>1.2</v>
      </c>
      <c r="BQ283" s="39">
        <f>IF(ISBLANK(AA283),"",BC283/Macroindicadores!L$2)</f>
        <v>1.2</v>
      </c>
      <c r="BR283" s="39">
        <f>IF(ISBLANK(AB283),"",BD283/Macroindicadores!M$2)</f>
        <v>1.2</v>
      </c>
      <c r="BS283" s="40">
        <f t="shared" si="107"/>
        <v>14.40068027210884</v>
      </c>
      <c r="BT283" s="25" t="str">
        <f>IF(ISBLANK($L283),"",_xlfn.XLOOKUP($L283,'CENTRO CUSTO'!$A:$A,'CENTRO CUSTO'!$E:$E,FALSE,0))</f>
        <v/>
      </c>
    </row>
    <row r="284" spans="1:72">
      <c r="A284" s="9" t="str">
        <f t="shared" si="80"/>
        <v>Budget</v>
      </c>
      <c r="B284" s="9">
        <f t="shared" si="77"/>
        <v>2026</v>
      </c>
      <c r="C284" s="111" t="s">
        <v>262</v>
      </c>
      <c r="D284" s="111" t="s">
        <v>263</v>
      </c>
      <c r="E284" s="111" t="s">
        <v>14</v>
      </c>
      <c r="F284" s="112" t="s">
        <v>99</v>
      </c>
      <c r="G284" s="112" t="s">
        <v>75</v>
      </c>
      <c r="H284" s="112" t="s">
        <v>272</v>
      </c>
      <c r="I284" s="11" t="s">
        <v>84</v>
      </c>
      <c r="J284" s="11" t="s">
        <v>120</v>
      </c>
      <c r="K284" s="11" t="s">
        <v>86</v>
      </c>
      <c r="L284" s="11"/>
      <c r="M284" s="18" t="str">
        <f>IF(ISBLANK($L284),"",_xlfn.XLOOKUP($L284,'CENTRO CUSTO'!$A:$A,'CENTRO CUSTO'!D:D,FALSE,0))</f>
        <v/>
      </c>
      <c r="N284" s="113" t="s">
        <v>101</v>
      </c>
      <c r="O284" s="12"/>
      <c r="P284" s="113" t="s">
        <v>88</v>
      </c>
      <c r="Q284" s="41"/>
      <c r="R284" s="41"/>
      <c r="S284" s="41"/>
      <c r="T284" s="41"/>
      <c r="U284" s="41"/>
      <c r="V284" s="41"/>
      <c r="W284" s="41"/>
      <c r="X284" s="41"/>
      <c r="Y284" s="41"/>
      <c r="Z284" s="41"/>
      <c r="AA284" s="41"/>
      <c r="AB284" s="41">
        <v>27600</v>
      </c>
      <c r="AC284" s="116">
        <f t="shared" si="104"/>
        <v>27600</v>
      </c>
      <c r="AE284" s="39" t="str">
        <f>IF(ISBLANK(Q284),"",IF($P284="BRL",Q284,Q284*Macroindicadores!B$2)/1000)</f>
        <v/>
      </c>
      <c r="AF284" s="39" t="str">
        <f>IF(ISBLANK(R284),"",IF($P284="BRL",R284,R284*Macroindicadores!C$2)/1000)</f>
        <v/>
      </c>
      <c r="AG284" s="39" t="str">
        <f>IF(ISBLANK(S284),"",IF($P284="BRL",S284,S284*Macroindicadores!D$2)/1000)</f>
        <v/>
      </c>
      <c r="AH284" s="39" t="str">
        <f>IF(ISBLANK(T284),"",IF($P284="BRL",T284,T284*Macroindicadores!E$2)/1000)</f>
        <v/>
      </c>
      <c r="AI284" s="39" t="str">
        <f>IF(ISBLANK(U284),"",IF($P284="BRL",U284,U284*Macroindicadores!F$2)/1000)</f>
        <v/>
      </c>
      <c r="AJ284" s="39" t="str">
        <f>IF(ISBLANK(V284),"",IF($P284="BRL",V284,V284*Macroindicadores!G$2)/1000)</f>
        <v/>
      </c>
      <c r="AK284" s="39" t="str">
        <f>IF(ISBLANK(W284),"",IF($P284="BRL",W284,W284*Macroindicadores!H$2)/1000)</f>
        <v/>
      </c>
      <c r="AL284" s="39" t="str">
        <f>IF(ISBLANK(X284),"",IF($P284="BRL",X284,X284*Macroindicadores!I$2)/1000)</f>
        <v/>
      </c>
      <c r="AM284" s="39" t="str">
        <f>IF(ISBLANK(Y284),"",IF($P284="BRL",Y284,Y284*Macroindicadores!J$2)/1000)</f>
        <v/>
      </c>
      <c r="AN284" s="39" t="str">
        <f>IF(ISBLANK(Z284),"",IF($P284="BRL",Z284,Z284*Macroindicadores!K$2)/1000)</f>
        <v/>
      </c>
      <c r="AO284" s="39" t="str">
        <f>IF(ISBLANK(AA284),"",IF($P284="BRL",AA284,AA284*Macroindicadores!L$2)/1000)</f>
        <v/>
      </c>
      <c r="AP284" s="39">
        <f>IF(ISBLANK(AB284),"",IF($P284="BRL",AB284,AB284*Macroindicadores!M$2)/1000)</f>
        <v>162.28800000000001</v>
      </c>
      <c r="AQ284" s="40">
        <f t="shared" si="105"/>
        <v>162.28800000000001</v>
      </c>
      <c r="AS284" s="39" t="str">
        <f>IF(ISBLANK(Q284),"",IF(ISBLANK($O284),AE284,IF($J284="ANUAL",AE284*(1+Macroindicadores!B$7),IF(AND($I284="NOVO",MONTH($O284)=MONTH(AS$4)),AE284*(1+Macroindicadores!B$7),IF(AND($J284="PONTUAL",MONTH($O284)=MONTH(AS$4)),AE284*(1+Macroindicadores!B$7),IF(AND($J284="PONTUAL",MONTH($O284)&lt;MONTH(AS$4)),MIN(AR284:$AS284),IF(AND($I284="NOVO",MONTH($O284)&gt;MONTH(AS$4)),AE284,IF(MONTH($O284)&gt;MONTH(AS$4),AE284,IF(MONTH($O284)=MONTH(AS$4),AE284*(1+Macroindicadores!B$7),AR284)))))))))</f>
        <v/>
      </c>
      <c r="AT284" s="39" t="str">
        <f>IF(ISBLANK(R284),"",IF(ISBLANK($O284),AF284,IF($J284="ANUAL",AF284*(1+Macroindicadores!C$7),IF(AND($I284="NOVO",MONTH($O284)=MONTH(AT$4)),AF284*(1+Macroindicadores!C$7),IF(AND($J284="PONTUAL",MONTH($O284)=MONTH(AT$4)),AF284*(1+Macroindicadores!C$7),IF(AND($J284="PONTUAL",MONTH($O284)&lt;MONTH(AT$4)),MIN($AS284:AS284),IF(AND($I284="NOVO",MONTH($O284)&gt;MONTH(AT$4)),AF284,IF(MONTH($O284)&gt;MONTH(AT$4),AF284,IF(MONTH($O284)=MONTH(AT$4),AF284*(1+Macroindicadores!C$7),AS284)))))))))</f>
        <v/>
      </c>
      <c r="AU284" s="39" t="str">
        <f>IF(ISBLANK(S284),"",IF(ISBLANK($O284),AG284,IF($J284="ANUAL",AG284*(1+Macroindicadores!D$7),IF(AND($I284="NOVO",MONTH($O284)=MONTH(AU$4)),AG284*(1+Macroindicadores!D$7),IF(AND($J284="PONTUAL",MONTH($O284)=MONTH(AU$4)),AG284*(1+Macroindicadores!D$7),IF(AND($J284="PONTUAL",MONTH($O284)&lt;MONTH(AU$4)),MIN($AS284:AT284),IF(AND($I284="NOVO",MONTH($O284)&gt;MONTH(AU$4)),AG284,IF(MONTH($O284)&gt;MONTH(AU$4),AG284,IF(MONTH($O284)=MONTH(AU$4),AG284*(1+Macroindicadores!D$7),AT284)))))))))</f>
        <v/>
      </c>
      <c r="AV284" s="39" t="str">
        <f>IF(ISBLANK(T284),"",IF(ISBLANK($O284),AH284,IF($J284="ANUAL",AH284*(1+Macroindicadores!E$7),IF(AND($I284="NOVO",MONTH($O284)=MONTH(AV$4)),AH284*(1+Macroindicadores!E$7),IF(AND($J284="PONTUAL",MONTH($O284)=MONTH(AV$4)),AH284*(1+Macroindicadores!E$7),IF(AND($J284="PONTUAL",MONTH($O284)&lt;MONTH(AV$4)),MIN($AS284:AU284),IF(AND($I284="NOVO",MONTH($O284)&gt;MONTH(AV$4)),AH284,IF(MONTH($O284)&gt;MONTH(AV$4),AH284,IF(MONTH($O284)=MONTH(AV$4),AH284*(1+Macroindicadores!E$7),AU284)))))))))</f>
        <v/>
      </c>
      <c r="AW284" s="39" t="str">
        <f>IF(ISBLANK(U284),"",IF(ISBLANK($O284),AI284,IF($J284="ANUAL",AI284*(1+Macroindicadores!F$7),IF(AND($I284="NOVO",MONTH($O284)=MONTH(AW$4)),AI284*(1+Macroindicadores!F$7),IF(AND($J284="PONTUAL",MONTH($O284)=MONTH(AW$4)),AI284*(1+Macroindicadores!F$7),IF(AND($J284="PONTUAL",MONTH($O284)&lt;MONTH(AW$4)),MIN($AS284:AV284),IF(AND($I284="NOVO",MONTH($O284)&gt;MONTH(AW$4)),AI284,IF(MONTH($O284)&gt;MONTH(AW$4),AI284,IF(MONTH($O284)=MONTH(AW$4),AI284*(1+Macroindicadores!F$7),AV284)))))))))</f>
        <v/>
      </c>
      <c r="AX284" s="39" t="str">
        <f>IF(ISBLANK(V284),"",IF(ISBLANK($O284),AJ284,IF($J284="ANUAL",AJ284*(1+Macroindicadores!G$7),IF(AND($I284="NOVO",MONTH($O284)=MONTH(AX$4)),AJ284*(1+Macroindicadores!G$7),IF(AND($J284="PONTUAL",MONTH($O284)=MONTH(AX$4)),AJ284*(1+Macroindicadores!G$7),IF(AND($J284="PONTUAL",MONTH($O284)&lt;MONTH(AX$4)),MIN($AS284:AW284),IF(AND($I284="NOVO",MONTH($O284)&gt;MONTH(AX$4)),AJ284,IF(MONTH($O284)&gt;MONTH(AX$4),AJ284,IF(MONTH($O284)=MONTH(AX$4),AJ284*(1+Macroindicadores!G$7),AW284)))))))))</f>
        <v/>
      </c>
      <c r="AY284" s="39" t="str">
        <f>IF(ISBLANK(W284),"",IF(ISBLANK($O284),AK284,IF($J284="ANUAL",AK284*(1+Macroindicadores!H$7),IF(AND($I284="NOVO",MONTH($O284)=MONTH(AY$4)),AK284*(1+Macroindicadores!H$7),IF(AND($J284="PONTUAL",MONTH($O284)=MONTH(AY$4)),AK284*(1+Macroindicadores!H$7),IF(AND($J284="PONTUAL",MONTH($O284)&lt;MONTH(AY$4)),MIN($AS284:AX284),IF(AND($I284="NOVO",MONTH($O284)&gt;MONTH(AY$4)),AK284,IF(MONTH($O284)&gt;MONTH(AY$4),AK284,IF(MONTH($O284)=MONTH(AY$4),AK284*(1+Macroindicadores!H$7),AX284)))))))))</f>
        <v/>
      </c>
      <c r="AZ284" s="39" t="str">
        <f>IF(ISBLANK(X284),"",IF(ISBLANK($O284),AL284,IF($J284="ANUAL",AL284*(1+Macroindicadores!I$7),IF(AND($I284="NOVO",MONTH($O284)=MONTH(AZ$4)),AL284*(1+Macroindicadores!I$7),IF(AND($J284="PONTUAL",MONTH($O284)=MONTH(AZ$4)),AL284*(1+Macroindicadores!I$7),IF(AND($J284="PONTUAL",MONTH($O284)&lt;MONTH(AZ$4)),MIN($AS284:AY284),IF(AND($I284="NOVO",MONTH($O284)&gt;MONTH(AZ$4)),AL284,IF(MONTH($O284)&gt;MONTH(AZ$4),AL284,IF(MONTH($O284)=MONTH(AZ$4),AL284*(1+Macroindicadores!I$7),AY284)))))))))</f>
        <v/>
      </c>
      <c r="BA284" s="39" t="str">
        <f>IF(ISBLANK(Y284),"",IF(ISBLANK($O284),AM284,IF($J284="ANUAL",AM284*(1+Macroindicadores!J$7),IF(AND($I284="NOVO",MONTH($O284)=MONTH(BA$4)),AM284*(1+Macroindicadores!J$7),IF(AND($J284="PONTUAL",MONTH($O284)=MONTH(BA$4)),AM284*(1+Macroindicadores!J$7),IF(AND($J284="PONTUAL",MONTH($O284)&lt;MONTH(BA$4)),MIN($AS284:AZ284),IF(AND($I284="NOVO",MONTH($O284)&gt;MONTH(BA$4)),AM284,IF(MONTH($O284)&gt;MONTH(BA$4),AM284,IF(MONTH($O284)=MONTH(BA$4),AM284*(1+Macroindicadores!J$7),AZ284)))))))))</f>
        <v/>
      </c>
      <c r="BB284" s="39" t="str">
        <f>IF(ISBLANK(Z284),"",IF(ISBLANK($O284),AN284,IF($J284="ANUAL",AN284*(1+Macroindicadores!K$7),IF(AND($I284="NOVO",MONTH($O284)=MONTH(BB$4)),AN284*(1+Macroindicadores!K$7),IF(AND($J284="PONTUAL",MONTH($O284)=MONTH(BB$4)),AN284*(1+Macroindicadores!K$7),IF(AND($J284="PONTUAL",MONTH($O284)&lt;MONTH(BB$4)),MIN($AS284:BA284),IF(AND($I284="NOVO",MONTH($O284)&gt;MONTH(BB$4)),AN284,IF(MONTH($O284)&gt;MONTH(BB$4),AN284,IF(MONTH($O284)=MONTH(BB$4),AN284*(1+Macroindicadores!K$7),BA284)))))))))</f>
        <v/>
      </c>
      <c r="BC284" s="39" t="str">
        <f>IF(ISBLANK(AA284),"",IF(ISBLANK($O284),AO284,IF($J284="ANUAL",AO284*(1+Macroindicadores!L$7),IF(AND($I284="NOVO",MONTH($O284)=MONTH(BC$4)),AO284*(1+Macroindicadores!L$7),IF(AND($J284="PONTUAL",MONTH($O284)=MONTH(BC$4)),AO284*(1+Macroindicadores!L$7),IF(AND($J284="PONTUAL",MONTH($O284)&lt;MONTH(BC$4)),MIN($AS284:BB284),IF(AND($I284="NOVO",MONTH($O284)&gt;MONTH(BC$4)),AO284,IF(MONTH($O284)&gt;MONTH(BC$4),AO284,IF(MONTH($O284)=MONTH(BC$4),AO284*(1+Macroindicadores!L$7),BB284)))))))))</f>
        <v/>
      </c>
      <c r="BD284" s="39">
        <f>IF(ISBLANK(AB284),"",IF(ISBLANK($O284),AP284,IF($J284="ANUAL",AP284*(1+Macroindicadores!M$7),IF(AND($I284="NOVO",MONTH($O284)=MONTH(BD$4)),AP284*(1+Macroindicadores!M$7),IF(AND($J284="PONTUAL",MONTH($O284)=MONTH(BD$4)),AP284*(1+Macroindicadores!M$7),IF(AND($J284="PONTUAL",MONTH($O284)&lt;MONTH(BD$4)),MIN($AS284:BC284),IF(AND($I284="NOVO",MONTH($O284)&gt;MONTH(BD$4)),AP284,IF(MONTH($O284)&gt;MONTH(BD$4),AP284,IF(MONTH($O284)=MONTH(BD$4),AP284*(1+Macroindicadores!M$7),BC284)))))))))</f>
        <v>162.28800000000001</v>
      </c>
      <c r="BE284" s="40">
        <f t="shared" si="106"/>
        <v>162.28800000000001</v>
      </c>
      <c r="BG284" s="39" t="str">
        <f>IF(ISBLANK(Q284),"",AS284/Macroindicadores!B$2)</f>
        <v/>
      </c>
      <c r="BH284" s="39" t="str">
        <f>IF(ISBLANK(R284),"",AT284/Macroindicadores!C$2)</f>
        <v/>
      </c>
      <c r="BI284" s="39" t="str">
        <f>IF(ISBLANK(S284),"",AU284/Macroindicadores!D$2)</f>
        <v/>
      </c>
      <c r="BJ284" s="39" t="str">
        <f>IF(ISBLANK(T284),"",AV284/Macroindicadores!E$2)</f>
        <v/>
      </c>
      <c r="BK284" s="39" t="str">
        <f>IF(ISBLANK(U284),"",AW284/Macroindicadores!F$2)</f>
        <v/>
      </c>
      <c r="BL284" s="39" t="str">
        <f>IF(ISBLANK(V284),"",AX284/Macroindicadores!G$2)</f>
        <v/>
      </c>
      <c r="BM284" s="39" t="str">
        <f>IF(ISBLANK(W284),"",AY284/Macroindicadores!H$2)</f>
        <v/>
      </c>
      <c r="BN284" s="39" t="str">
        <f>IF(ISBLANK(X284),"",AZ284/Macroindicadores!I$2)</f>
        <v/>
      </c>
      <c r="BO284" s="39" t="str">
        <f>IF(ISBLANK(Y284),"",BA284/Macroindicadores!J$2)</f>
        <v/>
      </c>
      <c r="BP284" s="39" t="str">
        <f>IF(ISBLANK(Z284),"",BB284/Macroindicadores!K$2)</f>
        <v/>
      </c>
      <c r="BQ284" s="39" t="str">
        <f>IF(ISBLANK(AA284),"",BC284/Macroindicadores!L$2)</f>
        <v/>
      </c>
      <c r="BR284" s="39">
        <f>IF(ISBLANK(AB284),"",BD284/Macroindicadores!M$2)</f>
        <v>27.6</v>
      </c>
      <c r="BS284" s="40">
        <f t="shared" si="107"/>
        <v>27.6</v>
      </c>
      <c r="BT284" s="25" t="str">
        <f>IF(ISBLANK($L284),"",_xlfn.XLOOKUP($L284,'CENTRO CUSTO'!$A:$A,'CENTRO CUSTO'!$E:$E,FALSE,0))</f>
        <v/>
      </c>
    </row>
    <row r="285" spans="1:72">
      <c r="A285" s="9" t="str">
        <f t="shared" si="80"/>
        <v>Budget</v>
      </c>
      <c r="B285" s="9">
        <f t="shared" si="77"/>
        <v>2026</v>
      </c>
      <c r="C285" s="111" t="s">
        <v>273</v>
      </c>
      <c r="D285" s="111" t="s">
        <v>274</v>
      </c>
      <c r="E285" s="111" t="s">
        <v>14</v>
      </c>
      <c r="F285" s="112" t="s">
        <v>99</v>
      </c>
      <c r="G285" s="112" t="s">
        <v>75</v>
      </c>
      <c r="H285" s="112" t="s">
        <v>275</v>
      </c>
      <c r="I285" s="11" t="s">
        <v>77</v>
      </c>
      <c r="J285" s="11" t="s">
        <v>120</v>
      </c>
      <c r="K285" s="11" t="s">
        <v>79</v>
      </c>
      <c r="L285" s="11"/>
      <c r="M285" s="18" t="str">
        <f>IF(ISBLANK($L285),"",_xlfn.XLOOKUP($L285,'CENTRO CUSTO'!$A:$A,'CENTRO CUSTO'!D:D,FALSE,0))</f>
        <v/>
      </c>
      <c r="N285" s="113" t="s">
        <v>101</v>
      </c>
      <c r="O285" s="12"/>
      <c r="P285" s="113" t="s">
        <v>88</v>
      </c>
      <c r="Q285" s="41"/>
      <c r="R285" s="41"/>
      <c r="S285" s="41"/>
      <c r="T285" s="41"/>
      <c r="U285" s="41"/>
      <c r="V285" s="41"/>
      <c r="W285" s="41"/>
      <c r="X285" s="41"/>
      <c r="Y285" s="41"/>
      <c r="Z285" s="41"/>
      <c r="AA285" s="41"/>
      <c r="AB285" s="41">
        <v>12000</v>
      </c>
      <c r="AC285" s="116">
        <f t="shared" si="104"/>
        <v>12000</v>
      </c>
      <c r="AE285" s="39" t="str">
        <f>IF(ISBLANK(Q285),"",IF($P285="BRL",Q285,Q285*Macroindicadores!B$2)/1000)</f>
        <v/>
      </c>
      <c r="AF285" s="39" t="str">
        <f>IF(ISBLANK(R285),"",IF($P285="BRL",R285,R285*Macroindicadores!C$2)/1000)</f>
        <v/>
      </c>
      <c r="AG285" s="39" t="str">
        <f>IF(ISBLANK(S285),"",IF($P285="BRL",S285,S285*Macroindicadores!D$2)/1000)</f>
        <v/>
      </c>
      <c r="AH285" s="39" t="str">
        <f>IF(ISBLANK(T285),"",IF($P285="BRL",T285,T285*Macroindicadores!E$2)/1000)</f>
        <v/>
      </c>
      <c r="AI285" s="39" t="str">
        <f>IF(ISBLANK(U285),"",IF($P285="BRL",U285,U285*Macroindicadores!F$2)/1000)</f>
        <v/>
      </c>
      <c r="AJ285" s="39" t="str">
        <f>IF(ISBLANK(V285),"",IF($P285="BRL",V285,V285*Macroindicadores!G$2)/1000)</f>
        <v/>
      </c>
      <c r="AK285" s="39" t="str">
        <f>IF(ISBLANK(W285),"",IF($P285="BRL",W285,W285*Macroindicadores!H$2)/1000)</f>
        <v/>
      </c>
      <c r="AL285" s="39" t="str">
        <f>IF(ISBLANK(X285),"",IF($P285="BRL",X285,X285*Macroindicadores!I$2)/1000)</f>
        <v/>
      </c>
      <c r="AM285" s="39" t="str">
        <f>IF(ISBLANK(Y285),"",IF($P285="BRL",Y285,Y285*Macroindicadores!J$2)/1000)</f>
        <v/>
      </c>
      <c r="AN285" s="39" t="str">
        <f>IF(ISBLANK(Z285),"",IF($P285="BRL",Z285,Z285*Macroindicadores!K$2)/1000)</f>
        <v/>
      </c>
      <c r="AO285" s="39" t="str">
        <f>IF(ISBLANK(AA285),"",IF($P285="BRL",AA285,AA285*Macroindicadores!L$2)/1000)</f>
        <v/>
      </c>
      <c r="AP285" s="39">
        <f>IF(ISBLANK(AB285),"",IF($P285="BRL",AB285,AB285*Macroindicadores!M$2)/1000)</f>
        <v>70.56</v>
      </c>
      <c r="AQ285" s="40">
        <f t="shared" si="105"/>
        <v>70.56</v>
      </c>
      <c r="AS285" s="39" t="str">
        <f>IF(ISBLANK(Q285),"",IF(ISBLANK($O285),AE285,IF($J285="ANUAL",AE285*(1+Macroindicadores!B$7),IF(AND($I285="NOVO",MONTH($O285)=MONTH(AS$4)),AE285*(1+Macroindicadores!B$7),IF(AND($J285="PONTUAL",MONTH($O285)=MONTH(AS$4)),AE285*(1+Macroindicadores!B$7),IF(AND($J285="PONTUAL",MONTH($O285)&lt;MONTH(AS$4)),MIN(AR285:$AS285),IF(AND($I285="NOVO",MONTH($O285)&gt;MONTH(AS$4)),AE285,IF(MONTH($O285)&gt;MONTH(AS$4),AE285,IF(MONTH($O285)=MONTH(AS$4),AE285*(1+Macroindicadores!B$7),AR285)))))))))</f>
        <v/>
      </c>
      <c r="AT285" s="39" t="str">
        <f>IF(ISBLANK(R285),"",IF(ISBLANK($O285),AF285,IF($J285="ANUAL",AF285*(1+Macroindicadores!C$7),IF(AND($I285="NOVO",MONTH($O285)=MONTH(AT$4)),AF285*(1+Macroindicadores!C$7),IF(AND($J285="PONTUAL",MONTH($O285)=MONTH(AT$4)),AF285*(1+Macroindicadores!C$7),IF(AND($J285="PONTUAL",MONTH($O285)&lt;MONTH(AT$4)),MIN($AS285:AS285),IF(AND($I285="NOVO",MONTH($O285)&gt;MONTH(AT$4)),AF285,IF(MONTH($O285)&gt;MONTH(AT$4),AF285,IF(MONTH($O285)=MONTH(AT$4),AF285*(1+Macroindicadores!C$7),AS285)))))))))</f>
        <v/>
      </c>
      <c r="AU285" s="39" t="str">
        <f>IF(ISBLANK(S285),"",IF(ISBLANK($O285),AG285,IF($J285="ANUAL",AG285*(1+Macroindicadores!D$7),IF(AND($I285="NOVO",MONTH($O285)=MONTH(AU$4)),AG285*(1+Macroindicadores!D$7),IF(AND($J285="PONTUAL",MONTH($O285)=MONTH(AU$4)),AG285*(1+Macroindicadores!D$7),IF(AND($J285="PONTUAL",MONTH($O285)&lt;MONTH(AU$4)),MIN($AS285:AT285),IF(AND($I285="NOVO",MONTH($O285)&gt;MONTH(AU$4)),AG285,IF(MONTH($O285)&gt;MONTH(AU$4),AG285,IF(MONTH($O285)=MONTH(AU$4),AG285*(1+Macroindicadores!D$7),AT285)))))))))</f>
        <v/>
      </c>
      <c r="AV285" s="39" t="str">
        <f>IF(ISBLANK(T285),"",IF(ISBLANK($O285),AH285,IF($J285="ANUAL",AH285*(1+Macroindicadores!E$7),IF(AND($I285="NOVO",MONTH($O285)=MONTH(AV$4)),AH285*(1+Macroindicadores!E$7),IF(AND($J285="PONTUAL",MONTH($O285)=MONTH(AV$4)),AH285*(1+Macroindicadores!E$7),IF(AND($J285="PONTUAL",MONTH($O285)&lt;MONTH(AV$4)),MIN($AS285:AU285),IF(AND($I285="NOVO",MONTH($O285)&gt;MONTH(AV$4)),AH285,IF(MONTH($O285)&gt;MONTH(AV$4),AH285,IF(MONTH($O285)=MONTH(AV$4),AH285*(1+Macroindicadores!E$7),AU285)))))))))</f>
        <v/>
      </c>
      <c r="AW285" s="39" t="str">
        <f>IF(ISBLANK(U285),"",IF(ISBLANK($O285),AI285,IF($J285="ANUAL",AI285*(1+Macroindicadores!F$7),IF(AND($I285="NOVO",MONTH($O285)=MONTH(AW$4)),AI285*(1+Macroindicadores!F$7),IF(AND($J285="PONTUAL",MONTH($O285)=MONTH(AW$4)),AI285*(1+Macroindicadores!F$7),IF(AND($J285="PONTUAL",MONTH($O285)&lt;MONTH(AW$4)),MIN($AS285:AV285),IF(AND($I285="NOVO",MONTH($O285)&gt;MONTH(AW$4)),AI285,IF(MONTH($O285)&gt;MONTH(AW$4),AI285,IF(MONTH($O285)=MONTH(AW$4),AI285*(1+Macroindicadores!F$7),AV285)))))))))</f>
        <v/>
      </c>
      <c r="AX285" s="39" t="str">
        <f>IF(ISBLANK(V285),"",IF(ISBLANK($O285),AJ285,IF($J285="ANUAL",AJ285*(1+Macroindicadores!G$7),IF(AND($I285="NOVO",MONTH($O285)=MONTH(AX$4)),AJ285*(1+Macroindicadores!G$7),IF(AND($J285="PONTUAL",MONTH($O285)=MONTH(AX$4)),AJ285*(1+Macroindicadores!G$7),IF(AND($J285="PONTUAL",MONTH($O285)&lt;MONTH(AX$4)),MIN($AS285:AW285),IF(AND($I285="NOVO",MONTH($O285)&gt;MONTH(AX$4)),AJ285,IF(MONTH($O285)&gt;MONTH(AX$4),AJ285,IF(MONTH($O285)=MONTH(AX$4),AJ285*(1+Macroindicadores!G$7),AW285)))))))))</f>
        <v/>
      </c>
      <c r="AY285" s="39" t="str">
        <f>IF(ISBLANK(W285),"",IF(ISBLANK($O285),AK285,IF($J285="ANUAL",AK285*(1+Macroindicadores!H$7),IF(AND($I285="NOVO",MONTH($O285)=MONTH(AY$4)),AK285*(1+Macroindicadores!H$7),IF(AND($J285="PONTUAL",MONTH($O285)=MONTH(AY$4)),AK285*(1+Macroindicadores!H$7),IF(AND($J285="PONTUAL",MONTH($O285)&lt;MONTH(AY$4)),MIN($AS285:AX285),IF(AND($I285="NOVO",MONTH($O285)&gt;MONTH(AY$4)),AK285,IF(MONTH($O285)&gt;MONTH(AY$4),AK285,IF(MONTH($O285)=MONTH(AY$4),AK285*(1+Macroindicadores!H$7),AX285)))))))))</f>
        <v/>
      </c>
      <c r="AZ285" s="39" t="str">
        <f>IF(ISBLANK(X285),"",IF(ISBLANK($O285),AL285,IF($J285="ANUAL",AL285*(1+Macroindicadores!I$7),IF(AND($I285="NOVO",MONTH($O285)=MONTH(AZ$4)),AL285*(1+Macroindicadores!I$7),IF(AND($J285="PONTUAL",MONTH($O285)=MONTH(AZ$4)),AL285*(1+Macroindicadores!I$7),IF(AND($J285="PONTUAL",MONTH($O285)&lt;MONTH(AZ$4)),MIN($AS285:AY285),IF(AND($I285="NOVO",MONTH($O285)&gt;MONTH(AZ$4)),AL285,IF(MONTH($O285)&gt;MONTH(AZ$4),AL285,IF(MONTH($O285)=MONTH(AZ$4),AL285*(1+Macroindicadores!I$7),AY285)))))))))</f>
        <v/>
      </c>
      <c r="BA285" s="39" t="str">
        <f>IF(ISBLANK(Y285),"",IF(ISBLANK($O285),AM285,IF($J285="ANUAL",AM285*(1+Macroindicadores!J$7),IF(AND($I285="NOVO",MONTH($O285)=MONTH(BA$4)),AM285*(1+Macroindicadores!J$7),IF(AND($J285="PONTUAL",MONTH($O285)=MONTH(BA$4)),AM285*(1+Macroindicadores!J$7),IF(AND($J285="PONTUAL",MONTH($O285)&lt;MONTH(BA$4)),MIN($AS285:AZ285),IF(AND($I285="NOVO",MONTH($O285)&gt;MONTH(BA$4)),AM285,IF(MONTH($O285)&gt;MONTH(BA$4),AM285,IF(MONTH($O285)=MONTH(BA$4),AM285*(1+Macroindicadores!J$7),AZ285)))))))))</f>
        <v/>
      </c>
      <c r="BB285" s="39" t="str">
        <f>IF(ISBLANK(Z285),"",IF(ISBLANK($O285),AN285,IF($J285="ANUAL",AN285*(1+Macroindicadores!K$7),IF(AND($I285="NOVO",MONTH($O285)=MONTH(BB$4)),AN285*(1+Macroindicadores!K$7),IF(AND($J285="PONTUAL",MONTH($O285)=MONTH(BB$4)),AN285*(1+Macroindicadores!K$7),IF(AND($J285="PONTUAL",MONTH($O285)&lt;MONTH(BB$4)),MIN($AS285:BA285),IF(AND($I285="NOVO",MONTH($O285)&gt;MONTH(BB$4)),AN285,IF(MONTH($O285)&gt;MONTH(BB$4),AN285,IF(MONTH($O285)=MONTH(BB$4),AN285*(1+Macroindicadores!K$7),BA285)))))))))</f>
        <v/>
      </c>
      <c r="BC285" s="39" t="str">
        <f>IF(ISBLANK(AA285),"",IF(ISBLANK($O285),AO285,IF($J285="ANUAL",AO285*(1+Macroindicadores!L$7),IF(AND($I285="NOVO",MONTH($O285)=MONTH(BC$4)),AO285*(1+Macroindicadores!L$7),IF(AND($J285="PONTUAL",MONTH($O285)=MONTH(BC$4)),AO285*(1+Macroindicadores!L$7),IF(AND($J285="PONTUAL",MONTH($O285)&lt;MONTH(BC$4)),MIN($AS285:BB285),IF(AND($I285="NOVO",MONTH($O285)&gt;MONTH(BC$4)),AO285,IF(MONTH($O285)&gt;MONTH(BC$4),AO285,IF(MONTH($O285)=MONTH(BC$4),AO285*(1+Macroindicadores!L$7),BB285)))))))))</f>
        <v/>
      </c>
      <c r="BD285" s="39">
        <f>IF(ISBLANK(AB285),"",IF(ISBLANK($O285),AP285,IF($J285="ANUAL",AP285*(1+Macroindicadores!M$7),IF(AND($I285="NOVO",MONTH($O285)=MONTH(BD$4)),AP285*(1+Macroindicadores!M$7),IF(AND($J285="PONTUAL",MONTH($O285)=MONTH(BD$4)),AP285*(1+Macroindicadores!M$7),IF(AND($J285="PONTUAL",MONTH($O285)&lt;MONTH(BD$4)),MIN($AS285:BC285),IF(AND($I285="NOVO",MONTH($O285)&gt;MONTH(BD$4)),AP285,IF(MONTH($O285)&gt;MONTH(BD$4),AP285,IF(MONTH($O285)=MONTH(BD$4),AP285*(1+Macroindicadores!M$7),BC285)))))))))</f>
        <v>70.56</v>
      </c>
      <c r="BE285" s="40">
        <f t="shared" si="106"/>
        <v>70.56</v>
      </c>
      <c r="BG285" s="39" t="str">
        <f>IF(ISBLANK(Q285),"",AS285/Macroindicadores!B$2)</f>
        <v/>
      </c>
      <c r="BH285" s="39" t="str">
        <f>IF(ISBLANK(R285),"",AT285/Macroindicadores!C$2)</f>
        <v/>
      </c>
      <c r="BI285" s="39" t="str">
        <f>IF(ISBLANK(S285),"",AU285/Macroindicadores!D$2)</f>
        <v/>
      </c>
      <c r="BJ285" s="39" t="str">
        <f>IF(ISBLANK(T285),"",AV285/Macroindicadores!E$2)</f>
        <v/>
      </c>
      <c r="BK285" s="39" t="str">
        <f>IF(ISBLANK(U285),"",AW285/Macroindicadores!F$2)</f>
        <v/>
      </c>
      <c r="BL285" s="39" t="str">
        <f>IF(ISBLANK(V285),"",AX285/Macroindicadores!G$2)</f>
        <v/>
      </c>
      <c r="BM285" s="39" t="str">
        <f>IF(ISBLANK(W285),"",AY285/Macroindicadores!H$2)</f>
        <v/>
      </c>
      <c r="BN285" s="39" t="str">
        <f>IF(ISBLANK(X285),"",AZ285/Macroindicadores!I$2)</f>
        <v/>
      </c>
      <c r="BO285" s="39" t="str">
        <f>IF(ISBLANK(Y285),"",BA285/Macroindicadores!J$2)</f>
        <v/>
      </c>
      <c r="BP285" s="39" t="str">
        <f>IF(ISBLANK(Z285),"",BB285/Macroindicadores!K$2)</f>
        <v/>
      </c>
      <c r="BQ285" s="39" t="str">
        <f>IF(ISBLANK(AA285),"",BC285/Macroindicadores!L$2)</f>
        <v/>
      </c>
      <c r="BR285" s="39">
        <f>IF(ISBLANK(AB285),"",BD285/Macroindicadores!M$2)</f>
        <v>12</v>
      </c>
      <c r="BS285" s="40">
        <f t="shared" si="107"/>
        <v>12</v>
      </c>
      <c r="BT285" s="25" t="str">
        <f>IF(ISBLANK($L285),"",_xlfn.XLOOKUP($L285,'CENTRO CUSTO'!$A:$A,'CENTRO CUSTO'!$E:$E,FALSE,0))</f>
        <v/>
      </c>
    </row>
    <row r="286" spans="1:72">
      <c r="A286" s="9" t="str">
        <f t="shared" si="80"/>
        <v>Budget</v>
      </c>
      <c r="B286" s="9">
        <f t="shared" si="77"/>
        <v>2026</v>
      </c>
      <c r="C286" s="111" t="s">
        <v>262</v>
      </c>
      <c r="D286" s="111" t="s">
        <v>274</v>
      </c>
      <c r="E286" s="111" t="s">
        <v>14</v>
      </c>
      <c r="F286" s="112" t="s">
        <v>92</v>
      </c>
      <c r="G286" s="112" t="s">
        <v>75</v>
      </c>
      <c r="H286" s="112" t="s">
        <v>276</v>
      </c>
      <c r="I286" s="11" t="s">
        <v>77</v>
      </c>
      <c r="J286" s="11" t="s">
        <v>78</v>
      </c>
      <c r="K286" s="11" t="s">
        <v>79</v>
      </c>
      <c r="L286" s="11"/>
      <c r="M286" s="18" t="str">
        <f>IF(ISBLANK($L286),"",_xlfn.XLOOKUP($L286,'CENTRO CUSTO'!$A:$A,'CENTRO CUSTO'!D:D,FALSE,0))</f>
        <v/>
      </c>
      <c r="N286" s="11" t="s">
        <v>91</v>
      </c>
      <c r="O286" s="12"/>
      <c r="P286" s="113" t="s">
        <v>88</v>
      </c>
      <c r="Q286" s="41">
        <v>659.2</v>
      </c>
      <c r="R286" s="41">
        <v>659.2</v>
      </c>
      <c r="S286" s="41">
        <v>659.2</v>
      </c>
      <c r="T286" s="41">
        <v>659.2</v>
      </c>
      <c r="U286" s="41">
        <v>659.2</v>
      </c>
      <c r="V286" s="41">
        <v>659.2</v>
      </c>
      <c r="W286" s="41">
        <v>659.2</v>
      </c>
      <c r="X286" s="41">
        <v>659.2</v>
      </c>
      <c r="Y286" s="41">
        <v>659.2</v>
      </c>
      <c r="Z286" s="41">
        <v>659.2</v>
      </c>
      <c r="AA286" s="41">
        <v>659.2</v>
      </c>
      <c r="AB286" s="41">
        <v>659.2</v>
      </c>
      <c r="AC286" s="116">
        <f t="shared" si="104"/>
        <v>7910.3999999999987</v>
      </c>
      <c r="AE286" s="39">
        <f>IF(ISBLANK(Q286),"",IF($P286="BRL",Q286,Q286*Macroindicadores!B$2)/1000)</f>
        <v>3.876096</v>
      </c>
      <c r="AF286" s="39">
        <f>IF(ISBLANK(R286),"",IF($P286="BRL",R286,R286*Macroindicadores!C$2)/1000)</f>
        <v>3.876096</v>
      </c>
      <c r="AG286" s="39">
        <f>IF(ISBLANK(S286),"",IF($P286="BRL",S286,S286*Macroindicadores!D$2)/1000)</f>
        <v>3.876096</v>
      </c>
      <c r="AH286" s="39">
        <f>IF(ISBLANK(T286),"",IF($P286="BRL",T286,T286*Macroindicadores!E$2)/1000)</f>
        <v>3.876096</v>
      </c>
      <c r="AI286" s="39">
        <f>IF(ISBLANK(U286),"",IF($P286="BRL",U286,U286*Macroindicadores!F$2)/1000)</f>
        <v>3.876096</v>
      </c>
      <c r="AJ286" s="39">
        <f>IF(ISBLANK(V286),"",IF($P286="BRL",V286,V286*Macroindicadores!G$2)/1000)</f>
        <v>3.876096</v>
      </c>
      <c r="AK286" s="39">
        <f>IF(ISBLANK(W286),"",IF($P286="BRL",W286,W286*Macroindicadores!H$2)/1000)</f>
        <v>3.876096</v>
      </c>
      <c r="AL286" s="39">
        <f>IF(ISBLANK(X286),"",IF($P286="BRL",X286,X286*Macroindicadores!I$2)/1000)</f>
        <v>3.876096</v>
      </c>
      <c r="AM286" s="39">
        <f>IF(ISBLANK(Y286),"",IF($P286="BRL",Y286,Y286*Macroindicadores!J$2)/1000)</f>
        <v>3.876096</v>
      </c>
      <c r="AN286" s="39">
        <f>IF(ISBLANK(Z286),"",IF($P286="BRL",Z286,Z286*Macroindicadores!K$2)/1000)</f>
        <v>3.876096</v>
      </c>
      <c r="AO286" s="39">
        <f>IF(ISBLANK(AA286),"",IF($P286="BRL",AA286,AA286*Macroindicadores!L$2)/1000)</f>
        <v>3.876096</v>
      </c>
      <c r="AP286" s="39">
        <f>IF(ISBLANK(AB286),"",IF($P286="BRL",AB286,AB286*Macroindicadores!M$2)/1000)</f>
        <v>3.876096</v>
      </c>
      <c r="AQ286" s="40">
        <f t="shared" si="105"/>
        <v>46.513151999999991</v>
      </c>
      <c r="AS286" s="39">
        <f>IF(ISBLANK(Q286),"",IF(ISBLANK($O286),AE286,IF($J286="ANUAL",AE286*(1+Macroindicadores!B$7),IF(AND($I286="NOVO",MONTH($O286)=MONTH(AS$4)),AE286*(1+Macroindicadores!B$7),IF(AND($J286="PONTUAL",MONTH($O286)=MONTH(AS$4)),AE286*(1+Macroindicadores!B$7),IF(AND($J286="PONTUAL",MONTH($O286)&lt;MONTH(AS$4)),MIN(AR286:$AS286),IF(AND($I286="NOVO",MONTH($O286)&gt;MONTH(AS$4)),AE286,IF(MONTH($O286)&gt;MONTH(AS$4),AE286,IF(MONTH($O286)=MONTH(AS$4),AE286*(1+Macroindicadores!B$7),AR286)))))))))</f>
        <v>3.876096</v>
      </c>
      <c r="AT286" s="39">
        <f>IF(ISBLANK(R286),"",IF(ISBLANK($O286),AF286,IF($J286="ANUAL",AF286*(1+Macroindicadores!C$7),IF(AND($I286="NOVO",MONTH($O286)=MONTH(AT$4)),AF286*(1+Macroindicadores!C$7),IF(AND($J286="PONTUAL",MONTH($O286)=MONTH(AT$4)),AF286*(1+Macroindicadores!C$7),IF(AND($J286="PONTUAL",MONTH($O286)&lt;MONTH(AT$4)),MIN($AS286:AS286),IF(AND($I286="NOVO",MONTH($O286)&gt;MONTH(AT$4)),AF286,IF(MONTH($O286)&gt;MONTH(AT$4),AF286,IF(MONTH($O286)=MONTH(AT$4),AF286*(1+Macroindicadores!C$7),AS286)))))))))</f>
        <v>3.876096</v>
      </c>
      <c r="AU286" s="39">
        <f>IF(ISBLANK(S286),"",IF(ISBLANK($O286),AG286,IF($J286="ANUAL",AG286*(1+Macroindicadores!D$7),IF(AND($I286="NOVO",MONTH($O286)=MONTH(AU$4)),AG286*(1+Macroindicadores!D$7),IF(AND($J286="PONTUAL",MONTH($O286)=MONTH(AU$4)),AG286*(1+Macroindicadores!D$7),IF(AND($J286="PONTUAL",MONTH($O286)&lt;MONTH(AU$4)),MIN($AS286:AT286),IF(AND($I286="NOVO",MONTH($O286)&gt;MONTH(AU$4)),AG286,IF(MONTH($O286)&gt;MONTH(AU$4),AG286,IF(MONTH($O286)=MONTH(AU$4),AG286*(1+Macroindicadores!D$7),AT286)))))))))</f>
        <v>3.876096</v>
      </c>
      <c r="AV286" s="39">
        <f>IF(ISBLANK(T286),"",IF(ISBLANK($O286),AH286,IF($J286="ANUAL",AH286*(1+Macroindicadores!E$7),IF(AND($I286="NOVO",MONTH($O286)=MONTH(AV$4)),AH286*(1+Macroindicadores!E$7),IF(AND($J286="PONTUAL",MONTH($O286)=MONTH(AV$4)),AH286*(1+Macroindicadores!E$7),IF(AND($J286="PONTUAL",MONTH($O286)&lt;MONTH(AV$4)),MIN($AS286:AU286),IF(AND($I286="NOVO",MONTH($O286)&gt;MONTH(AV$4)),AH286,IF(MONTH($O286)&gt;MONTH(AV$4),AH286,IF(MONTH($O286)=MONTH(AV$4),AH286*(1+Macroindicadores!E$7),AU286)))))))))</f>
        <v>3.876096</v>
      </c>
      <c r="AW286" s="39">
        <f>IF(ISBLANK(U286),"",IF(ISBLANK($O286),AI286,IF($J286="ANUAL",AI286*(1+Macroindicadores!F$7),IF(AND($I286="NOVO",MONTH($O286)=MONTH(AW$4)),AI286*(1+Macroindicadores!F$7),IF(AND($J286="PONTUAL",MONTH($O286)=MONTH(AW$4)),AI286*(1+Macroindicadores!F$7),IF(AND($J286="PONTUAL",MONTH($O286)&lt;MONTH(AW$4)),MIN($AS286:AV286),IF(AND($I286="NOVO",MONTH($O286)&gt;MONTH(AW$4)),AI286,IF(MONTH($O286)&gt;MONTH(AW$4),AI286,IF(MONTH($O286)=MONTH(AW$4),AI286*(1+Macroindicadores!F$7),AV286)))))))))</f>
        <v>3.876096</v>
      </c>
      <c r="AX286" s="39">
        <f>IF(ISBLANK(V286),"",IF(ISBLANK($O286),AJ286,IF($J286="ANUAL",AJ286*(1+Macroindicadores!G$7),IF(AND($I286="NOVO",MONTH($O286)=MONTH(AX$4)),AJ286*(1+Macroindicadores!G$7),IF(AND($J286="PONTUAL",MONTH($O286)=MONTH(AX$4)),AJ286*(1+Macroindicadores!G$7),IF(AND($J286="PONTUAL",MONTH($O286)&lt;MONTH(AX$4)),MIN($AS286:AW286),IF(AND($I286="NOVO",MONTH($O286)&gt;MONTH(AX$4)),AJ286,IF(MONTH($O286)&gt;MONTH(AX$4),AJ286,IF(MONTH($O286)=MONTH(AX$4),AJ286*(1+Macroindicadores!G$7),AW286)))))))))</f>
        <v>3.876096</v>
      </c>
      <c r="AY286" s="39">
        <f>IF(ISBLANK(W286),"",IF(ISBLANK($O286),AK286,IF($J286="ANUAL",AK286*(1+Macroindicadores!H$7),IF(AND($I286="NOVO",MONTH($O286)=MONTH(AY$4)),AK286*(1+Macroindicadores!H$7),IF(AND($J286="PONTUAL",MONTH($O286)=MONTH(AY$4)),AK286*(1+Macroindicadores!H$7),IF(AND($J286="PONTUAL",MONTH($O286)&lt;MONTH(AY$4)),MIN($AS286:AX286),IF(AND($I286="NOVO",MONTH($O286)&gt;MONTH(AY$4)),AK286,IF(MONTH($O286)&gt;MONTH(AY$4),AK286,IF(MONTH($O286)=MONTH(AY$4),AK286*(1+Macroindicadores!H$7),AX286)))))))))</f>
        <v>3.876096</v>
      </c>
      <c r="AZ286" s="39">
        <f>IF(ISBLANK(X286),"",IF(ISBLANK($O286),AL286,IF($J286="ANUAL",AL286*(1+Macroindicadores!I$7),IF(AND($I286="NOVO",MONTH($O286)=MONTH(AZ$4)),AL286*(1+Macroindicadores!I$7),IF(AND($J286="PONTUAL",MONTH($O286)=MONTH(AZ$4)),AL286*(1+Macroindicadores!I$7),IF(AND($J286="PONTUAL",MONTH($O286)&lt;MONTH(AZ$4)),MIN($AS286:AY286),IF(AND($I286="NOVO",MONTH($O286)&gt;MONTH(AZ$4)),AL286,IF(MONTH($O286)&gt;MONTH(AZ$4),AL286,IF(MONTH($O286)=MONTH(AZ$4),AL286*(1+Macroindicadores!I$7),AY286)))))))))</f>
        <v>3.876096</v>
      </c>
      <c r="BA286" s="39">
        <f>IF(ISBLANK(Y286),"",IF(ISBLANK($O286),AM286,IF($J286="ANUAL",AM286*(1+Macroindicadores!J$7),IF(AND($I286="NOVO",MONTH($O286)=MONTH(BA$4)),AM286*(1+Macroindicadores!J$7),IF(AND($J286="PONTUAL",MONTH($O286)=MONTH(BA$4)),AM286*(1+Macroindicadores!J$7),IF(AND($J286="PONTUAL",MONTH($O286)&lt;MONTH(BA$4)),MIN($AS286:AZ286),IF(AND($I286="NOVO",MONTH($O286)&gt;MONTH(BA$4)),AM286,IF(MONTH($O286)&gt;MONTH(BA$4),AM286,IF(MONTH($O286)=MONTH(BA$4),AM286*(1+Macroindicadores!J$7),AZ286)))))))))</f>
        <v>3.876096</v>
      </c>
      <c r="BB286" s="39">
        <f>IF(ISBLANK(Z286),"",IF(ISBLANK($O286),AN286,IF($J286="ANUAL",AN286*(1+Macroindicadores!K$7),IF(AND($I286="NOVO",MONTH($O286)=MONTH(BB$4)),AN286*(1+Macroindicadores!K$7),IF(AND($J286="PONTUAL",MONTH($O286)=MONTH(BB$4)),AN286*(1+Macroindicadores!K$7),IF(AND($J286="PONTUAL",MONTH($O286)&lt;MONTH(BB$4)),MIN($AS286:BA286),IF(AND($I286="NOVO",MONTH($O286)&gt;MONTH(BB$4)),AN286,IF(MONTH($O286)&gt;MONTH(BB$4),AN286,IF(MONTH($O286)=MONTH(BB$4),AN286*(1+Macroindicadores!K$7),BA286)))))))))</f>
        <v>3.876096</v>
      </c>
      <c r="BC286" s="39">
        <f>IF(ISBLANK(AA286),"",IF(ISBLANK($O286),AO286,IF($J286="ANUAL",AO286*(1+Macroindicadores!L$7),IF(AND($I286="NOVO",MONTH($O286)=MONTH(BC$4)),AO286*(1+Macroindicadores!L$7),IF(AND($J286="PONTUAL",MONTH($O286)=MONTH(BC$4)),AO286*(1+Macroindicadores!L$7),IF(AND($J286="PONTUAL",MONTH($O286)&lt;MONTH(BC$4)),MIN($AS286:BB286),IF(AND($I286="NOVO",MONTH($O286)&gt;MONTH(BC$4)),AO286,IF(MONTH($O286)&gt;MONTH(BC$4),AO286,IF(MONTH($O286)=MONTH(BC$4),AO286*(1+Macroindicadores!L$7),BB286)))))))))</f>
        <v>3.876096</v>
      </c>
      <c r="BD286" s="39">
        <f>IF(ISBLANK(AB286),"",IF(ISBLANK($O286),AP286,IF($J286="ANUAL",AP286*(1+Macroindicadores!M$7),IF(AND($I286="NOVO",MONTH($O286)=MONTH(BD$4)),AP286*(1+Macroindicadores!M$7),IF(AND($J286="PONTUAL",MONTH($O286)=MONTH(BD$4)),AP286*(1+Macroindicadores!M$7),IF(AND($J286="PONTUAL",MONTH($O286)&lt;MONTH(BD$4)),MIN($AS286:BC286),IF(AND($I286="NOVO",MONTH($O286)&gt;MONTH(BD$4)),AP286,IF(MONTH($O286)&gt;MONTH(BD$4),AP286,IF(MONTH($O286)=MONTH(BD$4),AP286*(1+Macroindicadores!M$7),BC286)))))))))</f>
        <v>3.876096</v>
      </c>
      <c r="BE286" s="40">
        <f t="shared" si="106"/>
        <v>46.513151999999991</v>
      </c>
      <c r="BG286" s="39">
        <f>IF(ISBLANK(Q286),"",AS286/Macroindicadores!B$2)</f>
        <v>0.65920000000000001</v>
      </c>
      <c r="BH286" s="39">
        <f>IF(ISBLANK(R286),"",AT286/Macroindicadores!C$2)</f>
        <v>0.65920000000000001</v>
      </c>
      <c r="BI286" s="39">
        <f>IF(ISBLANK(S286),"",AU286/Macroindicadores!D$2)</f>
        <v>0.65920000000000001</v>
      </c>
      <c r="BJ286" s="39">
        <f>IF(ISBLANK(T286),"",AV286/Macroindicadores!E$2)</f>
        <v>0.65920000000000001</v>
      </c>
      <c r="BK286" s="39">
        <f>IF(ISBLANK(U286),"",AW286/Macroindicadores!F$2)</f>
        <v>0.65920000000000001</v>
      </c>
      <c r="BL286" s="39">
        <f>IF(ISBLANK(V286),"",AX286/Macroindicadores!G$2)</f>
        <v>0.65920000000000001</v>
      </c>
      <c r="BM286" s="39">
        <f>IF(ISBLANK(W286),"",AY286/Macroindicadores!H$2)</f>
        <v>0.65920000000000001</v>
      </c>
      <c r="BN286" s="39">
        <f>IF(ISBLANK(X286),"",AZ286/Macroindicadores!I$2)</f>
        <v>0.65920000000000001</v>
      </c>
      <c r="BO286" s="39">
        <f>IF(ISBLANK(Y286),"",BA286/Macroindicadores!J$2)</f>
        <v>0.65920000000000001</v>
      </c>
      <c r="BP286" s="39">
        <f>IF(ISBLANK(Z286),"",BB286/Macroindicadores!K$2)</f>
        <v>0.65920000000000001</v>
      </c>
      <c r="BQ286" s="39">
        <f>IF(ISBLANK(AA286),"",BC286/Macroindicadores!L$2)</f>
        <v>0.65920000000000001</v>
      </c>
      <c r="BR286" s="39">
        <f>IF(ISBLANK(AB286),"",BD286/Macroindicadores!M$2)</f>
        <v>0.65920000000000001</v>
      </c>
      <c r="BS286" s="40">
        <f t="shared" si="107"/>
        <v>7.9104000000000019</v>
      </c>
      <c r="BT286" s="25" t="str">
        <f>IF(ISBLANK($L286),"",_xlfn.XLOOKUP($L286,'CENTRO CUSTO'!$A:$A,'CENTRO CUSTO'!$E:$E,FALSE,0))</f>
        <v/>
      </c>
    </row>
    <row r="287" spans="1:72">
      <c r="A287" s="9" t="str">
        <f t="shared" si="80"/>
        <v>Budget</v>
      </c>
      <c r="B287" s="9">
        <f t="shared" si="77"/>
        <v>2026</v>
      </c>
      <c r="C287" s="111" t="s">
        <v>262</v>
      </c>
      <c r="D287" s="111" t="s">
        <v>263</v>
      </c>
      <c r="E287" s="111" t="s">
        <v>14</v>
      </c>
      <c r="F287" s="112" t="s">
        <v>92</v>
      </c>
      <c r="G287" s="112" t="s">
        <v>75</v>
      </c>
      <c r="H287" s="112" t="s">
        <v>277</v>
      </c>
      <c r="I287" s="11" t="s">
        <v>77</v>
      </c>
      <c r="J287" s="11" t="s">
        <v>120</v>
      </c>
      <c r="K287" s="11" t="s">
        <v>79</v>
      </c>
      <c r="L287" s="11"/>
      <c r="M287" s="18" t="str">
        <f>IF(ISBLANK($L287),"",_xlfn.XLOOKUP($L287,'CENTRO CUSTO'!$A:$A,'CENTRO CUSTO'!D:D,FALSE,0))</f>
        <v/>
      </c>
      <c r="N287" s="11" t="s">
        <v>80</v>
      </c>
      <c r="O287" s="12"/>
      <c r="P287" s="113" t="s">
        <v>88</v>
      </c>
      <c r="Q287" s="41">
        <v>682.99999999999989</v>
      </c>
      <c r="R287" s="41">
        <v>682.99999999999989</v>
      </c>
      <c r="S287" s="41">
        <v>682.99999999999989</v>
      </c>
      <c r="T287" s="41">
        <v>682.99999999999989</v>
      </c>
      <c r="U287" s="41">
        <v>682.99999999999989</v>
      </c>
      <c r="V287" s="41">
        <v>682.99999999999989</v>
      </c>
      <c r="W287" s="41">
        <v>859.8</v>
      </c>
      <c r="X287" s="41">
        <v>859.8</v>
      </c>
      <c r="Y287" s="41">
        <v>859.8</v>
      </c>
      <c r="Z287" s="41">
        <v>859.8</v>
      </c>
      <c r="AA287" s="41">
        <v>859.8</v>
      </c>
      <c r="AB287" s="41">
        <v>859.8</v>
      </c>
      <c r="AC287" s="116">
        <f t="shared" ref="AC287:AC291" si="133">IF(AND(ISBLANK($Q287),ISBLANK($R287),ISBLANK($S287),ISBLANK($T287),ISBLANK($U287),ISBLANK($V287),ISBLANK($W287),ISBLANK($X287),ISBLANK($Y287),ISBLANK($Z287),ISBLANK($AA287),ISBLANK($AB287)),"",SUM(Q287:AB287))</f>
        <v>9256.7999999999993</v>
      </c>
      <c r="AE287" s="39">
        <f>IF(ISBLANK(Q287),"",IF($P287="BRL",Q287,Q287*Macroindicadores!B$2)/1000)</f>
        <v>4.0160399999999994</v>
      </c>
      <c r="AF287" s="39">
        <f>IF(ISBLANK(R287),"",IF($P287="BRL",R287,R287*Macroindicadores!C$2)/1000)</f>
        <v>4.0160399999999994</v>
      </c>
      <c r="AG287" s="39">
        <f>IF(ISBLANK(S287),"",IF($P287="BRL",S287,S287*Macroindicadores!D$2)/1000)</f>
        <v>4.0160399999999994</v>
      </c>
      <c r="AH287" s="39">
        <f>IF(ISBLANK(T287),"",IF($P287="BRL",T287,T287*Macroindicadores!E$2)/1000)</f>
        <v>4.0160399999999994</v>
      </c>
      <c r="AI287" s="39">
        <f>IF(ISBLANK(U287),"",IF($P287="BRL",U287,U287*Macroindicadores!F$2)/1000)</f>
        <v>4.0160399999999994</v>
      </c>
      <c r="AJ287" s="39">
        <f>IF(ISBLANK(V287),"",IF($P287="BRL",V287,V287*Macroindicadores!G$2)/1000)</f>
        <v>4.0160399999999994</v>
      </c>
      <c r="AK287" s="39">
        <f>IF(ISBLANK(W287),"",IF($P287="BRL",W287,W287*Macroindicadores!H$2)/1000)</f>
        <v>5.0556239999999999</v>
      </c>
      <c r="AL287" s="39">
        <f>IF(ISBLANK(X287),"",IF($P287="BRL",X287,X287*Macroindicadores!I$2)/1000)</f>
        <v>5.0556239999999999</v>
      </c>
      <c r="AM287" s="39">
        <f>IF(ISBLANK(Y287),"",IF($P287="BRL",Y287,Y287*Macroindicadores!J$2)/1000)</f>
        <v>5.0556239999999999</v>
      </c>
      <c r="AN287" s="39">
        <f>IF(ISBLANK(Z287),"",IF($P287="BRL",Z287,Z287*Macroindicadores!K$2)/1000)</f>
        <v>5.0556239999999999</v>
      </c>
      <c r="AO287" s="39">
        <f>IF(ISBLANK(AA287),"",IF($P287="BRL",AA287,AA287*Macroindicadores!L$2)/1000)</f>
        <v>5.0556239999999999</v>
      </c>
      <c r="AP287" s="39">
        <f>IF(ISBLANK(AB287),"",IF($P287="BRL",AB287,AB287*Macroindicadores!M$2)/1000)</f>
        <v>5.0556239999999999</v>
      </c>
      <c r="AQ287" s="40">
        <f t="shared" ref="AQ287:AQ291" si="134">IF(AND(ISBLANK($Q287),ISBLANK($R287),ISBLANK($S287),ISBLANK($T287),ISBLANK($U287),ISBLANK($V287),ISBLANK($W287),ISBLANK($X287),ISBLANK($Y287),ISBLANK($Z287),ISBLANK($AA287),ISBLANK($AB287)),"",SUM(AE287:AP287))</f>
        <v>54.429984000000005</v>
      </c>
      <c r="AS287" s="39">
        <f>IF(ISBLANK(Q287),"",IF(ISBLANK($O287),AE287,IF($J287="ANUAL",AE287*(1+Macroindicadores!B$7),IF(AND($I287="NOVO",MONTH($O287)=MONTH(AS$4)),AE287*(1+Macroindicadores!B$7),IF(AND($J287="PONTUAL",MONTH($O287)=MONTH(AS$4)),AE287*(1+Macroindicadores!B$7),IF(AND($J287="PONTUAL",MONTH($O287)&lt;MONTH(AS$4)),MIN(AR287:$AS287),IF(AND($I287="NOVO",MONTH($O287)&gt;MONTH(AS$4)),AE287,IF(MONTH($O287)&gt;MONTH(AS$4),AE287,IF(MONTH($O287)=MONTH(AS$4),AE287*(1+Macroindicadores!B$7),AR287)))))))))</f>
        <v>4.0160399999999994</v>
      </c>
      <c r="AT287" s="39">
        <f>IF(ISBLANK(R287),"",IF(ISBLANK($O287),AF287,IF($J287="ANUAL",AF287*(1+Macroindicadores!C$7),IF(AND($I287="NOVO",MONTH($O287)=MONTH(AT$4)),AF287*(1+Macroindicadores!C$7),IF(AND($J287="PONTUAL",MONTH($O287)=MONTH(AT$4)),AF287*(1+Macroindicadores!C$7),IF(AND($J287="PONTUAL",MONTH($O287)&lt;MONTH(AT$4)),MIN($AS287:AS287),IF(AND($I287="NOVO",MONTH($O287)&gt;MONTH(AT$4)),AF287,IF(MONTH($O287)&gt;MONTH(AT$4),AF287,IF(MONTH($O287)=MONTH(AT$4),AF287*(1+Macroindicadores!C$7),AS287)))))))))</f>
        <v>4.0160399999999994</v>
      </c>
      <c r="AU287" s="39">
        <f>IF(ISBLANK(S287),"",IF(ISBLANK($O287),AG287,IF($J287="ANUAL",AG287*(1+Macroindicadores!D$7),IF(AND($I287="NOVO",MONTH($O287)=MONTH(AU$4)),AG287*(1+Macroindicadores!D$7),IF(AND($J287="PONTUAL",MONTH($O287)=MONTH(AU$4)),AG287*(1+Macroindicadores!D$7),IF(AND($J287="PONTUAL",MONTH($O287)&lt;MONTH(AU$4)),MIN($AS287:AT287),IF(AND($I287="NOVO",MONTH($O287)&gt;MONTH(AU$4)),AG287,IF(MONTH($O287)&gt;MONTH(AU$4),AG287,IF(MONTH($O287)=MONTH(AU$4),AG287*(1+Macroindicadores!D$7),AT287)))))))))</f>
        <v>4.0160399999999994</v>
      </c>
      <c r="AV287" s="39">
        <f>IF(ISBLANK(T287),"",IF(ISBLANK($O287),AH287,IF($J287="ANUAL",AH287*(1+Macroindicadores!E$7),IF(AND($I287="NOVO",MONTH($O287)=MONTH(AV$4)),AH287*(1+Macroindicadores!E$7),IF(AND($J287="PONTUAL",MONTH($O287)=MONTH(AV$4)),AH287*(1+Macroindicadores!E$7),IF(AND($J287="PONTUAL",MONTH($O287)&lt;MONTH(AV$4)),MIN($AS287:AU287),IF(AND($I287="NOVO",MONTH($O287)&gt;MONTH(AV$4)),AH287,IF(MONTH($O287)&gt;MONTH(AV$4),AH287,IF(MONTH($O287)=MONTH(AV$4),AH287*(1+Macroindicadores!E$7),AU287)))))))))</f>
        <v>4.0160399999999994</v>
      </c>
      <c r="AW287" s="39">
        <f>IF(ISBLANK(U287),"",IF(ISBLANK($O287),AI287,IF($J287="ANUAL",AI287*(1+Macroindicadores!F$7),IF(AND($I287="NOVO",MONTH($O287)=MONTH(AW$4)),AI287*(1+Macroindicadores!F$7),IF(AND($J287="PONTUAL",MONTH($O287)=MONTH(AW$4)),AI287*(1+Macroindicadores!F$7),IF(AND($J287="PONTUAL",MONTH($O287)&lt;MONTH(AW$4)),MIN($AS287:AV287),IF(AND($I287="NOVO",MONTH($O287)&gt;MONTH(AW$4)),AI287,IF(MONTH($O287)&gt;MONTH(AW$4),AI287,IF(MONTH($O287)=MONTH(AW$4),AI287*(1+Macroindicadores!F$7),AV287)))))))))</f>
        <v>4.0160399999999994</v>
      </c>
      <c r="AX287" s="39">
        <f>IF(ISBLANK(V287),"",IF(ISBLANK($O287),AJ287,IF($J287="ANUAL",AJ287*(1+Macroindicadores!G$7),IF(AND($I287="NOVO",MONTH($O287)=MONTH(AX$4)),AJ287*(1+Macroindicadores!G$7),IF(AND($J287="PONTUAL",MONTH($O287)=MONTH(AX$4)),AJ287*(1+Macroindicadores!G$7),IF(AND($J287="PONTUAL",MONTH($O287)&lt;MONTH(AX$4)),MIN($AS287:AW287),IF(AND($I287="NOVO",MONTH($O287)&gt;MONTH(AX$4)),AJ287,IF(MONTH($O287)&gt;MONTH(AX$4),AJ287,IF(MONTH($O287)=MONTH(AX$4),AJ287*(1+Macroindicadores!G$7),AW287)))))))))</f>
        <v>4.0160399999999994</v>
      </c>
      <c r="AY287" s="39">
        <f>IF(ISBLANK(W287),"",IF(ISBLANK($O287),AK287,IF($J287="ANUAL",AK287*(1+Macroindicadores!H$7),IF(AND($I287="NOVO",MONTH($O287)=MONTH(AY$4)),AK287*(1+Macroindicadores!H$7),IF(AND($J287="PONTUAL",MONTH($O287)=MONTH(AY$4)),AK287*(1+Macroindicadores!H$7),IF(AND($J287="PONTUAL",MONTH($O287)&lt;MONTH(AY$4)),MIN($AS287:AX287),IF(AND($I287="NOVO",MONTH($O287)&gt;MONTH(AY$4)),AK287,IF(MONTH($O287)&gt;MONTH(AY$4),AK287,IF(MONTH($O287)=MONTH(AY$4),AK287*(1+Macroindicadores!H$7),AX287)))))))))</f>
        <v>5.0556239999999999</v>
      </c>
      <c r="AZ287" s="39">
        <f>IF(ISBLANK(X287),"",IF(ISBLANK($O287),AL287,IF($J287="ANUAL",AL287*(1+Macroindicadores!I$7),IF(AND($I287="NOVO",MONTH($O287)=MONTH(AZ$4)),AL287*(1+Macroindicadores!I$7),IF(AND($J287="PONTUAL",MONTH($O287)=MONTH(AZ$4)),AL287*(1+Macroindicadores!I$7),IF(AND($J287="PONTUAL",MONTH($O287)&lt;MONTH(AZ$4)),MIN($AS287:AY287),IF(AND($I287="NOVO",MONTH($O287)&gt;MONTH(AZ$4)),AL287,IF(MONTH($O287)&gt;MONTH(AZ$4),AL287,IF(MONTH($O287)=MONTH(AZ$4),AL287*(1+Macroindicadores!I$7),AY287)))))))))</f>
        <v>5.0556239999999999</v>
      </c>
      <c r="BA287" s="39">
        <f>IF(ISBLANK(Y287),"",IF(ISBLANK($O287),AM287,IF($J287="ANUAL",AM287*(1+Macroindicadores!J$7),IF(AND($I287="NOVO",MONTH($O287)=MONTH(BA$4)),AM287*(1+Macroindicadores!J$7),IF(AND($J287="PONTUAL",MONTH($O287)=MONTH(BA$4)),AM287*(1+Macroindicadores!J$7),IF(AND($J287="PONTUAL",MONTH($O287)&lt;MONTH(BA$4)),MIN($AS287:AZ287),IF(AND($I287="NOVO",MONTH($O287)&gt;MONTH(BA$4)),AM287,IF(MONTH($O287)&gt;MONTH(BA$4),AM287,IF(MONTH($O287)=MONTH(BA$4),AM287*(1+Macroindicadores!J$7),AZ287)))))))))</f>
        <v>5.0556239999999999</v>
      </c>
      <c r="BB287" s="39">
        <f>IF(ISBLANK(Z287),"",IF(ISBLANK($O287),AN287,IF($J287="ANUAL",AN287*(1+Macroindicadores!K$7),IF(AND($I287="NOVO",MONTH($O287)=MONTH(BB$4)),AN287*(1+Macroindicadores!K$7),IF(AND($J287="PONTUAL",MONTH($O287)=MONTH(BB$4)),AN287*(1+Macroindicadores!K$7),IF(AND($J287="PONTUAL",MONTH($O287)&lt;MONTH(BB$4)),MIN($AS287:BA287),IF(AND($I287="NOVO",MONTH($O287)&gt;MONTH(BB$4)),AN287,IF(MONTH($O287)&gt;MONTH(BB$4),AN287,IF(MONTH($O287)=MONTH(BB$4),AN287*(1+Macroindicadores!K$7),BA287)))))))))</f>
        <v>5.0556239999999999</v>
      </c>
      <c r="BC287" s="39">
        <f>IF(ISBLANK(AA287),"",IF(ISBLANK($O287),AO287,IF($J287="ANUAL",AO287*(1+Macroindicadores!L$7),IF(AND($I287="NOVO",MONTH($O287)=MONTH(BC$4)),AO287*(1+Macroindicadores!L$7),IF(AND($J287="PONTUAL",MONTH($O287)=MONTH(BC$4)),AO287*(1+Macroindicadores!L$7),IF(AND($J287="PONTUAL",MONTH($O287)&lt;MONTH(BC$4)),MIN($AS287:BB287),IF(AND($I287="NOVO",MONTH($O287)&gt;MONTH(BC$4)),AO287,IF(MONTH($O287)&gt;MONTH(BC$4),AO287,IF(MONTH($O287)=MONTH(BC$4),AO287*(1+Macroindicadores!L$7),BB287)))))))))</f>
        <v>5.0556239999999999</v>
      </c>
      <c r="BD287" s="39">
        <f>IF(ISBLANK(AB287),"",IF(ISBLANK($O287),AP287,IF($J287="ANUAL",AP287*(1+Macroindicadores!M$7),IF(AND($I287="NOVO",MONTH($O287)=MONTH(BD$4)),AP287*(1+Macroindicadores!M$7),IF(AND($J287="PONTUAL",MONTH($O287)=MONTH(BD$4)),AP287*(1+Macroindicadores!M$7),IF(AND($J287="PONTUAL",MONTH($O287)&lt;MONTH(BD$4)),MIN($AS287:BC287),IF(AND($I287="NOVO",MONTH($O287)&gt;MONTH(BD$4)),AP287,IF(MONTH($O287)&gt;MONTH(BD$4),AP287,IF(MONTH($O287)=MONTH(BD$4),AP287*(1+Macroindicadores!M$7),BC287)))))))))</f>
        <v>5.0556239999999999</v>
      </c>
      <c r="BE287" s="40">
        <f t="shared" ref="BE287:BE291" si="135">IF(AND(ISBLANK($Q287),ISBLANK($R287),ISBLANK($S287),ISBLANK($T287),ISBLANK($U287),ISBLANK($V287),ISBLANK($W287),ISBLANK($X287),ISBLANK($Y287),ISBLANK($Z287),ISBLANK($AA287),ISBLANK($AB287)),"",SUM(AS287:BD287))</f>
        <v>54.429984000000005</v>
      </c>
      <c r="BG287" s="39">
        <f>IF(ISBLANK(Q287),"",AS287/Macroindicadores!B$2)</f>
        <v>0.68299999999999994</v>
      </c>
      <c r="BH287" s="39">
        <f>IF(ISBLANK(R287),"",AT287/Macroindicadores!C$2)</f>
        <v>0.68299999999999994</v>
      </c>
      <c r="BI287" s="39">
        <f>IF(ISBLANK(S287),"",AU287/Macroindicadores!D$2)</f>
        <v>0.68299999999999994</v>
      </c>
      <c r="BJ287" s="39">
        <f>IF(ISBLANK(T287),"",AV287/Macroindicadores!E$2)</f>
        <v>0.68299999999999994</v>
      </c>
      <c r="BK287" s="39">
        <f>IF(ISBLANK(U287),"",AW287/Macroindicadores!F$2)</f>
        <v>0.68299999999999994</v>
      </c>
      <c r="BL287" s="39">
        <f>IF(ISBLANK(V287),"",AX287/Macroindicadores!G$2)</f>
        <v>0.68299999999999994</v>
      </c>
      <c r="BM287" s="39">
        <f>IF(ISBLANK(W287),"",AY287/Macroindicadores!H$2)</f>
        <v>0.85980000000000001</v>
      </c>
      <c r="BN287" s="39">
        <f>IF(ISBLANK(X287),"",AZ287/Macroindicadores!I$2)</f>
        <v>0.85980000000000001</v>
      </c>
      <c r="BO287" s="39">
        <f>IF(ISBLANK(Y287),"",BA287/Macroindicadores!J$2)</f>
        <v>0.85980000000000001</v>
      </c>
      <c r="BP287" s="39">
        <f>IF(ISBLANK(Z287),"",BB287/Macroindicadores!K$2)</f>
        <v>0.85980000000000001</v>
      </c>
      <c r="BQ287" s="39">
        <f>IF(ISBLANK(AA287),"",BC287/Macroindicadores!L$2)</f>
        <v>0.85980000000000001</v>
      </c>
      <c r="BR287" s="39">
        <f>IF(ISBLANK(AB287),"",BD287/Macroindicadores!M$2)</f>
        <v>0.85980000000000001</v>
      </c>
      <c r="BS287" s="40">
        <f t="shared" ref="BS287:BS291" si="136">IF(AND(ISBLANK($Q287),ISBLANK($R287),ISBLANK($S287),ISBLANK($T287),ISBLANK($U287),ISBLANK($V287),ISBLANK($W287),ISBLANK($X287),ISBLANK($Y287),ISBLANK($Z287),ISBLANK($AA287),ISBLANK($AB287)),"",SUM(BG287:BR287))</f>
        <v>9.2568000000000001</v>
      </c>
      <c r="BT287" s="25" t="str">
        <f>IF(ISBLANK($L287),"",_xlfn.XLOOKUP($L287,'CENTRO CUSTO'!$A:$A,'CENTRO CUSTO'!$E:$E,FALSE,0))</f>
        <v/>
      </c>
    </row>
    <row r="288" spans="1:72">
      <c r="A288" s="9" t="str">
        <f t="shared" si="80"/>
        <v>Budget</v>
      </c>
      <c r="B288" s="9">
        <f t="shared" si="77"/>
        <v>2026</v>
      </c>
      <c r="C288" s="111" t="s">
        <v>273</v>
      </c>
      <c r="D288" s="111" t="s">
        <v>274</v>
      </c>
      <c r="E288" s="111" t="s">
        <v>14</v>
      </c>
      <c r="F288" s="112" t="s">
        <v>92</v>
      </c>
      <c r="G288" s="112" t="s">
        <v>75</v>
      </c>
      <c r="H288" s="112" t="s">
        <v>276</v>
      </c>
      <c r="I288" s="11" t="s">
        <v>77</v>
      </c>
      <c r="J288" s="11" t="s">
        <v>78</v>
      </c>
      <c r="K288" s="11" t="s">
        <v>79</v>
      </c>
      <c r="L288" s="11"/>
      <c r="M288" s="18" t="str">
        <f>IF(ISBLANK($L288),"",_xlfn.XLOOKUP($L288,'CENTRO CUSTO'!$A:$A,'CENTRO CUSTO'!D:D,FALSE,0))</f>
        <v/>
      </c>
      <c r="N288" s="11" t="s">
        <v>91</v>
      </c>
      <c r="O288" s="12"/>
      <c r="P288" s="113" t="s">
        <v>88</v>
      </c>
      <c r="Q288" s="41">
        <v>109.86666666666667</v>
      </c>
      <c r="R288" s="41">
        <v>109.86666666666667</v>
      </c>
      <c r="S288" s="41">
        <v>109.86666666666667</v>
      </c>
      <c r="T288" s="41">
        <v>109.86666666666667</v>
      </c>
      <c r="U288" s="41">
        <v>109.86666666666667</v>
      </c>
      <c r="V288" s="41">
        <v>109.86666666666667</v>
      </c>
      <c r="W288" s="41">
        <v>109.86666666666667</v>
      </c>
      <c r="X288" s="41">
        <v>109.86666666666667</v>
      </c>
      <c r="Y288" s="41">
        <v>109.86666666666667</v>
      </c>
      <c r="Z288" s="41">
        <v>109.86666666666667</v>
      </c>
      <c r="AA288" s="41">
        <v>109.86666666666667</v>
      </c>
      <c r="AB288" s="41">
        <v>109.86666666666667</v>
      </c>
      <c r="AC288" s="116">
        <f t="shared" si="133"/>
        <v>1318.4</v>
      </c>
      <c r="AE288" s="39">
        <f>IF(ISBLANK(Q288),"",IF($P288="BRL",Q288,Q288*Macroindicadores!B$2)/1000)</f>
        <v>0.64601600000000003</v>
      </c>
      <c r="AF288" s="39">
        <f>IF(ISBLANK(R288),"",IF($P288="BRL",R288,R288*Macroindicadores!C$2)/1000)</f>
        <v>0.64601600000000003</v>
      </c>
      <c r="AG288" s="39">
        <f>IF(ISBLANK(S288),"",IF($P288="BRL",S288,S288*Macroindicadores!D$2)/1000)</f>
        <v>0.64601600000000003</v>
      </c>
      <c r="AH288" s="39">
        <f>IF(ISBLANK(T288),"",IF($P288="BRL",T288,T288*Macroindicadores!E$2)/1000)</f>
        <v>0.64601600000000003</v>
      </c>
      <c r="AI288" s="39">
        <f>IF(ISBLANK(U288),"",IF($P288="BRL",U288,U288*Macroindicadores!F$2)/1000)</f>
        <v>0.64601600000000003</v>
      </c>
      <c r="AJ288" s="39">
        <f>IF(ISBLANK(V288),"",IF($P288="BRL",V288,V288*Macroindicadores!G$2)/1000)</f>
        <v>0.64601600000000003</v>
      </c>
      <c r="AK288" s="39">
        <f>IF(ISBLANK(W288),"",IF($P288="BRL",W288,W288*Macroindicadores!H$2)/1000)</f>
        <v>0.64601600000000003</v>
      </c>
      <c r="AL288" s="39">
        <f>IF(ISBLANK(X288),"",IF($P288="BRL",X288,X288*Macroindicadores!I$2)/1000)</f>
        <v>0.64601600000000003</v>
      </c>
      <c r="AM288" s="39">
        <f>IF(ISBLANK(Y288),"",IF($P288="BRL",Y288,Y288*Macroindicadores!J$2)/1000)</f>
        <v>0.64601600000000003</v>
      </c>
      <c r="AN288" s="39">
        <f>IF(ISBLANK(Z288),"",IF($P288="BRL",Z288,Z288*Macroindicadores!K$2)/1000)</f>
        <v>0.64601600000000003</v>
      </c>
      <c r="AO288" s="39">
        <f>IF(ISBLANK(AA288),"",IF($P288="BRL",AA288,AA288*Macroindicadores!L$2)/1000)</f>
        <v>0.64601600000000003</v>
      </c>
      <c r="AP288" s="39">
        <f>IF(ISBLANK(AB288),"",IF($P288="BRL",AB288,AB288*Macroindicadores!M$2)/1000)</f>
        <v>0.64601600000000003</v>
      </c>
      <c r="AQ288" s="40">
        <f t="shared" si="134"/>
        <v>7.7521920000000017</v>
      </c>
      <c r="AS288" s="39">
        <f>IF(ISBLANK(Q288),"",IF(ISBLANK($O288),AE288,IF($J288="ANUAL",AE288*(1+Macroindicadores!B$7),IF(AND($I288="NOVO",MONTH($O288)=MONTH(AS$4)),AE288*(1+Macroindicadores!B$7),IF(AND($J288="PONTUAL",MONTH($O288)=MONTH(AS$4)),AE288*(1+Macroindicadores!B$7),IF(AND($J288="PONTUAL",MONTH($O288)&lt;MONTH(AS$4)),MIN(AR288:$AS288),IF(AND($I288="NOVO",MONTH($O288)&gt;MONTH(AS$4)),AE288,IF(MONTH($O288)&gt;MONTH(AS$4),AE288,IF(MONTH($O288)=MONTH(AS$4),AE288*(1+Macroindicadores!B$7),AR288)))))))))</f>
        <v>0.64601600000000003</v>
      </c>
      <c r="AT288" s="39">
        <f>IF(ISBLANK(R288),"",IF(ISBLANK($O288),AF288,IF($J288="ANUAL",AF288*(1+Macroindicadores!C$7),IF(AND($I288="NOVO",MONTH($O288)=MONTH(AT$4)),AF288*(1+Macroindicadores!C$7),IF(AND($J288="PONTUAL",MONTH($O288)=MONTH(AT$4)),AF288*(1+Macroindicadores!C$7),IF(AND($J288="PONTUAL",MONTH($O288)&lt;MONTH(AT$4)),MIN($AS288:AS288),IF(AND($I288="NOVO",MONTH($O288)&gt;MONTH(AT$4)),AF288,IF(MONTH($O288)&gt;MONTH(AT$4),AF288,IF(MONTH($O288)=MONTH(AT$4),AF288*(1+Macroindicadores!C$7),AS288)))))))))</f>
        <v>0.64601600000000003</v>
      </c>
      <c r="AU288" s="39">
        <f>IF(ISBLANK(S288),"",IF(ISBLANK($O288),AG288,IF($J288="ANUAL",AG288*(1+Macroindicadores!D$7),IF(AND($I288="NOVO",MONTH($O288)=MONTH(AU$4)),AG288*(1+Macroindicadores!D$7),IF(AND($J288="PONTUAL",MONTH($O288)=MONTH(AU$4)),AG288*(1+Macroindicadores!D$7),IF(AND($J288="PONTUAL",MONTH($O288)&lt;MONTH(AU$4)),MIN($AS288:AT288),IF(AND($I288="NOVO",MONTH($O288)&gt;MONTH(AU$4)),AG288,IF(MONTH($O288)&gt;MONTH(AU$4),AG288,IF(MONTH($O288)=MONTH(AU$4),AG288*(1+Macroindicadores!D$7),AT288)))))))))</f>
        <v>0.64601600000000003</v>
      </c>
      <c r="AV288" s="39">
        <f>IF(ISBLANK(T288),"",IF(ISBLANK($O288),AH288,IF($J288="ANUAL",AH288*(1+Macroindicadores!E$7),IF(AND($I288="NOVO",MONTH($O288)=MONTH(AV$4)),AH288*(1+Macroindicadores!E$7),IF(AND($J288="PONTUAL",MONTH($O288)=MONTH(AV$4)),AH288*(1+Macroindicadores!E$7),IF(AND($J288="PONTUAL",MONTH($O288)&lt;MONTH(AV$4)),MIN($AS288:AU288),IF(AND($I288="NOVO",MONTH($O288)&gt;MONTH(AV$4)),AH288,IF(MONTH($O288)&gt;MONTH(AV$4),AH288,IF(MONTH($O288)=MONTH(AV$4),AH288*(1+Macroindicadores!E$7),AU288)))))))))</f>
        <v>0.64601600000000003</v>
      </c>
      <c r="AW288" s="39">
        <f>IF(ISBLANK(U288),"",IF(ISBLANK($O288),AI288,IF($J288="ANUAL",AI288*(1+Macroindicadores!F$7),IF(AND($I288="NOVO",MONTH($O288)=MONTH(AW$4)),AI288*(1+Macroindicadores!F$7),IF(AND($J288="PONTUAL",MONTH($O288)=MONTH(AW$4)),AI288*(1+Macroindicadores!F$7),IF(AND($J288="PONTUAL",MONTH($O288)&lt;MONTH(AW$4)),MIN($AS288:AV288),IF(AND($I288="NOVO",MONTH($O288)&gt;MONTH(AW$4)),AI288,IF(MONTH($O288)&gt;MONTH(AW$4),AI288,IF(MONTH($O288)=MONTH(AW$4),AI288*(1+Macroindicadores!F$7),AV288)))))))))</f>
        <v>0.64601600000000003</v>
      </c>
      <c r="AX288" s="39">
        <f>IF(ISBLANK(V288),"",IF(ISBLANK($O288),AJ288,IF($J288="ANUAL",AJ288*(1+Macroindicadores!G$7),IF(AND($I288="NOVO",MONTH($O288)=MONTH(AX$4)),AJ288*(1+Macroindicadores!G$7),IF(AND($J288="PONTUAL",MONTH($O288)=MONTH(AX$4)),AJ288*(1+Macroindicadores!G$7),IF(AND($J288="PONTUAL",MONTH($O288)&lt;MONTH(AX$4)),MIN($AS288:AW288),IF(AND($I288="NOVO",MONTH($O288)&gt;MONTH(AX$4)),AJ288,IF(MONTH($O288)&gt;MONTH(AX$4),AJ288,IF(MONTH($O288)=MONTH(AX$4),AJ288*(1+Macroindicadores!G$7),AW288)))))))))</f>
        <v>0.64601600000000003</v>
      </c>
      <c r="AY288" s="39">
        <f>IF(ISBLANK(W288),"",IF(ISBLANK($O288),AK288,IF($J288="ANUAL",AK288*(1+Macroindicadores!H$7),IF(AND($I288="NOVO",MONTH($O288)=MONTH(AY$4)),AK288*(1+Macroindicadores!H$7),IF(AND($J288="PONTUAL",MONTH($O288)=MONTH(AY$4)),AK288*(1+Macroindicadores!H$7),IF(AND($J288="PONTUAL",MONTH($O288)&lt;MONTH(AY$4)),MIN($AS288:AX288),IF(AND($I288="NOVO",MONTH($O288)&gt;MONTH(AY$4)),AK288,IF(MONTH($O288)&gt;MONTH(AY$4),AK288,IF(MONTH($O288)=MONTH(AY$4),AK288*(1+Macroindicadores!H$7),AX288)))))))))</f>
        <v>0.64601600000000003</v>
      </c>
      <c r="AZ288" s="39">
        <f>IF(ISBLANK(X288),"",IF(ISBLANK($O288),AL288,IF($J288="ANUAL",AL288*(1+Macroindicadores!I$7),IF(AND($I288="NOVO",MONTH($O288)=MONTH(AZ$4)),AL288*(1+Macroindicadores!I$7),IF(AND($J288="PONTUAL",MONTH($O288)=MONTH(AZ$4)),AL288*(1+Macroindicadores!I$7),IF(AND($J288="PONTUAL",MONTH($O288)&lt;MONTH(AZ$4)),MIN($AS288:AY288),IF(AND($I288="NOVO",MONTH($O288)&gt;MONTH(AZ$4)),AL288,IF(MONTH($O288)&gt;MONTH(AZ$4),AL288,IF(MONTH($O288)=MONTH(AZ$4),AL288*(1+Macroindicadores!I$7),AY288)))))))))</f>
        <v>0.64601600000000003</v>
      </c>
      <c r="BA288" s="39">
        <f>IF(ISBLANK(Y288),"",IF(ISBLANK($O288),AM288,IF($J288="ANUAL",AM288*(1+Macroindicadores!J$7),IF(AND($I288="NOVO",MONTH($O288)=MONTH(BA$4)),AM288*(1+Macroindicadores!J$7),IF(AND($J288="PONTUAL",MONTH($O288)=MONTH(BA$4)),AM288*(1+Macroindicadores!J$7),IF(AND($J288="PONTUAL",MONTH($O288)&lt;MONTH(BA$4)),MIN($AS288:AZ288),IF(AND($I288="NOVO",MONTH($O288)&gt;MONTH(BA$4)),AM288,IF(MONTH($O288)&gt;MONTH(BA$4),AM288,IF(MONTH($O288)=MONTH(BA$4),AM288*(1+Macroindicadores!J$7),AZ288)))))))))</f>
        <v>0.64601600000000003</v>
      </c>
      <c r="BB288" s="39">
        <f>IF(ISBLANK(Z288),"",IF(ISBLANK($O288),AN288,IF($J288="ANUAL",AN288*(1+Macroindicadores!K$7),IF(AND($I288="NOVO",MONTH($O288)=MONTH(BB$4)),AN288*(1+Macroindicadores!K$7),IF(AND($J288="PONTUAL",MONTH($O288)=MONTH(BB$4)),AN288*(1+Macroindicadores!K$7),IF(AND($J288="PONTUAL",MONTH($O288)&lt;MONTH(BB$4)),MIN($AS288:BA288),IF(AND($I288="NOVO",MONTH($O288)&gt;MONTH(BB$4)),AN288,IF(MONTH($O288)&gt;MONTH(BB$4),AN288,IF(MONTH($O288)=MONTH(BB$4),AN288*(1+Macroindicadores!K$7),BA288)))))))))</f>
        <v>0.64601600000000003</v>
      </c>
      <c r="BC288" s="39">
        <f>IF(ISBLANK(AA288),"",IF(ISBLANK($O288),AO288,IF($J288="ANUAL",AO288*(1+Macroindicadores!L$7),IF(AND($I288="NOVO",MONTH($O288)=MONTH(BC$4)),AO288*(1+Macroindicadores!L$7),IF(AND($J288="PONTUAL",MONTH($O288)=MONTH(BC$4)),AO288*(1+Macroindicadores!L$7),IF(AND($J288="PONTUAL",MONTH($O288)&lt;MONTH(BC$4)),MIN($AS288:BB288),IF(AND($I288="NOVO",MONTH($O288)&gt;MONTH(BC$4)),AO288,IF(MONTH($O288)&gt;MONTH(BC$4),AO288,IF(MONTH($O288)=MONTH(BC$4),AO288*(1+Macroindicadores!L$7),BB288)))))))))</f>
        <v>0.64601600000000003</v>
      </c>
      <c r="BD288" s="39">
        <f>IF(ISBLANK(AB288),"",IF(ISBLANK($O288),AP288,IF($J288="ANUAL",AP288*(1+Macroindicadores!M$7),IF(AND($I288="NOVO",MONTH($O288)=MONTH(BD$4)),AP288*(1+Macroindicadores!M$7),IF(AND($J288="PONTUAL",MONTH($O288)=MONTH(BD$4)),AP288*(1+Macroindicadores!M$7),IF(AND($J288="PONTUAL",MONTH($O288)&lt;MONTH(BD$4)),MIN($AS288:BC288),IF(AND($I288="NOVO",MONTH($O288)&gt;MONTH(BD$4)),AP288,IF(MONTH($O288)&gt;MONTH(BD$4),AP288,IF(MONTH($O288)=MONTH(BD$4),AP288*(1+Macroindicadores!M$7),BC288)))))))))</f>
        <v>0.64601600000000003</v>
      </c>
      <c r="BE288" s="40">
        <f t="shared" si="135"/>
        <v>7.7521920000000017</v>
      </c>
      <c r="BG288" s="39">
        <f>IF(ISBLANK(Q288),"",AS288/Macroindicadores!B$2)</f>
        <v>0.10986666666666667</v>
      </c>
      <c r="BH288" s="39">
        <f>IF(ISBLANK(R288),"",AT288/Macroindicadores!C$2)</f>
        <v>0.10986666666666667</v>
      </c>
      <c r="BI288" s="39">
        <f>IF(ISBLANK(S288),"",AU288/Macroindicadores!D$2)</f>
        <v>0.10986666666666667</v>
      </c>
      <c r="BJ288" s="39">
        <f>IF(ISBLANK(T288),"",AV288/Macroindicadores!E$2)</f>
        <v>0.10986666666666667</v>
      </c>
      <c r="BK288" s="39">
        <f>IF(ISBLANK(U288),"",AW288/Macroindicadores!F$2)</f>
        <v>0.10986666666666667</v>
      </c>
      <c r="BL288" s="39">
        <f>IF(ISBLANK(V288),"",AX288/Macroindicadores!G$2)</f>
        <v>0.10986666666666667</v>
      </c>
      <c r="BM288" s="39">
        <f>IF(ISBLANK(W288),"",AY288/Macroindicadores!H$2)</f>
        <v>0.10986666666666667</v>
      </c>
      <c r="BN288" s="39">
        <f>IF(ISBLANK(X288),"",AZ288/Macroindicadores!I$2)</f>
        <v>0.10986666666666667</v>
      </c>
      <c r="BO288" s="39">
        <f>IF(ISBLANK(Y288),"",BA288/Macroindicadores!J$2)</f>
        <v>0.10986666666666667</v>
      </c>
      <c r="BP288" s="39">
        <f>IF(ISBLANK(Z288),"",BB288/Macroindicadores!K$2)</f>
        <v>0.10986666666666667</v>
      </c>
      <c r="BQ288" s="39">
        <f>IF(ISBLANK(AA288),"",BC288/Macroindicadores!L$2)</f>
        <v>0.10986666666666667</v>
      </c>
      <c r="BR288" s="39">
        <f>IF(ISBLANK(AB288),"",BD288/Macroindicadores!M$2)</f>
        <v>0.10986666666666667</v>
      </c>
      <c r="BS288" s="40">
        <f t="shared" si="136"/>
        <v>1.3184</v>
      </c>
      <c r="BT288" s="25" t="str">
        <f>IF(ISBLANK($L288),"",_xlfn.XLOOKUP($L288,'CENTRO CUSTO'!$A:$A,'CENTRO CUSTO'!$E:$E,FALSE,0))</f>
        <v/>
      </c>
    </row>
    <row r="289" spans="1:72">
      <c r="A289" s="9" t="str">
        <f t="shared" si="80"/>
        <v>Budget</v>
      </c>
      <c r="B289" s="9">
        <f t="shared" si="77"/>
        <v>2026</v>
      </c>
      <c r="C289" s="111" t="s">
        <v>273</v>
      </c>
      <c r="D289" s="111" t="s">
        <v>274</v>
      </c>
      <c r="E289" s="111" t="s">
        <v>14</v>
      </c>
      <c r="F289" s="112" t="s">
        <v>92</v>
      </c>
      <c r="G289" s="112" t="s">
        <v>75</v>
      </c>
      <c r="H289" s="112" t="s">
        <v>277</v>
      </c>
      <c r="I289" s="11" t="s">
        <v>77</v>
      </c>
      <c r="J289" s="11" t="s">
        <v>120</v>
      </c>
      <c r="K289" s="11" t="s">
        <v>79</v>
      </c>
      <c r="L289" s="11"/>
      <c r="M289" s="18" t="str">
        <f>IF(ISBLANK($L289),"",_xlfn.XLOOKUP($L289,'CENTRO CUSTO'!$A:$A,'CENTRO CUSTO'!D:D,FALSE,0))</f>
        <v/>
      </c>
      <c r="N289" s="11" t="s">
        <v>80</v>
      </c>
      <c r="O289" s="12"/>
      <c r="P289" s="113" t="s">
        <v>88</v>
      </c>
      <c r="Q289" s="41">
        <v>113.83333333333333</v>
      </c>
      <c r="R289" s="41">
        <v>113.83333333333333</v>
      </c>
      <c r="S289" s="41">
        <v>113.83333333333333</v>
      </c>
      <c r="T289" s="41">
        <v>113.83333333333333</v>
      </c>
      <c r="U289" s="41">
        <v>113.83333333333333</v>
      </c>
      <c r="V289" s="41">
        <v>113.83333333333333</v>
      </c>
      <c r="W289" s="41">
        <v>143.30000000000001</v>
      </c>
      <c r="X289" s="41">
        <v>143.30000000000001</v>
      </c>
      <c r="Y289" s="41">
        <v>143.30000000000001</v>
      </c>
      <c r="Z289" s="41">
        <v>143.30000000000001</v>
      </c>
      <c r="AA289" s="41">
        <v>143.30000000000001</v>
      </c>
      <c r="AB289" s="41">
        <v>143.30000000000001</v>
      </c>
      <c r="AC289" s="116">
        <f t="shared" si="133"/>
        <v>1542.7999999999997</v>
      </c>
      <c r="AE289" s="39">
        <f>IF(ISBLANK(Q289),"",IF($P289="BRL",Q289,Q289*Macroindicadores!B$2)/1000)</f>
        <v>0.66933999999999994</v>
      </c>
      <c r="AF289" s="39">
        <f>IF(ISBLANK(R289),"",IF($P289="BRL",R289,R289*Macroindicadores!C$2)/1000)</f>
        <v>0.66933999999999994</v>
      </c>
      <c r="AG289" s="39">
        <f>IF(ISBLANK(S289),"",IF($P289="BRL",S289,S289*Macroindicadores!D$2)/1000)</f>
        <v>0.66933999999999994</v>
      </c>
      <c r="AH289" s="39">
        <f>IF(ISBLANK(T289),"",IF($P289="BRL",T289,T289*Macroindicadores!E$2)/1000)</f>
        <v>0.66933999999999994</v>
      </c>
      <c r="AI289" s="39">
        <f>IF(ISBLANK(U289),"",IF($P289="BRL",U289,U289*Macroindicadores!F$2)/1000)</f>
        <v>0.66933999999999994</v>
      </c>
      <c r="AJ289" s="39">
        <f>IF(ISBLANK(V289),"",IF($P289="BRL",V289,V289*Macroindicadores!G$2)/1000)</f>
        <v>0.66933999999999994</v>
      </c>
      <c r="AK289" s="39">
        <f>IF(ISBLANK(W289),"",IF($P289="BRL",W289,W289*Macroindicadores!H$2)/1000)</f>
        <v>0.84260400000000002</v>
      </c>
      <c r="AL289" s="39">
        <f>IF(ISBLANK(X289),"",IF($P289="BRL",X289,X289*Macroindicadores!I$2)/1000)</f>
        <v>0.84260400000000002</v>
      </c>
      <c r="AM289" s="39">
        <f>IF(ISBLANK(Y289),"",IF($P289="BRL",Y289,Y289*Macroindicadores!J$2)/1000)</f>
        <v>0.84260400000000002</v>
      </c>
      <c r="AN289" s="39">
        <f>IF(ISBLANK(Z289),"",IF($P289="BRL",Z289,Z289*Macroindicadores!K$2)/1000)</f>
        <v>0.84260400000000002</v>
      </c>
      <c r="AO289" s="39">
        <f>IF(ISBLANK(AA289),"",IF($P289="BRL",AA289,AA289*Macroindicadores!L$2)/1000)</f>
        <v>0.84260400000000002</v>
      </c>
      <c r="AP289" s="39">
        <f>IF(ISBLANK(AB289),"",IF($P289="BRL",AB289,AB289*Macroindicadores!M$2)/1000)</f>
        <v>0.84260400000000002</v>
      </c>
      <c r="AQ289" s="40">
        <f t="shared" si="134"/>
        <v>9.0716639999999984</v>
      </c>
      <c r="AS289" s="39">
        <f>IF(ISBLANK(Q289),"",IF(ISBLANK($O289),AE289,IF($J289="ANUAL",AE289*(1+Macroindicadores!B$7),IF(AND($I289="NOVO",MONTH($O289)=MONTH(AS$4)),AE289*(1+Macroindicadores!B$7),IF(AND($J289="PONTUAL",MONTH($O289)=MONTH(AS$4)),AE289*(1+Macroindicadores!B$7),IF(AND($J289="PONTUAL",MONTH($O289)&lt;MONTH(AS$4)),MIN(AR289:$AS289),IF(AND($I289="NOVO",MONTH($O289)&gt;MONTH(AS$4)),AE289,IF(MONTH($O289)&gt;MONTH(AS$4),AE289,IF(MONTH($O289)=MONTH(AS$4),AE289*(1+Macroindicadores!B$7),AR289)))))))))</f>
        <v>0.66933999999999994</v>
      </c>
      <c r="AT289" s="39">
        <f>IF(ISBLANK(R289),"",IF(ISBLANK($O289),AF289,IF($J289="ANUAL",AF289*(1+Macroindicadores!C$7),IF(AND($I289="NOVO",MONTH($O289)=MONTH(AT$4)),AF289*(1+Macroindicadores!C$7),IF(AND($J289="PONTUAL",MONTH($O289)=MONTH(AT$4)),AF289*(1+Macroindicadores!C$7),IF(AND($J289="PONTUAL",MONTH($O289)&lt;MONTH(AT$4)),MIN($AS289:AS289),IF(AND($I289="NOVO",MONTH($O289)&gt;MONTH(AT$4)),AF289,IF(MONTH($O289)&gt;MONTH(AT$4),AF289,IF(MONTH($O289)=MONTH(AT$4),AF289*(1+Macroindicadores!C$7),AS289)))))))))</f>
        <v>0.66933999999999994</v>
      </c>
      <c r="AU289" s="39">
        <f>IF(ISBLANK(S289),"",IF(ISBLANK($O289),AG289,IF($J289="ANUAL",AG289*(1+Macroindicadores!D$7),IF(AND($I289="NOVO",MONTH($O289)=MONTH(AU$4)),AG289*(1+Macroindicadores!D$7),IF(AND($J289="PONTUAL",MONTH($O289)=MONTH(AU$4)),AG289*(1+Macroindicadores!D$7),IF(AND($J289="PONTUAL",MONTH($O289)&lt;MONTH(AU$4)),MIN($AS289:AT289),IF(AND($I289="NOVO",MONTH($O289)&gt;MONTH(AU$4)),AG289,IF(MONTH($O289)&gt;MONTH(AU$4),AG289,IF(MONTH($O289)=MONTH(AU$4),AG289*(1+Macroindicadores!D$7),AT289)))))))))</f>
        <v>0.66933999999999994</v>
      </c>
      <c r="AV289" s="39">
        <f>IF(ISBLANK(T289),"",IF(ISBLANK($O289),AH289,IF($J289="ANUAL",AH289*(1+Macroindicadores!E$7),IF(AND($I289="NOVO",MONTH($O289)=MONTH(AV$4)),AH289*(1+Macroindicadores!E$7),IF(AND($J289="PONTUAL",MONTH($O289)=MONTH(AV$4)),AH289*(1+Macroindicadores!E$7),IF(AND($J289="PONTUAL",MONTH($O289)&lt;MONTH(AV$4)),MIN($AS289:AU289),IF(AND($I289="NOVO",MONTH($O289)&gt;MONTH(AV$4)),AH289,IF(MONTH($O289)&gt;MONTH(AV$4),AH289,IF(MONTH($O289)=MONTH(AV$4),AH289*(1+Macroindicadores!E$7),AU289)))))))))</f>
        <v>0.66933999999999994</v>
      </c>
      <c r="AW289" s="39">
        <f>IF(ISBLANK(U289),"",IF(ISBLANK($O289),AI289,IF($J289="ANUAL",AI289*(1+Macroindicadores!F$7),IF(AND($I289="NOVO",MONTH($O289)=MONTH(AW$4)),AI289*(1+Macroindicadores!F$7),IF(AND($J289="PONTUAL",MONTH($O289)=MONTH(AW$4)),AI289*(1+Macroindicadores!F$7),IF(AND($J289="PONTUAL",MONTH($O289)&lt;MONTH(AW$4)),MIN($AS289:AV289),IF(AND($I289="NOVO",MONTH($O289)&gt;MONTH(AW$4)),AI289,IF(MONTH($O289)&gt;MONTH(AW$4),AI289,IF(MONTH($O289)=MONTH(AW$4),AI289*(1+Macroindicadores!F$7),AV289)))))))))</f>
        <v>0.66933999999999994</v>
      </c>
      <c r="AX289" s="39">
        <f>IF(ISBLANK(V289),"",IF(ISBLANK($O289),AJ289,IF($J289="ANUAL",AJ289*(1+Macroindicadores!G$7),IF(AND($I289="NOVO",MONTH($O289)=MONTH(AX$4)),AJ289*(1+Macroindicadores!G$7),IF(AND($J289="PONTUAL",MONTH($O289)=MONTH(AX$4)),AJ289*(1+Macroindicadores!G$7),IF(AND($J289="PONTUAL",MONTH($O289)&lt;MONTH(AX$4)),MIN($AS289:AW289),IF(AND($I289="NOVO",MONTH($O289)&gt;MONTH(AX$4)),AJ289,IF(MONTH($O289)&gt;MONTH(AX$4),AJ289,IF(MONTH($O289)=MONTH(AX$4),AJ289*(1+Macroindicadores!G$7),AW289)))))))))</f>
        <v>0.66933999999999994</v>
      </c>
      <c r="AY289" s="39">
        <f>IF(ISBLANK(W289),"",IF(ISBLANK($O289),AK289,IF($J289="ANUAL",AK289*(1+Macroindicadores!H$7),IF(AND($I289="NOVO",MONTH($O289)=MONTH(AY$4)),AK289*(1+Macroindicadores!H$7),IF(AND($J289="PONTUAL",MONTH($O289)=MONTH(AY$4)),AK289*(1+Macroindicadores!H$7),IF(AND($J289="PONTUAL",MONTH($O289)&lt;MONTH(AY$4)),MIN($AS289:AX289),IF(AND($I289="NOVO",MONTH($O289)&gt;MONTH(AY$4)),AK289,IF(MONTH($O289)&gt;MONTH(AY$4),AK289,IF(MONTH($O289)=MONTH(AY$4),AK289*(1+Macroindicadores!H$7),AX289)))))))))</f>
        <v>0.84260400000000002</v>
      </c>
      <c r="AZ289" s="39">
        <f>IF(ISBLANK(X289),"",IF(ISBLANK($O289),AL289,IF($J289="ANUAL",AL289*(1+Macroindicadores!I$7),IF(AND($I289="NOVO",MONTH($O289)=MONTH(AZ$4)),AL289*(1+Macroindicadores!I$7),IF(AND($J289="PONTUAL",MONTH($O289)=MONTH(AZ$4)),AL289*(1+Macroindicadores!I$7),IF(AND($J289="PONTUAL",MONTH($O289)&lt;MONTH(AZ$4)),MIN($AS289:AY289),IF(AND($I289="NOVO",MONTH($O289)&gt;MONTH(AZ$4)),AL289,IF(MONTH($O289)&gt;MONTH(AZ$4),AL289,IF(MONTH($O289)=MONTH(AZ$4),AL289*(1+Macroindicadores!I$7),AY289)))))))))</f>
        <v>0.84260400000000002</v>
      </c>
      <c r="BA289" s="39">
        <f>IF(ISBLANK(Y289),"",IF(ISBLANK($O289),AM289,IF($J289="ANUAL",AM289*(1+Macroindicadores!J$7),IF(AND($I289="NOVO",MONTH($O289)=MONTH(BA$4)),AM289*(1+Macroindicadores!J$7),IF(AND($J289="PONTUAL",MONTH($O289)=MONTH(BA$4)),AM289*(1+Macroindicadores!J$7),IF(AND($J289="PONTUAL",MONTH($O289)&lt;MONTH(BA$4)),MIN($AS289:AZ289),IF(AND($I289="NOVO",MONTH($O289)&gt;MONTH(BA$4)),AM289,IF(MONTH($O289)&gt;MONTH(BA$4),AM289,IF(MONTH($O289)=MONTH(BA$4),AM289*(1+Macroindicadores!J$7),AZ289)))))))))</f>
        <v>0.84260400000000002</v>
      </c>
      <c r="BB289" s="39">
        <f>IF(ISBLANK(Z289),"",IF(ISBLANK($O289),AN289,IF($J289="ANUAL",AN289*(1+Macroindicadores!K$7),IF(AND($I289="NOVO",MONTH($O289)=MONTH(BB$4)),AN289*(1+Macroindicadores!K$7),IF(AND($J289="PONTUAL",MONTH($O289)=MONTH(BB$4)),AN289*(1+Macroindicadores!K$7),IF(AND($J289="PONTUAL",MONTH($O289)&lt;MONTH(BB$4)),MIN($AS289:BA289),IF(AND($I289="NOVO",MONTH($O289)&gt;MONTH(BB$4)),AN289,IF(MONTH($O289)&gt;MONTH(BB$4),AN289,IF(MONTH($O289)=MONTH(BB$4),AN289*(1+Macroindicadores!K$7),BA289)))))))))</f>
        <v>0.84260400000000002</v>
      </c>
      <c r="BC289" s="39">
        <f>IF(ISBLANK(AA289),"",IF(ISBLANK($O289),AO289,IF($J289="ANUAL",AO289*(1+Macroindicadores!L$7),IF(AND($I289="NOVO",MONTH($O289)=MONTH(BC$4)),AO289*(1+Macroindicadores!L$7),IF(AND($J289="PONTUAL",MONTH($O289)=MONTH(BC$4)),AO289*(1+Macroindicadores!L$7),IF(AND($J289="PONTUAL",MONTH($O289)&lt;MONTH(BC$4)),MIN($AS289:BB289),IF(AND($I289="NOVO",MONTH($O289)&gt;MONTH(BC$4)),AO289,IF(MONTH($O289)&gt;MONTH(BC$4),AO289,IF(MONTH($O289)=MONTH(BC$4),AO289*(1+Macroindicadores!L$7),BB289)))))))))</f>
        <v>0.84260400000000002</v>
      </c>
      <c r="BD289" s="39">
        <f>IF(ISBLANK(AB289),"",IF(ISBLANK($O289),AP289,IF($J289="ANUAL",AP289*(1+Macroindicadores!M$7),IF(AND($I289="NOVO",MONTH($O289)=MONTH(BD$4)),AP289*(1+Macroindicadores!M$7),IF(AND($J289="PONTUAL",MONTH($O289)=MONTH(BD$4)),AP289*(1+Macroindicadores!M$7),IF(AND($J289="PONTUAL",MONTH($O289)&lt;MONTH(BD$4)),MIN($AS289:BC289),IF(AND($I289="NOVO",MONTH($O289)&gt;MONTH(BD$4)),AP289,IF(MONTH($O289)&gt;MONTH(BD$4),AP289,IF(MONTH($O289)=MONTH(BD$4),AP289*(1+Macroindicadores!M$7),BC289)))))))))</f>
        <v>0.84260400000000002</v>
      </c>
      <c r="BE289" s="40">
        <f t="shared" si="135"/>
        <v>9.0716639999999984</v>
      </c>
      <c r="BG289" s="39">
        <f>IF(ISBLANK(Q289),"",AS289/Macroindicadores!B$2)</f>
        <v>0.11383333333333333</v>
      </c>
      <c r="BH289" s="39">
        <f>IF(ISBLANK(R289),"",AT289/Macroindicadores!C$2)</f>
        <v>0.11383333333333333</v>
      </c>
      <c r="BI289" s="39">
        <f>IF(ISBLANK(S289),"",AU289/Macroindicadores!D$2)</f>
        <v>0.11383333333333333</v>
      </c>
      <c r="BJ289" s="39">
        <f>IF(ISBLANK(T289),"",AV289/Macroindicadores!E$2)</f>
        <v>0.11383333333333333</v>
      </c>
      <c r="BK289" s="39">
        <f>IF(ISBLANK(U289),"",AW289/Macroindicadores!F$2)</f>
        <v>0.11383333333333333</v>
      </c>
      <c r="BL289" s="39">
        <f>IF(ISBLANK(V289),"",AX289/Macroindicadores!G$2)</f>
        <v>0.11383333333333333</v>
      </c>
      <c r="BM289" s="39">
        <f>IF(ISBLANK(W289),"",AY289/Macroindicadores!H$2)</f>
        <v>0.14330000000000001</v>
      </c>
      <c r="BN289" s="39">
        <f>IF(ISBLANK(X289),"",AZ289/Macroindicadores!I$2)</f>
        <v>0.14330000000000001</v>
      </c>
      <c r="BO289" s="39">
        <f>IF(ISBLANK(Y289),"",BA289/Macroindicadores!J$2)</f>
        <v>0.14330000000000001</v>
      </c>
      <c r="BP289" s="39">
        <f>IF(ISBLANK(Z289),"",BB289/Macroindicadores!K$2)</f>
        <v>0.14330000000000001</v>
      </c>
      <c r="BQ289" s="39">
        <f>IF(ISBLANK(AA289),"",BC289/Macroindicadores!L$2)</f>
        <v>0.14330000000000001</v>
      </c>
      <c r="BR289" s="39">
        <f>IF(ISBLANK(AB289),"",BD289/Macroindicadores!M$2)</f>
        <v>0.14330000000000001</v>
      </c>
      <c r="BS289" s="40">
        <f t="shared" si="136"/>
        <v>1.5427999999999999</v>
      </c>
      <c r="BT289" s="25" t="str">
        <f>IF(ISBLANK($L289),"",_xlfn.XLOOKUP($L289,'CENTRO CUSTO'!$A:$A,'CENTRO CUSTO'!$E:$E,FALSE,0))</f>
        <v/>
      </c>
    </row>
    <row r="290" spans="1:72">
      <c r="A290" s="9" t="str">
        <f t="shared" si="80"/>
        <v>Budget</v>
      </c>
      <c r="B290" s="9">
        <f t="shared" si="77"/>
        <v>2026</v>
      </c>
      <c r="C290" s="111" t="s">
        <v>262</v>
      </c>
      <c r="D290" s="111" t="s">
        <v>278</v>
      </c>
      <c r="E290" s="111" t="s">
        <v>14</v>
      </c>
      <c r="F290" s="112" t="s">
        <v>92</v>
      </c>
      <c r="G290" s="112" t="s">
        <v>75</v>
      </c>
      <c r="H290" s="112" t="s">
        <v>276</v>
      </c>
      <c r="I290" s="11" t="s">
        <v>77</v>
      </c>
      <c r="J290" s="11" t="s">
        <v>78</v>
      </c>
      <c r="K290" s="11" t="s">
        <v>79</v>
      </c>
      <c r="L290" s="11"/>
      <c r="M290" s="18" t="str">
        <f>IF(ISBLANK($L290),"",_xlfn.XLOOKUP($L290,'CENTRO CUSTO'!$A:$A,'CENTRO CUSTO'!D:D,FALSE,0))</f>
        <v/>
      </c>
      <c r="N290" s="11" t="s">
        <v>91</v>
      </c>
      <c r="O290" s="12"/>
      <c r="P290" s="113" t="s">
        <v>88</v>
      </c>
      <c r="Q290" s="41">
        <v>329.6</v>
      </c>
      <c r="R290" s="41">
        <v>329.6</v>
      </c>
      <c r="S290" s="41">
        <v>329.6</v>
      </c>
      <c r="T290" s="41">
        <v>329.6</v>
      </c>
      <c r="U290" s="41">
        <v>329.6</v>
      </c>
      <c r="V290" s="41">
        <v>329.6</v>
      </c>
      <c r="W290" s="41">
        <v>329.6</v>
      </c>
      <c r="X290" s="41">
        <v>329.6</v>
      </c>
      <c r="Y290" s="41">
        <v>329.6</v>
      </c>
      <c r="Z290" s="41">
        <v>329.6</v>
      </c>
      <c r="AA290" s="41">
        <v>329.6</v>
      </c>
      <c r="AB290" s="41">
        <v>329.6</v>
      </c>
      <c r="AC290" s="116">
        <f t="shared" si="133"/>
        <v>3955.1999999999994</v>
      </c>
      <c r="AE290" s="39">
        <f>IF(ISBLANK(Q290),"",IF($P290="BRL",Q290,Q290*Macroindicadores!B$2)/1000)</f>
        <v>1.938048</v>
      </c>
      <c r="AF290" s="39">
        <f>IF(ISBLANK(R290),"",IF($P290="BRL",R290,R290*Macroindicadores!C$2)/1000)</f>
        <v>1.938048</v>
      </c>
      <c r="AG290" s="39">
        <f>IF(ISBLANK(S290),"",IF($P290="BRL",S290,S290*Macroindicadores!D$2)/1000)</f>
        <v>1.938048</v>
      </c>
      <c r="AH290" s="39">
        <f>IF(ISBLANK(T290),"",IF($P290="BRL",T290,T290*Macroindicadores!E$2)/1000)</f>
        <v>1.938048</v>
      </c>
      <c r="AI290" s="39">
        <f>IF(ISBLANK(U290),"",IF($P290="BRL",U290,U290*Macroindicadores!F$2)/1000)</f>
        <v>1.938048</v>
      </c>
      <c r="AJ290" s="39">
        <f>IF(ISBLANK(V290),"",IF($P290="BRL",V290,V290*Macroindicadores!G$2)/1000)</f>
        <v>1.938048</v>
      </c>
      <c r="AK290" s="39">
        <f>IF(ISBLANK(W290),"",IF($P290="BRL",W290,W290*Macroindicadores!H$2)/1000)</f>
        <v>1.938048</v>
      </c>
      <c r="AL290" s="39">
        <f>IF(ISBLANK(X290),"",IF($P290="BRL",X290,X290*Macroindicadores!I$2)/1000)</f>
        <v>1.938048</v>
      </c>
      <c r="AM290" s="39">
        <f>IF(ISBLANK(Y290),"",IF($P290="BRL",Y290,Y290*Macroindicadores!J$2)/1000)</f>
        <v>1.938048</v>
      </c>
      <c r="AN290" s="39">
        <f>IF(ISBLANK(Z290),"",IF($P290="BRL",Z290,Z290*Macroindicadores!K$2)/1000)</f>
        <v>1.938048</v>
      </c>
      <c r="AO290" s="39">
        <f>IF(ISBLANK(AA290),"",IF($P290="BRL",AA290,AA290*Macroindicadores!L$2)/1000)</f>
        <v>1.938048</v>
      </c>
      <c r="AP290" s="39">
        <f>IF(ISBLANK(AB290),"",IF($P290="BRL",AB290,AB290*Macroindicadores!M$2)/1000)</f>
        <v>1.938048</v>
      </c>
      <c r="AQ290" s="40">
        <f t="shared" si="134"/>
        <v>23.256575999999995</v>
      </c>
      <c r="AS290" s="39">
        <f>IF(ISBLANK(Q290),"",IF(ISBLANK($O290),AE290,IF($J290="ANUAL",AE290*(1+Macroindicadores!B$7),IF(AND($I290="NOVO",MONTH($O290)=MONTH(AS$4)),AE290*(1+Macroindicadores!B$7),IF(AND($J290="PONTUAL",MONTH($O290)=MONTH(AS$4)),AE290*(1+Macroindicadores!B$7),IF(AND($J290="PONTUAL",MONTH($O290)&lt;MONTH(AS$4)),MIN(AR290:$AS290),IF(AND($I290="NOVO",MONTH($O290)&gt;MONTH(AS$4)),AE290,IF(MONTH($O290)&gt;MONTH(AS$4),AE290,IF(MONTH($O290)=MONTH(AS$4),AE290*(1+Macroindicadores!B$7),AR290)))))))))</f>
        <v>1.938048</v>
      </c>
      <c r="AT290" s="39">
        <f>IF(ISBLANK(R290),"",IF(ISBLANK($O290),AF290,IF($J290="ANUAL",AF290*(1+Macroindicadores!C$7),IF(AND($I290="NOVO",MONTH($O290)=MONTH(AT$4)),AF290*(1+Macroindicadores!C$7),IF(AND($J290="PONTUAL",MONTH($O290)=MONTH(AT$4)),AF290*(1+Macroindicadores!C$7),IF(AND($J290="PONTUAL",MONTH($O290)&lt;MONTH(AT$4)),MIN($AS290:AS290),IF(AND($I290="NOVO",MONTH($O290)&gt;MONTH(AT$4)),AF290,IF(MONTH($O290)&gt;MONTH(AT$4),AF290,IF(MONTH($O290)=MONTH(AT$4),AF290*(1+Macroindicadores!C$7),AS290)))))))))</f>
        <v>1.938048</v>
      </c>
      <c r="AU290" s="39">
        <f>IF(ISBLANK(S290),"",IF(ISBLANK($O290),AG290,IF($J290="ANUAL",AG290*(1+Macroindicadores!D$7),IF(AND($I290="NOVO",MONTH($O290)=MONTH(AU$4)),AG290*(1+Macroindicadores!D$7),IF(AND($J290="PONTUAL",MONTH($O290)=MONTH(AU$4)),AG290*(1+Macroindicadores!D$7),IF(AND($J290="PONTUAL",MONTH($O290)&lt;MONTH(AU$4)),MIN($AS290:AT290),IF(AND($I290="NOVO",MONTH($O290)&gt;MONTH(AU$4)),AG290,IF(MONTH($O290)&gt;MONTH(AU$4),AG290,IF(MONTH($O290)=MONTH(AU$4),AG290*(1+Macroindicadores!D$7),AT290)))))))))</f>
        <v>1.938048</v>
      </c>
      <c r="AV290" s="39">
        <f>IF(ISBLANK(T290),"",IF(ISBLANK($O290),AH290,IF($J290="ANUAL",AH290*(1+Macroindicadores!E$7),IF(AND($I290="NOVO",MONTH($O290)=MONTH(AV$4)),AH290*(1+Macroindicadores!E$7),IF(AND($J290="PONTUAL",MONTH($O290)=MONTH(AV$4)),AH290*(1+Macroindicadores!E$7),IF(AND($J290="PONTUAL",MONTH($O290)&lt;MONTH(AV$4)),MIN($AS290:AU290),IF(AND($I290="NOVO",MONTH($O290)&gt;MONTH(AV$4)),AH290,IF(MONTH($O290)&gt;MONTH(AV$4),AH290,IF(MONTH($O290)=MONTH(AV$4),AH290*(1+Macroindicadores!E$7),AU290)))))))))</f>
        <v>1.938048</v>
      </c>
      <c r="AW290" s="39">
        <f>IF(ISBLANK(U290),"",IF(ISBLANK($O290),AI290,IF($J290="ANUAL",AI290*(1+Macroindicadores!F$7),IF(AND($I290="NOVO",MONTH($O290)=MONTH(AW$4)),AI290*(1+Macroindicadores!F$7),IF(AND($J290="PONTUAL",MONTH($O290)=MONTH(AW$4)),AI290*(1+Macroindicadores!F$7),IF(AND($J290="PONTUAL",MONTH($O290)&lt;MONTH(AW$4)),MIN($AS290:AV290),IF(AND($I290="NOVO",MONTH($O290)&gt;MONTH(AW$4)),AI290,IF(MONTH($O290)&gt;MONTH(AW$4),AI290,IF(MONTH($O290)=MONTH(AW$4),AI290*(1+Macroindicadores!F$7),AV290)))))))))</f>
        <v>1.938048</v>
      </c>
      <c r="AX290" s="39">
        <f>IF(ISBLANK(V290),"",IF(ISBLANK($O290),AJ290,IF($J290="ANUAL",AJ290*(1+Macroindicadores!G$7),IF(AND($I290="NOVO",MONTH($O290)=MONTH(AX$4)),AJ290*(1+Macroindicadores!G$7),IF(AND($J290="PONTUAL",MONTH($O290)=MONTH(AX$4)),AJ290*(1+Macroindicadores!G$7),IF(AND($J290="PONTUAL",MONTH($O290)&lt;MONTH(AX$4)),MIN($AS290:AW290),IF(AND($I290="NOVO",MONTH($O290)&gt;MONTH(AX$4)),AJ290,IF(MONTH($O290)&gt;MONTH(AX$4),AJ290,IF(MONTH($O290)=MONTH(AX$4),AJ290*(1+Macroindicadores!G$7),AW290)))))))))</f>
        <v>1.938048</v>
      </c>
      <c r="AY290" s="39">
        <f>IF(ISBLANK(W290),"",IF(ISBLANK($O290),AK290,IF($J290="ANUAL",AK290*(1+Macroindicadores!H$7),IF(AND($I290="NOVO",MONTH($O290)=MONTH(AY$4)),AK290*(1+Macroindicadores!H$7),IF(AND($J290="PONTUAL",MONTH($O290)=MONTH(AY$4)),AK290*(1+Macroindicadores!H$7),IF(AND($J290="PONTUAL",MONTH($O290)&lt;MONTH(AY$4)),MIN($AS290:AX290),IF(AND($I290="NOVO",MONTH($O290)&gt;MONTH(AY$4)),AK290,IF(MONTH($O290)&gt;MONTH(AY$4),AK290,IF(MONTH($O290)=MONTH(AY$4),AK290*(1+Macroindicadores!H$7),AX290)))))))))</f>
        <v>1.938048</v>
      </c>
      <c r="AZ290" s="39">
        <f>IF(ISBLANK(X290),"",IF(ISBLANK($O290),AL290,IF($J290="ANUAL",AL290*(1+Macroindicadores!I$7),IF(AND($I290="NOVO",MONTH($O290)=MONTH(AZ$4)),AL290*(1+Macroindicadores!I$7),IF(AND($J290="PONTUAL",MONTH($O290)=MONTH(AZ$4)),AL290*(1+Macroindicadores!I$7),IF(AND($J290="PONTUAL",MONTH($O290)&lt;MONTH(AZ$4)),MIN($AS290:AY290),IF(AND($I290="NOVO",MONTH($O290)&gt;MONTH(AZ$4)),AL290,IF(MONTH($O290)&gt;MONTH(AZ$4),AL290,IF(MONTH($O290)=MONTH(AZ$4),AL290*(1+Macroindicadores!I$7),AY290)))))))))</f>
        <v>1.938048</v>
      </c>
      <c r="BA290" s="39">
        <f>IF(ISBLANK(Y290),"",IF(ISBLANK($O290),AM290,IF($J290="ANUAL",AM290*(1+Macroindicadores!J$7),IF(AND($I290="NOVO",MONTH($O290)=MONTH(BA$4)),AM290*(1+Macroindicadores!J$7),IF(AND($J290="PONTUAL",MONTH($O290)=MONTH(BA$4)),AM290*(1+Macroindicadores!J$7),IF(AND($J290="PONTUAL",MONTH($O290)&lt;MONTH(BA$4)),MIN($AS290:AZ290),IF(AND($I290="NOVO",MONTH($O290)&gt;MONTH(BA$4)),AM290,IF(MONTH($O290)&gt;MONTH(BA$4),AM290,IF(MONTH($O290)=MONTH(BA$4),AM290*(1+Macroindicadores!J$7),AZ290)))))))))</f>
        <v>1.938048</v>
      </c>
      <c r="BB290" s="39">
        <f>IF(ISBLANK(Z290),"",IF(ISBLANK($O290),AN290,IF($J290="ANUAL",AN290*(1+Macroindicadores!K$7),IF(AND($I290="NOVO",MONTH($O290)=MONTH(BB$4)),AN290*(1+Macroindicadores!K$7),IF(AND($J290="PONTUAL",MONTH($O290)=MONTH(BB$4)),AN290*(1+Macroindicadores!K$7),IF(AND($J290="PONTUAL",MONTH($O290)&lt;MONTH(BB$4)),MIN($AS290:BA290),IF(AND($I290="NOVO",MONTH($O290)&gt;MONTH(BB$4)),AN290,IF(MONTH($O290)&gt;MONTH(BB$4),AN290,IF(MONTH($O290)=MONTH(BB$4),AN290*(1+Macroindicadores!K$7),BA290)))))))))</f>
        <v>1.938048</v>
      </c>
      <c r="BC290" s="39">
        <f>IF(ISBLANK(AA290),"",IF(ISBLANK($O290),AO290,IF($J290="ANUAL",AO290*(1+Macroindicadores!L$7),IF(AND($I290="NOVO",MONTH($O290)=MONTH(BC$4)),AO290*(1+Macroindicadores!L$7),IF(AND($J290="PONTUAL",MONTH($O290)=MONTH(BC$4)),AO290*(1+Macroindicadores!L$7),IF(AND($J290="PONTUAL",MONTH($O290)&lt;MONTH(BC$4)),MIN($AS290:BB290),IF(AND($I290="NOVO",MONTH($O290)&gt;MONTH(BC$4)),AO290,IF(MONTH($O290)&gt;MONTH(BC$4),AO290,IF(MONTH($O290)=MONTH(BC$4),AO290*(1+Macroindicadores!L$7),BB290)))))))))</f>
        <v>1.938048</v>
      </c>
      <c r="BD290" s="39">
        <f>IF(ISBLANK(AB290),"",IF(ISBLANK($O290),AP290,IF($J290="ANUAL",AP290*(1+Macroindicadores!M$7),IF(AND($I290="NOVO",MONTH($O290)=MONTH(BD$4)),AP290*(1+Macroindicadores!M$7),IF(AND($J290="PONTUAL",MONTH($O290)=MONTH(BD$4)),AP290*(1+Macroindicadores!M$7),IF(AND($J290="PONTUAL",MONTH($O290)&lt;MONTH(BD$4)),MIN($AS290:BC290),IF(AND($I290="NOVO",MONTH($O290)&gt;MONTH(BD$4)),AP290,IF(MONTH($O290)&gt;MONTH(BD$4),AP290,IF(MONTH($O290)=MONTH(BD$4),AP290*(1+Macroindicadores!M$7),BC290)))))))))</f>
        <v>1.938048</v>
      </c>
      <c r="BE290" s="40">
        <f t="shared" si="135"/>
        <v>23.256575999999995</v>
      </c>
      <c r="BG290" s="39">
        <f>IF(ISBLANK(Q290),"",AS290/Macroindicadores!B$2)</f>
        <v>0.3296</v>
      </c>
      <c r="BH290" s="39">
        <f>IF(ISBLANK(R290),"",AT290/Macroindicadores!C$2)</f>
        <v>0.3296</v>
      </c>
      <c r="BI290" s="39">
        <f>IF(ISBLANK(S290),"",AU290/Macroindicadores!D$2)</f>
        <v>0.3296</v>
      </c>
      <c r="BJ290" s="39">
        <f>IF(ISBLANK(T290),"",AV290/Macroindicadores!E$2)</f>
        <v>0.3296</v>
      </c>
      <c r="BK290" s="39">
        <f>IF(ISBLANK(U290),"",AW290/Macroindicadores!F$2)</f>
        <v>0.3296</v>
      </c>
      <c r="BL290" s="39">
        <f>IF(ISBLANK(V290),"",AX290/Macroindicadores!G$2)</f>
        <v>0.3296</v>
      </c>
      <c r="BM290" s="39">
        <f>IF(ISBLANK(W290),"",AY290/Macroindicadores!H$2)</f>
        <v>0.3296</v>
      </c>
      <c r="BN290" s="39">
        <f>IF(ISBLANK(X290),"",AZ290/Macroindicadores!I$2)</f>
        <v>0.3296</v>
      </c>
      <c r="BO290" s="39">
        <f>IF(ISBLANK(Y290),"",BA290/Macroindicadores!J$2)</f>
        <v>0.3296</v>
      </c>
      <c r="BP290" s="39">
        <f>IF(ISBLANK(Z290),"",BB290/Macroindicadores!K$2)</f>
        <v>0.3296</v>
      </c>
      <c r="BQ290" s="39">
        <f>IF(ISBLANK(AA290),"",BC290/Macroindicadores!L$2)</f>
        <v>0.3296</v>
      </c>
      <c r="BR290" s="39">
        <f>IF(ISBLANK(AB290),"",BD290/Macroindicadores!M$2)</f>
        <v>0.3296</v>
      </c>
      <c r="BS290" s="40">
        <f t="shared" si="136"/>
        <v>3.9552000000000009</v>
      </c>
      <c r="BT290" s="25" t="str">
        <f>IF(ISBLANK($L290),"",_xlfn.XLOOKUP($L290,'CENTRO CUSTO'!$A:$A,'CENTRO CUSTO'!$E:$E,FALSE,0))</f>
        <v/>
      </c>
    </row>
    <row r="291" spans="1:72">
      <c r="A291" s="9" t="str">
        <f t="shared" si="80"/>
        <v>Budget</v>
      </c>
      <c r="B291" s="9">
        <f t="shared" si="77"/>
        <v>2026</v>
      </c>
      <c r="C291" s="111" t="s">
        <v>262</v>
      </c>
      <c r="D291" s="111" t="s">
        <v>278</v>
      </c>
      <c r="E291" s="111" t="s">
        <v>14</v>
      </c>
      <c r="F291" s="112" t="s">
        <v>92</v>
      </c>
      <c r="G291" s="112" t="s">
        <v>75</v>
      </c>
      <c r="H291" s="112" t="s">
        <v>277</v>
      </c>
      <c r="I291" s="11" t="s">
        <v>77</v>
      </c>
      <c r="J291" s="11" t="s">
        <v>120</v>
      </c>
      <c r="K291" s="11" t="s">
        <v>79</v>
      </c>
      <c r="L291" s="11"/>
      <c r="M291" s="18" t="str">
        <f>IF(ISBLANK($L291),"",_xlfn.XLOOKUP($L291,'CENTRO CUSTO'!$A:$A,'CENTRO CUSTO'!D:D,FALSE,0))</f>
        <v/>
      </c>
      <c r="N291" s="11" t="s">
        <v>80</v>
      </c>
      <c r="O291" s="12"/>
      <c r="P291" s="113" t="s">
        <v>88</v>
      </c>
      <c r="Q291" s="41">
        <v>341.49999999999994</v>
      </c>
      <c r="R291" s="41">
        <v>341.49999999999994</v>
      </c>
      <c r="S291" s="41">
        <v>341.49999999999994</v>
      </c>
      <c r="T291" s="41">
        <v>341.49999999999994</v>
      </c>
      <c r="U291" s="41">
        <v>341.49999999999994</v>
      </c>
      <c r="V291" s="41">
        <v>341.49999999999994</v>
      </c>
      <c r="W291" s="41">
        <v>429.9</v>
      </c>
      <c r="X291" s="41">
        <v>429.9</v>
      </c>
      <c r="Y291" s="41">
        <v>429.9</v>
      </c>
      <c r="Z291" s="41">
        <v>429.9</v>
      </c>
      <c r="AA291" s="41">
        <v>429.9</v>
      </c>
      <c r="AB291" s="41">
        <v>429.9</v>
      </c>
      <c r="AC291" s="116">
        <f t="shared" si="133"/>
        <v>4628.3999999999996</v>
      </c>
      <c r="AE291" s="39">
        <f>IF(ISBLANK(Q291),"",IF($P291="BRL",Q291,Q291*Macroindicadores!B$2)/1000)</f>
        <v>2.0080199999999997</v>
      </c>
      <c r="AF291" s="39">
        <f>IF(ISBLANK(R291),"",IF($P291="BRL",R291,R291*Macroindicadores!C$2)/1000)</f>
        <v>2.0080199999999997</v>
      </c>
      <c r="AG291" s="39">
        <f>IF(ISBLANK(S291),"",IF($P291="BRL",S291,S291*Macroindicadores!D$2)/1000)</f>
        <v>2.0080199999999997</v>
      </c>
      <c r="AH291" s="39">
        <f>IF(ISBLANK(T291),"",IF($P291="BRL",T291,T291*Macroindicadores!E$2)/1000)</f>
        <v>2.0080199999999997</v>
      </c>
      <c r="AI291" s="39">
        <f>IF(ISBLANK(U291),"",IF($P291="BRL",U291,U291*Macroindicadores!F$2)/1000)</f>
        <v>2.0080199999999997</v>
      </c>
      <c r="AJ291" s="39">
        <f>IF(ISBLANK(V291),"",IF($P291="BRL",V291,V291*Macroindicadores!G$2)/1000)</f>
        <v>2.0080199999999997</v>
      </c>
      <c r="AK291" s="39">
        <f>IF(ISBLANK(W291),"",IF($P291="BRL",W291,W291*Macroindicadores!H$2)/1000)</f>
        <v>2.5278119999999999</v>
      </c>
      <c r="AL291" s="39">
        <f>IF(ISBLANK(X291),"",IF($P291="BRL",X291,X291*Macroindicadores!I$2)/1000)</f>
        <v>2.5278119999999999</v>
      </c>
      <c r="AM291" s="39">
        <f>IF(ISBLANK(Y291),"",IF($P291="BRL",Y291,Y291*Macroindicadores!J$2)/1000)</f>
        <v>2.5278119999999999</v>
      </c>
      <c r="AN291" s="39">
        <f>IF(ISBLANK(Z291),"",IF($P291="BRL",Z291,Z291*Macroindicadores!K$2)/1000)</f>
        <v>2.5278119999999999</v>
      </c>
      <c r="AO291" s="39">
        <f>IF(ISBLANK(AA291),"",IF($P291="BRL",AA291,AA291*Macroindicadores!L$2)/1000)</f>
        <v>2.5278119999999999</v>
      </c>
      <c r="AP291" s="39">
        <f>IF(ISBLANK(AB291),"",IF($P291="BRL",AB291,AB291*Macroindicadores!M$2)/1000)</f>
        <v>2.5278119999999999</v>
      </c>
      <c r="AQ291" s="40">
        <f t="shared" si="134"/>
        <v>27.214992000000002</v>
      </c>
      <c r="AS291" s="39">
        <f>IF(ISBLANK(Q291),"",IF(ISBLANK($O291),AE291,IF($J291="ANUAL",AE291*(1+Macroindicadores!B$7),IF(AND($I291="NOVO",MONTH($O291)=MONTH(AS$4)),AE291*(1+Macroindicadores!B$7),IF(AND($J291="PONTUAL",MONTH($O291)=MONTH(AS$4)),AE291*(1+Macroindicadores!B$7),IF(AND($J291="PONTUAL",MONTH($O291)&lt;MONTH(AS$4)),MIN(AR291:$AS291),IF(AND($I291="NOVO",MONTH($O291)&gt;MONTH(AS$4)),AE291,IF(MONTH($O291)&gt;MONTH(AS$4),AE291,IF(MONTH($O291)=MONTH(AS$4),AE291*(1+Macroindicadores!B$7),AR291)))))))))</f>
        <v>2.0080199999999997</v>
      </c>
      <c r="AT291" s="39">
        <f>IF(ISBLANK(R291),"",IF(ISBLANK($O291),AF291,IF($J291="ANUAL",AF291*(1+Macroindicadores!C$7),IF(AND($I291="NOVO",MONTH($O291)=MONTH(AT$4)),AF291*(1+Macroindicadores!C$7),IF(AND($J291="PONTUAL",MONTH($O291)=MONTH(AT$4)),AF291*(1+Macroindicadores!C$7),IF(AND($J291="PONTUAL",MONTH($O291)&lt;MONTH(AT$4)),MIN($AS291:AS291),IF(AND($I291="NOVO",MONTH($O291)&gt;MONTH(AT$4)),AF291,IF(MONTH($O291)&gt;MONTH(AT$4),AF291,IF(MONTH($O291)=MONTH(AT$4),AF291*(1+Macroindicadores!C$7),AS291)))))))))</f>
        <v>2.0080199999999997</v>
      </c>
      <c r="AU291" s="39">
        <f>IF(ISBLANK(S291),"",IF(ISBLANK($O291),AG291,IF($J291="ANUAL",AG291*(1+Macroindicadores!D$7),IF(AND($I291="NOVO",MONTH($O291)=MONTH(AU$4)),AG291*(1+Macroindicadores!D$7),IF(AND($J291="PONTUAL",MONTH($O291)=MONTH(AU$4)),AG291*(1+Macroindicadores!D$7),IF(AND($J291="PONTUAL",MONTH($O291)&lt;MONTH(AU$4)),MIN($AS291:AT291),IF(AND($I291="NOVO",MONTH($O291)&gt;MONTH(AU$4)),AG291,IF(MONTH($O291)&gt;MONTH(AU$4),AG291,IF(MONTH($O291)=MONTH(AU$4),AG291*(1+Macroindicadores!D$7),AT291)))))))))</f>
        <v>2.0080199999999997</v>
      </c>
      <c r="AV291" s="39">
        <f>IF(ISBLANK(T291),"",IF(ISBLANK($O291),AH291,IF($J291="ANUAL",AH291*(1+Macroindicadores!E$7),IF(AND($I291="NOVO",MONTH($O291)=MONTH(AV$4)),AH291*(1+Macroindicadores!E$7),IF(AND($J291="PONTUAL",MONTH($O291)=MONTH(AV$4)),AH291*(1+Macroindicadores!E$7),IF(AND($J291="PONTUAL",MONTH($O291)&lt;MONTH(AV$4)),MIN($AS291:AU291),IF(AND($I291="NOVO",MONTH($O291)&gt;MONTH(AV$4)),AH291,IF(MONTH($O291)&gt;MONTH(AV$4),AH291,IF(MONTH($O291)=MONTH(AV$4),AH291*(1+Macroindicadores!E$7),AU291)))))))))</f>
        <v>2.0080199999999997</v>
      </c>
      <c r="AW291" s="39">
        <f>IF(ISBLANK(U291),"",IF(ISBLANK($O291),AI291,IF($J291="ANUAL",AI291*(1+Macroindicadores!F$7),IF(AND($I291="NOVO",MONTH($O291)=MONTH(AW$4)),AI291*(1+Macroindicadores!F$7),IF(AND($J291="PONTUAL",MONTH($O291)=MONTH(AW$4)),AI291*(1+Macroindicadores!F$7),IF(AND($J291="PONTUAL",MONTH($O291)&lt;MONTH(AW$4)),MIN($AS291:AV291),IF(AND($I291="NOVO",MONTH($O291)&gt;MONTH(AW$4)),AI291,IF(MONTH($O291)&gt;MONTH(AW$4),AI291,IF(MONTH($O291)=MONTH(AW$4),AI291*(1+Macroindicadores!F$7),AV291)))))))))</f>
        <v>2.0080199999999997</v>
      </c>
      <c r="AX291" s="39">
        <f>IF(ISBLANK(V291),"",IF(ISBLANK($O291),AJ291,IF($J291="ANUAL",AJ291*(1+Macroindicadores!G$7),IF(AND($I291="NOVO",MONTH($O291)=MONTH(AX$4)),AJ291*(1+Macroindicadores!G$7),IF(AND($J291="PONTUAL",MONTH($O291)=MONTH(AX$4)),AJ291*(1+Macroindicadores!G$7),IF(AND($J291="PONTUAL",MONTH($O291)&lt;MONTH(AX$4)),MIN($AS291:AW291),IF(AND($I291="NOVO",MONTH($O291)&gt;MONTH(AX$4)),AJ291,IF(MONTH($O291)&gt;MONTH(AX$4),AJ291,IF(MONTH($O291)=MONTH(AX$4),AJ291*(1+Macroindicadores!G$7),AW291)))))))))</f>
        <v>2.0080199999999997</v>
      </c>
      <c r="AY291" s="39">
        <f>IF(ISBLANK(W291),"",IF(ISBLANK($O291),AK291,IF($J291="ANUAL",AK291*(1+Macroindicadores!H$7),IF(AND($I291="NOVO",MONTH($O291)=MONTH(AY$4)),AK291*(1+Macroindicadores!H$7),IF(AND($J291="PONTUAL",MONTH($O291)=MONTH(AY$4)),AK291*(1+Macroindicadores!H$7),IF(AND($J291="PONTUAL",MONTH($O291)&lt;MONTH(AY$4)),MIN($AS291:AX291),IF(AND($I291="NOVO",MONTH($O291)&gt;MONTH(AY$4)),AK291,IF(MONTH($O291)&gt;MONTH(AY$4),AK291,IF(MONTH($O291)=MONTH(AY$4),AK291*(1+Macroindicadores!H$7),AX291)))))))))</f>
        <v>2.5278119999999999</v>
      </c>
      <c r="AZ291" s="39">
        <f>IF(ISBLANK(X291),"",IF(ISBLANK($O291),AL291,IF($J291="ANUAL",AL291*(1+Macroindicadores!I$7),IF(AND($I291="NOVO",MONTH($O291)=MONTH(AZ$4)),AL291*(1+Macroindicadores!I$7),IF(AND($J291="PONTUAL",MONTH($O291)=MONTH(AZ$4)),AL291*(1+Macroindicadores!I$7),IF(AND($J291="PONTUAL",MONTH($O291)&lt;MONTH(AZ$4)),MIN($AS291:AY291),IF(AND($I291="NOVO",MONTH($O291)&gt;MONTH(AZ$4)),AL291,IF(MONTH($O291)&gt;MONTH(AZ$4),AL291,IF(MONTH($O291)=MONTH(AZ$4),AL291*(1+Macroindicadores!I$7),AY291)))))))))</f>
        <v>2.5278119999999999</v>
      </c>
      <c r="BA291" s="39">
        <f>IF(ISBLANK(Y291),"",IF(ISBLANK($O291),AM291,IF($J291="ANUAL",AM291*(1+Macroindicadores!J$7),IF(AND($I291="NOVO",MONTH($O291)=MONTH(BA$4)),AM291*(1+Macroindicadores!J$7),IF(AND($J291="PONTUAL",MONTH($O291)=MONTH(BA$4)),AM291*(1+Macroindicadores!J$7),IF(AND($J291="PONTUAL",MONTH($O291)&lt;MONTH(BA$4)),MIN($AS291:AZ291),IF(AND($I291="NOVO",MONTH($O291)&gt;MONTH(BA$4)),AM291,IF(MONTH($O291)&gt;MONTH(BA$4),AM291,IF(MONTH($O291)=MONTH(BA$4),AM291*(1+Macroindicadores!J$7),AZ291)))))))))</f>
        <v>2.5278119999999999</v>
      </c>
      <c r="BB291" s="39">
        <f>IF(ISBLANK(Z291),"",IF(ISBLANK($O291),AN291,IF($J291="ANUAL",AN291*(1+Macroindicadores!K$7),IF(AND($I291="NOVO",MONTH($O291)=MONTH(BB$4)),AN291*(1+Macroindicadores!K$7),IF(AND($J291="PONTUAL",MONTH($O291)=MONTH(BB$4)),AN291*(1+Macroindicadores!K$7),IF(AND($J291="PONTUAL",MONTH($O291)&lt;MONTH(BB$4)),MIN($AS291:BA291),IF(AND($I291="NOVO",MONTH($O291)&gt;MONTH(BB$4)),AN291,IF(MONTH($O291)&gt;MONTH(BB$4),AN291,IF(MONTH($O291)=MONTH(BB$4),AN291*(1+Macroindicadores!K$7),BA291)))))))))</f>
        <v>2.5278119999999999</v>
      </c>
      <c r="BC291" s="39">
        <f>IF(ISBLANK(AA291),"",IF(ISBLANK($O291),AO291,IF($J291="ANUAL",AO291*(1+Macroindicadores!L$7),IF(AND($I291="NOVO",MONTH($O291)=MONTH(BC$4)),AO291*(1+Macroindicadores!L$7),IF(AND($J291="PONTUAL",MONTH($O291)=MONTH(BC$4)),AO291*(1+Macroindicadores!L$7),IF(AND($J291="PONTUAL",MONTH($O291)&lt;MONTH(BC$4)),MIN($AS291:BB291),IF(AND($I291="NOVO",MONTH($O291)&gt;MONTH(BC$4)),AO291,IF(MONTH($O291)&gt;MONTH(BC$4),AO291,IF(MONTH($O291)=MONTH(BC$4),AO291*(1+Macroindicadores!L$7),BB291)))))))))</f>
        <v>2.5278119999999999</v>
      </c>
      <c r="BD291" s="39">
        <f>IF(ISBLANK(AB291),"",IF(ISBLANK($O291),AP291,IF($J291="ANUAL",AP291*(1+Macroindicadores!M$7),IF(AND($I291="NOVO",MONTH($O291)=MONTH(BD$4)),AP291*(1+Macroindicadores!M$7),IF(AND($J291="PONTUAL",MONTH($O291)=MONTH(BD$4)),AP291*(1+Macroindicadores!M$7),IF(AND($J291="PONTUAL",MONTH($O291)&lt;MONTH(BD$4)),MIN($AS291:BC291),IF(AND($I291="NOVO",MONTH($O291)&gt;MONTH(BD$4)),AP291,IF(MONTH($O291)&gt;MONTH(BD$4),AP291,IF(MONTH($O291)=MONTH(BD$4),AP291*(1+Macroindicadores!M$7),BC291)))))))))</f>
        <v>2.5278119999999999</v>
      </c>
      <c r="BE291" s="40">
        <f t="shared" si="135"/>
        <v>27.214992000000002</v>
      </c>
      <c r="BG291" s="39">
        <f>IF(ISBLANK(Q291),"",AS291/Macroindicadores!B$2)</f>
        <v>0.34149999999999997</v>
      </c>
      <c r="BH291" s="39">
        <f>IF(ISBLANK(R291),"",AT291/Macroindicadores!C$2)</f>
        <v>0.34149999999999997</v>
      </c>
      <c r="BI291" s="39">
        <f>IF(ISBLANK(S291),"",AU291/Macroindicadores!D$2)</f>
        <v>0.34149999999999997</v>
      </c>
      <c r="BJ291" s="39">
        <f>IF(ISBLANK(T291),"",AV291/Macroindicadores!E$2)</f>
        <v>0.34149999999999997</v>
      </c>
      <c r="BK291" s="39">
        <f>IF(ISBLANK(U291),"",AW291/Macroindicadores!F$2)</f>
        <v>0.34149999999999997</v>
      </c>
      <c r="BL291" s="39">
        <f>IF(ISBLANK(V291),"",AX291/Macroindicadores!G$2)</f>
        <v>0.34149999999999997</v>
      </c>
      <c r="BM291" s="39">
        <f>IF(ISBLANK(W291),"",AY291/Macroindicadores!H$2)</f>
        <v>0.4299</v>
      </c>
      <c r="BN291" s="39">
        <f>IF(ISBLANK(X291),"",AZ291/Macroindicadores!I$2)</f>
        <v>0.4299</v>
      </c>
      <c r="BO291" s="39">
        <f>IF(ISBLANK(Y291),"",BA291/Macroindicadores!J$2)</f>
        <v>0.4299</v>
      </c>
      <c r="BP291" s="39">
        <f>IF(ISBLANK(Z291),"",BB291/Macroindicadores!K$2)</f>
        <v>0.4299</v>
      </c>
      <c r="BQ291" s="39">
        <f>IF(ISBLANK(AA291),"",BC291/Macroindicadores!L$2)</f>
        <v>0.4299</v>
      </c>
      <c r="BR291" s="39">
        <f>IF(ISBLANK(AB291),"",BD291/Macroindicadores!M$2)</f>
        <v>0.4299</v>
      </c>
      <c r="BS291" s="40">
        <f t="shared" si="136"/>
        <v>4.6284000000000001</v>
      </c>
      <c r="BT291" s="25" t="str">
        <f>IF(ISBLANK($L291),"",_xlfn.XLOOKUP($L291,'CENTRO CUSTO'!$A:$A,'CENTRO CUSTO'!$E:$E,FALSE,0))</f>
        <v/>
      </c>
    </row>
    <row r="292" spans="1:72">
      <c r="A292" s="9" t="str">
        <f t="shared" si="80"/>
        <v>Budget</v>
      </c>
      <c r="B292" s="9">
        <f t="shared" si="77"/>
        <v>2026</v>
      </c>
      <c r="C292" s="111" t="s">
        <v>262</v>
      </c>
      <c r="D292" s="111" t="s">
        <v>263</v>
      </c>
      <c r="E292" s="111" t="s">
        <v>14</v>
      </c>
      <c r="F292" s="112" t="s">
        <v>279</v>
      </c>
      <c r="G292" s="112" t="s">
        <v>75</v>
      </c>
      <c r="H292" s="112" t="s">
        <v>280</v>
      </c>
      <c r="I292" s="11" t="s">
        <v>77</v>
      </c>
      <c r="J292" s="11" t="s">
        <v>120</v>
      </c>
      <c r="K292" s="11" t="s">
        <v>79</v>
      </c>
      <c r="L292" s="11"/>
      <c r="M292" s="18" t="str">
        <f>IF(ISBLANK($L292),"",_xlfn.XLOOKUP($L292,'CENTRO CUSTO'!$A:$A,'CENTRO CUSTO'!D:D,FALSE,0))</f>
        <v/>
      </c>
      <c r="N292" s="11" t="s">
        <v>87</v>
      </c>
      <c r="O292" s="12"/>
      <c r="P292" s="113" t="s">
        <v>88</v>
      </c>
      <c r="Q292" s="41"/>
      <c r="R292" s="41">
        <v>5000</v>
      </c>
      <c r="S292" s="41"/>
      <c r="T292" s="41"/>
      <c r="U292" s="41"/>
      <c r="V292" s="41"/>
      <c r="W292" s="41"/>
      <c r="X292" s="41"/>
      <c r="Y292" s="41"/>
      <c r="Z292" s="41"/>
      <c r="AA292" s="41"/>
      <c r="AB292" s="41"/>
      <c r="AC292" s="116">
        <f t="shared" si="104"/>
        <v>5000</v>
      </c>
      <c r="AE292" s="39" t="str">
        <f>IF(ISBLANK(Q292),"",IF($P292="BRL",Q292,Q292*Macroindicadores!B$2)/1000)</f>
        <v/>
      </c>
      <c r="AF292" s="39">
        <f>IF(ISBLANK(R292),"",IF($P292="BRL",R292,R292*Macroindicadores!C$2)/1000)</f>
        <v>29.4</v>
      </c>
      <c r="AG292" s="39" t="str">
        <f>IF(ISBLANK(S292),"",IF($P292="BRL",S292,S292*Macroindicadores!D$2)/1000)</f>
        <v/>
      </c>
      <c r="AH292" s="39" t="str">
        <f>IF(ISBLANK(T292),"",IF($P292="BRL",T292,T292*Macroindicadores!E$2)/1000)</f>
        <v/>
      </c>
      <c r="AI292" s="39" t="str">
        <f>IF(ISBLANK(U292),"",IF($P292="BRL",U292,U292*Macroindicadores!F$2)/1000)</f>
        <v/>
      </c>
      <c r="AJ292" s="39" t="str">
        <f>IF(ISBLANK(V292),"",IF($P292="BRL",V292,V292*Macroindicadores!G$2)/1000)</f>
        <v/>
      </c>
      <c r="AK292" s="39" t="str">
        <f>IF(ISBLANK(W292),"",IF($P292="BRL",W292,W292*Macroindicadores!H$2)/1000)</f>
        <v/>
      </c>
      <c r="AL292" s="39" t="str">
        <f>IF(ISBLANK(X292),"",IF($P292="BRL",X292,X292*Macroindicadores!I$2)/1000)</f>
        <v/>
      </c>
      <c r="AM292" s="39" t="str">
        <f>IF(ISBLANK(Y292),"",IF($P292="BRL",Y292,Y292*Macroindicadores!J$2)/1000)</f>
        <v/>
      </c>
      <c r="AN292" s="39" t="str">
        <f>IF(ISBLANK(Z292),"",IF($P292="BRL",Z292,Z292*Macroindicadores!K$2)/1000)</f>
        <v/>
      </c>
      <c r="AO292" s="39" t="str">
        <f>IF(ISBLANK(AA292),"",IF($P292="BRL",AA292,AA292*Macroindicadores!L$2)/1000)</f>
        <v/>
      </c>
      <c r="AP292" s="39" t="str">
        <f>IF(ISBLANK(AB292),"",IF($P292="BRL",AB292,AB292*Macroindicadores!M$2)/1000)</f>
        <v/>
      </c>
      <c r="AQ292" s="40">
        <f t="shared" si="105"/>
        <v>29.4</v>
      </c>
      <c r="AS292" s="39" t="str">
        <f>IF(ISBLANK(Q292),"",IF(ISBLANK($O292),AE292,IF($J292="ANUAL",AE292*(1+Macroindicadores!B$7),IF(AND($I292="NOVO",MONTH($O292)=MONTH(AS$4)),AE292*(1+Macroindicadores!B$7),IF(AND($J292="PONTUAL",MONTH($O292)=MONTH(AS$4)),AE292*(1+Macroindicadores!B$7),IF(AND($J292="PONTUAL",MONTH($O292)&lt;MONTH(AS$4)),MIN(AR292:$AS292),IF(AND($I292="NOVO",MONTH($O292)&gt;MONTH(AS$4)),AE292,IF(MONTH($O292)&gt;MONTH(AS$4),AE292,IF(MONTH($O292)=MONTH(AS$4),AE292*(1+Macroindicadores!B$7),AR292)))))))))</f>
        <v/>
      </c>
      <c r="AT292" s="39">
        <f>IF(ISBLANK(R292),"",IF(ISBLANK($O292),AF292,IF($J292="ANUAL",AF292*(1+Macroindicadores!C$7),IF(AND($I292="NOVO",MONTH($O292)=MONTH(AT$4)),AF292*(1+Macroindicadores!C$7),IF(AND($J292="PONTUAL",MONTH($O292)=MONTH(AT$4)),AF292*(1+Macroindicadores!C$7),IF(AND($J292="PONTUAL",MONTH($O292)&lt;MONTH(AT$4)),MIN($AS292:AS292),IF(AND($I292="NOVO",MONTH($O292)&gt;MONTH(AT$4)),AF292,IF(MONTH($O292)&gt;MONTH(AT$4),AF292,IF(MONTH($O292)=MONTH(AT$4),AF292*(1+Macroindicadores!C$7),AS292)))))))))</f>
        <v>29.4</v>
      </c>
      <c r="AU292" s="39" t="str">
        <f>IF(ISBLANK(S292),"",IF(ISBLANK($O292),AG292,IF($J292="ANUAL",AG292*(1+Macroindicadores!D$7),IF(AND($I292="NOVO",MONTH($O292)=MONTH(AU$4)),AG292*(1+Macroindicadores!D$7),IF(AND($J292="PONTUAL",MONTH($O292)=MONTH(AU$4)),AG292*(1+Macroindicadores!D$7),IF(AND($J292="PONTUAL",MONTH($O292)&lt;MONTH(AU$4)),MIN($AS292:AT292),IF(AND($I292="NOVO",MONTH($O292)&gt;MONTH(AU$4)),AG292,IF(MONTH($O292)&gt;MONTH(AU$4),AG292,IF(MONTH($O292)=MONTH(AU$4),AG292*(1+Macroindicadores!D$7),AT292)))))))))</f>
        <v/>
      </c>
      <c r="AV292" s="39" t="str">
        <f>IF(ISBLANK(T292),"",IF(ISBLANK($O292),AH292,IF($J292="ANUAL",AH292*(1+Macroindicadores!E$7),IF(AND($I292="NOVO",MONTH($O292)=MONTH(AV$4)),AH292*(1+Macroindicadores!E$7),IF(AND($J292="PONTUAL",MONTH($O292)=MONTH(AV$4)),AH292*(1+Macroindicadores!E$7),IF(AND($J292="PONTUAL",MONTH($O292)&lt;MONTH(AV$4)),MIN($AS292:AU292),IF(AND($I292="NOVO",MONTH($O292)&gt;MONTH(AV$4)),AH292,IF(MONTH($O292)&gt;MONTH(AV$4),AH292,IF(MONTH($O292)=MONTH(AV$4),AH292*(1+Macroindicadores!E$7),AU292)))))))))</f>
        <v/>
      </c>
      <c r="AW292" s="39" t="str">
        <f>IF(ISBLANK(U292),"",IF(ISBLANK($O292),AI292,IF($J292="ANUAL",AI292*(1+Macroindicadores!F$7),IF(AND($I292="NOVO",MONTH($O292)=MONTH(AW$4)),AI292*(1+Macroindicadores!F$7),IF(AND($J292="PONTUAL",MONTH($O292)=MONTH(AW$4)),AI292*(1+Macroindicadores!F$7),IF(AND($J292="PONTUAL",MONTH($O292)&lt;MONTH(AW$4)),MIN($AS292:AV292),IF(AND($I292="NOVO",MONTH($O292)&gt;MONTH(AW$4)),AI292,IF(MONTH($O292)&gt;MONTH(AW$4),AI292,IF(MONTH($O292)=MONTH(AW$4),AI292*(1+Macroindicadores!F$7),AV292)))))))))</f>
        <v/>
      </c>
      <c r="AX292" s="39" t="str">
        <f>IF(ISBLANK(V292),"",IF(ISBLANK($O292),AJ292,IF($J292="ANUAL",AJ292*(1+Macroindicadores!G$7),IF(AND($I292="NOVO",MONTH($O292)=MONTH(AX$4)),AJ292*(1+Macroindicadores!G$7),IF(AND($J292="PONTUAL",MONTH($O292)=MONTH(AX$4)),AJ292*(1+Macroindicadores!G$7),IF(AND($J292="PONTUAL",MONTH($O292)&lt;MONTH(AX$4)),MIN($AS292:AW292),IF(AND($I292="NOVO",MONTH($O292)&gt;MONTH(AX$4)),AJ292,IF(MONTH($O292)&gt;MONTH(AX$4),AJ292,IF(MONTH($O292)=MONTH(AX$4),AJ292*(1+Macroindicadores!G$7),AW292)))))))))</f>
        <v/>
      </c>
      <c r="AY292" s="39" t="str">
        <f>IF(ISBLANK(W292),"",IF(ISBLANK($O292),AK292,IF($J292="ANUAL",AK292*(1+Macroindicadores!H$7),IF(AND($I292="NOVO",MONTH($O292)=MONTH(AY$4)),AK292*(1+Macroindicadores!H$7),IF(AND($J292="PONTUAL",MONTH($O292)=MONTH(AY$4)),AK292*(1+Macroindicadores!H$7),IF(AND($J292="PONTUAL",MONTH($O292)&lt;MONTH(AY$4)),MIN($AS292:AX292),IF(AND($I292="NOVO",MONTH($O292)&gt;MONTH(AY$4)),AK292,IF(MONTH($O292)&gt;MONTH(AY$4),AK292,IF(MONTH($O292)=MONTH(AY$4),AK292*(1+Macroindicadores!H$7),AX292)))))))))</f>
        <v/>
      </c>
      <c r="AZ292" s="39" t="str">
        <f>IF(ISBLANK(X292),"",IF(ISBLANK($O292),AL292,IF($J292="ANUAL",AL292*(1+Macroindicadores!I$7),IF(AND($I292="NOVO",MONTH($O292)=MONTH(AZ$4)),AL292*(1+Macroindicadores!I$7),IF(AND($J292="PONTUAL",MONTH($O292)=MONTH(AZ$4)),AL292*(1+Macroindicadores!I$7),IF(AND($J292="PONTUAL",MONTH($O292)&lt;MONTH(AZ$4)),MIN($AS292:AY292),IF(AND($I292="NOVO",MONTH($O292)&gt;MONTH(AZ$4)),AL292,IF(MONTH($O292)&gt;MONTH(AZ$4),AL292,IF(MONTH($O292)=MONTH(AZ$4),AL292*(1+Macroindicadores!I$7),AY292)))))))))</f>
        <v/>
      </c>
      <c r="BA292" s="39" t="str">
        <f>IF(ISBLANK(Y292),"",IF(ISBLANK($O292),AM292,IF($J292="ANUAL",AM292*(1+Macroindicadores!J$7),IF(AND($I292="NOVO",MONTH($O292)=MONTH(BA$4)),AM292*(1+Macroindicadores!J$7),IF(AND($J292="PONTUAL",MONTH($O292)=MONTH(BA$4)),AM292*(1+Macroindicadores!J$7),IF(AND($J292="PONTUAL",MONTH($O292)&lt;MONTH(BA$4)),MIN($AS292:AZ292),IF(AND($I292="NOVO",MONTH($O292)&gt;MONTH(BA$4)),AM292,IF(MONTH($O292)&gt;MONTH(BA$4),AM292,IF(MONTH($O292)=MONTH(BA$4),AM292*(1+Macroindicadores!J$7),AZ292)))))))))</f>
        <v/>
      </c>
      <c r="BB292" s="39" t="str">
        <f>IF(ISBLANK(Z292),"",IF(ISBLANK($O292),AN292,IF($J292="ANUAL",AN292*(1+Macroindicadores!K$7),IF(AND($I292="NOVO",MONTH($O292)=MONTH(BB$4)),AN292*(1+Macroindicadores!K$7),IF(AND($J292="PONTUAL",MONTH($O292)=MONTH(BB$4)),AN292*(1+Macroindicadores!K$7),IF(AND($J292="PONTUAL",MONTH($O292)&lt;MONTH(BB$4)),MIN($AS292:BA292),IF(AND($I292="NOVO",MONTH($O292)&gt;MONTH(BB$4)),AN292,IF(MONTH($O292)&gt;MONTH(BB$4),AN292,IF(MONTH($O292)=MONTH(BB$4),AN292*(1+Macroindicadores!K$7),BA292)))))))))</f>
        <v/>
      </c>
      <c r="BC292" s="39" t="str">
        <f>IF(ISBLANK(AA292),"",IF(ISBLANK($O292),AO292,IF($J292="ANUAL",AO292*(1+Macroindicadores!L$7),IF(AND($I292="NOVO",MONTH($O292)=MONTH(BC$4)),AO292*(1+Macroindicadores!L$7),IF(AND($J292="PONTUAL",MONTH($O292)=MONTH(BC$4)),AO292*(1+Macroindicadores!L$7),IF(AND($J292="PONTUAL",MONTH($O292)&lt;MONTH(BC$4)),MIN($AS292:BB292),IF(AND($I292="NOVO",MONTH($O292)&gt;MONTH(BC$4)),AO292,IF(MONTH($O292)&gt;MONTH(BC$4),AO292,IF(MONTH($O292)=MONTH(BC$4),AO292*(1+Macroindicadores!L$7),BB292)))))))))</f>
        <v/>
      </c>
      <c r="BD292" s="39" t="str">
        <f>IF(ISBLANK(AB292),"",IF(ISBLANK($O292),AP292,IF($J292="ANUAL",AP292*(1+Macroindicadores!M$7),IF(AND($I292="NOVO",MONTH($O292)=MONTH(BD$4)),AP292*(1+Macroindicadores!M$7),IF(AND($J292="PONTUAL",MONTH($O292)=MONTH(BD$4)),AP292*(1+Macroindicadores!M$7),IF(AND($J292="PONTUAL",MONTH($O292)&lt;MONTH(BD$4)),MIN($AS292:BC292),IF(AND($I292="NOVO",MONTH($O292)&gt;MONTH(BD$4)),AP292,IF(MONTH($O292)&gt;MONTH(BD$4),AP292,IF(MONTH($O292)=MONTH(BD$4),AP292*(1+Macroindicadores!M$7),BC292)))))))))</f>
        <v/>
      </c>
      <c r="BE292" s="40">
        <f t="shared" si="106"/>
        <v>29.4</v>
      </c>
      <c r="BG292" s="39" t="str">
        <f>IF(ISBLANK(Q292),"",AS292/Macroindicadores!B$2)</f>
        <v/>
      </c>
      <c r="BH292" s="39">
        <f>IF(ISBLANK(R292),"",AT292/Macroindicadores!C$2)</f>
        <v>5</v>
      </c>
      <c r="BI292" s="39" t="str">
        <f>IF(ISBLANK(S292),"",AU292/Macroindicadores!D$2)</f>
        <v/>
      </c>
      <c r="BJ292" s="39" t="str">
        <f>IF(ISBLANK(T292),"",AV292/Macroindicadores!E$2)</f>
        <v/>
      </c>
      <c r="BK292" s="39" t="str">
        <f>IF(ISBLANK(U292),"",AW292/Macroindicadores!F$2)</f>
        <v/>
      </c>
      <c r="BL292" s="39" t="str">
        <f>IF(ISBLANK(V292),"",AX292/Macroindicadores!G$2)</f>
        <v/>
      </c>
      <c r="BM292" s="39" t="str">
        <f>IF(ISBLANK(W292),"",AY292/Macroindicadores!H$2)</f>
        <v/>
      </c>
      <c r="BN292" s="39" t="str">
        <f>IF(ISBLANK(X292),"",AZ292/Macroindicadores!I$2)</f>
        <v/>
      </c>
      <c r="BO292" s="39" t="str">
        <f>IF(ISBLANK(Y292),"",BA292/Macroindicadores!J$2)</f>
        <v/>
      </c>
      <c r="BP292" s="39" t="str">
        <f>IF(ISBLANK(Z292),"",BB292/Macroindicadores!K$2)</f>
        <v/>
      </c>
      <c r="BQ292" s="39" t="str">
        <f>IF(ISBLANK(AA292),"",BC292/Macroindicadores!L$2)</f>
        <v/>
      </c>
      <c r="BR292" s="39" t="str">
        <f>IF(ISBLANK(AB292),"",BD292/Macroindicadores!M$2)</f>
        <v/>
      </c>
      <c r="BS292" s="40">
        <f t="shared" si="107"/>
        <v>5</v>
      </c>
      <c r="BT292" s="25" t="str">
        <f>IF(ISBLANK($L292),"",_xlfn.XLOOKUP($L292,'CENTRO CUSTO'!$A:$A,'CENTRO CUSTO'!$E:$E,FALSE,0))</f>
        <v/>
      </c>
    </row>
    <row r="293" spans="1:72">
      <c r="A293" s="9" t="str">
        <f t="shared" si="80"/>
        <v>Budget</v>
      </c>
      <c r="B293" s="9">
        <f t="shared" si="77"/>
        <v>2026</v>
      </c>
      <c r="C293" s="111" t="s">
        <v>262</v>
      </c>
      <c r="D293" s="111" t="s">
        <v>263</v>
      </c>
      <c r="E293" s="111" t="s">
        <v>14</v>
      </c>
      <c r="F293" s="112" t="s">
        <v>281</v>
      </c>
      <c r="G293" s="112" t="s">
        <v>224</v>
      </c>
      <c r="H293" s="112" t="s">
        <v>282</v>
      </c>
      <c r="I293" s="11" t="s">
        <v>77</v>
      </c>
      <c r="J293" s="11" t="s">
        <v>78</v>
      </c>
      <c r="K293" s="11" t="s">
        <v>79</v>
      </c>
      <c r="L293" s="11"/>
      <c r="M293" s="18" t="str">
        <f>IF(ISBLANK($L293),"",_xlfn.XLOOKUP($L293,'CENTRO CUSTO'!$A:$A,'CENTRO CUSTO'!D:D,FALSE,0))</f>
        <v/>
      </c>
      <c r="N293" s="11" t="s">
        <v>132</v>
      </c>
      <c r="O293" s="12"/>
      <c r="P293" s="113" t="s">
        <v>88</v>
      </c>
      <c r="Q293" s="41">
        <v>937.81752754820934</v>
      </c>
      <c r="R293" s="41">
        <v>937.81752754820934</v>
      </c>
      <c r="S293" s="41">
        <v>937.81752754820934</v>
      </c>
      <c r="T293" s="41">
        <v>937.81752754820934</v>
      </c>
      <c r="U293" s="41">
        <v>937.81752754820934</v>
      </c>
      <c r="V293" s="41">
        <v>937.81752754820934</v>
      </c>
      <c r="W293" s="41">
        <v>937.81752754820934</v>
      </c>
      <c r="X293" s="41">
        <v>937.81752754820934</v>
      </c>
      <c r="Y293" s="41">
        <v>937.81752754820934</v>
      </c>
      <c r="Z293" s="41">
        <v>937.81752754820934</v>
      </c>
      <c r="AA293" s="41">
        <v>937.81752754820934</v>
      </c>
      <c r="AB293" s="41">
        <v>937.81752754820934</v>
      </c>
      <c r="AC293" s="116">
        <f t="shared" si="104"/>
        <v>11253.810330578513</v>
      </c>
      <c r="AE293" s="39">
        <f>IF(ISBLANK(Q293),"",IF($P293="BRL",Q293,Q293*Macroindicadores!B$2)/1000)</f>
        <v>5.5143670619834708</v>
      </c>
      <c r="AF293" s="39">
        <f>IF(ISBLANK(R293),"",IF($P293="BRL",R293,R293*Macroindicadores!C$2)/1000)</f>
        <v>5.5143670619834708</v>
      </c>
      <c r="AG293" s="39">
        <f>IF(ISBLANK(S293),"",IF($P293="BRL",S293,S293*Macroindicadores!D$2)/1000)</f>
        <v>5.5143670619834708</v>
      </c>
      <c r="AH293" s="39">
        <f>IF(ISBLANK(T293),"",IF($P293="BRL",T293,T293*Macroindicadores!E$2)/1000)</f>
        <v>5.5143670619834708</v>
      </c>
      <c r="AI293" s="39">
        <f>IF(ISBLANK(U293),"",IF($P293="BRL",U293,U293*Macroindicadores!F$2)/1000)</f>
        <v>5.5143670619834708</v>
      </c>
      <c r="AJ293" s="39">
        <f>IF(ISBLANK(V293),"",IF($P293="BRL",V293,V293*Macroindicadores!G$2)/1000)</f>
        <v>5.5143670619834708</v>
      </c>
      <c r="AK293" s="39">
        <f>IF(ISBLANK(W293),"",IF($P293="BRL",W293,W293*Macroindicadores!H$2)/1000)</f>
        <v>5.5143670619834708</v>
      </c>
      <c r="AL293" s="39">
        <f>IF(ISBLANK(X293),"",IF($P293="BRL",X293,X293*Macroindicadores!I$2)/1000)</f>
        <v>5.5143670619834708</v>
      </c>
      <c r="AM293" s="39">
        <f>IF(ISBLANK(Y293),"",IF($P293="BRL",Y293,Y293*Macroindicadores!J$2)/1000)</f>
        <v>5.5143670619834708</v>
      </c>
      <c r="AN293" s="39">
        <f>IF(ISBLANK(Z293),"",IF($P293="BRL",Z293,Z293*Macroindicadores!K$2)/1000)</f>
        <v>5.5143670619834708</v>
      </c>
      <c r="AO293" s="39">
        <f>IF(ISBLANK(AA293),"",IF($P293="BRL",AA293,AA293*Macroindicadores!L$2)/1000)</f>
        <v>5.5143670619834708</v>
      </c>
      <c r="AP293" s="39">
        <f>IF(ISBLANK(AB293),"",IF($P293="BRL",AB293,AB293*Macroindicadores!M$2)/1000)</f>
        <v>5.5143670619834708</v>
      </c>
      <c r="AQ293" s="40">
        <f t="shared" si="105"/>
        <v>66.17240474380165</v>
      </c>
      <c r="AS293" s="39">
        <f>IF(ISBLANK(Q293),"",IF(ISBLANK($O293),AE293,IF($J293="ANUAL",AE293*(1+Macroindicadores!B$7),IF(AND($I293="NOVO",MONTH($O293)=MONTH(AS$4)),AE293*(1+Macroindicadores!B$7),IF(AND($J293="PONTUAL",MONTH($O293)=MONTH(AS$4)),AE293*(1+Macroindicadores!B$7),IF(AND($J293="PONTUAL",MONTH($O293)&lt;MONTH(AS$4)),MIN(AR293:$AS293),IF(AND($I293="NOVO",MONTH($O293)&gt;MONTH(AS$4)),AE293,IF(MONTH($O293)&gt;MONTH(AS$4),AE293,IF(MONTH($O293)=MONTH(AS$4),AE293*(1+Macroindicadores!B$7),AR293)))))))))</f>
        <v>5.5143670619834708</v>
      </c>
      <c r="AT293" s="39">
        <f>IF(ISBLANK(R293),"",IF(ISBLANK($O293),AF293,IF($J293="ANUAL",AF293*(1+Macroindicadores!C$7),IF(AND($I293="NOVO",MONTH($O293)=MONTH(AT$4)),AF293*(1+Macroindicadores!C$7),IF(AND($J293="PONTUAL",MONTH($O293)=MONTH(AT$4)),AF293*(1+Macroindicadores!C$7),IF(AND($J293="PONTUAL",MONTH($O293)&lt;MONTH(AT$4)),MIN($AS293:AS293),IF(AND($I293="NOVO",MONTH($O293)&gt;MONTH(AT$4)),AF293,IF(MONTH($O293)&gt;MONTH(AT$4),AF293,IF(MONTH($O293)=MONTH(AT$4),AF293*(1+Macroindicadores!C$7),AS293)))))))))</f>
        <v>5.5143670619834708</v>
      </c>
      <c r="AU293" s="39">
        <f>IF(ISBLANK(S293),"",IF(ISBLANK($O293),AG293,IF($J293="ANUAL",AG293*(1+Macroindicadores!D$7),IF(AND($I293="NOVO",MONTH($O293)=MONTH(AU$4)),AG293*(1+Macroindicadores!D$7),IF(AND($J293="PONTUAL",MONTH($O293)=MONTH(AU$4)),AG293*(1+Macroindicadores!D$7),IF(AND($J293="PONTUAL",MONTH($O293)&lt;MONTH(AU$4)),MIN($AS293:AT293),IF(AND($I293="NOVO",MONTH($O293)&gt;MONTH(AU$4)),AG293,IF(MONTH($O293)&gt;MONTH(AU$4),AG293,IF(MONTH($O293)=MONTH(AU$4),AG293*(1+Macroindicadores!D$7),AT293)))))))))</f>
        <v>5.5143670619834708</v>
      </c>
      <c r="AV293" s="39">
        <f>IF(ISBLANK(T293),"",IF(ISBLANK($O293),AH293,IF($J293="ANUAL",AH293*(1+Macroindicadores!E$7),IF(AND($I293="NOVO",MONTH($O293)=MONTH(AV$4)),AH293*(1+Macroindicadores!E$7),IF(AND($J293="PONTUAL",MONTH($O293)=MONTH(AV$4)),AH293*(1+Macroindicadores!E$7),IF(AND($J293="PONTUAL",MONTH($O293)&lt;MONTH(AV$4)),MIN($AS293:AU293),IF(AND($I293="NOVO",MONTH($O293)&gt;MONTH(AV$4)),AH293,IF(MONTH($O293)&gt;MONTH(AV$4),AH293,IF(MONTH($O293)=MONTH(AV$4),AH293*(1+Macroindicadores!E$7),AU293)))))))))</f>
        <v>5.5143670619834708</v>
      </c>
      <c r="AW293" s="39">
        <f>IF(ISBLANK(U293),"",IF(ISBLANK($O293),AI293,IF($J293="ANUAL",AI293*(1+Macroindicadores!F$7),IF(AND($I293="NOVO",MONTH($O293)=MONTH(AW$4)),AI293*(1+Macroindicadores!F$7),IF(AND($J293="PONTUAL",MONTH($O293)=MONTH(AW$4)),AI293*(1+Macroindicadores!F$7),IF(AND($J293="PONTUAL",MONTH($O293)&lt;MONTH(AW$4)),MIN($AS293:AV293),IF(AND($I293="NOVO",MONTH($O293)&gt;MONTH(AW$4)),AI293,IF(MONTH($O293)&gt;MONTH(AW$4),AI293,IF(MONTH($O293)=MONTH(AW$4),AI293*(1+Macroindicadores!F$7),AV293)))))))))</f>
        <v>5.5143670619834708</v>
      </c>
      <c r="AX293" s="39">
        <f>IF(ISBLANK(V293),"",IF(ISBLANK($O293),AJ293,IF($J293="ANUAL",AJ293*(1+Macroindicadores!G$7),IF(AND($I293="NOVO",MONTH($O293)=MONTH(AX$4)),AJ293*(1+Macroindicadores!G$7),IF(AND($J293="PONTUAL",MONTH($O293)=MONTH(AX$4)),AJ293*(1+Macroindicadores!G$7),IF(AND($J293="PONTUAL",MONTH($O293)&lt;MONTH(AX$4)),MIN($AS293:AW293),IF(AND($I293="NOVO",MONTH($O293)&gt;MONTH(AX$4)),AJ293,IF(MONTH($O293)&gt;MONTH(AX$4),AJ293,IF(MONTH($O293)=MONTH(AX$4),AJ293*(1+Macroindicadores!G$7),AW293)))))))))</f>
        <v>5.5143670619834708</v>
      </c>
      <c r="AY293" s="39">
        <f>IF(ISBLANK(W293),"",IF(ISBLANK($O293),AK293,IF($J293="ANUAL",AK293*(1+Macroindicadores!H$7),IF(AND($I293="NOVO",MONTH($O293)=MONTH(AY$4)),AK293*(1+Macroindicadores!H$7),IF(AND($J293="PONTUAL",MONTH($O293)=MONTH(AY$4)),AK293*(1+Macroindicadores!H$7),IF(AND($J293="PONTUAL",MONTH($O293)&lt;MONTH(AY$4)),MIN($AS293:AX293),IF(AND($I293="NOVO",MONTH($O293)&gt;MONTH(AY$4)),AK293,IF(MONTH($O293)&gt;MONTH(AY$4),AK293,IF(MONTH($O293)=MONTH(AY$4),AK293*(1+Macroindicadores!H$7),AX293)))))))))</f>
        <v>5.5143670619834708</v>
      </c>
      <c r="AZ293" s="39">
        <f>IF(ISBLANK(X293),"",IF(ISBLANK($O293),AL293,IF($J293="ANUAL",AL293*(1+Macroindicadores!I$7),IF(AND($I293="NOVO",MONTH($O293)=MONTH(AZ$4)),AL293*(1+Macroindicadores!I$7),IF(AND($J293="PONTUAL",MONTH($O293)=MONTH(AZ$4)),AL293*(1+Macroindicadores!I$7),IF(AND($J293="PONTUAL",MONTH($O293)&lt;MONTH(AZ$4)),MIN($AS293:AY293),IF(AND($I293="NOVO",MONTH($O293)&gt;MONTH(AZ$4)),AL293,IF(MONTH($O293)&gt;MONTH(AZ$4),AL293,IF(MONTH($O293)=MONTH(AZ$4),AL293*(1+Macroindicadores!I$7),AY293)))))))))</f>
        <v>5.5143670619834708</v>
      </c>
      <c r="BA293" s="39">
        <f>IF(ISBLANK(Y293),"",IF(ISBLANK($O293),AM293,IF($J293="ANUAL",AM293*(1+Macroindicadores!J$7),IF(AND($I293="NOVO",MONTH($O293)=MONTH(BA$4)),AM293*(1+Macroindicadores!J$7),IF(AND($J293="PONTUAL",MONTH($O293)=MONTH(BA$4)),AM293*(1+Macroindicadores!J$7),IF(AND($J293="PONTUAL",MONTH($O293)&lt;MONTH(BA$4)),MIN($AS293:AZ293),IF(AND($I293="NOVO",MONTH($O293)&gt;MONTH(BA$4)),AM293,IF(MONTH($O293)&gt;MONTH(BA$4),AM293,IF(MONTH($O293)=MONTH(BA$4),AM293*(1+Macroindicadores!J$7),AZ293)))))))))</f>
        <v>5.5143670619834708</v>
      </c>
      <c r="BB293" s="39">
        <f>IF(ISBLANK(Z293),"",IF(ISBLANK($O293),AN293,IF($J293="ANUAL",AN293*(1+Macroindicadores!K$7),IF(AND($I293="NOVO",MONTH($O293)=MONTH(BB$4)),AN293*(1+Macroindicadores!K$7),IF(AND($J293="PONTUAL",MONTH($O293)=MONTH(BB$4)),AN293*(1+Macroindicadores!K$7),IF(AND($J293="PONTUAL",MONTH($O293)&lt;MONTH(BB$4)),MIN($AS293:BA293),IF(AND($I293="NOVO",MONTH($O293)&gt;MONTH(BB$4)),AN293,IF(MONTH($O293)&gt;MONTH(BB$4),AN293,IF(MONTH($O293)=MONTH(BB$4),AN293*(1+Macroindicadores!K$7),BA293)))))))))</f>
        <v>5.5143670619834708</v>
      </c>
      <c r="BC293" s="39">
        <f>IF(ISBLANK(AA293),"",IF(ISBLANK($O293),AO293,IF($J293="ANUAL",AO293*(1+Macroindicadores!L$7),IF(AND($I293="NOVO",MONTH($O293)=MONTH(BC$4)),AO293*(1+Macroindicadores!L$7),IF(AND($J293="PONTUAL",MONTH($O293)=MONTH(BC$4)),AO293*(1+Macroindicadores!L$7),IF(AND($J293="PONTUAL",MONTH($O293)&lt;MONTH(BC$4)),MIN($AS293:BB293),IF(AND($I293="NOVO",MONTH($O293)&gt;MONTH(BC$4)),AO293,IF(MONTH($O293)&gt;MONTH(BC$4),AO293,IF(MONTH($O293)=MONTH(BC$4),AO293*(1+Macroindicadores!L$7),BB293)))))))))</f>
        <v>5.5143670619834708</v>
      </c>
      <c r="BD293" s="39">
        <f>IF(ISBLANK(AB293),"",IF(ISBLANK($O293),AP293,IF($J293="ANUAL",AP293*(1+Macroindicadores!M$7),IF(AND($I293="NOVO",MONTH($O293)=MONTH(BD$4)),AP293*(1+Macroindicadores!M$7),IF(AND($J293="PONTUAL",MONTH($O293)=MONTH(BD$4)),AP293*(1+Macroindicadores!M$7),IF(AND($J293="PONTUAL",MONTH($O293)&lt;MONTH(BD$4)),MIN($AS293:BC293),IF(AND($I293="NOVO",MONTH($O293)&gt;MONTH(BD$4)),AP293,IF(MONTH($O293)&gt;MONTH(BD$4),AP293,IF(MONTH($O293)=MONTH(BD$4),AP293*(1+Macroindicadores!M$7),BC293)))))))))</f>
        <v>5.5143670619834708</v>
      </c>
      <c r="BE293" s="40">
        <f t="shared" si="106"/>
        <v>66.17240474380165</v>
      </c>
      <c r="BG293" s="39">
        <f>IF(ISBLANK(Q293),"",AS293/Macroindicadores!B$2)</f>
        <v>0.93781752754820935</v>
      </c>
      <c r="BH293" s="39">
        <f>IF(ISBLANK(R293),"",AT293/Macroindicadores!C$2)</f>
        <v>0.93781752754820935</v>
      </c>
      <c r="BI293" s="39">
        <f>IF(ISBLANK(S293),"",AU293/Macroindicadores!D$2)</f>
        <v>0.93781752754820935</v>
      </c>
      <c r="BJ293" s="39">
        <f>IF(ISBLANK(T293),"",AV293/Macroindicadores!E$2)</f>
        <v>0.93781752754820935</v>
      </c>
      <c r="BK293" s="39">
        <f>IF(ISBLANK(U293),"",AW293/Macroindicadores!F$2)</f>
        <v>0.93781752754820935</v>
      </c>
      <c r="BL293" s="39">
        <f>IF(ISBLANK(V293),"",AX293/Macroindicadores!G$2)</f>
        <v>0.93781752754820935</v>
      </c>
      <c r="BM293" s="39">
        <f>IF(ISBLANK(W293),"",AY293/Macroindicadores!H$2)</f>
        <v>0.93781752754820935</v>
      </c>
      <c r="BN293" s="39">
        <f>IF(ISBLANK(X293),"",AZ293/Macroindicadores!I$2)</f>
        <v>0.93781752754820935</v>
      </c>
      <c r="BO293" s="39">
        <f>IF(ISBLANK(Y293),"",BA293/Macroindicadores!J$2)</f>
        <v>0.93781752754820935</v>
      </c>
      <c r="BP293" s="39">
        <f>IF(ISBLANK(Z293),"",BB293/Macroindicadores!K$2)</f>
        <v>0.93781752754820935</v>
      </c>
      <c r="BQ293" s="39">
        <f>IF(ISBLANK(AA293),"",BC293/Macroindicadores!L$2)</f>
        <v>0.93781752754820935</v>
      </c>
      <c r="BR293" s="39">
        <f>IF(ISBLANK(AB293),"",BD293/Macroindicadores!M$2)</f>
        <v>0.93781752754820935</v>
      </c>
      <c r="BS293" s="40">
        <f t="shared" si="107"/>
        <v>11.25381033057851</v>
      </c>
      <c r="BT293" s="25" t="str">
        <f>IF(ISBLANK($L293),"",_xlfn.XLOOKUP($L293,'CENTRO CUSTO'!$A:$A,'CENTRO CUSTO'!$E:$E,FALSE,0))</f>
        <v/>
      </c>
    </row>
    <row r="294" spans="1:72">
      <c r="A294" s="9" t="str">
        <f t="shared" si="80"/>
        <v>Budget</v>
      </c>
      <c r="B294" s="9">
        <f t="shared" si="77"/>
        <v>2026</v>
      </c>
      <c r="C294" s="111" t="s">
        <v>262</v>
      </c>
      <c r="D294" s="111" t="s">
        <v>263</v>
      </c>
      <c r="E294" s="111" t="s">
        <v>14</v>
      </c>
      <c r="F294" s="112" t="s">
        <v>283</v>
      </c>
      <c r="G294" s="112" t="s">
        <v>224</v>
      </c>
      <c r="H294" s="112" t="s">
        <v>284</v>
      </c>
      <c r="I294" s="11" t="s">
        <v>77</v>
      </c>
      <c r="J294" s="11" t="s">
        <v>78</v>
      </c>
      <c r="K294" s="11" t="s">
        <v>79</v>
      </c>
      <c r="L294" s="11"/>
      <c r="M294" s="18" t="str">
        <f>IF(ISBLANK($L294),"",_xlfn.XLOOKUP($L294,'CENTRO CUSTO'!$A:$A,'CENTRO CUSTO'!D:D,FALSE,0))</f>
        <v/>
      </c>
      <c r="N294" s="11" t="s">
        <v>132</v>
      </c>
      <c r="O294" s="12"/>
      <c r="P294" s="113" t="s">
        <v>88</v>
      </c>
      <c r="Q294" s="41">
        <v>1494.4903581267217</v>
      </c>
      <c r="R294" s="41">
        <v>1494.4903581267217</v>
      </c>
      <c r="S294" s="41">
        <v>1494.4903581267217</v>
      </c>
      <c r="T294" s="41">
        <v>1494.4903581267217</v>
      </c>
      <c r="U294" s="41">
        <v>1494.4903581267217</v>
      </c>
      <c r="V294" s="41">
        <v>1494.4903581267217</v>
      </c>
      <c r="W294" s="41">
        <v>1494.4903581267217</v>
      </c>
      <c r="X294" s="41">
        <v>1494.4903581267217</v>
      </c>
      <c r="Y294" s="41">
        <v>1494.4903581267217</v>
      </c>
      <c r="Z294" s="41">
        <v>1494.4903581267217</v>
      </c>
      <c r="AA294" s="41">
        <v>1494.4903581267217</v>
      </c>
      <c r="AB294" s="41">
        <v>1494.4903581267217</v>
      </c>
      <c r="AC294" s="116">
        <f t="shared" si="104"/>
        <v>17933.884297520657</v>
      </c>
      <c r="AE294" s="39">
        <f>IF(ISBLANK(Q294),"",IF($P294="BRL",Q294,Q294*Macroindicadores!B$2)/1000)</f>
        <v>8.7876033057851242</v>
      </c>
      <c r="AF294" s="39">
        <f>IF(ISBLANK(R294),"",IF($P294="BRL",R294,R294*Macroindicadores!C$2)/1000)</f>
        <v>8.7876033057851242</v>
      </c>
      <c r="AG294" s="39">
        <f>IF(ISBLANK(S294),"",IF($P294="BRL",S294,S294*Macroindicadores!D$2)/1000)</f>
        <v>8.7876033057851242</v>
      </c>
      <c r="AH294" s="39">
        <f>IF(ISBLANK(T294),"",IF($P294="BRL",T294,T294*Macroindicadores!E$2)/1000)</f>
        <v>8.7876033057851242</v>
      </c>
      <c r="AI294" s="39">
        <f>IF(ISBLANK(U294),"",IF($P294="BRL",U294,U294*Macroindicadores!F$2)/1000)</f>
        <v>8.7876033057851242</v>
      </c>
      <c r="AJ294" s="39">
        <f>IF(ISBLANK(V294),"",IF($P294="BRL",V294,V294*Macroindicadores!G$2)/1000)</f>
        <v>8.7876033057851242</v>
      </c>
      <c r="AK294" s="39">
        <f>IF(ISBLANK(W294),"",IF($P294="BRL",W294,W294*Macroindicadores!H$2)/1000)</f>
        <v>8.7876033057851242</v>
      </c>
      <c r="AL294" s="39">
        <f>IF(ISBLANK(X294),"",IF($P294="BRL",X294,X294*Macroindicadores!I$2)/1000)</f>
        <v>8.7876033057851242</v>
      </c>
      <c r="AM294" s="39">
        <f>IF(ISBLANK(Y294),"",IF($P294="BRL",Y294,Y294*Macroindicadores!J$2)/1000)</f>
        <v>8.7876033057851242</v>
      </c>
      <c r="AN294" s="39">
        <f>IF(ISBLANK(Z294),"",IF($P294="BRL",Z294,Z294*Macroindicadores!K$2)/1000)</f>
        <v>8.7876033057851242</v>
      </c>
      <c r="AO294" s="39">
        <f>IF(ISBLANK(AA294),"",IF($P294="BRL",AA294,AA294*Macroindicadores!L$2)/1000)</f>
        <v>8.7876033057851242</v>
      </c>
      <c r="AP294" s="39">
        <f>IF(ISBLANK(AB294),"",IF($P294="BRL",AB294,AB294*Macroindicadores!M$2)/1000)</f>
        <v>8.7876033057851242</v>
      </c>
      <c r="AQ294" s="40">
        <f t="shared" si="105"/>
        <v>105.4512396694215</v>
      </c>
      <c r="AS294" s="39">
        <f>IF(ISBLANK(Q294),"",IF(ISBLANK($O294),AE294,IF($J294="ANUAL",AE294*(1+Macroindicadores!B$7),IF(AND($I294="NOVO",MONTH($O294)=MONTH(AS$4)),AE294*(1+Macroindicadores!B$7),IF(AND($J294="PONTUAL",MONTH($O294)=MONTH(AS$4)),AE294*(1+Macroindicadores!B$7),IF(AND($J294="PONTUAL",MONTH($O294)&lt;MONTH(AS$4)),MIN(AR294:$AS294),IF(AND($I294="NOVO",MONTH($O294)&gt;MONTH(AS$4)),AE294,IF(MONTH($O294)&gt;MONTH(AS$4),AE294,IF(MONTH($O294)=MONTH(AS$4),AE294*(1+Macroindicadores!B$7),AR294)))))))))</f>
        <v>8.7876033057851242</v>
      </c>
      <c r="AT294" s="39">
        <f>IF(ISBLANK(R294),"",IF(ISBLANK($O294),AF294,IF($J294="ANUAL",AF294*(1+Macroindicadores!C$7),IF(AND($I294="NOVO",MONTH($O294)=MONTH(AT$4)),AF294*(1+Macroindicadores!C$7),IF(AND($J294="PONTUAL",MONTH($O294)=MONTH(AT$4)),AF294*(1+Macroindicadores!C$7),IF(AND($J294="PONTUAL",MONTH($O294)&lt;MONTH(AT$4)),MIN($AS294:AS294),IF(AND($I294="NOVO",MONTH($O294)&gt;MONTH(AT$4)),AF294,IF(MONTH($O294)&gt;MONTH(AT$4),AF294,IF(MONTH($O294)=MONTH(AT$4),AF294*(1+Macroindicadores!C$7),AS294)))))))))</f>
        <v>8.7876033057851242</v>
      </c>
      <c r="AU294" s="39">
        <f>IF(ISBLANK(S294),"",IF(ISBLANK($O294),AG294,IF($J294="ANUAL",AG294*(1+Macroindicadores!D$7),IF(AND($I294="NOVO",MONTH($O294)=MONTH(AU$4)),AG294*(1+Macroindicadores!D$7),IF(AND($J294="PONTUAL",MONTH($O294)=MONTH(AU$4)),AG294*(1+Macroindicadores!D$7),IF(AND($J294="PONTUAL",MONTH($O294)&lt;MONTH(AU$4)),MIN($AS294:AT294),IF(AND($I294="NOVO",MONTH($O294)&gt;MONTH(AU$4)),AG294,IF(MONTH($O294)&gt;MONTH(AU$4),AG294,IF(MONTH($O294)=MONTH(AU$4),AG294*(1+Macroindicadores!D$7),AT294)))))))))</f>
        <v>8.7876033057851242</v>
      </c>
      <c r="AV294" s="39">
        <f>IF(ISBLANK(T294),"",IF(ISBLANK($O294),AH294,IF($J294="ANUAL",AH294*(1+Macroindicadores!E$7),IF(AND($I294="NOVO",MONTH($O294)=MONTH(AV$4)),AH294*(1+Macroindicadores!E$7),IF(AND($J294="PONTUAL",MONTH($O294)=MONTH(AV$4)),AH294*(1+Macroindicadores!E$7),IF(AND($J294="PONTUAL",MONTH($O294)&lt;MONTH(AV$4)),MIN($AS294:AU294),IF(AND($I294="NOVO",MONTH($O294)&gt;MONTH(AV$4)),AH294,IF(MONTH($O294)&gt;MONTH(AV$4),AH294,IF(MONTH($O294)=MONTH(AV$4),AH294*(1+Macroindicadores!E$7),AU294)))))))))</f>
        <v>8.7876033057851242</v>
      </c>
      <c r="AW294" s="39">
        <f>IF(ISBLANK(U294),"",IF(ISBLANK($O294),AI294,IF($J294="ANUAL",AI294*(1+Macroindicadores!F$7),IF(AND($I294="NOVO",MONTH($O294)=MONTH(AW$4)),AI294*(1+Macroindicadores!F$7),IF(AND($J294="PONTUAL",MONTH($O294)=MONTH(AW$4)),AI294*(1+Macroindicadores!F$7),IF(AND($J294="PONTUAL",MONTH($O294)&lt;MONTH(AW$4)),MIN($AS294:AV294),IF(AND($I294="NOVO",MONTH($O294)&gt;MONTH(AW$4)),AI294,IF(MONTH($O294)&gt;MONTH(AW$4),AI294,IF(MONTH($O294)=MONTH(AW$4),AI294*(1+Macroindicadores!F$7),AV294)))))))))</f>
        <v>8.7876033057851242</v>
      </c>
      <c r="AX294" s="39">
        <f>IF(ISBLANK(V294),"",IF(ISBLANK($O294),AJ294,IF($J294="ANUAL",AJ294*(1+Macroindicadores!G$7),IF(AND($I294="NOVO",MONTH($O294)=MONTH(AX$4)),AJ294*(1+Macroindicadores!G$7),IF(AND($J294="PONTUAL",MONTH($O294)=MONTH(AX$4)),AJ294*(1+Macroindicadores!G$7),IF(AND($J294="PONTUAL",MONTH($O294)&lt;MONTH(AX$4)),MIN($AS294:AW294),IF(AND($I294="NOVO",MONTH($O294)&gt;MONTH(AX$4)),AJ294,IF(MONTH($O294)&gt;MONTH(AX$4),AJ294,IF(MONTH($O294)=MONTH(AX$4),AJ294*(1+Macroindicadores!G$7),AW294)))))))))</f>
        <v>8.7876033057851242</v>
      </c>
      <c r="AY294" s="39">
        <f>IF(ISBLANK(W294),"",IF(ISBLANK($O294),AK294,IF($J294="ANUAL",AK294*(1+Macroindicadores!H$7),IF(AND($I294="NOVO",MONTH($O294)=MONTH(AY$4)),AK294*(1+Macroindicadores!H$7),IF(AND($J294="PONTUAL",MONTH($O294)=MONTH(AY$4)),AK294*(1+Macroindicadores!H$7),IF(AND($J294="PONTUAL",MONTH($O294)&lt;MONTH(AY$4)),MIN($AS294:AX294),IF(AND($I294="NOVO",MONTH($O294)&gt;MONTH(AY$4)),AK294,IF(MONTH($O294)&gt;MONTH(AY$4),AK294,IF(MONTH($O294)=MONTH(AY$4),AK294*(1+Macroindicadores!H$7),AX294)))))))))</f>
        <v>8.7876033057851242</v>
      </c>
      <c r="AZ294" s="39">
        <f>IF(ISBLANK(X294),"",IF(ISBLANK($O294),AL294,IF($J294="ANUAL",AL294*(1+Macroindicadores!I$7),IF(AND($I294="NOVO",MONTH($O294)=MONTH(AZ$4)),AL294*(1+Macroindicadores!I$7),IF(AND($J294="PONTUAL",MONTH($O294)=MONTH(AZ$4)),AL294*(1+Macroindicadores!I$7),IF(AND($J294="PONTUAL",MONTH($O294)&lt;MONTH(AZ$4)),MIN($AS294:AY294),IF(AND($I294="NOVO",MONTH($O294)&gt;MONTH(AZ$4)),AL294,IF(MONTH($O294)&gt;MONTH(AZ$4),AL294,IF(MONTH($O294)=MONTH(AZ$4),AL294*(1+Macroindicadores!I$7),AY294)))))))))</f>
        <v>8.7876033057851242</v>
      </c>
      <c r="BA294" s="39">
        <f>IF(ISBLANK(Y294),"",IF(ISBLANK($O294),AM294,IF($J294="ANUAL",AM294*(1+Macroindicadores!J$7),IF(AND($I294="NOVO",MONTH($O294)=MONTH(BA$4)),AM294*(1+Macroindicadores!J$7),IF(AND($J294="PONTUAL",MONTH($O294)=MONTH(BA$4)),AM294*(1+Macroindicadores!J$7),IF(AND($J294="PONTUAL",MONTH($O294)&lt;MONTH(BA$4)),MIN($AS294:AZ294),IF(AND($I294="NOVO",MONTH($O294)&gt;MONTH(BA$4)),AM294,IF(MONTH($O294)&gt;MONTH(BA$4),AM294,IF(MONTH($O294)=MONTH(BA$4),AM294*(1+Macroindicadores!J$7),AZ294)))))))))</f>
        <v>8.7876033057851242</v>
      </c>
      <c r="BB294" s="39">
        <f>IF(ISBLANK(Z294),"",IF(ISBLANK($O294),AN294,IF($J294="ANUAL",AN294*(1+Macroindicadores!K$7),IF(AND($I294="NOVO",MONTH($O294)=MONTH(BB$4)),AN294*(1+Macroindicadores!K$7),IF(AND($J294="PONTUAL",MONTH($O294)=MONTH(BB$4)),AN294*(1+Macroindicadores!K$7),IF(AND($J294="PONTUAL",MONTH($O294)&lt;MONTH(BB$4)),MIN($AS294:BA294),IF(AND($I294="NOVO",MONTH($O294)&gt;MONTH(BB$4)),AN294,IF(MONTH($O294)&gt;MONTH(BB$4),AN294,IF(MONTH($O294)=MONTH(BB$4),AN294*(1+Macroindicadores!K$7),BA294)))))))))</f>
        <v>8.7876033057851242</v>
      </c>
      <c r="BC294" s="39">
        <f>IF(ISBLANK(AA294),"",IF(ISBLANK($O294),AO294,IF($J294="ANUAL",AO294*(1+Macroindicadores!L$7),IF(AND($I294="NOVO",MONTH($O294)=MONTH(BC$4)),AO294*(1+Macroindicadores!L$7),IF(AND($J294="PONTUAL",MONTH($O294)=MONTH(BC$4)),AO294*(1+Macroindicadores!L$7),IF(AND($J294="PONTUAL",MONTH($O294)&lt;MONTH(BC$4)),MIN($AS294:BB294),IF(AND($I294="NOVO",MONTH($O294)&gt;MONTH(BC$4)),AO294,IF(MONTH($O294)&gt;MONTH(BC$4),AO294,IF(MONTH($O294)=MONTH(BC$4),AO294*(1+Macroindicadores!L$7),BB294)))))))))</f>
        <v>8.7876033057851242</v>
      </c>
      <c r="BD294" s="39">
        <f>IF(ISBLANK(AB294),"",IF(ISBLANK($O294),AP294,IF($J294="ANUAL",AP294*(1+Macroindicadores!M$7),IF(AND($I294="NOVO",MONTH($O294)=MONTH(BD$4)),AP294*(1+Macroindicadores!M$7),IF(AND($J294="PONTUAL",MONTH($O294)=MONTH(BD$4)),AP294*(1+Macroindicadores!M$7),IF(AND($J294="PONTUAL",MONTH($O294)&lt;MONTH(BD$4)),MIN($AS294:BC294),IF(AND($I294="NOVO",MONTH($O294)&gt;MONTH(BD$4)),AP294,IF(MONTH($O294)&gt;MONTH(BD$4),AP294,IF(MONTH($O294)=MONTH(BD$4),AP294*(1+Macroindicadores!M$7),BC294)))))))))</f>
        <v>8.7876033057851242</v>
      </c>
      <c r="BE294" s="40">
        <f t="shared" si="106"/>
        <v>105.4512396694215</v>
      </c>
      <c r="BG294" s="39">
        <f>IF(ISBLANK(Q294),"",AS294/Macroindicadores!B$2)</f>
        <v>1.4944903581267219</v>
      </c>
      <c r="BH294" s="39">
        <f>IF(ISBLANK(R294),"",AT294/Macroindicadores!C$2)</f>
        <v>1.4944903581267219</v>
      </c>
      <c r="BI294" s="39">
        <f>IF(ISBLANK(S294),"",AU294/Macroindicadores!D$2)</f>
        <v>1.4944903581267219</v>
      </c>
      <c r="BJ294" s="39">
        <f>IF(ISBLANK(T294),"",AV294/Macroindicadores!E$2)</f>
        <v>1.4944903581267219</v>
      </c>
      <c r="BK294" s="39">
        <f>IF(ISBLANK(U294),"",AW294/Macroindicadores!F$2)</f>
        <v>1.4944903581267219</v>
      </c>
      <c r="BL294" s="39">
        <f>IF(ISBLANK(V294),"",AX294/Macroindicadores!G$2)</f>
        <v>1.4944903581267219</v>
      </c>
      <c r="BM294" s="39">
        <f>IF(ISBLANK(W294),"",AY294/Macroindicadores!H$2)</f>
        <v>1.4944903581267219</v>
      </c>
      <c r="BN294" s="39">
        <f>IF(ISBLANK(X294),"",AZ294/Macroindicadores!I$2)</f>
        <v>1.4944903581267219</v>
      </c>
      <c r="BO294" s="39">
        <f>IF(ISBLANK(Y294),"",BA294/Macroindicadores!J$2)</f>
        <v>1.4944903581267219</v>
      </c>
      <c r="BP294" s="39">
        <f>IF(ISBLANK(Z294),"",BB294/Macroindicadores!K$2)</f>
        <v>1.4944903581267219</v>
      </c>
      <c r="BQ294" s="39">
        <f>IF(ISBLANK(AA294),"",BC294/Macroindicadores!L$2)</f>
        <v>1.4944903581267219</v>
      </c>
      <c r="BR294" s="39">
        <f>IF(ISBLANK(AB294),"",BD294/Macroindicadores!M$2)</f>
        <v>1.4944903581267219</v>
      </c>
      <c r="BS294" s="40">
        <f t="shared" si="107"/>
        <v>17.933884297520663</v>
      </c>
      <c r="BT294" s="25" t="str">
        <f>IF(ISBLANK($L294),"",_xlfn.XLOOKUP($L294,'CENTRO CUSTO'!$A:$A,'CENTRO CUSTO'!$E:$E,FALSE,0))</f>
        <v/>
      </c>
    </row>
    <row r="295" spans="1:72">
      <c r="A295" s="9" t="str">
        <f t="shared" si="80"/>
        <v>Budget</v>
      </c>
      <c r="B295" s="9">
        <f t="shared" si="77"/>
        <v>2026</v>
      </c>
      <c r="C295" s="111" t="s">
        <v>262</v>
      </c>
      <c r="D295" s="111" t="s">
        <v>263</v>
      </c>
      <c r="E295" s="111" t="s">
        <v>14</v>
      </c>
      <c r="F295" s="112" t="s">
        <v>281</v>
      </c>
      <c r="G295" s="112" t="s">
        <v>224</v>
      </c>
      <c r="H295" s="112" t="s">
        <v>285</v>
      </c>
      <c r="I295" s="11" t="s">
        <v>77</v>
      </c>
      <c r="J295" s="11" t="s">
        <v>78</v>
      </c>
      <c r="K295" s="11" t="s">
        <v>79</v>
      </c>
      <c r="L295" s="11"/>
      <c r="M295" s="18" t="str">
        <f>IF(ISBLANK($L295),"",_xlfn.XLOOKUP($L295,'CENTRO CUSTO'!$A:$A,'CENTRO CUSTO'!D:D,FALSE,0))</f>
        <v/>
      </c>
      <c r="N295" s="11" t="s">
        <v>132</v>
      </c>
      <c r="O295" s="12"/>
      <c r="P295" s="113" t="s">
        <v>88</v>
      </c>
      <c r="Q295" s="41">
        <v>39.531680440771346</v>
      </c>
      <c r="R295" s="41">
        <v>39.531680440771346</v>
      </c>
      <c r="S295" s="41">
        <v>39.531680440771346</v>
      </c>
      <c r="T295" s="41">
        <v>39.531680440771346</v>
      </c>
      <c r="U295" s="41">
        <v>39.531680440771346</v>
      </c>
      <c r="V295" s="41">
        <v>39.531680440771346</v>
      </c>
      <c r="W295" s="41">
        <v>39.531680440771346</v>
      </c>
      <c r="X295" s="41">
        <v>39.531680440771346</v>
      </c>
      <c r="Y295" s="41">
        <v>39.531680440771346</v>
      </c>
      <c r="Z295" s="41">
        <v>39.531680440771346</v>
      </c>
      <c r="AA295" s="41">
        <v>39.531680440771346</v>
      </c>
      <c r="AB295" s="41">
        <v>39.531680440771346</v>
      </c>
      <c r="AC295" s="116">
        <f t="shared" si="104"/>
        <v>474.38016528925624</v>
      </c>
      <c r="AE295" s="39">
        <f>IF(ISBLANK(Q295),"",IF($P295="BRL",Q295,Q295*Macroindicadores!B$2)/1000)</f>
        <v>0.2324462809917355</v>
      </c>
      <c r="AF295" s="39">
        <f>IF(ISBLANK(R295),"",IF($P295="BRL",R295,R295*Macroindicadores!C$2)/1000)</f>
        <v>0.2324462809917355</v>
      </c>
      <c r="AG295" s="39">
        <f>IF(ISBLANK(S295),"",IF($P295="BRL",S295,S295*Macroindicadores!D$2)/1000)</f>
        <v>0.2324462809917355</v>
      </c>
      <c r="AH295" s="39">
        <f>IF(ISBLANK(T295),"",IF($P295="BRL",T295,T295*Macroindicadores!E$2)/1000)</f>
        <v>0.2324462809917355</v>
      </c>
      <c r="AI295" s="39">
        <f>IF(ISBLANK(U295),"",IF($P295="BRL",U295,U295*Macroindicadores!F$2)/1000)</f>
        <v>0.2324462809917355</v>
      </c>
      <c r="AJ295" s="39">
        <f>IF(ISBLANK(V295),"",IF($P295="BRL",V295,V295*Macroindicadores!G$2)/1000)</f>
        <v>0.2324462809917355</v>
      </c>
      <c r="AK295" s="39">
        <f>IF(ISBLANK(W295),"",IF($P295="BRL",W295,W295*Macroindicadores!H$2)/1000)</f>
        <v>0.2324462809917355</v>
      </c>
      <c r="AL295" s="39">
        <f>IF(ISBLANK(X295),"",IF($P295="BRL",X295,X295*Macroindicadores!I$2)/1000)</f>
        <v>0.2324462809917355</v>
      </c>
      <c r="AM295" s="39">
        <f>IF(ISBLANK(Y295),"",IF($P295="BRL",Y295,Y295*Macroindicadores!J$2)/1000)</f>
        <v>0.2324462809917355</v>
      </c>
      <c r="AN295" s="39">
        <f>IF(ISBLANK(Z295),"",IF($P295="BRL",Z295,Z295*Macroindicadores!K$2)/1000)</f>
        <v>0.2324462809917355</v>
      </c>
      <c r="AO295" s="39">
        <f>IF(ISBLANK(AA295),"",IF($P295="BRL",AA295,AA295*Macroindicadores!L$2)/1000)</f>
        <v>0.2324462809917355</v>
      </c>
      <c r="AP295" s="39">
        <f>IF(ISBLANK(AB295),"",IF($P295="BRL",AB295,AB295*Macroindicadores!M$2)/1000)</f>
        <v>0.2324462809917355</v>
      </c>
      <c r="AQ295" s="40">
        <f t="shared" si="105"/>
        <v>2.7893553719008266</v>
      </c>
      <c r="AS295" s="39">
        <f>IF(ISBLANK(Q295),"",IF(ISBLANK($O295),AE295,IF($J295="ANUAL",AE295*(1+Macroindicadores!B$7),IF(AND($I295="NOVO",MONTH($O295)=MONTH(AS$4)),AE295*(1+Macroindicadores!B$7),IF(AND($J295="PONTUAL",MONTH($O295)=MONTH(AS$4)),AE295*(1+Macroindicadores!B$7),IF(AND($J295="PONTUAL",MONTH($O295)&lt;MONTH(AS$4)),MIN(AR295:$AS295),IF(AND($I295="NOVO",MONTH($O295)&gt;MONTH(AS$4)),AE295,IF(MONTH($O295)&gt;MONTH(AS$4),AE295,IF(MONTH($O295)=MONTH(AS$4),AE295*(1+Macroindicadores!B$7),AR295)))))))))</f>
        <v>0.2324462809917355</v>
      </c>
      <c r="AT295" s="39">
        <f>IF(ISBLANK(R295),"",IF(ISBLANK($O295),AF295,IF($J295="ANUAL",AF295*(1+Macroindicadores!C$7),IF(AND($I295="NOVO",MONTH($O295)=MONTH(AT$4)),AF295*(1+Macroindicadores!C$7),IF(AND($J295="PONTUAL",MONTH($O295)=MONTH(AT$4)),AF295*(1+Macroindicadores!C$7),IF(AND($J295="PONTUAL",MONTH($O295)&lt;MONTH(AT$4)),MIN($AS295:AS295),IF(AND($I295="NOVO",MONTH($O295)&gt;MONTH(AT$4)),AF295,IF(MONTH($O295)&gt;MONTH(AT$4),AF295,IF(MONTH($O295)=MONTH(AT$4),AF295*(1+Macroindicadores!C$7),AS295)))))))))</f>
        <v>0.2324462809917355</v>
      </c>
      <c r="AU295" s="39">
        <f>IF(ISBLANK(S295),"",IF(ISBLANK($O295),AG295,IF($J295="ANUAL",AG295*(1+Macroindicadores!D$7),IF(AND($I295="NOVO",MONTH($O295)=MONTH(AU$4)),AG295*(1+Macroindicadores!D$7),IF(AND($J295="PONTUAL",MONTH($O295)=MONTH(AU$4)),AG295*(1+Macroindicadores!D$7),IF(AND($J295="PONTUAL",MONTH($O295)&lt;MONTH(AU$4)),MIN($AS295:AT295),IF(AND($I295="NOVO",MONTH($O295)&gt;MONTH(AU$4)),AG295,IF(MONTH($O295)&gt;MONTH(AU$4),AG295,IF(MONTH($O295)=MONTH(AU$4),AG295*(1+Macroindicadores!D$7),AT295)))))))))</f>
        <v>0.2324462809917355</v>
      </c>
      <c r="AV295" s="39">
        <f>IF(ISBLANK(T295),"",IF(ISBLANK($O295),AH295,IF($J295="ANUAL",AH295*(1+Macroindicadores!E$7),IF(AND($I295="NOVO",MONTH($O295)=MONTH(AV$4)),AH295*(1+Macroindicadores!E$7),IF(AND($J295="PONTUAL",MONTH($O295)=MONTH(AV$4)),AH295*(1+Macroindicadores!E$7),IF(AND($J295="PONTUAL",MONTH($O295)&lt;MONTH(AV$4)),MIN($AS295:AU295),IF(AND($I295="NOVO",MONTH($O295)&gt;MONTH(AV$4)),AH295,IF(MONTH($O295)&gt;MONTH(AV$4),AH295,IF(MONTH($O295)=MONTH(AV$4),AH295*(1+Macroindicadores!E$7),AU295)))))))))</f>
        <v>0.2324462809917355</v>
      </c>
      <c r="AW295" s="39">
        <f>IF(ISBLANK(U295),"",IF(ISBLANK($O295),AI295,IF($J295="ANUAL",AI295*(1+Macroindicadores!F$7),IF(AND($I295="NOVO",MONTH($O295)=MONTH(AW$4)),AI295*(1+Macroindicadores!F$7),IF(AND($J295="PONTUAL",MONTH($O295)=MONTH(AW$4)),AI295*(1+Macroindicadores!F$7),IF(AND($J295="PONTUAL",MONTH($O295)&lt;MONTH(AW$4)),MIN($AS295:AV295),IF(AND($I295="NOVO",MONTH($O295)&gt;MONTH(AW$4)),AI295,IF(MONTH($O295)&gt;MONTH(AW$4),AI295,IF(MONTH($O295)=MONTH(AW$4),AI295*(1+Macroindicadores!F$7),AV295)))))))))</f>
        <v>0.2324462809917355</v>
      </c>
      <c r="AX295" s="39">
        <f>IF(ISBLANK(V295),"",IF(ISBLANK($O295),AJ295,IF($J295="ANUAL",AJ295*(1+Macroindicadores!G$7),IF(AND($I295="NOVO",MONTH($O295)=MONTH(AX$4)),AJ295*(1+Macroindicadores!G$7),IF(AND($J295="PONTUAL",MONTH($O295)=MONTH(AX$4)),AJ295*(1+Macroindicadores!G$7),IF(AND($J295="PONTUAL",MONTH($O295)&lt;MONTH(AX$4)),MIN($AS295:AW295),IF(AND($I295="NOVO",MONTH($O295)&gt;MONTH(AX$4)),AJ295,IF(MONTH($O295)&gt;MONTH(AX$4),AJ295,IF(MONTH($O295)=MONTH(AX$4),AJ295*(1+Macroindicadores!G$7),AW295)))))))))</f>
        <v>0.2324462809917355</v>
      </c>
      <c r="AY295" s="39">
        <f>IF(ISBLANK(W295),"",IF(ISBLANK($O295),AK295,IF($J295="ANUAL",AK295*(1+Macroindicadores!H$7),IF(AND($I295="NOVO",MONTH($O295)=MONTH(AY$4)),AK295*(1+Macroindicadores!H$7),IF(AND($J295="PONTUAL",MONTH($O295)=MONTH(AY$4)),AK295*(1+Macroindicadores!H$7),IF(AND($J295="PONTUAL",MONTH($O295)&lt;MONTH(AY$4)),MIN($AS295:AX295),IF(AND($I295="NOVO",MONTH($O295)&gt;MONTH(AY$4)),AK295,IF(MONTH($O295)&gt;MONTH(AY$4),AK295,IF(MONTH($O295)=MONTH(AY$4),AK295*(1+Macroindicadores!H$7),AX295)))))))))</f>
        <v>0.2324462809917355</v>
      </c>
      <c r="AZ295" s="39">
        <f>IF(ISBLANK(X295),"",IF(ISBLANK($O295),AL295,IF($J295="ANUAL",AL295*(1+Macroindicadores!I$7),IF(AND($I295="NOVO",MONTH($O295)=MONTH(AZ$4)),AL295*(1+Macroindicadores!I$7),IF(AND($J295="PONTUAL",MONTH($O295)=MONTH(AZ$4)),AL295*(1+Macroindicadores!I$7),IF(AND($J295="PONTUAL",MONTH($O295)&lt;MONTH(AZ$4)),MIN($AS295:AY295),IF(AND($I295="NOVO",MONTH($O295)&gt;MONTH(AZ$4)),AL295,IF(MONTH($O295)&gt;MONTH(AZ$4),AL295,IF(MONTH($O295)=MONTH(AZ$4),AL295*(1+Macroindicadores!I$7),AY295)))))))))</f>
        <v>0.2324462809917355</v>
      </c>
      <c r="BA295" s="39">
        <f>IF(ISBLANK(Y295),"",IF(ISBLANK($O295),AM295,IF($J295="ANUAL",AM295*(1+Macroindicadores!J$7),IF(AND($I295="NOVO",MONTH($O295)=MONTH(BA$4)),AM295*(1+Macroindicadores!J$7),IF(AND($J295="PONTUAL",MONTH($O295)=MONTH(BA$4)),AM295*(1+Macroindicadores!J$7),IF(AND($J295="PONTUAL",MONTH($O295)&lt;MONTH(BA$4)),MIN($AS295:AZ295),IF(AND($I295="NOVO",MONTH($O295)&gt;MONTH(BA$4)),AM295,IF(MONTH($O295)&gt;MONTH(BA$4),AM295,IF(MONTH($O295)=MONTH(BA$4),AM295*(1+Macroindicadores!J$7),AZ295)))))))))</f>
        <v>0.2324462809917355</v>
      </c>
      <c r="BB295" s="39">
        <f>IF(ISBLANK(Z295),"",IF(ISBLANK($O295),AN295,IF($J295="ANUAL",AN295*(1+Macroindicadores!K$7),IF(AND($I295="NOVO",MONTH($O295)=MONTH(BB$4)),AN295*(1+Macroindicadores!K$7),IF(AND($J295="PONTUAL",MONTH($O295)=MONTH(BB$4)),AN295*(1+Macroindicadores!K$7),IF(AND($J295="PONTUAL",MONTH($O295)&lt;MONTH(BB$4)),MIN($AS295:BA295),IF(AND($I295="NOVO",MONTH($O295)&gt;MONTH(BB$4)),AN295,IF(MONTH($O295)&gt;MONTH(BB$4),AN295,IF(MONTH($O295)=MONTH(BB$4),AN295*(1+Macroindicadores!K$7),BA295)))))))))</f>
        <v>0.2324462809917355</v>
      </c>
      <c r="BC295" s="39">
        <f>IF(ISBLANK(AA295),"",IF(ISBLANK($O295),AO295,IF($J295="ANUAL",AO295*(1+Macroindicadores!L$7),IF(AND($I295="NOVO",MONTH($O295)=MONTH(BC$4)),AO295*(1+Macroindicadores!L$7),IF(AND($J295="PONTUAL",MONTH($O295)=MONTH(BC$4)),AO295*(1+Macroindicadores!L$7),IF(AND($J295="PONTUAL",MONTH($O295)&lt;MONTH(BC$4)),MIN($AS295:BB295),IF(AND($I295="NOVO",MONTH($O295)&gt;MONTH(BC$4)),AO295,IF(MONTH($O295)&gt;MONTH(BC$4),AO295,IF(MONTH($O295)=MONTH(BC$4),AO295*(1+Macroindicadores!L$7),BB295)))))))))</f>
        <v>0.2324462809917355</v>
      </c>
      <c r="BD295" s="39">
        <f>IF(ISBLANK(AB295),"",IF(ISBLANK($O295),AP295,IF($J295="ANUAL",AP295*(1+Macroindicadores!M$7),IF(AND($I295="NOVO",MONTH($O295)=MONTH(BD$4)),AP295*(1+Macroindicadores!M$7),IF(AND($J295="PONTUAL",MONTH($O295)=MONTH(BD$4)),AP295*(1+Macroindicadores!M$7),IF(AND($J295="PONTUAL",MONTH($O295)&lt;MONTH(BD$4)),MIN($AS295:BC295),IF(AND($I295="NOVO",MONTH($O295)&gt;MONTH(BD$4)),AP295,IF(MONTH($O295)&gt;MONTH(BD$4),AP295,IF(MONTH($O295)=MONTH(BD$4),AP295*(1+Macroindicadores!M$7),BC295)))))))))</f>
        <v>0.2324462809917355</v>
      </c>
      <c r="BE295" s="40">
        <f t="shared" si="106"/>
        <v>2.7893553719008266</v>
      </c>
      <c r="BG295" s="39">
        <f>IF(ISBLANK(Q295),"",AS295/Macroindicadores!B$2)</f>
        <v>3.9531680440771343E-2</v>
      </c>
      <c r="BH295" s="39">
        <f>IF(ISBLANK(R295),"",AT295/Macroindicadores!C$2)</f>
        <v>3.9531680440771343E-2</v>
      </c>
      <c r="BI295" s="39">
        <f>IF(ISBLANK(S295),"",AU295/Macroindicadores!D$2)</f>
        <v>3.9531680440771343E-2</v>
      </c>
      <c r="BJ295" s="39">
        <f>IF(ISBLANK(T295),"",AV295/Macroindicadores!E$2)</f>
        <v>3.9531680440771343E-2</v>
      </c>
      <c r="BK295" s="39">
        <f>IF(ISBLANK(U295),"",AW295/Macroindicadores!F$2)</f>
        <v>3.9531680440771343E-2</v>
      </c>
      <c r="BL295" s="39">
        <f>IF(ISBLANK(V295),"",AX295/Macroindicadores!G$2)</f>
        <v>3.9531680440771343E-2</v>
      </c>
      <c r="BM295" s="39">
        <f>IF(ISBLANK(W295),"",AY295/Macroindicadores!H$2)</f>
        <v>3.9531680440771343E-2</v>
      </c>
      <c r="BN295" s="39">
        <f>IF(ISBLANK(X295),"",AZ295/Macroindicadores!I$2)</f>
        <v>3.9531680440771343E-2</v>
      </c>
      <c r="BO295" s="39">
        <f>IF(ISBLANK(Y295),"",BA295/Macroindicadores!J$2)</f>
        <v>3.9531680440771343E-2</v>
      </c>
      <c r="BP295" s="39">
        <f>IF(ISBLANK(Z295),"",BB295/Macroindicadores!K$2)</f>
        <v>3.9531680440771343E-2</v>
      </c>
      <c r="BQ295" s="39">
        <f>IF(ISBLANK(AA295),"",BC295/Macroindicadores!L$2)</f>
        <v>3.9531680440771343E-2</v>
      </c>
      <c r="BR295" s="39">
        <f>IF(ISBLANK(AB295),"",BD295/Macroindicadores!M$2)</f>
        <v>3.9531680440771343E-2</v>
      </c>
      <c r="BS295" s="40">
        <f t="shared" si="107"/>
        <v>0.47438016528925603</v>
      </c>
      <c r="BT295" s="25" t="str">
        <f>IF(ISBLANK($L295),"",_xlfn.XLOOKUP($L295,'CENTRO CUSTO'!$A:$A,'CENTRO CUSTO'!$E:$E,FALSE,0))</f>
        <v/>
      </c>
    </row>
    <row r="296" spans="1:72">
      <c r="A296" s="9" t="str">
        <f t="shared" si="80"/>
        <v>Budget</v>
      </c>
      <c r="B296" s="9">
        <f t="shared" si="77"/>
        <v>2026</v>
      </c>
      <c r="C296" s="111" t="s">
        <v>262</v>
      </c>
      <c r="D296" s="111" t="s">
        <v>263</v>
      </c>
      <c r="E296" s="111" t="s">
        <v>14</v>
      </c>
      <c r="F296" s="112" t="s">
        <v>286</v>
      </c>
      <c r="G296" s="112" t="s">
        <v>224</v>
      </c>
      <c r="H296" s="112" t="s">
        <v>287</v>
      </c>
      <c r="I296" s="11" t="s">
        <v>77</v>
      </c>
      <c r="J296" s="11" t="s">
        <v>78</v>
      </c>
      <c r="K296" s="11" t="s">
        <v>79</v>
      </c>
      <c r="L296" s="11"/>
      <c r="M296" s="18" t="str">
        <f>IF(ISBLANK($L296),"",_xlfn.XLOOKUP($L296,'CENTRO CUSTO'!$A:$A,'CENTRO CUSTO'!D:D,FALSE,0))</f>
        <v/>
      </c>
      <c r="N296" s="11" t="s">
        <v>132</v>
      </c>
      <c r="O296" s="12"/>
      <c r="P296" s="113" t="s">
        <v>88</v>
      </c>
      <c r="Q296" s="41">
        <v>389.53168044077131</v>
      </c>
      <c r="R296" s="41">
        <v>389.53168044077131</v>
      </c>
      <c r="S296" s="41">
        <v>389.53168044077131</v>
      </c>
      <c r="T296" s="41">
        <v>389.53168044077131</v>
      </c>
      <c r="U296" s="41">
        <v>389.53168044077131</v>
      </c>
      <c r="V296" s="41">
        <v>389.53168044077131</v>
      </c>
      <c r="W296" s="41">
        <v>389.53168044077131</v>
      </c>
      <c r="X296" s="41">
        <v>389.53168044077131</v>
      </c>
      <c r="Y296" s="41">
        <v>389.53168044077131</v>
      </c>
      <c r="Z296" s="41">
        <v>389.53168044077131</v>
      </c>
      <c r="AA296" s="41">
        <v>389.53168044077131</v>
      </c>
      <c r="AB296" s="41">
        <v>389.53168044077131</v>
      </c>
      <c r="AC296" s="116">
        <f t="shared" si="104"/>
        <v>4674.3801652892553</v>
      </c>
      <c r="AE296" s="39">
        <f>IF(ISBLANK(Q296),"",IF($P296="BRL",Q296,Q296*Macroindicadores!B$2)/1000)</f>
        <v>2.2904462809917354</v>
      </c>
      <c r="AF296" s="39">
        <f>IF(ISBLANK(R296),"",IF($P296="BRL",R296,R296*Macroindicadores!C$2)/1000)</f>
        <v>2.2904462809917354</v>
      </c>
      <c r="AG296" s="39">
        <f>IF(ISBLANK(S296),"",IF($P296="BRL",S296,S296*Macroindicadores!D$2)/1000)</f>
        <v>2.2904462809917354</v>
      </c>
      <c r="AH296" s="39">
        <f>IF(ISBLANK(T296),"",IF($P296="BRL",T296,T296*Macroindicadores!E$2)/1000)</f>
        <v>2.2904462809917354</v>
      </c>
      <c r="AI296" s="39">
        <f>IF(ISBLANK(U296),"",IF($P296="BRL",U296,U296*Macroindicadores!F$2)/1000)</f>
        <v>2.2904462809917354</v>
      </c>
      <c r="AJ296" s="39">
        <f>IF(ISBLANK(V296),"",IF($P296="BRL",V296,V296*Macroindicadores!G$2)/1000)</f>
        <v>2.2904462809917354</v>
      </c>
      <c r="AK296" s="39">
        <f>IF(ISBLANK(W296),"",IF($P296="BRL",W296,W296*Macroindicadores!H$2)/1000)</f>
        <v>2.2904462809917354</v>
      </c>
      <c r="AL296" s="39">
        <f>IF(ISBLANK(X296),"",IF($P296="BRL",X296,X296*Macroindicadores!I$2)/1000)</f>
        <v>2.2904462809917354</v>
      </c>
      <c r="AM296" s="39">
        <f>IF(ISBLANK(Y296),"",IF($P296="BRL",Y296,Y296*Macroindicadores!J$2)/1000)</f>
        <v>2.2904462809917354</v>
      </c>
      <c r="AN296" s="39">
        <f>IF(ISBLANK(Z296),"",IF($P296="BRL",Z296,Z296*Macroindicadores!K$2)/1000)</f>
        <v>2.2904462809917354</v>
      </c>
      <c r="AO296" s="39">
        <f>IF(ISBLANK(AA296),"",IF($P296="BRL",AA296,AA296*Macroindicadores!L$2)/1000)</f>
        <v>2.2904462809917354</v>
      </c>
      <c r="AP296" s="39">
        <f>IF(ISBLANK(AB296),"",IF($P296="BRL",AB296,AB296*Macroindicadores!M$2)/1000)</f>
        <v>2.2904462809917354</v>
      </c>
      <c r="AQ296" s="40">
        <f t="shared" si="105"/>
        <v>27.48535537190082</v>
      </c>
      <c r="AS296" s="39">
        <f>IF(ISBLANK(Q296),"",IF(ISBLANK($O296),AE296,IF($J296="ANUAL",AE296*(1+Macroindicadores!B$7),IF(AND($I296="NOVO",MONTH($O296)=MONTH(AS$4)),AE296*(1+Macroindicadores!B$7),IF(AND($J296="PONTUAL",MONTH($O296)=MONTH(AS$4)),AE296*(1+Macroindicadores!B$7),IF(AND($J296="PONTUAL",MONTH($O296)&lt;MONTH(AS$4)),MIN(AR296:$AS296),IF(AND($I296="NOVO",MONTH($O296)&gt;MONTH(AS$4)),AE296,IF(MONTH($O296)&gt;MONTH(AS$4),AE296,IF(MONTH($O296)=MONTH(AS$4),AE296*(1+Macroindicadores!B$7),AR296)))))))))</f>
        <v>2.2904462809917354</v>
      </c>
      <c r="AT296" s="39">
        <f>IF(ISBLANK(R296),"",IF(ISBLANK($O296),AF296,IF($J296="ANUAL",AF296*(1+Macroindicadores!C$7),IF(AND($I296="NOVO",MONTH($O296)=MONTH(AT$4)),AF296*(1+Macroindicadores!C$7),IF(AND($J296="PONTUAL",MONTH($O296)=MONTH(AT$4)),AF296*(1+Macroindicadores!C$7),IF(AND($J296="PONTUAL",MONTH($O296)&lt;MONTH(AT$4)),MIN($AS296:AS296),IF(AND($I296="NOVO",MONTH($O296)&gt;MONTH(AT$4)),AF296,IF(MONTH($O296)&gt;MONTH(AT$4),AF296,IF(MONTH($O296)=MONTH(AT$4),AF296*(1+Macroindicadores!C$7),AS296)))))))))</f>
        <v>2.2904462809917354</v>
      </c>
      <c r="AU296" s="39">
        <f>IF(ISBLANK(S296),"",IF(ISBLANK($O296),AG296,IF($J296="ANUAL",AG296*(1+Macroindicadores!D$7),IF(AND($I296="NOVO",MONTH($O296)=MONTH(AU$4)),AG296*(1+Macroindicadores!D$7),IF(AND($J296="PONTUAL",MONTH($O296)=MONTH(AU$4)),AG296*(1+Macroindicadores!D$7),IF(AND($J296="PONTUAL",MONTH($O296)&lt;MONTH(AU$4)),MIN($AS296:AT296),IF(AND($I296="NOVO",MONTH($O296)&gt;MONTH(AU$4)),AG296,IF(MONTH($O296)&gt;MONTH(AU$4),AG296,IF(MONTH($O296)=MONTH(AU$4),AG296*(1+Macroindicadores!D$7),AT296)))))))))</f>
        <v>2.2904462809917354</v>
      </c>
      <c r="AV296" s="39">
        <f>IF(ISBLANK(T296),"",IF(ISBLANK($O296),AH296,IF($J296="ANUAL",AH296*(1+Macroindicadores!E$7),IF(AND($I296="NOVO",MONTH($O296)=MONTH(AV$4)),AH296*(1+Macroindicadores!E$7),IF(AND($J296="PONTUAL",MONTH($O296)=MONTH(AV$4)),AH296*(1+Macroindicadores!E$7),IF(AND($J296="PONTUAL",MONTH($O296)&lt;MONTH(AV$4)),MIN($AS296:AU296),IF(AND($I296="NOVO",MONTH($O296)&gt;MONTH(AV$4)),AH296,IF(MONTH($O296)&gt;MONTH(AV$4),AH296,IF(MONTH($O296)=MONTH(AV$4),AH296*(1+Macroindicadores!E$7),AU296)))))))))</f>
        <v>2.2904462809917354</v>
      </c>
      <c r="AW296" s="39">
        <f>IF(ISBLANK(U296),"",IF(ISBLANK($O296),AI296,IF($J296="ANUAL",AI296*(1+Macroindicadores!F$7),IF(AND($I296="NOVO",MONTH($O296)=MONTH(AW$4)),AI296*(1+Macroindicadores!F$7),IF(AND($J296="PONTUAL",MONTH($O296)=MONTH(AW$4)),AI296*(1+Macroindicadores!F$7),IF(AND($J296="PONTUAL",MONTH($O296)&lt;MONTH(AW$4)),MIN($AS296:AV296),IF(AND($I296="NOVO",MONTH($O296)&gt;MONTH(AW$4)),AI296,IF(MONTH($O296)&gt;MONTH(AW$4),AI296,IF(MONTH($O296)=MONTH(AW$4),AI296*(1+Macroindicadores!F$7),AV296)))))))))</f>
        <v>2.2904462809917354</v>
      </c>
      <c r="AX296" s="39">
        <f>IF(ISBLANK(V296),"",IF(ISBLANK($O296),AJ296,IF($J296="ANUAL",AJ296*(1+Macroindicadores!G$7),IF(AND($I296="NOVO",MONTH($O296)=MONTH(AX$4)),AJ296*(1+Macroindicadores!G$7),IF(AND($J296="PONTUAL",MONTH($O296)=MONTH(AX$4)),AJ296*(1+Macroindicadores!G$7),IF(AND($J296="PONTUAL",MONTH($O296)&lt;MONTH(AX$4)),MIN($AS296:AW296),IF(AND($I296="NOVO",MONTH($O296)&gt;MONTH(AX$4)),AJ296,IF(MONTH($O296)&gt;MONTH(AX$4),AJ296,IF(MONTH($O296)=MONTH(AX$4),AJ296*(1+Macroindicadores!G$7),AW296)))))))))</f>
        <v>2.2904462809917354</v>
      </c>
      <c r="AY296" s="39">
        <f>IF(ISBLANK(W296),"",IF(ISBLANK($O296),AK296,IF($J296="ANUAL",AK296*(1+Macroindicadores!H$7),IF(AND($I296="NOVO",MONTH($O296)=MONTH(AY$4)),AK296*(1+Macroindicadores!H$7),IF(AND($J296="PONTUAL",MONTH($O296)=MONTH(AY$4)),AK296*(1+Macroindicadores!H$7),IF(AND($J296="PONTUAL",MONTH($O296)&lt;MONTH(AY$4)),MIN($AS296:AX296),IF(AND($I296="NOVO",MONTH($O296)&gt;MONTH(AY$4)),AK296,IF(MONTH($O296)&gt;MONTH(AY$4),AK296,IF(MONTH($O296)=MONTH(AY$4),AK296*(1+Macroindicadores!H$7),AX296)))))))))</f>
        <v>2.2904462809917354</v>
      </c>
      <c r="AZ296" s="39">
        <f>IF(ISBLANK(X296),"",IF(ISBLANK($O296),AL296,IF($J296="ANUAL",AL296*(1+Macroindicadores!I$7),IF(AND($I296="NOVO",MONTH($O296)=MONTH(AZ$4)),AL296*(1+Macroindicadores!I$7),IF(AND($J296="PONTUAL",MONTH($O296)=MONTH(AZ$4)),AL296*(1+Macroindicadores!I$7),IF(AND($J296="PONTUAL",MONTH($O296)&lt;MONTH(AZ$4)),MIN($AS296:AY296),IF(AND($I296="NOVO",MONTH($O296)&gt;MONTH(AZ$4)),AL296,IF(MONTH($O296)&gt;MONTH(AZ$4),AL296,IF(MONTH($O296)=MONTH(AZ$4),AL296*(1+Macroindicadores!I$7),AY296)))))))))</f>
        <v>2.2904462809917354</v>
      </c>
      <c r="BA296" s="39">
        <f>IF(ISBLANK(Y296),"",IF(ISBLANK($O296),AM296,IF($J296="ANUAL",AM296*(1+Macroindicadores!J$7),IF(AND($I296="NOVO",MONTH($O296)=MONTH(BA$4)),AM296*(1+Macroindicadores!J$7),IF(AND($J296="PONTUAL",MONTH($O296)=MONTH(BA$4)),AM296*(1+Macroindicadores!J$7),IF(AND($J296="PONTUAL",MONTH($O296)&lt;MONTH(BA$4)),MIN($AS296:AZ296),IF(AND($I296="NOVO",MONTH($O296)&gt;MONTH(BA$4)),AM296,IF(MONTH($O296)&gt;MONTH(BA$4),AM296,IF(MONTH($O296)=MONTH(BA$4),AM296*(1+Macroindicadores!J$7),AZ296)))))))))</f>
        <v>2.2904462809917354</v>
      </c>
      <c r="BB296" s="39">
        <f>IF(ISBLANK(Z296),"",IF(ISBLANK($O296),AN296,IF($J296="ANUAL",AN296*(1+Macroindicadores!K$7),IF(AND($I296="NOVO",MONTH($O296)=MONTH(BB$4)),AN296*(1+Macroindicadores!K$7),IF(AND($J296="PONTUAL",MONTH($O296)=MONTH(BB$4)),AN296*(1+Macroindicadores!K$7),IF(AND($J296="PONTUAL",MONTH($O296)&lt;MONTH(BB$4)),MIN($AS296:BA296),IF(AND($I296="NOVO",MONTH($O296)&gt;MONTH(BB$4)),AN296,IF(MONTH($O296)&gt;MONTH(BB$4),AN296,IF(MONTH($O296)=MONTH(BB$4),AN296*(1+Macroindicadores!K$7),BA296)))))))))</f>
        <v>2.2904462809917354</v>
      </c>
      <c r="BC296" s="39">
        <f>IF(ISBLANK(AA296),"",IF(ISBLANK($O296),AO296,IF($J296="ANUAL",AO296*(1+Macroindicadores!L$7),IF(AND($I296="NOVO",MONTH($O296)=MONTH(BC$4)),AO296*(1+Macroindicadores!L$7),IF(AND($J296="PONTUAL",MONTH($O296)=MONTH(BC$4)),AO296*(1+Macroindicadores!L$7),IF(AND($J296="PONTUAL",MONTH($O296)&lt;MONTH(BC$4)),MIN($AS296:BB296),IF(AND($I296="NOVO",MONTH($O296)&gt;MONTH(BC$4)),AO296,IF(MONTH($O296)&gt;MONTH(BC$4),AO296,IF(MONTH($O296)=MONTH(BC$4),AO296*(1+Macroindicadores!L$7),BB296)))))))))</f>
        <v>2.2904462809917354</v>
      </c>
      <c r="BD296" s="39">
        <f>IF(ISBLANK(AB296),"",IF(ISBLANK($O296),AP296,IF($J296="ANUAL",AP296*(1+Macroindicadores!M$7),IF(AND($I296="NOVO",MONTH($O296)=MONTH(BD$4)),AP296*(1+Macroindicadores!M$7),IF(AND($J296="PONTUAL",MONTH($O296)=MONTH(BD$4)),AP296*(1+Macroindicadores!M$7),IF(AND($J296="PONTUAL",MONTH($O296)&lt;MONTH(BD$4)),MIN($AS296:BC296),IF(AND($I296="NOVO",MONTH($O296)&gt;MONTH(BD$4)),AP296,IF(MONTH($O296)&gt;MONTH(BD$4),AP296,IF(MONTH($O296)=MONTH(BD$4),AP296*(1+Macroindicadores!M$7),BC296)))))))))</f>
        <v>2.2904462809917354</v>
      </c>
      <c r="BE296" s="40">
        <f t="shared" si="106"/>
        <v>27.48535537190082</v>
      </c>
      <c r="BG296" s="39">
        <f>IF(ISBLANK(Q296),"",AS296/Macroindicadores!B$2)</f>
        <v>0.38953168044077136</v>
      </c>
      <c r="BH296" s="39">
        <f>IF(ISBLANK(R296),"",AT296/Macroindicadores!C$2)</f>
        <v>0.38953168044077136</v>
      </c>
      <c r="BI296" s="39">
        <f>IF(ISBLANK(S296),"",AU296/Macroindicadores!D$2)</f>
        <v>0.38953168044077136</v>
      </c>
      <c r="BJ296" s="39">
        <f>IF(ISBLANK(T296),"",AV296/Macroindicadores!E$2)</f>
        <v>0.38953168044077136</v>
      </c>
      <c r="BK296" s="39">
        <f>IF(ISBLANK(U296),"",AW296/Macroindicadores!F$2)</f>
        <v>0.38953168044077136</v>
      </c>
      <c r="BL296" s="39">
        <f>IF(ISBLANK(V296),"",AX296/Macroindicadores!G$2)</f>
        <v>0.38953168044077136</v>
      </c>
      <c r="BM296" s="39">
        <f>IF(ISBLANK(W296),"",AY296/Macroindicadores!H$2)</f>
        <v>0.38953168044077136</v>
      </c>
      <c r="BN296" s="39">
        <f>IF(ISBLANK(X296),"",AZ296/Macroindicadores!I$2)</f>
        <v>0.38953168044077136</v>
      </c>
      <c r="BO296" s="39">
        <f>IF(ISBLANK(Y296),"",BA296/Macroindicadores!J$2)</f>
        <v>0.38953168044077136</v>
      </c>
      <c r="BP296" s="39">
        <f>IF(ISBLANK(Z296),"",BB296/Macroindicadores!K$2)</f>
        <v>0.38953168044077136</v>
      </c>
      <c r="BQ296" s="39">
        <f>IF(ISBLANK(AA296),"",BC296/Macroindicadores!L$2)</f>
        <v>0.38953168044077136</v>
      </c>
      <c r="BR296" s="39">
        <f>IF(ISBLANK(AB296),"",BD296/Macroindicadores!M$2)</f>
        <v>0.38953168044077136</v>
      </c>
      <c r="BS296" s="40">
        <f t="shared" si="107"/>
        <v>4.6743801652892554</v>
      </c>
      <c r="BT296" s="25" t="str">
        <f>IF(ISBLANK($L296),"",_xlfn.XLOOKUP($L296,'CENTRO CUSTO'!$A:$A,'CENTRO CUSTO'!$E:$E,FALSE,0))</f>
        <v/>
      </c>
    </row>
    <row r="297" spans="1:72">
      <c r="A297" s="9" t="str">
        <f t="shared" si="80"/>
        <v>Budget</v>
      </c>
      <c r="B297" s="9">
        <f t="shared" si="77"/>
        <v>2026</v>
      </c>
      <c r="C297" s="111" t="s">
        <v>262</v>
      </c>
      <c r="D297" s="111" t="s">
        <v>263</v>
      </c>
      <c r="E297" s="111" t="s">
        <v>14</v>
      </c>
      <c r="F297" s="112" t="s">
        <v>288</v>
      </c>
      <c r="G297" s="112" t="s">
        <v>224</v>
      </c>
      <c r="H297" s="112" t="s">
        <v>289</v>
      </c>
      <c r="I297" s="11" t="s">
        <v>84</v>
      </c>
      <c r="J297" s="11" t="s">
        <v>78</v>
      </c>
      <c r="K297" s="11" t="s">
        <v>121</v>
      </c>
      <c r="L297" s="11"/>
      <c r="M297" s="18" t="str">
        <f>IF(ISBLANK($L297),"",_xlfn.XLOOKUP($L297,'CENTRO CUSTO'!$A:$A,'CENTRO CUSTO'!D:D,FALSE,0))</f>
        <v/>
      </c>
      <c r="N297" s="11" t="s">
        <v>91</v>
      </c>
      <c r="O297" s="12"/>
      <c r="P297" s="113" t="s">
        <v>88</v>
      </c>
      <c r="Q297" s="41">
        <v>350</v>
      </c>
      <c r="R297" s="41">
        <v>350</v>
      </c>
      <c r="S297" s="41">
        <v>350</v>
      </c>
      <c r="T297" s="41">
        <v>350</v>
      </c>
      <c r="U297" s="41">
        <v>350</v>
      </c>
      <c r="V297" s="41">
        <v>350</v>
      </c>
      <c r="W297" s="41">
        <v>350</v>
      </c>
      <c r="X297" s="41">
        <v>350</v>
      </c>
      <c r="Y297" s="41">
        <v>350</v>
      </c>
      <c r="Z297" s="41">
        <v>350</v>
      </c>
      <c r="AA297" s="41">
        <v>350</v>
      </c>
      <c r="AB297" s="41">
        <v>350</v>
      </c>
      <c r="AC297" s="116">
        <f t="shared" ref="AC297:AC301" si="137">IF(AND(ISBLANK($Q297),ISBLANK($R297),ISBLANK($S297),ISBLANK($T297),ISBLANK($U297),ISBLANK($V297),ISBLANK($W297),ISBLANK($X297),ISBLANK($Y297),ISBLANK($Z297),ISBLANK($AA297),ISBLANK($AB297)),"",SUM(Q297:AB297))</f>
        <v>4200</v>
      </c>
      <c r="AE297" s="39">
        <f>IF(ISBLANK(Q297),"",IF($P297="BRL",Q297,Q297*Macroindicadores!B$2)/1000)</f>
        <v>2.0579999999999998</v>
      </c>
      <c r="AF297" s="39">
        <f>IF(ISBLANK(R297),"",IF($P297="BRL",R297,R297*Macroindicadores!C$2)/1000)</f>
        <v>2.0579999999999998</v>
      </c>
      <c r="AG297" s="39">
        <f>IF(ISBLANK(S297),"",IF($P297="BRL",S297,S297*Macroindicadores!D$2)/1000)</f>
        <v>2.0579999999999998</v>
      </c>
      <c r="AH297" s="39">
        <f>IF(ISBLANK(T297),"",IF($P297="BRL",T297,T297*Macroindicadores!E$2)/1000)</f>
        <v>2.0579999999999998</v>
      </c>
      <c r="AI297" s="39">
        <f>IF(ISBLANK(U297),"",IF($P297="BRL",U297,U297*Macroindicadores!F$2)/1000)</f>
        <v>2.0579999999999998</v>
      </c>
      <c r="AJ297" s="39">
        <f>IF(ISBLANK(V297),"",IF($P297="BRL",V297,V297*Macroindicadores!G$2)/1000)</f>
        <v>2.0579999999999998</v>
      </c>
      <c r="AK297" s="39">
        <f>IF(ISBLANK(W297),"",IF($P297="BRL",W297,W297*Macroindicadores!H$2)/1000)</f>
        <v>2.0579999999999998</v>
      </c>
      <c r="AL297" s="39">
        <f>IF(ISBLANK(X297),"",IF($P297="BRL",X297,X297*Macroindicadores!I$2)/1000)</f>
        <v>2.0579999999999998</v>
      </c>
      <c r="AM297" s="39">
        <f>IF(ISBLANK(Y297),"",IF($P297="BRL",Y297,Y297*Macroindicadores!J$2)/1000)</f>
        <v>2.0579999999999998</v>
      </c>
      <c r="AN297" s="39">
        <f>IF(ISBLANK(Z297),"",IF($P297="BRL",Z297,Z297*Macroindicadores!K$2)/1000)</f>
        <v>2.0579999999999998</v>
      </c>
      <c r="AO297" s="39">
        <f>IF(ISBLANK(AA297),"",IF($P297="BRL",AA297,AA297*Macroindicadores!L$2)/1000)</f>
        <v>2.0579999999999998</v>
      </c>
      <c r="AP297" s="39">
        <f>IF(ISBLANK(AB297),"",IF($P297="BRL",AB297,AB297*Macroindicadores!M$2)/1000)</f>
        <v>2.0579999999999998</v>
      </c>
      <c r="AQ297" s="40">
        <f t="shared" ref="AQ297:AQ301" si="138">IF(AND(ISBLANK($Q297),ISBLANK($R297),ISBLANK($S297),ISBLANK($T297),ISBLANK($U297),ISBLANK($V297),ISBLANK($W297),ISBLANK($X297),ISBLANK($Y297),ISBLANK($Z297),ISBLANK($AA297),ISBLANK($AB297)),"",SUM(AE297:AP297))</f>
        <v>24.695999999999998</v>
      </c>
      <c r="AS297" s="39">
        <f>IF(ISBLANK(Q297),"",IF(ISBLANK($O297),AE297,IF($J297="ANUAL",AE297*(1+Macroindicadores!B$7),IF(AND($I297="NOVO",MONTH($O297)=MONTH(AS$4)),AE297*(1+Macroindicadores!B$7),IF(AND($J297="PONTUAL",MONTH($O297)=MONTH(AS$4)),AE297*(1+Macroindicadores!B$7),IF(AND($J297="PONTUAL",MONTH($O297)&lt;MONTH(AS$4)),MIN(AR297:$AS297),IF(AND($I297="NOVO",MONTH($O297)&gt;MONTH(AS$4)),AE297,IF(MONTH($O297)&gt;MONTH(AS$4),AE297,IF(MONTH($O297)=MONTH(AS$4),AE297*(1+Macroindicadores!B$7),AR297)))))))))</f>
        <v>2.0579999999999998</v>
      </c>
      <c r="AT297" s="39">
        <f>IF(ISBLANK(R297),"",IF(ISBLANK($O297),AF297,IF($J297="ANUAL",AF297*(1+Macroindicadores!C$7),IF(AND($I297="NOVO",MONTH($O297)=MONTH(AT$4)),AF297*(1+Macroindicadores!C$7),IF(AND($J297="PONTUAL",MONTH($O297)=MONTH(AT$4)),AF297*(1+Macroindicadores!C$7),IF(AND($J297="PONTUAL",MONTH($O297)&lt;MONTH(AT$4)),MIN($AS297:AS297),IF(AND($I297="NOVO",MONTH($O297)&gt;MONTH(AT$4)),AF297,IF(MONTH($O297)&gt;MONTH(AT$4),AF297,IF(MONTH($O297)=MONTH(AT$4),AF297*(1+Macroindicadores!C$7),AS297)))))))))</f>
        <v>2.0579999999999998</v>
      </c>
      <c r="AU297" s="39">
        <f>IF(ISBLANK(S297),"",IF(ISBLANK($O297),AG297,IF($J297="ANUAL",AG297*(1+Macroindicadores!D$7),IF(AND($I297="NOVO",MONTH($O297)=MONTH(AU$4)),AG297*(1+Macroindicadores!D$7),IF(AND($J297="PONTUAL",MONTH($O297)=MONTH(AU$4)),AG297*(1+Macroindicadores!D$7),IF(AND($J297="PONTUAL",MONTH($O297)&lt;MONTH(AU$4)),MIN($AS297:AT297),IF(AND($I297="NOVO",MONTH($O297)&gt;MONTH(AU$4)),AG297,IF(MONTH($O297)&gt;MONTH(AU$4),AG297,IF(MONTH($O297)=MONTH(AU$4),AG297*(1+Macroindicadores!D$7),AT297)))))))))</f>
        <v>2.0579999999999998</v>
      </c>
      <c r="AV297" s="39">
        <f>IF(ISBLANK(T297),"",IF(ISBLANK($O297),AH297,IF($J297="ANUAL",AH297*(1+Macroindicadores!E$7),IF(AND($I297="NOVO",MONTH($O297)=MONTH(AV$4)),AH297*(1+Macroindicadores!E$7),IF(AND($J297="PONTUAL",MONTH($O297)=MONTH(AV$4)),AH297*(1+Macroindicadores!E$7),IF(AND($J297="PONTUAL",MONTH($O297)&lt;MONTH(AV$4)),MIN($AS297:AU297),IF(AND($I297="NOVO",MONTH($O297)&gt;MONTH(AV$4)),AH297,IF(MONTH($O297)&gt;MONTH(AV$4),AH297,IF(MONTH($O297)=MONTH(AV$4),AH297*(1+Macroindicadores!E$7),AU297)))))))))</f>
        <v>2.0579999999999998</v>
      </c>
      <c r="AW297" s="39">
        <f>IF(ISBLANK(U297),"",IF(ISBLANK($O297),AI297,IF($J297="ANUAL",AI297*(1+Macroindicadores!F$7),IF(AND($I297="NOVO",MONTH($O297)=MONTH(AW$4)),AI297*(1+Macroindicadores!F$7),IF(AND($J297="PONTUAL",MONTH($O297)=MONTH(AW$4)),AI297*(1+Macroindicadores!F$7),IF(AND($J297="PONTUAL",MONTH($O297)&lt;MONTH(AW$4)),MIN($AS297:AV297),IF(AND($I297="NOVO",MONTH($O297)&gt;MONTH(AW$4)),AI297,IF(MONTH($O297)&gt;MONTH(AW$4),AI297,IF(MONTH($O297)=MONTH(AW$4),AI297*(1+Macroindicadores!F$7),AV297)))))))))</f>
        <v>2.0579999999999998</v>
      </c>
      <c r="AX297" s="39">
        <f>IF(ISBLANK(V297),"",IF(ISBLANK($O297),AJ297,IF($J297="ANUAL",AJ297*(1+Macroindicadores!G$7),IF(AND($I297="NOVO",MONTH($O297)=MONTH(AX$4)),AJ297*(1+Macroindicadores!G$7),IF(AND($J297="PONTUAL",MONTH($O297)=MONTH(AX$4)),AJ297*(1+Macroindicadores!G$7),IF(AND($J297="PONTUAL",MONTH($O297)&lt;MONTH(AX$4)),MIN($AS297:AW297),IF(AND($I297="NOVO",MONTH($O297)&gt;MONTH(AX$4)),AJ297,IF(MONTH($O297)&gt;MONTH(AX$4),AJ297,IF(MONTH($O297)=MONTH(AX$4),AJ297*(1+Macroindicadores!G$7),AW297)))))))))</f>
        <v>2.0579999999999998</v>
      </c>
      <c r="AY297" s="39">
        <f>IF(ISBLANK(W297),"",IF(ISBLANK($O297),AK297,IF($J297="ANUAL",AK297*(1+Macroindicadores!H$7),IF(AND($I297="NOVO",MONTH($O297)=MONTH(AY$4)),AK297*(1+Macroindicadores!H$7),IF(AND($J297="PONTUAL",MONTH($O297)=MONTH(AY$4)),AK297*(1+Macroindicadores!H$7),IF(AND($J297="PONTUAL",MONTH($O297)&lt;MONTH(AY$4)),MIN($AS297:AX297),IF(AND($I297="NOVO",MONTH($O297)&gt;MONTH(AY$4)),AK297,IF(MONTH($O297)&gt;MONTH(AY$4),AK297,IF(MONTH($O297)=MONTH(AY$4),AK297*(1+Macroindicadores!H$7),AX297)))))))))</f>
        <v>2.0579999999999998</v>
      </c>
      <c r="AZ297" s="39">
        <f>IF(ISBLANK(X297),"",IF(ISBLANK($O297),AL297,IF($J297="ANUAL",AL297*(1+Macroindicadores!I$7),IF(AND($I297="NOVO",MONTH($O297)=MONTH(AZ$4)),AL297*(1+Macroindicadores!I$7),IF(AND($J297="PONTUAL",MONTH($O297)=MONTH(AZ$4)),AL297*(1+Macroindicadores!I$7),IF(AND($J297="PONTUAL",MONTH($O297)&lt;MONTH(AZ$4)),MIN($AS297:AY297),IF(AND($I297="NOVO",MONTH($O297)&gt;MONTH(AZ$4)),AL297,IF(MONTH($O297)&gt;MONTH(AZ$4),AL297,IF(MONTH($O297)=MONTH(AZ$4),AL297*(1+Macroindicadores!I$7),AY297)))))))))</f>
        <v>2.0579999999999998</v>
      </c>
      <c r="BA297" s="39">
        <f>IF(ISBLANK(Y297),"",IF(ISBLANK($O297),AM297,IF($J297="ANUAL",AM297*(1+Macroindicadores!J$7),IF(AND($I297="NOVO",MONTH($O297)=MONTH(BA$4)),AM297*(1+Macroindicadores!J$7),IF(AND($J297="PONTUAL",MONTH($O297)=MONTH(BA$4)),AM297*(1+Macroindicadores!J$7),IF(AND($J297="PONTUAL",MONTH($O297)&lt;MONTH(BA$4)),MIN($AS297:AZ297),IF(AND($I297="NOVO",MONTH($O297)&gt;MONTH(BA$4)),AM297,IF(MONTH($O297)&gt;MONTH(BA$4),AM297,IF(MONTH($O297)=MONTH(BA$4),AM297*(1+Macroindicadores!J$7),AZ297)))))))))</f>
        <v>2.0579999999999998</v>
      </c>
      <c r="BB297" s="39">
        <f>IF(ISBLANK(Z297),"",IF(ISBLANK($O297),AN297,IF($J297="ANUAL",AN297*(1+Macroindicadores!K$7),IF(AND($I297="NOVO",MONTH($O297)=MONTH(BB$4)),AN297*(1+Macroindicadores!K$7),IF(AND($J297="PONTUAL",MONTH($O297)=MONTH(BB$4)),AN297*(1+Macroindicadores!K$7),IF(AND($J297="PONTUAL",MONTH($O297)&lt;MONTH(BB$4)),MIN($AS297:BA297),IF(AND($I297="NOVO",MONTH($O297)&gt;MONTH(BB$4)),AN297,IF(MONTH($O297)&gt;MONTH(BB$4),AN297,IF(MONTH($O297)=MONTH(BB$4),AN297*(1+Macroindicadores!K$7),BA297)))))))))</f>
        <v>2.0579999999999998</v>
      </c>
      <c r="BC297" s="39">
        <f>IF(ISBLANK(AA297),"",IF(ISBLANK($O297),AO297,IF($J297="ANUAL",AO297*(1+Macroindicadores!L$7),IF(AND($I297="NOVO",MONTH($O297)=MONTH(BC$4)),AO297*(1+Macroindicadores!L$7),IF(AND($J297="PONTUAL",MONTH($O297)=MONTH(BC$4)),AO297*(1+Macroindicadores!L$7),IF(AND($J297="PONTUAL",MONTH($O297)&lt;MONTH(BC$4)),MIN($AS297:BB297),IF(AND($I297="NOVO",MONTH($O297)&gt;MONTH(BC$4)),AO297,IF(MONTH($O297)&gt;MONTH(BC$4),AO297,IF(MONTH($O297)=MONTH(BC$4),AO297*(1+Macroindicadores!L$7),BB297)))))))))</f>
        <v>2.0579999999999998</v>
      </c>
      <c r="BD297" s="39">
        <f>IF(ISBLANK(AB297),"",IF(ISBLANK($O297),AP297,IF($J297="ANUAL",AP297*(1+Macroindicadores!M$7),IF(AND($I297="NOVO",MONTH($O297)=MONTH(BD$4)),AP297*(1+Macroindicadores!M$7),IF(AND($J297="PONTUAL",MONTH($O297)=MONTH(BD$4)),AP297*(1+Macroindicadores!M$7),IF(AND($J297="PONTUAL",MONTH($O297)&lt;MONTH(BD$4)),MIN($AS297:BC297),IF(AND($I297="NOVO",MONTH($O297)&gt;MONTH(BD$4)),AP297,IF(MONTH($O297)&gt;MONTH(BD$4),AP297,IF(MONTH($O297)=MONTH(BD$4),AP297*(1+Macroindicadores!M$7),BC297)))))))))</f>
        <v>2.0579999999999998</v>
      </c>
      <c r="BE297" s="40">
        <f t="shared" ref="BE297:BE301" si="139">IF(AND(ISBLANK($Q297),ISBLANK($R297),ISBLANK($S297),ISBLANK($T297),ISBLANK($U297),ISBLANK($V297),ISBLANK($W297),ISBLANK($X297),ISBLANK($Y297),ISBLANK($Z297),ISBLANK($AA297),ISBLANK($AB297)),"",SUM(AS297:BD297))</f>
        <v>24.695999999999998</v>
      </c>
      <c r="BG297" s="39">
        <f>IF(ISBLANK(Q297),"",AS297/Macroindicadores!B$2)</f>
        <v>0.35</v>
      </c>
      <c r="BH297" s="39">
        <f>IF(ISBLANK(R297),"",AT297/Macroindicadores!C$2)</f>
        <v>0.35</v>
      </c>
      <c r="BI297" s="39">
        <f>IF(ISBLANK(S297),"",AU297/Macroindicadores!D$2)</f>
        <v>0.35</v>
      </c>
      <c r="BJ297" s="39">
        <f>IF(ISBLANK(T297),"",AV297/Macroindicadores!E$2)</f>
        <v>0.35</v>
      </c>
      <c r="BK297" s="39">
        <f>IF(ISBLANK(U297),"",AW297/Macroindicadores!F$2)</f>
        <v>0.35</v>
      </c>
      <c r="BL297" s="39">
        <f>IF(ISBLANK(V297),"",AX297/Macroindicadores!G$2)</f>
        <v>0.35</v>
      </c>
      <c r="BM297" s="39">
        <f>IF(ISBLANK(W297),"",AY297/Macroindicadores!H$2)</f>
        <v>0.35</v>
      </c>
      <c r="BN297" s="39">
        <f>IF(ISBLANK(X297),"",AZ297/Macroindicadores!I$2)</f>
        <v>0.35</v>
      </c>
      <c r="BO297" s="39">
        <f>IF(ISBLANK(Y297),"",BA297/Macroindicadores!J$2)</f>
        <v>0.35</v>
      </c>
      <c r="BP297" s="39">
        <f>IF(ISBLANK(Z297),"",BB297/Macroindicadores!K$2)</f>
        <v>0.35</v>
      </c>
      <c r="BQ297" s="39">
        <f>IF(ISBLANK(AA297),"",BC297/Macroindicadores!L$2)</f>
        <v>0.35</v>
      </c>
      <c r="BR297" s="39">
        <f>IF(ISBLANK(AB297),"",BD297/Macroindicadores!M$2)</f>
        <v>0.35</v>
      </c>
      <c r="BS297" s="40">
        <f t="shared" ref="BS297:BS301" si="140">IF(AND(ISBLANK($Q297),ISBLANK($R297),ISBLANK($S297),ISBLANK($T297),ISBLANK($U297),ISBLANK($V297),ISBLANK($W297),ISBLANK($X297),ISBLANK($Y297),ISBLANK($Z297),ISBLANK($AA297),ISBLANK($AB297)),"",SUM(BG297:BR297))</f>
        <v>4.2</v>
      </c>
      <c r="BT297" s="25" t="str">
        <f>IF(ISBLANK($L297),"",_xlfn.XLOOKUP($L297,'CENTRO CUSTO'!$A:$A,'CENTRO CUSTO'!$E:$E,FALSE,0))</f>
        <v/>
      </c>
    </row>
    <row r="298" spans="1:72">
      <c r="A298" s="9" t="str">
        <f t="shared" si="80"/>
        <v>Budget</v>
      </c>
      <c r="B298" s="9">
        <f t="shared" si="77"/>
        <v>2026</v>
      </c>
      <c r="C298" s="111" t="s">
        <v>262</v>
      </c>
      <c r="D298" s="111" t="s">
        <v>263</v>
      </c>
      <c r="E298" s="111" t="s">
        <v>14</v>
      </c>
      <c r="F298" s="112" t="s">
        <v>290</v>
      </c>
      <c r="G298" s="112" t="s">
        <v>123</v>
      </c>
      <c r="H298" s="112" t="s">
        <v>291</v>
      </c>
      <c r="I298" s="11" t="s">
        <v>77</v>
      </c>
      <c r="J298" s="11" t="s">
        <v>78</v>
      </c>
      <c r="K298" s="11" t="s">
        <v>79</v>
      </c>
      <c r="L298" s="11"/>
      <c r="M298" s="18" t="str">
        <f>IF(ISBLANK($L298),"",_xlfn.XLOOKUP($L298,'CENTRO CUSTO'!$A:$A,'CENTRO CUSTO'!D:D,FALSE,0))</f>
        <v/>
      </c>
      <c r="N298" s="11" t="s">
        <v>91</v>
      </c>
      <c r="O298" s="12"/>
      <c r="P298" s="113" t="s">
        <v>88</v>
      </c>
      <c r="Q298" s="41">
        <v>496</v>
      </c>
      <c r="R298" s="41">
        <v>496</v>
      </c>
      <c r="S298" s="41">
        <v>496</v>
      </c>
      <c r="T298" s="41">
        <v>496</v>
      </c>
      <c r="U298" s="41">
        <v>496</v>
      </c>
      <c r="V298" s="41">
        <v>496</v>
      </c>
      <c r="W298" s="41">
        <v>496</v>
      </c>
      <c r="X298" s="41">
        <v>496</v>
      </c>
      <c r="Y298" s="41">
        <v>496</v>
      </c>
      <c r="Z298" s="41">
        <v>496</v>
      </c>
      <c r="AA298" s="41">
        <v>496</v>
      </c>
      <c r="AB298" s="41">
        <v>496</v>
      </c>
      <c r="AC298" s="116">
        <f t="shared" si="137"/>
        <v>5952</v>
      </c>
      <c r="AE298" s="39">
        <f>IF(ISBLANK(Q298),"",IF($P298="BRL",Q298,Q298*Macroindicadores!B$2)/1000)</f>
        <v>2.91648</v>
      </c>
      <c r="AF298" s="39">
        <f>IF(ISBLANK(R298),"",IF($P298="BRL",R298,R298*Macroindicadores!C$2)/1000)</f>
        <v>2.91648</v>
      </c>
      <c r="AG298" s="39">
        <f>IF(ISBLANK(S298),"",IF($P298="BRL",S298,S298*Macroindicadores!D$2)/1000)</f>
        <v>2.91648</v>
      </c>
      <c r="AH298" s="39">
        <f>IF(ISBLANK(T298),"",IF($P298="BRL",T298,T298*Macroindicadores!E$2)/1000)</f>
        <v>2.91648</v>
      </c>
      <c r="AI298" s="39">
        <f>IF(ISBLANK(U298),"",IF($P298="BRL",U298,U298*Macroindicadores!F$2)/1000)</f>
        <v>2.91648</v>
      </c>
      <c r="AJ298" s="39">
        <f>IF(ISBLANK(V298),"",IF($P298="BRL",V298,V298*Macroindicadores!G$2)/1000)</f>
        <v>2.91648</v>
      </c>
      <c r="AK298" s="39">
        <f>IF(ISBLANK(W298),"",IF($P298="BRL",W298,W298*Macroindicadores!H$2)/1000)</f>
        <v>2.91648</v>
      </c>
      <c r="AL298" s="39">
        <f>IF(ISBLANK(X298),"",IF($P298="BRL",X298,X298*Macroindicadores!I$2)/1000)</f>
        <v>2.91648</v>
      </c>
      <c r="AM298" s="39">
        <f>IF(ISBLANK(Y298),"",IF($P298="BRL",Y298,Y298*Macroindicadores!J$2)/1000)</f>
        <v>2.91648</v>
      </c>
      <c r="AN298" s="39">
        <f>IF(ISBLANK(Z298),"",IF($P298="BRL",Z298,Z298*Macroindicadores!K$2)/1000)</f>
        <v>2.91648</v>
      </c>
      <c r="AO298" s="39">
        <f>IF(ISBLANK(AA298),"",IF($P298="BRL",AA298,AA298*Macroindicadores!L$2)/1000)</f>
        <v>2.91648</v>
      </c>
      <c r="AP298" s="39">
        <f>IF(ISBLANK(AB298),"",IF($P298="BRL",AB298,AB298*Macroindicadores!M$2)/1000)</f>
        <v>2.91648</v>
      </c>
      <c r="AQ298" s="40">
        <f t="shared" si="138"/>
        <v>34.99776</v>
      </c>
      <c r="AS298" s="39">
        <f>IF(ISBLANK(Q298),"",IF(ISBLANK($O298),AE298,IF($J298="ANUAL",AE298*(1+Macroindicadores!B$7),IF(AND($I298="NOVO",MONTH($O298)=MONTH(AS$4)),AE298*(1+Macroindicadores!B$7),IF(AND($J298="PONTUAL",MONTH($O298)=MONTH(AS$4)),AE298*(1+Macroindicadores!B$7),IF(AND($J298="PONTUAL",MONTH($O298)&lt;MONTH(AS$4)),MIN(AR298:$AS298),IF(AND($I298="NOVO",MONTH($O298)&gt;MONTH(AS$4)),AE298,IF(MONTH($O298)&gt;MONTH(AS$4),AE298,IF(MONTH($O298)=MONTH(AS$4),AE298*(1+Macroindicadores!B$7),AR298)))))))))</f>
        <v>2.91648</v>
      </c>
      <c r="AT298" s="39">
        <f>IF(ISBLANK(R298),"",IF(ISBLANK($O298),AF298,IF($J298="ANUAL",AF298*(1+Macroindicadores!C$7),IF(AND($I298="NOVO",MONTH($O298)=MONTH(AT$4)),AF298*(1+Macroindicadores!C$7),IF(AND($J298="PONTUAL",MONTH($O298)=MONTH(AT$4)),AF298*(1+Macroindicadores!C$7),IF(AND($J298="PONTUAL",MONTH($O298)&lt;MONTH(AT$4)),MIN($AS298:AS298),IF(AND($I298="NOVO",MONTH($O298)&gt;MONTH(AT$4)),AF298,IF(MONTH($O298)&gt;MONTH(AT$4),AF298,IF(MONTH($O298)=MONTH(AT$4),AF298*(1+Macroindicadores!C$7),AS298)))))))))</f>
        <v>2.91648</v>
      </c>
      <c r="AU298" s="39">
        <f>IF(ISBLANK(S298),"",IF(ISBLANK($O298),AG298,IF($J298="ANUAL",AG298*(1+Macroindicadores!D$7),IF(AND($I298="NOVO",MONTH($O298)=MONTH(AU$4)),AG298*(1+Macroindicadores!D$7),IF(AND($J298="PONTUAL",MONTH($O298)=MONTH(AU$4)),AG298*(1+Macroindicadores!D$7),IF(AND($J298="PONTUAL",MONTH($O298)&lt;MONTH(AU$4)),MIN($AS298:AT298),IF(AND($I298="NOVO",MONTH($O298)&gt;MONTH(AU$4)),AG298,IF(MONTH($O298)&gt;MONTH(AU$4),AG298,IF(MONTH($O298)=MONTH(AU$4),AG298*(1+Macroindicadores!D$7),AT298)))))))))</f>
        <v>2.91648</v>
      </c>
      <c r="AV298" s="39">
        <f>IF(ISBLANK(T298),"",IF(ISBLANK($O298),AH298,IF($J298="ANUAL",AH298*(1+Macroindicadores!E$7),IF(AND($I298="NOVO",MONTH($O298)=MONTH(AV$4)),AH298*(1+Macroindicadores!E$7),IF(AND($J298="PONTUAL",MONTH($O298)=MONTH(AV$4)),AH298*(1+Macroindicadores!E$7),IF(AND($J298="PONTUAL",MONTH($O298)&lt;MONTH(AV$4)),MIN($AS298:AU298),IF(AND($I298="NOVO",MONTH($O298)&gt;MONTH(AV$4)),AH298,IF(MONTH($O298)&gt;MONTH(AV$4),AH298,IF(MONTH($O298)=MONTH(AV$4),AH298*(1+Macroindicadores!E$7),AU298)))))))))</f>
        <v>2.91648</v>
      </c>
      <c r="AW298" s="39">
        <f>IF(ISBLANK(U298),"",IF(ISBLANK($O298),AI298,IF($J298="ANUAL",AI298*(1+Macroindicadores!F$7),IF(AND($I298="NOVO",MONTH($O298)=MONTH(AW$4)),AI298*(1+Macroindicadores!F$7),IF(AND($J298="PONTUAL",MONTH($O298)=MONTH(AW$4)),AI298*(1+Macroindicadores!F$7),IF(AND($J298="PONTUAL",MONTH($O298)&lt;MONTH(AW$4)),MIN($AS298:AV298),IF(AND($I298="NOVO",MONTH($O298)&gt;MONTH(AW$4)),AI298,IF(MONTH($O298)&gt;MONTH(AW$4),AI298,IF(MONTH($O298)=MONTH(AW$4),AI298*(1+Macroindicadores!F$7),AV298)))))))))</f>
        <v>2.91648</v>
      </c>
      <c r="AX298" s="39">
        <f>IF(ISBLANK(V298),"",IF(ISBLANK($O298),AJ298,IF($J298="ANUAL",AJ298*(1+Macroindicadores!G$7),IF(AND($I298="NOVO",MONTH($O298)=MONTH(AX$4)),AJ298*(1+Macroindicadores!G$7),IF(AND($J298="PONTUAL",MONTH($O298)=MONTH(AX$4)),AJ298*(1+Macroindicadores!G$7),IF(AND($J298="PONTUAL",MONTH($O298)&lt;MONTH(AX$4)),MIN($AS298:AW298),IF(AND($I298="NOVO",MONTH($O298)&gt;MONTH(AX$4)),AJ298,IF(MONTH($O298)&gt;MONTH(AX$4),AJ298,IF(MONTH($O298)=MONTH(AX$4),AJ298*(1+Macroindicadores!G$7),AW298)))))))))</f>
        <v>2.91648</v>
      </c>
      <c r="AY298" s="39">
        <f>IF(ISBLANK(W298),"",IF(ISBLANK($O298),AK298,IF($J298="ANUAL",AK298*(1+Macroindicadores!H$7),IF(AND($I298="NOVO",MONTH($O298)=MONTH(AY$4)),AK298*(1+Macroindicadores!H$7),IF(AND($J298="PONTUAL",MONTH($O298)=MONTH(AY$4)),AK298*(1+Macroindicadores!H$7),IF(AND($J298="PONTUAL",MONTH($O298)&lt;MONTH(AY$4)),MIN($AS298:AX298),IF(AND($I298="NOVO",MONTH($O298)&gt;MONTH(AY$4)),AK298,IF(MONTH($O298)&gt;MONTH(AY$4),AK298,IF(MONTH($O298)=MONTH(AY$4),AK298*(1+Macroindicadores!H$7),AX298)))))))))</f>
        <v>2.91648</v>
      </c>
      <c r="AZ298" s="39">
        <f>IF(ISBLANK(X298),"",IF(ISBLANK($O298),AL298,IF($J298="ANUAL",AL298*(1+Macroindicadores!I$7),IF(AND($I298="NOVO",MONTH($O298)=MONTH(AZ$4)),AL298*(1+Macroindicadores!I$7),IF(AND($J298="PONTUAL",MONTH($O298)=MONTH(AZ$4)),AL298*(1+Macroindicadores!I$7),IF(AND($J298="PONTUAL",MONTH($O298)&lt;MONTH(AZ$4)),MIN($AS298:AY298),IF(AND($I298="NOVO",MONTH($O298)&gt;MONTH(AZ$4)),AL298,IF(MONTH($O298)&gt;MONTH(AZ$4),AL298,IF(MONTH($O298)=MONTH(AZ$4),AL298*(1+Macroindicadores!I$7),AY298)))))))))</f>
        <v>2.91648</v>
      </c>
      <c r="BA298" s="39">
        <f>IF(ISBLANK(Y298),"",IF(ISBLANK($O298),AM298,IF($J298="ANUAL",AM298*(1+Macroindicadores!J$7),IF(AND($I298="NOVO",MONTH($O298)=MONTH(BA$4)),AM298*(1+Macroindicadores!J$7),IF(AND($J298="PONTUAL",MONTH($O298)=MONTH(BA$4)),AM298*(1+Macroindicadores!J$7),IF(AND($J298="PONTUAL",MONTH($O298)&lt;MONTH(BA$4)),MIN($AS298:AZ298),IF(AND($I298="NOVO",MONTH($O298)&gt;MONTH(BA$4)),AM298,IF(MONTH($O298)&gt;MONTH(BA$4),AM298,IF(MONTH($O298)=MONTH(BA$4),AM298*(1+Macroindicadores!J$7),AZ298)))))))))</f>
        <v>2.91648</v>
      </c>
      <c r="BB298" s="39">
        <f>IF(ISBLANK(Z298),"",IF(ISBLANK($O298),AN298,IF($J298="ANUAL",AN298*(1+Macroindicadores!K$7),IF(AND($I298="NOVO",MONTH($O298)=MONTH(BB$4)),AN298*(1+Macroindicadores!K$7),IF(AND($J298="PONTUAL",MONTH($O298)=MONTH(BB$4)),AN298*(1+Macroindicadores!K$7),IF(AND($J298="PONTUAL",MONTH($O298)&lt;MONTH(BB$4)),MIN($AS298:BA298),IF(AND($I298="NOVO",MONTH($O298)&gt;MONTH(BB$4)),AN298,IF(MONTH($O298)&gt;MONTH(BB$4),AN298,IF(MONTH($O298)=MONTH(BB$4),AN298*(1+Macroindicadores!K$7),BA298)))))))))</f>
        <v>2.91648</v>
      </c>
      <c r="BC298" s="39">
        <f>IF(ISBLANK(AA298),"",IF(ISBLANK($O298),AO298,IF($J298="ANUAL",AO298*(1+Macroindicadores!L$7),IF(AND($I298="NOVO",MONTH($O298)=MONTH(BC$4)),AO298*(1+Macroindicadores!L$7),IF(AND($J298="PONTUAL",MONTH($O298)=MONTH(BC$4)),AO298*(1+Macroindicadores!L$7),IF(AND($J298="PONTUAL",MONTH($O298)&lt;MONTH(BC$4)),MIN($AS298:BB298),IF(AND($I298="NOVO",MONTH($O298)&gt;MONTH(BC$4)),AO298,IF(MONTH($O298)&gt;MONTH(BC$4),AO298,IF(MONTH($O298)=MONTH(BC$4),AO298*(1+Macroindicadores!L$7),BB298)))))))))</f>
        <v>2.91648</v>
      </c>
      <c r="BD298" s="39">
        <f>IF(ISBLANK(AB298),"",IF(ISBLANK($O298),AP298,IF($J298="ANUAL",AP298*(1+Macroindicadores!M$7),IF(AND($I298="NOVO",MONTH($O298)=MONTH(BD$4)),AP298*(1+Macroindicadores!M$7),IF(AND($J298="PONTUAL",MONTH($O298)=MONTH(BD$4)),AP298*(1+Macroindicadores!M$7),IF(AND($J298="PONTUAL",MONTH($O298)&lt;MONTH(BD$4)),MIN($AS298:BC298),IF(AND($I298="NOVO",MONTH($O298)&gt;MONTH(BD$4)),AP298,IF(MONTH($O298)&gt;MONTH(BD$4),AP298,IF(MONTH($O298)=MONTH(BD$4),AP298*(1+Macroindicadores!M$7),BC298)))))))))</f>
        <v>2.91648</v>
      </c>
      <c r="BE298" s="40">
        <f t="shared" si="139"/>
        <v>34.99776</v>
      </c>
      <c r="BG298" s="39">
        <f>IF(ISBLANK(Q298),"",AS298/Macroindicadores!B$2)</f>
        <v>0.496</v>
      </c>
      <c r="BH298" s="39">
        <f>IF(ISBLANK(R298),"",AT298/Macroindicadores!C$2)</f>
        <v>0.496</v>
      </c>
      <c r="BI298" s="39">
        <f>IF(ISBLANK(S298),"",AU298/Macroindicadores!D$2)</f>
        <v>0.496</v>
      </c>
      <c r="BJ298" s="39">
        <f>IF(ISBLANK(T298),"",AV298/Macroindicadores!E$2)</f>
        <v>0.496</v>
      </c>
      <c r="BK298" s="39">
        <f>IF(ISBLANK(U298),"",AW298/Macroindicadores!F$2)</f>
        <v>0.496</v>
      </c>
      <c r="BL298" s="39">
        <f>IF(ISBLANK(V298),"",AX298/Macroindicadores!G$2)</f>
        <v>0.496</v>
      </c>
      <c r="BM298" s="39">
        <f>IF(ISBLANK(W298),"",AY298/Macroindicadores!H$2)</f>
        <v>0.496</v>
      </c>
      <c r="BN298" s="39">
        <f>IF(ISBLANK(X298),"",AZ298/Macroindicadores!I$2)</f>
        <v>0.496</v>
      </c>
      <c r="BO298" s="39">
        <f>IF(ISBLANK(Y298),"",BA298/Macroindicadores!J$2)</f>
        <v>0.496</v>
      </c>
      <c r="BP298" s="39">
        <f>IF(ISBLANK(Z298),"",BB298/Macroindicadores!K$2)</f>
        <v>0.496</v>
      </c>
      <c r="BQ298" s="39">
        <f>IF(ISBLANK(AA298),"",BC298/Macroindicadores!L$2)</f>
        <v>0.496</v>
      </c>
      <c r="BR298" s="39">
        <f>IF(ISBLANK(AB298),"",BD298/Macroindicadores!M$2)</f>
        <v>0.496</v>
      </c>
      <c r="BS298" s="40">
        <f t="shared" si="140"/>
        <v>5.9520000000000017</v>
      </c>
      <c r="BT298" s="25" t="str">
        <f>IF(ISBLANK($L298),"",_xlfn.XLOOKUP($L298,'CENTRO CUSTO'!$A:$A,'CENTRO CUSTO'!$E:$E,FALSE,0))</f>
        <v/>
      </c>
    </row>
    <row r="299" spans="1:72">
      <c r="A299" s="9" t="str">
        <f t="shared" si="80"/>
        <v>Budget</v>
      </c>
      <c r="B299" s="9">
        <f t="shared" si="77"/>
        <v>2026</v>
      </c>
      <c r="C299" s="111" t="s">
        <v>262</v>
      </c>
      <c r="D299" s="111" t="s">
        <v>263</v>
      </c>
      <c r="E299" s="111" t="s">
        <v>14</v>
      </c>
      <c r="F299" s="112" t="s">
        <v>292</v>
      </c>
      <c r="G299" s="112" t="s">
        <v>123</v>
      </c>
      <c r="H299" s="112" t="s">
        <v>293</v>
      </c>
      <c r="I299" s="11" t="s">
        <v>77</v>
      </c>
      <c r="J299" s="11" t="s">
        <v>181</v>
      </c>
      <c r="K299" s="11" t="s">
        <v>79</v>
      </c>
      <c r="L299" s="11"/>
      <c r="M299" s="18" t="str">
        <f>IF(ISBLANK($L299),"",_xlfn.XLOOKUP($L299,'CENTRO CUSTO'!$A:$A,'CENTRO CUSTO'!D:D,FALSE,0))</f>
        <v/>
      </c>
      <c r="N299" s="11" t="s">
        <v>91</v>
      </c>
      <c r="O299" s="12"/>
      <c r="P299" s="113" t="s">
        <v>88</v>
      </c>
      <c r="Q299" s="41">
        <v>50</v>
      </c>
      <c r="R299" s="41">
        <v>50</v>
      </c>
      <c r="S299" s="41">
        <v>50</v>
      </c>
      <c r="T299" s="41">
        <v>50</v>
      </c>
      <c r="U299" s="41">
        <v>50</v>
      </c>
      <c r="V299" s="41">
        <v>50</v>
      </c>
      <c r="W299" s="41">
        <v>50</v>
      </c>
      <c r="X299" s="41">
        <v>50</v>
      </c>
      <c r="Y299" s="41">
        <v>50</v>
      </c>
      <c r="Z299" s="41">
        <v>50</v>
      </c>
      <c r="AA299" s="41">
        <v>50</v>
      </c>
      <c r="AB299" s="41">
        <v>50</v>
      </c>
      <c r="AC299" s="116">
        <f t="shared" si="137"/>
        <v>600</v>
      </c>
      <c r="AE299" s="39">
        <f>IF(ISBLANK(Q299),"",IF($P299="BRL",Q299,Q299*Macroindicadores!B$2)/1000)</f>
        <v>0.29399999999999998</v>
      </c>
      <c r="AF299" s="39">
        <f>IF(ISBLANK(R299),"",IF($P299="BRL",R299,R299*Macroindicadores!C$2)/1000)</f>
        <v>0.29399999999999998</v>
      </c>
      <c r="AG299" s="39">
        <f>IF(ISBLANK(S299),"",IF($P299="BRL",S299,S299*Macroindicadores!D$2)/1000)</f>
        <v>0.29399999999999998</v>
      </c>
      <c r="AH299" s="39">
        <f>IF(ISBLANK(T299),"",IF($P299="BRL",T299,T299*Macroindicadores!E$2)/1000)</f>
        <v>0.29399999999999998</v>
      </c>
      <c r="AI299" s="39">
        <f>IF(ISBLANK(U299),"",IF($P299="BRL",U299,U299*Macroindicadores!F$2)/1000)</f>
        <v>0.29399999999999998</v>
      </c>
      <c r="AJ299" s="39">
        <f>IF(ISBLANK(V299),"",IF($P299="BRL",V299,V299*Macroindicadores!G$2)/1000)</f>
        <v>0.29399999999999998</v>
      </c>
      <c r="AK299" s="39">
        <f>IF(ISBLANK(W299),"",IF($P299="BRL",W299,W299*Macroindicadores!H$2)/1000)</f>
        <v>0.29399999999999998</v>
      </c>
      <c r="AL299" s="39">
        <f>IF(ISBLANK(X299),"",IF($P299="BRL",X299,X299*Macroindicadores!I$2)/1000)</f>
        <v>0.29399999999999998</v>
      </c>
      <c r="AM299" s="39">
        <f>IF(ISBLANK(Y299),"",IF($P299="BRL",Y299,Y299*Macroindicadores!J$2)/1000)</f>
        <v>0.29399999999999998</v>
      </c>
      <c r="AN299" s="39">
        <f>IF(ISBLANK(Z299),"",IF($P299="BRL",Z299,Z299*Macroindicadores!K$2)/1000)</f>
        <v>0.29399999999999998</v>
      </c>
      <c r="AO299" s="39">
        <f>IF(ISBLANK(AA299),"",IF($P299="BRL",AA299,AA299*Macroindicadores!L$2)/1000)</f>
        <v>0.29399999999999998</v>
      </c>
      <c r="AP299" s="39">
        <f>IF(ISBLANK(AB299),"",IF($P299="BRL",AB299,AB299*Macroindicadores!M$2)/1000)</f>
        <v>0.29399999999999998</v>
      </c>
      <c r="AQ299" s="40">
        <f t="shared" si="138"/>
        <v>3.528</v>
      </c>
      <c r="AS299" s="39">
        <f>IF(ISBLANK(Q299),"",IF(ISBLANK($O299),AE299,IF($J299="ANUAL",AE299*(1+Macroindicadores!B$7),IF(AND($I299="NOVO",MONTH($O299)=MONTH(AS$4)),AE299*(1+Macroindicadores!B$7),IF(AND($J299="PONTUAL",MONTH($O299)=MONTH(AS$4)),AE299*(1+Macroindicadores!B$7),IF(AND($J299="PONTUAL",MONTH($O299)&lt;MONTH(AS$4)),MIN(AR299:$AS299),IF(AND($I299="NOVO",MONTH($O299)&gt;MONTH(AS$4)),AE299,IF(MONTH($O299)&gt;MONTH(AS$4),AE299,IF(MONTH($O299)=MONTH(AS$4),AE299*(1+Macroindicadores!B$7),AR299)))))))))</f>
        <v>0.29399999999999998</v>
      </c>
      <c r="AT299" s="39">
        <f>IF(ISBLANK(R299),"",IF(ISBLANK($O299),AF299,IF($J299="ANUAL",AF299*(1+Macroindicadores!C$7),IF(AND($I299="NOVO",MONTH($O299)=MONTH(AT$4)),AF299*(1+Macroindicadores!C$7),IF(AND($J299="PONTUAL",MONTH($O299)=MONTH(AT$4)),AF299*(1+Macroindicadores!C$7),IF(AND($J299="PONTUAL",MONTH($O299)&lt;MONTH(AT$4)),MIN($AS299:AS299),IF(AND($I299="NOVO",MONTH($O299)&gt;MONTH(AT$4)),AF299,IF(MONTH($O299)&gt;MONTH(AT$4),AF299,IF(MONTH($O299)=MONTH(AT$4),AF299*(1+Macroindicadores!C$7),AS299)))))))))</f>
        <v>0.29399999999999998</v>
      </c>
      <c r="AU299" s="39">
        <f>IF(ISBLANK(S299),"",IF(ISBLANK($O299),AG299,IF($J299="ANUAL",AG299*(1+Macroindicadores!D$7),IF(AND($I299="NOVO",MONTH($O299)=MONTH(AU$4)),AG299*(1+Macroindicadores!D$7),IF(AND($J299="PONTUAL",MONTH($O299)=MONTH(AU$4)),AG299*(1+Macroindicadores!D$7),IF(AND($J299="PONTUAL",MONTH($O299)&lt;MONTH(AU$4)),MIN($AS299:AT299),IF(AND($I299="NOVO",MONTH($O299)&gt;MONTH(AU$4)),AG299,IF(MONTH($O299)&gt;MONTH(AU$4),AG299,IF(MONTH($O299)=MONTH(AU$4),AG299*(1+Macroindicadores!D$7),AT299)))))))))</f>
        <v>0.29399999999999998</v>
      </c>
      <c r="AV299" s="39">
        <f>IF(ISBLANK(T299),"",IF(ISBLANK($O299),AH299,IF($J299="ANUAL",AH299*(1+Macroindicadores!E$7),IF(AND($I299="NOVO",MONTH($O299)=MONTH(AV$4)),AH299*(1+Macroindicadores!E$7),IF(AND($J299="PONTUAL",MONTH($O299)=MONTH(AV$4)),AH299*(1+Macroindicadores!E$7),IF(AND($J299="PONTUAL",MONTH($O299)&lt;MONTH(AV$4)),MIN($AS299:AU299),IF(AND($I299="NOVO",MONTH($O299)&gt;MONTH(AV$4)),AH299,IF(MONTH($O299)&gt;MONTH(AV$4),AH299,IF(MONTH($O299)=MONTH(AV$4),AH299*(1+Macroindicadores!E$7),AU299)))))))))</f>
        <v>0.29399999999999998</v>
      </c>
      <c r="AW299" s="39">
        <f>IF(ISBLANK(U299),"",IF(ISBLANK($O299),AI299,IF($J299="ANUAL",AI299*(1+Macroindicadores!F$7),IF(AND($I299="NOVO",MONTH($O299)=MONTH(AW$4)),AI299*(1+Macroindicadores!F$7),IF(AND($J299="PONTUAL",MONTH($O299)=MONTH(AW$4)),AI299*(1+Macroindicadores!F$7),IF(AND($J299="PONTUAL",MONTH($O299)&lt;MONTH(AW$4)),MIN($AS299:AV299),IF(AND($I299="NOVO",MONTH($O299)&gt;MONTH(AW$4)),AI299,IF(MONTH($O299)&gt;MONTH(AW$4),AI299,IF(MONTH($O299)=MONTH(AW$4),AI299*(1+Macroindicadores!F$7),AV299)))))))))</f>
        <v>0.29399999999999998</v>
      </c>
      <c r="AX299" s="39">
        <f>IF(ISBLANK(V299),"",IF(ISBLANK($O299),AJ299,IF($J299="ANUAL",AJ299*(1+Macroindicadores!G$7),IF(AND($I299="NOVO",MONTH($O299)=MONTH(AX$4)),AJ299*(1+Macroindicadores!G$7),IF(AND($J299="PONTUAL",MONTH($O299)=MONTH(AX$4)),AJ299*(1+Macroindicadores!G$7),IF(AND($J299="PONTUAL",MONTH($O299)&lt;MONTH(AX$4)),MIN($AS299:AW299),IF(AND($I299="NOVO",MONTH($O299)&gt;MONTH(AX$4)),AJ299,IF(MONTH($O299)&gt;MONTH(AX$4),AJ299,IF(MONTH($O299)=MONTH(AX$4),AJ299*(1+Macroindicadores!G$7),AW299)))))))))</f>
        <v>0.29399999999999998</v>
      </c>
      <c r="AY299" s="39">
        <f>IF(ISBLANK(W299),"",IF(ISBLANK($O299),AK299,IF($J299="ANUAL",AK299*(1+Macroindicadores!H$7),IF(AND($I299="NOVO",MONTH($O299)=MONTH(AY$4)),AK299*(1+Macroindicadores!H$7),IF(AND($J299="PONTUAL",MONTH($O299)=MONTH(AY$4)),AK299*(1+Macroindicadores!H$7),IF(AND($J299="PONTUAL",MONTH($O299)&lt;MONTH(AY$4)),MIN($AS299:AX299),IF(AND($I299="NOVO",MONTH($O299)&gt;MONTH(AY$4)),AK299,IF(MONTH($O299)&gt;MONTH(AY$4),AK299,IF(MONTH($O299)=MONTH(AY$4),AK299*(1+Macroindicadores!H$7),AX299)))))))))</f>
        <v>0.29399999999999998</v>
      </c>
      <c r="AZ299" s="39">
        <f>IF(ISBLANK(X299),"",IF(ISBLANK($O299),AL299,IF($J299="ANUAL",AL299*(1+Macroindicadores!I$7),IF(AND($I299="NOVO",MONTH($O299)=MONTH(AZ$4)),AL299*(1+Macroindicadores!I$7),IF(AND($J299="PONTUAL",MONTH($O299)=MONTH(AZ$4)),AL299*(1+Macroindicadores!I$7),IF(AND($J299="PONTUAL",MONTH($O299)&lt;MONTH(AZ$4)),MIN($AS299:AY299),IF(AND($I299="NOVO",MONTH($O299)&gt;MONTH(AZ$4)),AL299,IF(MONTH($O299)&gt;MONTH(AZ$4),AL299,IF(MONTH($O299)=MONTH(AZ$4),AL299*(1+Macroindicadores!I$7),AY299)))))))))</f>
        <v>0.29399999999999998</v>
      </c>
      <c r="BA299" s="39">
        <f>IF(ISBLANK(Y299),"",IF(ISBLANK($O299),AM299,IF($J299="ANUAL",AM299*(1+Macroindicadores!J$7),IF(AND($I299="NOVO",MONTH($O299)=MONTH(BA$4)),AM299*(1+Macroindicadores!J$7),IF(AND($J299="PONTUAL",MONTH($O299)=MONTH(BA$4)),AM299*(1+Macroindicadores!J$7),IF(AND($J299="PONTUAL",MONTH($O299)&lt;MONTH(BA$4)),MIN($AS299:AZ299),IF(AND($I299="NOVO",MONTH($O299)&gt;MONTH(BA$4)),AM299,IF(MONTH($O299)&gt;MONTH(BA$4),AM299,IF(MONTH($O299)=MONTH(BA$4),AM299*(1+Macroindicadores!J$7),AZ299)))))))))</f>
        <v>0.29399999999999998</v>
      </c>
      <c r="BB299" s="39">
        <f>IF(ISBLANK(Z299),"",IF(ISBLANK($O299),AN299,IF($J299="ANUAL",AN299*(1+Macroindicadores!K$7),IF(AND($I299="NOVO",MONTH($O299)=MONTH(BB$4)),AN299*(1+Macroindicadores!K$7),IF(AND($J299="PONTUAL",MONTH($O299)=MONTH(BB$4)),AN299*(1+Macroindicadores!K$7),IF(AND($J299="PONTUAL",MONTH($O299)&lt;MONTH(BB$4)),MIN($AS299:BA299),IF(AND($I299="NOVO",MONTH($O299)&gt;MONTH(BB$4)),AN299,IF(MONTH($O299)&gt;MONTH(BB$4),AN299,IF(MONTH($O299)=MONTH(BB$4),AN299*(1+Macroindicadores!K$7),BA299)))))))))</f>
        <v>0.29399999999999998</v>
      </c>
      <c r="BC299" s="39">
        <f>IF(ISBLANK(AA299),"",IF(ISBLANK($O299),AO299,IF($J299="ANUAL",AO299*(1+Macroindicadores!L$7),IF(AND($I299="NOVO",MONTH($O299)=MONTH(BC$4)),AO299*(1+Macroindicadores!L$7),IF(AND($J299="PONTUAL",MONTH($O299)=MONTH(BC$4)),AO299*(1+Macroindicadores!L$7),IF(AND($J299="PONTUAL",MONTH($O299)&lt;MONTH(BC$4)),MIN($AS299:BB299),IF(AND($I299="NOVO",MONTH($O299)&gt;MONTH(BC$4)),AO299,IF(MONTH($O299)&gt;MONTH(BC$4),AO299,IF(MONTH($O299)=MONTH(BC$4),AO299*(1+Macroindicadores!L$7),BB299)))))))))</f>
        <v>0.29399999999999998</v>
      </c>
      <c r="BD299" s="39">
        <f>IF(ISBLANK(AB299),"",IF(ISBLANK($O299),AP299,IF($J299="ANUAL",AP299*(1+Macroindicadores!M$7),IF(AND($I299="NOVO",MONTH($O299)=MONTH(BD$4)),AP299*(1+Macroindicadores!M$7),IF(AND($J299="PONTUAL",MONTH($O299)=MONTH(BD$4)),AP299*(1+Macroindicadores!M$7),IF(AND($J299="PONTUAL",MONTH($O299)&lt;MONTH(BD$4)),MIN($AS299:BC299),IF(AND($I299="NOVO",MONTH($O299)&gt;MONTH(BD$4)),AP299,IF(MONTH($O299)&gt;MONTH(BD$4),AP299,IF(MONTH($O299)=MONTH(BD$4),AP299*(1+Macroindicadores!M$7),BC299)))))))))</f>
        <v>0.29399999999999998</v>
      </c>
      <c r="BE299" s="40">
        <f t="shared" si="139"/>
        <v>3.528</v>
      </c>
      <c r="BG299" s="39">
        <f>IF(ISBLANK(Q299),"",AS299/Macroindicadores!B$2)</f>
        <v>4.9999999999999996E-2</v>
      </c>
      <c r="BH299" s="39">
        <f>IF(ISBLANK(R299),"",AT299/Macroindicadores!C$2)</f>
        <v>4.9999999999999996E-2</v>
      </c>
      <c r="BI299" s="39">
        <f>IF(ISBLANK(S299),"",AU299/Macroindicadores!D$2)</f>
        <v>4.9999999999999996E-2</v>
      </c>
      <c r="BJ299" s="39">
        <f>IF(ISBLANK(T299),"",AV299/Macroindicadores!E$2)</f>
        <v>4.9999999999999996E-2</v>
      </c>
      <c r="BK299" s="39">
        <f>IF(ISBLANK(U299),"",AW299/Macroindicadores!F$2)</f>
        <v>4.9999999999999996E-2</v>
      </c>
      <c r="BL299" s="39">
        <f>IF(ISBLANK(V299),"",AX299/Macroindicadores!G$2)</f>
        <v>4.9999999999999996E-2</v>
      </c>
      <c r="BM299" s="39">
        <f>IF(ISBLANK(W299),"",AY299/Macroindicadores!H$2)</f>
        <v>4.9999999999999996E-2</v>
      </c>
      <c r="BN299" s="39">
        <f>IF(ISBLANK(X299),"",AZ299/Macroindicadores!I$2)</f>
        <v>4.9999999999999996E-2</v>
      </c>
      <c r="BO299" s="39">
        <f>IF(ISBLANK(Y299),"",BA299/Macroindicadores!J$2)</f>
        <v>4.9999999999999996E-2</v>
      </c>
      <c r="BP299" s="39">
        <f>IF(ISBLANK(Z299),"",BB299/Macroindicadores!K$2)</f>
        <v>4.9999999999999996E-2</v>
      </c>
      <c r="BQ299" s="39">
        <f>IF(ISBLANK(AA299),"",BC299/Macroindicadores!L$2)</f>
        <v>4.9999999999999996E-2</v>
      </c>
      <c r="BR299" s="39">
        <f>IF(ISBLANK(AB299),"",BD299/Macroindicadores!M$2)</f>
        <v>4.9999999999999996E-2</v>
      </c>
      <c r="BS299" s="40">
        <f t="shared" si="140"/>
        <v>0.6</v>
      </c>
      <c r="BT299" s="25" t="str">
        <f>IF(ISBLANK($L299),"",_xlfn.XLOOKUP($L299,'CENTRO CUSTO'!$A:$A,'CENTRO CUSTO'!$E:$E,FALSE,0))</f>
        <v/>
      </c>
    </row>
    <row r="300" spans="1:72">
      <c r="A300" s="9" t="str">
        <f t="shared" si="80"/>
        <v>Budget</v>
      </c>
      <c r="B300" s="9">
        <f t="shared" si="77"/>
        <v>2026</v>
      </c>
      <c r="C300" s="111" t="s">
        <v>262</v>
      </c>
      <c r="D300" s="111" t="s">
        <v>263</v>
      </c>
      <c r="E300" s="111" t="s">
        <v>14</v>
      </c>
      <c r="F300" s="112" t="s">
        <v>294</v>
      </c>
      <c r="G300" s="112" t="s">
        <v>224</v>
      </c>
      <c r="H300" s="112" t="s">
        <v>295</v>
      </c>
      <c r="I300" s="11" t="s">
        <v>77</v>
      </c>
      <c r="J300" s="11" t="s">
        <v>78</v>
      </c>
      <c r="K300" s="11" t="s">
        <v>79</v>
      </c>
      <c r="L300" s="11"/>
      <c r="M300" s="18" t="str">
        <f>IF(ISBLANK($L300),"",_xlfn.XLOOKUP($L300,'CENTRO CUSTO'!$A:$A,'CENTRO CUSTO'!D:D,FALSE,0))</f>
        <v/>
      </c>
      <c r="N300" s="11" t="s">
        <v>158</v>
      </c>
      <c r="O300" s="12"/>
      <c r="P300" s="113" t="s">
        <v>88</v>
      </c>
      <c r="Q300" s="41">
        <v>620</v>
      </c>
      <c r="R300" s="41">
        <v>620</v>
      </c>
      <c r="S300" s="41">
        <v>620</v>
      </c>
      <c r="T300" s="41">
        <v>620</v>
      </c>
      <c r="U300" s="41">
        <v>620</v>
      </c>
      <c r="V300" s="41">
        <v>620</v>
      </c>
      <c r="W300" s="41">
        <v>620</v>
      </c>
      <c r="X300" s="41">
        <v>620</v>
      </c>
      <c r="Y300" s="41">
        <v>620</v>
      </c>
      <c r="Z300" s="41">
        <v>620</v>
      </c>
      <c r="AA300" s="41">
        <v>620</v>
      </c>
      <c r="AB300" s="41">
        <v>620</v>
      </c>
      <c r="AC300" s="116">
        <f t="shared" si="137"/>
        <v>7440</v>
      </c>
      <c r="AE300" s="39">
        <f>IF(ISBLANK(Q300),"",IF($P300="BRL",Q300,Q300*Macroindicadores!B$2)/1000)</f>
        <v>3.6456</v>
      </c>
      <c r="AF300" s="39">
        <f>IF(ISBLANK(R300),"",IF($P300="BRL",R300,R300*Macroindicadores!C$2)/1000)</f>
        <v>3.6456</v>
      </c>
      <c r="AG300" s="39">
        <f>IF(ISBLANK(S300),"",IF($P300="BRL",S300,S300*Macroindicadores!D$2)/1000)</f>
        <v>3.6456</v>
      </c>
      <c r="AH300" s="39">
        <f>IF(ISBLANK(T300),"",IF($P300="BRL",T300,T300*Macroindicadores!E$2)/1000)</f>
        <v>3.6456</v>
      </c>
      <c r="AI300" s="39">
        <f>IF(ISBLANK(U300),"",IF($P300="BRL",U300,U300*Macroindicadores!F$2)/1000)</f>
        <v>3.6456</v>
      </c>
      <c r="AJ300" s="39">
        <f>IF(ISBLANK(V300),"",IF($P300="BRL",V300,V300*Macroindicadores!G$2)/1000)</f>
        <v>3.6456</v>
      </c>
      <c r="AK300" s="39">
        <f>IF(ISBLANK(W300),"",IF($P300="BRL",W300,W300*Macroindicadores!H$2)/1000)</f>
        <v>3.6456</v>
      </c>
      <c r="AL300" s="39">
        <f>IF(ISBLANK(X300),"",IF($P300="BRL",X300,X300*Macroindicadores!I$2)/1000)</f>
        <v>3.6456</v>
      </c>
      <c r="AM300" s="39">
        <f>IF(ISBLANK(Y300),"",IF($P300="BRL",Y300,Y300*Macroindicadores!J$2)/1000)</f>
        <v>3.6456</v>
      </c>
      <c r="AN300" s="39">
        <f>IF(ISBLANK(Z300),"",IF($P300="BRL",Z300,Z300*Macroindicadores!K$2)/1000)</f>
        <v>3.6456</v>
      </c>
      <c r="AO300" s="39">
        <f>IF(ISBLANK(AA300),"",IF($P300="BRL",AA300,AA300*Macroindicadores!L$2)/1000)</f>
        <v>3.6456</v>
      </c>
      <c r="AP300" s="39">
        <f>IF(ISBLANK(AB300),"",IF($P300="BRL",AB300,AB300*Macroindicadores!M$2)/1000)</f>
        <v>3.6456</v>
      </c>
      <c r="AQ300" s="40">
        <f t="shared" si="138"/>
        <v>43.747200000000014</v>
      </c>
      <c r="AS300" s="39">
        <f>IF(ISBLANK(Q300),"",IF(ISBLANK($O300),AE300,IF($J300="ANUAL",AE300*(1+Macroindicadores!B$7),IF(AND($I300="NOVO",MONTH($O300)=MONTH(AS$4)),AE300*(1+Macroindicadores!B$7),IF(AND($J300="PONTUAL",MONTH($O300)=MONTH(AS$4)),AE300*(1+Macroindicadores!B$7),IF(AND($J300="PONTUAL",MONTH($O300)&lt;MONTH(AS$4)),MIN(AR300:$AS300),IF(AND($I300="NOVO",MONTH($O300)&gt;MONTH(AS$4)),AE300,IF(MONTH($O300)&gt;MONTH(AS$4),AE300,IF(MONTH($O300)=MONTH(AS$4),AE300*(1+Macroindicadores!B$7),AR300)))))))))</f>
        <v>3.6456</v>
      </c>
      <c r="AT300" s="39">
        <f>IF(ISBLANK(R300),"",IF(ISBLANK($O300),AF300,IF($J300="ANUAL",AF300*(1+Macroindicadores!C$7),IF(AND($I300="NOVO",MONTH($O300)=MONTH(AT$4)),AF300*(1+Macroindicadores!C$7),IF(AND($J300="PONTUAL",MONTH($O300)=MONTH(AT$4)),AF300*(1+Macroindicadores!C$7),IF(AND($J300="PONTUAL",MONTH($O300)&lt;MONTH(AT$4)),MIN($AS300:AS300),IF(AND($I300="NOVO",MONTH($O300)&gt;MONTH(AT$4)),AF300,IF(MONTH($O300)&gt;MONTH(AT$4),AF300,IF(MONTH($O300)=MONTH(AT$4),AF300*(1+Macroindicadores!C$7),AS300)))))))))</f>
        <v>3.6456</v>
      </c>
      <c r="AU300" s="39">
        <f>IF(ISBLANK(S300),"",IF(ISBLANK($O300),AG300,IF($J300="ANUAL",AG300*(1+Macroindicadores!D$7),IF(AND($I300="NOVO",MONTH($O300)=MONTH(AU$4)),AG300*(1+Macroindicadores!D$7),IF(AND($J300="PONTUAL",MONTH($O300)=MONTH(AU$4)),AG300*(1+Macroindicadores!D$7),IF(AND($J300="PONTUAL",MONTH($O300)&lt;MONTH(AU$4)),MIN($AS300:AT300),IF(AND($I300="NOVO",MONTH($O300)&gt;MONTH(AU$4)),AG300,IF(MONTH($O300)&gt;MONTH(AU$4),AG300,IF(MONTH($O300)=MONTH(AU$4),AG300*(1+Macroindicadores!D$7),AT300)))))))))</f>
        <v>3.6456</v>
      </c>
      <c r="AV300" s="39">
        <f>IF(ISBLANK(T300),"",IF(ISBLANK($O300),AH300,IF($J300="ANUAL",AH300*(1+Macroindicadores!E$7),IF(AND($I300="NOVO",MONTH($O300)=MONTH(AV$4)),AH300*(1+Macroindicadores!E$7),IF(AND($J300="PONTUAL",MONTH($O300)=MONTH(AV$4)),AH300*(1+Macroindicadores!E$7),IF(AND($J300="PONTUAL",MONTH($O300)&lt;MONTH(AV$4)),MIN($AS300:AU300),IF(AND($I300="NOVO",MONTH($O300)&gt;MONTH(AV$4)),AH300,IF(MONTH($O300)&gt;MONTH(AV$4),AH300,IF(MONTH($O300)=MONTH(AV$4),AH300*(1+Macroindicadores!E$7),AU300)))))))))</f>
        <v>3.6456</v>
      </c>
      <c r="AW300" s="39">
        <f>IF(ISBLANK(U300),"",IF(ISBLANK($O300),AI300,IF($J300="ANUAL",AI300*(1+Macroindicadores!F$7),IF(AND($I300="NOVO",MONTH($O300)=MONTH(AW$4)),AI300*(1+Macroindicadores!F$7),IF(AND($J300="PONTUAL",MONTH($O300)=MONTH(AW$4)),AI300*(1+Macroindicadores!F$7),IF(AND($J300="PONTUAL",MONTH($O300)&lt;MONTH(AW$4)),MIN($AS300:AV300),IF(AND($I300="NOVO",MONTH($O300)&gt;MONTH(AW$4)),AI300,IF(MONTH($O300)&gt;MONTH(AW$4),AI300,IF(MONTH($O300)=MONTH(AW$4),AI300*(1+Macroindicadores!F$7),AV300)))))))))</f>
        <v>3.6456</v>
      </c>
      <c r="AX300" s="39">
        <f>IF(ISBLANK(V300),"",IF(ISBLANK($O300),AJ300,IF($J300="ANUAL",AJ300*(1+Macroindicadores!G$7),IF(AND($I300="NOVO",MONTH($O300)=MONTH(AX$4)),AJ300*(1+Macroindicadores!G$7),IF(AND($J300="PONTUAL",MONTH($O300)=MONTH(AX$4)),AJ300*(1+Macroindicadores!G$7),IF(AND($J300="PONTUAL",MONTH($O300)&lt;MONTH(AX$4)),MIN($AS300:AW300),IF(AND($I300="NOVO",MONTH($O300)&gt;MONTH(AX$4)),AJ300,IF(MONTH($O300)&gt;MONTH(AX$4),AJ300,IF(MONTH($O300)=MONTH(AX$4),AJ300*(1+Macroindicadores!G$7),AW300)))))))))</f>
        <v>3.6456</v>
      </c>
      <c r="AY300" s="39">
        <f>IF(ISBLANK(W300),"",IF(ISBLANK($O300),AK300,IF($J300="ANUAL",AK300*(1+Macroindicadores!H$7),IF(AND($I300="NOVO",MONTH($O300)=MONTH(AY$4)),AK300*(1+Macroindicadores!H$7),IF(AND($J300="PONTUAL",MONTH($O300)=MONTH(AY$4)),AK300*(1+Macroindicadores!H$7),IF(AND($J300="PONTUAL",MONTH($O300)&lt;MONTH(AY$4)),MIN($AS300:AX300),IF(AND($I300="NOVO",MONTH($O300)&gt;MONTH(AY$4)),AK300,IF(MONTH($O300)&gt;MONTH(AY$4),AK300,IF(MONTH($O300)=MONTH(AY$4),AK300*(1+Macroindicadores!H$7),AX300)))))))))</f>
        <v>3.6456</v>
      </c>
      <c r="AZ300" s="39">
        <f>IF(ISBLANK(X300),"",IF(ISBLANK($O300),AL300,IF($J300="ANUAL",AL300*(1+Macroindicadores!I$7),IF(AND($I300="NOVO",MONTH($O300)=MONTH(AZ$4)),AL300*(1+Macroindicadores!I$7),IF(AND($J300="PONTUAL",MONTH($O300)=MONTH(AZ$4)),AL300*(1+Macroindicadores!I$7),IF(AND($J300="PONTUAL",MONTH($O300)&lt;MONTH(AZ$4)),MIN($AS300:AY300),IF(AND($I300="NOVO",MONTH($O300)&gt;MONTH(AZ$4)),AL300,IF(MONTH($O300)&gt;MONTH(AZ$4),AL300,IF(MONTH($O300)=MONTH(AZ$4),AL300*(1+Macroindicadores!I$7),AY300)))))))))</f>
        <v>3.6456</v>
      </c>
      <c r="BA300" s="39">
        <f>IF(ISBLANK(Y300),"",IF(ISBLANK($O300),AM300,IF($J300="ANUAL",AM300*(1+Macroindicadores!J$7),IF(AND($I300="NOVO",MONTH($O300)=MONTH(BA$4)),AM300*(1+Macroindicadores!J$7),IF(AND($J300="PONTUAL",MONTH($O300)=MONTH(BA$4)),AM300*(1+Macroindicadores!J$7),IF(AND($J300="PONTUAL",MONTH($O300)&lt;MONTH(BA$4)),MIN($AS300:AZ300),IF(AND($I300="NOVO",MONTH($O300)&gt;MONTH(BA$4)),AM300,IF(MONTH($O300)&gt;MONTH(BA$4),AM300,IF(MONTH($O300)=MONTH(BA$4),AM300*(1+Macroindicadores!J$7),AZ300)))))))))</f>
        <v>3.6456</v>
      </c>
      <c r="BB300" s="39">
        <f>IF(ISBLANK(Z300),"",IF(ISBLANK($O300),AN300,IF($J300="ANUAL",AN300*(1+Macroindicadores!K$7),IF(AND($I300="NOVO",MONTH($O300)=MONTH(BB$4)),AN300*(1+Macroindicadores!K$7),IF(AND($J300="PONTUAL",MONTH($O300)=MONTH(BB$4)),AN300*(1+Macroindicadores!K$7),IF(AND($J300="PONTUAL",MONTH($O300)&lt;MONTH(BB$4)),MIN($AS300:BA300),IF(AND($I300="NOVO",MONTH($O300)&gt;MONTH(BB$4)),AN300,IF(MONTH($O300)&gt;MONTH(BB$4),AN300,IF(MONTH($O300)=MONTH(BB$4),AN300*(1+Macroindicadores!K$7),BA300)))))))))</f>
        <v>3.6456</v>
      </c>
      <c r="BC300" s="39">
        <f>IF(ISBLANK(AA300),"",IF(ISBLANK($O300),AO300,IF($J300="ANUAL",AO300*(1+Macroindicadores!L$7),IF(AND($I300="NOVO",MONTH($O300)=MONTH(BC$4)),AO300*(1+Macroindicadores!L$7),IF(AND($J300="PONTUAL",MONTH($O300)=MONTH(BC$4)),AO300*(1+Macroindicadores!L$7),IF(AND($J300="PONTUAL",MONTH($O300)&lt;MONTH(BC$4)),MIN($AS300:BB300),IF(AND($I300="NOVO",MONTH($O300)&gt;MONTH(BC$4)),AO300,IF(MONTH($O300)&gt;MONTH(BC$4),AO300,IF(MONTH($O300)=MONTH(BC$4),AO300*(1+Macroindicadores!L$7),BB300)))))))))</f>
        <v>3.6456</v>
      </c>
      <c r="BD300" s="39">
        <f>IF(ISBLANK(AB300),"",IF(ISBLANK($O300),AP300,IF($J300="ANUAL",AP300*(1+Macroindicadores!M$7),IF(AND($I300="NOVO",MONTH($O300)=MONTH(BD$4)),AP300*(1+Macroindicadores!M$7),IF(AND($J300="PONTUAL",MONTH($O300)=MONTH(BD$4)),AP300*(1+Macroindicadores!M$7),IF(AND($J300="PONTUAL",MONTH($O300)&lt;MONTH(BD$4)),MIN($AS300:BC300),IF(AND($I300="NOVO",MONTH($O300)&gt;MONTH(BD$4)),AP300,IF(MONTH($O300)&gt;MONTH(BD$4),AP300,IF(MONTH($O300)=MONTH(BD$4),AP300*(1+Macroindicadores!M$7),BC300)))))))))</f>
        <v>3.6456</v>
      </c>
      <c r="BE300" s="40">
        <f t="shared" si="139"/>
        <v>43.747200000000014</v>
      </c>
      <c r="BG300" s="39">
        <f>IF(ISBLANK(Q300),"",AS300/Macroindicadores!B$2)</f>
        <v>0.62</v>
      </c>
      <c r="BH300" s="39">
        <f>IF(ISBLANK(R300),"",AT300/Macroindicadores!C$2)</f>
        <v>0.62</v>
      </c>
      <c r="BI300" s="39">
        <f>IF(ISBLANK(S300),"",AU300/Macroindicadores!D$2)</f>
        <v>0.62</v>
      </c>
      <c r="BJ300" s="39">
        <f>IF(ISBLANK(T300),"",AV300/Macroindicadores!E$2)</f>
        <v>0.62</v>
      </c>
      <c r="BK300" s="39">
        <f>IF(ISBLANK(U300),"",AW300/Macroindicadores!F$2)</f>
        <v>0.62</v>
      </c>
      <c r="BL300" s="39">
        <f>IF(ISBLANK(V300),"",AX300/Macroindicadores!G$2)</f>
        <v>0.62</v>
      </c>
      <c r="BM300" s="39">
        <f>IF(ISBLANK(W300),"",AY300/Macroindicadores!H$2)</f>
        <v>0.62</v>
      </c>
      <c r="BN300" s="39">
        <f>IF(ISBLANK(X300),"",AZ300/Macroindicadores!I$2)</f>
        <v>0.62</v>
      </c>
      <c r="BO300" s="39">
        <f>IF(ISBLANK(Y300),"",BA300/Macroindicadores!J$2)</f>
        <v>0.62</v>
      </c>
      <c r="BP300" s="39">
        <f>IF(ISBLANK(Z300),"",BB300/Macroindicadores!K$2)</f>
        <v>0.62</v>
      </c>
      <c r="BQ300" s="39">
        <f>IF(ISBLANK(AA300),"",BC300/Macroindicadores!L$2)</f>
        <v>0.62</v>
      </c>
      <c r="BR300" s="39">
        <f>IF(ISBLANK(AB300),"",BD300/Macroindicadores!M$2)</f>
        <v>0.62</v>
      </c>
      <c r="BS300" s="40">
        <f t="shared" si="140"/>
        <v>7.44</v>
      </c>
      <c r="BT300" s="25" t="str">
        <f>IF(ISBLANK($L300),"",_xlfn.XLOOKUP($L300,'CENTRO CUSTO'!$A:$A,'CENTRO CUSTO'!$E:$E,FALSE,0))</f>
        <v/>
      </c>
    </row>
    <row r="301" spans="1:72">
      <c r="A301" s="9" t="str">
        <f t="shared" si="80"/>
        <v>Budget</v>
      </c>
      <c r="B301" s="9">
        <f t="shared" si="77"/>
        <v>2026</v>
      </c>
      <c r="C301" s="111" t="s">
        <v>273</v>
      </c>
      <c r="D301" s="111" t="s">
        <v>274</v>
      </c>
      <c r="E301" s="111" t="s">
        <v>14</v>
      </c>
      <c r="F301" s="112" t="s">
        <v>296</v>
      </c>
      <c r="G301" s="112" t="s">
        <v>75</v>
      </c>
      <c r="H301" s="112" t="s">
        <v>297</v>
      </c>
      <c r="I301" s="11" t="s">
        <v>77</v>
      </c>
      <c r="J301" s="11" t="s">
        <v>78</v>
      </c>
      <c r="K301" s="11" t="s">
        <v>79</v>
      </c>
      <c r="L301" s="11"/>
      <c r="M301" s="18" t="str">
        <f>IF(ISBLANK($L301),"",_xlfn.XLOOKUP($L301,'CENTRO CUSTO'!$A:$A,'CENTRO CUSTO'!D:D,FALSE,0))</f>
        <v/>
      </c>
      <c r="N301" s="11" t="s">
        <v>106</v>
      </c>
      <c r="O301" s="12"/>
      <c r="P301" s="113" t="s">
        <v>88</v>
      </c>
      <c r="Q301" s="41">
        <v>74.77272727272728</v>
      </c>
      <c r="R301" s="41">
        <v>74.77272727272728</v>
      </c>
      <c r="S301" s="41">
        <v>74.77272727272728</v>
      </c>
      <c r="T301" s="41">
        <v>74.77272727272728</v>
      </c>
      <c r="U301" s="41">
        <v>74.77272727272728</v>
      </c>
      <c r="V301" s="41">
        <v>74.77272727272728</v>
      </c>
      <c r="W301" s="41">
        <v>74.77272727272728</v>
      </c>
      <c r="X301" s="41">
        <v>74.77272727272728</v>
      </c>
      <c r="Y301" s="41">
        <v>74.77272727272728</v>
      </c>
      <c r="Z301" s="41">
        <v>74.77272727272728</v>
      </c>
      <c r="AA301" s="41">
        <v>74.77272727272728</v>
      </c>
      <c r="AB301" s="41">
        <v>74.77272727272728</v>
      </c>
      <c r="AC301" s="116">
        <f t="shared" si="137"/>
        <v>897.27272727272714</v>
      </c>
      <c r="AE301" s="39">
        <f>IF(ISBLANK(Q301),"",IF($P301="BRL",Q301,Q301*Macroindicadores!B$2)/1000)</f>
        <v>0.43966363636363637</v>
      </c>
      <c r="AF301" s="39">
        <f>IF(ISBLANK(R301),"",IF($P301="BRL",R301,R301*Macroindicadores!C$2)/1000)</f>
        <v>0.43966363636363637</v>
      </c>
      <c r="AG301" s="39">
        <f>IF(ISBLANK(S301),"",IF($P301="BRL",S301,S301*Macroindicadores!D$2)/1000)</f>
        <v>0.43966363636363637</v>
      </c>
      <c r="AH301" s="39">
        <f>IF(ISBLANK(T301),"",IF($P301="BRL",T301,T301*Macroindicadores!E$2)/1000)</f>
        <v>0.43966363636363637</v>
      </c>
      <c r="AI301" s="39">
        <f>IF(ISBLANK(U301),"",IF($P301="BRL",U301,U301*Macroindicadores!F$2)/1000)</f>
        <v>0.43966363636363637</v>
      </c>
      <c r="AJ301" s="39">
        <f>IF(ISBLANK(V301),"",IF($P301="BRL",V301,V301*Macroindicadores!G$2)/1000)</f>
        <v>0.43966363636363637</v>
      </c>
      <c r="AK301" s="39">
        <f>IF(ISBLANK(W301),"",IF($P301="BRL",W301,W301*Macroindicadores!H$2)/1000)</f>
        <v>0.43966363636363637</v>
      </c>
      <c r="AL301" s="39">
        <f>IF(ISBLANK(X301),"",IF($P301="BRL",X301,X301*Macroindicadores!I$2)/1000)</f>
        <v>0.43966363636363637</v>
      </c>
      <c r="AM301" s="39">
        <f>IF(ISBLANK(Y301),"",IF($P301="BRL",Y301,Y301*Macroindicadores!J$2)/1000)</f>
        <v>0.43966363636363637</v>
      </c>
      <c r="AN301" s="39">
        <f>IF(ISBLANK(Z301),"",IF($P301="BRL",Z301,Z301*Macroindicadores!K$2)/1000)</f>
        <v>0.43966363636363637</v>
      </c>
      <c r="AO301" s="39">
        <f>IF(ISBLANK(AA301),"",IF($P301="BRL",AA301,AA301*Macroindicadores!L$2)/1000)</f>
        <v>0.43966363636363637</v>
      </c>
      <c r="AP301" s="39">
        <f>IF(ISBLANK(AB301),"",IF($P301="BRL",AB301,AB301*Macroindicadores!M$2)/1000)</f>
        <v>0.43966363636363637</v>
      </c>
      <c r="AQ301" s="40">
        <f t="shared" si="138"/>
        <v>5.2759636363636364</v>
      </c>
      <c r="AS301" s="39">
        <f>IF(ISBLANK(Q301),"",IF(ISBLANK($O301),AE301,IF($J301="ANUAL",AE301*(1+Macroindicadores!B$7),IF(AND($I301="NOVO",MONTH($O301)=MONTH(AS$4)),AE301*(1+Macroindicadores!B$7),IF(AND($J301="PONTUAL",MONTH($O301)=MONTH(AS$4)),AE301*(1+Macroindicadores!B$7),IF(AND($J301="PONTUAL",MONTH($O301)&lt;MONTH(AS$4)),MIN(AR301:$AS301),IF(AND($I301="NOVO",MONTH($O301)&gt;MONTH(AS$4)),AE301,IF(MONTH($O301)&gt;MONTH(AS$4),AE301,IF(MONTH($O301)=MONTH(AS$4),AE301*(1+Macroindicadores!B$7),AR301)))))))))</f>
        <v>0.43966363636363637</v>
      </c>
      <c r="AT301" s="39">
        <f>IF(ISBLANK(R301),"",IF(ISBLANK($O301),AF301,IF($J301="ANUAL",AF301*(1+Macroindicadores!C$7),IF(AND($I301="NOVO",MONTH($O301)=MONTH(AT$4)),AF301*(1+Macroindicadores!C$7),IF(AND($J301="PONTUAL",MONTH($O301)=MONTH(AT$4)),AF301*(1+Macroindicadores!C$7),IF(AND($J301="PONTUAL",MONTH($O301)&lt;MONTH(AT$4)),MIN($AS301:AS301),IF(AND($I301="NOVO",MONTH($O301)&gt;MONTH(AT$4)),AF301,IF(MONTH($O301)&gt;MONTH(AT$4),AF301,IF(MONTH($O301)=MONTH(AT$4),AF301*(1+Macroindicadores!C$7),AS301)))))))))</f>
        <v>0.43966363636363637</v>
      </c>
      <c r="AU301" s="39">
        <f>IF(ISBLANK(S301),"",IF(ISBLANK($O301),AG301,IF($J301="ANUAL",AG301*(1+Macroindicadores!D$7),IF(AND($I301="NOVO",MONTH($O301)=MONTH(AU$4)),AG301*(1+Macroindicadores!D$7),IF(AND($J301="PONTUAL",MONTH($O301)=MONTH(AU$4)),AG301*(1+Macroindicadores!D$7),IF(AND($J301="PONTUAL",MONTH($O301)&lt;MONTH(AU$4)),MIN($AS301:AT301),IF(AND($I301="NOVO",MONTH($O301)&gt;MONTH(AU$4)),AG301,IF(MONTH($O301)&gt;MONTH(AU$4),AG301,IF(MONTH($O301)=MONTH(AU$4),AG301*(1+Macroindicadores!D$7),AT301)))))))))</f>
        <v>0.43966363636363637</v>
      </c>
      <c r="AV301" s="39">
        <f>IF(ISBLANK(T301),"",IF(ISBLANK($O301),AH301,IF($J301="ANUAL",AH301*(1+Macroindicadores!E$7),IF(AND($I301="NOVO",MONTH($O301)=MONTH(AV$4)),AH301*(1+Macroindicadores!E$7),IF(AND($J301="PONTUAL",MONTH($O301)=MONTH(AV$4)),AH301*(1+Macroindicadores!E$7),IF(AND($J301="PONTUAL",MONTH($O301)&lt;MONTH(AV$4)),MIN($AS301:AU301),IF(AND($I301="NOVO",MONTH($O301)&gt;MONTH(AV$4)),AH301,IF(MONTH($O301)&gt;MONTH(AV$4),AH301,IF(MONTH($O301)=MONTH(AV$4),AH301*(1+Macroindicadores!E$7),AU301)))))))))</f>
        <v>0.43966363636363637</v>
      </c>
      <c r="AW301" s="39">
        <f>IF(ISBLANK(U301),"",IF(ISBLANK($O301),AI301,IF($J301="ANUAL",AI301*(1+Macroindicadores!F$7),IF(AND($I301="NOVO",MONTH($O301)=MONTH(AW$4)),AI301*(1+Macroindicadores!F$7),IF(AND($J301="PONTUAL",MONTH($O301)=MONTH(AW$4)),AI301*(1+Macroindicadores!F$7),IF(AND($J301="PONTUAL",MONTH($O301)&lt;MONTH(AW$4)),MIN($AS301:AV301),IF(AND($I301="NOVO",MONTH($O301)&gt;MONTH(AW$4)),AI301,IF(MONTH($O301)&gt;MONTH(AW$4),AI301,IF(MONTH($O301)=MONTH(AW$4),AI301*(1+Macroindicadores!F$7),AV301)))))))))</f>
        <v>0.43966363636363637</v>
      </c>
      <c r="AX301" s="39">
        <f>IF(ISBLANK(V301),"",IF(ISBLANK($O301),AJ301,IF($J301="ANUAL",AJ301*(1+Macroindicadores!G$7),IF(AND($I301="NOVO",MONTH($O301)=MONTH(AX$4)),AJ301*(1+Macroindicadores!G$7),IF(AND($J301="PONTUAL",MONTH($O301)=MONTH(AX$4)),AJ301*(1+Macroindicadores!G$7),IF(AND($J301="PONTUAL",MONTH($O301)&lt;MONTH(AX$4)),MIN($AS301:AW301),IF(AND($I301="NOVO",MONTH($O301)&gt;MONTH(AX$4)),AJ301,IF(MONTH($O301)&gt;MONTH(AX$4),AJ301,IF(MONTH($O301)=MONTH(AX$4),AJ301*(1+Macroindicadores!G$7),AW301)))))))))</f>
        <v>0.43966363636363637</v>
      </c>
      <c r="AY301" s="39">
        <f>IF(ISBLANK(W301),"",IF(ISBLANK($O301),AK301,IF($J301="ANUAL",AK301*(1+Macroindicadores!H$7),IF(AND($I301="NOVO",MONTH($O301)=MONTH(AY$4)),AK301*(1+Macroindicadores!H$7),IF(AND($J301="PONTUAL",MONTH($O301)=MONTH(AY$4)),AK301*(1+Macroindicadores!H$7),IF(AND($J301="PONTUAL",MONTH($O301)&lt;MONTH(AY$4)),MIN($AS301:AX301),IF(AND($I301="NOVO",MONTH($O301)&gt;MONTH(AY$4)),AK301,IF(MONTH($O301)&gt;MONTH(AY$4),AK301,IF(MONTH($O301)=MONTH(AY$4),AK301*(1+Macroindicadores!H$7),AX301)))))))))</f>
        <v>0.43966363636363637</v>
      </c>
      <c r="AZ301" s="39">
        <f>IF(ISBLANK(X301),"",IF(ISBLANK($O301),AL301,IF($J301="ANUAL",AL301*(1+Macroindicadores!I$7),IF(AND($I301="NOVO",MONTH($O301)=MONTH(AZ$4)),AL301*(1+Macroindicadores!I$7),IF(AND($J301="PONTUAL",MONTH($O301)=MONTH(AZ$4)),AL301*(1+Macroindicadores!I$7),IF(AND($J301="PONTUAL",MONTH($O301)&lt;MONTH(AZ$4)),MIN($AS301:AY301),IF(AND($I301="NOVO",MONTH($O301)&gt;MONTH(AZ$4)),AL301,IF(MONTH($O301)&gt;MONTH(AZ$4),AL301,IF(MONTH($O301)=MONTH(AZ$4),AL301*(1+Macroindicadores!I$7),AY301)))))))))</f>
        <v>0.43966363636363637</v>
      </c>
      <c r="BA301" s="39">
        <f>IF(ISBLANK(Y301),"",IF(ISBLANK($O301),AM301,IF($J301="ANUAL",AM301*(1+Macroindicadores!J$7),IF(AND($I301="NOVO",MONTH($O301)=MONTH(BA$4)),AM301*(1+Macroindicadores!J$7),IF(AND($J301="PONTUAL",MONTH($O301)=MONTH(BA$4)),AM301*(1+Macroindicadores!J$7),IF(AND($J301="PONTUAL",MONTH($O301)&lt;MONTH(BA$4)),MIN($AS301:AZ301),IF(AND($I301="NOVO",MONTH($O301)&gt;MONTH(BA$4)),AM301,IF(MONTH($O301)&gt;MONTH(BA$4),AM301,IF(MONTH($O301)=MONTH(BA$4),AM301*(1+Macroindicadores!J$7),AZ301)))))))))</f>
        <v>0.43966363636363637</v>
      </c>
      <c r="BB301" s="39">
        <f>IF(ISBLANK(Z301),"",IF(ISBLANK($O301),AN301,IF($J301="ANUAL",AN301*(1+Macroindicadores!K$7),IF(AND($I301="NOVO",MONTH($O301)=MONTH(BB$4)),AN301*(1+Macroindicadores!K$7),IF(AND($J301="PONTUAL",MONTH($O301)=MONTH(BB$4)),AN301*(1+Macroindicadores!K$7),IF(AND($J301="PONTUAL",MONTH($O301)&lt;MONTH(BB$4)),MIN($AS301:BA301),IF(AND($I301="NOVO",MONTH($O301)&gt;MONTH(BB$4)),AN301,IF(MONTH($O301)&gt;MONTH(BB$4),AN301,IF(MONTH($O301)=MONTH(BB$4),AN301*(1+Macroindicadores!K$7),BA301)))))))))</f>
        <v>0.43966363636363637</v>
      </c>
      <c r="BC301" s="39">
        <f>IF(ISBLANK(AA301),"",IF(ISBLANK($O301),AO301,IF($J301="ANUAL",AO301*(1+Macroindicadores!L$7),IF(AND($I301="NOVO",MONTH($O301)=MONTH(BC$4)),AO301*(1+Macroindicadores!L$7),IF(AND($J301="PONTUAL",MONTH($O301)=MONTH(BC$4)),AO301*(1+Macroindicadores!L$7),IF(AND($J301="PONTUAL",MONTH($O301)&lt;MONTH(BC$4)),MIN($AS301:BB301),IF(AND($I301="NOVO",MONTH($O301)&gt;MONTH(BC$4)),AO301,IF(MONTH($O301)&gt;MONTH(BC$4),AO301,IF(MONTH($O301)=MONTH(BC$4),AO301*(1+Macroindicadores!L$7),BB301)))))))))</f>
        <v>0.43966363636363637</v>
      </c>
      <c r="BD301" s="39">
        <f>IF(ISBLANK(AB301),"",IF(ISBLANK($O301),AP301,IF($J301="ANUAL",AP301*(1+Macroindicadores!M$7),IF(AND($I301="NOVO",MONTH($O301)=MONTH(BD$4)),AP301*(1+Macroindicadores!M$7),IF(AND($J301="PONTUAL",MONTH($O301)=MONTH(BD$4)),AP301*(1+Macroindicadores!M$7),IF(AND($J301="PONTUAL",MONTH($O301)&lt;MONTH(BD$4)),MIN($AS301:BC301),IF(AND($I301="NOVO",MONTH($O301)&gt;MONTH(BD$4)),AP301,IF(MONTH($O301)&gt;MONTH(BD$4),AP301,IF(MONTH($O301)=MONTH(BD$4),AP301*(1+Macroindicadores!M$7),BC301)))))))))</f>
        <v>0.43966363636363637</v>
      </c>
      <c r="BE301" s="40">
        <f t="shared" si="139"/>
        <v>5.2759636363636364</v>
      </c>
      <c r="BG301" s="39">
        <f>IF(ISBLANK(Q301),"",AS301/Macroindicadores!B$2)</f>
        <v>7.4772727272727268E-2</v>
      </c>
      <c r="BH301" s="39">
        <f>IF(ISBLANK(R301),"",AT301/Macroindicadores!C$2)</f>
        <v>7.4772727272727268E-2</v>
      </c>
      <c r="BI301" s="39">
        <f>IF(ISBLANK(S301),"",AU301/Macroindicadores!D$2)</f>
        <v>7.4772727272727268E-2</v>
      </c>
      <c r="BJ301" s="39">
        <f>IF(ISBLANK(T301),"",AV301/Macroindicadores!E$2)</f>
        <v>7.4772727272727268E-2</v>
      </c>
      <c r="BK301" s="39">
        <f>IF(ISBLANK(U301),"",AW301/Macroindicadores!F$2)</f>
        <v>7.4772727272727268E-2</v>
      </c>
      <c r="BL301" s="39">
        <f>IF(ISBLANK(V301),"",AX301/Macroindicadores!G$2)</f>
        <v>7.4772727272727268E-2</v>
      </c>
      <c r="BM301" s="39">
        <f>IF(ISBLANK(W301),"",AY301/Macroindicadores!H$2)</f>
        <v>7.4772727272727268E-2</v>
      </c>
      <c r="BN301" s="39">
        <f>IF(ISBLANK(X301),"",AZ301/Macroindicadores!I$2)</f>
        <v>7.4772727272727268E-2</v>
      </c>
      <c r="BO301" s="39">
        <f>IF(ISBLANK(Y301),"",BA301/Macroindicadores!J$2)</f>
        <v>7.4772727272727268E-2</v>
      </c>
      <c r="BP301" s="39">
        <f>IF(ISBLANK(Z301),"",BB301/Macroindicadores!K$2)</f>
        <v>7.4772727272727268E-2</v>
      </c>
      <c r="BQ301" s="39">
        <f>IF(ISBLANK(AA301),"",BC301/Macroindicadores!L$2)</f>
        <v>7.4772727272727268E-2</v>
      </c>
      <c r="BR301" s="39">
        <f>IF(ISBLANK(AB301),"",BD301/Macroindicadores!M$2)</f>
        <v>7.4772727272727268E-2</v>
      </c>
      <c r="BS301" s="40">
        <f t="shared" si="140"/>
        <v>0.897272727272727</v>
      </c>
      <c r="BT301" s="25" t="str">
        <f>IF(ISBLANK($L301),"",_xlfn.XLOOKUP($L301,'CENTRO CUSTO'!$A:$A,'CENTRO CUSTO'!$E:$E,FALSE,0))</f>
        <v/>
      </c>
    </row>
    <row r="302" spans="1:72">
      <c r="A302" s="9" t="str">
        <f t="shared" si="80"/>
        <v>Budget</v>
      </c>
      <c r="B302" s="9">
        <f t="shared" si="77"/>
        <v>2026</v>
      </c>
      <c r="C302" s="111" t="s">
        <v>262</v>
      </c>
      <c r="D302" s="111" t="s">
        <v>263</v>
      </c>
      <c r="E302" s="111" t="s">
        <v>14</v>
      </c>
      <c r="F302" s="112" t="s">
        <v>298</v>
      </c>
      <c r="G302" s="112" t="s">
        <v>75</v>
      </c>
      <c r="H302" s="112" t="s">
        <v>299</v>
      </c>
      <c r="I302" s="11" t="s">
        <v>77</v>
      </c>
      <c r="J302" s="11" t="s">
        <v>78</v>
      </c>
      <c r="K302" s="11" t="s">
        <v>79</v>
      </c>
      <c r="L302" s="11"/>
      <c r="M302" s="18" t="str">
        <f>IF(ISBLANK($L302),"",_xlfn.XLOOKUP($L302,'CENTRO CUSTO'!$A:$A,'CENTRO CUSTO'!D:D,FALSE,0))</f>
        <v/>
      </c>
      <c r="N302" s="11" t="s">
        <v>106</v>
      </c>
      <c r="O302" s="12"/>
      <c r="P302" s="113" t="s">
        <v>88</v>
      </c>
      <c r="Q302" s="41">
        <v>372.63429752066116</v>
      </c>
      <c r="R302" s="41">
        <v>372.63429752066116</v>
      </c>
      <c r="S302" s="41">
        <v>372.63429752066116</v>
      </c>
      <c r="T302" s="41">
        <v>372.63429752066116</v>
      </c>
      <c r="U302" s="41">
        <v>372.63429752066116</v>
      </c>
      <c r="V302" s="41">
        <v>372.63429752066116</v>
      </c>
      <c r="W302" s="41">
        <v>372.63429752066116</v>
      </c>
      <c r="X302" s="41">
        <v>372.63429752066116</v>
      </c>
      <c r="Y302" s="41">
        <v>372.63429752066116</v>
      </c>
      <c r="Z302" s="41">
        <v>372.63429752066116</v>
      </c>
      <c r="AA302" s="41">
        <v>372.63429752066116</v>
      </c>
      <c r="AB302" s="41">
        <v>372.63429752066116</v>
      </c>
      <c r="AC302" s="116">
        <f t="shared" si="104"/>
        <v>4471.6115702479337</v>
      </c>
      <c r="AE302" s="39">
        <f>IF(ISBLANK(Q302),"",IF($P302="BRL",Q302,Q302*Macroindicadores!B$2)/1000)</f>
        <v>2.1910896694214874</v>
      </c>
      <c r="AF302" s="39">
        <f>IF(ISBLANK(R302),"",IF($P302="BRL",R302,R302*Macroindicadores!C$2)/1000)</f>
        <v>2.1910896694214874</v>
      </c>
      <c r="AG302" s="39">
        <f>IF(ISBLANK(S302),"",IF($P302="BRL",S302,S302*Macroindicadores!D$2)/1000)</f>
        <v>2.1910896694214874</v>
      </c>
      <c r="AH302" s="39">
        <f>IF(ISBLANK(T302),"",IF($P302="BRL",T302,T302*Macroindicadores!E$2)/1000)</f>
        <v>2.1910896694214874</v>
      </c>
      <c r="AI302" s="39">
        <f>IF(ISBLANK(U302),"",IF($P302="BRL",U302,U302*Macroindicadores!F$2)/1000)</f>
        <v>2.1910896694214874</v>
      </c>
      <c r="AJ302" s="39">
        <f>IF(ISBLANK(V302),"",IF($P302="BRL",V302,V302*Macroindicadores!G$2)/1000)</f>
        <v>2.1910896694214874</v>
      </c>
      <c r="AK302" s="39">
        <f>IF(ISBLANK(W302),"",IF($P302="BRL",W302,W302*Macroindicadores!H$2)/1000)</f>
        <v>2.1910896694214874</v>
      </c>
      <c r="AL302" s="39">
        <f>IF(ISBLANK(X302),"",IF($P302="BRL",X302,X302*Macroindicadores!I$2)/1000)</f>
        <v>2.1910896694214874</v>
      </c>
      <c r="AM302" s="39">
        <f>IF(ISBLANK(Y302),"",IF($P302="BRL",Y302,Y302*Macroindicadores!J$2)/1000)</f>
        <v>2.1910896694214874</v>
      </c>
      <c r="AN302" s="39">
        <f>IF(ISBLANK(Z302),"",IF($P302="BRL",Z302,Z302*Macroindicadores!K$2)/1000)</f>
        <v>2.1910896694214874</v>
      </c>
      <c r="AO302" s="39">
        <f>IF(ISBLANK(AA302),"",IF($P302="BRL",AA302,AA302*Macroindicadores!L$2)/1000)</f>
        <v>2.1910896694214874</v>
      </c>
      <c r="AP302" s="39">
        <f>IF(ISBLANK(AB302),"",IF($P302="BRL",AB302,AB302*Macroindicadores!M$2)/1000)</f>
        <v>2.1910896694214874</v>
      </c>
      <c r="AQ302" s="40">
        <f t="shared" si="105"/>
        <v>26.293076033057847</v>
      </c>
      <c r="AS302" s="39">
        <f>IF(ISBLANK(Q302),"",IF(ISBLANK($O302),AE302,IF($J302="ANUAL",AE302*(1+Macroindicadores!B$7),IF(AND($I302="NOVO",MONTH($O302)=MONTH(AS$4)),AE302*(1+Macroindicadores!B$7),IF(AND($J302="PONTUAL",MONTH($O302)=MONTH(AS$4)),AE302*(1+Macroindicadores!B$7),IF(AND($J302="PONTUAL",MONTH($O302)&lt;MONTH(AS$4)),MIN(AR302:$AS302),IF(AND($I302="NOVO",MONTH($O302)&gt;MONTH(AS$4)),AE302,IF(MONTH($O302)&gt;MONTH(AS$4),AE302,IF(MONTH($O302)=MONTH(AS$4),AE302*(1+Macroindicadores!B$7),AR302)))))))))</f>
        <v>2.1910896694214874</v>
      </c>
      <c r="AT302" s="39">
        <f>IF(ISBLANK(R302),"",IF(ISBLANK($O302),AF302,IF($J302="ANUAL",AF302*(1+Macroindicadores!C$7),IF(AND($I302="NOVO",MONTH($O302)=MONTH(AT$4)),AF302*(1+Macroindicadores!C$7),IF(AND($J302="PONTUAL",MONTH($O302)=MONTH(AT$4)),AF302*(1+Macroindicadores!C$7),IF(AND($J302="PONTUAL",MONTH($O302)&lt;MONTH(AT$4)),MIN($AS302:AS302),IF(AND($I302="NOVO",MONTH($O302)&gt;MONTH(AT$4)),AF302,IF(MONTH($O302)&gt;MONTH(AT$4),AF302,IF(MONTH($O302)=MONTH(AT$4),AF302*(1+Macroindicadores!C$7),AS302)))))))))</f>
        <v>2.1910896694214874</v>
      </c>
      <c r="AU302" s="39">
        <f>IF(ISBLANK(S302),"",IF(ISBLANK($O302),AG302,IF($J302="ANUAL",AG302*(1+Macroindicadores!D$7),IF(AND($I302="NOVO",MONTH($O302)=MONTH(AU$4)),AG302*(1+Macroindicadores!D$7),IF(AND($J302="PONTUAL",MONTH($O302)=MONTH(AU$4)),AG302*(1+Macroindicadores!D$7),IF(AND($J302="PONTUAL",MONTH($O302)&lt;MONTH(AU$4)),MIN($AS302:AT302),IF(AND($I302="NOVO",MONTH($O302)&gt;MONTH(AU$4)),AG302,IF(MONTH($O302)&gt;MONTH(AU$4),AG302,IF(MONTH($O302)=MONTH(AU$4),AG302*(1+Macroindicadores!D$7),AT302)))))))))</f>
        <v>2.1910896694214874</v>
      </c>
      <c r="AV302" s="39">
        <f>IF(ISBLANK(T302),"",IF(ISBLANK($O302),AH302,IF($J302="ANUAL",AH302*(1+Macroindicadores!E$7),IF(AND($I302="NOVO",MONTH($O302)=MONTH(AV$4)),AH302*(1+Macroindicadores!E$7),IF(AND($J302="PONTUAL",MONTH($O302)=MONTH(AV$4)),AH302*(1+Macroindicadores!E$7),IF(AND($J302="PONTUAL",MONTH($O302)&lt;MONTH(AV$4)),MIN($AS302:AU302),IF(AND($I302="NOVO",MONTH($O302)&gt;MONTH(AV$4)),AH302,IF(MONTH($O302)&gt;MONTH(AV$4),AH302,IF(MONTH($O302)=MONTH(AV$4),AH302*(1+Macroindicadores!E$7),AU302)))))))))</f>
        <v>2.1910896694214874</v>
      </c>
      <c r="AW302" s="39">
        <f>IF(ISBLANK(U302),"",IF(ISBLANK($O302),AI302,IF($J302="ANUAL",AI302*(1+Macroindicadores!F$7),IF(AND($I302="NOVO",MONTH($O302)=MONTH(AW$4)),AI302*(1+Macroindicadores!F$7),IF(AND($J302="PONTUAL",MONTH($O302)=MONTH(AW$4)),AI302*(1+Macroindicadores!F$7),IF(AND($J302="PONTUAL",MONTH($O302)&lt;MONTH(AW$4)),MIN($AS302:AV302),IF(AND($I302="NOVO",MONTH($O302)&gt;MONTH(AW$4)),AI302,IF(MONTH($O302)&gt;MONTH(AW$4),AI302,IF(MONTH($O302)=MONTH(AW$4),AI302*(1+Macroindicadores!F$7),AV302)))))))))</f>
        <v>2.1910896694214874</v>
      </c>
      <c r="AX302" s="39">
        <f>IF(ISBLANK(V302),"",IF(ISBLANK($O302),AJ302,IF($J302="ANUAL",AJ302*(1+Macroindicadores!G$7),IF(AND($I302="NOVO",MONTH($O302)=MONTH(AX$4)),AJ302*(1+Macroindicadores!G$7),IF(AND($J302="PONTUAL",MONTH($O302)=MONTH(AX$4)),AJ302*(1+Macroindicadores!G$7),IF(AND($J302="PONTUAL",MONTH($O302)&lt;MONTH(AX$4)),MIN($AS302:AW302),IF(AND($I302="NOVO",MONTH($O302)&gt;MONTH(AX$4)),AJ302,IF(MONTH($O302)&gt;MONTH(AX$4),AJ302,IF(MONTH($O302)=MONTH(AX$4),AJ302*(1+Macroindicadores!G$7),AW302)))))))))</f>
        <v>2.1910896694214874</v>
      </c>
      <c r="AY302" s="39">
        <f>IF(ISBLANK(W302),"",IF(ISBLANK($O302),AK302,IF($J302="ANUAL",AK302*(1+Macroindicadores!H$7),IF(AND($I302="NOVO",MONTH($O302)=MONTH(AY$4)),AK302*(1+Macroindicadores!H$7),IF(AND($J302="PONTUAL",MONTH($O302)=MONTH(AY$4)),AK302*(1+Macroindicadores!H$7),IF(AND($J302="PONTUAL",MONTH($O302)&lt;MONTH(AY$4)),MIN($AS302:AX302),IF(AND($I302="NOVO",MONTH($O302)&gt;MONTH(AY$4)),AK302,IF(MONTH($O302)&gt;MONTH(AY$4),AK302,IF(MONTH($O302)=MONTH(AY$4),AK302*(1+Macroindicadores!H$7),AX302)))))))))</f>
        <v>2.1910896694214874</v>
      </c>
      <c r="AZ302" s="39">
        <f>IF(ISBLANK(X302),"",IF(ISBLANK($O302),AL302,IF($J302="ANUAL",AL302*(1+Macroindicadores!I$7),IF(AND($I302="NOVO",MONTH($O302)=MONTH(AZ$4)),AL302*(1+Macroindicadores!I$7),IF(AND($J302="PONTUAL",MONTH($O302)=MONTH(AZ$4)),AL302*(1+Macroindicadores!I$7),IF(AND($J302="PONTUAL",MONTH($O302)&lt;MONTH(AZ$4)),MIN($AS302:AY302),IF(AND($I302="NOVO",MONTH($O302)&gt;MONTH(AZ$4)),AL302,IF(MONTH($O302)&gt;MONTH(AZ$4),AL302,IF(MONTH($O302)=MONTH(AZ$4),AL302*(1+Macroindicadores!I$7),AY302)))))))))</f>
        <v>2.1910896694214874</v>
      </c>
      <c r="BA302" s="39">
        <f>IF(ISBLANK(Y302),"",IF(ISBLANK($O302),AM302,IF($J302="ANUAL",AM302*(1+Macroindicadores!J$7),IF(AND($I302="NOVO",MONTH($O302)=MONTH(BA$4)),AM302*(1+Macroindicadores!J$7),IF(AND($J302="PONTUAL",MONTH($O302)=MONTH(BA$4)),AM302*(1+Macroindicadores!J$7),IF(AND($J302="PONTUAL",MONTH($O302)&lt;MONTH(BA$4)),MIN($AS302:AZ302),IF(AND($I302="NOVO",MONTH($O302)&gt;MONTH(BA$4)),AM302,IF(MONTH($O302)&gt;MONTH(BA$4),AM302,IF(MONTH($O302)=MONTH(BA$4),AM302*(1+Macroindicadores!J$7),AZ302)))))))))</f>
        <v>2.1910896694214874</v>
      </c>
      <c r="BB302" s="39">
        <f>IF(ISBLANK(Z302),"",IF(ISBLANK($O302),AN302,IF($J302="ANUAL",AN302*(1+Macroindicadores!K$7),IF(AND($I302="NOVO",MONTH($O302)=MONTH(BB$4)),AN302*(1+Macroindicadores!K$7),IF(AND($J302="PONTUAL",MONTH($O302)=MONTH(BB$4)),AN302*(1+Macroindicadores!K$7),IF(AND($J302="PONTUAL",MONTH($O302)&lt;MONTH(BB$4)),MIN($AS302:BA302),IF(AND($I302="NOVO",MONTH($O302)&gt;MONTH(BB$4)),AN302,IF(MONTH($O302)&gt;MONTH(BB$4),AN302,IF(MONTH($O302)=MONTH(BB$4),AN302*(1+Macroindicadores!K$7),BA302)))))))))</f>
        <v>2.1910896694214874</v>
      </c>
      <c r="BC302" s="39">
        <f>IF(ISBLANK(AA302),"",IF(ISBLANK($O302),AO302,IF($J302="ANUAL",AO302*(1+Macroindicadores!L$7),IF(AND($I302="NOVO",MONTH($O302)=MONTH(BC$4)),AO302*(1+Macroindicadores!L$7),IF(AND($J302="PONTUAL",MONTH($O302)=MONTH(BC$4)),AO302*(1+Macroindicadores!L$7),IF(AND($J302="PONTUAL",MONTH($O302)&lt;MONTH(BC$4)),MIN($AS302:BB302),IF(AND($I302="NOVO",MONTH($O302)&gt;MONTH(BC$4)),AO302,IF(MONTH($O302)&gt;MONTH(BC$4),AO302,IF(MONTH($O302)=MONTH(BC$4),AO302*(1+Macroindicadores!L$7),BB302)))))))))</f>
        <v>2.1910896694214874</v>
      </c>
      <c r="BD302" s="39">
        <f>IF(ISBLANK(AB302),"",IF(ISBLANK($O302),AP302,IF($J302="ANUAL",AP302*(1+Macroindicadores!M$7),IF(AND($I302="NOVO",MONTH($O302)=MONTH(BD$4)),AP302*(1+Macroindicadores!M$7),IF(AND($J302="PONTUAL",MONTH($O302)=MONTH(BD$4)),AP302*(1+Macroindicadores!M$7),IF(AND($J302="PONTUAL",MONTH($O302)&lt;MONTH(BD$4)),MIN($AS302:BC302),IF(AND($I302="NOVO",MONTH($O302)&gt;MONTH(BD$4)),AP302,IF(MONTH($O302)&gt;MONTH(BD$4),AP302,IF(MONTH($O302)=MONTH(BD$4),AP302*(1+Macroindicadores!M$7),BC302)))))))))</f>
        <v>2.1910896694214874</v>
      </c>
      <c r="BE302" s="40">
        <f t="shared" si="106"/>
        <v>26.293076033057847</v>
      </c>
      <c r="BG302" s="39">
        <f>IF(ISBLANK(Q302),"",AS302/Macroindicadores!B$2)</f>
        <v>0.37263429752066113</v>
      </c>
      <c r="BH302" s="39">
        <f>IF(ISBLANK(R302),"",AT302/Macroindicadores!C$2)</f>
        <v>0.37263429752066113</v>
      </c>
      <c r="BI302" s="39">
        <f>IF(ISBLANK(S302),"",AU302/Macroindicadores!D$2)</f>
        <v>0.37263429752066113</v>
      </c>
      <c r="BJ302" s="39">
        <f>IF(ISBLANK(T302),"",AV302/Macroindicadores!E$2)</f>
        <v>0.37263429752066113</v>
      </c>
      <c r="BK302" s="39">
        <f>IF(ISBLANK(U302),"",AW302/Macroindicadores!F$2)</f>
        <v>0.37263429752066113</v>
      </c>
      <c r="BL302" s="39">
        <f>IF(ISBLANK(V302),"",AX302/Macroindicadores!G$2)</f>
        <v>0.37263429752066113</v>
      </c>
      <c r="BM302" s="39">
        <f>IF(ISBLANK(W302),"",AY302/Macroindicadores!H$2)</f>
        <v>0.37263429752066113</v>
      </c>
      <c r="BN302" s="39">
        <f>IF(ISBLANK(X302),"",AZ302/Macroindicadores!I$2)</f>
        <v>0.37263429752066113</v>
      </c>
      <c r="BO302" s="39">
        <f>IF(ISBLANK(Y302),"",BA302/Macroindicadores!J$2)</f>
        <v>0.37263429752066113</v>
      </c>
      <c r="BP302" s="39">
        <f>IF(ISBLANK(Z302),"",BB302/Macroindicadores!K$2)</f>
        <v>0.37263429752066113</v>
      </c>
      <c r="BQ302" s="39">
        <f>IF(ISBLANK(AA302),"",BC302/Macroindicadores!L$2)</f>
        <v>0.37263429752066113</v>
      </c>
      <c r="BR302" s="39">
        <f>IF(ISBLANK(AB302),"",BD302/Macroindicadores!M$2)</f>
        <v>0.37263429752066113</v>
      </c>
      <c r="BS302" s="40">
        <f t="shared" si="107"/>
        <v>4.4716115702479335</v>
      </c>
      <c r="BT302" s="25" t="str">
        <f>IF(ISBLANK($L302),"",_xlfn.XLOOKUP($L302,'CENTRO CUSTO'!$A:$A,'CENTRO CUSTO'!$E:$E,FALSE,0))</f>
        <v/>
      </c>
    </row>
    <row r="303" spans="1:72">
      <c r="A303" s="9" t="str">
        <f t="shared" si="80"/>
        <v>Budget</v>
      </c>
      <c r="B303" s="9">
        <f t="shared" si="77"/>
        <v>2026</v>
      </c>
      <c r="C303" s="111" t="s">
        <v>262</v>
      </c>
      <c r="D303" s="111" t="s">
        <v>263</v>
      </c>
      <c r="E303" s="111" t="s">
        <v>14</v>
      </c>
      <c r="F303" s="112" t="s">
        <v>298</v>
      </c>
      <c r="G303" s="112" t="s">
        <v>75</v>
      </c>
      <c r="H303" s="112" t="s">
        <v>300</v>
      </c>
      <c r="I303" s="11" t="s">
        <v>77</v>
      </c>
      <c r="J303" s="11" t="s">
        <v>78</v>
      </c>
      <c r="K303" s="11" t="s">
        <v>79</v>
      </c>
      <c r="L303" s="11"/>
      <c r="M303" s="18" t="str">
        <f>IF(ISBLANK($L303),"",_xlfn.XLOOKUP($L303,'CENTRO CUSTO'!$A:$A,'CENTRO CUSTO'!D:D,FALSE,0))</f>
        <v/>
      </c>
      <c r="N303" s="11" t="s">
        <v>106</v>
      </c>
      <c r="O303" s="12"/>
      <c r="P303" s="113" t="s">
        <v>88</v>
      </c>
      <c r="Q303" s="41">
        <v>25</v>
      </c>
      <c r="R303" s="41">
        <v>25</v>
      </c>
      <c r="S303" s="41">
        <v>25</v>
      </c>
      <c r="T303" s="41">
        <v>25</v>
      </c>
      <c r="U303" s="41">
        <v>25</v>
      </c>
      <c r="V303" s="41">
        <v>25</v>
      </c>
      <c r="W303" s="41">
        <v>25</v>
      </c>
      <c r="X303" s="41">
        <v>25</v>
      </c>
      <c r="Y303" s="41">
        <v>25</v>
      </c>
      <c r="Z303" s="41">
        <v>25</v>
      </c>
      <c r="AA303" s="41">
        <v>25</v>
      </c>
      <c r="AB303" s="41">
        <v>25</v>
      </c>
      <c r="AC303" s="116">
        <f t="shared" si="104"/>
        <v>300</v>
      </c>
      <c r="AE303" s="39">
        <f>IF(ISBLANK(Q303),"",IF($P303="BRL",Q303,Q303*Macroindicadores!B$2)/1000)</f>
        <v>0.14699999999999999</v>
      </c>
      <c r="AF303" s="39">
        <f>IF(ISBLANK(R303),"",IF($P303="BRL",R303,R303*Macroindicadores!C$2)/1000)</f>
        <v>0.14699999999999999</v>
      </c>
      <c r="AG303" s="39">
        <f>IF(ISBLANK(S303),"",IF($P303="BRL",S303,S303*Macroindicadores!D$2)/1000)</f>
        <v>0.14699999999999999</v>
      </c>
      <c r="AH303" s="39">
        <f>IF(ISBLANK(T303),"",IF($P303="BRL",T303,T303*Macroindicadores!E$2)/1000)</f>
        <v>0.14699999999999999</v>
      </c>
      <c r="AI303" s="39">
        <f>IF(ISBLANK(U303),"",IF($P303="BRL",U303,U303*Macroindicadores!F$2)/1000)</f>
        <v>0.14699999999999999</v>
      </c>
      <c r="AJ303" s="39">
        <f>IF(ISBLANK(V303),"",IF($P303="BRL",V303,V303*Macroindicadores!G$2)/1000)</f>
        <v>0.14699999999999999</v>
      </c>
      <c r="AK303" s="39">
        <f>IF(ISBLANK(W303),"",IF($P303="BRL",W303,W303*Macroindicadores!H$2)/1000)</f>
        <v>0.14699999999999999</v>
      </c>
      <c r="AL303" s="39">
        <f>IF(ISBLANK(X303),"",IF($P303="BRL",X303,X303*Macroindicadores!I$2)/1000)</f>
        <v>0.14699999999999999</v>
      </c>
      <c r="AM303" s="39">
        <f>IF(ISBLANK(Y303),"",IF($P303="BRL",Y303,Y303*Macroindicadores!J$2)/1000)</f>
        <v>0.14699999999999999</v>
      </c>
      <c r="AN303" s="39">
        <f>IF(ISBLANK(Z303),"",IF($P303="BRL",Z303,Z303*Macroindicadores!K$2)/1000)</f>
        <v>0.14699999999999999</v>
      </c>
      <c r="AO303" s="39">
        <f>IF(ISBLANK(AA303),"",IF($P303="BRL",AA303,AA303*Macroindicadores!L$2)/1000)</f>
        <v>0.14699999999999999</v>
      </c>
      <c r="AP303" s="39">
        <f>IF(ISBLANK(AB303),"",IF($P303="BRL",AB303,AB303*Macroindicadores!M$2)/1000)</f>
        <v>0.14699999999999999</v>
      </c>
      <c r="AQ303" s="40">
        <f t="shared" si="105"/>
        <v>1.764</v>
      </c>
      <c r="AS303" s="39">
        <f>IF(ISBLANK(Q303),"",IF(ISBLANK($O303),AE303,IF($J303="ANUAL",AE303*(1+Macroindicadores!B$7),IF(AND($I303="NOVO",MONTH($O303)=MONTH(AS$4)),AE303*(1+Macroindicadores!B$7),IF(AND($J303="PONTUAL",MONTH($O303)=MONTH(AS$4)),AE303*(1+Macroindicadores!B$7),IF(AND($J303="PONTUAL",MONTH($O303)&lt;MONTH(AS$4)),MIN(AR303:$AS303),IF(AND($I303="NOVO",MONTH($O303)&gt;MONTH(AS$4)),AE303,IF(MONTH($O303)&gt;MONTH(AS$4),AE303,IF(MONTH($O303)=MONTH(AS$4),AE303*(1+Macroindicadores!B$7),AR303)))))))))</f>
        <v>0.14699999999999999</v>
      </c>
      <c r="AT303" s="39">
        <f>IF(ISBLANK(R303),"",IF(ISBLANK($O303),AF303,IF($J303="ANUAL",AF303*(1+Macroindicadores!C$7),IF(AND($I303="NOVO",MONTH($O303)=MONTH(AT$4)),AF303*(1+Macroindicadores!C$7),IF(AND($J303="PONTUAL",MONTH($O303)=MONTH(AT$4)),AF303*(1+Macroindicadores!C$7),IF(AND($J303="PONTUAL",MONTH($O303)&lt;MONTH(AT$4)),MIN($AS303:AS303),IF(AND($I303="NOVO",MONTH($O303)&gt;MONTH(AT$4)),AF303,IF(MONTH($O303)&gt;MONTH(AT$4),AF303,IF(MONTH($O303)=MONTH(AT$4),AF303*(1+Macroindicadores!C$7),AS303)))))))))</f>
        <v>0.14699999999999999</v>
      </c>
      <c r="AU303" s="39">
        <f>IF(ISBLANK(S303),"",IF(ISBLANK($O303),AG303,IF($J303="ANUAL",AG303*(1+Macroindicadores!D$7),IF(AND($I303="NOVO",MONTH($O303)=MONTH(AU$4)),AG303*(1+Macroindicadores!D$7),IF(AND($J303="PONTUAL",MONTH($O303)=MONTH(AU$4)),AG303*(1+Macroindicadores!D$7),IF(AND($J303="PONTUAL",MONTH($O303)&lt;MONTH(AU$4)),MIN($AS303:AT303),IF(AND($I303="NOVO",MONTH($O303)&gt;MONTH(AU$4)),AG303,IF(MONTH($O303)&gt;MONTH(AU$4),AG303,IF(MONTH($O303)=MONTH(AU$4),AG303*(1+Macroindicadores!D$7),AT303)))))))))</f>
        <v>0.14699999999999999</v>
      </c>
      <c r="AV303" s="39">
        <f>IF(ISBLANK(T303),"",IF(ISBLANK($O303),AH303,IF($J303="ANUAL",AH303*(1+Macroindicadores!E$7),IF(AND($I303="NOVO",MONTH($O303)=MONTH(AV$4)),AH303*(1+Macroindicadores!E$7),IF(AND($J303="PONTUAL",MONTH($O303)=MONTH(AV$4)),AH303*(1+Macroindicadores!E$7),IF(AND($J303="PONTUAL",MONTH($O303)&lt;MONTH(AV$4)),MIN($AS303:AU303),IF(AND($I303="NOVO",MONTH($O303)&gt;MONTH(AV$4)),AH303,IF(MONTH($O303)&gt;MONTH(AV$4),AH303,IF(MONTH($O303)=MONTH(AV$4),AH303*(1+Macroindicadores!E$7),AU303)))))))))</f>
        <v>0.14699999999999999</v>
      </c>
      <c r="AW303" s="39">
        <f>IF(ISBLANK(U303),"",IF(ISBLANK($O303),AI303,IF($J303="ANUAL",AI303*(1+Macroindicadores!F$7),IF(AND($I303="NOVO",MONTH($O303)=MONTH(AW$4)),AI303*(1+Macroindicadores!F$7),IF(AND($J303="PONTUAL",MONTH($O303)=MONTH(AW$4)),AI303*(1+Macroindicadores!F$7),IF(AND($J303="PONTUAL",MONTH($O303)&lt;MONTH(AW$4)),MIN($AS303:AV303),IF(AND($I303="NOVO",MONTH($O303)&gt;MONTH(AW$4)),AI303,IF(MONTH($O303)&gt;MONTH(AW$4),AI303,IF(MONTH($O303)=MONTH(AW$4),AI303*(1+Macroindicadores!F$7),AV303)))))))))</f>
        <v>0.14699999999999999</v>
      </c>
      <c r="AX303" s="39">
        <f>IF(ISBLANK(V303),"",IF(ISBLANK($O303),AJ303,IF($J303="ANUAL",AJ303*(1+Macroindicadores!G$7),IF(AND($I303="NOVO",MONTH($O303)=MONTH(AX$4)),AJ303*(1+Macroindicadores!G$7),IF(AND($J303="PONTUAL",MONTH($O303)=MONTH(AX$4)),AJ303*(1+Macroindicadores!G$7),IF(AND($J303="PONTUAL",MONTH($O303)&lt;MONTH(AX$4)),MIN($AS303:AW303),IF(AND($I303="NOVO",MONTH($O303)&gt;MONTH(AX$4)),AJ303,IF(MONTH($O303)&gt;MONTH(AX$4),AJ303,IF(MONTH($O303)=MONTH(AX$4),AJ303*(1+Macroindicadores!G$7),AW303)))))))))</f>
        <v>0.14699999999999999</v>
      </c>
      <c r="AY303" s="39">
        <f>IF(ISBLANK(W303),"",IF(ISBLANK($O303),AK303,IF($J303="ANUAL",AK303*(1+Macroindicadores!H$7),IF(AND($I303="NOVO",MONTH($O303)=MONTH(AY$4)),AK303*(1+Macroindicadores!H$7),IF(AND($J303="PONTUAL",MONTH($O303)=MONTH(AY$4)),AK303*(1+Macroindicadores!H$7),IF(AND($J303="PONTUAL",MONTH($O303)&lt;MONTH(AY$4)),MIN($AS303:AX303),IF(AND($I303="NOVO",MONTH($O303)&gt;MONTH(AY$4)),AK303,IF(MONTH($O303)&gt;MONTH(AY$4),AK303,IF(MONTH($O303)=MONTH(AY$4),AK303*(1+Macroindicadores!H$7),AX303)))))))))</f>
        <v>0.14699999999999999</v>
      </c>
      <c r="AZ303" s="39">
        <f>IF(ISBLANK(X303),"",IF(ISBLANK($O303),AL303,IF($J303="ANUAL",AL303*(1+Macroindicadores!I$7),IF(AND($I303="NOVO",MONTH($O303)=MONTH(AZ$4)),AL303*(1+Macroindicadores!I$7),IF(AND($J303="PONTUAL",MONTH($O303)=MONTH(AZ$4)),AL303*(1+Macroindicadores!I$7),IF(AND($J303="PONTUAL",MONTH($O303)&lt;MONTH(AZ$4)),MIN($AS303:AY303),IF(AND($I303="NOVO",MONTH($O303)&gt;MONTH(AZ$4)),AL303,IF(MONTH($O303)&gt;MONTH(AZ$4),AL303,IF(MONTH($O303)=MONTH(AZ$4),AL303*(1+Macroindicadores!I$7),AY303)))))))))</f>
        <v>0.14699999999999999</v>
      </c>
      <c r="BA303" s="39">
        <f>IF(ISBLANK(Y303),"",IF(ISBLANK($O303),AM303,IF($J303="ANUAL",AM303*(1+Macroindicadores!J$7),IF(AND($I303="NOVO",MONTH($O303)=MONTH(BA$4)),AM303*(1+Macroindicadores!J$7),IF(AND($J303="PONTUAL",MONTH($O303)=MONTH(BA$4)),AM303*(1+Macroindicadores!J$7),IF(AND($J303="PONTUAL",MONTH($O303)&lt;MONTH(BA$4)),MIN($AS303:AZ303),IF(AND($I303="NOVO",MONTH($O303)&gt;MONTH(BA$4)),AM303,IF(MONTH($O303)&gt;MONTH(BA$4),AM303,IF(MONTH($O303)=MONTH(BA$4),AM303*(1+Macroindicadores!J$7),AZ303)))))))))</f>
        <v>0.14699999999999999</v>
      </c>
      <c r="BB303" s="39">
        <f>IF(ISBLANK(Z303),"",IF(ISBLANK($O303),AN303,IF($J303="ANUAL",AN303*(1+Macroindicadores!K$7),IF(AND($I303="NOVO",MONTH($O303)=MONTH(BB$4)),AN303*(1+Macroindicadores!K$7),IF(AND($J303="PONTUAL",MONTH($O303)=MONTH(BB$4)),AN303*(1+Macroindicadores!K$7),IF(AND($J303="PONTUAL",MONTH($O303)&lt;MONTH(BB$4)),MIN($AS303:BA303),IF(AND($I303="NOVO",MONTH($O303)&gt;MONTH(BB$4)),AN303,IF(MONTH($O303)&gt;MONTH(BB$4),AN303,IF(MONTH($O303)=MONTH(BB$4),AN303*(1+Macroindicadores!K$7),BA303)))))))))</f>
        <v>0.14699999999999999</v>
      </c>
      <c r="BC303" s="39">
        <f>IF(ISBLANK(AA303),"",IF(ISBLANK($O303),AO303,IF($J303="ANUAL",AO303*(1+Macroindicadores!L$7),IF(AND($I303="NOVO",MONTH($O303)=MONTH(BC$4)),AO303*(1+Macroindicadores!L$7),IF(AND($J303="PONTUAL",MONTH($O303)=MONTH(BC$4)),AO303*(1+Macroindicadores!L$7),IF(AND($J303="PONTUAL",MONTH($O303)&lt;MONTH(BC$4)),MIN($AS303:BB303),IF(AND($I303="NOVO",MONTH($O303)&gt;MONTH(BC$4)),AO303,IF(MONTH($O303)&gt;MONTH(BC$4),AO303,IF(MONTH($O303)=MONTH(BC$4),AO303*(1+Macroindicadores!L$7),BB303)))))))))</f>
        <v>0.14699999999999999</v>
      </c>
      <c r="BD303" s="39">
        <f>IF(ISBLANK(AB303),"",IF(ISBLANK($O303),AP303,IF($J303="ANUAL",AP303*(1+Macroindicadores!M$7),IF(AND($I303="NOVO",MONTH($O303)=MONTH(BD$4)),AP303*(1+Macroindicadores!M$7),IF(AND($J303="PONTUAL",MONTH($O303)=MONTH(BD$4)),AP303*(1+Macroindicadores!M$7),IF(AND($J303="PONTUAL",MONTH($O303)&lt;MONTH(BD$4)),MIN($AS303:BC303),IF(AND($I303="NOVO",MONTH($O303)&gt;MONTH(BD$4)),AP303,IF(MONTH($O303)&gt;MONTH(BD$4),AP303,IF(MONTH($O303)=MONTH(BD$4),AP303*(1+Macroindicadores!M$7),BC303)))))))))</f>
        <v>0.14699999999999999</v>
      </c>
      <c r="BE303" s="40">
        <f t="shared" si="106"/>
        <v>1.764</v>
      </c>
      <c r="BG303" s="39">
        <f>IF(ISBLANK(Q303),"",AS303/Macroindicadores!B$2)</f>
        <v>2.4999999999999998E-2</v>
      </c>
      <c r="BH303" s="39">
        <f>IF(ISBLANK(R303),"",AT303/Macroindicadores!C$2)</f>
        <v>2.4999999999999998E-2</v>
      </c>
      <c r="BI303" s="39">
        <f>IF(ISBLANK(S303),"",AU303/Macroindicadores!D$2)</f>
        <v>2.4999999999999998E-2</v>
      </c>
      <c r="BJ303" s="39">
        <f>IF(ISBLANK(T303),"",AV303/Macroindicadores!E$2)</f>
        <v>2.4999999999999998E-2</v>
      </c>
      <c r="BK303" s="39">
        <f>IF(ISBLANK(U303),"",AW303/Macroindicadores!F$2)</f>
        <v>2.4999999999999998E-2</v>
      </c>
      <c r="BL303" s="39">
        <f>IF(ISBLANK(V303),"",AX303/Macroindicadores!G$2)</f>
        <v>2.4999999999999998E-2</v>
      </c>
      <c r="BM303" s="39">
        <f>IF(ISBLANK(W303),"",AY303/Macroindicadores!H$2)</f>
        <v>2.4999999999999998E-2</v>
      </c>
      <c r="BN303" s="39">
        <f>IF(ISBLANK(X303),"",AZ303/Macroindicadores!I$2)</f>
        <v>2.4999999999999998E-2</v>
      </c>
      <c r="BO303" s="39">
        <f>IF(ISBLANK(Y303),"",BA303/Macroindicadores!J$2)</f>
        <v>2.4999999999999998E-2</v>
      </c>
      <c r="BP303" s="39">
        <f>IF(ISBLANK(Z303),"",BB303/Macroindicadores!K$2)</f>
        <v>2.4999999999999998E-2</v>
      </c>
      <c r="BQ303" s="39">
        <f>IF(ISBLANK(AA303),"",BC303/Macroindicadores!L$2)</f>
        <v>2.4999999999999998E-2</v>
      </c>
      <c r="BR303" s="39">
        <f>IF(ISBLANK(AB303),"",BD303/Macroindicadores!M$2)</f>
        <v>2.4999999999999998E-2</v>
      </c>
      <c r="BS303" s="40">
        <f t="shared" si="107"/>
        <v>0.3</v>
      </c>
      <c r="BT303" s="25" t="str">
        <f>IF(ISBLANK($L303),"",_xlfn.XLOOKUP($L303,'CENTRO CUSTO'!$A:$A,'CENTRO CUSTO'!$E:$E,FALSE,0))</f>
        <v/>
      </c>
    </row>
    <row r="304" spans="1:72">
      <c r="A304" s="9" t="str">
        <f t="shared" si="80"/>
        <v>Budget</v>
      </c>
      <c r="B304" s="9">
        <f t="shared" si="77"/>
        <v>2026</v>
      </c>
      <c r="C304" s="111" t="s">
        <v>262</v>
      </c>
      <c r="D304" s="111" t="s">
        <v>263</v>
      </c>
      <c r="E304" s="111" t="s">
        <v>14</v>
      </c>
      <c r="F304" s="112" t="s">
        <v>298</v>
      </c>
      <c r="G304" s="112" t="s">
        <v>75</v>
      </c>
      <c r="H304" s="112" t="s">
        <v>301</v>
      </c>
      <c r="I304" s="11" t="s">
        <v>77</v>
      </c>
      <c r="J304" s="11" t="s">
        <v>78</v>
      </c>
      <c r="K304" s="11" t="s">
        <v>79</v>
      </c>
      <c r="L304" s="11"/>
      <c r="M304" s="18" t="str">
        <f>IF(ISBLANK($L304),"",_xlfn.XLOOKUP($L304,'CENTRO CUSTO'!$A:$A,'CENTRO CUSTO'!D:D,FALSE,0))</f>
        <v/>
      </c>
      <c r="N304" s="11" t="s">
        <v>106</v>
      </c>
      <c r="O304" s="12"/>
      <c r="P304" s="113" t="s">
        <v>88</v>
      </c>
      <c r="Q304" s="41">
        <v>75</v>
      </c>
      <c r="R304" s="41">
        <v>75</v>
      </c>
      <c r="S304" s="41">
        <v>75</v>
      </c>
      <c r="T304" s="41">
        <v>75</v>
      </c>
      <c r="U304" s="41">
        <v>75</v>
      </c>
      <c r="V304" s="41">
        <v>75</v>
      </c>
      <c r="W304" s="41">
        <v>75</v>
      </c>
      <c r="X304" s="41">
        <v>75</v>
      </c>
      <c r="Y304" s="41">
        <v>75</v>
      </c>
      <c r="Z304" s="41">
        <v>75</v>
      </c>
      <c r="AA304" s="41">
        <v>75</v>
      </c>
      <c r="AB304" s="41">
        <v>75</v>
      </c>
      <c r="AC304" s="116">
        <f t="shared" si="104"/>
        <v>900</v>
      </c>
      <c r="AE304" s="39">
        <f>IF(ISBLANK(Q304),"",IF($P304="BRL",Q304,Q304*Macroindicadores!B$2)/1000)</f>
        <v>0.441</v>
      </c>
      <c r="AF304" s="39">
        <f>IF(ISBLANK(R304),"",IF($P304="BRL",R304,R304*Macroindicadores!C$2)/1000)</f>
        <v>0.441</v>
      </c>
      <c r="AG304" s="39">
        <f>IF(ISBLANK(S304),"",IF($P304="BRL",S304,S304*Macroindicadores!D$2)/1000)</f>
        <v>0.441</v>
      </c>
      <c r="AH304" s="39">
        <f>IF(ISBLANK(T304),"",IF($P304="BRL",T304,T304*Macroindicadores!E$2)/1000)</f>
        <v>0.441</v>
      </c>
      <c r="AI304" s="39">
        <f>IF(ISBLANK(U304),"",IF($P304="BRL",U304,U304*Macroindicadores!F$2)/1000)</f>
        <v>0.441</v>
      </c>
      <c r="AJ304" s="39">
        <f>IF(ISBLANK(V304),"",IF($P304="BRL",V304,V304*Macroindicadores!G$2)/1000)</f>
        <v>0.441</v>
      </c>
      <c r="AK304" s="39">
        <f>IF(ISBLANK(W304),"",IF($P304="BRL",W304,W304*Macroindicadores!H$2)/1000)</f>
        <v>0.441</v>
      </c>
      <c r="AL304" s="39">
        <f>IF(ISBLANK(X304),"",IF($P304="BRL",X304,X304*Macroindicadores!I$2)/1000)</f>
        <v>0.441</v>
      </c>
      <c r="AM304" s="39">
        <f>IF(ISBLANK(Y304),"",IF($P304="BRL",Y304,Y304*Macroindicadores!J$2)/1000)</f>
        <v>0.441</v>
      </c>
      <c r="AN304" s="39">
        <f>IF(ISBLANK(Z304),"",IF($P304="BRL",Z304,Z304*Macroindicadores!K$2)/1000)</f>
        <v>0.441</v>
      </c>
      <c r="AO304" s="39">
        <f>IF(ISBLANK(AA304),"",IF($P304="BRL",AA304,AA304*Macroindicadores!L$2)/1000)</f>
        <v>0.441</v>
      </c>
      <c r="AP304" s="39">
        <f>IF(ISBLANK(AB304),"",IF($P304="BRL",AB304,AB304*Macroindicadores!M$2)/1000)</f>
        <v>0.441</v>
      </c>
      <c r="AQ304" s="40">
        <f t="shared" si="105"/>
        <v>5.2919999999999989</v>
      </c>
      <c r="AS304" s="39">
        <f>IF(ISBLANK(Q304),"",IF(ISBLANK($O304),AE304,IF($J304="ANUAL",AE304*(1+Macroindicadores!B$7),IF(AND($I304="NOVO",MONTH($O304)=MONTH(AS$4)),AE304*(1+Macroindicadores!B$7),IF(AND($J304="PONTUAL",MONTH($O304)=MONTH(AS$4)),AE304*(1+Macroindicadores!B$7),IF(AND($J304="PONTUAL",MONTH($O304)&lt;MONTH(AS$4)),MIN(AR304:$AS304),IF(AND($I304="NOVO",MONTH($O304)&gt;MONTH(AS$4)),AE304,IF(MONTH($O304)&gt;MONTH(AS$4),AE304,IF(MONTH($O304)=MONTH(AS$4),AE304*(1+Macroindicadores!B$7),AR304)))))))))</f>
        <v>0.441</v>
      </c>
      <c r="AT304" s="39">
        <f>IF(ISBLANK(R304),"",IF(ISBLANK($O304),AF304,IF($J304="ANUAL",AF304*(1+Macroindicadores!C$7),IF(AND($I304="NOVO",MONTH($O304)=MONTH(AT$4)),AF304*(1+Macroindicadores!C$7),IF(AND($J304="PONTUAL",MONTH($O304)=MONTH(AT$4)),AF304*(1+Macroindicadores!C$7),IF(AND($J304="PONTUAL",MONTH($O304)&lt;MONTH(AT$4)),MIN($AS304:AS304),IF(AND($I304="NOVO",MONTH($O304)&gt;MONTH(AT$4)),AF304,IF(MONTH($O304)&gt;MONTH(AT$4),AF304,IF(MONTH($O304)=MONTH(AT$4),AF304*(1+Macroindicadores!C$7),AS304)))))))))</f>
        <v>0.441</v>
      </c>
      <c r="AU304" s="39">
        <f>IF(ISBLANK(S304),"",IF(ISBLANK($O304),AG304,IF($J304="ANUAL",AG304*(1+Macroindicadores!D$7),IF(AND($I304="NOVO",MONTH($O304)=MONTH(AU$4)),AG304*(1+Macroindicadores!D$7),IF(AND($J304="PONTUAL",MONTH($O304)=MONTH(AU$4)),AG304*(1+Macroindicadores!D$7),IF(AND($J304="PONTUAL",MONTH($O304)&lt;MONTH(AU$4)),MIN($AS304:AT304),IF(AND($I304="NOVO",MONTH($O304)&gt;MONTH(AU$4)),AG304,IF(MONTH($O304)&gt;MONTH(AU$4),AG304,IF(MONTH($O304)=MONTH(AU$4),AG304*(1+Macroindicadores!D$7),AT304)))))))))</f>
        <v>0.441</v>
      </c>
      <c r="AV304" s="39">
        <f>IF(ISBLANK(T304),"",IF(ISBLANK($O304),AH304,IF($J304="ANUAL",AH304*(1+Macroindicadores!E$7),IF(AND($I304="NOVO",MONTH($O304)=MONTH(AV$4)),AH304*(1+Macroindicadores!E$7),IF(AND($J304="PONTUAL",MONTH($O304)=MONTH(AV$4)),AH304*(1+Macroindicadores!E$7),IF(AND($J304="PONTUAL",MONTH($O304)&lt;MONTH(AV$4)),MIN($AS304:AU304),IF(AND($I304="NOVO",MONTH($O304)&gt;MONTH(AV$4)),AH304,IF(MONTH($O304)&gt;MONTH(AV$4),AH304,IF(MONTH($O304)=MONTH(AV$4),AH304*(1+Macroindicadores!E$7),AU304)))))))))</f>
        <v>0.441</v>
      </c>
      <c r="AW304" s="39">
        <f>IF(ISBLANK(U304),"",IF(ISBLANK($O304),AI304,IF($J304="ANUAL",AI304*(1+Macroindicadores!F$7),IF(AND($I304="NOVO",MONTH($O304)=MONTH(AW$4)),AI304*(1+Macroindicadores!F$7),IF(AND($J304="PONTUAL",MONTH($O304)=MONTH(AW$4)),AI304*(1+Macroindicadores!F$7),IF(AND($J304="PONTUAL",MONTH($O304)&lt;MONTH(AW$4)),MIN($AS304:AV304),IF(AND($I304="NOVO",MONTH($O304)&gt;MONTH(AW$4)),AI304,IF(MONTH($O304)&gt;MONTH(AW$4),AI304,IF(MONTH($O304)=MONTH(AW$4),AI304*(1+Macroindicadores!F$7),AV304)))))))))</f>
        <v>0.441</v>
      </c>
      <c r="AX304" s="39">
        <f>IF(ISBLANK(V304),"",IF(ISBLANK($O304),AJ304,IF($J304="ANUAL",AJ304*(1+Macroindicadores!G$7),IF(AND($I304="NOVO",MONTH($O304)=MONTH(AX$4)),AJ304*(1+Macroindicadores!G$7),IF(AND($J304="PONTUAL",MONTH($O304)=MONTH(AX$4)),AJ304*(1+Macroindicadores!G$7),IF(AND($J304="PONTUAL",MONTH($O304)&lt;MONTH(AX$4)),MIN($AS304:AW304),IF(AND($I304="NOVO",MONTH($O304)&gt;MONTH(AX$4)),AJ304,IF(MONTH($O304)&gt;MONTH(AX$4),AJ304,IF(MONTH($O304)=MONTH(AX$4),AJ304*(1+Macroindicadores!G$7),AW304)))))))))</f>
        <v>0.441</v>
      </c>
      <c r="AY304" s="39">
        <f>IF(ISBLANK(W304),"",IF(ISBLANK($O304),AK304,IF($J304="ANUAL",AK304*(1+Macroindicadores!H$7),IF(AND($I304="NOVO",MONTH($O304)=MONTH(AY$4)),AK304*(1+Macroindicadores!H$7),IF(AND($J304="PONTUAL",MONTH($O304)=MONTH(AY$4)),AK304*(1+Macroindicadores!H$7),IF(AND($J304="PONTUAL",MONTH($O304)&lt;MONTH(AY$4)),MIN($AS304:AX304),IF(AND($I304="NOVO",MONTH($O304)&gt;MONTH(AY$4)),AK304,IF(MONTH($O304)&gt;MONTH(AY$4),AK304,IF(MONTH($O304)=MONTH(AY$4),AK304*(1+Macroindicadores!H$7),AX304)))))))))</f>
        <v>0.441</v>
      </c>
      <c r="AZ304" s="39">
        <f>IF(ISBLANK(X304),"",IF(ISBLANK($O304),AL304,IF($J304="ANUAL",AL304*(1+Macroindicadores!I$7),IF(AND($I304="NOVO",MONTH($O304)=MONTH(AZ$4)),AL304*(1+Macroindicadores!I$7),IF(AND($J304="PONTUAL",MONTH($O304)=MONTH(AZ$4)),AL304*(1+Macroindicadores!I$7),IF(AND($J304="PONTUAL",MONTH($O304)&lt;MONTH(AZ$4)),MIN($AS304:AY304),IF(AND($I304="NOVO",MONTH($O304)&gt;MONTH(AZ$4)),AL304,IF(MONTH($O304)&gt;MONTH(AZ$4),AL304,IF(MONTH($O304)=MONTH(AZ$4),AL304*(1+Macroindicadores!I$7),AY304)))))))))</f>
        <v>0.441</v>
      </c>
      <c r="BA304" s="39">
        <f>IF(ISBLANK(Y304),"",IF(ISBLANK($O304),AM304,IF($J304="ANUAL",AM304*(1+Macroindicadores!J$7),IF(AND($I304="NOVO",MONTH($O304)=MONTH(BA$4)),AM304*(1+Macroindicadores!J$7),IF(AND($J304="PONTUAL",MONTH($O304)=MONTH(BA$4)),AM304*(1+Macroindicadores!J$7),IF(AND($J304="PONTUAL",MONTH($O304)&lt;MONTH(BA$4)),MIN($AS304:AZ304),IF(AND($I304="NOVO",MONTH($O304)&gt;MONTH(BA$4)),AM304,IF(MONTH($O304)&gt;MONTH(BA$4),AM304,IF(MONTH($O304)=MONTH(BA$4),AM304*(1+Macroindicadores!J$7),AZ304)))))))))</f>
        <v>0.441</v>
      </c>
      <c r="BB304" s="39">
        <f>IF(ISBLANK(Z304),"",IF(ISBLANK($O304),AN304,IF($J304="ANUAL",AN304*(1+Macroindicadores!K$7),IF(AND($I304="NOVO",MONTH($O304)=MONTH(BB$4)),AN304*(1+Macroindicadores!K$7),IF(AND($J304="PONTUAL",MONTH($O304)=MONTH(BB$4)),AN304*(1+Macroindicadores!K$7),IF(AND($J304="PONTUAL",MONTH($O304)&lt;MONTH(BB$4)),MIN($AS304:BA304),IF(AND($I304="NOVO",MONTH($O304)&gt;MONTH(BB$4)),AN304,IF(MONTH($O304)&gt;MONTH(BB$4),AN304,IF(MONTH($O304)=MONTH(BB$4),AN304*(1+Macroindicadores!K$7),BA304)))))))))</f>
        <v>0.441</v>
      </c>
      <c r="BC304" s="39">
        <f>IF(ISBLANK(AA304),"",IF(ISBLANK($O304),AO304,IF($J304="ANUAL",AO304*(1+Macroindicadores!L$7),IF(AND($I304="NOVO",MONTH($O304)=MONTH(BC$4)),AO304*(1+Macroindicadores!L$7),IF(AND($J304="PONTUAL",MONTH($O304)=MONTH(BC$4)),AO304*(1+Macroindicadores!L$7),IF(AND($J304="PONTUAL",MONTH($O304)&lt;MONTH(BC$4)),MIN($AS304:BB304),IF(AND($I304="NOVO",MONTH($O304)&gt;MONTH(BC$4)),AO304,IF(MONTH($O304)&gt;MONTH(BC$4),AO304,IF(MONTH($O304)=MONTH(BC$4),AO304*(1+Macroindicadores!L$7),BB304)))))))))</f>
        <v>0.441</v>
      </c>
      <c r="BD304" s="39">
        <f>IF(ISBLANK(AB304),"",IF(ISBLANK($O304),AP304,IF($J304="ANUAL",AP304*(1+Macroindicadores!M$7),IF(AND($I304="NOVO",MONTH($O304)=MONTH(BD$4)),AP304*(1+Macroindicadores!M$7),IF(AND($J304="PONTUAL",MONTH($O304)=MONTH(BD$4)),AP304*(1+Macroindicadores!M$7),IF(AND($J304="PONTUAL",MONTH($O304)&lt;MONTH(BD$4)),MIN($AS304:BC304),IF(AND($I304="NOVO",MONTH($O304)&gt;MONTH(BD$4)),AP304,IF(MONTH($O304)&gt;MONTH(BD$4),AP304,IF(MONTH($O304)=MONTH(BD$4),AP304*(1+Macroindicadores!M$7),BC304)))))))))</f>
        <v>0.441</v>
      </c>
      <c r="BE304" s="40">
        <f t="shared" si="106"/>
        <v>5.2919999999999989</v>
      </c>
      <c r="BG304" s="39">
        <f>IF(ISBLANK(Q304),"",AS304/Macroindicadores!B$2)</f>
        <v>7.4999999999999997E-2</v>
      </c>
      <c r="BH304" s="39">
        <f>IF(ISBLANK(R304),"",AT304/Macroindicadores!C$2)</f>
        <v>7.4999999999999997E-2</v>
      </c>
      <c r="BI304" s="39">
        <f>IF(ISBLANK(S304),"",AU304/Macroindicadores!D$2)</f>
        <v>7.4999999999999997E-2</v>
      </c>
      <c r="BJ304" s="39">
        <f>IF(ISBLANK(T304),"",AV304/Macroindicadores!E$2)</f>
        <v>7.4999999999999997E-2</v>
      </c>
      <c r="BK304" s="39">
        <f>IF(ISBLANK(U304),"",AW304/Macroindicadores!F$2)</f>
        <v>7.4999999999999997E-2</v>
      </c>
      <c r="BL304" s="39">
        <f>IF(ISBLANK(V304),"",AX304/Macroindicadores!G$2)</f>
        <v>7.4999999999999997E-2</v>
      </c>
      <c r="BM304" s="39">
        <f>IF(ISBLANK(W304),"",AY304/Macroindicadores!H$2)</f>
        <v>7.4999999999999997E-2</v>
      </c>
      <c r="BN304" s="39">
        <f>IF(ISBLANK(X304),"",AZ304/Macroindicadores!I$2)</f>
        <v>7.4999999999999997E-2</v>
      </c>
      <c r="BO304" s="39">
        <f>IF(ISBLANK(Y304),"",BA304/Macroindicadores!J$2)</f>
        <v>7.4999999999999997E-2</v>
      </c>
      <c r="BP304" s="39">
        <f>IF(ISBLANK(Z304),"",BB304/Macroindicadores!K$2)</f>
        <v>7.4999999999999997E-2</v>
      </c>
      <c r="BQ304" s="39">
        <f>IF(ISBLANK(AA304),"",BC304/Macroindicadores!L$2)</f>
        <v>7.4999999999999997E-2</v>
      </c>
      <c r="BR304" s="39">
        <f>IF(ISBLANK(AB304),"",BD304/Macroindicadores!M$2)</f>
        <v>7.4999999999999997E-2</v>
      </c>
      <c r="BS304" s="40">
        <f t="shared" si="107"/>
        <v>0.8999999999999998</v>
      </c>
      <c r="BT304" s="25" t="str">
        <f>IF(ISBLANK($L304),"",_xlfn.XLOOKUP($L304,'CENTRO CUSTO'!$A:$A,'CENTRO CUSTO'!$E:$E,FALSE,0))</f>
        <v/>
      </c>
    </row>
    <row r="305" spans="1:72">
      <c r="A305" s="9" t="str">
        <f t="shared" si="80"/>
        <v>Budget</v>
      </c>
      <c r="B305" s="9">
        <f t="shared" si="77"/>
        <v>2026</v>
      </c>
      <c r="C305" s="111" t="s">
        <v>262</v>
      </c>
      <c r="D305" s="111" t="s">
        <v>263</v>
      </c>
      <c r="E305" s="111" t="s">
        <v>14</v>
      </c>
      <c r="F305" s="112" t="s">
        <v>302</v>
      </c>
      <c r="G305" s="112" t="s">
        <v>123</v>
      </c>
      <c r="H305" s="112" t="s">
        <v>303</v>
      </c>
      <c r="I305" s="11" t="s">
        <v>77</v>
      </c>
      <c r="J305" s="11" t="s">
        <v>78</v>
      </c>
      <c r="K305" s="11" t="s">
        <v>79</v>
      </c>
      <c r="L305" s="11"/>
      <c r="M305" s="18" t="str">
        <f>IF(ISBLANK($L305),"",_xlfn.XLOOKUP($L305,'CENTRO CUSTO'!$A:$A,'CENTRO CUSTO'!D:D,FALSE,0))</f>
        <v/>
      </c>
      <c r="N305" s="11" t="s">
        <v>106</v>
      </c>
      <c r="O305" s="12"/>
      <c r="P305" s="113" t="s">
        <v>88</v>
      </c>
      <c r="Q305" s="41">
        <v>180</v>
      </c>
      <c r="R305" s="41">
        <v>180</v>
      </c>
      <c r="S305" s="41">
        <v>180</v>
      </c>
      <c r="T305" s="41">
        <v>180</v>
      </c>
      <c r="U305" s="41">
        <v>180</v>
      </c>
      <c r="V305" s="41">
        <v>180</v>
      </c>
      <c r="W305" s="41">
        <v>180</v>
      </c>
      <c r="X305" s="41">
        <v>180</v>
      </c>
      <c r="Y305" s="41">
        <v>180</v>
      </c>
      <c r="Z305" s="41">
        <v>180</v>
      </c>
      <c r="AA305" s="41">
        <v>180</v>
      </c>
      <c r="AB305" s="41">
        <v>180</v>
      </c>
      <c r="AC305" s="116">
        <f t="shared" si="104"/>
        <v>2160</v>
      </c>
      <c r="AE305" s="39">
        <f>IF(ISBLANK(Q305),"",IF($P305="BRL",Q305,Q305*Macroindicadores!B$2)/1000)</f>
        <v>1.0584</v>
      </c>
      <c r="AF305" s="39">
        <f>IF(ISBLANK(R305),"",IF($P305="BRL",R305,R305*Macroindicadores!C$2)/1000)</f>
        <v>1.0584</v>
      </c>
      <c r="AG305" s="39">
        <f>IF(ISBLANK(S305),"",IF($P305="BRL",S305,S305*Macroindicadores!D$2)/1000)</f>
        <v>1.0584</v>
      </c>
      <c r="AH305" s="39">
        <f>IF(ISBLANK(T305),"",IF($P305="BRL",T305,T305*Macroindicadores!E$2)/1000)</f>
        <v>1.0584</v>
      </c>
      <c r="AI305" s="39">
        <f>IF(ISBLANK(U305),"",IF($P305="BRL",U305,U305*Macroindicadores!F$2)/1000)</f>
        <v>1.0584</v>
      </c>
      <c r="AJ305" s="39">
        <f>IF(ISBLANK(V305),"",IF($P305="BRL",V305,V305*Macroindicadores!G$2)/1000)</f>
        <v>1.0584</v>
      </c>
      <c r="AK305" s="39">
        <f>IF(ISBLANK(W305),"",IF($P305="BRL",W305,W305*Macroindicadores!H$2)/1000)</f>
        <v>1.0584</v>
      </c>
      <c r="AL305" s="39">
        <f>IF(ISBLANK(X305),"",IF($P305="BRL",X305,X305*Macroindicadores!I$2)/1000)</f>
        <v>1.0584</v>
      </c>
      <c r="AM305" s="39">
        <f>IF(ISBLANK(Y305),"",IF($P305="BRL",Y305,Y305*Macroindicadores!J$2)/1000)</f>
        <v>1.0584</v>
      </c>
      <c r="AN305" s="39">
        <f>IF(ISBLANK(Z305),"",IF($P305="BRL",Z305,Z305*Macroindicadores!K$2)/1000)</f>
        <v>1.0584</v>
      </c>
      <c r="AO305" s="39">
        <f>IF(ISBLANK(AA305),"",IF($P305="BRL",AA305,AA305*Macroindicadores!L$2)/1000)</f>
        <v>1.0584</v>
      </c>
      <c r="AP305" s="39">
        <f>IF(ISBLANK(AB305),"",IF($P305="BRL",AB305,AB305*Macroindicadores!M$2)/1000)</f>
        <v>1.0584</v>
      </c>
      <c r="AQ305" s="40">
        <f t="shared" si="105"/>
        <v>12.700800000000003</v>
      </c>
      <c r="AS305" s="39">
        <f>IF(ISBLANK(Q305),"",IF(ISBLANK($O305),AE305,IF($J305="ANUAL",AE305*(1+Macroindicadores!B$7),IF(AND($I305="NOVO",MONTH($O305)=MONTH(AS$4)),AE305*(1+Macroindicadores!B$7),IF(AND($J305="PONTUAL",MONTH($O305)=MONTH(AS$4)),AE305*(1+Macroindicadores!B$7),IF(AND($J305="PONTUAL",MONTH($O305)&lt;MONTH(AS$4)),MIN(AR305:$AS305),IF(AND($I305="NOVO",MONTH($O305)&gt;MONTH(AS$4)),AE305,IF(MONTH($O305)&gt;MONTH(AS$4),AE305,IF(MONTH($O305)=MONTH(AS$4),AE305*(1+Macroindicadores!B$7),AR305)))))))))</f>
        <v>1.0584</v>
      </c>
      <c r="AT305" s="39">
        <f>IF(ISBLANK(R305),"",IF(ISBLANK($O305),AF305,IF($J305="ANUAL",AF305*(1+Macroindicadores!C$7),IF(AND($I305="NOVO",MONTH($O305)=MONTH(AT$4)),AF305*(1+Macroindicadores!C$7),IF(AND($J305="PONTUAL",MONTH($O305)=MONTH(AT$4)),AF305*(1+Macroindicadores!C$7),IF(AND($J305="PONTUAL",MONTH($O305)&lt;MONTH(AT$4)),MIN($AS305:AS305),IF(AND($I305="NOVO",MONTH($O305)&gt;MONTH(AT$4)),AF305,IF(MONTH($O305)&gt;MONTH(AT$4),AF305,IF(MONTH($O305)=MONTH(AT$4),AF305*(1+Macroindicadores!C$7),AS305)))))))))</f>
        <v>1.0584</v>
      </c>
      <c r="AU305" s="39">
        <f>IF(ISBLANK(S305),"",IF(ISBLANK($O305),AG305,IF($J305="ANUAL",AG305*(1+Macroindicadores!D$7),IF(AND($I305="NOVO",MONTH($O305)=MONTH(AU$4)),AG305*(1+Macroindicadores!D$7),IF(AND($J305="PONTUAL",MONTH($O305)=MONTH(AU$4)),AG305*(1+Macroindicadores!D$7),IF(AND($J305="PONTUAL",MONTH($O305)&lt;MONTH(AU$4)),MIN($AS305:AT305),IF(AND($I305="NOVO",MONTH($O305)&gt;MONTH(AU$4)),AG305,IF(MONTH($O305)&gt;MONTH(AU$4),AG305,IF(MONTH($O305)=MONTH(AU$4),AG305*(1+Macroindicadores!D$7),AT305)))))))))</f>
        <v>1.0584</v>
      </c>
      <c r="AV305" s="39">
        <f>IF(ISBLANK(T305),"",IF(ISBLANK($O305),AH305,IF($J305="ANUAL",AH305*(1+Macroindicadores!E$7),IF(AND($I305="NOVO",MONTH($O305)=MONTH(AV$4)),AH305*(1+Macroindicadores!E$7),IF(AND($J305="PONTUAL",MONTH($O305)=MONTH(AV$4)),AH305*(1+Macroindicadores!E$7),IF(AND($J305="PONTUAL",MONTH($O305)&lt;MONTH(AV$4)),MIN($AS305:AU305),IF(AND($I305="NOVO",MONTH($O305)&gt;MONTH(AV$4)),AH305,IF(MONTH($O305)&gt;MONTH(AV$4),AH305,IF(MONTH($O305)=MONTH(AV$4),AH305*(1+Macroindicadores!E$7),AU305)))))))))</f>
        <v>1.0584</v>
      </c>
      <c r="AW305" s="39">
        <f>IF(ISBLANK(U305),"",IF(ISBLANK($O305),AI305,IF($J305="ANUAL",AI305*(1+Macroindicadores!F$7),IF(AND($I305="NOVO",MONTH($O305)=MONTH(AW$4)),AI305*(1+Macroindicadores!F$7),IF(AND($J305="PONTUAL",MONTH($O305)=MONTH(AW$4)),AI305*(1+Macroindicadores!F$7),IF(AND($J305="PONTUAL",MONTH($O305)&lt;MONTH(AW$4)),MIN($AS305:AV305),IF(AND($I305="NOVO",MONTH($O305)&gt;MONTH(AW$4)),AI305,IF(MONTH($O305)&gt;MONTH(AW$4),AI305,IF(MONTH($O305)=MONTH(AW$4),AI305*(1+Macroindicadores!F$7),AV305)))))))))</f>
        <v>1.0584</v>
      </c>
      <c r="AX305" s="39">
        <f>IF(ISBLANK(V305),"",IF(ISBLANK($O305),AJ305,IF($J305="ANUAL",AJ305*(1+Macroindicadores!G$7),IF(AND($I305="NOVO",MONTH($O305)=MONTH(AX$4)),AJ305*(1+Macroindicadores!G$7),IF(AND($J305="PONTUAL",MONTH($O305)=MONTH(AX$4)),AJ305*(1+Macroindicadores!G$7),IF(AND($J305="PONTUAL",MONTH($O305)&lt;MONTH(AX$4)),MIN($AS305:AW305),IF(AND($I305="NOVO",MONTH($O305)&gt;MONTH(AX$4)),AJ305,IF(MONTH($O305)&gt;MONTH(AX$4),AJ305,IF(MONTH($O305)=MONTH(AX$4),AJ305*(1+Macroindicadores!G$7),AW305)))))))))</f>
        <v>1.0584</v>
      </c>
      <c r="AY305" s="39">
        <f>IF(ISBLANK(W305),"",IF(ISBLANK($O305),AK305,IF($J305="ANUAL",AK305*(1+Macroindicadores!H$7),IF(AND($I305="NOVO",MONTH($O305)=MONTH(AY$4)),AK305*(1+Macroindicadores!H$7),IF(AND($J305="PONTUAL",MONTH($O305)=MONTH(AY$4)),AK305*(1+Macroindicadores!H$7),IF(AND($J305="PONTUAL",MONTH($O305)&lt;MONTH(AY$4)),MIN($AS305:AX305),IF(AND($I305="NOVO",MONTH($O305)&gt;MONTH(AY$4)),AK305,IF(MONTH($O305)&gt;MONTH(AY$4),AK305,IF(MONTH($O305)=MONTH(AY$4),AK305*(1+Macroindicadores!H$7),AX305)))))))))</f>
        <v>1.0584</v>
      </c>
      <c r="AZ305" s="39">
        <f>IF(ISBLANK(X305),"",IF(ISBLANK($O305),AL305,IF($J305="ANUAL",AL305*(1+Macroindicadores!I$7),IF(AND($I305="NOVO",MONTH($O305)=MONTH(AZ$4)),AL305*(1+Macroindicadores!I$7),IF(AND($J305="PONTUAL",MONTH($O305)=MONTH(AZ$4)),AL305*(1+Macroindicadores!I$7),IF(AND($J305="PONTUAL",MONTH($O305)&lt;MONTH(AZ$4)),MIN($AS305:AY305),IF(AND($I305="NOVO",MONTH($O305)&gt;MONTH(AZ$4)),AL305,IF(MONTH($O305)&gt;MONTH(AZ$4),AL305,IF(MONTH($O305)=MONTH(AZ$4),AL305*(1+Macroindicadores!I$7),AY305)))))))))</f>
        <v>1.0584</v>
      </c>
      <c r="BA305" s="39">
        <f>IF(ISBLANK(Y305),"",IF(ISBLANK($O305),AM305,IF($J305="ANUAL",AM305*(1+Macroindicadores!J$7),IF(AND($I305="NOVO",MONTH($O305)=MONTH(BA$4)),AM305*(1+Macroindicadores!J$7),IF(AND($J305="PONTUAL",MONTH($O305)=MONTH(BA$4)),AM305*(1+Macroindicadores!J$7),IF(AND($J305="PONTUAL",MONTH($O305)&lt;MONTH(BA$4)),MIN($AS305:AZ305),IF(AND($I305="NOVO",MONTH($O305)&gt;MONTH(BA$4)),AM305,IF(MONTH($O305)&gt;MONTH(BA$4),AM305,IF(MONTH($O305)=MONTH(BA$4),AM305*(1+Macroindicadores!J$7),AZ305)))))))))</f>
        <v>1.0584</v>
      </c>
      <c r="BB305" s="39">
        <f>IF(ISBLANK(Z305),"",IF(ISBLANK($O305),AN305,IF($J305="ANUAL",AN305*(1+Macroindicadores!K$7),IF(AND($I305="NOVO",MONTH($O305)=MONTH(BB$4)),AN305*(1+Macroindicadores!K$7),IF(AND($J305="PONTUAL",MONTH($O305)=MONTH(BB$4)),AN305*(1+Macroindicadores!K$7),IF(AND($J305="PONTUAL",MONTH($O305)&lt;MONTH(BB$4)),MIN($AS305:BA305),IF(AND($I305="NOVO",MONTH($O305)&gt;MONTH(BB$4)),AN305,IF(MONTH($O305)&gt;MONTH(BB$4),AN305,IF(MONTH($O305)=MONTH(BB$4),AN305*(1+Macroindicadores!K$7),BA305)))))))))</f>
        <v>1.0584</v>
      </c>
      <c r="BC305" s="39">
        <f>IF(ISBLANK(AA305),"",IF(ISBLANK($O305),AO305,IF($J305="ANUAL",AO305*(1+Macroindicadores!L$7),IF(AND($I305="NOVO",MONTH($O305)=MONTH(BC$4)),AO305*(1+Macroindicadores!L$7),IF(AND($J305="PONTUAL",MONTH($O305)=MONTH(BC$4)),AO305*(1+Macroindicadores!L$7),IF(AND($J305="PONTUAL",MONTH($O305)&lt;MONTH(BC$4)),MIN($AS305:BB305),IF(AND($I305="NOVO",MONTH($O305)&gt;MONTH(BC$4)),AO305,IF(MONTH($O305)&gt;MONTH(BC$4),AO305,IF(MONTH($O305)=MONTH(BC$4),AO305*(1+Macroindicadores!L$7),BB305)))))))))</f>
        <v>1.0584</v>
      </c>
      <c r="BD305" s="39">
        <f>IF(ISBLANK(AB305),"",IF(ISBLANK($O305),AP305,IF($J305="ANUAL",AP305*(1+Macroindicadores!M$7),IF(AND($I305="NOVO",MONTH($O305)=MONTH(BD$4)),AP305*(1+Macroindicadores!M$7),IF(AND($J305="PONTUAL",MONTH($O305)=MONTH(BD$4)),AP305*(1+Macroindicadores!M$7),IF(AND($J305="PONTUAL",MONTH($O305)&lt;MONTH(BD$4)),MIN($AS305:BC305),IF(AND($I305="NOVO",MONTH($O305)&gt;MONTH(BD$4)),AP305,IF(MONTH($O305)&gt;MONTH(BD$4),AP305,IF(MONTH($O305)=MONTH(BD$4),AP305*(1+Macroindicadores!M$7),BC305)))))))))</f>
        <v>1.0584</v>
      </c>
      <c r="BE305" s="40">
        <f t="shared" si="106"/>
        <v>12.700800000000003</v>
      </c>
      <c r="BG305" s="39">
        <f>IF(ISBLANK(Q305),"",AS305/Macroindicadores!B$2)</f>
        <v>0.18</v>
      </c>
      <c r="BH305" s="39">
        <f>IF(ISBLANK(R305),"",AT305/Macroindicadores!C$2)</f>
        <v>0.18</v>
      </c>
      <c r="BI305" s="39">
        <f>IF(ISBLANK(S305),"",AU305/Macroindicadores!D$2)</f>
        <v>0.18</v>
      </c>
      <c r="BJ305" s="39">
        <f>IF(ISBLANK(T305),"",AV305/Macroindicadores!E$2)</f>
        <v>0.18</v>
      </c>
      <c r="BK305" s="39">
        <f>IF(ISBLANK(U305),"",AW305/Macroindicadores!F$2)</f>
        <v>0.18</v>
      </c>
      <c r="BL305" s="39">
        <f>IF(ISBLANK(V305),"",AX305/Macroindicadores!G$2)</f>
        <v>0.18</v>
      </c>
      <c r="BM305" s="39">
        <f>IF(ISBLANK(W305),"",AY305/Macroindicadores!H$2)</f>
        <v>0.18</v>
      </c>
      <c r="BN305" s="39">
        <f>IF(ISBLANK(X305),"",AZ305/Macroindicadores!I$2)</f>
        <v>0.18</v>
      </c>
      <c r="BO305" s="39">
        <f>IF(ISBLANK(Y305),"",BA305/Macroindicadores!J$2)</f>
        <v>0.18</v>
      </c>
      <c r="BP305" s="39">
        <f>IF(ISBLANK(Z305),"",BB305/Macroindicadores!K$2)</f>
        <v>0.18</v>
      </c>
      <c r="BQ305" s="39">
        <f>IF(ISBLANK(AA305),"",BC305/Macroindicadores!L$2)</f>
        <v>0.18</v>
      </c>
      <c r="BR305" s="39">
        <f>IF(ISBLANK(AB305),"",BD305/Macroindicadores!M$2)</f>
        <v>0.18</v>
      </c>
      <c r="BS305" s="40">
        <f t="shared" si="107"/>
        <v>2.1599999999999997</v>
      </c>
      <c r="BT305" s="25" t="str">
        <f>IF(ISBLANK($L305),"",_xlfn.XLOOKUP($L305,'CENTRO CUSTO'!$A:$A,'CENTRO CUSTO'!$E:$E,FALSE,0))</f>
        <v/>
      </c>
    </row>
    <row r="306" spans="1:72">
      <c r="A306" s="9" t="str">
        <f t="shared" si="80"/>
        <v>Budget</v>
      </c>
      <c r="B306" s="9">
        <f t="shared" si="77"/>
        <v>2026</v>
      </c>
      <c r="C306" s="111" t="s">
        <v>262</v>
      </c>
      <c r="D306" s="111" t="s">
        <v>263</v>
      </c>
      <c r="E306" s="111" t="s">
        <v>14</v>
      </c>
      <c r="F306" s="112" t="s">
        <v>304</v>
      </c>
      <c r="G306" s="112" t="s">
        <v>123</v>
      </c>
      <c r="H306" s="112" t="s">
        <v>305</v>
      </c>
      <c r="I306" s="11" t="s">
        <v>77</v>
      </c>
      <c r="J306" s="11" t="s">
        <v>120</v>
      </c>
      <c r="K306" s="11" t="s">
        <v>79</v>
      </c>
      <c r="L306" s="11"/>
      <c r="M306" s="18" t="str">
        <f>IF(ISBLANK($L306),"",_xlfn.XLOOKUP($L306,'CENTRO CUSTO'!$A:$A,'CENTRO CUSTO'!D:D,FALSE,0))</f>
        <v/>
      </c>
      <c r="N306" s="11" t="s">
        <v>87</v>
      </c>
      <c r="O306" s="12"/>
      <c r="P306" s="113" t="s">
        <v>88</v>
      </c>
      <c r="Q306" s="41">
        <v>1208.3333333333333</v>
      </c>
      <c r="R306" s="41">
        <v>1208.3333333333333</v>
      </c>
      <c r="S306" s="41">
        <v>1208.3333333333333</v>
      </c>
      <c r="T306" s="41">
        <v>1208.3333333333333</v>
      </c>
      <c r="U306" s="41">
        <v>1208.3333333333333</v>
      </c>
      <c r="V306" s="41">
        <v>1208.3333333333333</v>
      </c>
      <c r="W306" s="41">
        <v>1208.3333333333333</v>
      </c>
      <c r="X306" s="41">
        <v>1208.3333333333333</v>
      </c>
      <c r="Y306" s="41">
        <v>1208.3333333333333</v>
      </c>
      <c r="Z306" s="41">
        <v>1208.3333333333333</v>
      </c>
      <c r="AA306" s="41">
        <v>1208.3333333333333</v>
      </c>
      <c r="AB306" s="41">
        <v>1208.3333333333333</v>
      </c>
      <c r="AC306" s="116">
        <f t="shared" si="104"/>
        <v>14500.000000000002</v>
      </c>
      <c r="AE306" s="39">
        <f>IF(ISBLANK(Q306),"",IF($P306="BRL",Q306,Q306*Macroindicadores!B$2)/1000)</f>
        <v>7.1049999999999986</v>
      </c>
      <c r="AF306" s="39">
        <f>IF(ISBLANK(R306),"",IF($P306="BRL",R306,R306*Macroindicadores!C$2)/1000)</f>
        <v>7.1049999999999986</v>
      </c>
      <c r="AG306" s="39">
        <f>IF(ISBLANK(S306),"",IF($P306="BRL",S306,S306*Macroindicadores!D$2)/1000)</f>
        <v>7.1049999999999986</v>
      </c>
      <c r="AH306" s="39">
        <f>IF(ISBLANK(T306),"",IF($P306="BRL",T306,T306*Macroindicadores!E$2)/1000)</f>
        <v>7.1049999999999986</v>
      </c>
      <c r="AI306" s="39">
        <f>IF(ISBLANK(U306),"",IF($P306="BRL",U306,U306*Macroindicadores!F$2)/1000)</f>
        <v>7.1049999999999986</v>
      </c>
      <c r="AJ306" s="39">
        <f>IF(ISBLANK(V306),"",IF($P306="BRL",V306,V306*Macroindicadores!G$2)/1000)</f>
        <v>7.1049999999999986</v>
      </c>
      <c r="AK306" s="39">
        <f>IF(ISBLANK(W306),"",IF($P306="BRL",W306,W306*Macroindicadores!H$2)/1000)</f>
        <v>7.1049999999999986</v>
      </c>
      <c r="AL306" s="39">
        <f>IF(ISBLANK(X306),"",IF($P306="BRL",X306,X306*Macroindicadores!I$2)/1000)</f>
        <v>7.1049999999999986</v>
      </c>
      <c r="AM306" s="39">
        <f>IF(ISBLANK(Y306),"",IF($P306="BRL",Y306,Y306*Macroindicadores!J$2)/1000)</f>
        <v>7.1049999999999986</v>
      </c>
      <c r="AN306" s="39">
        <f>IF(ISBLANK(Z306),"",IF($P306="BRL",Z306,Z306*Macroindicadores!K$2)/1000)</f>
        <v>7.1049999999999986</v>
      </c>
      <c r="AO306" s="39">
        <f>IF(ISBLANK(AA306),"",IF($P306="BRL",AA306,AA306*Macroindicadores!L$2)/1000)</f>
        <v>7.1049999999999986</v>
      </c>
      <c r="AP306" s="39">
        <f>IF(ISBLANK(AB306),"",IF($P306="BRL",AB306,AB306*Macroindicadores!M$2)/1000)</f>
        <v>7.1049999999999986</v>
      </c>
      <c r="AQ306" s="40">
        <f t="shared" si="105"/>
        <v>85.259999999999991</v>
      </c>
      <c r="AS306" s="39">
        <f>IF(ISBLANK(Q306),"",IF(ISBLANK($O306),AE306,IF($J306="ANUAL",AE306*(1+Macroindicadores!B$7),IF(AND($I306="NOVO",MONTH($O306)=MONTH(AS$4)),AE306*(1+Macroindicadores!B$7),IF(AND($J306="PONTUAL",MONTH($O306)=MONTH(AS$4)),AE306*(1+Macroindicadores!B$7),IF(AND($J306="PONTUAL",MONTH($O306)&lt;MONTH(AS$4)),MIN(AR306:$AS306),IF(AND($I306="NOVO",MONTH($O306)&gt;MONTH(AS$4)),AE306,IF(MONTH($O306)&gt;MONTH(AS$4),AE306,IF(MONTH($O306)=MONTH(AS$4),AE306*(1+Macroindicadores!B$7),AR306)))))))))</f>
        <v>7.1049999999999986</v>
      </c>
      <c r="AT306" s="39">
        <f>IF(ISBLANK(R306),"",IF(ISBLANK($O306),AF306,IF($J306="ANUAL",AF306*(1+Macroindicadores!C$7),IF(AND($I306="NOVO",MONTH($O306)=MONTH(AT$4)),AF306*(1+Macroindicadores!C$7),IF(AND($J306="PONTUAL",MONTH($O306)=MONTH(AT$4)),AF306*(1+Macroindicadores!C$7),IF(AND($J306="PONTUAL",MONTH($O306)&lt;MONTH(AT$4)),MIN($AS306:AS306),IF(AND($I306="NOVO",MONTH($O306)&gt;MONTH(AT$4)),AF306,IF(MONTH($O306)&gt;MONTH(AT$4),AF306,IF(MONTH($O306)=MONTH(AT$4),AF306*(1+Macroindicadores!C$7),AS306)))))))))</f>
        <v>7.1049999999999986</v>
      </c>
      <c r="AU306" s="39">
        <f>IF(ISBLANK(S306),"",IF(ISBLANK($O306),AG306,IF($J306="ANUAL",AG306*(1+Macroindicadores!D$7),IF(AND($I306="NOVO",MONTH($O306)=MONTH(AU$4)),AG306*(1+Macroindicadores!D$7),IF(AND($J306="PONTUAL",MONTH($O306)=MONTH(AU$4)),AG306*(1+Macroindicadores!D$7),IF(AND($J306="PONTUAL",MONTH($O306)&lt;MONTH(AU$4)),MIN($AS306:AT306),IF(AND($I306="NOVO",MONTH($O306)&gt;MONTH(AU$4)),AG306,IF(MONTH($O306)&gt;MONTH(AU$4),AG306,IF(MONTH($O306)=MONTH(AU$4),AG306*(1+Macroindicadores!D$7),AT306)))))))))</f>
        <v>7.1049999999999986</v>
      </c>
      <c r="AV306" s="39">
        <f>IF(ISBLANK(T306),"",IF(ISBLANK($O306),AH306,IF($J306="ANUAL",AH306*(1+Macroindicadores!E$7),IF(AND($I306="NOVO",MONTH($O306)=MONTH(AV$4)),AH306*(1+Macroindicadores!E$7),IF(AND($J306="PONTUAL",MONTH($O306)=MONTH(AV$4)),AH306*(1+Macroindicadores!E$7),IF(AND($J306="PONTUAL",MONTH($O306)&lt;MONTH(AV$4)),MIN($AS306:AU306),IF(AND($I306="NOVO",MONTH($O306)&gt;MONTH(AV$4)),AH306,IF(MONTH($O306)&gt;MONTH(AV$4),AH306,IF(MONTH($O306)=MONTH(AV$4),AH306*(1+Macroindicadores!E$7),AU306)))))))))</f>
        <v>7.1049999999999986</v>
      </c>
      <c r="AW306" s="39">
        <f>IF(ISBLANK(U306),"",IF(ISBLANK($O306),AI306,IF($J306="ANUAL",AI306*(1+Macroindicadores!F$7),IF(AND($I306="NOVO",MONTH($O306)=MONTH(AW$4)),AI306*(1+Macroindicadores!F$7),IF(AND($J306="PONTUAL",MONTH($O306)=MONTH(AW$4)),AI306*(1+Macroindicadores!F$7),IF(AND($J306="PONTUAL",MONTH($O306)&lt;MONTH(AW$4)),MIN($AS306:AV306),IF(AND($I306="NOVO",MONTH($O306)&gt;MONTH(AW$4)),AI306,IF(MONTH($O306)&gt;MONTH(AW$4),AI306,IF(MONTH($O306)=MONTH(AW$4),AI306*(1+Macroindicadores!F$7),AV306)))))))))</f>
        <v>7.1049999999999986</v>
      </c>
      <c r="AX306" s="39">
        <f>IF(ISBLANK(V306),"",IF(ISBLANK($O306),AJ306,IF($J306="ANUAL",AJ306*(1+Macroindicadores!G$7),IF(AND($I306="NOVO",MONTH($O306)=MONTH(AX$4)),AJ306*(1+Macroindicadores!G$7),IF(AND($J306="PONTUAL",MONTH($O306)=MONTH(AX$4)),AJ306*(1+Macroindicadores!G$7),IF(AND($J306="PONTUAL",MONTH($O306)&lt;MONTH(AX$4)),MIN($AS306:AW306),IF(AND($I306="NOVO",MONTH($O306)&gt;MONTH(AX$4)),AJ306,IF(MONTH($O306)&gt;MONTH(AX$4),AJ306,IF(MONTH($O306)=MONTH(AX$4),AJ306*(1+Macroindicadores!G$7),AW306)))))))))</f>
        <v>7.1049999999999986</v>
      </c>
      <c r="AY306" s="39">
        <f>IF(ISBLANK(W306),"",IF(ISBLANK($O306),AK306,IF($J306="ANUAL",AK306*(1+Macroindicadores!H$7),IF(AND($I306="NOVO",MONTH($O306)=MONTH(AY$4)),AK306*(1+Macroindicadores!H$7),IF(AND($J306="PONTUAL",MONTH($O306)=MONTH(AY$4)),AK306*(1+Macroindicadores!H$7),IF(AND($J306="PONTUAL",MONTH($O306)&lt;MONTH(AY$4)),MIN($AS306:AX306),IF(AND($I306="NOVO",MONTH($O306)&gt;MONTH(AY$4)),AK306,IF(MONTH($O306)&gt;MONTH(AY$4),AK306,IF(MONTH($O306)=MONTH(AY$4),AK306*(1+Macroindicadores!H$7),AX306)))))))))</f>
        <v>7.1049999999999986</v>
      </c>
      <c r="AZ306" s="39">
        <f>IF(ISBLANK(X306),"",IF(ISBLANK($O306),AL306,IF($J306="ANUAL",AL306*(1+Macroindicadores!I$7),IF(AND($I306="NOVO",MONTH($O306)=MONTH(AZ$4)),AL306*(1+Macroindicadores!I$7),IF(AND($J306="PONTUAL",MONTH($O306)=MONTH(AZ$4)),AL306*(1+Macroindicadores!I$7),IF(AND($J306="PONTUAL",MONTH($O306)&lt;MONTH(AZ$4)),MIN($AS306:AY306),IF(AND($I306="NOVO",MONTH($O306)&gt;MONTH(AZ$4)),AL306,IF(MONTH($O306)&gt;MONTH(AZ$4),AL306,IF(MONTH($O306)=MONTH(AZ$4),AL306*(1+Macroindicadores!I$7),AY306)))))))))</f>
        <v>7.1049999999999986</v>
      </c>
      <c r="BA306" s="39">
        <f>IF(ISBLANK(Y306),"",IF(ISBLANK($O306),AM306,IF($J306="ANUAL",AM306*(1+Macroindicadores!J$7),IF(AND($I306="NOVO",MONTH($O306)=MONTH(BA$4)),AM306*(1+Macroindicadores!J$7),IF(AND($J306="PONTUAL",MONTH($O306)=MONTH(BA$4)),AM306*(1+Macroindicadores!J$7),IF(AND($J306="PONTUAL",MONTH($O306)&lt;MONTH(BA$4)),MIN($AS306:AZ306),IF(AND($I306="NOVO",MONTH($O306)&gt;MONTH(BA$4)),AM306,IF(MONTH($O306)&gt;MONTH(BA$4),AM306,IF(MONTH($O306)=MONTH(BA$4),AM306*(1+Macroindicadores!J$7),AZ306)))))))))</f>
        <v>7.1049999999999986</v>
      </c>
      <c r="BB306" s="39">
        <f>IF(ISBLANK(Z306),"",IF(ISBLANK($O306),AN306,IF($J306="ANUAL",AN306*(1+Macroindicadores!K$7),IF(AND($I306="NOVO",MONTH($O306)=MONTH(BB$4)),AN306*(1+Macroindicadores!K$7),IF(AND($J306="PONTUAL",MONTH($O306)=MONTH(BB$4)),AN306*(1+Macroindicadores!K$7),IF(AND($J306="PONTUAL",MONTH($O306)&lt;MONTH(BB$4)),MIN($AS306:BA306),IF(AND($I306="NOVO",MONTH($O306)&gt;MONTH(BB$4)),AN306,IF(MONTH($O306)&gt;MONTH(BB$4),AN306,IF(MONTH($O306)=MONTH(BB$4),AN306*(1+Macroindicadores!K$7),BA306)))))))))</f>
        <v>7.1049999999999986</v>
      </c>
      <c r="BC306" s="39">
        <f>IF(ISBLANK(AA306),"",IF(ISBLANK($O306),AO306,IF($J306="ANUAL",AO306*(1+Macroindicadores!L$7),IF(AND($I306="NOVO",MONTH($O306)=MONTH(BC$4)),AO306*(1+Macroindicadores!L$7),IF(AND($J306="PONTUAL",MONTH($O306)=MONTH(BC$4)),AO306*(1+Macroindicadores!L$7),IF(AND($J306="PONTUAL",MONTH($O306)&lt;MONTH(BC$4)),MIN($AS306:BB306),IF(AND($I306="NOVO",MONTH($O306)&gt;MONTH(BC$4)),AO306,IF(MONTH($O306)&gt;MONTH(BC$4),AO306,IF(MONTH($O306)=MONTH(BC$4),AO306*(1+Macroindicadores!L$7),BB306)))))))))</f>
        <v>7.1049999999999986</v>
      </c>
      <c r="BD306" s="39">
        <f>IF(ISBLANK(AB306),"",IF(ISBLANK($O306),AP306,IF($J306="ANUAL",AP306*(1+Macroindicadores!M$7),IF(AND($I306="NOVO",MONTH($O306)=MONTH(BD$4)),AP306*(1+Macroindicadores!M$7),IF(AND($J306="PONTUAL",MONTH($O306)=MONTH(BD$4)),AP306*(1+Macroindicadores!M$7),IF(AND($J306="PONTUAL",MONTH($O306)&lt;MONTH(BD$4)),MIN($AS306:BC306),IF(AND($I306="NOVO",MONTH($O306)&gt;MONTH(BD$4)),AP306,IF(MONTH($O306)&gt;MONTH(BD$4),AP306,IF(MONTH($O306)=MONTH(BD$4),AP306*(1+Macroindicadores!M$7),BC306)))))))))</f>
        <v>7.1049999999999986</v>
      </c>
      <c r="BE306" s="40">
        <f t="shared" si="106"/>
        <v>85.259999999999991</v>
      </c>
      <c r="BG306" s="39">
        <f>IF(ISBLANK(Q306),"",AS306/Macroindicadores!B$2)</f>
        <v>1.208333333333333</v>
      </c>
      <c r="BH306" s="39">
        <f>IF(ISBLANK(R306),"",AT306/Macroindicadores!C$2)</f>
        <v>1.208333333333333</v>
      </c>
      <c r="BI306" s="39">
        <f>IF(ISBLANK(S306),"",AU306/Macroindicadores!D$2)</f>
        <v>1.208333333333333</v>
      </c>
      <c r="BJ306" s="39">
        <f>IF(ISBLANK(T306),"",AV306/Macroindicadores!E$2)</f>
        <v>1.208333333333333</v>
      </c>
      <c r="BK306" s="39">
        <f>IF(ISBLANK(U306),"",AW306/Macroindicadores!F$2)</f>
        <v>1.208333333333333</v>
      </c>
      <c r="BL306" s="39">
        <f>IF(ISBLANK(V306),"",AX306/Macroindicadores!G$2)</f>
        <v>1.208333333333333</v>
      </c>
      <c r="BM306" s="39">
        <f>IF(ISBLANK(W306),"",AY306/Macroindicadores!H$2)</f>
        <v>1.208333333333333</v>
      </c>
      <c r="BN306" s="39">
        <f>IF(ISBLANK(X306),"",AZ306/Macroindicadores!I$2)</f>
        <v>1.208333333333333</v>
      </c>
      <c r="BO306" s="39">
        <f>IF(ISBLANK(Y306),"",BA306/Macroindicadores!J$2)</f>
        <v>1.208333333333333</v>
      </c>
      <c r="BP306" s="39">
        <f>IF(ISBLANK(Z306),"",BB306/Macroindicadores!K$2)</f>
        <v>1.208333333333333</v>
      </c>
      <c r="BQ306" s="39">
        <f>IF(ISBLANK(AA306),"",BC306/Macroindicadores!L$2)</f>
        <v>1.208333333333333</v>
      </c>
      <c r="BR306" s="39">
        <f>IF(ISBLANK(AB306),"",BD306/Macroindicadores!M$2)</f>
        <v>1.208333333333333</v>
      </c>
      <c r="BS306" s="40">
        <f t="shared" si="107"/>
        <v>14.499999999999993</v>
      </c>
      <c r="BT306" s="25" t="str">
        <f>IF(ISBLANK($L306),"",_xlfn.XLOOKUP($L306,'CENTRO CUSTO'!$A:$A,'CENTRO CUSTO'!$E:$E,FALSE,0))</f>
        <v/>
      </c>
    </row>
    <row r="307" spans="1:72">
      <c r="A307" s="9" t="str">
        <f t="shared" si="80"/>
        <v>Budget</v>
      </c>
      <c r="B307" s="9">
        <f t="shared" si="77"/>
        <v>2026</v>
      </c>
      <c r="C307" s="111" t="s">
        <v>273</v>
      </c>
      <c r="D307" s="111" t="s">
        <v>274</v>
      </c>
      <c r="E307" s="111" t="s">
        <v>14</v>
      </c>
      <c r="F307" s="112" t="s">
        <v>306</v>
      </c>
      <c r="G307" s="112" t="s">
        <v>75</v>
      </c>
      <c r="H307" s="112" t="s">
        <v>307</v>
      </c>
      <c r="I307" s="11" t="s">
        <v>77</v>
      </c>
      <c r="J307" s="11" t="s">
        <v>120</v>
      </c>
      <c r="K307" s="11" t="s">
        <v>79</v>
      </c>
      <c r="L307" s="11"/>
      <c r="M307" s="18" t="str">
        <f>IF(ISBLANK($L307),"",_xlfn.XLOOKUP($L307,'CENTRO CUSTO'!$A:$A,'CENTRO CUSTO'!D:D,FALSE,0))</f>
        <v/>
      </c>
      <c r="N307" s="11" t="s">
        <v>87</v>
      </c>
      <c r="O307" s="12"/>
      <c r="P307" s="113" t="s">
        <v>88</v>
      </c>
      <c r="Q307" s="41">
        <v>432</v>
      </c>
      <c r="R307" s="41"/>
      <c r="S307" s="41"/>
      <c r="T307" s="41"/>
      <c r="U307" s="41"/>
      <c r="V307" s="41"/>
      <c r="W307" s="41"/>
      <c r="X307" s="41"/>
      <c r="Y307" s="41"/>
      <c r="Z307" s="41"/>
      <c r="AA307" s="41"/>
      <c r="AB307" s="41"/>
      <c r="AC307" s="116">
        <f t="shared" ref="AC307:AC311" si="141">IF(AND(ISBLANK($Q307),ISBLANK($R307),ISBLANK($S307),ISBLANK($T307),ISBLANK($U307),ISBLANK($V307),ISBLANK($W307),ISBLANK($X307),ISBLANK($Y307),ISBLANK($Z307),ISBLANK($AA307),ISBLANK($AB307)),"",SUM(Q307:AB307))</f>
        <v>432</v>
      </c>
      <c r="AE307" s="39">
        <f>IF(ISBLANK(Q307),"",IF($P307="BRL",Q307,Q307*Macroindicadores!B$2)/1000)</f>
        <v>2.5401599999999998</v>
      </c>
      <c r="AF307" s="39" t="str">
        <f>IF(ISBLANK(R307),"",IF($P307="BRL",R307,R307*Macroindicadores!C$2)/1000)</f>
        <v/>
      </c>
      <c r="AG307" s="39" t="str">
        <f>IF(ISBLANK(S307),"",IF($P307="BRL",S307,S307*Macroindicadores!D$2)/1000)</f>
        <v/>
      </c>
      <c r="AH307" s="39" t="str">
        <f>IF(ISBLANK(T307),"",IF($P307="BRL",T307,T307*Macroindicadores!E$2)/1000)</f>
        <v/>
      </c>
      <c r="AI307" s="39" t="str">
        <f>IF(ISBLANK(U307),"",IF($P307="BRL",U307,U307*Macroindicadores!F$2)/1000)</f>
        <v/>
      </c>
      <c r="AJ307" s="39" t="str">
        <f>IF(ISBLANK(V307),"",IF($P307="BRL",V307,V307*Macroindicadores!G$2)/1000)</f>
        <v/>
      </c>
      <c r="AK307" s="39" t="str">
        <f>IF(ISBLANK(W307),"",IF($P307="BRL",W307,W307*Macroindicadores!H$2)/1000)</f>
        <v/>
      </c>
      <c r="AL307" s="39" t="str">
        <f>IF(ISBLANK(X307),"",IF($P307="BRL",X307,X307*Macroindicadores!I$2)/1000)</f>
        <v/>
      </c>
      <c r="AM307" s="39" t="str">
        <f>IF(ISBLANK(Y307),"",IF($P307="BRL",Y307,Y307*Macroindicadores!J$2)/1000)</f>
        <v/>
      </c>
      <c r="AN307" s="39" t="str">
        <f>IF(ISBLANK(Z307),"",IF($P307="BRL",Z307,Z307*Macroindicadores!K$2)/1000)</f>
        <v/>
      </c>
      <c r="AO307" s="39" t="str">
        <f>IF(ISBLANK(AA307),"",IF($P307="BRL",AA307,AA307*Macroindicadores!L$2)/1000)</f>
        <v/>
      </c>
      <c r="AP307" s="39" t="str">
        <f>IF(ISBLANK(AB307),"",IF($P307="BRL",AB307,AB307*Macroindicadores!M$2)/1000)</f>
        <v/>
      </c>
      <c r="AQ307" s="40">
        <f t="shared" ref="AQ307:AQ311" si="142">IF(AND(ISBLANK($Q307),ISBLANK($R307),ISBLANK($S307),ISBLANK($T307),ISBLANK($U307),ISBLANK($V307),ISBLANK($W307),ISBLANK($X307),ISBLANK($Y307),ISBLANK($Z307),ISBLANK($AA307),ISBLANK($AB307)),"",SUM(AE307:AP307))</f>
        <v>2.5401599999999998</v>
      </c>
      <c r="AS307" s="39">
        <f>IF(ISBLANK(Q307),"",IF(ISBLANK($O307),AE307,IF($J307="ANUAL",AE307*(1+Macroindicadores!B$7),IF(AND($I307="NOVO",MONTH($O307)=MONTH(AS$4)),AE307*(1+Macroindicadores!B$7),IF(AND($J307="PONTUAL",MONTH($O307)=MONTH(AS$4)),AE307*(1+Macroindicadores!B$7),IF(AND($J307="PONTUAL",MONTH($O307)&lt;MONTH(AS$4)),MIN(AR307:$AS307),IF(AND($I307="NOVO",MONTH($O307)&gt;MONTH(AS$4)),AE307,IF(MONTH($O307)&gt;MONTH(AS$4),AE307,IF(MONTH($O307)=MONTH(AS$4),AE307*(1+Macroindicadores!B$7),AR307)))))))))</f>
        <v>2.5401599999999998</v>
      </c>
      <c r="AT307" s="39" t="str">
        <f>IF(ISBLANK(R307),"",IF(ISBLANK($O307),AF307,IF($J307="ANUAL",AF307*(1+Macroindicadores!C$7),IF(AND($I307="NOVO",MONTH($O307)=MONTH(AT$4)),AF307*(1+Macroindicadores!C$7),IF(AND($J307="PONTUAL",MONTH($O307)=MONTH(AT$4)),AF307*(1+Macroindicadores!C$7),IF(AND($J307="PONTUAL",MONTH($O307)&lt;MONTH(AT$4)),MIN($AS307:AS307),IF(AND($I307="NOVO",MONTH($O307)&gt;MONTH(AT$4)),AF307,IF(MONTH($O307)&gt;MONTH(AT$4),AF307,IF(MONTH($O307)=MONTH(AT$4),AF307*(1+Macroindicadores!C$7),AS307)))))))))</f>
        <v/>
      </c>
      <c r="AU307" s="39" t="str">
        <f>IF(ISBLANK(S307),"",IF(ISBLANK($O307),AG307,IF($J307="ANUAL",AG307*(1+Macroindicadores!D$7),IF(AND($I307="NOVO",MONTH($O307)=MONTH(AU$4)),AG307*(1+Macroindicadores!D$7),IF(AND($J307="PONTUAL",MONTH($O307)=MONTH(AU$4)),AG307*(1+Macroindicadores!D$7),IF(AND($J307="PONTUAL",MONTH($O307)&lt;MONTH(AU$4)),MIN($AS307:AT307),IF(AND($I307="NOVO",MONTH($O307)&gt;MONTH(AU$4)),AG307,IF(MONTH($O307)&gt;MONTH(AU$4),AG307,IF(MONTH($O307)=MONTH(AU$4),AG307*(1+Macroindicadores!D$7),AT307)))))))))</f>
        <v/>
      </c>
      <c r="AV307" s="39" t="str">
        <f>IF(ISBLANK(T307),"",IF(ISBLANK($O307),AH307,IF($J307="ANUAL",AH307*(1+Macroindicadores!E$7),IF(AND($I307="NOVO",MONTH($O307)=MONTH(AV$4)),AH307*(1+Macroindicadores!E$7),IF(AND($J307="PONTUAL",MONTH($O307)=MONTH(AV$4)),AH307*(1+Macroindicadores!E$7),IF(AND($J307="PONTUAL",MONTH($O307)&lt;MONTH(AV$4)),MIN($AS307:AU307),IF(AND($I307="NOVO",MONTH($O307)&gt;MONTH(AV$4)),AH307,IF(MONTH($O307)&gt;MONTH(AV$4),AH307,IF(MONTH($O307)=MONTH(AV$4),AH307*(1+Macroindicadores!E$7),AU307)))))))))</f>
        <v/>
      </c>
      <c r="AW307" s="39" t="str">
        <f>IF(ISBLANK(U307),"",IF(ISBLANK($O307),AI307,IF($J307="ANUAL",AI307*(1+Macroindicadores!F$7),IF(AND($I307="NOVO",MONTH($O307)=MONTH(AW$4)),AI307*(1+Macroindicadores!F$7),IF(AND($J307="PONTUAL",MONTH($O307)=MONTH(AW$4)),AI307*(1+Macroindicadores!F$7),IF(AND($J307="PONTUAL",MONTH($O307)&lt;MONTH(AW$4)),MIN($AS307:AV307),IF(AND($I307="NOVO",MONTH($O307)&gt;MONTH(AW$4)),AI307,IF(MONTH($O307)&gt;MONTH(AW$4),AI307,IF(MONTH($O307)=MONTH(AW$4),AI307*(1+Macroindicadores!F$7),AV307)))))))))</f>
        <v/>
      </c>
      <c r="AX307" s="39" t="str">
        <f>IF(ISBLANK(V307),"",IF(ISBLANK($O307),AJ307,IF($J307="ANUAL",AJ307*(1+Macroindicadores!G$7),IF(AND($I307="NOVO",MONTH($O307)=MONTH(AX$4)),AJ307*(1+Macroindicadores!G$7),IF(AND($J307="PONTUAL",MONTH($O307)=MONTH(AX$4)),AJ307*(1+Macroindicadores!G$7),IF(AND($J307="PONTUAL",MONTH($O307)&lt;MONTH(AX$4)),MIN($AS307:AW307),IF(AND($I307="NOVO",MONTH($O307)&gt;MONTH(AX$4)),AJ307,IF(MONTH($O307)&gt;MONTH(AX$4),AJ307,IF(MONTH($O307)=MONTH(AX$4),AJ307*(1+Macroindicadores!G$7),AW307)))))))))</f>
        <v/>
      </c>
      <c r="AY307" s="39" t="str">
        <f>IF(ISBLANK(W307),"",IF(ISBLANK($O307),AK307,IF($J307="ANUAL",AK307*(1+Macroindicadores!H$7),IF(AND($I307="NOVO",MONTH($O307)=MONTH(AY$4)),AK307*(1+Macroindicadores!H$7),IF(AND($J307="PONTUAL",MONTH($O307)=MONTH(AY$4)),AK307*(1+Macroindicadores!H$7),IF(AND($J307="PONTUAL",MONTH($O307)&lt;MONTH(AY$4)),MIN($AS307:AX307),IF(AND($I307="NOVO",MONTH($O307)&gt;MONTH(AY$4)),AK307,IF(MONTH($O307)&gt;MONTH(AY$4),AK307,IF(MONTH($O307)=MONTH(AY$4),AK307*(1+Macroindicadores!H$7),AX307)))))))))</f>
        <v/>
      </c>
      <c r="AZ307" s="39" t="str">
        <f>IF(ISBLANK(X307),"",IF(ISBLANK($O307),AL307,IF($J307="ANUAL",AL307*(1+Macroindicadores!I$7),IF(AND($I307="NOVO",MONTH($O307)=MONTH(AZ$4)),AL307*(1+Macroindicadores!I$7),IF(AND($J307="PONTUAL",MONTH($O307)=MONTH(AZ$4)),AL307*(1+Macroindicadores!I$7),IF(AND($J307="PONTUAL",MONTH($O307)&lt;MONTH(AZ$4)),MIN($AS307:AY307),IF(AND($I307="NOVO",MONTH($O307)&gt;MONTH(AZ$4)),AL307,IF(MONTH($O307)&gt;MONTH(AZ$4),AL307,IF(MONTH($O307)=MONTH(AZ$4),AL307*(1+Macroindicadores!I$7),AY307)))))))))</f>
        <v/>
      </c>
      <c r="BA307" s="39" t="str">
        <f>IF(ISBLANK(Y307),"",IF(ISBLANK($O307),AM307,IF($J307="ANUAL",AM307*(1+Macroindicadores!J$7),IF(AND($I307="NOVO",MONTH($O307)=MONTH(BA$4)),AM307*(1+Macroindicadores!J$7),IF(AND($J307="PONTUAL",MONTH($O307)=MONTH(BA$4)),AM307*(1+Macroindicadores!J$7),IF(AND($J307="PONTUAL",MONTH($O307)&lt;MONTH(BA$4)),MIN($AS307:AZ307),IF(AND($I307="NOVO",MONTH($O307)&gt;MONTH(BA$4)),AM307,IF(MONTH($O307)&gt;MONTH(BA$4),AM307,IF(MONTH($O307)=MONTH(BA$4),AM307*(1+Macroindicadores!J$7),AZ307)))))))))</f>
        <v/>
      </c>
      <c r="BB307" s="39" t="str">
        <f>IF(ISBLANK(Z307),"",IF(ISBLANK($O307),AN307,IF($J307="ANUAL",AN307*(1+Macroindicadores!K$7),IF(AND($I307="NOVO",MONTH($O307)=MONTH(BB$4)),AN307*(1+Macroindicadores!K$7),IF(AND($J307="PONTUAL",MONTH($O307)=MONTH(BB$4)),AN307*(1+Macroindicadores!K$7),IF(AND($J307="PONTUAL",MONTH($O307)&lt;MONTH(BB$4)),MIN($AS307:BA307),IF(AND($I307="NOVO",MONTH($O307)&gt;MONTH(BB$4)),AN307,IF(MONTH($O307)&gt;MONTH(BB$4),AN307,IF(MONTH($O307)=MONTH(BB$4),AN307*(1+Macroindicadores!K$7),BA307)))))))))</f>
        <v/>
      </c>
      <c r="BC307" s="39" t="str">
        <f>IF(ISBLANK(AA307),"",IF(ISBLANK($O307),AO307,IF($J307="ANUAL",AO307*(1+Macroindicadores!L$7),IF(AND($I307="NOVO",MONTH($O307)=MONTH(BC$4)),AO307*(1+Macroindicadores!L$7),IF(AND($J307="PONTUAL",MONTH($O307)=MONTH(BC$4)),AO307*(1+Macroindicadores!L$7),IF(AND($J307="PONTUAL",MONTH($O307)&lt;MONTH(BC$4)),MIN($AS307:BB307),IF(AND($I307="NOVO",MONTH($O307)&gt;MONTH(BC$4)),AO307,IF(MONTH($O307)&gt;MONTH(BC$4),AO307,IF(MONTH($O307)=MONTH(BC$4),AO307*(1+Macroindicadores!L$7),BB307)))))))))</f>
        <v/>
      </c>
      <c r="BD307" s="39" t="str">
        <f>IF(ISBLANK(AB307),"",IF(ISBLANK($O307),AP307,IF($J307="ANUAL",AP307*(1+Macroindicadores!M$7),IF(AND($I307="NOVO",MONTH($O307)=MONTH(BD$4)),AP307*(1+Macroindicadores!M$7),IF(AND($J307="PONTUAL",MONTH($O307)=MONTH(BD$4)),AP307*(1+Macroindicadores!M$7),IF(AND($J307="PONTUAL",MONTH($O307)&lt;MONTH(BD$4)),MIN($AS307:BC307),IF(AND($I307="NOVO",MONTH($O307)&gt;MONTH(BD$4)),AP307,IF(MONTH($O307)&gt;MONTH(BD$4),AP307,IF(MONTH($O307)=MONTH(BD$4),AP307*(1+Macroindicadores!M$7),BC307)))))))))</f>
        <v/>
      </c>
      <c r="BE307" s="40">
        <f t="shared" ref="BE307:BE311" si="143">IF(AND(ISBLANK($Q307),ISBLANK($R307),ISBLANK($S307),ISBLANK($T307),ISBLANK($U307),ISBLANK($V307),ISBLANK($W307),ISBLANK($X307),ISBLANK($Y307),ISBLANK($Z307),ISBLANK($AA307),ISBLANK($AB307)),"",SUM(AS307:BD307))</f>
        <v>2.5401599999999998</v>
      </c>
      <c r="BG307" s="39">
        <f>IF(ISBLANK(Q307),"",AS307/Macroindicadores!B$2)</f>
        <v>0.43199999999999994</v>
      </c>
      <c r="BH307" s="39" t="str">
        <f>IF(ISBLANK(R307),"",AT307/Macroindicadores!C$2)</f>
        <v/>
      </c>
      <c r="BI307" s="39" t="str">
        <f>IF(ISBLANK(S307),"",AU307/Macroindicadores!D$2)</f>
        <v/>
      </c>
      <c r="BJ307" s="39" t="str">
        <f>IF(ISBLANK(T307),"",AV307/Macroindicadores!E$2)</f>
        <v/>
      </c>
      <c r="BK307" s="39" t="str">
        <f>IF(ISBLANK(U307),"",AW307/Macroindicadores!F$2)</f>
        <v/>
      </c>
      <c r="BL307" s="39" t="str">
        <f>IF(ISBLANK(V307),"",AX307/Macroindicadores!G$2)</f>
        <v/>
      </c>
      <c r="BM307" s="39" t="str">
        <f>IF(ISBLANK(W307),"",AY307/Macroindicadores!H$2)</f>
        <v/>
      </c>
      <c r="BN307" s="39" t="str">
        <f>IF(ISBLANK(X307),"",AZ307/Macroindicadores!I$2)</f>
        <v/>
      </c>
      <c r="BO307" s="39" t="str">
        <f>IF(ISBLANK(Y307),"",BA307/Macroindicadores!J$2)</f>
        <v/>
      </c>
      <c r="BP307" s="39" t="str">
        <f>IF(ISBLANK(Z307),"",BB307/Macroindicadores!K$2)</f>
        <v/>
      </c>
      <c r="BQ307" s="39" t="str">
        <f>IF(ISBLANK(AA307),"",BC307/Macroindicadores!L$2)</f>
        <v/>
      </c>
      <c r="BR307" s="39" t="str">
        <f>IF(ISBLANK(AB307),"",BD307/Macroindicadores!M$2)</f>
        <v/>
      </c>
      <c r="BS307" s="40">
        <f t="shared" ref="BS307:BS311" si="144">IF(AND(ISBLANK($Q307),ISBLANK($R307),ISBLANK($S307),ISBLANK($T307),ISBLANK($U307),ISBLANK($V307),ISBLANK($W307),ISBLANK($X307),ISBLANK($Y307),ISBLANK($Z307),ISBLANK($AA307),ISBLANK($AB307)),"",SUM(BG307:BR307))</f>
        <v>0.43199999999999994</v>
      </c>
      <c r="BT307" s="25" t="str">
        <f>IF(ISBLANK($L307),"",_xlfn.XLOOKUP($L307,'CENTRO CUSTO'!$A:$A,'CENTRO CUSTO'!$E:$E,FALSE,0))</f>
        <v/>
      </c>
    </row>
    <row r="308" spans="1:72">
      <c r="A308" s="9" t="str">
        <f t="shared" si="80"/>
        <v>Budget</v>
      </c>
      <c r="B308" s="9">
        <f t="shared" si="77"/>
        <v>2026</v>
      </c>
      <c r="C308" s="111" t="s">
        <v>262</v>
      </c>
      <c r="D308" s="111" t="s">
        <v>263</v>
      </c>
      <c r="E308" s="111" t="s">
        <v>14</v>
      </c>
      <c r="F308" s="112" t="s">
        <v>161</v>
      </c>
      <c r="G308" s="112" t="s">
        <v>75</v>
      </c>
      <c r="H308" s="112" t="s">
        <v>308</v>
      </c>
      <c r="I308" s="11" t="s">
        <v>77</v>
      </c>
      <c r="J308" s="11" t="s">
        <v>120</v>
      </c>
      <c r="K308" s="11" t="s">
        <v>79</v>
      </c>
      <c r="L308" s="11"/>
      <c r="M308" s="18" t="str">
        <f>IF(ISBLANK($L308),"",_xlfn.XLOOKUP($L308,'CENTRO CUSTO'!$A:$A,'CENTRO CUSTO'!D:D,FALSE,0))</f>
        <v/>
      </c>
      <c r="N308" s="11" t="s">
        <v>106</v>
      </c>
      <c r="O308" s="12"/>
      <c r="P308" s="113" t="s">
        <v>88</v>
      </c>
      <c r="Q308" s="41"/>
      <c r="R308" s="41"/>
      <c r="S308" s="41"/>
      <c r="T308" s="41"/>
      <c r="U308" s="41"/>
      <c r="V308" s="41"/>
      <c r="W308" s="41">
        <v>4370</v>
      </c>
      <c r="X308" s="41"/>
      <c r="Y308" s="41"/>
      <c r="Z308" s="41"/>
      <c r="AA308" s="41"/>
      <c r="AB308" s="41"/>
      <c r="AC308" s="116">
        <f t="shared" si="141"/>
        <v>4370</v>
      </c>
      <c r="AE308" s="39" t="str">
        <f>IF(ISBLANK(Q308),"",IF($P308="BRL",Q308,Q308*Macroindicadores!B$2)/1000)</f>
        <v/>
      </c>
      <c r="AF308" s="39" t="str">
        <f>IF(ISBLANK(R308),"",IF($P308="BRL",R308,R308*Macroindicadores!C$2)/1000)</f>
        <v/>
      </c>
      <c r="AG308" s="39" t="str">
        <f>IF(ISBLANK(S308),"",IF($P308="BRL",S308,S308*Macroindicadores!D$2)/1000)</f>
        <v/>
      </c>
      <c r="AH308" s="39" t="str">
        <f>IF(ISBLANK(T308),"",IF($P308="BRL",T308,T308*Macroindicadores!E$2)/1000)</f>
        <v/>
      </c>
      <c r="AI308" s="39" t="str">
        <f>IF(ISBLANK(U308),"",IF($P308="BRL",U308,U308*Macroindicadores!F$2)/1000)</f>
        <v/>
      </c>
      <c r="AJ308" s="39" t="str">
        <f>IF(ISBLANK(V308),"",IF($P308="BRL",V308,V308*Macroindicadores!G$2)/1000)</f>
        <v/>
      </c>
      <c r="AK308" s="39">
        <f>IF(ISBLANK(W308),"",IF($P308="BRL",W308,W308*Macroindicadores!H$2)/1000)</f>
        <v>25.695599999999999</v>
      </c>
      <c r="AL308" s="39" t="str">
        <f>IF(ISBLANK(X308),"",IF($P308="BRL",X308,X308*Macroindicadores!I$2)/1000)</f>
        <v/>
      </c>
      <c r="AM308" s="39" t="str">
        <f>IF(ISBLANK(Y308),"",IF($P308="BRL",Y308,Y308*Macroindicadores!J$2)/1000)</f>
        <v/>
      </c>
      <c r="AN308" s="39" t="str">
        <f>IF(ISBLANK(Z308),"",IF($P308="BRL",Z308,Z308*Macroindicadores!K$2)/1000)</f>
        <v/>
      </c>
      <c r="AO308" s="39" t="str">
        <f>IF(ISBLANK(AA308),"",IF($P308="BRL",AA308,AA308*Macroindicadores!L$2)/1000)</f>
        <v/>
      </c>
      <c r="AP308" s="39" t="str">
        <f>IF(ISBLANK(AB308),"",IF($P308="BRL",AB308,AB308*Macroindicadores!M$2)/1000)</f>
        <v/>
      </c>
      <c r="AQ308" s="40">
        <f t="shared" si="142"/>
        <v>25.695599999999999</v>
      </c>
      <c r="AS308" s="39" t="str">
        <f>IF(ISBLANK(Q308),"",IF(ISBLANK($O308),AE308,IF($J308="ANUAL",AE308*(1+Macroindicadores!B$7),IF(AND($I308="NOVO",MONTH($O308)=MONTH(AS$4)),AE308*(1+Macroindicadores!B$7),IF(AND($J308="PONTUAL",MONTH($O308)=MONTH(AS$4)),AE308*(1+Macroindicadores!B$7),IF(AND($J308="PONTUAL",MONTH($O308)&lt;MONTH(AS$4)),MIN(AR308:$AS308),IF(AND($I308="NOVO",MONTH($O308)&gt;MONTH(AS$4)),AE308,IF(MONTH($O308)&gt;MONTH(AS$4),AE308,IF(MONTH($O308)=MONTH(AS$4),AE308*(1+Macroindicadores!B$7),AR308)))))))))</f>
        <v/>
      </c>
      <c r="AT308" s="39" t="str">
        <f>IF(ISBLANK(R308),"",IF(ISBLANK($O308),AF308,IF($J308="ANUAL",AF308*(1+Macroindicadores!C$7),IF(AND($I308="NOVO",MONTH($O308)=MONTH(AT$4)),AF308*(1+Macroindicadores!C$7),IF(AND($J308="PONTUAL",MONTH($O308)=MONTH(AT$4)),AF308*(1+Macroindicadores!C$7),IF(AND($J308="PONTUAL",MONTH($O308)&lt;MONTH(AT$4)),MIN($AS308:AS308),IF(AND($I308="NOVO",MONTH($O308)&gt;MONTH(AT$4)),AF308,IF(MONTH($O308)&gt;MONTH(AT$4),AF308,IF(MONTH($O308)=MONTH(AT$4),AF308*(1+Macroindicadores!C$7),AS308)))))))))</f>
        <v/>
      </c>
      <c r="AU308" s="39" t="str">
        <f>IF(ISBLANK(S308),"",IF(ISBLANK($O308),AG308,IF($J308="ANUAL",AG308*(1+Macroindicadores!D$7),IF(AND($I308="NOVO",MONTH($O308)=MONTH(AU$4)),AG308*(1+Macroindicadores!D$7),IF(AND($J308="PONTUAL",MONTH($O308)=MONTH(AU$4)),AG308*(1+Macroindicadores!D$7),IF(AND($J308="PONTUAL",MONTH($O308)&lt;MONTH(AU$4)),MIN($AS308:AT308),IF(AND($I308="NOVO",MONTH($O308)&gt;MONTH(AU$4)),AG308,IF(MONTH($O308)&gt;MONTH(AU$4),AG308,IF(MONTH($O308)=MONTH(AU$4),AG308*(1+Macroindicadores!D$7),AT308)))))))))</f>
        <v/>
      </c>
      <c r="AV308" s="39" t="str">
        <f>IF(ISBLANK(T308),"",IF(ISBLANK($O308),AH308,IF($J308="ANUAL",AH308*(1+Macroindicadores!E$7),IF(AND($I308="NOVO",MONTH($O308)=MONTH(AV$4)),AH308*(1+Macroindicadores!E$7),IF(AND($J308="PONTUAL",MONTH($O308)=MONTH(AV$4)),AH308*(1+Macroindicadores!E$7),IF(AND($J308="PONTUAL",MONTH($O308)&lt;MONTH(AV$4)),MIN($AS308:AU308),IF(AND($I308="NOVO",MONTH($O308)&gt;MONTH(AV$4)),AH308,IF(MONTH($O308)&gt;MONTH(AV$4),AH308,IF(MONTH($O308)=MONTH(AV$4),AH308*(1+Macroindicadores!E$7),AU308)))))))))</f>
        <v/>
      </c>
      <c r="AW308" s="39" t="str">
        <f>IF(ISBLANK(U308),"",IF(ISBLANK($O308),AI308,IF($J308="ANUAL",AI308*(1+Macroindicadores!F$7),IF(AND($I308="NOVO",MONTH($O308)=MONTH(AW$4)),AI308*(1+Macroindicadores!F$7),IF(AND($J308="PONTUAL",MONTH($O308)=MONTH(AW$4)),AI308*(1+Macroindicadores!F$7),IF(AND($J308="PONTUAL",MONTH($O308)&lt;MONTH(AW$4)),MIN($AS308:AV308),IF(AND($I308="NOVO",MONTH($O308)&gt;MONTH(AW$4)),AI308,IF(MONTH($O308)&gt;MONTH(AW$4),AI308,IF(MONTH($O308)=MONTH(AW$4),AI308*(1+Macroindicadores!F$7),AV308)))))))))</f>
        <v/>
      </c>
      <c r="AX308" s="39" t="str">
        <f>IF(ISBLANK(V308),"",IF(ISBLANK($O308),AJ308,IF($J308="ANUAL",AJ308*(1+Macroindicadores!G$7),IF(AND($I308="NOVO",MONTH($O308)=MONTH(AX$4)),AJ308*(1+Macroindicadores!G$7),IF(AND($J308="PONTUAL",MONTH($O308)=MONTH(AX$4)),AJ308*(1+Macroindicadores!G$7),IF(AND($J308="PONTUAL",MONTH($O308)&lt;MONTH(AX$4)),MIN($AS308:AW308),IF(AND($I308="NOVO",MONTH($O308)&gt;MONTH(AX$4)),AJ308,IF(MONTH($O308)&gt;MONTH(AX$4),AJ308,IF(MONTH($O308)=MONTH(AX$4),AJ308*(1+Macroindicadores!G$7),AW308)))))))))</f>
        <v/>
      </c>
      <c r="AY308" s="39">
        <f>IF(ISBLANK(W308),"",IF(ISBLANK($O308),AK308,IF($J308="ANUAL",AK308*(1+Macroindicadores!H$7),IF(AND($I308="NOVO",MONTH($O308)=MONTH(AY$4)),AK308*(1+Macroindicadores!H$7),IF(AND($J308="PONTUAL",MONTH($O308)=MONTH(AY$4)),AK308*(1+Macroindicadores!H$7),IF(AND($J308="PONTUAL",MONTH($O308)&lt;MONTH(AY$4)),MIN($AS308:AX308),IF(AND($I308="NOVO",MONTH($O308)&gt;MONTH(AY$4)),AK308,IF(MONTH($O308)&gt;MONTH(AY$4),AK308,IF(MONTH($O308)=MONTH(AY$4),AK308*(1+Macroindicadores!H$7),AX308)))))))))</f>
        <v>25.695599999999999</v>
      </c>
      <c r="AZ308" s="39" t="str">
        <f>IF(ISBLANK(X308),"",IF(ISBLANK($O308),AL308,IF($J308="ANUAL",AL308*(1+Macroindicadores!I$7),IF(AND($I308="NOVO",MONTH($O308)=MONTH(AZ$4)),AL308*(1+Macroindicadores!I$7),IF(AND($J308="PONTUAL",MONTH($O308)=MONTH(AZ$4)),AL308*(1+Macroindicadores!I$7),IF(AND($J308="PONTUAL",MONTH($O308)&lt;MONTH(AZ$4)),MIN($AS308:AY308),IF(AND($I308="NOVO",MONTH($O308)&gt;MONTH(AZ$4)),AL308,IF(MONTH($O308)&gt;MONTH(AZ$4),AL308,IF(MONTH($O308)=MONTH(AZ$4),AL308*(1+Macroindicadores!I$7),AY308)))))))))</f>
        <v/>
      </c>
      <c r="BA308" s="39" t="str">
        <f>IF(ISBLANK(Y308),"",IF(ISBLANK($O308),AM308,IF($J308="ANUAL",AM308*(1+Macroindicadores!J$7),IF(AND($I308="NOVO",MONTH($O308)=MONTH(BA$4)),AM308*(1+Macroindicadores!J$7),IF(AND($J308="PONTUAL",MONTH($O308)=MONTH(BA$4)),AM308*(1+Macroindicadores!J$7),IF(AND($J308="PONTUAL",MONTH($O308)&lt;MONTH(BA$4)),MIN($AS308:AZ308),IF(AND($I308="NOVO",MONTH($O308)&gt;MONTH(BA$4)),AM308,IF(MONTH($O308)&gt;MONTH(BA$4),AM308,IF(MONTH($O308)=MONTH(BA$4),AM308*(1+Macroindicadores!J$7),AZ308)))))))))</f>
        <v/>
      </c>
      <c r="BB308" s="39" t="str">
        <f>IF(ISBLANK(Z308),"",IF(ISBLANK($O308),AN308,IF($J308="ANUAL",AN308*(1+Macroindicadores!K$7),IF(AND($I308="NOVO",MONTH($O308)=MONTH(BB$4)),AN308*(1+Macroindicadores!K$7),IF(AND($J308="PONTUAL",MONTH($O308)=MONTH(BB$4)),AN308*(1+Macroindicadores!K$7),IF(AND($J308="PONTUAL",MONTH($O308)&lt;MONTH(BB$4)),MIN($AS308:BA308),IF(AND($I308="NOVO",MONTH($O308)&gt;MONTH(BB$4)),AN308,IF(MONTH($O308)&gt;MONTH(BB$4),AN308,IF(MONTH($O308)=MONTH(BB$4),AN308*(1+Macroindicadores!K$7),BA308)))))))))</f>
        <v/>
      </c>
      <c r="BC308" s="39" t="str">
        <f>IF(ISBLANK(AA308),"",IF(ISBLANK($O308),AO308,IF($J308="ANUAL",AO308*(1+Macroindicadores!L$7),IF(AND($I308="NOVO",MONTH($O308)=MONTH(BC$4)),AO308*(1+Macroindicadores!L$7),IF(AND($J308="PONTUAL",MONTH($O308)=MONTH(BC$4)),AO308*(1+Macroindicadores!L$7),IF(AND($J308="PONTUAL",MONTH($O308)&lt;MONTH(BC$4)),MIN($AS308:BB308),IF(AND($I308="NOVO",MONTH($O308)&gt;MONTH(BC$4)),AO308,IF(MONTH($O308)&gt;MONTH(BC$4),AO308,IF(MONTH($O308)=MONTH(BC$4),AO308*(1+Macroindicadores!L$7),BB308)))))))))</f>
        <v/>
      </c>
      <c r="BD308" s="39" t="str">
        <f>IF(ISBLANK(AB308),"",IF(ISBLANK($O308),AP308,IF($J308="ANUAL",AP308*(1+Macroindicadores!M$7),IF(AND($I308="NOVO",MONTH($O308)=MONTH(BD$4)),AP308*(1+Macroindicadores!M$7),IF(AND($J308="PONTUAL",MONTH($O308)=MONTH(BD$4)),AP308*(1+Macroindicadores!M$7),IF(AND($J308="PONTUAL",MONTH($O308)&lt;MONTH(BD$4)),MIN($AS308:BC308),IF(AND($I308="NOVO",MONTH($O308)&gt;MONTH(BD$4)),AP308,IF(MONTH($O308)&gt;MONTH(BD$4),AP308,IF(MONTH($O308)=MONTH(BD$4),AP308*(1+Macroindicadores!M$7),BC308)))))))))</f>
        <v/>
      </c>
      <c r="BE308" s="40">
        <f t="shared" si="143"/>
        <v>25.695599999999999</v>
      </c>
      <c r="BG308" s="39" t="str">
        <f>IF(ISBLANK(Q308),"",AS308/Macroindicadores!B$2)</f>
        <v/>
      </c>
      <c r="BH308" s="39" t="str">
        <f>IF(ISBLANK(R308),"",AT308/Macroindicadores!C$2)</f>
        <v/>
      </c>
      <c r="BI308" s="39" t="str">
        <f>IF(ISBLANK(S308),"",AU308/Macroindicadores!D$2)</f>
        <v/>
      </c>
      <c r="BJ308" s="39" t="str">
        <f>IF(ISBLANK(T308),"",AV308/Macroindicadores!E$2)</f>
        <v/>
      </c>
      <c r="BK308" s="39" t="str">
        <f>IF(ISBLANK(U308),"",AW308/Macroindicadores!F$2)</f>
        <v/>
      </c>
      <c r="BL308" s="39" t="str">
        <f>IF(ISBLANK(V308),"",AX308/Macroindicadores!G$2)</f>
        <v/>
      </c>
      <c r="BM308" s="39">
        <f>IF(ISBLANK(W308),"",AY308/Macroindicadores!H$2)</f>
        <v>4.37</v>
      </c>
      <c r="BN308" s="39" t="str">
        <f>IF(ISBLANK(X308),"",AZ308/Macroindicadores!I$2)</f>
        <v/>
      </c>
      <c r="BO308" s="39" t="str">
        <f>IF(ISBLANK(Y308),"",BA308/Macroindicadores!J$2)</f>
        <v/>
      </c>
      <c r="BP308" s="39" t="str">
        <f>IF(ISBLANK(Z308),"",BB308/Macroindicadores!K$2)</f>
        <v/>
      </c>
      <c r="BQ308" s="39" t="str">
        <f>IF(ISBLANK(AA308),"",BC308/Macroindicadores!L$2)</f>
        <v/>
      </c>
      <c r="BR308" s="39" t="str">
        <f>IF(ISBLANK(AB308),"",BD308/Macroindicadores!M$2)</f>
        <v/>
      </c>
      <c r="BS308" s="40">
        <f t="shared" si="144"/>
        <v>4.37</v>
      </c>
      <c r="BT308" s="25" t="str">
        <f>IF(ISBLANK($L308),"",_xlfn.XLOOKUP($L308,'CENTRO CUSTO'!$A:$A,'CENTRO CUSTO'!$E:$E,FALSE,0))</f>
        <v/>
      </c>
    </row>
    <row r="309" spans="1:72">
      <c r="A309" s="9" t="str">
        <f t="shared" si="80"/>
        <v>Budget</v>
      </c>
      <c r="B309" s="9">
        <f t="shared" si="77"/>
        <v>2026</v>
      </c>
      <c r="C309" s="111" t="s">
        <v>273</v>
      </c>
      <c r="D309" s="111" t="s">
        <v>274</v>
      </c>
      <c r="E309" s="111" t="s">
        <v>14</v>
      </c>
      <c r="F309" s="112" t="s">
        <v>161</v>
      </c>
      <c r="G309" s="112" t="s">
        <v>75</v>
      </c>
      <c r="H309" s="112" t="s">
        <v>308</v>
      </c>
      <c r="I309" s="11" t="s">
        <v>77</v>
      </c>
      <c r="J309" s="11" t="s">
        <v>120</v>
      </c>
      <c r="K309" s="11" t="s">
        <v>79</v>
      </c>
      <c r="L309" s="11"/>
      <c r="M309" s="18" t="str">
        <f>IF(ISBLANK($L309),"",_xlfn.XLOOKUP($L309,'CENTRO CUSTO'!$A:$A,'CENTRO CUSTO'!D:D,FALSE,0))</f>
        <v/>
      </c>
      <c r="N309" s="11" t="s">
        <v>106</v>
      </c>
      <c r="O309" s="12"/>
      <c r="P309" s="113" t="s">
        <v>88</v>
      </c>
      <c r="Q309" s="41"/>
      <c r="R309" s="41"/>
      <c r="S309" s="41"/>
      <c r="T309" s="41"/>
      <c r="U309" s="41"/>
      <c r="V309" s="41"/>
      <c r="W309" s="41"/>
      <c r="X309" s="41"/>
      <c r="Y309" s="41"/>
      <c r="Z309" s="41"/>
      <c r="AA309" s="41"/>
      <c r="AB309" s="41"/>
      <c r="AC309" s="116" t="str">
        <f t="shared" si="141"/>
        <v/>
      </c>
      <c r="AE309" s="39" t="str">
        <f>IF(ISBLANK(Q309),"",IF($P309="BRL",Q309,Q309*Macroindicadores!B$2)/1000)</f>
        <v/>
      </c>
      <c r="AF309" s="39" t="str">
        <f>IF(ISBLANK(R309),"",IF($P309="BRL",R309,R309*Macroindicadores!C$2)/1000)</f>
        <v/>
      </c>
      <c r="AG309" s="39" t="str">
        <f>IF(ISBLANK(S309),"",IF($P309="BRL",S309,S309*Macroindicadores!D$2)/1000)</f>
        <v/>
      </c>
      <c r="AH309" s="39" t="str">
        <f>IF(ISBLANK(T309),"",IF($P309="BRL",T309,T309*Macroindicadores!E$2)/1000)</f>
        <v/>
      </c>
      <c r="AI309" s="39" t="str">
        <f>IF(ISBLANK(U309),"",IF($P309="BRL",U309,U309*Macroindicadores!F$2)/1000)</f>
        <v/>
      </c>
      <c r="AJ309" s="39" t="str">
        <f>IF(ISBLANK(V309),"",IF($P309="BRL",V309,V309*Macroindicadores!G$2)/1000)</f>
        <v/>
      </c>
      <c r="AK309" s="39" t="str">
        <f>IF(ISBLANK(W309),"",IF($P309="BRL",W309,W309*Macroindicadores!H$2)/1000)</f>
        <v/>
      </c>
      <c r="AL309" s="39" t="str">
        <f>IF(ISBLANK(X309),"",IF($P309="BRL",X309,X309*Macroindicadores!I$2)/1000)</f>
        <v/>
      </c>
      <c r="AM309" s="39" t="str">
        <f>IF(ISBLANK(Y309),"",IF($P309="BRL",Y309,Y309*Macroindicadores!J$2)/1000)</f>
        <v/>
      </c>
      <c r="AN309" s="39" t="str">
        <f>IF(ISBLANK(Z309),"",IF($P309="BRL",Z309,Z309*Macroindicadores!K$2)/1000)</f>
        <v/>
      </c>
      <c r="AO309" s="39" t="str">
        <f>IF(ISBLANK(AA309),"",IF($P309="BRL",AA309,AA309*Macroindicadores!L$2)/1000)</f>
        <v/>
      </c>
      <c r="AP309" s="39" t="str">
        <f>IF(ISBLANK(AB309),"",IF($P309="BRL",AB309,AB309*Macroindicadores!M$2)/1000)</f>
        <v/>
      </c>
      <c r="AQ309" s="40" t="str">
        <f t="shared" si="142"/>
        <v/>
      </c>
      <c r="AS309" s="39" t="str">
        <f>IF(ISBLANK(Q309),"",IF(ISBLANK($O309),AE309,IF($J309="ANUAL",AE309*(1+Macroindicadores!B$7),IF(AND($I309="NOVO",MONTH($O309)=MONTH(AS$4)),AE309*(1+Macroindicadores!B$7),IF(AND($J309="PONTUAL",MONTH($O309)=MONTH(AS$4)),AE309*(1+Macroindicadores!B$7),IF(AND($J309="PONTUAL",MONTH($O309)&lt;MONTH(AS$4)),MIN(AR309:$AS309),IF(AND($I309="NOVO",MONTH($O309)&gt;MONTH(AS$4)),AE309,IF(MONTH($O309)&gt;MONTH(AS$4),AE309,IF(MONTH($O309)=MONTH(AS$4),AE309*(1+Macroindicadores!B$7),AR309)))))))))</f>
        <v/>
      </c>
      <c r="AT309" s="39" t="str">
        <f>IF(ISBLANK(R309),"",IF(ISBLANK($O309),AF309,IF($J309="ANUAL",AF309*(1+Macroindicadores!C$7),IF(AND($I309="NOVO",MONTH($O309)=MONTH(AT$4)),AF309*(1+Macroindicadores!C$7),IF(AND($J309="PONTUAL",MONTH($O309)=MONTH(AT$4)),AF309*(1+Macroindicadores!C$7),IF(AND($J309="PONTUAL",MONTH($O309)&lt;MONTH(AT$4)),MIN($AS309:AS309),IF(AND($I309="NOVO",MONTH($O309)&gt;MONTH(AT$4)),AF309,IF(MONTH($O309)&gt;MONTH(AT$4),AF309,IF(MONTH($O309)=MONTH(AT$4),AF309*(1+Macroindicadores!C$7),AS309)))))))))</f>
        <v/>
      </c>
      <c r="AU309" s="39" t="str">
        <f>IF(ISBLANK(S309),"",IF(ISBLANK($O309),AG309,IF($J309="ANUAL",AG309*(1+Macroindicadores!D$7),IF(AND($I309="NOVO",MONTH($O309)=MONTH(AU$4)),AG309*(1+Macroindicadores!D$7),IF(AND($J309="PONTUAL",MONTH($O309)=MONTH(AU$4)),AG309*(1+Macroindicadores!D$7),IF(AND($J309="PONTUAL",MONTH($O309)&lt;MONTH(AU$4)),MIN($AS309:AT309),IF(AND($I309="NOVO",MONTH($O309)&gt;MONTH(AU$4)),AG309,IF(MONTH($O309)&gt;MONTH(AU$4),AG309,IF(MONTH($O309)=MONTH(AU$4),AG309*(1+Macroindicadores!D$7),AT309)))))))))</f>
        <v/>
      </c>
      <c r="AV309" s="39" t="str">
        <f>IF(ISBLANK(T309),"",IF(ISBLANK($O309),AH309,IF($J309="ANUAL",AH309*(1+Macroindicadores!E$7),IF(AND($I309="NOVO",MONTH($O309)=MONTH(AV$4)),AH309*(1+Macroindicadores!E$7),IF(AND($J309="PONTUAL",MONTH($O309)=MONTH(AV$4)),AH309*(1+Macroindicadores!E$7),IF(AND($J309="PONTUAL",MONTH($O309)&lt;MONTH(AV$4)),MIN($AS309:AU309),IF(AND($I309="NOVO",MONTH($O309)&gt;MONTH(AV$4)),AH309,IF(MONTH($O309)&gt;MONTH(AV$4),AH309,IF(MONTH($O309)=MONTH(AV$4),AH309*(1+Macroindicadores!E$7),AU309)))))))))</f>
        <v/>
      </c>
      <c r="AW309" s="39" t="str">
        <f>IF(ISBLANK(U309),"",IF(ISBLANK($O309),AI309,IF($J309="ANUAL",AI309*(1+Macroindicadores!F$7),IF(AND($I309="NOVO",MONTH($O309)=MONTH(AW$4)),AI309*(1+Macroindicadores!F$7),IF(AND($J309="PONTUAL",MONTH($O309)=MONTH(AW$4)),AI309*(1+Macroindicadores!F$7),IF(AND($J309="PONTUAL",MONTH($O309)&lt;MONTH(AW$4)),MIN($AS309:AV309),IF(AND($I309="NOVO",MONTH($O309)&gt;MONTH(AW$4)),AI309,IF(MONTH($O309)&gt;MONTH(AW$4),AI309,IF(MONTH($O309)=MONTH(AW$4),AI309*(1+Macroindicadores!F$7),AV309)))))))))</f>
        <v/>
      </c>
      <c r="AX309" s="39" t="str">
        <f>IF(ISBLANK(V309),"",IF(ISBLANK($O309),AJ309,IF($J309="ANUAL",AJ309*(1+Macroindicadores!G$7),IF(AND($I309="NOVO",MONTH($O309)=MONTH(AX$4)),AJ309*(1+Macroindicadores!G$7),IF(AND($J309="PONTUAL",MONTH($O309)=MONTH(AX$4)),AJ309*(1+Macroindicadores!G$7),IF(AND($J309="PONTUAL",MONTH($O309)&lt;MONTH(AX$4)),MIN($AS309:AW309),IF(AND($I309="NOVO",MONTH($O309)&gt;MONTH(AX$4)),AJ309,IF(MONTH($O309)&gt;MONTH(AX$4),AJ309,IF(MONTH($O309)=MONTH(AX$4),AJ309*(1+Macroindicadores!G$7),AW309)))))))))</f>
        <v/>
      </c>
      <c r="AY309" s="39" t="str">
        <f>IF(ISBLANK(W309),"",IF(ISBLANK($O309),AK309,IF($J309="ANUAL",AK309*(1+Macroindicadores!H$7),IF(AND($I309="NOVO",MONTH($O309)=MONTH(AY$4)),AK309*(1+Macroindicadores!H$7),IF(AND($J309="PONTUAL",MONTH($O309)=MONTH(AY$4)),AK309*(1+Macroindicadores!H$7),IF(AND($J309="PONTUAL",MONTH($O309)&lt;MONTH(AY$4)),MIN($AS309:AX309),IF(AND($I309="NOVO",MONTH($O309)&gt;MONTH(AY$4)),AK309,IF(MONTH($O309)&gt;MONTH(AY$4),AK309,IF(MONTH($O309)=MONTH(AY$4),AK309*(1+Macroindicadores!H$7),AX309)))))))))</f>
        <v/>
      </c>
      <c r="AZ309" s="39" t="str">
        <f>IF(ISBLANK(X309),"",IF(ISBLANK($O309),AL309,IF($J309="ANUAL",AL309*(1+Macroindicadores!I$7),IF(AND($I309="NOVO",MONTH($O309)=MONTH(AZ$4)),AL309*(1+Macroindicadores!I$7),IF(AND($J309="PONTUAL",MONTH($O309)=MONTH(AZ$4)),AL309*(1+Macroindicadores!I$7),IF(AND($J309="PONTUAL",MONTH($O309)&lt;MONTH(AZ$4)),MIN($AS309:AY309),IF(AND($I309="NOVO",MONTH($O309)&gt;MONTH(AZ$4)),AL309,IF(MONTH($O309)&gt;MONTH(AZ$4),AL309,IF(MONTH($O309)=MONTH(AZ$4),AL309*(1+Macroindicadores!I$7),AY309)))))))))</f>
        <v/>
      </c>
      <c r="BA309" s="39" t="str">
        <f>IF(ISBLANK(Y309),"",IF(ISBLANK($O309),AM309,IF($J309="ANUAL",AM309*(1+Macroindicadores!J$7),IF(AND($I309="NOVO",MONTH($O309)=MONTH(BA$4)),AM309*(1+Macroindicadores!J$7),IF(AND($J309="PONTUAL",MONTH($O309)=MONTH(BA$4)),AM309*(1+Macroindicadores!J$7),IF(AND($J309="PONTUAL",MONTH($O309)&lt;MONTH(BA$4)),MIN($AS309:AZ309),IF(AND($I309="NOVO",MONTH($O309)&gt;MONTH(BA$4)),AM309,IF(MONTH($O309)&gt;MONTH(BA$4),AM309,IF(MONTH($O309)=MONTH(BA$4),AM309*(1+Macroindicadores!J$7),AZ309)))))))))</f>
        <v/>
      </c>
      <c r="BB309" s="39" t="str">
        <f>IF(ISBLANK(Z309),"",IF(ISBLANK($O309),AN309,IF($J309="ANUAL",AN309*(1+Macroindicadores!K$7),IF(AND($I309="NOVO",MONTH($O309)=MONTH(BB$4)),AN309*(1+Macroindicadores!K$7),IF(AND($J309="PONTUAL",MONTH($O309)=MONTH(BB$4)),AN309*(1+Macroindicadores!K$7),IF(AND($J309="PONTUAL",MONTH($O309)&lt;MONTH(BB$4)),MIN($AS309:BA309),IF(AND($I309="NOVO",MONTH($O309)&gt;MONTH(BB$4)),AN309,IF(MONTH($O309)&gt;MONTH(BB$4),AN309,IF(MONTH($O309)=MONTH(BB$4),AN309*(1+Macroindicadores!K$7),BA309)))))))))</f>
        <v/>
      </c>
      <c r="BC309" s="39" t="str">
        <f>IF(ISBLANK(AA309),"",IF(ISBLANK($O309),AO309,IF($J309="ANUAL",AO309*(1+Macroindicadores!L$7),IF(AND($I309="NOVO",MONTH($O309)=MONTH(BC$4)),AO309*(1+Macroindicadores!L$7),IF(AND($J309="PONTUAL",MONTH($O309)=MONTH(BC$4)),AO309*(1+Macroindicadores!L$7),IF(AND($J309="PONTUAL",MONTH($O309)&lt;MONTH(BC$4)),MIN($AS309:BB309),IF(AND($I309="NOVO",MONTH($O309)&gt;MONTH(BC$4)),AO309,IF(MONTH($O309)&gt;MONTH(BC$4),AO309,IF(MONTH($O309)=MONTH(BC$4),AO309*(1+Macroindicadores!L$7),BB309)))))))))</f>
        <v/>
      </c>
      <c r="BD309" s="39" t="str">
        <f>IF(ISBLANK(AB309),"",IF(ISBLANK($O309),AP309,IF($J309="ANUAL",AP309*(1+Macroindicadores!M$7),IF(AND($I309="NOVO",MONTH($O309)=MONTH(BD$4)),AP309*(1+Macroindicadores!M$7),IF(AND($J309="PONTUAL",MONTH($O309)=MONTH(BD$4)),AP309*(1+Macroindicadores!M$7),IF(AND($J309="PONTUAL",MONTH($O309)&lt;MONTH(BD$4)),MIN($AS309:BC309),IF(AND($I309="NOVO",MONTH($O309)&gt;MONTH(BD$4)),AP309,IF(MONTH($O309)&gt;MONTH(BD$4),AP309,IF(MONTH($O309)=MONTH(BD$4),AP309*(1+Macroindicadores!M$7),BC309)))))))))</f>
        <v/>
      </c>
      <c r="BE309" s="40" t="str">
        <f t="shared" si="143"/>
        <v/>
      </c>
      <c r="BG309" s="39" t="str">
        <f>IF(ISBLANK(Q309),"",AS309/Macroindicadores!B$2)</f>
        <v/>
      </c>
      <c r="BH309" s="39" t="str">
        <f>IF(ISBLANK(R309),"",AT309/Macroindicadores!C$2)</f>
        <v/>
      </c>
      <c r="BI309" s="39" t="str">
        <f>IF(ISBLANK(S309),"",AU309/Macroindicadores!D$2)</f>
        <v/>
      </c>
      <c r="BJ309" s="39" t="str">
        <f>IF(ISBLANK(T309),"",AV309/Macroindicadores!E$2)</f>
        <v/>
      </c>
      <c r="BK309" s="39" t="str">
        <f>IF(ISBLANK(U309),"",AW309/Macroindicadores!F$2)</f>
        <v/>
      </c>
      <c r="BL309" s="39" t="str">
        <f>IF(ISBLANK(V309),"",AX309/Macroindicadores!G$2)</f>
        <v/>
      </c>
      <c r="BM309" s="39" t="str">
        <f>IF(ISBLANK(W309),"",AY309/Macroindicadores!H$2)</f>
        <v/>
      </c>
      <c r="BN309" s="39" t="str">
        <f>IF(ISBLANK(X309),"",AZ309/Macroindicadores!I$2)</f>
        <v/>
      </c>
      <c r="BO309" s="39" t="str">
        <f>IF(ISBLANK(Y309),"",BA309/Macroindicadores!J$2)</f>
        <v/>
      </c>
      <c r="BP309" s="39" t="str">
        <f>IF(ISBLANK(Z309),"",BB309/Macroindicadores!K$2)</f>
        <v/>
      </c>
      <c r="BQ309" s="39" t="str">
        <f>IF(ISBLANK(AA309),"",BC309/Macroindicadores!L$2)</f>
        <v/>
      </c>
      <c r="BR309" s="39" t="str">
        <f>IF(ISBLANK(AB309),"",BD309/Macroindicadores!M$2)</f>
        <v/>
      </c>
      <c r="BS309" s="40" t="str">
        <f t="shared" si="144"/>
        <v/>
      </c>
      <c r="BT309" s="25" t="str">
        <f>IF(ISBLANK($L309),"",_xlfn.XLOOKUP($L309,'CENTRO CUSTO'!$A:$A,'CENTRO CUSTO'!$E:$E,FALSE,0))</f>
        <v/>
      </c>
    </row>
    <row r="310" spans="1:72">
      <c r="A310" s="9" t="str">
        <f t="shared" si="80"/>
        <v>Budget</v>
      </c>
      <c r="B310" s="9">
        <f t="shared" si="77"/>
        <v>2026</v>
      </c>
      <c r="C310" s="111" t="s">
        <v>273</v>
      </c>
      <c r="D310" s="111" t="s">
        <v>274</v>
      </c>
      <c r="E310" s="111" t="s">
        <v>14</v>
      </c>
      <c r="F310" s="112" t="s">
        <v>163</v>
      </c>
      <c r="G310" s="112" t="s">
        <v>75</v>
      </c>
      <c r="H310" s="112" t="s">
        <v>264</v>
      </c>
      <c r="I310" s="11" t="s">
        <v>77</v>
      </c>
      <c r="J310" s="11" t="s">
        <v>78</v>
      </c>
      <c r="K310" s="11" t="s">
        <v>79</v>
      </c>
      <c r="L310" s="11"/>
      <c r="M310" s="18" t="str">
        <f>IF(ISBLANK($L310),"",_xlfn.XLOOKUP($L310,'CENTRO CUSTO'!$A:$A,'CENTRO CUSTO'!D:D,FALSE,0))</f>
        <v/>
      </c>
      <c r="N310" s="11" t="s">
        <v>91</v>
      </c>
      <c r="O310" s="12"/>
      <c r="P310" s="113" t="s">
        <v>88</v>
      </c>
      <c r="Q310" s="41"/>
      <c r="R310" s="41"/>
      <c r="S310" s="41"/>
      <c r="T310" s="41"/>
      <c r="U310" s="41"/>
      <c r="V310" s="41"/>
      <c r="W310" s="41"/>
      <c r="X310" s="41"/>
      <c r="Y310" s="41"/>
      <c r="Z310" s="41"/>
      <c r="AA310" s="41"/>
      <c r="AB310" s="41"/>
      <c r="AC310" s="116" t="str">
        <f t="shared" si="141"/>
        <v/>
      </c>
      <c r="AE310" s="39" t="str">
        <f>IF(ISBLANK(Q310),"",IF($P310="BRL",Q310,Q310*Macroindicadores!B$2)/1000)</f>
        <v/>
      </c>
      <c r="AF310" s="39" t="str">
        <f>IF(ISBLANK(R310),"",IF($P310="BRL",R310,R310*Macroindicadores!C$2)/1000)</f>
        <v/>
      </c>
      <c r="AG310" s="39" t="str">
        <f>IF(ISBLANK(S310),"",IF($P310="BRL",S310,S310*Macroindicadores!D$2)/1000)</f>
        <v/>
      </c>
      <c r="AH310" s="39" t="str">
        <f>IF(ISBLANK(T310),"",IF($P310="BRL",T310,T310*Macroindicadores!E$2)/1000)</f>
        <v/>
      </c>
      <c r="AI310" s="39" t="str">
        <f>IF(ISBLANK(U310),"",IF($P310="BRL",U310,U310*Macroindicadores!F$2)/1000)</f>
        <v/>
      </c>
      <c r="AJ310" s="39" t="str">
        <f>IF(ISBLANK(V310),"",IF($P310="BRL",V310,V310*Macroindicadores!G$2)/1000)</f>
        <v/>
      </c>
      <c r="AK310" s="39" t="str">
        <f>IF(ISBLANK(W310),"",IF($P310="BRL",W310,W310*Macroindicadores!H$2)/1000)</f>
        <v/>
      </c>
      <c r="AL310" s="39" t="str">
        <f>IF(ISBLANK(X310),"",IF($P310="BRL",X310,X310*Macroindicadores!I$2)/1000)</f>
        <v/>
      </c>
      <c r="AM310" s="39" t="str">
        <f>IF(ISBLANK(Y310),"",IF($P310="BRL",Y310,Y310*Macroindicadores!J$2)/1000)</f>
        <v/>
      </c>
      <c r="AN310" s="39" t="str">
        <f>IF(ISBLANK(Z310),"",IF($P310="BRL",Z310,Z310*Macroindicadores!K$2)/1000)</f>
        <v/>
      </c>
      <c r="AO310" s="39" t="str">
        <f>IF(ISBLANK(AA310),"",IF($P310="BRL",AA310,AA310*Macroindicadores!L$2)/1000)</f>
        <v/>
      </c>
      <c r="AP310" s="39" t="str">
        <f>IF(ISBLANK(AB310),"",IF($P310="BRL",AB310,AB310*Macroindicadores!M$2)/1000)</f>
        <v/>
      </c>
      <c r="AQ310" s="40" t="str">
        <f t="shared" si="142"/>
        <v/>
      </c>
      <c r="AS310" s="39" t="str">
        <f>IF(ISBLANK(Q310),"",IF(ISBLANK($O310),AE310,IF($J310="ANUAL",AE310*(1+Macroindicadores!B$7),IF(AND($I310="NOVO",MONTH($O310)=MONTH(AS$4)),AE310*(1+Macroindicadores!B$7),IF(AND($J310="PONTUAL",MONTH($O310)=MONTH(AS$4)),AE310*(1+Macroindicadores!B$7),IF(AND($J310="PONTUAL",MONTH($O310)&lt;MONTH(AS$4)),MIN(AR310:$AS310),IF(AND($I310="NOVO",MONTH($O310)&gt;MONTH(AS$4)),AE310,IF(MONTH($O310)&gt;MONTH(AS$4),AE310,IF(MONTH($O310)=MONTH(AS$4),AE310*(1+Macroindicadores!B$7),AR310)))))))))</f>
        <v/>
      </c>
      <c r="AT310" s="39" t="str">
        <f>IF(ISBLANK(R310),"",IF(ISBLANK($O310),AF310,IF($J310="ANUAL",AF310*(1+Macroindicadores!C$7),IF(AND($I310="NOVO",MONTH($O310)=MONTH(AT$4)),AF310*(1+Macroindicadores!C$7),IF(AND($J310="PONTUAL",MONTH($O310)=MONTH(AT$4)),AF310*(1+Macroindicadores!C$7),IF(AND($J310="PONTUAL",MONTH($O310)&lt;MONTH(AT$4)),MIN($AS310:AS310),IF(AND($I310="NOVO",MONTH($O310)&gt;MONTH(AT$4)),AF310,IF(MONTH($O310)&gt;MONTH(AT$4),AF310,IF(MONTH($O310)=MONTH(AT$4),AF310*(1+Macroindicadores!C$7),AS310)))))))))</f>
        <v/>
      </c>
      <c r="AU310" s="39" t="str">
        <f>IF(ISBLANK(S310),"",IF(ISBLANK($O310),AG310,IF($J310="ANUAL",AG310*(1+Macroindicadores!D$7),IF(AND($I310="NOVO",MONTH($O310)=MONTH(AU$4)),AG310*(1+Macroindicadores!D$7),IF(AND($J310="PONTUAL",MONTH($O310)=MONTH(AU$4)),AG310*(1+Macroindicadores!D$7),IF(AND($J310="PONTUAL",MONTH($O310)&lt;MONTH(AU$4)),MIN($AS310:AT310),IF(AND($I310="NOVO",MONTH($O310)&gt;MONTH(AU$4)),AG310,IF(MONTH($O310)&gt;MONTH(AU$4),AG310,IF(MONTH($O310)=MONTH(AU$4),AG310*(1+Macroindicadores!D$7),AT310)))))))))</f>
        <v/>
      </c>
      <c r="AV310" s="39" t="str">
        <f>IF(ISBLANK(T310),"",IF(ISBLANK($O310),AH310,IF($J310="ANUAL",AH310*(1+Macroindicadores!E$7),IF(AND($I310="NOVO",MONTH($O310)=MONTH(AV$4)),AH310*(1+Macroindicadores!E$7),IF(AND($J310="PONTUAL",MONTH($O310)=MONTH(AV$4)),AH310*(1+Macroindicadores!E$7),IF(AND($J310="PONTUAL",MONTH($O310)&lt;MONTH(AV$4)),MIN($AS310:AU310),IF(AND($I310="NOVO",MONTH($O310)&gt;MONTH(AV$4)),AH310,IF(MONTH($O310)&gt;MONTH(AV$4),AH310,IF(MONTH($O310)=MONTH(AV$4),AH310*(1+Macroindicadores!E$7),AU310)))))))))</f>
        <v/>
      </c>
      <c r="AW310" s="39" t="str">
        <f>IF(ISBLANK(U310),"",IF(ISBLANK($O310),AI310,IF($J310="ANUAL",AI310*(1+Macroindicadores!F$7),IF(AND($I310="NOVO",MONTH($O310)=MONTH(AW$4)),AI310*(1+Macroindicadores!F$7),IF(AND($J310="PONTUAL",MONTH($O310)=MONTH(AW$4)),AI310*(1+Macroindicadores!F$7),IF(AND($J310="PONTUAL",MONTH($O310)&lt;MONTH(AW$4)),MIN($AS310:AV310),IF(AND($I310="NOVO",MONTH($O310)&gt;MONTH(AW$4)),AI310,IF(MONTH($O310)&gt;MONTH(AW$4),AI310,IF(MONTH($O310)=MONTH(AW$4),AI310*(1+Macroindicadores!F$7),AV310)))))))))</f>
        <v/>
      </c>
      <c r="AX310" s="39" t="str">
        <f>IF(ISBLANK(V310),"",IF(ISBLANK($O310),AJ310,IF($J310="ANUAL",AJ310*(1+Macroindicadores!G$7),IF(AND($I310="NOVO",MONTH($O310)=MONTH(AX$4)),AJ310*(1+Macroindicadores!G$7),IF(AND($J310="PONTUAL",MONTH($O310)=MONTH(AX$4)),AJ310*(1+Macroindicadores!G$7),IF(AND($J310="PONTUAL",MONTH($O310)&lt;MONTH(AX$4)),MIN($AS310:AW310),IF(AND($I310="NOVO",MONTH($O310)&gt;MONTH(AX$4)),AJ310,IF(MONTH($O310)&gt;MONTH(AX$4),AJ310,IF(MONTH($O310)=MONTH(AX$4),AJ310*(1+Macroindicadores!G$7),AW310)))))))))</f>
        <v/>
      </c>
      <c r="AY310" s="39" t="str">
        <f>IF(ISBLANK(W310),"",IF(ISBLANK($O310),AK310,IF($J310="ANUAL",AK310*(1+Macroindicadores!H$7),IF(AND($I310="NOVO",MONTH($O310)=MONTH(AY$4)),AK310*(1+Macroindicadores!H$7),IF(AND($J310="PONTUAL",MONTH($O310)=MONTH(AY$4)),AK310*(1+Macroindicadores!H$7),IF(AND($J310="PONTUAL",MONTH($O310)&lt;MONTH(AY$4)),MIN($AS310:AX310),IF(AND($I310="NOVO",MONTH($O310)&gt;MONTH(AY$4)),AK310,IF(MONTH($O310)&gt;MONTH(AY$4),AK310,IF(MONTH($O310)=MONTH(AY$4),AK310*(1+Macroindicadores!H$7),AX310)))))))))</f>
        <v/>
      </c>
      <c r="AZ310" s="39" t="str">
        <f>IF(ISBLANK(X310),"",IF(ISBLANK($O310),AL310,IF($J310="ANUAL",AL310*(1+Macroindicadores!I$7),IF(AND($I310="NOVO",MONTH($O310)=MONTH(AZ$4)),AL310*(1+Macroindicadores!I$7),IF(AND($J310="PONTUAL",MONTH($O310)=MONTH(AZ$4)),AL310*(1+Macroindicadores!I$7),IF(AND($J310="PONTUAL",MONTH($O310)&lt;MONTH(AZ$4)),MIN($AS310:AY310),IF(AND($I310="NOVO",MONTH($O310)&gt;MONTH(AZ$4)),AL310,IF(MONTH($O310)&gt;MONTH(AZ$4),AL310,IF(MONTH($O310)=MONTH(AZ$4),AL310*(1+Macroindicadores!I$7),AY310)))))))))</f>
        <v/>
      </c>
      <c r="BA310" s="39" t="str">
        <f>IF(ISBLANK(Y310),"",IF(ISBLANK($O310),AM310,IF($J310="ANUAL",AM310*(1+Macroindicadores!J$7),IF(AND($I310="NOVO",MONTH($O310)=MONTH(BA$4)),AM310*(1+Macroindicadores!J$7),IF(AND($J310="PONTUAL",MONTH($O310)=MONTH(BA$4)),AM310*(1+Macroindicadores!J$7),IF(AND($J310="PONTUAL",MONTH($O310)&lt;MONTH(BA$4)),MIN($AS310:AZ310),IF(AND($I310="NOVO",MONTH($O310)&gt;MONTH(BA$4)),AM310,IF(MONTH($O310)&gt;MONTH(BA$4),AM310,IF(MONTH($O310)=MONTH(BA$4),AM310*(1+Macroindicadores!J$7),AZ310)))))))))</f>
        <v/>
      </c>
      <c r="BB310" s="39" t="str">
        <f>IF(ISBLANK(Z310),"",IF(ISBLANK($O310),AN310,IF($J310="ANUAL",AN310*(1+Macroindicadores!K$7),IF(AND($I310="NOVO",MONTH($O310)=MONTH(BB$4)),AN310*(1+Macroindicadores!K$7),IF(AND($J310="PONTUAL",MONTH($O310)=MONTH(BB$4)),AN310*(1+Macroindicadores!K$7),IF(AND($J310="PONTUAL",MONTH($O310)&lt;MONTH(BB$4)),MIN($AS310:BA310),IF(AND($I310="NOVO",MONTH($O310)&gt;MONTH(BB$4)),AN310,IF(MONTH($O310)&gt;MONTH(BB$4),AN310,IF(MONTH($O310)=MONTH(BB$4),AN310*(1+Macroindicadores!K$7),BA310)))))))))</f>
        <v/>
      </c>
      <c r="BC310" s="39" t="str">
        <f>IF(ISBLANK(AA310),"",IF(ISBLANK($O310),AO310,IF($J310="ANUAL",AO310*(1+Macroindicadores!L$7),IF(AND($I310="NOVO",MONTH($O310)=MONTH(BC$4)),AO310*(1+Macroindicadores!L$7),IF(AND($J310="PONTUAL",MONTH($O310)=MONTH(BC$4)),AO310*(1+Macroindicadores!L$7),IF(AND($J310="PONTUAL",MONTH($O310)&lt;MONTH(BC$4)),MIN($AS310:BB310),IF(AND($I310="NOVO",MONTH($O310)&gt;MONTH(BC$4)),AO310,IF(MONTH($O310)&gt;MONTH(BC$4),AO310,IF(MONTH($O310)=MONTH(BC$4),AO310*(1+Macroindicadores!L$7),BB310)))))))))</f>
        <v/>
      </c>
      <c r="BD310" s="39" t="str">
        <f>IF(ISBLANK(AB310),"",IF(ISBLANK($O310),AP310,IF($J310="ANUAL",AP310*(1+Macroindicadores!M$7),IF(AND($I310="NOVO",MONTH($O310)=MONTH(BD$4)),AP310*(1+Macroindicadores!M$7),IF(AND($J310="PONTUAL",MONTH($O310)=MONTH(BD$4)),AP310*(1+Macroindicadores!M$7),IF(AND($J310="PONTUAL",MONTH($O310)&lt;MONTH(BD$4)),MIN($AS310:BC310),IF(AND($I310="NOVO",MONTH($O310)&gt;MONTH(BD$4)),AP310,IF(MONTH($O310)&gt;MONTH(BD$4),AP310,IF(MONTH($O310)=MONTH(BD$4),AP310*(1+Macroindicadores!M$7),BC310)))))))))</f>
        <v/>
      </c>
      <c r="BE310" s="40" t="str">
        <f t="shared" si="143"/>
        <v/>
      </c>
      <c r="BG310" s="39" t="str">
        <f>IF(ISBLANK(Q310),"",AS310/Macroindicadores!B$2)</f>
        <v/>
      </c>
      <c r="BH310" s="39" t="str">
        <f>IF(ISBLANK(R310),"",AT310/Macroindicadores!C$2)</f>
        <v/>
      </c>
      <c r="BI310" s="39" t="str">
        <f>IF(ISBLANK(S310),"",AU310/Macroindicadores!D$2)</f>
        <v/>
      </c>
      <c r="BJ310" s="39" t="str">
        <f>IF(ISBLANK(T310),"",AV310/Macroindicadores!E$2)</f>
        <v/>
      </c>
      <c r="BK310" s="39" t="str">
        <f>IF(ISBLANK(U310),"",AW310/Macroindicadores!F$2)</f>
        <v/>
      </c>
      <c r="BL310" s="39" t="str">
        <f>IF(ISBLANK(V310),"",AX310/Macroindicadores!G$2)</f>
        <v/>
      </c>
      <c r="BM310" s="39" t="str">
        <f>IF(ISBLANK(W310),"",AY310/Macroindicadores!H$2)</f>
        <v/>
      </c>
      <c r="BN310" s="39" t="str">
        <f>IF(ISBLANK(X310),"",AZ310/Macroindicadores!I$2)</f>
        <v/>
      </c>
      <c r="BO310" s="39" t="str">
        <f>IF(ISBLANK(Y310),"",BA310/Macroindicadores!J$2)</f>
        <v/>
      </c>
      <c r="BP310" s="39" t="str">
        <f>IF(ISBLANK(Z310),"",BB310/Macroindicadores!K$2)</f>
        <v/>
      </c>
      <c r="BQ310" s="39" t="str">
        <f>IF(ISBLANK(AA310),"",BC310/Macroindicadores!L$2)</f>
        <v/>
      </c>
      <c r="BR310" s="39" t="str">
        <f>IF(ISBLANK(AB310),"",BD310/Macroindicadores!M$2)</f>
        <v/>
      </c>
      <c r="BS310" s="40" t="str">
        <f t="shared" si="144"/>
        <v/>
      </c>
      <c r="BT310" s="25" t="str">
        <f>IF(ISBLANK($L310),"",_xlfn.XLOOKUP($L310,'CENTRO CUSTO'!$A:$A,'CENTRO CUSTO'!$E:$E,FALSE,0))</f>
        <v/>
      </c>
    </row>
    <row r="311" spans="1:72">
      <c r="A311" s="9" t="str">
        <f t="shared" si="80"/>
        <v>Budget</v>
      </c>
      <c r="B311" s="9">
        <f t="shared" si="77"/>
        <v>2026</v>
      </c>
      <c r="C311" s="111" t="s">
        <v>262</v>
      </c>
      <c r="D311" s="111" t="s">
        <v>278</v>
      </c>
      <c r="E311" s="111" t="s">
        <v>14</v>
      </c>
      <c r="F311" s="112" t="s">
        <v>161</v>
      </c>
      <c r="G311" s="112" t="s">
        <v>75</v>
      </c>
      <c r="H311" s="112" t="s">
        <v>308</v>
      </c>
      <c r="I311" s="11" t="s">
        <v>77</v>
      </c>
      <c r="J311" s="11" t="s">
        <v>120</v>
      </c>
      <c r="K311" s="11" t="s">
        <v>79</v>
      </c>
      <c r="L311" s="11"/>
      <c r="M311" s="18" t="str">
        <f>IF(ISBLANK($L311),"",_xlfn.XLOOKUP($L311,'CENTRO CUSTO'!$A:$A,'CENTRO CUSTO'!D:D,FALSE,0))</f>
        <v/>
      </c>
      <c r="N311" s="11" t="s">
        <v>106</v>
      </c>
      <c r="O311" s="12"/>
      <c r="P311" s="113" t="s">
        <v>88</v>
      </c>
      <c r="Q311" s="41"/>
      <c r="R311" s="41"/>
      <c r="S311" s="41"/>
      <c r="T311" s="41"/>
      <c r="U311" s="41"/>
      <c r="V311" s="41"/>
      <c r="W311" s="41"/>
      <c r="X311" s="41"/>
      <c r="Y311" s="41"/>
      <c r="Z311" s="41"/>
      <c r="AA311" s="41"/>
      <c r="AB311" s="41"/>
      <c r="AC311" s="116" t="str">
        <f t="shared" si="141"/>
        <v/>
      </c>
      <c r="AE311" s="39" t="str">
        <f>IF(ISBLANK(Q311),"",IF($P311="BRL",Q311,Q311*Macroindicadores!B$2)/1000)</f>
        <v/>
      </c>
      <c r="AF311" s="39" t="str">
        <f>IF(ISBLANK(R311),"",IF($P311="BRL",R311,R311*Macroindicadores!C$2)/1000)</f>
        <v/>
      </c>
      <c r="AG311" s="39" t="str">
        <f>IF(ISBLANK(S311),"",IF($P311="BRL",S311,S311*Macroindicadores!D$2)/1000)</f>
        <v/>
      </c>
      <c r="AH311" s="39" t="str">
        <f>IF(ISBLANK(T311),"",IF($P311="BRL",T311,T311*Macroindicadores!E$2)/1000)</f>
        <v/>
      </c>
      <c r="AI311" s="39" t="str">
        <f>IF(ISBLANK(U311),"",IF($P311="BRL",U311,U311*Macroindicadores!F$2)/1000)</f>
        <v/>
      </c>
      <c r="AJ311" s="39" t="str">
        <f>IF(ISBLANK(V311),"",IF($P311="BRL",V311,V311*Macroindicadores!G$2)/1000)</f>
        <v/>
      </c>
      <c r="AK311" s="39" t="str">
        <f>IF(ISBLANK(W311),"",IF($P311="BRL",W311,W311*Macroindicadores!H$2)/1000)</f>
        <v/>
      </c>
      <c r="AL311" s="39" t="str">
        <f>IF(ISBLANK(X311),"",IF($P311="BRL",X311,X311*Macroindicadores!I$2)/1000)</f>
        <v/>
      </c>
      <c r="AM311" s="39" t="str">
        <f>IF(ISBLANK(Y311),"",IF($P311="BRL",Y311,Y311*Macroindicadores!J$2)/1000)</f>
        <v/>
      </c>
      <c r="AN311" s="39" t="str">
        <f>IF(ISBLANK(Z311),"",IF($P311="BRL",Z311,Z311*Macroindicadores!K$2)/1000)</f>
        <v/>
      </c>
      <c r="AO311" s="39" t="str">
        <f>IF(ISBLANK(AA311),"",IF($P311="BRL",AA311,AA311*Macroindicadores!L$2)/1000)</f>
        <v/>
      </c>
      <c r="AP311" s="39" t="str">
        <f>IF(ISBLANK(AB311),"",IF($P311="BRL",AB311,AB311*Macroindicadores!M$2)/1000)</f>
        <v/>
      </c>
      <c r="AQ311" s="40" t="str">
        <f t="shared" si="142"/>
        <v/>
      </c>
      <c r="AS311" s="39" t="str">
        <f>IF(ISBLANK(Q311),"",IF(ISBLANK($O311),AE311,IF($J311="ANUAL",AE311*(1+Macroindicadores!B$7),IF(AND($I311="NOVO",MONTH($O311)=MONTH(AS$4)),AE311*(1+Macroindicadores!B$7),IF(AND($J311="PONTUAL",MONTH($O311)=MONTH(AS$4)),AE311*(1+Macroindicadores!B$7),IF(AND($J311="PONTUAL",MONTH($O311)&lt;MONTH(AS$4)),MIN(AR311:$AS311),IF(AND($I311="NOVO",MONTH($O311)&gt;MONTH(AS$4)),AE311,IF(MONTH($O311)&gt;MONTH(AS$4),AE311,IF(MONTH($O311)=MONTH(AS$4),AE311*(1+Macroindicadores!B$7),AR311)))))))))</f>
        <v/>
      </c>
      <c r="AT311" s="39" t="str">
        <f>IF(ISBLANK(R311),"",IF(ISBLANK($O311),AF311,IF($J311="ANUAL",AF311*(1+Macroindicadores!C$7),IF(AND($I311="NOVO",MONTH($O311)=MONTH(AT$4)),AF311*(1+Macroindicadores!C$7),IF(AND($J311="PONTUAL",MONTH($O311)=MONTH(AT$4)),AF311*(1+Macroindicadores!C$7),IF(AND($J311="PONTUAL",MONTH($O311)&lt;MONTH(AT$4)),MIN($AS311:AS311),IF(AND($I311="NOVO",MONTH($O311)&gt;MONTH(AT$4)),AF311,IF(MONTH($O311)&gt;MONTH(AT$4),AF311,IF(MONTH($O311)=MONTH(AT$4),AF311*(1+Macroindicadores!C$7),AS311)))))))))</f>
        <v/>
      </c>
      <c r="AU311" s="39" t="str">
        <f>IF(ISBLANK(S311),"",IF(ISBLANK($O311),AG311,IF($J311="ANUAL",AG311*(1+Macroindicadores!D$7),IF(AND($I311="NOVO",MONTH($O311)=MONTH(AU$4)),AG311*(1+Macroindicadores!D$7),IF(AND($J311="PONTUAL",MONTH($O311)=MONTH(AU$4)),AG311*(1+Macroindicadores!D$7),IF(AND($J311="PONTUAL",MONTH($O311)&lt;MONTH(AU$4)),MIN($AS311:AT311),IF(AND($I311="NOVO",MONTH($O311)&gt;MONTH(AU$4)),AG311,IF(MONTH($O311)&gt;MONTH(AU$4),AG311,IF(MONTH($O311)=MONTH(AU$4),AG311*(1+Macroindicadores!D$7),AT311)))))))))</f>
        <v/>
      </c>
      <c r="AV311" s="39" t="str">
        <f>IF(ISBLANK(T311),"",IF(ISBLANK($O311),AH311,IF($J311="ANUAL",AH311*(1+Macroindicadores!E$7),IF(AND($I311="NOVO",MONTH($O311)=MONTH(AV$4)),AH311*(1+Macroindicadores!E$7),IF(AND($J311="PONTUAL",MONTH($O311)=MONTH(AV$4)),AH311*(1+Macroindicadores!E$7),IF(AND($J311="PONTUAL",MONTH($O311)&lt;MONTH(AV$4)),MIN($AS311:AU311),IF(AND($I311="NOVO",MONTH($O311)&gt;MONTH(AV$4)),AH311,IF(MONTH($O311)&gt;MONTH(AV$4),AH311,IF(MONTH($O311)=MONTH(AV$4),AH311*(1+Macroindicadores!E$7),AU311)))))))))</f>
        <v/>
      </c>
      <c r="AW311" s="39" t="str">
        <f>IF(ISBLANK(U311),"",IF(ISBLANK($O311),AI311,IF($J311="ANUAL",AI311*(1+Macroindicadores!F$7),IF(AND($I311="NOVO",MONTH($O311)=MONTH(AW$4)),AI311*(1+Macroindicadores!F$7),IF(AND($J311="PONTUAL",MONTH($O311)=MONTH(AW$4)),AI311*(1+Macroindicadores!F$7),IF(AND($J311="PONTUAL",MONTH($O311)&lt;MONTH(AW$4)),MIN($AS311:AV311),IF(AND($I311="NOVO",MONTH($O311)&gt;MONTH(AW$4)),AI311,IF(MONTH($O311)&gt;MONTH(AW$4),AI311,IF(MONTH($O311)=MONTH(AW$4),AI311*(1+Macroindicadores!F$7),AV311)))))))))</f>
        <v/>
      </c>
      <c r="AX311" s="39" t="str">
        <f>IF(ISBLANK(V311),"",IF(ISBLANK($O311),AJ311,IF($J311="ANUAL",AJ311*(1+Macroindicadores!G$7),IF(AND($I311="NOVO",MONTH($O311)=MONTH(AX$4)),AJ311*(1+Macroindicadores!G$7),IF(AND($J311="PONTUAL",MONTH($O311)=MONTH(AX$4)),AJ311*(1+Macroindicadores!G$7),IF(AND($J311="PONTUAL",MONTH($O311)&lt;MONTH(AX$4)),MIN($AS311:AW311),IF(AND($I311="NOVO",MONTH($O311)&gt;MONTH(AX$4)),AJ311,IF(MONTH($O311)&gt;MONTH(AX$4),AJ311,IF(MONTH($O311)=MONTH(AX$4),AJ311*(1+Macroindicadores!G$7),AW311)))))))))</f>
        <v/>
      </c>
      <c r="AY311" s="39" t="str">
        <f>IF(ISBLANK(W311),"",IF(ISBLANK($O311),AK311,IF($J311="ANUAL",AK311*(1+Macroindicadores!H$7),IF(AND($I311="NOVO",MONTH($O311)=MONTH(AY$4)),AK311*(1+Macroindicadores!H$7),IF(AND($J311="PONTUAL",MONTH($O311)=MONTH(AY$4)),AK311*(1+Macroindicadores!H$7),IF(AND($J311="PONTUAL",MONTH($O311)&lt;MONTH(AY$4)),MIN($AS311:AX311),IF(AND($I311="NOVO",MONTH($O311)&gt;MONTH(AY$4)),AK311,IF(MONTH($O311)&gt;MONTH(AY$4),AK311,IF(MONTH($O311)=MONTH(AY$4),AK311*(1+Macroindicadores!H$7),AX311)))))))))</f>
        <v/>
      </c>
      <c r="AZ311" s="39" t="str">
        <f>IF(ISBLANK(X311),"",IF(ISBLANK($O311),AL311,IF($J311="ANUAL",AL311*(1+Macroindicadores!I$7),IF(AND($I311="NOVO",MONTH($O311)=MONTH(AZ$4)),AL311*(1+Macroindicadores!I$7),IF(AND($J311="PONTUAL",MONTH($O311)=MONTH(AZ$4)),AL311*(1+Macroindicadores!I$7),IF(AND($J311="PONTUAL",MONTH($O311)&lt;MONTH(AZ$4)),MIN($AS311:AY311),IF(AND($I311="NOVO",MONTH($O311)&gt;MONTH(AZ$4)),AL311,IF(MONTH($O311)&gt;MONTH(AZ$4),AL311,IF(MONTH($O311)=MONTH(AZ$4),AL311*(1+Macroindicadores!I$7),AY311)))))))))</f>
        <v/>
      </c>
      <c r="BA311" s="39" t="str">
        <f>IF(ISBLANK(Y311),"",IF(ISBLANK($O311),AM311,IF($J311="ANUAL",AM311*(1+Macroindicadores!J$7),IF(AND($I311="NOVO",MONTH($O311)=MONTH(BA$4)),AM311*(1+Macroindicadores!J$7),IF(AND($J311="PONTUAL",MONTH($O311)=MONTH(BA$4)),AM311*(1+Macroindicadores!J$7),IF(AND($J311="PONTUAL",MONTH($O311)&lt;MONTH(BA$4)),MIN($AS311:AZ311),IF(AND($I311="NOVO",MONTH($O311)&gt;MONTH(BA$4)),AM311,IF(MONTH($O311)&gt;MONTH(BA$4),AM311,IF(MONTH($O311)=MONTH(BA$4),AM311*(1+Macroindicadores!J$7),AZ311)))))))))</f>
        <v/>
      </c>
      <c r="BB311" s="39" t="str">
        <f>IF(ISBLANK(Z311),"",IF(ISBLANK($O311),AN311,IF($J311="ANUAL",AN311*(1+Macroindicadores!K$7),IF(AND($I311="NOVO",MONTH($O311)=MONTH(BB$4)),AN311*(1+Macroindicadores!K$7),IF(AND($J311="PONTUAL",MONTH($O311)=MONTH(BB$4)),AN311*(1+Macroindicadores!K$7),IF(AND($J311="PONTUAL",MONTH($O311)&lt;MONTH(BB$4)),MIN($AS311:BA311),IF(AND($I311="NOVO",MONTH($O311)&gt;MONTH(BB$4)),AN311,IF(MONTH($O311)&gt;MONTH(BB$4),AN311,IF(MONTH($O311)=MONTH(BB$4),AN311*(1+Macroindicadores!K$7),BA311)))))))))</f>
        <v/>
      </c>
      <c r="BC311" s="39" t="str">
        <f>IF(ISBLANK(AA311),"",IF(ISBLANK($O311),AO311,IF($J311="ANUAL",AO311*(1+Macroindicadores!L$7),IF(AND($I311="NOVO",MONTH($O311)=MONTH(BC$4)),AO311*(1+Macroindicadores!L$7),IF(AND($J311="PONTUAL",MONTH($O311)=MONTH(BC$4)),AO311*(1+Macroindicadores!L$7),IF(AND($J311="PONTUAL",MONTH($O311)&lt;MONTH(BC$4)),MIN($AS311:BB311),IF(AND($I311="NOVO",MONTH($O311)&gt;MONTH(BC$4)),AO311,IF(MONTH($O311)&gt;MONTH(BC$4),AO311,IF(MONTH($O311)=MONTH(BC$4),AO311*(1+Macroindicadores!L$7),BB311)))))))))</f>
        <v/>
      </c>
      <c r="BD311" s="39" t="str">
        <f>IF(ISBLANK(AB311),"",IF(ISBLANK($O311),AP311,IF($J311="ANUAL",AP311*(1+Macroindicadores!M$7),IF(AND($I311="NOVO",MONTH($O311)=MONTH(BD$4)),AP311*(1+Macroindicadores!M$7),IF(AND($J311="PONTUAL",MONTH($O311)=MONTH(BD$4)),AP311*(1+Macroindicadores!M$7),IF(AND($J311="PONTUAL",MONTH($O311)&lt;MONTH(BD$4)),MIN($AS311:BC311),IF(AND($I311="NOVO",MONTH($O311)&gt;MONTH(BD$4)),AP311,IF(MONTH($O311)&gt;MONTH(BD$4),AP311,IF(MONTH($O311)=MONTH(BD$4),AP311*(1+Macroindicadores!M$7),BC311)))))))))</f>
        <v/>
      </c>
      <c r="BE311" s="40" t="str">
        <f t="shared" si="143"/>
        <v/>
      </c>
      <c r="BG311" s="39" t="str">
        <f>IF(ISBLANK(Q311),"",AS311/Macroindicadores!B$2)</f>
        <v/>
      </c>
      <c r="BH311" s="39" t="str">
        <f>IF(ISBLANK(R311),"",AT311/Macroindicadores!C$2)</f>
        <v/>
      </c>
      <c r="BI311" s="39" t="str">
        <f>IF(ISBLANK(S311),"",AU311/Macroindicadores!D$2)</f>
        <v/>
      </c>
      <c r="BJ311" s="39" t="str">
        <f>IF(ISBLANK(T311),"",AV311/Macroindicadores!E$2)</f>
        <v/>
      </c>
      <c r="BK311" s="39" t="str">
        <f>IF(ISBLANK(U311),"",AW311/Macroindicadores!F$2)</f>
        <v/>
      </c>
      <c r="BL311" s="39" t="str">
        <f>IF(ISBLANK(V311),"",AX311/Macroindicadores!G$2)</f>
        <v/>
      </c>
      <c r="BM311" s="39" t="str">
        <f>IF(ISBLANK(W311),"",AY311/Macroindicadores!H$2)</f>
        <v/>
      </c>
      <c r="BN311" s="39" t="str">
        <f>IF(ISBLANK(X311),"",AZ311/Macroindicadores!I$2)</f>
        <v/>
      </c>
      <c r="BO311" s="39" t="str">
        <f>IF(ISBLANK(Y311),"",BA311/Macroindicadores!J$2)</f>
        <v/>
      </c>
      <c r="BP311" s="39" t="str">
        <f>IF(ISBLANK(Z311),"",BB311/Macroindicadores!K$2)</f>
        <v/>
      </c>
      <c r="BQ311" s="39" t="str">
        <f>IF(ISBLANK(AA311),"",BC311/Macroindicadores!L$2)</f>
        <v/>
      </c>
      <c r="BR311" s="39" t="str">
        <f>IF(ISBLANK(AB311),"",BD311/Macroindicadores!M$2)</f>
        <v/>
      </c>
      <c r="BS311" s="40" t="str">
        <f t="shared" si="144"/>
        <v/>
      </c>
      <c r="BT311" s="25" t="str">
        <f>IF(ISBLANK($L311),"",_xlfn.XLOOKUP($L311,'CENTRO CUSTO'!$A:$A,'CENTRO CUSTO'!$E:$E,FALSE,0))</f>
        <v/>
      </c>
    </row>
    <row r="312" spans="1:72">
      <c r="A312" s="9" t="str">
        <f t="shared" si="80"/>
        <v>Budget</v>
      </c>
      <c r="B312" s="9">
        <f t="shared" si="77"/>
        <v>2026</v>
      </c>
      <c r="C312" s="111" t="s">
        <v>262</v>
      </c>
      <c r="D312" s="111" t="s">
        <v>263</v>
      </c>
      <c r="E312" s="111" t="s">
        <v>14</v>
      </c>
      <c r="F312" s="112" t="s">
        <v>309</v>
      </c>
      <c r="G312" s="112" t="s">
        <v>75</v>
      </c>
      <c r="H312" s="112" t="s">
        <v>310</v>
      </c>
      <c r="I312" s="11" t="s">
        <v>77</v>
      </c>
      <c r="J312" s="11" t="s">
        <v>120</v>
      </c>
      <c r="K312" s="11" t="s">
        <v>79</v>
      </c>
      <c r="L312" s="11"/>
      <c r="M312" s="18" t="str">
        <f>IF(ISBLANK($L312),"",_xlfn.XLOOKUP($L312,'CENTRO CUSTO'!$A:$A,'CENTRO CUSTO'!D:D,FALSE,0))</f>
        <v/>
      </c>
      <c r="N312" s="11" t="s">
        <v>106</v>
      </c>
      <c r="O312" s="12"/>
      <c r="P312" s="113" t="s">
        <v>88</v>
      </c>
      <c r="Q312" s="41">
        <v>1070</v>
      </c>
      <c r="R312" s="41">
        <v>1070</v>
      </c>
      <c r="S312" s="41">
        <v>1070</v>
      </c>
      <c r="T312" s="41">
        <v>1070</v>
      </c>
      <c r="U312" s="41">
        <v>1070</v>
      </c>
      <c r="V312" s="41">
        <v>1070</v>
      </c>
      <c r="W312" s="41"/>
      <c r="X312" s="41"/>
      <c r="Y312" s="41"/>
      <c r="Z312" s="41"/>
      <c r="AA312" s="41"/>
      <c r="AB312" s="41"/>
      <c r="AC312" s="116">
        <f t="shared" si="104"/>
        <v>6420</v>
      </c>
      <c r="AE312" s="39">
        <f>IF(ISBLANK(Q312),"",IF($P312="BRL",Q312,Q312*Macroindicadores!B$2)/1000)</f>
        <v>6.2915999999999999</v>
      </c>
      <c r="AF312" s="39">
        <f>IF(ISBLANK(R312),"",IF($P312="BRL",R312,R312*Macroindicadores!C$2)/1000)</f>
        <v>6.2915999999999999</v>
      </c>
      <c r="AG312" s="39">
        <f>IF(ISBLANK(S312),"",IF($P312="BRL",S312,S312*Macroindicadores!D$2)/1000)</f>
        <v>6.2915999999999999</v>
      </c>
      <c r="AH312" s="39">
        <f>IF(ISBLANK(T312),"",IF($P312="BRL",T312,T312*Macroindicadores!E$2)/1000)</f>
        <v>6.2915999999999999</v>
      </c>
      <c r="AI312" s="39">
        <f>IF(ISBLANK(U312),"",IF($P312="BRL",U312,U312*Macroindicadores!F$2)/1000)</f>
        <v>6.2915999999999999</v>
      </c>
      <c r="AJ312" s="39">
        <f>IF(ISBLANK(V312),"",IF($P312="BRL",V312,V312*Macroindicadores!G$2)/1000)</f>
        <v>6.2915999999999999</v>
      </c>
      <c r="AK312" s="39" t="str">
        <f>IF(ISBLANK(W312),"",IF($P312="BRL",W312,W312*Macroindicadores!H$2)/1000)</f>
        <v/>
      </c>
      <c r="AL312" s="39" t="str">
        <f>IF(ISBLANK(X312),"",IF($P312="BRL",X312,X312*Macroindicadores!I$2)/1000)</f>
        <v/>
      </c>
      <c r="AM312" s="39" t="str">
        <f>IF(ISBLANK(Y312),"",IF($P312="BRL",Y312,Y312*Macroindicadores!J$2)/1000)</f>
        <v/>
      </c>
      <c r="AN312" s="39" t="str">
        <f>IF(ISBLANK(Z312),"",IF($P312="BRL",Z312,Z312*Macroindicadores!K$2)/1000)</f>
        <v/>
      </c>
      <c r="AO312" s="39" t="str">
        <f>IF(ISBLANK(AA312),"",IF($P312="BRL",AA312,AA312*Macroindicadores!L$2)/1000)</f>
        <v/>
      </c>
      <c r="AP312" s="39" t="str">
        <f>IF(ISBLANK(AB312),"",IF($P312="BRL",AB312,AB312*Macroindicadores!M$2)/1000)</f>
        <v/>
      </c>
      <c r="AQ312" s="40">
        <f t="shared" si="105"/>
        <v>37.749600000000001</v>
      </c>
      <c r="AS312" s="39">
        <f>IF(ISBLANK(Q312),"",IF(ISBLANK($O312),AE312,IF($J312="ANUAL",AE312*(1+Macroindicadores!B$7),IF(AND($I312="NOVO",MONTH($O312)=MONTH(AS$4)),AE312*(1+Macroindicadores!B$7),IF(AND($J312="PONTUAL",MONTH($O312)=MONTH(AS$4)),AE312*(1+Macroindicadores!B$7),IF(AND($J312="PONTUAL",MONTH($O312)&lt;MONTH(AS$4)),MIN(AR312:$AS312),IF(AND($I312="NOVO",MONTH($O312)&gt;MONTH(AS$4)),AE312,IF(MONTH($O312)&gt;MONTH(AS$4),AE312,IF(MONTH($O312)=MONTH(AS$4),AE312*(1+Macroindicadores!B$7),AR312)))))))))</f>
        <v>6.2915999999999999</v>
      </c>
      <c r="AT312" s="39">
        <f>IF(ISBLANK(R312),"",IF(ISBLANK($O312),AF312,IF($J312="ANUAL",AF312*(1+Macroindicadores!C$7),IF(AND($I312="NOVO",MONTH($O312)=MONTH(AT$4)),AF312*(1+Macroindicadores!C$7),IF(AND($J312="PONTUAL",MONTH($O312)=MONTH(AT$4)),AF312*(1+Macroindicadores!C$7),IF(AND($J312="PONTUAL",MONTH($O312)&lt;MONTH(AT$4)),MIN($AS312:AS312),IF(AND($I312="NOVO",MONTH($O312)&gt;MONTH(AT$4)),AF312,IF(MONTH($O312)&gt;MONTH(AT$4),AF312,IF(MONTH($O312)=MONTH(AT$4),AF312*(1+Macroindicadores!C$7),AS312)))))))))</f>
        <v>6.2915999999999999</v>
      </c>
      <c r="AU312" s="39">
        <f>IF(ISBLANK(S312),"",IF(ISBLANK($O312),AG312,IF($J312="ANUAL",AG312*(1+Macroindicadores!D$7),IF(AND($I312="NOVO",MONTH($O312)=MONTH(AU$4)),AG312*(1+Macroindicadores!D$7),IF(AND($J312="PONTUAL",MONTH($O312)=MONTH(AU$4)),AG312*(1+Macroindicadores!D$7),IF(AND($J312="PONTUAL",MONTH($O312)&lt;MONTH(AU$4)),MIN($AS312:AT312),IF(AND($I312="NOVO",MONTH($O312)&gt;MONTH(AU$4)),AG312,IF(MONTH($O312)&gt;MONTH(AU$4),AG312,IF(MONTH($O312)=MONTH(AU$4),AG312*(1+Macroindicadores!D$7),AT312)))))))))</f>
        <v>6.2915999999999999</v>
      </c>
      <c r="AV312" s="39">
        <f>IF(ISBLANK(T312),"",IF(ISBLANK($O312),AH312,IF($J312="ANUAL",AH312*(1+Macroindicadores!E$7),IF(AND($I312="NOVO",MONTH($O312)=MONTH(AV$4)),AH312*(1+Macroindicadores!E$7),IF(AND($J312="PONTUAL",MONTH($O312)=MONTH(AV$4)),AH312*(1+Macroindicadores!E$7),IF(AND($J312="PONTUAL",MONTH($O312)&lt;MONTH(AV$4)),MIN($AS312:AU312),IF(AND($I312="NOVO",MONTH($O312)&gt;MONTH(AV$4)),AH312,IF(MONTH($O312)&gt;MONTH(AV$4),AH312,IF(MONTH($O312)=MONTH(AV$4),AH312*(1+Macroindicadores!E$7),AU312)))))))))</f>
        <v>6.2915999999999999</v>
      </c>
      <c r="AW312" s="39">
        <f>IF(ISBLANK(U312),"",IF(ISBLANK($O312),AI312,IF($J312="ANUAL",AI312*(1+Macroindicadores!F$7),IF(AND($I312="NOVO",MONTH($O312)=MONTH(AW$4)),AI312*(1+Macroindicadores!F$7),IF(AND($J312="PONTUAL",MONTH($O312)=MONTH(AW$4)),AI312*(1+Macroindicadores!F$7),IF(AND($J312="PONTUAL",MONTH($O312)&lt;MONTH(AW$4)),MIN($AS312:AV312),IF(AND($I312="NOVO",MONTH($O312)&gt;MONTH(AW$4)),AI312,IF(MONTH($O312)&gt;MONTH(AW$4),AI312,IF(MONTH($O312)=MONTH(AW$4),AI312*(1+Macroindicadores!F$7),AV312)))))))))</f>
        <v>6.2915999999999999</v>
      </c>
      <c r="AX312" s="39">
        <f>IF(ISBLANK(V312),"",IF(ISBLANK($O312),AJ312,IF($J312="ANUAL",AJ312*(1+Macroindicadores!G$7),IF(AND($I312="NOVO",MONTH($O312)=MONTH(AX$4)),AJ312*(1+Macroindicadores!G$7),IF(AND($J312="PONTUAL",MONTH($O312)=MONTH(AX$4)),AJ312*(1+Macroindicadores!G$7),IF(AND($J312="PONTUAL",MONTH($O312)&lt;MONTH(AX$4)),MIN($AS312:AW312),IF(AND($I312="NOVO",MONTH($O312)&gt;MONTH(AX$4)),AJ312,IF(MONTH($O312)&gt;MONTH(AX$4),AJ312,IF(MONTH($O312)=MONTH(AX$4),AJ312*(1+Macroindicadores!G$7),AW312)))))))))</f>
        <v>6.2915999999999999</v>
      </c>
      <c r="AY312" s="39" t="str">
        <f>IF(ISBLANK(W312),"",IF(ISBLANK($O312),AK312,IF($J312="ANUAL",AK312*(1+Macroindicadores!H$7),IF(AND($I312="NOVO",MONTH($O312)=MONTH(AY$4)),AK312*(1+Macroindicadores!H$7),IF(AND($J312="PONTUAL",MONTH($O312)=MONTH(AY$4)),AK312*(1+Macroindicadores!H$7),IF(AND($J312="PONTUAL",MONTH($O312)&lt;MONTH(AY$4)),MIN($AS312:AX312),IF(AND($I312="NOVO",MONTH($O312)&gt;MONTH(AY$4)),AK312,IF(MONTH($O312)&gt;MONTH(AY$4),AK312,IF(MONTH($O312)=MONTH(AY$4),AK312*(1+Macroindicadores!H$7),AX312)))))))))</f>
        <v/>
      </c>
      <c r="AZ312" s="39" t="str">
        <f>IF(ISBLANK(X312),"",IF(ISBLANK($O312),AL312,IF($J312="ANUAL",AL312*(1+Macroindicadores!I$7),IF(AND($I312="NOVO",MONTH($O312)=MONTH(AZ$4)),AL312*(1+Macroindicadores!I$7),IF(AND($J312="PONTUAL",MONTH($O312)=MONTH(AZ$4)),AL312*(1+Macroindicadores!I$7),IF(AND($J312="PONTUAL",MONTH($O312)&lt;MONTH(AZ$4)),MIN($AS312:AY312),IF(AND($I312="NOVO",MONTH($O312)&gt;MONTH(AZ$4)),AL312,IF(MONTH($O312)&gt;MONTH(AZ$4),AL312,IF(MONTH($O312)=MONTH(AZ$4),AL312*(1+Macroindicadores!I$7),AY312)))))))))</f>
        <v/>
      </c>
      <c r="BA312" s="39" t="str">
        <f>IF(ISBLANK(Y312),"",IF(ISBLANK($O312),AM312,IF($J312="ANUAL",AM312*(1+Macroindicadores!J$7),IF(AND($I312="NOVO",MONTH($O312)=MONTH(BA$4)),AM312*(1+Macroindicadores!J$7),IF(AND($J312="PONTUAL",MONTH($O312)=MONTH(BA$4)),AM312*(1+Macroindicadores!J$7),IF(AND($J312="PONTUAL",MONTH($O312)&lt;MONTH(BA$4)),MIN($AS312:AZ312),IF(AND($I312="NOVO",MONTH($O312)&gt;MONTH(BA$4)),AM312,IF(MONTH($O312)&gt;MONTH(BA$4),AM312,IF(MONTH($O312)=MONTH(BA$4),AM312*(1+Macroindicadores!J$7),AZ312)))))))))</f>
        <v/>
      </c>
      <c r="BB312" s="39" t="str">
        <f>IF(ISBLANK(Z312),"",IF(ISBLANK($O312),AN312,IF($J312="ANUAL",AN312*(1+Macroindicadores!K$7),IF(AND($I312="NOVO",MONTH($O312)=MONTH(BB$4)),AN312*(1+Macroindicadores!K$7),IF(AND($J312="PONTUAL",MONTH($O312)=MONTH(BB$4)),AN312*(1+Macroindicadores!K$7),IF(AND($J312="PONTUAL",MONTH($O312)&lt;MONTH(BB$4)),MIN($AS312:BA312),IF(AND($I312="NOVO",MONTH($O312)&gt;MONTH(BB$4)),AN312,IF(MONTH($O312)&gt;MONTH(BB$4),AN312,IF(MONTH($O312)=MONTH(BB$4),AN312*(1+Macroindicadores!K$7),BA312)))))))))</f>
        <v/>
      </c>
      <c r="BC312" s="39" t="str">
        <f>IF(ISBLANK(AA312),"",IF(ISBLANK($O312),AO312,IF($J312="ANUAL",AO312*(1+Macroindicadores!L$7),IF(AND($I312="NOVO",MONTH($O312)=MONTH(BC$4)),AO312*(1+Macroindicadores!L$7),IF(AND($J312="PONTUAL",MONTH($O312)=MONTH(BC$4)),AO312*(1+Macroindicadores!L$7),IF(AND($J312="PONTUAL",MONTH($O312)&lt;MONTH(BC$4)),MIN($AS312:BB312),IF(AND($I312="NOVO",MONTH($O312)&gt;MONTH(BC$4)),AO312,IF(MONTH($O312)&gt;MONTH(BC$4),AO312,IF(MONTH($O312)=MONTH(BC$4),AO312*(1+Macroindicadores!L$7),BB312)))))))))</f>
        <v/>
      </c>
      <c r="BD312" s="39" t="str">
        <f>IF(ISBLANK(AB312),"",IF(ISBLANK($O312),AP312,IF($J312="ANUAL",AP312*(1+Macroindicadores!M$7),IF(AND($I312="NOVO",MONTH($O312)=MONTH(BD$4)),AP312*(1+Macroindicadores!M$7),IF(AND($J312="PONTUAL",MONTH($O312)=MONTH(BD$4)),AP312*(1+Macroindicadores!M$7),IF(AND($J312="PONTUAL",MONTH($O312)&lt;MONTH(BD$4)),MIN($AS312:BC312),IF(AND($I312="NOVO",MONTH($O312)&gt;MONTH(BD$4)),AP312,IF(MONTH($O312)&gt;MONTH(BD$4),AP312,IF(MONTH($O312)=MONTH(BD$4),AP312*(1+Macroindicadores!M$7),BC312)))))))))</f>
        <v/>
      </c>
      <c r="BE312" s="40">
        <f t="shared" si="106"/>
        <v>37.749600000000001</v>
      </c>
      <c r="BG312" s="39">
        <f>IF(ISBLANK(Q312),"",AS312/Macroindicadores!B$2)</f>
        <v>1.07</v>
      </c>
      <c r="BH312" s="39">
        <f>IF(ISBLANK(R312),"",AT312/Macroindicadores!C$2)</f>
        <v>1.07</v>
      </c>
      <c r="BI312" s="39">
        <f>IF(ISBLANK(S312),"",AU312/Macroindicadores!D$2)</f>
        <v>1.07</v>
      </c>
      <c r="BJ312" s="39">
        <f>IF(ISBLANK(T312),"",AV312/Macroindicadores!E$2)</f>
        <v>1.07</v>
      </c>
      <c r="BK312" s="39">
        <f>IF(ISBLANK(U312),"",AW312/Macroindicadores!F$2)</f>
        <v>1.07</v>
      </c>
      <c r="BL312" s="39">
        <f>IF(ISBLANK(V312),"",AX312/Macroindicadores!G$2)</f>
        <v>1.07</v>
      </c>
      <c r="BM312" s="39" t="str">
        <f>IF(ISBLANK(W312),"",AY312/Macroindicadores!H$2)</f>
        <v/>
      </c>
      <c r="BN312" s="39" t="str">
        <f>IF(ISBLANK(X312),"",AZ312/Macroindicadores!I$2)</f>
        <v/>
      </c>
      <c r="BO312" s="39" t="str">
        <f>IF(ISBLANK(Y312),"",BA312/Macroindicadores!J$2)</f>
        <v/>
      </c>
      <c r="BP312" s="39" t="str">
        <f>IF(ISBLANK(Z312),"",BB312/Macroindicadores!K$2)</f>
        <v/>
      </c>
      <c r="BQ312" s="39" t="str">
        <f>IF(ISBLANK(AA312),"",BC312/Macroindicadores!L$2)</f>
        <v/>
      </c>
      <c r="BR312" s="39" t="str">
        <f>IF(ISBLANK(AB312),"",BD312/Macroindicadores!M$2)</f>
        <v/>
      </c>
      <c r="BS312" s="40">
        <f t="shared" si="107"/>
        <v>6.4200000000000008</v>
      </c>
      <c r="BT312" s="25" t="str">
        <f>IF(ISBLANK($L312),"",_xlfn.XLOOKUP($L312,'CENTRO CUSTO'!$A:$A,'CENTRO CUSTO'!$E:$E,FALSE,0))</f>
        <v/>
      </c>
    </row>
    <row r="313" spans="1:72">
      <c r="A313" s="9" t="str">
        <f t="shared" si="80"/>
        <v>Budget</v>
      </c>
      <c r="B313" s="9">
        <f t="shared" si="77"/>
        <v>2026</v>
      </c>
      <c r="C313" s="111" t="s">
        <v>262</v>
      </c>
      <c r="D313" s="111" t="s">
        <v>263</v>
      </c>
      <c r="E313" s="111" t="s">
        <v>14</v>
      </c>
      <c r="F313" s="112" t="s">
        <v>311</v>
      </c>
      <c r="G313" s="112" t="s">
        <v>123</v>
      </c>
      <c r="H313" s="112" t="s">
        <v>312</v>
      </c>
      <c r="I313" s="11" t="s">
        <v>77</v>
      </c>
      <c r="J313" s="11" t="s">
        <v>120</v>
      </c>
      <c r="K313" s="11" t="s">
        <v>79</v>
      </c>
      <c r="L313" s="11"/>
      <c r="M313" s="18" t="str">
        <f>IF(ISBLANK($L313),"",_xlfn.XLOOKUP($L313,'CENTRO CUSTO'!$A:$A,'CENTRO CUSTO'!D:D,FALSE,0))</f>
        <v/>
      </c>
      <c r="N313" s="11" t="s">
        <v>87</v>
      </c>
      <c r="O313" s="12"/>
      <c r="P313" s="113" t="s">
        <v>88</v>
      </c>
      <c r="Q313" s="41">
        <v>1120.4166666666667</v>
      </c>
      <c r="R313" s="41">
        <v>1120.4166666666667</v>
      </c>
      <c r="S313" s="41">
        <v>1120.4166666666667</v>
      </c>
      <c r="T313" s="41">
        <v>1120.4166666666667</v>
      </c>
      <c r="U313" s="41">
        <v>1120.4166666666667</v>
      </c>
      <c r="V313" s="41">
        <v>1120.4166666666667</v>
      </c>
      <c r="W313" s="41">
        <v>1120.4166666666667</v>
      </c>
      <c r="X313" s="41">
        <v>1120.4166666666667</v>
      </c>
      <c r="Y313" s="41">
        <v>1120.4166666666667</v>
      </c>
      <c r="Z313" s="41">
        <v>1120.4166666666667</v>
      </c>
      <c r="AA313" s="41">
        <v>1120.4166666666667</v>
      </c>
      <c r="AB313" s="41">
        <v>1120.4166666666667</v>
      </c>
      <c r="AC313" s="116">
        <f t="shared" si="104"/>
        <v>13444.999999999998</v>
      </c>
      <c r="AE313" s="39">
        <f>IF(ISBLANK(Q313),"",IF($P313="BRL",Q313,Q313*Macroindicadores!B$2)/1000)</f>
        <v>6.58805</v>
      </c>
      <c r="AF313" s="39">
        <f>IF(ISBLANK(R313),"",IF($P313="BRL",R313,R313*Macroindicadores!C$2)/1000)</f>
        <v>6.58805</v>
      </c>
      <c r="AG313" s="39">
        <f>IF(ISBLANK(S313),"",IF($P313="BRL",S313,S313*Macroindicadores!D$2)/1000)</f>
        <v>6.58805</v>
      </c>
      <c r="AH313" s="39">
        <f>IF(ISBLANK(T313),"",IF($P313="BRL",T313,T313*Macroindicadores!E$2)/1000)</f>
        <v>6.58805</v>
      </c>
      <c r="AI313" s="39">
        <f>IF(ISBLANK(U313),"",IF($P313="BRL",U313,U313*Macroindicadores!F$2)/1000)</f>
        <v>6.58805</v>
      </c>
      <c r="AJ313" s="39">
        <f>IF(ISBLANK(V313),"",IF($P313="BRL",V313,V313*Macroindicadores!G$2)/1000)</f>
        <v>6.58805</v>
      </c>
      <c r="AK313" s="39">
        <f>IF(ISBLANK(W313),"",IF($P313="BRL",W313,W313*Macroindicadores!H$2)/1000)</f>
        <v>6.58805</v>
      </c>
      <c r="AL313" s="39">
        <f>IF(ISBLANK(X313),"",IF($P313="BRL",X313,X313*Macroindicadores!I$2)/1000)</f>
        <v>6.58805</v>
      </c>
      <c r="AM313" s="39">
        <f>IF(ISBLANK(Y313),"",IF($P313="BRL",Y313,Y313*Macroindicadores!J$2)/1000)</f>
        <v>6.58805</v>
      </c>
      <c r="AN313" s="39">
        <f>IF(ISBLANK(Z313),"",IF($P313="BRL",Z313,Z313*Macroindicadores!K$2)/1000)</f>
        <v>6.58805</v>
      </c>
      <c r="AO313" s="39">
        <f>IF(ISBLANK(AA313),"",IF($P313="BRL",AA313,AA313*Macroindicadores!L$2)/1000)</f>
        <v>6.58805</v>
      </c>
      <c r="AP313" s="39">
        <f>IF(ISBLANK(AB313),"",IF($P313="BRL",AB313,AB313*Macroindicadores!M$2)/1000)</f>
        <v>6.58805</v>
      </c>
      <c r="AQ313" s="40">
        <f t="shared" si="105"/>
        <v>79.056600000000003</v>
      </c>
      <c r="AS313" s="39">
        <f>IF(ISBLANK(Q313),"",IF(ISBLANK($O313),AE313,IF($J313="ANUAL",AE313*(1+Macroindicadores!B$7),IF(AND($I313="NOVO",MONTH($O313)=MONTH(AS$4)),AE313*(1+Macroindicadores!B$7),IF(AND($J313="PONTUAL",MONTH($O313)=MONTH(AS$4)),AE313*(1+Macroindicadores!B$7),IF(AND($J313="PONTUAL",MONTH($O313)&lt;MONTH(AS$4)),MIN(AR313:$AS313),IF(AND($I313="NOVO",MONTH($O313)&gt;MONTH(AS$4)),AE313,IF(MONTH($O313)&gt;MONTH(AS$4),AE313,IF(MONTH($O313)=MONTH(AS$4),AE313*(1+Macroindicadores!B$7),AR313)))))))))</f>
        <v>6.58805</v>
      </c>
      <c r="AT313" s="39">
        <f>IF(ISBLANK(R313),"",IF(ISBLANK($O313),AF313,IF($J313="ANUAL",AF313*(1+Macroindicadores!C$7),IF(AND($I313="NOVO",MONTH($O313)=MONTH(AT$4)),AF313*(1+Macroindicadores!C$7),IF(AND($J313="PONTUAL",MONTH($O313)=MONTH(AT$4)),AF313*(1+Macroindicadores!C$7),IF(AND($J313="PONTUAL",MONTH($O313)&lt;MONTH(AT$4)),MIN($AS313:AS313),IF(AND($I313="NOVO",MONTH($O313)&gt;MONTH(AT$4)),AF313,IF(MONTH($O313)&gt;MONTH(AT$4),AF313,IF(MONTH($O313)=MONTH(AT$4),AF313*(1+Macroindicadores!C$7),AS313)))))))))</f>
        <v>6.58805</v>
      </c>
      <c r="AU313" s="39">
        <f>IF(ISBLANK(S313),"",IF(ISBLANK($O313),AG313,IF($J313="ANUAL",AG313*(1+Macroindicadores!D$7),IF(AND($I313="NOVO",MONTH($O313)=MONTH(AU$4)),AG313*(1+Macroindicadores!D$7),IF(AND($J313="PONTUAL",MONTH($O313)=MONTH(AU$4)),AG313*(1+Macroindicadores!D$7),IF(AND($J313="PONTUAL",MONTH($O313)&lt;MONTH(AU$4)),MIN($AS313:AT313),IF(AND($I313="NOVO",MONTH($O313)&gt;MONTH(AU$4)),AG313,IF(MONTH($O313)&gt;MONTH(AU$4),AG313,IF(MONTH($O313)=MONTH(AU$4),AG313*(1+Macroindicadores!D$7),AT313)))))))))</f>
        <v>6.58805</v>
      </c>
      <c r="AV313" s="39">
        <f>IF(ISBLANK(T313),"",IF(ISBLANK($O313),AH313,IF($J313="ANUAL",AH313*(1+Macroindicadores!E$7),IF(AND($I313="NOVO",MONTH($O313)=MONTH(AV$4)),AH313*(1+Macroindicadores!E$7),IF(AND($J313="PONTUAL",MONTH($O313)=MONTH(AV$4)),AH313*(1+Macroindicadores!E$7),IF(AND($J313="PONTUAL",MONTH($O313)&lt;MONTH(AV$4)),MIN($AS313:AU313),IF(AND($I313="NOVO",MONTH($O313)&gt;MONTH(AV$4)),AH313,IF(MONTH($O313)&gt;MONTH(AV$4),AH313,IF(MONTH($O313)=MONTH(AV$4),AH313*(1+Macroindicadores!E$7),AU313)))))))))</f>
        <v>6.58805</v>
      </c>
      <c r="AW313" s="39">
        <f>IF(ISBLANK(U313),"",IF(ISBLANK($O313),AI313,IF($J313="ANUAL",AI313*(1+Macroindicadores!F$7),IF(AND($I313="NOVO",MONTH($O313)=MONTH(AW$4)),AI313*(1+Macroindicadores!F$7),IF(AND($J313="PONTUAL",MONTH($O313)=MONTH(AW$4)),AI313*(1+Macroindicadores!F$7),IF(AND($J313="PONTUAL",MONTH($O313)&lt;MONTH(AW$4)),MIN($AS313:AV313),IF(AND($I313="NOVO",MONTH($O313)&gt;MONTH(AW$4)),AI313,IF(MONTH($O313)&gt;MONTH(AW$4),AI313,IF(MONTH($O313)=MONTH(AW$4),AI313*(1+Macroindicadores!F$7),AV313)))))))))</f>
        <v>6.58805</v>
      </c>
      <c r="AX313" s="39">
        <f>IF(ISBLANK(V313),"",IF(ISBLANK($O313),AJ313,IF($J313="ANUAL",AJ313*(1+Macroindicadores!G$7),IF(AND($I313="NOVO",MONTH($O313)=MONTH(AX$4)),AJ313*(1+Macroindicadores!G$7),IF(AND($J313="PONTUAL",MONTH($O313)=MONTH(AX$4)),AJ313*(1+Macroindicadores!G$7),IF(AND($J313="PONTUAL",MONTH($O313)&lt;MONTH(AX$4)),MIN($AS313:AW313),IF(AND($I313="NOVO",MONTH($O313)&gt;MONTH(AX$4)),AJ313,IF(MONTH($O313)&gt;MONTH(AX$4),AJ313,IF(MONTH($O313)=MONTH(AX$4),AJ313*(1+Macroindicadores!G$7),AW313)))))))))</f>
        <v>6.58805</v>
      </c>
      <c r="AY313" s="39">
        <f>IF(ISBLANK(W313),"",IF(ISBLANK($O313),AK313,IF($J313="ANUAL",AK313*(1+Macroindicadores!H$7),IF(AND($I313="NOVO",MONTH($O313)=MONTH(AY$4)),AK313*(1+Macroindicadores!H$7),IF(AND($J313="PONTUAL",MONTH($O313)=MONTH(AY$4)),AK313*(1+Macroindicadores!H$7),IF(AND($J313="PONTUAL",MONTH($O313)&lt;MONTH(AY$4)),MIN($AS313:AX313),IF(AND($I313="NOVO",MONTH($O313)&gt;MONTH(AY$4)),AK313,IF(MONTH($O313)&gt;MONTH(AY$4),AK313,IF(MONTH($O313)=MONTH(AY$4),AK313*(1+Macroindicadores!H$7),AX313)))))))))</f>
        <v>6.58805</v>
      </c>
      <c r="AZ313" s="39">
        <f>IF(ISBLANK(X313),"",IF(ISBLANK($O313),AL313,IF($J313="ANUAL",AL313*(1+Macroindicadores!I$7),IF(AND($I313="NOVO",MONTH($O313)=MONTH(AZ$4)),AL313*(1+Macroindicadores!I$7),IF(AND($J313="PONTUAL",MONTH($O313)=MONTH(AZ$4)),AL313*(1+Macroindicadores!I$7),IF(AND($J313="PONTUAL",MONTH($O313)&lt;MONTH(AZ$4)),MIN($AS313:AY313),IF(AND($I313="NOVO",MONTH($O313)&gt;MONTH(AZ$4)),AL313,IF(MONTH($O313)&gt;MONTH(AZ$4),AL313,IF(MONTH($O313)=MONTH(AZ$4),AL313*(1+Macroindicadores!I$7),AY313)))))))))</f>
        <v>6.58805</v>
      </c>
      <c r="BA313" s="39">
        <f>IF(ISBLANK(Y313),"",IF(ISBLANK($O313),AM313,IF($J313="ANUAL",AM313*(1+Macroindicadores!J$7),IF(AND($I313="NOVO",MONTH($O313)=MONTH(BA$4)),AM313*(1+Macroindicadores!J$7),IF(AND($J313="PONTUAL",MONTH($O313)=MONTH(BA$4)),AM313*(1+Macroindicadores!J$7),IF(AND($J313="PONTUAL",MONTH($O313)&lt;MONTH(BA$4)),MIN($AS313:AZ313),IF(AND($I313="NOVO",MONTH($O313)&gt;MONTH(BA$4)),AM313,IF(MONTH($O313)&gt;MONTH(BA$4),AM313,IF(MONTH($O313)=MONTH(BA$4),AM313*(1+Macroindicadores!J$7),AZ313)))))))))</f>
        <v>6.58805</v>
      </c>
      <c r="BB313" s="39">
        <f>IF(ISBLANK(Z313),"",IF(ISBLANK($O313),AN313,IF($J313="ANUAL",AN313*(1+Macroindicadores!K$7),IF(AND($I313="NOVO",MONTH($O313)=MONTH(BB$4)),AN313*(1+Macroindicadores!K$7),IF(AND($J313="PONTUAL",MONTH($O313)=MONTH(BB$4)),AN313*(1+Macroindicadores!K$7),IF(AND($J313="PONTUAL",MONTH($O313)&lt;MONTH(BB$4)),MIN($AS313:BA313),IF(AND($I313="NOVO",MONTH($O313)&gt;MONTH(BB$4)),AN313,IF(MONTH($O313)&gt;MONTH(BB$4),AN313,IF(MONTH($O313)=MONTH(BB$4),AN313*(1+Macroindicadores!K$7),BA313)))))))))</f>
        <v>6.58805</v>
      </c>
      <c r="BC313" s="39">
        <f>IF(ISBLANK(AA313),"",IF(ISBLANK($O313),AO313,IF($J313="ANUAL",AO313*(1+Macroindicadores!L$7),IF(AND($I313="NOVO",MONTH($O313)=MONTH(BC$4)),AO313*(1+Macroindicadores!L$7),IF(AND($J313="PONTUAL",MONTH($O313)=MONTH(BC$4)),AO313*(1+Macroindicadores!L$7),IF(AND($J313="PONTUAL",MONTH($O313)&lt;MONTH(BC$4)),MIN($AS313:BB313),IF(AND($I313="NOVO",MONTH($O313)&gt;MONTH(BC$4)),AO313,IF(MONTH($O313)&gt;MONTH(BC$4),AO313,IF(MONTH($O313)=MONTH(BC$4),AO313*(1+Macroindicadores!L$7),BB313)))))))))</f>
        <v>6.58805</v>
      </c>
      <c r="BD313" s="39">
        <f>IF(ISBLANK(AB313),"",IF(ISBLANK($O313),AP313,IF($J313="ANUAL",AP313*(1+Macroindicadores!M$7),IF(AND($I313="NOVO",MONTH($O313)=MONTH(BD$4)),AP313*(1+Macroindicadores!M$7),IF(AND($J313="PONTUAL",MONTH($O313)=MONTH(BD$4)),AP313*(1+Macroindicadores!M$7),IF(AND($J313="PONTUAL",MONTH($O313)&lt;MONTH(BD$4)),MIN($AS313:BC313),IF(AND($I313="NOVO",MONTH($O313)&gt;MONTH(BD$4)),AP313,IF(MONTH($O313)&gt;MONTH(BD$4),AP313,IF(MONTH($O313)=MONTH(BD$4),AP313*(1+Macroindicadores!M$7),BC313)))))))))</f>
        <v>6.58805</v>
      </c>
      <c r="BE313" s="40">
        <f t="shared" si="106"/>
        <v>79.056600000000003</v>
      </c>
      <c r="BG313" s="39">
        <f>IF(ISBLANK(Q313),"",AS313/Macroindicadores!B$2)</f>
        <v>1.1204166666666666</v>
      </c>
      <c r="BH313" s="39">
        <f>IF(ISBLANK(R313),"",AT313/Macroindicadores!C$2)</f>
        <v>1.1204166666666666</v>
      </c>
      <c r="BI313" s="39">
        <f>IF(ISBLANK(S313),"",AU313/Macroindicadores!D$2)</f>
        <v>1.1204166666666666</v>
      </c>
      <c r="BJ313" s="39">
        <f>IF(ISBLANK(T313),"",AV313/Macroindicadores!E$2)</f>
        <v>1.1204166666666666</v>
      </c>
      <c r="BK313" s="39">
        <f>IF(ISBLANK(U313),"",AW313/Macroindicadores!F$2)</f>
        <v>1.1204166666666666</v>
      </c>
      <c r="BL313" s="39">
        <f>IF(ISBLANK(V313),"",AX313/Macroindicadores!G$2)</f>
        <v>1.1204166666666666</v>
      </c>
      <c r="BM313" s="39">
        <f>IF(ISBLANK(W313),"",AY313/Macroindicadores!H$2)</f>
        <v>1.1204166666666666</v>
      </c>
      <c r="BN313" s="39">
        <f>IF(ISBLANK(X313),"",AZ313/Macroindicadores!I$2)</f>
        <v>1.1204166666666666</v>
      </c>
      <c r="BO313" s="39">
        <f>IF(ISBLANK(Y313),"",BA313/Macroindicadores!J$2)</f>
        <v>1.1204166666666666</v>
      </c>
      <c r="BP313" s="39">
        <f>IF(ISBLANK(Z313),"",BB313/Macroindicadores!K$2)</f>
        <v>1.1204166666666666</v>
      </c>
      <c r="BQ313" s="39">
        <f>IF(ISBLANK(AA313),"",BC313/Macroindicadores!L$2)</f>
        <v>1.1204166666666666</v>
      </c>
      <c r="BR313" s="39">
        <f>IF(ISBLANK(AB313),"",BD313/Macroindicadores!M$2)</f>
        <v>1.1204166666666666</v>
      </c>
      <c r="BS313" s="40">
        <f t="shared" si="107"/>
        <v>13.445000000000002</v>
      </c>
      <c r="BT313" s="25" t="str">
        <f>IF(ISBLANK($L313),"",_xlfn.XLOOKUP($L313,'CENTRO CUSTO'!$A:$A,'CENTRO CUSTO'!$E:$E,FALSE,0))</f>
        <v/>
      </c>
    </row>
    <row r="314" spans="1:72">
      <c r="A314" s="9" t="str">
        <f t="shared" si="80"/>
        <v>Budget</v>
      </c>
      <c r="B314" s="9">
        <f t="shared" si="77"/>
        <v>2026</v>
      </c>
      <c r="C314" s="111" t="s">
        <v>262</v>
      </c>
      <c r="D314" s="111" t="s">
        <v>263</v>
      </c>
      <c r="E314" s="111" t="s">
        <v>14</v>
      </c>
      <c r="F314" s="112" t="s">
        <v>313</v>
      </c>
      <c r="G314" s="112" t="s">
        <v>123</v>
      </c>
      <c r="H314" s="112" t="s">
        <v>314</v>
      </c>
      <c r="I314" s="11" t="s">
        <v>77</v>
      </c>
      <c r="J314" s="11" t="s">
        <v>120</v>
      </c>
      <c r="K314" s="11" t="s">
        <v>79</v>
      </c>
      <c r="L314" s="11"/>
      <c r="M314" s="18" t="str">
        <f>IF(ISBLANK($L314),"",_xlfn.XLOOKUP($L314,'CENTRO CUSTO'!$A:$A,'CENTRO CUSTO'!D:D,FALSE,0))</f>
        <v/>
      </c>
      <c r="N314" s="11" t="s">
        <v>106</v>
      </c>
      <c r="O314" s="12"/>
      <c r="P314" s="113" t="s">
        <v>88</v>
      </c>
      <c r="Q314" s="41"/>
      <c r="R314" s="41"/>
      <c r="S314" s="41"/>
      <c r="T314" s="41"/>
      <c r="U314" s="41"/>
      <c r="V314" s="41"/>
      <c r="W314" s="41"/>
      <c r="X314" s="41"/>
      <c r="Y314" s="41"/>
      <c r="Z314" s="41"/>
      <c r="AA314" s="41"/>
      <c r="AB314" s="41"/>
      <c r="AC314" s="116" t="str">
        <f t="shared" si="104"/>
        <v/>
      </c>
      <c r="AE314" s="39" t="str">
        <f>IF(ISBLANK(Q314),"",IF($P314="BRL",Q314,Q314*Macroindicadores!B$2)/1000)</f>
        <v/>
      </c>
      <c r="AF314" s="39" t="str">
        <f>IF(ISBLANK(R314),"",IF($P314="BRL",R314,R314*Macroindicadores!C$2)/1000)</f>
        <v/>
      </c>
      <c r="AG314" s="39" t="str">
        <f>IF(ISBLANK(S314),"",IF($P314="BRL",S314,S314*Macroindicadores!D$2)/1000)</f>
        <v/>
      </c>
      <c r="AH314" s="39" t="str">
        <f>IF(ISBLANK(T314),"",IF($P314="BRL",T314,T314*Macroindicadores!E$2)/1000)</f>
        <v/>
      </c>
      <c r="AI314" s="39" t="str">
        <f>IF(ISBLANK(U314),"",IF($P314="BRL",U314,U314*Macroindicadores!F$2)/1000)</f>
        <v/>
      </c>
      <c r="AJ314" s="39" t="str">
        <f>IF(ISBLANK(V314),"",IF($P314="BRL",V314,V314*Macroindicadores!G$2)/1000)</f>
        <v/>
      </c>
      <c r="AK314" s="39" t="str">
        <f>IF(ISBLANK(W314),"",IF($P314="BRL",W314,W314*Macroindicadores!H$2)/1000)</f>
        <v/>
      </c>
      <c r="AL314" s="39" t="str">
        <f>IF(ISBLANK(X314),"",IF($P314="BRL",X314,X314*Macroindicadores!I$2)/1000)</f>
        <v/>
      </c>
      <c r="AM314" s="39" t="str">
        <f>IF(ISBLANK(Y314),"",IF($P314="BRL",Y314,Y314*Macroindicadores!J$2)/1000)</f>
        <v/>
      </c>
      <c r="AN314" s="39" t="str">
        <f>IF(ISBLANK(Z314),"",IF($P314="BRL",Z314,Z314*Macroindicadores!K$2)/1000)</f>
        <v/>
      </c>
      <c r="AO314" s="39" t="str">
        <f>IF(ISBLANK(AA314),"",IF($P314="BRL",AA314,AA314*Macroindicadores!L$2)/1000)</f>
        <v/>
      </c>
      <c r="AP314" s="39" t="str">
        <f>IF(ISBLANK(AB314),"",IF($P314="BRL",AB314,AB314*Macroindicadores!M$2)/1000)</f>
        <v/>
      </c>
      <c r="AQ314" s="40" t="str">
        <f t="shared" si="105"/>
        <v/>
      </c>
      <c r="AS314" s="39" t="str">
        <f>IF(ISBLANK(Q314),"",IF(ISBLANK($O314),AE314,IF($J314="ANUAL",AE314*(1+Macroindicadores!B$7),IF(AND($I314="NOVO",MONTH($O314)=MONTH(AS$4)),AE314*(1+Macroindicadores!B$7),IF(AND($J314="PONTUAL",MONTH($O314)=MONTH(AS$4)),AE314*(1+Macroindicadores!B$7),IF(AND($J314="PONTUAL",MONTH($O314)&lt;MONTH(AS$4)),MIN(AR314:$AS314),IF(AND($I314="NOVO",MONTH($O314)&gt;MONTH(AS$4)),AE314,IF(MONTH($O314)&gt;MONTH(AS$4),AE314,IF(MONTH($O314)=MONTH(AS$4),AE314*(1+Macroindicadores!B$7),AR314)))))))))</f>
        <v/>
      </c>
      <c r="AT314" s="39" t="str">
        <f>IF(ISBLANK(R314),"",IF(ISBLANK($O314),AF314,IF($J314="ANUAL",AF314*(1+Macroindicadores!C$7),IF(AND($I314="NOVO",MONTH($O314)=MONTH(AT$4)),AF314*(1+Macroindicadores!C$7),IF(AND($J314="PONTUAL",MONTH($O314)=MONTH(AT$4)),AF314*(1+Macroindicadores!C$7),IF(AND($J314="PONTUAL",MONTH($O314)&lt;MONTH(AT$4)),MIN($AS314:AS314),IF(AND($I314="NOVO",MONTH($O314)&gt;MONTH(AT$4)),AF314,IF(MONTH($O314)&gt;MONTH(AT$4),AF314,IF(MONTH($O314)=MONTH(AT$4),AF314*(1+Macroindicadores!C$7),AS314)))))))))</f>
        <v/>
      </c>
      <c r="AU314" s="39" t="str">
        <f>IF(ISBLANK(S314),"",IF(ISBLANK($O314),AG314,IF($J314="ANUAL",AG314*(1+Macroindicadores!D$7),IF(AND($I314="NOVO",MONTH($O314)=MONTH(AU$4)),AG314*(1+Macroindicadores!D$7),IF(AND($J314="PONTUAL",MONTH($O314)=MONTH(AU$4)),AG314*(1+Macroindicadores!D$7),IF(AND($J314="PONTUAL",MONTH($O314)&lt;MONTH(AU$4)),MIN($AS314:AT314),IF(AND($I314="NOVO",MONTH($O314)&gt;MONTH(AU$4)),AG314,IF(MONTH($O314)&gt;MONTH(AU$4),AG314,IF(MONTH($O314)=MONTH(AU$4),AG314*(1+Macroindicadores!D$7),AT314)))))))))</f>
        <v/>
      </c>
      <c r="AV314" s="39" t="str">
        <f>IF(ISBLANK(T314),"",IF(ISBLANK($O314),AH314,IF($J314="ANUAL",AH314*(1+Macroindicadores!E$7),IF(AND($I314="NOVO",MONTH($O314)=MONTH(AV$4)),AH314*(1+Macroindicadores!E$7),IF(AND($J314="PONTUAL",MONTH($O314)=MONTH(AV$4)),AH314*(1+Macroindicadores!E$7),IF(AND($J314="PONTUAL",MONTH($O314)&lt;MONTH(AV$4)),MIN($AS314:AU314),IF(AND($I314="NOVO",MONTH($O314)&gt;MONTH(AV$4)),AH314,IF(MONTH($O314)&gt;MONTH(AV$4),AH314,IF(MONTH($O314)=MONTH(AV$4),AH314*(1+Macroindicadores!E$7),AU314)))))))))</f>
        <v/>
      </c>
      <c r="AW314" s="39" t="str">
        <f>IF(ISBLANK(U314),"",IF(ISBLANK($O314),AI314,IF($J314="ANUAL",AI314*(1+Macroindicadores!F$7),IF(AND($I314="NOVO",MONTH($O314)=MONTH(AW$4)),AI314*(1+Macroindicadores!F$7),IF(AND($J314="PONTUAL",MONTH($O314)=MONTH(AW$4)),AI314*(1+Macroindicadores!F$7),IF(AND($J314="PONTUAL",MONTH($O314)&lt;MONTH(AW$4)),MIN($AS314:AV314),IF(AND($I314="NOVO",MONTH($O314)&gt;MONTH(AW$4)),AI314,IF(MONTH($O314)&gt;MONTH(AW$4),AI314,IF(MONTH($O314)=MONTH(AW$4),AI314*(1+Macroindicadores!F$7),AV314)))))))))</f>
        <v/>
      </c>
      <c r="AX314" s="39" t="str">
        <f>IF(ISBLANK(V314),"",IF(ISBLANK($O314),AJ314,IF($J314="ANUAL",AJ314*(1+Macroindicadores!G$7),IF(AND($I314="NOVO",MONTH($O314)=MONTH(AX$4)),AJ314*(1+Macroindicadores!G$7),IF(AND($J314="PONTUAL",MONTH($O314)=MONTH(AX$4)),AJ314*(1+Macroindicadores!G$7),IF(AND($J314="PONTUAL",MONTH($O314)&lt;MONTH(AX$4)),MIN($AS314:AW314),IF(AND($I314="NOVO",MONTH($O314)&gt;MONTH(AX$4)),AJ314,IF(MONTH($O314)&gt;MONTH(AX$4),AJ314,IF(MONTH($O314)=MONTH(AX$4),AJ314*(1+Macroindicadores!G$7),AW314)))))))))</f>
        <v/>
      </c>
      <c r="AY314" s="39" t="str">
        <f>IF(ISBLANK(W314),"",IF(ISBLANK($O314),AK314,IF($J314="ANUAL",AK314*(1+Macroindicadores!H$7),IF(AND($I314="NOVO",MONTH($O314)=MONTH(AY$4)),AK314*(1+Macroindicadores!H$7),IF(AND($J314="PONTUAL",MONTH($O314)=MONTH(AY$4)),AK314*(1+Macroindicadores!H$7),IF(AND($J314="PONTUAL",MONTH($O314)&lt;MONTH(AY$4)),MIN($AS314:AX314),IF(AND($I314="NOVO",MONTH($O314)&gt;MONTH(AY$4)),AK314,IF(MONTH($O314)&gt;MONTH(AY$4),AK314,IF(MONTH($O314)=MONTH(AY$4),AK314*(1+Macroindicadores!H$7),AX314)))))))))</f>
        <v/>
      </c>
      <c r="AZ314" s="39" t="str">
        <f>IF(ISBLANK(X314),"",IF(ISBLANK($O314),AL314,IF($J314="ANUAL",AL314*(1+Macroindicadores!I$7),IF(AND($I314="NOVO",MONTH($O314)=MONTH(AZ$4)),AL314*(1+Macroindicadores!I$7),IF(AND($J314="PONTUAL",MONTH($O314)=MONTH(AZ$4)),AL314*(1+Macroindicadores!I$7),IF(AND($J314="PONTUAL",MONTH($O314)&lt;MONTH(AZ$4)),MIN($AS314:AY314),IF(AND($I314="NOVO",MONTH($O314)&gt;MONTH(AZ$4)),AL314,IF(MONTH($O314)&gt;MONTH(AZ$4),AL314,IF(MONTH($O314)=MONTH(AZ$4),AL314*(1+Macroindicadores!I$7),AY314)))))))))</f>
        <v/>
      </c>
      <c r="BA314" s="39" t="str">
        <f>IF(ISBLANK(Y314),"",IF(ISBLANK($O314),AM314,IF($J314="ANUAL",AM314*(1+Macroindicadores!J$7),IF(AND($I314="NOVO",MONTH($O314)=MONTH(BA$4)),AM314*(1+Macroindicadores!J$7),IF(AND($J314="PONTUAL",MONTH($O314)=MONTH(BA$4)),AM314*(1+Macroindicadores!J$7),IF(AND($J314="PONTUAL",MONTH($O314)&lt;MONTH(BA$4)),MIN($AS314:AZ314),IF(AND($I314="NOVO",MONTH($O314)&gt;MONTH(BA$4)),AM314,IF(MONTH($O314)&gt;MONTH(BA$4),AM314,IF(MONTH($O314)=MONTH(BA$4),AM314*(1+Macroindicadores!J$7),AZ314)))))))))</f>
        <v/>
      </c>
      <c r="BB314" s="39" t="str">
        <f>IF(ISBLANK(Z314),"",IF(ISBLANK($O314),AN314,IF($J314="ANUAL",AN314*(1+Macroindicadores!K$7),IF(AND($I314="NOVO",MONTH($O314)=MONTH(BB$4)),AN314*(1+Macroindicadores!K$7),IF(AND($J314="PONTUAL",MONTH($O314)=MONTH(BB$4)),AN314*(1+Macroindicadores!K$7),IF(AND($J314="PONTUAL",MONTH($O314)&lt;MONTH(BB$4)),MIN($AS314:BA314),IF(AND($I314="NOVO",MONTH($O314)&gt;MONTH(BB$4)),AN314,IF(MONTH($O314)&gt;MONTH(BB$4),AN314,IF(MONTH($O314)=MONTH(BB$4),AN314*(1+Macroindicadores!K$7),BA314)))))))))</f>
        <v/>
      </c>
      <c r="BC314" s="39" t="str">
        <f>IF(ISBLANK(AA314),"",IF(ISBLANK($O314),AO314,IF($J314="ANUAL",AO314*(1+Macroindicadores!L$7),IF(AND($I314="NOVO",MONTH($O314)=MONTH(BC$4)),AO314*(1+Macroindicadores!L$7),IF(AND($J314="PONTUAL",MONTH($O314)=MONTH(BC$4)),AO314*(1+Macroindicadores!L$7),IF(AND($J314="PONTUAL",MONTH($O314)&lt;MONTH(BC$4)),MIN($AS314:BB314),IF(AND($I314="NOVO",MONTH($O314)&gt;MONTH(BC$4)),AO314,IF(MONTH($O314)&gt;MONTH(BC$4),AO314,IF(MONTH($O314)=MONTH(BC$4),AO314*(1+Macroindicadores!L$7),BB314)))))))))</f>
        <v/>
      </c>
      <c r="BD314" s="39" t="str">
        <f>IF(ISBLANK(AB314),"",IF(ISBLANK($O314),AP314,IF($J314="ANUAL",AP314*(1+Macroindicadores!M$7),IF(AND($I314="NOVO",MONTH($O314)=MONTH(BD$4)),AP314*(1+Macroindicadores!M$7),IF(AND($J314="PONTUAL",MONTH($O314)=MONTH(BD$4)),AP314*(1+Macroindicadores!M$7),IF(AND($J314="PONTUAL",MONTH($O314)&lt;MONTH(BD$4)),MIN($AS314:BC314),IF(AND($I314="NOVO",MONTH($O314)&gt;MONTH(BD$4)),AP314,IF(MONTH($O314)&gt;MONTH(BD$4),AP314,IF(MONTH($O314)=MONTH(BD$4),AP314*(1+Macroindicadores!M$7),BC314)))))))))</f>
        <v/>
      </c>
      <c r="BE314" s="40" t="str">
        <f t="shared" si="106"/>
        <v/>
      </c>
      <c r="BG314" s="39" t="str">
        <f>IF(ISBLANK(Q314),"",AS314/Macroindicadores!B$2)</f>
        <v/>
      </c>
      <c r="BH314" s="39" t="str">
        <f>IF(ISBLANK(R314),"",AT314/Macroindicadores!C$2)</f>
        <v/>
      </c>
      <c r="BI314" s="39" t="str">
        <f>IF(ISBLANK(S314),"",AU314/Macroindicadores!D$2)</f>
        <v/>
      </c>
      <c r="BJ314" s="39" t="str">
        <f>IF(ISBLANK(T314),"",AV314/Macroindicadores!E$2)</f>
        <v/>
      </c>
      <c r="BK314" s="39" t="str">
        <f>IF(ISBLANK(U314),"",AW314/Macroindicadores!F$2)</f>
        <v/>
      </c>
      <c r="BL314" s="39" t="str">
        <f>IF(ISBLANK(V314),"",AX314/Macroindicadores!G$2)</f>
        <v/>
      </c>
      <c r="BM314" s="39" t="str">
        <f>IF(ISBLANK(W314),"",AY314/Macroindicadores!H$2)</f>
        <v/>
      </c>
      <c r="BN314" s="39" t="str">
        <f>IF(ISBLANK(X314),"",AZ314/Macroindicadores!I$2)</f>
        <v/>
      </c>
      <c r="BO314" s="39" t="str">
        <f>IF(ISBLANK(Y314),"",BA314/Macroindicadores!J$2)</f>
        <v/>
      </c>
      <c r="BP314" s="39" t="str">
        <f>IF(ISBLANK(Z314),"",BB314/Macroindicadores!K$2)</f>
        <v/>
      </c>
      <c r="BQ314" s="39" t="str">
        <f>IF(ISBLANK(AA314),"",BC314/Macroindicadores!L$2)</f>
        <v/>
      </c>
      <c r="BR314" s="39" t="str">
        <f>IF(ISBLANK(AB314),"",BD314/Macroindicadores!M$2)</f>
        <v/>
      </c>
      <c r="BS314" s="40" t="str">
        <f t="shared" si="107"/>
        <v/>
      </c>
      <c r="BT314" s="25" t="str">
        <f>IF(ISBLANK($L314),"",_xlfn.XLOOKUP($L314,'CENTRO CUSTO'!$A:$A,'CENTRO CUSTO'!$E:$E,FALSE,0))</f>
        <v/>
      </c>
    </row>
    <row r="315" spans="1:72">
      <c r="A315" s="9" t="str">
        <f t="shared" si="80"/>
        <v>Budget</v>
      </c>
      <c r="B315" s="9">
        <f t="shared" si="77"/>
        <v>2026</v>
      </c>
      <c r="C315" s="111" t="s">
        <v>273</v>
      </c>
      <c r="D315" s="111" t="s">
        <v>274</v>
      </c>
      <c r="E315" s="111" t="s">
        <v>14</v>
      </c>
      <c r="F315" s="112" t="s">
        <v>125</v>
      </c>
      <c r="G315" s="112" t="s">
        <v>126</v>
      </c>
      <c r="H315" s="112" t="s">
        <v>127</v>
      </c>
      <c r="I315" s="11" t="s">
        <v>77</v>
      </c>
      <c r="J315" s="11" t="s">
        <v>120</v>
      </c>
      <c r="K315" s="11" t="s">
        <v>79</v>
      </c>
      <c r="L315" s="11"/>
      <c r="M315" s="18" t="str">
        <f>IF(ISBLANK($L315),"",_xlfn.XLOOKUP($L315,'CENTRO CUSTO'!$A:$A,'CENTRO CUSTO'!D:D,FALSE,0))</f>
        <v/>
      </c>
      <c r="N315" s="11" t="s">
        <v>87</v>
      </c>
      <c r="O315" s="12"/>
      <c r="P315" s="113" t="s">
        <v>88</v>
      </c>
      <c r="Q315" s="41"/>
      <c r="R315" s="41"/>
      <c r="S315" s="41"/>
      <c r="T315" s="41"/>
      <c r="U315" s="41"/>
      <c r="V315" s="41"/>
      <c r="W315" s="41"/>
      <c r="X315" s="41">
        <v>430</v>
      </c>
      <c r="Y315" s="41"/>
      <c r="Z315" s="41"/>
      <c r="AA315" s="41"/>
      <c r="AB315" s="41"/>
      <c r="AC315" s="116">
        <f t="shared" si="104"/>
        <v>430</v>
      </c>
      <c r="AE315" s="39" t="str">
        <f>IF(ISBLANK(Q315),"",IF($P315="BRL",Q315,Q315*Macroindicadores!B$2)/1000)</f>
        <v/>
      </c>
      <c r="AF315" s="39" t="str">
        <f>IF(ISBLANK(R315),"",IF($P315="BRL",R315,R315*Macroindicadores!C$2)/1000)</f>
        <v/>
      </c>
      <c r="AG315" s="39" t="str">
        <f>IF(ISBLANK(S315),"",IF($P315="BRL",S315,S315*Macroindicadores!D$2)/1000)</f>
        <v/>
      </c>
      <c r="AH315" s="39" t="str">
        <f>IF(ISBLANK(T315),"",IF($P315="BRL",T315,T315*Macroindicadores!E$2)/1000)</f>
        <v/>
      </c>
      <c r="AI315" s="39" t="str">
        <f>IF(ISBLANK(U315),"",IF($P315="BRL",U315,U315*Macroindicadores!F$2)/1000)</f>
        <v/>
      </c>
      <c r="AJ315" s="39" t="str">
        <f>IF(ISBLANK(V315),"",IF($P315="BRL",V315,V315*Macroindicadores!G$2)/1000)</f>
        <v/>
      </c>
      <c r="AK315" s="39" t="str">
        <f>IF(ISBLANK(W315),"",IF($P315="BRL",W315,W315*Macroindicadores!H$2)/1000)</f>
        <v/>
      </c>
      <c r="AL315" s="39">
        <f>IF(ISBLANK(X315),"",IF($P315="BRL",X315,X315*Macroindicadores!I$2)/1000)</f>
        <v>2.5284</v>
      </c>
      <c r="AM315" s="39" t="str">
        <f>IF(ISBLANK(Y315),"",IF($P315="BRL",Y315,Y315*Macroindicadores!J$2)/1000)</f>
        <v/>
      </c>
      <c r="AN315" s="39" t="str">
        <f>IF(ISBLANK(Z315),"",IF($P315="BRL",Z315,Z315*Macroindicadores!K$2)/1000)</f>
        <v/>
      </c>
      <c r="AO315" s="39" t="str">
        <f>IF(ISBLANK(AA315),"",IF($P315="BRL",AA315,AA315*Macroindicadores!L$2)/1000)</f>
        <v/>
      </c>
      <c r="AP315" s="39" t="str">
        <f>IF(ISBLANK(AB315),"",IF($P315="BRL",AB315,AB315*Macroindicadores!M$2)/1000)</f>
        <v/>
      </c>
      <c r="AQ315" s="40">
        <f t="shared" si="105"/>
        <v>2.5284</v>
      </c>
      <c r="AS315" s="39" t="str">
        <f>IF(ISBLANK(Q315),"",IF(ISBLANK($O315),AE315,IF($J315="ANUAL",AE315*(1+Macroindicadores!B$7),IF(AND($I315="NOVO",MONTH($O315)=MONTH(AS$4)),AE315*(1+Macroindicadores!B$7),IF(AND($J315="PONTUAL",MONTH($O315)=MONTH(AS$4)),AE315*(1+Macroindicadores!B$7),IF(AND($J315="PONTUAL",MONTH($O315)&lt;MONTH(AS$4)),MIN(AR315:$AS315),IF(AND($I315="NOVO",MONTH($O315)&gt;MONTH(AS$4)),AE315,IF(MONTH($O315)&gt;MONTH(AS$4),AE315,IF(MONTH($O315)=MONTH(AS$4),AE315*(1+Macroindicadores!B$7),AR315)))))))))</f>
        <v/>
      </c>
      <c r="AT315" s="39" t="str">
        <f>IF(ISBLANK(R315),"",IF(ISBLANK($O315),AF315,IF($J315="ANUAL",AF315*(1+Macroindicadores!C$7),IF(AND($I315="NOVO",MONTH($O315)=MONTH(AT$4)),AF315*(1+Macroindicadores!C$7),IF(AND($J315="PONTUAL",MONTH($O315)=MONTH(AT$4)),AF315*(1+Macroindicadores!C$7),IF(AND($J315="PONTUAL",MONTH($O315)&lt;MONTH(AT$4)),MIN($AS315:AS315),IF(AND($I315="NOVO",MONTH($O315)&gt;MONTH(AT$4)),AF315,IF(MONTH($O315)&gt;MONTH(AT$4),AF315,IF(MONTH($O315)=MONTH(AT$4),AF315*(1+Macroindicadores!C$7),AS315)))))))))</f>
        <v/>
      </c>
      <c r="AU315" s="39" t="str">
        <f>IF(ISBLANK(S315),"",IF(ISBLANK($O315),AG315,IF($J315="ANUAL",AG315*(1+Macroindicadores!D$7),IF(AND($I315="NOVO",MONTH($O315)=MONTH(AU$4)),AG315*(1+Macroindicadores!D$7),IF(AND($J315="PONTUAL",MONTH($O315)=MONTH(AU$4)),AG315*(1+Macroindicadores!D$7),IF(AND($J315="PONTUAL",MONTH($O315)&lt;MONTH(AU$4)),MIN($AS315:AT315),IF(AND($I315="NOVO",MONTH($O315)&gt;MONTH(AU$4)),AG315,IF(MONTH($O315)&gt;MONTH(AU$4),AG315,IF(MONTH($O315)=MONTH(AU$4),AG315*(1+Macroindicadores!D$7),AT315)))))))))</f>
        <v/>
      </c>
      <c r="AV315" s="39" t="str">
        <f>IF(ISBLANK(T315),"",IF(ISBLANK($O315),AH315,IF($J315="ANUAL",AH315*(1+Macroindicadores!E$7),IF(AND($I315="NOVO",MONTH($O315)=MONTH(AV$4)),AH315*(1+Macroindicadores!E$7),IF(AND($J315="PONTUAL",MONTH($O315)=MONTH(AV$4)),AH315*(1+Macroindicadores!E$7),IF(AND($J315="PONTUAL",MONTH($O315)&lt;MONTH(AV$4)),MIN($AS315:AU315),IF(AND($I315="NOVO",MONTH($O315)&gt;MONTH(AV$4)),AH315,IF(MONTH($O315)&gt;MONTH(AV$4),AH315,IF(MONTH($O315)=MONTH(AV$4),AH315*(1+Macroindicadores!E$7),AU315)))))))))</f>
        <v/>
      </c>
      <c r="AW315" s="39" t="str">
        <f>IF(ISBLANK(U315),"",IF(ISBLANK($O315),AI315,IF($J315="ANUAL",AI315*(1+Macroindicadores!F$7),IF(AND($I315="NOVO",MONTH($O315)=MONTH(AW$4)),AI315*(1+Macroindicadores!F$7),IF(AND($J315="PONTUAL",MONTH($O315)=MONTH(AW$4)),AI315*(1+Macroindicadores!F$7),IF(AND($J315="PONTUAL",MONTH($O315)&lt;MONTH(AW$4)),MIN($AS315:AV315),IF(AND($I315="NOVO",MONTH($O315)&gt;MONTH(AW$4)),AI315,IF(MONTH($O315)&gt;MONTH(AW$4),AI315,IF(MONTH($O315)=MONTH(AW$4),AI315*(1+Macroindicadores!F$7),AV315)))))))))</f>
        <v/>
      </c>
      <c r="AX315" s="39" t="str">
        <f>IF(ISBLANK(V315),"",IF(ISBLANK($O315),AJ315,IF($J315="ANUAL",AJ315*(1+Macroindicadores!G$7),IF(AND($I315="NOVO",MONTH($O315)=MONTH(AX$4)),AJ315*(1+Macroindicadores!G$7),IF(AND($J315="PONTUAL",MONTH($O315)=MONTH(AX$4)),AJ315*(1+Macroindicadores!G$7),IF(AND($J315="PONTUAL",MONTH($O315)&lt;MONTH(AX$4)),MIN($AS315:AW315),IF(AND($I315="NOVO",MONTH($O315)&gt;MONTH(AX$4)),AJ315,IF(MONTH($O315)&gt;MONTH(AX$4),AJ315,IF(MONTH($O315)=MONTH(AX$4),AJ315*(1+Macroindicadores!G$7),AW315)))))))))</f>
        <v/>
      </c>
      <c r="AY315" s="39" t="str">
        <f>IF(ISBLANK(W315),"",IF(ISBLANK($O315),AK315,IF($J315="ANUAL",AK315*(1+Macroindicadores!H$7),IF(AND($I315="NOVO",MONTH($O315)=MONTH(AY$4)),AK315*(1+Macroindicadores!H$7),IF(AND($J315="PONTUAL",MONTH($O315)=MONTH(AY$4)),AK315*(1+Macroindicadores!H$7),IF(AND($J315="PONTUAL",MONTH($O315)&lt;MONTH(AY$4)),MIN($AS315:AX315),IF(AND($I315="NOVO",MONTH($O315)&gt;MONTH(AY$4)),AK315,IF(MONTH($O315)&gt;MONTH(AY$4),AK315,IF(MONTH($O315)=MONTH(AY$4),AK315*(1+Macroindicadores!H$7),AX315)))))))))</f>
        <v/>
      </c>
      <c r="AZ315" s="39">
        <f>IF(ISBLANK(X315),"",IF(ISBLANK($O315),AL315,IF($J315="ANUAL",AL315*(1+Macroindicadores!I$7),IF(AND($I315="NOVO",MONTH($O315)=MONTH(AZ$4)),AL315*(1+Macroindicadores!I$7),IF(AND($J315="PONTUAL",MONTH($O315)=MONTH(AZ$4)),AL315*(1+Macroindicadores!I$7),IF(AND($J315="PONTUAL",MONTH($O315)&lt;MONTH(AZ$4)),MIN($AS315:AY315),IF(AND($I315="NOVO",MONTH($O315)&gt;MONTH(AZ$4)),AL315,IF(MONTH($O315)&gt;MONTH(AZ$4),AL315,IF(MONTH($O315)=MONTH(AZ$4),AL315*(1+Macroindicadores!I$7),AY315)))))))))</f>
        <v>2.5284</v>
      </c>
      <c r="BA315" s="39" t="str">
        <f>IF(ISBLANK(Y315),"",IF(ISBLANK($O315),AM315,IF($J315="ANUAL",AM315*(1+Macroindicadores!J$7),IF(AND($I315="NOVO",MONTH($O315)=MONTH(BA$4)),AM315*(1+Macroindicadores!J$7),IF(AND($J315="PONTUAL",MONTH($O315)=MONTH(BA$4)),AM315*(1+Macroindicadores!J$7),IF(AND($J315="PONTUAL",MONTH($O315)&lt;MONTH(BA$4)),MIN($AS315:AZ315),IF(AND($I315="NOVO",MONTH($O315)&gt;MONTH(BA$4)),AM315,IF(MONTH($O315)&gt;MONTH(BA$4),AM315,IF(MONTH($O315)=MONTH(BA$4),AM315*(1+Macroindicadores!J$7),AZ315)))))))))</f>
        <v/>
      </c>
      <c r="BB315" s="39" t="str">
        <f>IF(ISBLANK(Z315),"",IF(ISBLANK($O315),AN315,IF($J315="ANUAL",AN315*(1+Macroindicadores!K$7),IF(AND($I315="NOVO",MONTH($O315)=MONTH(BB$4)),AN315*(1+Macroindicadores!K$7),IF(AND($J315="PONTUAL",MONTH($O315)=MONTH(BB$4)),AN315*(1+Macroindicadores!K$7),IF(AND($J315="PONTUAL",MONTH($O315)&lt;MONTH(BB$4)),MIN($AS315:BA315),IF(AND($I315="NOVO",MONTH($O315)&gt;MONTH(BB$4)),AN315,IF(MONTH($O315)&gt;MONTH(BB$4),AN315,IF(MONTH($O315)=MONTH(BB$4),AN315*(1+Macroindicadores!K$7),BA315)))))))))</f>
        <v/>
      </c>
      <c r="BC315" s="39" t="str">
        <f>IF(ISBLANK(AA315),"",IF(ISBLANK($O315),AO315,IF($J315="ANUAL",AO315*(1+Macroindicadores!L$7),IF(AND($I315="NOVO",MONTH($O315)=MONTH(BC$4)),AO315*(1+Macroindicadores!L$7),IF(AND($J315="PONTUAL",MONTH($O315)=MONTH(BC$4)),AO315*(1+Macroindicadores!L$7),IF(AND($J315="PONTUAL",MONTH($O315)&lt;MONTH(BC$4)),MIN($AS315:BB315),IF(AND($I315="NOVO",MONTH($O315)&gt;MONTH(BC$4)),AO315,IF(MONTH($O315)&gt;MONTH(BC$4),AO315,IF(MONTH($O315)=MONTH(BC$4),AO315*(1+Macroindicadores!L$7),BB315)))))))))</f>
        <v/>
      </c>
      <c r="BD315" s="39" t="str">
        <f>IF(ISBLANK(AB315),"",IF(ISBLANK($O315),AP315,IF($J315="ANUAL",AP315*(1+Macroindicadores!M$7),IF(AND($I315="NOVO",MONTH($O315)=MONTH(BD$4)),AP315*(1+Macroindicadores!M$7),IF(AND($J315="PONTUAL",MONTH($O315)=MONTH(BD$4)),AP315*(1+Macroindicadores!M$7),IF(AND($J315="PONTUAL",MONTH($O315)&lt;MONTH(BD$4)),MIN($AS315:BC315),IF(AND($I315="NOVO",MONTH($O315)&gt;MONTH(BD$4)),AP315,IF(MONTH($O315)&gt;MONTH(BD$4),AP315,IF(MONTH($O315)=MONTH(BD$4),AP315*(1+Macroindicadores!M$7),BC315)))))))))</f>
        <v/>
      </c>
      <c r="BE315" s="40">
        <f t="shared" si="106"/>
        <v>2.5284</v>
      </c>
      <c r="BG315" s="39" t="str">
        <f>IF(ISBLANK(Q315),"",AS315/Macroindicadores!B$2)</f>
        <v/>
      </c>
      <c r="BH315" s="39" t="str">
        <f>IF(ISBLANK(R315),"",AT315/Macroindicadores!C$2)</f>
        <v/>
      </c>
      <c r="BI315" s="39" t="str">
        <f>IF(ISBLANK(S315),"",AU315/Macroindicadores!D$2)</f>
        <v/>
      </c>
      <c r="BJ315" s="39" t="str">
        <f>IF(ISBLANK(T315),"",AV315/Macroindicadores!E$2)</f>
        <v/>
      </c>
      <c r="BK315" s="39" t="str">
        <f>IF(ISBLANK(U315),"",AW315/Macroindicadores!F$2)</f>
        <v/>
      </c>
      <c r="BL315" s="39" t="str">
        <f>IF(ISBLANK(V315),"",AX315/Macroindicadores!G$2)</f>
        <v/>
      </c>
      <c r="BM315" s="39" t="str">
        <f>IF(ISBLANK(W315),"",AY315/Macroindicadores!H$2)</f>
        <v/>
      </c>
      <c r="BN315" s="39">
        <f>IF(ISBLANK(X315),"",AZ315/Macroindicadores!I$2)</f>
        <v>0.43</v>
      </c>
      <c r="BO315" s="39" t="str">
        <f>IF(ISBLANK(Y315),"",BA315/Macroindicadores!J$2)</f>
        <v/>
      </c>
      <c r="BP315" s="39" t="str">
        <f>IF(ISBLANK(Z315),"",BB315/Macroindicadores!K$2)</f>
        <v/>
      </c>
      <c r="BQ315" s="39" t="str">
        <f>IF(ISBLANK(AA315),"",BC315/Macroindicadores!L$2)</f>
        <v/>
      </c>
      <c r="BR315" s="39" t="str">
        <f>IF(ISBLANK(AB315),"",BD315/Macroindicadores!M$2)</f>
        <v/>
      </c>
      <c r="BS315" s="40">
        <f t="shared" si="107"/>
        <v>0.43</v>
      </c>
      <c r="BT315" s="25" t="str">
        <f>IF(ISBLANK($L315),"",_xlfn.XLOOKUP($L315,'CENTRO CUSTO'!$A:$A,'CENTRO CUSTO'!$E:$E,FALSE,0))</f>
        <v/>
      </c>
    </row>
    <row r="316" spans="1:72">
      <c r="A316" s="9" t="str">
        <f t="shared" si="80"/>
        <v>Budget</v>
      </c>
      <c r="B316" s="9">
        <f t="shared" si="77"/>
        <v>2026</v>
      </c>
      <c r="C316" s="111" t="s">
        <v>262</v>
      </c>
      <c r="D316" s="111" t="s">
        <v>263</v>
      </c>
      <c r="E316" s="111" t="s">
        <v>14</v>
      </c>
      <c r="F316" s="112" t="s">
        <v>125</v>
      </c>
      <c r="G316" s="112" t="s">
        <v>126</v>
      </c>
      <c r="H316" s="112" t="s">
        <v>315</v>
      </c>
      <c r="I316" s="11" t="s">
        <v>77</v>
      </c>
      <c r="J316" s="11" t="s">
        <v>120</v>
      </c>
      <c r="K316" s="11" t="s">
        <v>79</v>
      </c>
      <c r="L316" s="11"/>
      <c r="M316" s="18" t="str">
        <f>IF(ISBLANK($L316),"",_xlfn.XLOOKUP($L316,'CENTRO CUSTO'!$A:$A,'CENTRO CUSTO'!D:D,FALSE,0))</f>
        <v/>
      </c>
      <c r="N316" s="11" t="s">
        <v>87</v>
      </c>
      <c r="O316" s="12"/>
      <c r="P316" s="113" t="s">
        <v>88</v>
      </c>
      <c r="Q316" s="41"/>
      <c r="R316" s="41"/>
      <c r="S316" s="41"/>
      <c r="T316" s="41"/>
      <c r="U316" s="41"/>
      <c r="V316" s="41"/>
      <c r="W316" s="41"/>
      <c r="X316" s="41"/>
      <c r="Y316" s="41"/>
      <c r="Z316" s="41"/>
      <c r="AA316" s="41"/>
      <c r="AB316" s="41"/>
      <c r="AC316" s="116" t="str">
        <f t="shared" si="104"/>
        <v/>
      </c>
      <c r="AE316" s="39" t="str">
        <f>IF(ISBLANK(Q316),"",IF($P316="BRL",Q316,Q316*Macroindicadores!B$2)/1000)</f>
        <v/>
      </c>
      <c r="AF316" s="39" t="str">
        <f>IF(ISBLANK(R316),"",IF($P316="BRL",R316,R316*Macroindicadores!C$2)/1000)</f>
        <v/>
      </c>
      <c r="AG316" s="39" t="str">
        <f>IF(ISBLANK(S316),"",IF($P316="BRL",S316,S316*Macroindicadores!D$2)/1000)</f>
        <v/>
      </c>
      <c r="AH316" s="39" t="str">
        <f>IF(ISBLANK(T316),"",IF($P316="BRL",T316,T316*Macroindicadores!E$2)/1000)</f>
        <v/>
      </c>
      <c r="AI316" s="39" t="str">
        <f>IF(ISBLANK(U316),"",IF($P316="BRL",U316,U316*Macroindicadores!F$2)/1000)</f>
        <v/>
      </c>
      <c r="AJ316" s="39" t="str">
        <f>IF(ISBLANK(V316),"",IF($P316="BRL",V316,V316*Macroindicadores!G$2)/1000)</f>
        <v/>
      </c>
      <c r="AK316" s="39" t="str">
        <f>IF(ISBLANK(W316),"",IF($P316="BRL",W316,W316*Macroindicadores!H$2)/1000)</f>
        <v/>
      </c>
      <c r="AL316" s="39" t="str">
        <f>IF(ISBLANK(X316),"",IF($P316="BRL",X316,X316*Macroindicadores!I$2)/1000)</f>
        <v/>
      </c>
      <c r="AM316" s="39" t="str">
        <f>IF(ISBLANK(Y316),"",IF($P316="BRL",Y316,Y316*Macroindicadores!J$2)/1000)</f>
        <v/>
      </c>
      <c r="AN316" s="39" t="str">
        <f>IF(ISBLANK(Z316),"",IF($P316="BRL",Z316,Z316*Macroindicadores!K$2)/1000)</f>
        <v/>
      </c>
      <c r="AO316" s="39" t="str">
        <f>IF(ISBLANK(AA316),"",IF($P316="BRL",AA316,AA316*Macroindicadores!L$2)/1000)</f>
        <v/>
      </c>
      <c r="AP316" s="39" t="str">
        <f>IF(ISBLANK(AB316),"",IF($P316="BRL",AB316,AB316*Macroindicadores!M$2)/1000)</f>
        <v/>
      </c>
      <c r="AQ316" s="40" t="str">
        <f t="shared" si="105"/>
        <v/>
      </c>
      <c r="AS316" s="39" t="str">
        <f>IF(ISBLANK(Q316),"",IF(ISBLANK($O316),AE316,IF($J316="ANUAL",AE316*(1+Macroindicadores!B$7),IF(AND($I316="NOVO",MONTH($O316)=MONTH(AS$4)),AE316*(1+Macroindicadores!B$7),IF(AND($J316="PONTUAL",MONTH($O316)=MONTH(AS$4)),AE316*(1+Macroindicadores!B$7),IF(AND($J316="PONTUAL",MONTH($O316)&lt;MONTH(AS$4)),MIN(AR316:$AS316),IF(AND($I316="NOVO",MONTH($O316)&gt;MONTH(AS$4)),AE316,IF(MONTH($O316)&gt;MONTH(AS$4),AE316,IF(MONTH($O316)=MONTH(AS$4),AE316*(1+Macroindicadores!B$7),AR316)))))))))</f>
        <v/>
      </c>
      <c r="AT316" s="39" t="str">
        <f>IF(ISBLANK(R316),"",IF(ISBLANK($O316),AF316,IF($J316="ANUAL",AF316*(1+Macroindicadores!C$7),IF(AND($I316="NOVO",MONTH($O316)=MONTH(AT$4)),AF316*(1+Macroindicadores!C$7),IF(AND($J316="PONTUAL",MONTH($O316)=MONTH(AT$4)),AF316*(1+Macroindicadores!C$7),IF(AND($J316="PONTUAL",MONTH($O316)&lt;MONTH(AT$4)),MIN($AS316:AS316),IF(AND($I316="NOVO",MONTH($O316)&gt;MONTH(AT$4)),AF316,IF(MONTH($O316)&gt;MONTH(AT$4),AF316,IF(MONTH($O316)=MONTH(AT$4),AF316*(1+Macroindicadores!C$7),AS316)))))))))</f>
        <v/>
      </c>
      <c r="AU316" s="39" t="str">
        <f>IF(ISBLANK(S316),"",IF(ISBLANK($O316),AG316,IF($J316="ANUAL",AG316*(1+Macroindicadores!D$7),IF(AND($I316="NOVO",MONTH($O316)=MONTH(AU$4)),AG316*(1+Macroindicadores!D$7),IF(AND($J316="PONTUAL",MONTH($O316)=MONTH(AU$4)),AG316*(1+Macroindicadores!D$7),IF(AND($J316="PONTUAL",MONTH($O316)&lt;MONTH(AU$4)),MIN($AS316:AT316),IF(AND($I316="NOVO",MONTH($O316)&gt;MONTH(AU$4)),AG316,IF(MONTH($O316)&gt;MONTH(AU$4),AG316,IF(MONTH($O316)=MONTH(AU$4),AG316*(1+Macroindicadores!D$7),AT316)))))))))</f>
        <v/>
      </c>
      <c r="AV316" s="39" t="str">
        <f>IF(ISBLANK(T316),"",IF(ISBLANK($O316),AH316,IF($J316="ANUAL",AH316*(1+Macroindicadores!E$7),IF(AND($I316="NOVO",MONTH($O316)=MONTH(AV$4)),AH316*(1+Macroindicadores!E$7),IF(AND($J316="PONTUAL",MONTH($O316)=MONTH(AV$4)),AH316*(1+Macroindicadores!E$7),IF(AND($J316="PONTUAL",MONTH($O316)&lt;MONTH(AV$4)),MIN($AS316:AU316),IF(AND($I316="NOVO",MONTH($O316)&gt;MONTH(AV$4)),AH316,IF(MONTH($O316)&gt;MONTH(AV$4),AH316,IF(MONTH($O316)=MONTH(AV$4),AH316*(1+Macroindicadores!E$7),AU316)))))))))</f>
        <v/>
      </c>
      <c r="AW316" s="39" t="str">
        <f>IF(ISBLANK(U316),"",IF(ISBLANK($O316),AI316,IF($J316="ANUAL",AI316*(1+Macroindicadores!F$7),IF(AND($I316="NOVO",MONTH($O316)=MONTH(AW$4)),AI316*(1+Macroindicadores!F$7),IF(AND($J316="PONTUAL",MONTH($O316)=MONTH(AW$4)),AI316*(1+Macroindicadores!F$7),IF(AND($J316="PONTUAL",MONTH($O316)&lt;MONTH(AW$4)),MIN($AS316:AV316),IF(AND($I316="NOVO",MONTH($O316)&gt;MONTH(AW$4)),AI316,IF(MONTH($O316)&gt;MONTH(AW$4),AI316,IF(MONTH($O316)=MONTH(AW$4),AI316*(1+Macroindicadores!F$7),AV316)))))))))</f>
        <v/>
      </c>
      <c r="AX316" s="39" t="str">
        <f>IF(ISBLANK(V316),"",IF(ISBLANK($O316),AJ316,IF($J316="ANUAL",AJ316*(1+Macroindicadores!G$7),IF(AND($I316="NOVO",MONTH($O316)=MONTH(AX$4)),AJ316*(1+Macroindicadores!G$7),IF(AND($J316="PONTUAL",MONTH($O316)=MONTH(AX$4)),AJ316*(1+Macroindicadores!G$7),IF(AND($J316="PONTUAL",MONTH($O316)&lt;MONTH(AX$4)),MIN($AS316:AW316),IF(AND($I316="NOVO",MONTH($O316)&gt;MONTH(AX$4)),AJ316,IF(MONTH($O316)&gt;MONTH(AX$4),AJ316,IF(MONTH($O316)=MONTH(AX$4),AJ316*(1+Macroindicadores!G$7),AW316)))))))))</f>
        <v/>
      </c>
      <c r="AY316" s="39" t="str">
        <f>IF(ISBLANK(W316),"",IF(ISBLANK($O316),AK316,IF($J316="ANUAL",AK316*(1+Macroindicadores!H$7),IF(AND($I316="NOVO",MONTH($O316)=MONTH(AY$4)),AK316*(1+Macroindicadores!H$7),IF(AND($J316="PONTUAL",MONTH($O316)=MONTH(AY$4)),AK316*(1+Macroindicadores!H$7),IF(AND($J316="PONTUAL",MONTH($O316)&lt;MONTH(AY$4)),MIN($AS316:AX316),IF(AND($I316="NOVO",MONTH($O316)&gt;MONTH(AY$4)),AK316,IF(MONTH($O316)&gt;MONTH(AY$4),AK316,IF(MONTH($O316)=MONTH(AY$4),AK316*(1+Macroindicadores!H$7),AX316)))))))))</f>
        <v/>
      </c>
      <c r="AZ316" s="39" t="str">
        <f>IF(ISBLANK(X316),"",IF(ISBLANK($O316),AL316,IF($J316="ANUAL",AL316*(1+Macroindicadores!I$7),IF(AND($I316="NOVO",MONTH($O316)=MONTH(AZ$4)),AL316*(1+Macroindicadores!I$7),IF(AND($J316="PONTUAL",MONTH($O316)=MONTH(AZ$4)),AL316*(1+Macroindicadores!I$7),IF(AND($J316="PONTUAL",MONTH($O316)&lt;MONTH(AZ$4)),MIN($AS316:AY316),IF(AND($I316="NOVO",MONTH($O316)&gt;MONTH(AZ$4)),AL316,IF(MONTH($O316)&gt;MONTH(AZ$4),AL316,IF(MONTH($O316)=MONTH(AZ$4),AL316*(1+Macroindicadores!I$7),AY316)))))))))</f>
        <v/>
      </c>
      <c r="BA316" s="39" t="str">
        <f>IF(ISBLANK(Y316),"",IF(ISBLANK($O316),AM316,IF($J316="ANUAL",AM316*(1+Macroindicadores!J$7),IF(AND($I316="NOVO",MONTH($O316)=MONTH(BA$4)),AM316*(1+Macroindicadores!J$7),IF(AND($J316="PONTUAL",MONTH($O316)=MONTH(BA$4)),AM316*(1+Macroindicadores!J$7),IF(AND($J316="PONTUAL",MONTH($O316)&lt;MONTH(BA$4)),MIN($AS316:AZ316),IF(AND($I316="NOVO",MONTH($O316)&gt;MONTH(BA$4)),AM316,IF(MONTH($O316)&gt;MONTH(BA$4),AM316,IF(MONTH($O316)=MONTH(BA$4),AM316*(1+Macroindicadores!J$7),AZ316)))))))))</f>
        <v/>
      </c>
      <c r="BB316" s="39" t="str">
        <f>IF(ISBLANK(Z316),"",IF(ISBLANK($O316),AN316,IF($J316="ANUAL",AN316*(1+Macroindicadores!K$7),IF(AND($I316="NOVO",MONTH($O316)=MONTH(BB$4)),AN316*(1+Macroindicadores!K$7),IF(AND($J316="PONTUAL",MONTH($O316)=MONTH(BB$4)),AN316*(1+Macroindicadores!K$7),IF(AND($J316="PONTUAL",MONTH($O316)&lt;MONTH(BB$4)),MIN($AS316:BA316),IF(AND($I316="NOVO",MONTH($O316)&gt;MONTH(BB$4)),AN316,IF(MONTH($O316)&gt;MONTH(BB$4),AN316,IF(MONTH($O316)=MONTH(BB$4),AN316*(1+Macroindicadores!K$7),BA316)))))))))</f>
        <v/>
      </c>
      <c r="BC316" s="39" t="str">
        <f>IF(ISBLANK(AA316),"",IF(ISBLANK($O316),AO316,IF($J316="ANUAL",AO316*(1+Macroindicadores!L$7),IF(AND($I316="NOVO",MONTH($O316)=MONTH(BC$4)),AO316*(1+Macroindicadores!L$7),IF(AND($J316="PONTUAL",MONTH($O316)=MONTH(BC$4)),AO316*(1+Macroindicadores!L$7),IF(AND($J316="PONTUAL",MONTH($O316)&lt;MONTH(BC$4)),MIN($AS316:BB316),IF(AND($I316="NOVO",MONTH($O316)&gt;MONTH(BC$4)),AO316,IF(MONTH($O316)&gt;MONTH(BC$4),AO316,IF(MONTH($O316)=MONTH(BC$4),AO316*(1+Macroindicadores!L$7),BB316)))))))))</f>
        <v/>
      </c>
      <c r="BD316" s="39" t="str">
        <f>IF(ISBLANK(AB316),"",IF(ISBLANK($O316),AP316,IF($J316="ANUAL",AP316*(1+Macroindicadores!M$7),IF(AND($I316="NOVO",MONTH($O316)=MONTH(BD$4)),AP316*(1+Macroindicadores!M$7),IF(AND($J316="PONTUAL",MONTH($O316)=MONTH(BD$4)),AP316*(1+Macroindicadores!M$7),IF(AND($J316="PONTUAL",MONTH($O316)&lt;MONTH(BD$4)),MIN($AS316:BC316),IF(AND($I316="NOVO",MONTH($O316)&gt;MONTH(BD$4)),AP316,IF(MONTH($O316)&gt;MONTH(BD$4),AP316,IF(MONTH($O316)=MONTH(BD$4),AP316*(1+Macroindicadores!M$7),BC316)))))))))</f>
        <v/>
      </c>
      <c r="BE316" s="40" t="str">
        <f t="shared" si="106"/>
        <v/>
      </c>
      <c r="BG316" s="39" t="str">
        <f>IF(ISBLANK(Q316),"",AS316/Macroindicadores!B$2)</f>
        <v/>
      </c>
      <c r="BH316" s="39" t="str">
        <f>IF(ISBLANK(R316),"",AT316/Macroindicadores!C$2)</f>
        <v/>
      </c>
      <c r="BI316" s="39" t="str">
        <f>IF(ISBLANK(S316),"",AU316/Macroindicadores!D$2)</f>
        <v/>
      </c>
      <c r="BJ316" s="39" t="str">
        <f>IF(ISBLANK(T316),"",AV316/Macroindicadores!E$2)</f>
        <v/>
      </c>
      <c r="BK316" s="39" t="str">
        <f>IF(ISBLANK(U316),"",AW316/Macroindicadores!F$2)</f>
        <v/>
      </c>
      <c r="BL316" s="39" t="str">
        <f>IF(ISBLANK(V316),"",AX316/Macroindicadores!G$2)</f>
        <v/>
      </c>
      <c r="BM316" s="39" t="str">
        <f>IF(ISBLANK(W316),"",AY316/Macroindicadores!H$2)</f>
        <v/>
      </c>
      <c r="BN316" s="39" t="str">
        <f>IF(ISBLANK(X316),"",AZ316/Macroindicadores!I$2)</f>
        <v/>
      </c>
      <c r="BO316" s="39" t="str">
        <f>IF(ISBLANK(Y316),"",BA316/Macroindicadores!J$2)</f>
        <v/>
      </c>
      <c r="BP316" s="39" t="str">
        <f>IF(ISBLANK(Z316),"",BB316/Macroindicadores!K$2)</f>
        <v/>
      </c>
      <c r="BQ316" s="39" t="str">
        <f>IF(ISBLANK(AA316),"",BC316/Macroindicadores!L$2)</f>
        <v/>
      </c>
      <c r="BR316" s="39" t="str">
        <f>IF(ISBLANK(AB316),"",BD316/Macroindicadores!M$2)</f>
        <v/>
      </c>
      <c r="BS316" s="40" t="str">
        <f t="shared" si="107"/>
        <v/>
      </c>
      <c r="BT316" s="25" t="str">
        <f>IF(ISBLANK($L316),"",_xlfn.XLOOKUP($L316,'CENTRO CUSTO'!$A:$A,'CENTRO CUSTO'!$E:$E,FALSE,0))</f>
        <v/>
      </c>
    </row>
    <row r="317" spans="1:72">
      <c r="A317" s="9" t="str">
        <f t="shared" si="80"/>
        <v>Budget</v>
      </c>
      <c r="B317" s="9">
        <f t="shared" si="77"/>
        <v>2026</v>
      </c>
      <c r="C317" s="111" t="s">
        <v>262</v>
      </c>
      <c r="D317" s="111" t="s">
        <v>263</v>
      </c>
      <c r="E317" s="111" t="s">
        <v>14</v>
      </c>
      <c r="F317" s="112" t="s">
        <v>288</v>
      </c>
      <c r="G317" s="112" t="s">
        <v>123</v>
      </c>
      <c r="H317" s="112" t="s">
        <v>316</v>
      </c>
      <c r="I317" s="11" t="s">
        <v>84</v>
      </c>
      <c r="J317" s="11" t="s">
        <v>78</v>
      </c>
      <c r="K317" s="11" t="s">
        <v>79</v>
      </c>
      <c r="L317" s="11"/>
      <c r="M317" s="18" t="str">
        <f>IF(ISBLANK($L317),"",_xlfn.XLOOKUP($L317,'CENTRO CUSTO'!$A:$A,'CENTRO CUSTO'!D:D,FALSE,0))</f>
        <v/>
      </c>
      <c r="N317" s="11" t="s">
        <v>91</v>
      </c>
      <c r="O317" s="12"/>
      <c r="P317" s="113" t="s">
        <v>88</v>
      </c>
      <c r="Q317" s="41"/>
      <c r="R317" s="41"/>
      <c r="S317" s="41"/>
      <c r="T317" s="41"/>
      <c r="U317" s="41"/>
      <c r="V317" s="41"/>
      <c r="W317" s="41"/>
      <c r="X317" s="41"/>
      <c r="Y317" s="41"/>
      <c r="Z317" s="41"/>
      <c r="AA317" s="41"/>
      <c r="AB317" s="41"/>
      <c r="AC317" s="116" t="str">
        <f t="shared" ref="AC317:AC321" si="145">IF(AND(ISBLANK($Q317),ISBLANK($R317),ISBLANK($S317),ISBLANK($T317),ISBLANK($U317),ISBLANK($V317),ISBLANK($W317),ISBLANK($X317),ISBLANK($Y317),ISBLANK($Z317),ISBLANK($AA317),ISBLANK($AB317)),"",SUM(Q317:AB317))</f>
        <v/>
      </c>
      <c r="AE317" s="39" t="str">
        <f>IF(ISBLANK(Q317),"",IF($P317="BRL",Q317,Q317*Macroindicadores!B$2)/1000)</f>
        <v/>
      </c>
      <c r="AF317" s="39" t="str">
        <f>IF(ISBLANK(R317),"",IF($P317="BRL",R317,R317*Macroindicadores!C$2)/1000)</f>
        <v/>
      </c>
      <c r="AG317" s="39" t="str">
        <f>IF(ISBLANK(S317),"",IF($P317="BRL",S317,S317*Macroindicadores!D$2)/1000)</f>
        <v/>
      </c>
      <c r="AH317" s="39" t="str">
        <f>IF(ISBLANK(T317),"",IF($P317="BRL",T317,T317*Macroindicadores!E$2)/1000)</f>
        <v/>
      </c>
      <c r="AI317" s="39" t="str">
        <f>IF(ISBLANK(U317),"",IF($P317="BRL",U317,U317*Macroindicadores!F$2)/1000)</f>
        <v/>
      </c>
      <c r="AJ317" s="39" t="str">
        <f>IF(ISBLANK(V317),"",IF($P317="BRL",V317,V317*Macroindicadores!G$2)/1000)</f>
        <v/>
      </c>
      <c r="AK317" s="39" t="str">
        <f>IF(ISBLANK(W317),"",IF($P317="BRL",W317,W317*Macroindicadores!H$2)/1000)</f>
        <v/>
      </c>
      <c r="AL317" s="39" t="str">
        <f>IF(ISBLANK(X317),"",IF($P317="BRL",X317,X317*Macroindicadores!I$2)/1000)</f>
        <v/>
      </c>
      <c r="AM317" s="39" t="str">
        <f>IF(ISBLANK(Y317),"",IF($P317="BRL",Y317,Y317*Macroindicadores!J$2)/1000)</f>
        <v/>
      </c>
      <c r="AN317" s="39" t="str">
        <f>IF(ISBLANK(Z317),"",IF($P317="BRL",Z317,Z317*Macroindicadores!K$2)/1000)</f>
        <v/>
      </c>
      <c r="AO317" s="39" t="str">
        <f>IF(ISBLANK(AA317),"",IF($P317="BRL",AA317,AA317*Macroindicadores!L$2)/1000)</f>
        <v/>
      </c>
      <c r="AP317" s="39" t="str">
        <f>IF(ISBLANK(AB317),"",IF($P317="BRL",AB317,AB317*Macroindicadores!M$2)/1000)</f>
        <v/>
      </c>
      <c r="AQ317" s="40" t="str">
        <f t="shared" ref="AQ317:AQ321" si="146">IF(AND(ISBLANK($Q317),ISBLANK($R317),ISBLANK($S317),ISBLANK($T317),ISBLANK($U317),ISBLANK($V317),ISBLANK($W317),ISBLANK($X317),ISBLANK($Y317),ISBLANK($Z317),ISBLANK($AA317),ISBLANK($AB317)),"",SUM(AE317:AP317))</f>
        <v/>
      </c>
      <c r="AS317" s="39" t="str">
        <f>IF(ISBLANK(Q317),"",IF(ISBLANK($O317),AE317,IF($J317="ANUAL",AE317*(1+Macroindicadores!B$7),IF(AND($I317="NOVO",MONTH($O317)=MONTH(AS$4)),AE317*(1+Macroindicadores!B$7),IF(AND($J317="PONTUAL",MONTH($O317)=MONTH(AS$4)),AE317*(1+Macroindicadores!B$7),IF(AND($J317="PONTUAL",MONTH($O317)&lt;MONTH(AS$4)),MIN(AR317:$AS317),IF(AND($I317="NOVO",MONTH($O317)&gt;MONTH(AS$4)),AE317,IF(MONTH($O317)&gt;MONTH(AS$4),AE317,IF(MONTH($O317)=MONTH(AS$4),AE317*(1+Macroindicadores!B$7),AR317)))))))))</f>
        <v/>
      </c>
      <c r="AT317" s="39" t="str">
        <f>IF(ISBLANK(R317),"",IF(ISBLANK($O317),AF317,IF($J317="ANUAL",AF317*(1+Macroindicadores!C$7),IF(AND($I317="NOVO",MONTH($O317)=MONTH(AT$4)),AF317*(1+Macroindicadores!C$7),IF(AND($J317="PONTUAL",MONTH($O317)=MONTH(AT$4)),AF317*(1+Macroindicadores!C$7),IF(AND($J317="PONTUAL",MONTH($O317)&lt;MONTH(AT$4)),MIN($AS317:AS317),IF(AND($I317="NOVO",MONTH($O317)&gt;MONTH(AT$4)),AF317,IF(MONTH($O317)&gt;MONTH(AT$4),AF317,IF(MONTH($O317)=MONTH(AT$4),AF317*(1+Macroindicadores!C$7),AS317)))))))))</f>
        <v/>
      </c>
      <c r="AU317" s="39" t="str">
        <f>IF(ISBLANK(S317),"",IF(ISBLANK($O317),AG317,IF($J317="ANUAL",AG317*(1+Macroindicadores!D$7),IF(AND($I317="NOVO",MONTH($O317)=MONTH(AU$4)),AG317*(1+Macroindicadores!D$7),IF(AND($J317="PONTUAL",MONTH($O317)=MONTH(AU$4)),AG317*(1+Macroindicadores!D$7),IF(AND($J317="PONTUAL",MONTH($O317)&lt;MONTH(AU$4)),MIN($AS317:AT317),IF(AND($I317="NOVO",MONTH($O317)&gt;MONTH(AU$4)),AG317,IF(MONTH($O317)&gt;MONTH(AU$4),AG317,IF(MONTH($O317)=MONTH(AU$4),AG317*(1+Macroindicadores!D$7),AT317)))))))))</f>
        <v/>
      </c>
      <c r="AV317" s="39" t="str">
        <f>IF(ISBLANK(T317),"",IF(ISBLANK($O317),AH317,IF($J317="ANUAL",AH317*(1+Macroindicadores!E$7),IF(AND($I317="NOVO",MONTH($O317)=MONTH(AV$4)),AH317*(1+Macroindicadores!E$7),IF(AND($J317="PONTUAL",MONTH($O317)=MONTH(AV$4)),AH317*(1+Macroindicadores!E$7),IF(AND($J317="PONTUAL",MONTH($O317)&lt;MONTH(AV$4)),MIN($AS317:AU317),IF(AND($I317="NOVO",MONTH($O317)&gt;MONTH(AV$4)),AH317,IF(MONTH($O317)&gt;MONTH(AV$4),AH317,IF(MONTH($O317)=MONTH(AV$4),AH317*(1+Macroindicadores!E$7),AU317)))))))))</f>
        <v/>
      </c>
      <c r="AW317" s="39" t="str">
        <f>IF(ISBLANK(U317),"",IF(ISBLANK($O317),AI317,IF($J317="ANUAL",AI317*(1+Macroindicadores!F$7),IF(AND($I317="NOVO",MONTH($O317)=MONTH(AW$4)),AI317*(1+Macroindicadores!F$7),IF(AND($J317="PONTUAL",MONTH($O317)=MONTH(AW$4)),AI317*(1+Macroindicadores!F$7),IF(AND($J317="PONTUAL",MONTH($O317)&lt;MONTH(AW$4)),MIN($AS317:AV317),IF(AND($I317="NOVO",MONTH($O317)&gt;MONTH(AW$4)),AI317,IF(MONTH($O317)&gt;MONTH(AW$4),AI317,IF(MONTH($O317)=MONTH(AW$4),AI317*(1+Macroindicadores!F$7),AV317)))))))))</f>
        <v/>
      </c>
      <c r="AX317" s="39" t="str">
        <f>IF(ISBLANK(V317),"",IF(ISBLANK($O317),AJ317,IF($J317="ANUAL",AJ317*(1+Macroindicadores!G$7),IF(AND($I317="NOVO",MONTH($O317)=MONTH(AX$4)),AJ317*(1+Macroindicadores!G$7),IF(AND($J317="PONTUAL",MONTH($O317)=MONTH(AX$4)),AJ317*(1+Macroindicadores!G$7),IF(AND($J317="PONTUAL",MONTH($O317)&lt;MONTH(AX$4)),MIN($AS317:AW317),IF(AND($I317="NOVO",MONTH($O317)&gt;MONTH(AX$4)),AJ317,IF(MONTH($O317)&gt;MONTH(AX$4),AJ317,IF(MONTH($O317)=MONTH(AX$4),AJ317*(1+Macroindicadores!G$7),AW317)))))))))</f>
        <v/>
      </c>
      <c r="AY317" s="39" t="str">
        <f>IF(ISBLANK(W317),"",IF(ISBLANK($O317),AK317,IF($J317="ANUAL",AK317*(1+Macroindicadores!H$7),IF(AND($I317="NOVO",MONTH($O317)=MONTH(AY$4)),AK317*(1+Macroindicadores!H$7),IF(AND($J317="PONTUAL",MONTH($O317)=MONTH(AY$4)),AK317*(1+Macroindicadores!H$7),IF(AND($J317="PONTUAL",MONTH($O317)&lt;MONTH(AY$4)),MIN($AS317:AX317),IF(AND($I317="NOVO",MONTH($O317)&gt;MONTH(AY$4)),AK317,IF(MONTH($O317)&gt;MONTH(AY$4),AK317,IF(MONTH($O317)=MONTH(AY$4),AK317*(1+Macroindicadores!H$7),AX317)))))))))</f>
        <v/>
      </c>
      <c r="AZ317" s="39" t="str">
        <f>IF(ISBLANK(X317),"",IF(ISBLANK($O317),AL317,IF($J317="ANUAL",AL317*(1+Macroindicadores!I$7),IF(AND($I317="NOVO",MONTH($O317)=MONTH(AZ$4)),AL317*(1+Macroindicadores!I$7),IF(AND($J317="PONTUAL",MONTH($O317)=MONTH(AZ$4)),AL317*(1+Macroindicadores!I$7),IF(AND($J317="PONTUAL",MONTH($O317)&lt;MONTH(AZ$4)),MIN($AS317:AY317),IF(AND($I317="NOVO",MONTH($O317)&gt;MONTH(AZ$4)),AL317,IF(MONTH($O317)&gt;MONTH(AZ$4),AL317,IF(MONTH($O317)=MONTH(AZ$4),AL317*(1+Macroindicadores!I$7),AY317)))))))))</f>
        <v/>
      </c>
      <c r="BA317" s="39" t="str">
        <f>IF(ISBLANK(Y317),"",IF(ISBLANK($O317),AM317,IF($J317="ANUAL",AM317*(1+Macroindicadores!J$7),IF(AND($I317="NOVO",MONTH($O317)=MONTH(BA$4)),AM317*(1+Macroindicadores!J$7),IF(AND($J317="PONTUAL",MONTH($O317)=MONTH(BA$4)),AM317*(1+Macroindicadores!J$7),IF(AND($J317="PONTUAL",MONTH($O317)&lt;MONTH(BA$4)),MIN($AS317:AZ317),IF(AND($I317="NOVO",MONTH($O317)&gt;MONTH(BA$4)),AM317,IF(MONTH($O317)&gt;MONTH(BA$4),AM317,IF(MONTH($O317)=MONTH(BA$4),AM317*(1+Macroindicadores!J$7),AZ317)))))))))</f>
        <v/>
      </c>
      <c r="BB317" s="39" t="str">
        <f>IF(ISBLANK(Z317),"",IF(ISBLANK($O317),AN317,IF($J317="ANUAL",AN317*(1+Macroindicadores!K$7),IF(AND($I317="NOVO",MONTH($O317)=MONTH(BB$4)),AN317*(1+Macroindicadores!K$7),IF(AND($J317="PONTUAL",MONTH($O317)=MONTH(BB$4)),AN317*(1+Macroindicadores!K$7),IF(AND($J317="PONTUAL",MONTH($O317)&lt;MONTH(BB$4)),MIN($AS317:BA317),IF(AND($I317="NOVO",MONTH($O317)&gt;MONTH(BB$4)),AN317,IF(MONTH($O317)&gt;MONTH(BB$4),AN317,IF(MONTH($O317)=MONTH(BB$4),AN317*(1+Macroindicadores!K$7),BA317)))))))))</f>
        <v/>
      </c>
      <c r="BC317" s="39" t="str">
        <f>IF(ISBLANK(AA317),"",IF(ISBLANK($O317),AO317,IF($J317="ANUAL",AO317*(1+Macroindicadores!L$7),IF(AND($I317="NOVO",MONTH($O317)=MONTH(BC$4)),AO317*(1+Macroindicadores!L$7),IF(AND($J317="PONTUAL",MONTH($O317)=MONTH(BC$4)),AO317*(1+Macroindicadores!L$7),IF(AND($J317="PONTUAL",MONTH($O317)&lt;MONTH(BC$4)),MIN($AS317:BB317),IF(AND($I317="NOVO",MONTH($O317)&gt;MONTH(BC$4)),AO317,IF(MONTH($O317)&gt;MONTH(BC$4),AO317,IF(MONTH($O317)=MONTH(BC$4),AO317*(1+Macroindicadores!L$7),BB317)))))))))</f>
        <v/>
      </c>
      <c r="BD317" s="39" t="str">
        <f>IF(ISBLANK(AB317),"",IF(ISBLANK($O317),AP317,IF($J317="ANUAL",AP317*(1+Macroindicadores!M$7),IF(AND($I317="NOVO",MONTH($O317)=MONTH(BD$4)),AP317*(1+Macroindicadores!M$7),IF(AND($J317="PONTUAL",MONTH($O317)=MONTH(BD$4)),AP317*(1+Macroindicadores!M$7),IF(AND($J317="PONTUAL",MONTH($O317)&lt;MONTH(BD$4)),MIN($AS317:BC317),IF(AND($I317="NOVO",MONTH($O317)&gt;MONTH(BD$4)),AP317,IF(MONTH($O317)&gt;MONTH(BD$4),AP317,IF(MONTH($O317)=MONTH(BD$4),AP317*(1+Macroindicadores!M$7),BC317)))))))))</f>
        <v/>
      </c>
      <c r="BE317" s="40" t="str">
        <f t="shared" ref="BE317:BE321" si="147">IF(AND(ISBLANK($Q317),ISBLANK($R317),ISBLANK($S317),ISBLANK($T317),ISBLANK($U317),ISBLANK($V317),ISBLANK($W317),ISBLANK($X317),ISBLANK($Y317),ISBLANK($Z317),ISBLANK($AA317),ISBLANK($AB317)),"",SUM(AS317:BD317))</f>
        <v/>
      </c>
      <c r="BG317" s="39" t="str">
        <f>IF(ISBLANK(Q317),"",AS317/Macroindicadores!B$2)</f>
        <v/>
      </c>
      <c r="BH317" s="39" t="str">
        <f>IF(ISBLANK(R317),"",AT317/Macroindicadores!C$2)</f>
        <v/>
      </c>
      <c r="BI317" s="39" t="str">
        <f>IF(ISBLANK(S317),"",AU317/Macroindicadores!D$2)</f>
        <v/>
      </c>
      <c r="BJ317" s="39" t="str">
        <f>IF(ISBLANK(T317),"",AV317/Macroindicadores!E$2)</f>
        <v/>
      </c>
      <c r="BK317" s="39" t="str">
        <f>IF(ISBLANK(U317),"",AW317/Macroindicadores!F$2)</f>
        <v/>
      </c>
      <c r="BL317" s="39" t="str">
        <f>IF(ISBLANK(V317),"",AX317/Macroindicadores!G$2)</f>
        <v/>
      </c>
      <c r="BM317" s="39" t="str">
        <f>IF(ISBLANK(W317),"",AY317/Macroindicadores!H$2)</f>
        <v/>
      </c>
      <c r="BN317" s="39" t="str">
        <f>IF(ISBLANK(X317),"",AZ317/Macroindicadores!I$2)</f>
        <v/>
      </c>
      <c r="BO317" s="39" t="str">
        <f>IF(ISBLANK(Y317),"",BA317/Macroindicadores!J$2)</f>
        <v/>
      </c>
      <c r="BP317" s="39" t="str">
        <f>IF(ISBLANK(Z317),"",BB317/Macroindicadores!K$2)</f>
        <v/>
      </c>
      <c r="BQ317" s="39" t="str">
        <f>IF(ISBLANK(AA317),"",BC317/Macroindicadores!L$2)</f>
        <v/>
      </c>
      <c r="BR317" s="39" t="str">
        <f>IF(ISBLANK(AB317),"",BD317/Macroindicadores!M$2)</f>
        <v/>
      </c>
      <c r="BS317" s="40" t="str">
        <f t="shared" ref="BS317:BS321" si="148">IF(AND(ISBLANK($Q317),ISBLANK($R317),ISBLANK($S317),ISBLANK($T317),ISBLANK($U317),ISBLANK($V317),ISBLANK($W317),ISBLANK($X317),ISBLANK($Y317),ISBLANK($Z317),ISBLANK($AA317),ISBLANK($AB317)),"",SUM(BG317:BR317))</f>
        <v/>
      </c>
      <c r="BT317" s="25" t="str">
        <f>IF(ISBLANK($L317),"",_xlfn.XLOOKUP($L317,'CENTRO CUSTO'!$A:$A,'CENTRO CUSTO'!$E:$E,FALSE,0))</f>
        <v/>
      </c>
    </row>
    <row r="318" spans="1:72">
      <c r="A318" s="9" t="str">
        <f t="shared" si="80"/>
        <v>Budget</v>
      </c>
      <c r="B318" s="9">
        <f t="shared" si="77"/>
        <v>2026</v>
      </c>
      <c r="C318" s="111" t="s">
        <v>262</v>
      </c>
      <c r="D318" s="111" t="s">
        <v>263</v>
      </c>
      <c r="E318" s="111" t="s">
        <v>14</v>
      </c>
      <c r="F318" s="112" t="s">
        <v>317</v>
      </c>
      <c r="G318" s="112" t="s">
        <v>123</v>
      </c>
      <c r="H318" s="112" t="s">
        <v>318</v>
      </c>
      <c r="I318" s="11" t="s">
        <v>84</v>
      </c>
      <c r="J318" s="11" t="s">
        <v>78</v>
      </c>
      <c r="K318" s="11" t="s">
        <v>79</v>
      </c>
      <c r="L318" s="11"/>
      <c r="M318" s="18" t="str">
        <f>IF(ISBLANK($L318),"",_xlfn.XLOOKUP($L318,'CENTRO CUSTO'!$A:$A,'CENTRO CUSTO'!D:D,FALSE,0))</f>
        <v/>
      </c>
      <c r="N318" s="11" t="s">
        <v>91</v>
      </c>
      <c r="O318" s="12"/>
      <c r="P318" s="113" t="s">
        <v>88</v>
      </c>
      <c r="Q318" s="41">
        <v>290</v>
      </c>
      <c r="R318" s="41">
        <v>290</v>
      </c>
      <c r="S318" s="41">
        <v>290</v>
      </c>
      <c r="T318" s="41">
        <v>290</v>
      </c>
      <c r="U318" s="41">
        <v>290</v>
      </c>
      <c r="V318" s="41">
        <v>290</v>
      </c>
      <c r="W318" s="41">
        <v>290</v>
      </c>
      <c r="X318" s="41">
        <v>290</v>
      </c>
      <c r="Y318" s="41">
        <v>290</v>
      </c>
      <c r="Z318" s="41">
        <v>290</v>
      </c>
      <c r="AA318" s="41">
        <v>290</v>
      </c>
      <c r="AB318" s="41">
        <v>290</v>
      </c>
      <c r="AC318" s="116">
        <f t="shared" si="145"/>
        <v>3480</v>
      </c>
      <c r="AE318" s="39">
        <f>IF(ISBLANK(Q318),"",IF($P318="BRL",Q318,Q318*Macroindicadores!B$2)/1000)</f>
        <v>1.7052</v>
      </c>
      <c r="AF318" s="39">
        <f>IF(ISBLANK(R318),"",IF($P318="BRL",R318,R318*Macroindicadores!C$2)/1000)</f>
        <v>1.7052</v>
      </c>
      <c r="AG318" s="39">
        <f>IF(ISBLANK(S318),"",IF($P318="BRL",S318,S318*Macroindicadores!D$2)/1000)</f>
        <v>1.7052</v>
      </c>
      <c r="AH318" s="39">
        <f>IF(ISBLANK(T318),"",IF($P318="BRL",T318,T318*Macroindicadores!E$2)/1000)</f>
        <v>1.7052</v>
      </c>
      <c r="AI318" s="39">
        <f>IF(ISBLANK(U318),"",IF($P318="BRL",U318,U318*Macroindicadores!F$2)/1000)</f>
        <v>1.7052</v>
      </c>
      <c r="AJ318" s="39">
        <f>IF(ISBLANK(V318),"",IF($P318="BRL",V318,V318*Macroindicadores!G$2)/1000)</f>
        <v>1.7052</v>
      </c>
      <c r="AK318" s="39">
        <f>IF(ISBLANK(W318),"",IF($P318="BRL",W318,W318*Macroindicadores!H$2)/1000)</f>
        <v>1.7052</v>
      </c>
      <c r="AL318" s="39">
        <f>IF(ISBLANK(X318),"",IF($P318="BRL",X318,X318*Macroindicadores!I$2)/1000)</f>
        <v>1.7052</v>
      </c>
      <c r="AM318" s="39">
        <f>IF(ISBLANK(Y318),"",IF($P318="BRL",Y318,Y318*Macroindicadores!J$2)/1000)</f>
        <v>1.7052</v>
      </c>
      <c r="AN318" s="39">
        <f>IF(ISBLANK(Z318),"",IF($P318="BRL",Z318,Z318*Macroindicadores!K$2)/1000)</f>
        <v>1.7052</v>
      </c>
      <c r="AO318" s="39">
        <f>IF(ISBLANK(AA318),"",IF($P318="BRL",AA318,AA318*Macroindicadores!L$2)/1000)</f>
        <v>1.7052</v>
      </c>
      <c r="AP318" s="39">
        <f>IF(ISBLANK(AB318),"",IF($P318="BRL",AB318,AB318*Macroindicadores!M$2)/1000)</f>
        <v>1.7052</v>
      </c>
      <c r="AQ318" s="40">
        <f t="shared" si="146"/>
        <v>20.462400000000002</v>
      </c>
      <c r="AS318" s="39">
        <f>IF(ISBLANK(Q318),"",IF(ISBLANK($O318),AE318,IF($J318="ANUAL",AE318*(1+Macroindicadores!B$7),IF(AND($I318="NOVO",MONTH($O318)=MONTH(AS$4)),AE318*(1+Macroindicadores!B$7),IF(AND($J318="PONTUAL",MONTH($O318)=MONTH(AS$4)),AE318*(1+Macroindicadores!B$7),IF(AND($J318="PONTUAL",MONTH($O318)&lt;MONTH(AS$4)),MIN(AR318:$AS318),IF(AND($I318="NOVO",MONTH($O318)&gt;MONTH(AS$4)),AE318,IF(MONTH($O318)&gt;MONTH(AS$4),AE318,IF(MONTH($O318)=MONTH(AS$4),AE318*(1+Macroindicadores!B$7),AR318)))))))))</f>
        <v>1.7052</v>
      </c>
      <c r="AT318" s="39">
        <f>IF(ISBLANK(R318),"",IF(ISBLANK($O318),AF318,IF($J318="ANUAL",AF318*(1+Macroindicadores!C$7),IF(AND($I318="NOVO",MONTH($O318)=MONTH(AT$4)),AF318*(1+Macroindicadores!C$7),IF(AND($J318="PONTUAL",MONTH($O318)=MONTH(AT$4)),AF318*(1+Macroindicadores!C$7),IF(AND($J318="PONTUAL",MONTH($O318)&lt;MONTH(AT$4)),MIN($AS318:AS318),IF(AND($I318="NOVO",MONTH($O318)&gt;MONTH(AT$4)),AF318,IF(MONTH($O318)&gt;MONTH(AT$4),AF318,IF(MONTH($O318)=MONTH(AT$4),AF318*(1+Macroindicadores!C$7),AS318)))))))))</f>
        <v>1.7052</v>
      </c>
      <c r="AU318" s="39">
        <f>IF(ISBLANK(S318),"",IF(ISBLANK($O318),AG318,IF($J318="ANUAL",AG318*(1+Macroindicadores!D$7),IF(AND($I318="NOVO",MONTH($O318)=MONTH(AU$4)),AG318*(1+Macroindicadores!D$7),IF(AND($J318="PONTUAL",MONTH($O318)=MONTH(AU$4)),AG318*(1+Macroindicadores!D$7),IF(AND($J318="PONTUAL",MONTH($O318)&lt;MONTH(AU$4)),MIN($AS318:AT318),IF(AND($I318="NOVO",MONTH($O318)&gt;MONTH(AU$4)),AG318,IF(MONTH($O318)&gt;MONTH(AU$4),AG318,IF(MONTH($O318)=MONTH(AU$4),AG318*(1+Macroindicadores!D$7),AT318)))))))))</f>
        <v>1.7052</v>
      </c>
      <c r="AV318" s="39">
        <f>IF(ISBLANK(T318),"",IF(ISBLANK($O318),AH318,IF($J318="ANUAL",AH318*(1+Macroindicadores!E$7),IF(AND($I318="NOVO",MONTH($O318)=MONTH(AV$4)),AH318*(1+Macroindicadores!E$7),IF(AND($J318="PONTUAL",MONTH($O318)=MONTH(AV$4)),AH318*(1+Macroindicadores!E$7),IF(AND($J318="PONTUAL",MONTH($O318)&lt;MONTH(AV$4)),MIN($AS318:AU318),IF(AND($I318="NOVO",MONTH($O318)&gt;MONTH(AV$4)),AH318,IF(MONTH($O318)&gt;MONTH(AV$4),AH318,IF(MONTH($O318)=MONTH(AV$4),AH318*(1+Macroindicadores!E$7),AU318)))))))))</f>
        <v>1.7052</v>
      </c>
      <c r="AW318" s="39">
        <f>IF(ISBLANK(U318),"",IF(ISBLANK($O318),AI318,IF($J318="ANUAL",AI318*(1+Macroindicadores!F$7),IF(AND($I318="NOVO",MONTH($O318)=MONTH(AW$4)),AI318*(1+Macroindicadores!F$7),IF(AND($J318="PONTUAL",MONTH($O318)=MONTH(AW$4)),AI318*(1+Macroindicadores!F$7),IF(AND($J318="PONTUAL",MONTH($O318)&lt;MONTH(AW$4)),MIN($AS318:AV318),IF(AND($I318="NOVO",MONTH($O318)&gt;MONTH(AW$4)),AI318,IF(MONTH($O318)&gt;MONTH(AW$4),AI318,IF(MONTH($O318)=MONTH(AW$4),AI318*(1+Macroindicadores!F$7),AV318)))))))))</f>
        <v>1.7052</v>
      </c>
      <c r="AX318" s="39">
        <f>IF(ISBLANK(V318),"",IF(ISBLANK($O318),AJ318,IF($J318="ANUAL",AJ318*(1+Macroindicadores!G$7),IF(AND($I318="NOVO",MONTH($O318)=MONTH(AX$4)),AJ318*(1+Macroindicadores!G$7),IF(AND($J318="PONTUAL",MONTH($O318)=MONTH(AX$4)),AJ318*(1+Macroindicadores!G$7),IF(AND($J318="PONTUAL",MONTH($O318)&lt;MONTH(AX$4)),MIN($AS318:AW318),IF(AND($I318="NOVO",MONTH($O318)&gt;MONTH(AX$4)),AJ318,IF(MONTH($O318)&gt;MONTH(AX$4),AJ318,IF(MONTH($O318)=MONTH(AX$4),AJ318*(1+Macroindicadores!G$7),AW318)))))))))</f>
        <v>1.7052</v>
      </c>
      <c r="AY318" s="39">
        <f>IF(ISBLANK(W318),"",IF(ISBLANK($O318),AK318,IF($J318="ANUAL",AK318*(1+Macroindicadores!H$7),IF(AND($I318="NOVO",MONTH($O318)=MONTH(AY$4)),AK318*(1+Macroindicadores!H$7),IF(AND($J318="PONTUAL",MONTH($O318)=MONTH(AY$4)),AK318*(1+Macroindicadores!H$7),IF(AND($J318="PONTUAL",MONTH($O318)&lt;MONTH(AY$4)),MIN($AS318:AX318),IF(AND($I318="NOVO",MONTH($O318)&gt;MONTH(AY$4)),AK318,IF(MONTH($O318)&gt;MONTH(AY$4),AK318,IF(MONTH($O318)=MONTH(AY$4),AK318*(1+Macroindicadores!H$7),AX318)))))))))</f>
        <v>1.7052</v>
      </c>
      <c r="AZ318" s="39">
        <f>IF(ISBLANK(X318),"",IF(ISBLANK($O318),AL318,IF($J318="ANUAL",AL318*(1+Macroindicadores!I$7),IF(AND($I318="NOVO",MONTH($O318)=MONTH(AZ$4)),AL318*(1+Macroindicadores!I$7),IF(AND($J318="PONTUAL",MONTH($O318)=MONTH(AZ$4)),AL318*(1+Macroindicadores!I$7),IF(AND($J318="PONTUAL",MONTH($O318)&lt;MONTH(AZ$4)),MIN($AS318:AY318),IF(AND($I318="NOVO",MONTH($O318)&gt;MONTH(AZ$4)),AL318,IF(MONTH($O318)&gt;MONTH(AZ$4),AL318,IF(MONTH($O318)=MONTH(AZ$4),AL318*(1+Macroindicadores!I$7),AY318)))))))))</f>
        <v>1.7052</v>
      </c>
      <c r="BA318" s="39">
        <f>IF(ISBLANK(Y318),"",IF(ISBLANK($O318),AM318,IF($J318="ANUAL",AM318*(1+Macroindicadores!J$7),IF(AND($I318="NOVO",MONTH($O318)=MONTH(BA$4)),AM318*(1+Macroindicadores!J$7),IF(AND($J318="PONTUAL",MONTH($O318)=MONTH(BA$4)),AM318*(1+Macroindicadores!J$7),IF(AND($J318="PONTUAL",MONTH($O318)&lt;MONTH(BA$4)),MIN($AS318:AZ318),IF(AND($I318="NOVO",MONTH($O318)&gt;MONTH(BA$4)),AM318,IF(MONTH($O318)&gt;MONTH(BA$4),AM318,IF(MONTH($O318)=MONTH(BA$4),AM318*(1+Macroindicadores!J$7),AZ318)))))))))</f>
        <v>1.7052</v>
      </c>
      <c r="BB318" s="39">
        <f>IF(ISBLANK(Z318),"",IF(ISBLANK($O318),AN318,IF($J318="ANUAL",AN318*(1+Macroindicadores!K$7),IF(AND($I318="NOVO",MONTH($O318)=MONTH(BB$4)),AN318*(1+Macroindicadores!K$7),IF(AND($J318="PONTUAL",MONTH($O318)=MONTH(BB$4)),AN318*(1+Macroindicadores!K$7),IF(AND($J318="PONTUAL",MONTH($O318)&lt;MONTH(BB$4)),MIN($AS318:BA318),IF(AND($I318="NOVO",MONTH($O318)&gt;MONTH(BB$4)),AN318,IF(MONTH($O318)&gt;MONTH(BB$4),AN318,IF(MONTH($O318)=MONTH(BB$4),AN318*(1+Macroindicadores!K$7),BA318)))))))))</f>
        <v>1.7052</v>
      </c>
      <c r="BC318" s="39">
        <f>IF(ISBLANK(AA318),"",IF(ISBLANK($O318),AO318,IF($J318="ANUAL",AO318*(1+Macroindicadores!L$7),IF(AND($I318="NOVO",MONTH($O318)=MONTH(BC$4)),AO318*(1+Macroindicadores!L$7),IF(AND($J318="PONTUAL",MONTH($O318)=MONTH(BC$4)),AO318*(1+Macroindicadores!L$7),IF(AND($J318="PONTUAL",MONTH($O318)&lt;MONTH(BC$4)),MIN($AS318:BB318),IF(AND($I318="NOVO",MONTH($O318)&gt;MONTH(BC$4)),AO318,IF(MONTH($O318)&gt;MONTH(BC$4),AO318,IF(MONTH($O318)=MONTH(BC$4),AO318*(1+Macroindicadores!L$7),BB318)))))))))</f>
        <v>1.7052</v>
      </c>
      <c r="BD318" s="39">
        <f>IF(ISBLANK(AB318),"",IF(ISBLANK($O318),AP318,IF($J318="ANUAL",AP318*(1+Macroindicadores!M$7),IF(AND($I318="NOVO",MONTH($O318)=MONTH(BD$4)),AP318*(1+Macroindicadores!M$7),IF(AND($J318="PONTUAL",MONTH($O318)=MONTH(BD$4)),AP318*(1+Macroindicadores!M$7),IF(AND($J318="PONTUAL",MONTH($O318)&lt;MONTH(BD$4)),MIN($AS318:BC318),IF(AND($I318="NOVO",MONTH($O318)&gt;MONTH(BD$4)),AP318,IF(MONTH($O318)&gt;MONTH(BD$4),AP318,IF(MONTH($O318)=MONTH(BD$4),AP318*(1+Macroindicadores!M$7),BC318)))))))))</f>
        <v>1.7052</v>
      </c>
      <c r="BE318" s="40">
        <f t="shared" si="147"/>
        <v>20.462400000000002</v>
      </c>
      <c r="BG318" s="39">
        <f>IF(ISBLANK(Q318),"",AS318/Macroindicadores!B$2)</f>
        <v>0.29000000000000004</v>
      </c>
      <c r="BH318" s="39">
        <f>IF(ISBLANK(R318),"",AT318/Macroindicadores!C$2)</f>
        <v>0.29000000000000004</v>
      </c>
      <c r="BI318" s="39">
        <f>IF(ISBLANK(S318),"",AU318/Macroindicadores!D$2)</f>
        <v>0.29000000000000004</v>
      </c>
      <c r="BJ318" s="39">
        <f>IF(ISBLANK(T318),"",AV318/Macroindicadores!E$2)</f>
        <v>0.29000000000000004</v>
      </c>
      <c r="BK318" s="39">
        <f>IF(ISBLANK(U318),"",AW318/Macroindicadores!F$2)</f>
        <v>0.29000000000000004</v>
      </c>
      <c r="BL318" s="39">
        <f>IF(ISBLANK(V318),"",AX318/Macroindicadores!G$2)</f>
        <v>0.29000000000000004</v>
      </c>
      <c r="BM318" s="39">
        <f>IF(ISBLANK(W318),"",AY318/Macroindicadores!H$2)</f>
        <v>0.29000000000000004</v>
      </c>
      <c r="BN318" s="39">
        <f>IF(ISBLANK(X318),"",AZ318/Macroindicadores!I$2)</f>
        <v>0.29000000000000004</v>
      </c>
      <c r="BO318" s="39">
        <f>IF(ISBLANK(Y318),"",BA318/Macroindicadores!J$2)</f>
        <v>0.29000000000000004</v>
      </c>
      <c r="BP318" s="39">
        <f>IF(ISBLANK(Z318),"",BB318/Macroindicadores!K$2)</f>
        <v>0.29000000000000004</v>
      </c>
      <c r="BQ318" s="39">
        <f>IF(ISBLANK(AA318),"",BC318/Macroindicadores!L$2)</f>
        <v>0.29000000000000004</v>
      </c>
      <c r="BR318" s="39">
        <f>IF(ISBLANK(AB318),"",BD318/Macroindicadores!M$2)</f>
        <v>0.29000000000000004</v>
      </c>
      <c r="BS318" s="40">
        <f t="shared" si="148"/>
        <v>3.4800000000000004</v>
      </c>
      <c r="BT318" s="25" t="str">
        <f>IF(ISBLANK($L318),"",_xlfn.XLOOKUP($L318,'CENTRO CUSTO'!$A:$A,'CENTRO CUSTO'!$E:$E,FALSE,0))</f>
        <v/>
      </c>
    </row>
    <row r="319" spans="1:72">
      <c r="A319" s="9" t="str">
        <f t="shared" si="80"/>
        <v>Budget</v>
      </c>
      <c r="B319" s="9">
        <f t="shared" si="77"/>
        <v>2026</v>
      </c>
      <c r="C319" s="111" t="s">
        <v>273</v>
      </c>
      <c r="D319" s="111" t="s">
        <v>274</v>
      </c>
      <c r="E319" s="111" t="s">
        <v>14</v>
      </c>
      <c r="F319" s="112" t="s">
        <v>281</v>
      </c>
      <c r="G319" s="112" t="s">
        <v>224</v>
      </c>
      <c r="H319" s="112" t="s">
        <v>319</v>
      </c>
      <c r="I319" s="11" t="s">
        <v>77</v>
      </c>
      <c r="J319" s="11" t="s">
        <v>78</v>
      </c>
      <c r="K319" s="11" t="s">
        <v>79</v>
      </c>
      <c r="L319" s="11"/>
      <c r="M319" s="18" t="str">
        <f>IF(ISBLANK($L319),"",_xlfn.XLOOKUP($L319,'CENTRO CUSTO'!$A:$A,'CENTRO CUSTO'!D:D,FALSE,0))</f>
        <v/>
      </c>
      <c r="N319" s="11" t="s">
        <v>132</v>
      </c>
      <c r="O319" s="12"/>
      <c r="P319" s="113" t="s">
        <v>88</v>
      </c>
      <c r="Q319" s="41">
        <v>448.87741046831957</v>
      </c>
      <c r="R319" s="41">
        <v>448.87741046831957</v>
      </c>
      <c r="S319" s="41">
        <v>448.87741046831957</v>
      </c>
      <c r="T319" s="41">
        <v>448.87741046831957</v>
      </c>
      <c r="U319" s="41">
        <v>448.87741046831957</v>
      </c>
      <c r="V319" s="41">
        <v>448.87741046831957</v>
      </c>
      <c r="W319" s="41">
        <v>448.87741046831957</v>
      </c>
      <c r="X319" s="41">
        <v>448.87741046831957</v>
      </c>
      <c r="Y319" s="41">
        <v>448.87741046831957</v>
      </c>
      <c r="Z319" s="41">
        <v>448.87741046831957</v>
      </c>
      <c r="AA319" s="41">
        <v>448.87741046831957</v>
      </c>
      <c r="AB319" s="41">
        <v>448.87741046831957</v>
      </c>
      <c r="AC319" s="116">
        <f t="shared" si="145"/>
        <v>5386.5289256198366</v>
      </c>
      <c r="AE319" s="39">
        <f>IF(ISBLANK(Q319),"",IF($P319="BRL",Q319,Q319*Macroindicadores!B$2)/1000)</f>
        <v>2.639399173553719</v>
      </c>
      <c r="AF319" s="39">
        <f>IF(ISBLANK(R319),"",IF($P319="BRL",R319,R319*Macroindicadores!C$2)/1000)</f>
        <v>2.639399173553719</v>
      </c>
      <c r="AG319" s="39">
        <f>IF(ISBLANK(S319),"",IF($P319="BRL",S319,S319*Macroindicadores!D$2)/1000)</f>
        <v>2.639399173553719</v>
      </c>
      <c r="AH319" s="39">
        <f>IF(ISBLANK(T319),"",IF($P319="BRL",T319,T319*Macroindicadores!E$2)/1000)</f>
        <v>2.639399173553719</v>
      </c>
      <c r="AI319" s="39">
        <f>IF(ISBLANK(U319),"",IF($P319="BRL",U319,U319*Macroindicadores!F$2)/1000)</f>
        <v>2.639399173553719</v>
      </c>
      <c r="AJ319" s="39">
        <f>IF(ISBLANK(V319),"",IF($P319="BRL",V319,V319*Macroindicadores!G$2)/1000)</f>
        <v>2.639399173553719</v>
      </c>
      <c r="AK319" s="39">
        <f>IF(ISBLANK(W319),"",IF($P319="BRL",W319,W319*Macroindicadores!H$2)/1000)</f>
        <v>2.639399173553719</v>
      </c>
      <c r="AL319" s="39">
        <f>IF(ISBLANK(X319),"",IF($P319="BRL",X319,X319*Macroindicadores!I$2)/1000)</f>
        <v>2.639399173553719</v>
      </c>
      <c r="AM319" s="39">
        <f>IF(ISBLANK(Y319),"",IF($P319="BRL",Y319,Y319*Macroindicadores!J$2)/1000)</f>
        <v>2.639399173553719</v>
      </c>
      <c r="AN319" s="39">
        <f>IF(ISBLANK(Z319),"",IF($P319="BRL",Z319,Z319*Macroindicadores!K$2)/1000)</f>
        <v>2.639399173553719</v>
      </c>
      <c r="AO319" s="39">
        <f>IF(ISBLANK(AA319),"",IF($P319="BRL",AA319,AA319*Macroindicadores!L$2)/1000)</f>
        <v>2.639399173553719</v>
      </c>
      <c r="AP319" s="39">
        <f>IF(ISBLANK(AB319),"",IF($P319="BRL",AB319,AB319*Macroindicadores!M$2)/1000)</f>
        <v>2.639399173553719</v>
      </c>
      <c r="AQ319" s="40">
        <f t="shared" si="146"/>
        <v>31.672790082644635</v>
      </c>
      <c r="AS319" s="39">
        <f>IF(ISBLANK(Q319),"",IF(ISBLANK($O319),AE319,IF($J319="ANUAL",AE319*(1+Macroindicadores!B$7),IF(AND($I319="NOVO",MONTH($O319)=MONTH(AS$4)),AE319*(1+Macroindicadores!B$7),IF(AND($J319="PONTUAL",MONTH($O319)=MONTH(AS$4)),AE319*(1+Macroindicadores!B$7),IF(AND($J319="PONTUAL",MONTH($O319)&lt;MONTH(AS$4)),MIN(AR319:$AS319),IF(AND($I319="NOVO",MONTH($O319)&gt;MONTH(AS$4)),AE319,IF(MONTH($O319)&gt;MONTH(AS$4),AE319,IF(MONTH($O319)=MONTH(AS$4),AE319*(1+Macroindicadores!B$7),AR319)))))))))</f>
        <v>2.639399173553719</v>
      </c>
      <c r="AT319" s="39">
        <f>IF(ISBLANK(R319),"",IF(ISBLANK($O319),AF319,IF($J319="ANUAL",AF319*(1+Macroindicadores!C$7),IF(AND($I319="NOVO",MONTH($O319)=MONTH(AT$4)),AF319*(1+Macroindicadores!C$7),IF(AND($J319="PONTUAL",MONTH($O319)=MONTH(AT$4)),AF319*(1+Macroindicadores!C$7),IF(AND($J319="PONTUAL",MONTH($O319)&lt;MONTH(AT$4)),MIN($AS319:AS319),IF(AND($I319="NOVO",MONTH($O319)&gt;MONTH(AT$4)),AF319,IF(MONTH($O319)&gt;MONTH(AT$4),AF319,IF(MONTH($O319)=MONTH(AT$4),AF319*(1+Macroindicadores!C$7),AS319)))))))))</f>
        <v>2.639399173553719</v>
      </c>
      <c r="AU319" s="39">
        <f>IF(ISBLANK(S319),"",IF(ISBLANK($O319),AG319,IF($J319="ANUAL",AG319*(1+Macroindicadores!D$7),IF(AND($I319="NOVO",MONTH($O319)=MONTH(AU$4)),AG319*(1+Macroindicadores!D$7),IF(AND($J319="PONTUAL",MONTH($O319)=MONTH(AU$4)),AG319*(1+Macroindicadores!D$7),IF(AND($J319="PONTUAL",MONTH($O319)&lt;MONTH(AU$4)),MIN($AS319:AT319),IF(AND($I319="NOVO",MONTH($O319)&gt;MONTH(AU$4)),AG319,IF(MONTH($O319)&gt;MONTH(AU$4),AG319,IF(MONTH($O319)=MONTH(AU$4),AG319*(1+Macroindicadores!D$7),AT319)))))))))</f>
        <v>2.639399173553719</v>
      </c>
      <c r="AV319" s="39">
        <f>IF(ISBLANK(T319),"",IF(ISBLANK($O319),AH319,IF($J319="ANUAL",AH319*(1+Macroindicadores!E$7),IF(AND($I319="NOVO",MONTH($O319)=MONTH(AV$4)),AH319*(1+Macroindicadores!E$7),IF(AND($J319="PONTUAL",MONTH($O319)=MONTH(AV$4)),AH319*(1+Macroindicadores!E$7),IF(AND($J319="PONTUAL",MONTH($O319)&lt;MONTH(AV$4)),MIN($AS319:AU319),IF(AND($I319="NOVO",MONTH($O319)&gt;MONTH(AV$4)),AH319,IF(MONTH($O319)&gt;MONTH(AV$4),AH319,IF(MONTH($O319)=MONTH(AV$4),AH319*(1+Macroindicadores!E$7),AU319)))))))))</f>
        <v>2.639399173553719</v>
      </c>
      <c r="AW319" s="39">
        <f>IF(ISBLANK(U319),"",IF(ISBLANK($O319),AI319,IF($J319="ANUAL",AI319*(1+Macroindicadores!F$7),IF(AND($I319="NOVO",MONTH($O319)=MONTH(AW$4)),AI319*(1+Macroindicadores!F$7),IF(AND($J319="PONTUAL",MONTH($O319)=MONTH(AW$4)),AI319*(1+Macroindicadores!F$7),IF(AND($J319="PONTUAL",MONTH($O319)&lt;MONTH(AW$4)),MIN($AS319:AV319),IF(AND($I319="NOVO",MONTH($O319)&gt;MONTH(AW$4)),AI319,IF(MONTH($O319)&gt;MONTH(AW$4),AI319,IF(MONTH($O319)=MONTH(AW$4),AI319*(1+Macroindicadores!F$7),AV319)))))))))</f>
        <v>2.639399173553719</v>
      </c>
      <c r="AX319" s="39">
        <f>IF(ISBLANK(V319),"",IF(ISBLANK($O319),AJ319,IF($J319="ANUAL",AJ319*(1+Macroindicadores!G$7),IF(AND($I319="NOVO",MONTH($O319)=MONTH(AX$4)),AJ319*(1+Macroindicadores!G$7),IF(AND($J319="PONTUAL",MONTH($O319)=MONTH(AX$4)),AJ319*(1+Macroindicadores!G$7),IF(AND($J319="PONTUAL",MONTH($O319)&lt;MONTH(AX$4)),MIN($AS319:AW319),IF(AND($I319="NOVO",MONTH($O319)&gt;MONTH(AX$4)),AJ319,IF(MONTH($O319)&gt;MONTH(AX$4),AJ319,IF(MONTH($O319)=MONTH(AX$4),AJ319*(1+Macroindicadores!G$7),AW319)))))))))</f>
        <v>2.639399173553719</v>
      </c>
      <c r="AY319" s="39">
        <f>IF(ISBLANK(W319),"",IF(ISBLANK($O319),AK319,IF($J319="ANUAL",AK319*(1+Macroindicadores!H$7),IF(AND($I319="NOVO",MONTH($O319)=MONTH(AY$4)),AK319*(1+Macroindicadores!H$7),IF(AND($J319="PONTUAL",MONTH($O319)=MONTH(AY$4)),AK319*(1+Macroindicadores!H$7),IF(AND($J319="PONTUAL",MONTH($O319)&lt;MONTH(AY$4)),MIN($AS319:AX319),IF(AND($I319="NOVO",MONTH($O319)&gt;MONTH(AY$4)),AK319,IF(MONTH($O319)&gt;MONTH(AY$4),AK319,IF(MONTH($O319)=MONTH(AY$4),AK319*(1+Macroindicadores!H$7),AX319)))))))))</f>
        <v>2.639399173553719</v>
      </c>
      <c r="AZ319" s="39">
        <f>IF(ISBLANK(X319),"",IF(ISBLANK($O319),AL319,IF($J319="ANUAL",AL319*(1+Macroindicadores!I$7),IF(AND($I319="NOVO",MONTH($O319)=MONTH(AZ$4)),AL319*(1+Macroindicadores!I$7),IF(AND($J319="PONTUAL",MONTH($O319)=MONTH(AZ$4)),AL319*(1+Macroindicadores!I$7),IF(AND($J319="PONTUAL",MONTH($O319)&lt;MONTH(AZ$4)),MIN($AS319:AY319),IF(AND($I319="NOVO",MONTH($O319)&gt;MONTH(AZ$4)),AL319,IF(MONTH($O319)&gt;MONTH(AZ$4),AL319,IF(MONTH($O319)=MONTH(AZ$4),AL319*(1+Macroindicadores!I$7),AY319)))))))))</f>
        <v>2.639399173553719</v>
      </c>
      <c r="BA319" s="39">
        <f>IF(ISBLANK(Y319),"",IF(ISBLANK($O319),AM319,IF($J319="ANUAL",AM319*(1+Macroindicadores!J$7),IF(AND($I319="NOVO",MONTH($O319)=MONTH(BA$4)),AM319*(1+Macroindicadores!J$7),IF(AND($J319="PONTUAL",MONTH($O319)=MONTH(BA$4)),AM319*(1+Macroindicadores!J$7),IF(AND($J319="PONTUAL",MONTH($O319)&lt;MONTH(BA$4)),MIN($AS319:AZ319),IF(AND($I319="NOVO",MONTH($O319)&gt;MONTH(BA$4)),AM319,IF(MONTH($O319)&gt;MONTH(BA$4),AM319,IF(MONTH($O319)=MONTH(BA$4),AM319*(1+Macroindicadores!J$7),AZ319)))))))))</f>
        <v>2.639399173553719</v>
      </c>
      <c r="BB319" s="39">
        <f>IF(ISBLANK(Z319),"",IF(ISBLANK($O319),AN319,IF($J319="ANUAL",AN319*(1+Macroindicadores!K$7),IF(AND($I319="NOVO",MONTH($O319)=MONTH(BB$4)),AN319*(1+Macroindicadores!K$7),IF(AND($J319="PONTUAL",MONTH($O319)=MONTH(BB$4)),AN319*(1+Macroindicadores!K$7),IF(AND($J319="PONTUAL",MONTH($O319)&lt;MONTH(BB$4)),MIN($AS319:BA319),IF(AND($I319="NOVO",MONTH($O319)&gt;MONTH(BB$4)),AN319,IF(MONTH($O319)&gt;MONTH(BB$4),AN319,IF(MONTH($O319)=MONTH(BB$4),AN319*(1+Macroindicadores!K$7),BA319)))))))))</f>
        <v>2.639399173553719</v>
      </c>
      <c r="BC319" s="39">
        <f>IF(ISBLANK(AA319),"",IF(ISBLANK($O319),AO319,IF($J319="ANUAL",AO319*(1+Macroindicadores!L$7),IF(AND($I319="NOVO",MONTH($O319)=MONTH(BC$4)),AO319*(1+Macroindicadores!L$7),IF(AND($J319="PONTUAL",MONTH($O319)=MONTH(BC$4)),AO319*(1+Macroindicadores!L$7),IF(AND($J319="PONTUAL",MONTH($O319)&lt;MONTH(BC$4)),MIN($AS319:BB319),IF(AND($I319="NOVO",MONTH($O319)&gt;MONTH(BC$4)),AO319,IF(MONTH($O319)&gt;MONTH(BC$4),AO319,IF(MONTH($O319)=MONTH(BC$4),AO319*(1+Macroindicadores!L$7),BB319)))))))))</f>
        <v>2.639399173553719</v>
      </c>
      <c r="BD319" s="39">
        <f>IF(ISBLANK(AB319),"",IF(ISBLANK($O319),AP319,IF($J319="ANUAL",AP319*(1+Macroindicadores!M$7),IF(AND($I319="NOVO",MONTH($O319)=MONTH(BD$4)),AP319*(1+Macroindicadores!M$7),IF(AND($J319="PONTUAL",MONTH($O319)=MONTH(BD$4)),AP319*(1+Macroindicadores!M$7),IF(AND($J319="PONTUAL",MONTH($O319)&lt;MONTH(BD$4)),MIN($AS319:BC319),IF(AND($I319="NOVO",MONTH($O319)&gt;MONTH(BD$4)),AP319,IF(MONTH($O319)&gt;MONTH(BD$4),AP319,IF(MONTH($O319)=MONTH(BD$4),AP319*(1+Macroindicadores!M$7),BC319)))))))))</f>
        <v>2.639399173553719</v>
      </c>
      <c r="BE319" s="40">
        <f t="shared" si="147"/>
        <v>31.672790082644635</v>
      </c>
      <c r="BG319" s="39">
        <f>IF(ISBLANK(Q319),"",AS319/Macroindicadores!B$2)</f>
        <v>0.44887741046831958</v>
      </c>
      <c r="BH319" s="39">
        <f>IF(ISBLANK(R319),"",AT319/Macroindicadores!C$2)</f>
        <v>0.44887741046831958</v>
      </c>
      <c r="BI319" s="39">
        <f>IF(ISBLANK(S319),"",AU319/Macroindicadores!D$2)</f>
        <v>0.44887741046831958</v>
      </c>
      <c r="BJ319" s="39">
        <f>IF(ISBLANK(T319),"",AV319/Macroindicadores!E$2)</f>
        <v>0.44887741046831958</v>
      </c>
      <c r="BK319" s="39">
        <f>IF(ISBLANK(U319),"",AW319/Macroindicadores!F$2)</f>
        <v>0.44887741046831958</v>
      </c>
      <c r="BL319" s="39">
        <f>IF(ISBLANK(V319),"",AX319/Macroindicadores!G$2)</f>
        <v>0.44887741046831958</v>
      </c>
      <c r="BM319" s="39">
        <f>IF(ISBLANK(W319),"",AY319/Macroindicadores!H$2)</f>
        <v>0.44887741046831958</v>
      </c>
      <c r="BN319" s="39">
        <f>IF(ISBLANK(X319),"",AZ319/Macroindicadores!I$2)</f>
        <v>0.44887741046831958</v>
      </c>
      <c r="BO319" s="39">
        <f>IF(ISBLANK(Y319),"",BA319/Macroindicadores!J$2)</f>
        <v>0.44887741046831958</v>
      </c>
      <c r="BP319" s="39">
        <f>IF(ISBLANK(Z319),"",BB319/Macroindicadores!K$2)</f>
        <v>0.44887741046831958</v>
      </c>
      <c r="BQ319" s="39">
        <f>IF(ISBLANK(AA319),"",BC319/Macroindicadores!L$2)</f>
        <v>0.44887741046831958</v>
      </c>
      <c r="BR319" s="39">
        <f>IF(ISBLANK(AB319),"",BD319/Macroindicadores!M$2)</f>
        <v>0.44887741046831958</v>
      </c>
      <c r="BS319" s="40">
        <f t="shared" si="148"/>
        <v>5.3865289256198343</v>
      </c>
      <c r="BT319" s="25" t="str">
        <f>IF(ISBLANK($L319),"",_xlfn.XLOOKUP($L319,'CENTRO CUSTO'!$A:$A,'CENTRO CUSTO'!$E:$E,FALSE,0))</f>
        <v/>
      </c>
    </row>
    <row r="320" spans="1:72">
      <c r="A320" s="9" t="str">
        <f t="shared" si="80"/>
        <v>Budget</v>
      </c>
      <c r="B320" s="9">
        <f t="shared" si="77"/>
        <v>2026</v>
      </c>
      <c r="C320" s="111" t="s">
        <v>273</v>
      </c>
      <c r="D320" s="111" t="s">
        <v>274</v>
      </c>
      <c r="E320" s="111" t="s">
        <v>14</v>
      </c>
      <c r="F320" s="112" t="s">
        <v>281</v>
      </c>
      <c r="G320" s="112" t="s">
        <v>224</v>
      </c>
      <c r="H320" s="112" t="s">
        <v>320</v>
      </c>
      <c r="I320" s="11" t="s">
        <v>77</v>
      </c>
      <c r="J320" s="11" t="s">
        <v>78</v>
      </c>
      <c r="K320" s="11" t="s">
        <v>79</v>
      </c>
      <c r="L320" s="11"/>
      <c r="M320" s="18" t="str">
        <f>IF(ISBLANK($L320),"",_xlfn.XLOOKUP($L320,'CENTRO CUSTO'!$A:$A,'CENTRO CUSTO'!D:D,FALSE,0))</f>
        <v/>
      </c>
      <c r="N320" s="11" t="s">
        <v>132</v>
      </c>
      <c r="O320" s="12"/>
      <c r="P320" s="113" t="s">
        <v>88</v>
      </c>
      <c r="Q320" s="41">
        <v>11.449724517906336</v>
      </c>
      <c r="R320" s="41">
        <v>11.449724517906336</v>
      </c>
      <c r="S320" s="41">
        <v>11.449724517906336</v>
      </c>
      <c r="T320" s="41">
        <v>11.449724517906336</v>
      </c>
      <c r="U320" s="41">
        <v>11.449724517906336</v>
      </c>
      <c r="V320" s="41">
        <v>11.449724517906336</v>
      </c>
      <c r="W320" s="41">
        <v>11.449724517906336</v>
      </c>
      <c r="X320" s="41">
        <v>11.449724517906336</v>
      </c>
      <c r="Y320" s="41">
        <v>11.449724517906336</v>
      </c>
      <c r="Z320" s="41">
        <v>11.449724517906336</v>
      </c>
      <c r="AA320" s="41">
        <v>11.449724517906336</v>
      </c>
      <c r="AB320" s="41">
        <v>11.449724517906336</v>
      </c>
      <c r="AC320" s="116">
        <f t="shared" si="145"/>
        <v>137.39669421487602</v>
      </c>
      <c r="AE320" s="39">
        <f>IF(ISBLANK(Q320),"",IF($P320="BRL",Q320,Q320*Macroindicadores!B$2)/1000)</f>
        <v>6.7324380165289258E-2</v>
      </c>
      <c r="AF320" s="39">
        <f>IF(ISBLANK(R320),"",IF($P320="BRL",R320,R320*Macroindicadores!C$2)/1000)</f>
        <v>6.7324380165289258E-2</v>
      </c>
      <c r="AG320" s="39">
        <f>IF(ISBLANK(S320),"",IF($P320="BRL",S320,S320*Macroindicadores!D$2)/1000)</f>
        <v>6.7324380165289258E-2</v>
      </c>
      <c r="AH320" s="39">
        <f>IF(ISBLANK(T320),"",IF($P320="BRL",T320,T320*Macroindicadores!E$2)/1000)</f>
        <v>6.7324380165289258E-2</v>
      </c>
      <c r="AI320" s="39">
        <f>IF(ISBLANK(U320),"",IF($P320="BRL",U320,U320*Macroindicadores!F$2)/1000)</f>
        <v>6.7324380165289258E-2</v>
      </c>
      <c r="AJ320" s="39">
        <f>IF(ISBLANK(V320),"",IF($P320="BRL",V320,V320*Macroindicadores!G$2)/1000)</f>
        <v>6.7324380165289258E-2</v>
      </c>
      <c r="AK320" s="39">
        <f>IF(ISBLANK(W320),"",IF($P320="BRL",W320,W320*Macroindicadores!H$2)/1000)</f>
        <v>6.7324380165289258E-2</v>
      </c>
      <c r="AL320" s="39">
        <f>IF(ISBLANK(X320),"",IF($P320="BRL",X320,X320*Macroindicadores!I$2)/1000)</f>
        <v>6.7324380165289258E-2</v>
      </c>
      <c r="AM320" s="39">
        <f>IF(ISBLANK(Y320),"",IF($P320="BRL",Y320,Y320*Macroindicadores!J$2)/1000)</f>
        <v>6.7324380165289258E-2</v>
      </c>
      <c r="AN320" s="39">
        <f>IF(ISBLANK(Z320),"",IF($P320="BRL",Z320,Z320*Macroindicadores!K$2)/1000)</f>
        <v>6.7324380165289258E-2</v>
      </c>
      <c r="AO320" s="39">
        <f>IF(ISBLANK(AA320),"",IF($P320="BRL",AA320,AA320*Macroindicadores!L$2)/1000)</f>
        <v>6.7324380165289258E-2</v>
      </c>
      <c r="AP320" s="39">
        <f>IF(ISBLANK(AB320),"",IF($P320="BRL",AB320,AB320*Macroindicadores!M$2)/1000)</f>
        <v>6.7324380165289258E-2</v>
      </c>
      <c r="AQ320" s="40">
        <f t="shared" si="146"/>
        <v>0.80789256198347126</v>
      </c>
      <c r="AS320" s="39">
        <f>IF(ISBLANK(Q320),"",IF(ISBLANK($O320),AE320,IF($J320="ANUAL",AE320*(1+Macroindicadores!B$7),IF(AND($I320="NOVO",MONTH($O320)=MONTH(AS$4)),AE320*(1+Macroindicadores!B$7),IF(AND($J320="PONTUAL",MONTH($O320)=MONTH(AS$4)),AE320*(1+Macroindicadores!B$7),IF(AND($J320="PONTUAL",MONTH($O320)&lt;MONTH(AS$4)),MIN(AR320:$AS320),IF(AND($I320="NOVO",MONTH($O320)&gt;MONTH(AS$4)),AE320,IF(MONTH($O320)&gt;MONTH(AS$4),AE320,IF(MONTH($O320)=MONTH(AS$4),AE320*(1+Macroindicadores!B$7),AR320)))))))))</f>
        <v>6.7324380165289258E-2</v>
      </c>
      <c r="AT320" s="39">
        <f>IF(ISBLANK(R320),"",IF(ISBLANK($O320),AF320,IF($J320="ANUAL",AF320*(1+Macroindicadores!C$7),IF(AND($I320="NOVO",MONTH($O320)=MONTH(AT$4)),AF320*(1+Macroindicadores!C$7),IF(AND($J320="PONTUAL",MONTH($O320)=MONTH(AT$4)),AF320*(1+Macroindicadores!C$7),IF(AND($J320="PONTUAL",MONTH($O320)&lt;MONTH(AT$4)),MIN($AS320:AS320),IF(AND($I320="NOVO",MONTH($O320)&gt;MONTH(AT$4)),AF320,IF(MONTH($O320)&gt;MONTH(AT$4),AF320,IF(MONTH($O320)=MONTH(AT$4),AF320*(1+Macroindicadores!C$7),AS320)))))))))</f>
        <v>6.7324380165289258E-2</v>
      </c>
      <c r="AU320" s="39">
        <f>IF(ISBLANK(S320),"",IF(ISBLANK($O320),AG320,IF($J320="ANUAL",AG320*(1+Macroindicadores!D$7),IF(AND($I320="NOVO",MONTH($O320)=MONTH(AU$4)),AG320*(1+Macroindicadores!D$7),IF(AND($J320="PONTUAL",MONTH($O320)=MONTH(AU$4)),AG320*(1+Macroindicadores!D$7),IF(AND($J320="PONTUAL",MONTH($O320)&lt;MONTH(AU$4)),MIN($AS320:AT320),IF(AND($I320="NOVO",MONTH($O320)&gt;MONTH(AU$4)),AG320,IF(MONTH($O320)&gt;MONTH(AU$4),AG320,IF(MONTH($O320)=MONTH(AU$4),AG320*(1+Macroindicadores!D$7),AT320)))))))))</f>
        <v>6.7324380165289258E-2</v>
      </c>
      <c r="AV320" s="39">
        <f>IF(ISBLANK(T320),"",IF(ISBLANK($O320),AH320,IF($J320="ANUAL",AH320*(1+Macroindicadores!E$7),IF(AND($I320="NOVO",MONTH($O320)=MONTH(AV$4)),AH320*(1+Macroindicadores!E$7),IF(AND($J320="PONTUAL",MONTH($O320)=MONTH(AV$4)),AH320*(1+Macroindicadores!E$7),IF(AND($J320="PONTUAL",MONTH($O320)&lt;MONTH(AV$4)),MIN($AS320:AU320),IF(AND($I320="NOVO",MONTH($O320)&gt;MONTH(AV$4)),AH320,IF(MONTH($O320)&gt;MONTH(AV$4),AH320,IF(MONTH($O320)=MONTH(AV$4),AH320*(1+Macroindicadores!E$7),AU320)))))))))</f>
        <v>6.7324380165289258E-2</v>
      </c>
      <c r="AW320" s="39">
        <f>IF(ISBLANK(U320),"",IF(ISBLANK($O320),AI320,IF($J320="ANUAL",AI320*(1+Macroindicadores!F$7),IF(AND($I320="NOVO",MONTH($O320)=MONTH(AW$4)),AI320*(1+Macroindicadores!F$7),IF(AND($J320="PONTUAL",MONTH($O320)=MONTH(AW$4)),AI320*(1+Macroindicadores!F$7),IF(AND($J320="PONTUAL",MONTH($O320)&lt;MONTH(AW$4)),MIN($AS320:AV320),IF(AND($I320="NOVO",MONTH($O320)&gt;MONTH(AW$4)),AI320,IF(MONTH($O320)&gt;MONTH(AW$4),AI320,IF(MONTH($O320)=MONTH(AW$4),AI320*(1+Macroindicadores!F$7),AV320)))))))))</f>
        <v>6.7324380165289258E-2</v>
      </c>
      <c r="AX320" s="39">
        <f>IF(ISBLANK(V320),"",IF(ISBLANK($O320),AJ320,IF($J320="ANUAL",AJ320*(1+Macroindicadores!G$7),IF(AND($I320="NOVO",MONTH($O320)=MONTH(AX$4)),AJ320*(1+Macroindicadores!G$7),IF(AND($J320="PONTUAL",MONTH($O320)=MONTH(AX$4)),AJ320*(1+Macroindicadores!G$7),IF(AND($J320="PONTUAL",MONTH($O320)&lt;MONTH(AX$4)),MIN($AS320:AW320),IF(AND($I320="NOVO",MONTH($O320)&gt;MONTH(AX$4)),AJ320,IF(MONTH($O320)&gt;MONTH(AX$4),AJ320,IF(MONTH($O320)=MONTH(AX$4),AJ320*(1+Macroindicadores!G$7),AW320)))))))))</f>
        <v>6.7324380165289258E-2</v>
      </c>
      <c r="AY320" s="39">
        <f>IF(ISBLANK(W320),"",IF(ISBLANK($O320),AK320,IF($J320="ANUAL",AK320*(1+Macroindicadores!H$7),IF(AND($I320="NOVO",MONTH($O320)=MONTH(AY$4)),AK320*(1+Macroindicadores!H$7),IF(AND($J320="PONTUAL",MONTH($O320)=MONTH(AY$4)),AK320*(1+Macroindicadores!H$7),IF(AND($J320="PONTUAL",MONTH($O320)&lt;MONTH(AY$4)),MIN($AS320:AX320),IF(AND($I320="NOVO",MONTH($O320)&gt;MONTH(AY$4)),AK320,IF(MONTH($O320)&gt;MONTH(AY$4),AK320,IF(MONTH($O320)=MONTH(AY$4),AK320*(1+Macroindicadores!H$7),AX320)))))))))</f>
        <v>6.7324380165289258E-2</v>
      </c>
      <c r="AZ320" s="39">
        <f>IF(ISBLANK(X320),"",IF(ISBLANK($O320),AL320,IF($J320="ANUAL",AL320*(1+Macroindicadores!I$7),IF(AND($I320="NOVO",MONTH($O320)=MONTH(AZ$4)),AL320*(1+Macroindicadores!I$7),IF(AND($J320="PONTUAL",MONTH($O320)=MONTH(AZ$4)),AL320*(1+Macroindicadores!I$7),IF(AND($J320="PONTUAL",MONTH($O320)&lt;MONTH(AZ$4)),MIN($AS320:AY320),IF(AND($I320="NOVO",MONTH($O320)&gt;MONTH(AZ$4)),AL320,IF(MONTH($O320)&gt;MONTH(AZ$4),AL320,IF(MONTH($O320)=MONTH(AZ$4),AL320*(1+Macroindicadores!I$7),AY320)))))))))</f>
        <v>6.7324380165289258E-2</v>
      </c>
      <c r="BA320" s="39">
        <f>IF(ISBLANK(Y320),"",IF(ISBLANK($O320),AM320,IF($J320="ANUAL",AM320*(1+Macroindicadores!J$7),IF(AND($I320="NOVO",MONTH($O320)=MONTH(BA$4)),AM320*(1+Macroindicadores!J$7),IF(AND($J320="PONTUAL",MONTH($O320)=MONTH(BA$4)),AM320*(1+Macroindicadores!J$7),IF(AND($J320="PONTUAL",MONTH($O320)&lt;MONTH(BA$4)),MIN($AS320:AZ320),IF(AND($I320="NOVO",MONTH($O320)&gt;MONTH(BA$4)),AM320,IF(MONTH($O320)&gt;MONTH(BA$4),AM320,IF(MONTH($O320)=MONTH(BA$4),AM320*(1+Macroindicadores!J$7),AZ320)))))))))</f>
        <v>6.7324380165289258E-2</v>
      </c>
      <c r="BB320" s="39">
        <f>IF(ISBLANK(Z320),"",IF(ISBLANK($O320),AN320,IF($J320="ANUAL",AN320*(1+Macroindicadores!K$7),IF(AND($I320="NOVO",MONTH($O320)=MONTH(BB$4)),AN320*(1+Macroindicadores!K$7),IF(AND($J320="PONTUAL",MONTH($O320)=MONTH(BB$4)),AN320*(1+Macroindicadores!K$7),IF(AND($J320="PONTUAL",MONTH($O320)&lt;MONTH(BB$4)),MIN($AS320:BA320),IF(AND($I320="NOVO",MONTH($O320)&gt;MONTH(BB$4)),AN320,IF(MONTH($O320)&gt;MONTH(BB$4),AN320,IF(MONTH($O320)=MONTH(BB$4),AN320*(1+Macroindicadores!K$7),BA320)))))))))</f>
        <v>6.7324380165289258E-2</v>
      </c>
      <c r="BC320" s="39">
        <f>IF(ISBLANK(AA320),"",IF(ISBLANK($O320),AO320,IF($J320="ANUAL",AO320*(1+Macroindicadores!L$7),IF(AND($I320="NOVO",MONTH($O320)=MONTH(BC$4)),AO320*(1+Macroindicadores!L$7),IF(AND($J320="PONTUAL",MONTH($O320)=MONTH(BC$4)),AO320*(1+Macroindicadores!L$7),IF(AND($J320="PONTUAL",MONTH($O320)&lt;MONTH(BC$4)),MIN($AS320:BB320),IF(AND($I320="NOVO",MONTH($O320)&gt;MONTH(BC$4)),AO320,IF(MONTH($O320)&gt;MONTH(BC$4),AO320,IF(MONTH($O320)=MONTH(BC$4),AO320*(1+Macroindicadores!L$7),BB320)))))))))</f>
        <v>6.7324380165289258E-2</v>
      </c>
      <c r="BD320" s="39">
        <f>IF(ISBLANK(AB320),"",IF(ISBLANK($O320),AP320,IF($J320="ANUAL",AP320*(1+Macroindicadores!M$7),IF(AND($I320="NOVO",MONTH($O320)=MONTH(BD$4)),AP320*(1+Macroindicadores!M$7),IF(AND($J320="PONTUAL",MONTH($O320)=MONTH(BD$4)),AP320*(1+Macroindicadores!M$7),IF(AND($J320="PONTUAL",MONTH($O320)&lt;MONTH(BD$4)),MIN($AS320:BC320),IF(AND($I320="NOVO",MONTH($O320)&gt;MONTH(BD$4)),AP320,IF(MONTH($O320)&gt;MONTH(BD$4),AP320,IF(MONTH($O320)=MONTH(BD$4),AP320*(1+Macroindicadores!M$7),BC320)))))))))</f>
        <v>6.7324380165289258E-2</v>
      </c>
      <c r="BE320" s="40">
        <f t="shared" si="147"/>
        <v>0.80789256198347126</v>
      </c>
      <c r="BG320" s="39">
        <f>IF(ISBLANK(Q320),"",AS320/Macroindicadores!B$2)</f>
        <v>1.1449724517906337E-2</v>
      </c>
      <c r="BH320" s="39">
        <f>IF(ISBLANK(R320),"",AT320/Macroindicadores!C$2)</f>
        <v>1.1449724517906337E-2</v>
      </c>
      <c r="BI320" s="39">
        <f>IF(ISBLANK(S320),"",AU320/Macroindicadores!D$2)</f>
        <v>1.1449724517906337E-2</v>
      </c>
      <c r="BJ320" s="39">
        <f>IF(ISBLANK(T320),"",AV320/Macroindicadores!E$2)</f>
        <v>1.1449724517906337E-2</v>
      </c>
      <c r="BK320" s="39">
        <f>IF(ISBLANK(U320),"",AW320/Macroindicadores!F$2)</f>
        <v>1.1449724517906337E-2</v>
      </c>
      <c r="BL320" s="39">
        <f>IF(ISBLANK(V320),"",AX320/Macroindicadores!G$2)</f>
        <v>1.1449724517906337E-2</v>
      </c>
      <c r="BM320" s="39">
        <f>IF(ISBLANK(W320),"",AY320/Macroindicadores!H$2)</f>
        <v>1.1449724517906337E-2</v>
      </c>
      <c r="BN320" s="39">
        <f>IF(ISBLANK(X320),"",AZ320/Macroindicadores!I$2)</f>
        <v>1.1449724517906337E-2</v>
      </c>
      <c r="BO320" s="39">
        <f>IF(ISBLANK(Y320),"",BA320/Macroindicadores!J$2)</f>
        <v>1.1449724517906337E-2</v>
      </c>
      <c r="BP320" s="39">
        <f>IF(ISBLANK(Z320),"",BB320/Macroindicadores!K$2)</f>
        <v>1.1449724517906337E-2</v>
      </c>
      <c r="BQ320" s="39">
        <f>IF(ISBLANK(AA320),"",BC320/Macroindicadores!L$2)</f>
        <v>1.1449724517906337E-2</v>
      </c>
      <c r="BR320" s="39">
        <f>IF(ISBLANK(AB320),"",BD320/Macroindicadores!M$2)</f>
        <v>1.1449724517906337E-2</v>
      </c>
      <c r="BS320" s="40">
        <f t="shared" si="148"/>
        <v>0.13739669421487605</v>
      </c>
      <c r="BT320" s="25" t="str">
        <f>IF(ISBLANK($L320),"",_xlfn.XLOOKUP($L320,'CENTRO CUSTO'!$A:$A,'CENTRO CUSTO'!$E:$E,FALSE,0))</f>
        <v/>
      </c>
    </row>
    <row r="321" spans="1:72">
      <c r="A321" s="9" t="str">
        <f t="shared" si="80"/>
        <v>Budget</v>
      </c>
      <c r="B321" s="9">
        <f t="shared" si="77"/>
        <v>2026</v>
      </c>
      <c r="C321" s="111" t="s">
        <v>273</v>
      </c>
      <c r="D321" s="111" t="s">
        <v>274</v>
      </c>
      <c r="E321" s="111" t="s">
        <v>14</v>
      </c>
      <c r="F321" s="112" t="s">
        <v>292</v>
      </c>
      <c r="G321" s="112" t="s">
        <v>123</v>
      </c>
      <c r="H321" s="112" t="s">
        <v>293</v>
      </c>
      <c r="I321" s="11" t="s">
        <v>77</v>
      </c>
      <c r="J321" s="11" t="s">
        <v>181</v>
      </c>
      <c r="K321" s="11" t="s">
        <v>79</v>
      </c>
      <c r="L321" s="11"/>
      <c r="M321" s="18" t="str">
        <f>IF(ISBLANK($L321),"",_xlfn.XLOOKUP($L321,'CENTRO CUSTO'!$A:$A,'CENTRO CUSTO'!D:D,FALSE,0))</f>
        <v/>
      </c>
      <c r="N321" s="11" t="s">
        <v>91</v>
      </c>
      <c r="O321" s="12"/>
      <c r="P321" s="113" t="s">
        <v>88</v>
      </c>
      <c r="Q321" s="41">
        <v>50</v>
      </c>
      <c r="R321" s="41">
        <v>50</v>
      </c>
      <c r="S321" s="41">
        <v>50</v>
      </c>
      <c r="T321" s="41">
        <v>50</v>
      </c>
      <c r="U321" s="41">
        <v>50</v>
      </c>
      <c r="V321" s="41">
        <v>50</v>
      </c>
      <c r="W321" s="41">
        <v>50</v>
      </c>
      <c r="X321" s="41">
        <v>50</v>
      </c>
      <c r="Y321" s="41">
        <v>50</v>
      </c>
      <c r="Z321" s="41">
        <v>50</v>
      </c>
      <c r="AA321" s="41">
        <v>50</v>
      </c>
      <c r="AB321" s="41">
        <v>50</v>
      </c>
      <c r="AC321" s="116">
        <f t="shared" si="145"/>
        <v>600</v>
      </c>
      <c r="AE321" s="39">
        <f>IF(ISBLANK(Q321),"",IF($P321="BRL",Q321,Q321*Macroindicadores!B$2)/1000)</f>
        <v>0.29399999999999998</v>
      </c>
      <c r="AF321" s="39">
        <f>IF(ISBLANK(R321),"",IF($P321="BRL",R321,R321*Macroindicadores!C$2)/1000)</f>
        <v>0.29399999999999998</v>
      </c>
      <c r="AG321" s="39">
        <f>IF(ISBLANK(S321),"",IF($P321="BRL",S321,S321*Macroindicadores!D$2)/1000)</f>
        <v>0.29399999999999998</v>
      </c>
      <c r="AH321" s="39">
        <f>IF(ISBLANK(T321),"",IF($P321="BRL",T321,T321*Macroindicadores!E$2)/1000)</f>
        <v>0.29399999999999998</v>
      </c>
      <c r="AI321" s="39">
        <f>IF(ISBLANK(U321),"",IF($P321="BRL",U321,U321*Macroindicadores!F$2)/1000)</f>
        <v>0.29399999999999998</v>
      </c>
      <c r="AJ321" s="39">
        <f>IF(ISBLANK(V321),"",IF($P321="BRL",V321,V321*Macroindicadores!G$2)/1000)</f>
        <v>0.29399999999999998</v>
      </c>
      <c r="AK321" s="39">
        <f>IF(ISBLANK(W321),"",IF($P321="BRL",W321,W321*Macroindicadores!H$2)/1000)</f>
        <v>0.29399999999999998</v>
      </c>
      <c r="AL321" s="39">
        <f>IF(ISBLANK(X321),"",IF($P321="BRL",X321,X321*Macroindicadores!I$2)/1000)</f>
        <v>0.29399999999999998</v>
      </c>
      <c r="AM321" s="39">
        <f>IF(ISBLANK(Y321),"",IF($P321="BRL",Y321,Y321*Macroindicadores!J$2)/1000)</f>
        <v>0.29399999999999998</v>
      </c>
      <c r="AN321" s="39">
        <f>IF(ISBLANK(Z321),"",IF($P321="BRL",Z321,Z321*Macroindicadores!K$2)/1000)</f>
        <v>0.29399999999999998</v>
      </c>
      <c r="AO321" s="39">
        <f>IF(ISBLANK(AA321),"",IF($P321="BRL",AA321,AA321*Macroindicadores!L$2)/1000)</f>
        <v>0.29399999999999998</v>
      </c>
      <c r="AP321" s="39">
        <f>IF(ISBLANK(AB321),"",IF($P321="BRL",AB321,AB321*Macroindicadores!M$2)/1000)</f>
        <v>0.29399999999999998</v>
      </c>
      <c r="AQ321" s="40">
        <f t="shared" si="146"/>
        <v>3.528</v>
      </c>
      <c r="AS321" s="39">
        <f>IF(ISBLANK(Q321),"",IF(ISBLANK($O321),AE321,IF($J321="ANUAL",AE321*(1+Macroindicadores!B$7),IF(AND($I321="NOVO",MONTH($O321)=MONTH(AS$4)),AE321*(1+Macroindicadores!B$7),IF(AND($J321="PONTUAL",MONTH($O321)=MONTH(AS$4)),AE321*(1+Macroindicadores!B$7),IF(AND($J321="PONTUAL",MONTH($O321)&lt;MONTH(AS$4)),MIN(AR321:$AS321),IF(AND($I321="NOVO",MONTH($O321)&gt;MONTH(AS$4)),AE321,IF(MONTH($O321)&gt;MONTH(AS$4),AE321,IF(MONTH($O321)=MONTH(AS$4),AE321*(1+Macroindicadores!B$7),AR321)))))))))</f>
        <v>0.29399999999999998</v>
      </c>
      <c r="AT321" s="39">
        <f>IF(ISBLANK(R321),"",IF(ISBLANK($O321),AF321,IF($J321="ANUAL",AF321*(1+Macroindicadores!C$7),IF(AND($I321="NOVO",MONTH($O321)=MONTH(AT$4)),AF321*(1+Macroindicadores!C$7),IF(AND($J321="PONTUAL",MONTH($O321)=MONTH(AT$4)),AF321*(1+Macroindicadores!C$7),IF(AND($J321="PONTUAL",MONTH($O321)&lt;MONTH(AT$4)),MIN($AS321:AS321),IF(AND($I321="NOVO",MONTH($O321)&gt;MONTH(AT$4)),AF321,IF(MONTH($O321)&gt;MONTH(AT$4),AF321,IF(MONTH($O321)=MONTH(AT$4),AF321*(1+Macroindicadores!C$7),AS321)))))))))</f>
        <v>0.29399999999999998</v>
      </c>
      <c r="AU321" s="39">
        <f>IF(ISBLANK(S321),"",IF(ISBLANK($O321),AG321,IF($J321="ANUAL",AG321*(1+Macroindicadores!D$7),IF(AND($I321="NOVO",MONTH($O321)=MONTH(AU$4)),AG321*(1+Macroindicadores!D$7),IF(AND($J321="PONTUAL",MONTH($O321)=MONTH(AU$4)),AG321*(1+Macroindicadores!D$7),IF(AND($J321="PONTUAL",MONTH($O321)&lt;MONTH(AU$4)),MIN($AS321:AT321),IF(AND($I321="NOVO",MONTH($O321)&gt;MONTH(AU$4)),AG321,IF(MONTH($O321)&gt;MONTH(AU$4),AG321,IF(MONTH($O321)=MONTH(AU$4),AG321*(1+Macroindicadores!D$7),AT321)))))))))</f>
        <v>0.29399999999999998</v>
      </c>
      <c r="AV321" s="39">
        <f>IF(ISBLANK(T321),"",IF(ISBLANK($O321),AH321,IF($J321="ANUAL",AH321*(1+Macroindicadores!E$7),IF(AND($I321="NOVO",MONTH($O321)=MONTH(AV$4)),AH321*(1+Macroindicadores!E$7),IF(AND($J321="PONTUAL",MONTH($O321)=MONTH(AV$4)),AH321*(1+Macroindicadores!E$7),IF(AND($J321="PONTUAL",MONTH($O321)&lt;MONTH(AV$4)),MIN($AS321:AU321),IF(AND($I321="NOVO",MONTH($O321)&gt;MONTH(AV$4)),AH321,IF(MONTH($O321)&gt;MONTH(AV$4),AH321,IF(MONTH($O321)=MONTH(AV$4),AH321*(1+Macroindicadores!E$7),AU321)))))))))</f>
        <v>0.29399999999999998</v>
      </c>
      <c r="AW321" s="39">
        <f>IF(ISBLANK(U321),"",IF(ISBLANK($O321),AI321,IF($J321="ANUAL",AI321*(1+Macroindicadores!F$7),IF(AND($I321="NOVO",MONTH($O321)=MONTH(AW$4)),AI321*(1+Macroindicadores!F$7),IF(AND($J321="PONTUAL",MONTH($O321)=MONTH(AW$4)),AI321*(1+Macroindicadores!F$7),IF(AND($J321="PONTUAL",MONTH($O321)&lt;MONTH(AW$4)),MIN($AS321:AV321),IF(AND($I321="NOVO",MONTH($O321)&gt;MONTH(AW$4)),AI321,IF(MONTH($O321)&gt;MONTH(AW$4),AI321,IF(MONTH($O321)=MONTH(AW$4),AI321*(1+Macroindicadores!F$7),AV321)))))))))</f>
        <v>0.29399999999999998</v>
      </c>
      <c r="AX321" s="39">
        <f>IF(ISBLANK(V321),"",IF(ISBLANK($O321),AJ321,IF($J321="ANUAL",AJ321*(1+Macroindicadores!G$7),IF(AND($I321="NOVO",MONTH($O321)=MONTH(AX$4)),AJ321*(1+Macroindicadores!G$7),IF(AND($J321="PONTUAL",MONTH($O321)=MONTH(AX$4)),AJ321*(1+Macroindicadores!G$7),IF(AND($J321="PONTUAL",MONTH($O321)&lt;MONTH(AX$4)),MIN($AS321:AW321),IF(AND($I321="NOVO",MONTH($O321)&gt;MONTH(AX$4)),AJ321,IF(MONTH($O321)&gt;MONTH(AX$4),AJ321,IF(MONTH($O321)=MONTH(AX$4),AJ321*(1+Macroindicadores!G$7),AW321)))))))))</f>
        <v>0.29399999999999998</v>
      </c>
      <c r="AY321" s="39">
        <f>IF(ISBLANK(W321),"",IF(ISBLANK($O321),AK321,IF($J321="ANUAL",AK321*(1+Macroindicadores!H$7),IF(AND($I321="NOVO",MONTH($O321)=MONTH(AY$4)),AK321*(1+Macroindicadores!H$7),IF(AND($J321="PONTUAL",MONTH($O321)=MONTH(AY$4)),AK321*(1+Macroindicadores!H$7),IF(AND($J321="PONTUAL",MONTH($O321)&lt;MONTH(AY$4)),MIN($AS321:AX321),IF(AND($I321="NOVO",MONTH($O321)&gt;MONTH(AY$4)),AK321,IF(MONTH($O321)&gt;MONTH(AY$4),AK321,IF(MONTH($O321)=MONTH(AY$4),AK321*(1+Macroindicadores!H$7),AX321)))))))))</f>
        <v>0.29399999999999998</v>
      </c>
      <c r="AZ321" s="39">
        <f>IF(ISBLANK(X321),"",IF(ISBLANK($O321),AL321,IF($J321="ANUAL",AL321*(1+Macroindicadores!I$7),IF(AND($I321="NOVO",MONTH($O321)=MONTH(AZ$4)),AL321*(1+Macroindicadores!I$7),IF(AND($J321="PONTUAL",MONTH($O321)=MONTH(AZ$4)),AL321*(1+Macroindicadores!I$7),IF(AND($J321="PONTUAL",MONTH($O321)&lt;MONTH(AZ$4)),MIN($AS321:AY321),IF(AND($I321="NOVO",MONTH($O321)&gt;MONTH(AZ$4)),AL321,IF(MONTH($O321)&gt;MONTH(AZ$4),AL321,IF(MONTH($O321)=MONTH(AZ$4),AL321*(1+Macroindicadores!I$7),AY321)))))))))</f>
        <v>0.29399999999999998</v>
      </c>
      <c r="BA321" s="39">
        <f>IF(ISBLANK(Y321),"",IF(ISBLANK($O321),AM321,IF($J321="ANUAL",AM321*(1+Macroindicadores!J$7),IF(AND($I321="NOVO",MONTH($O321)=MONTH(BA$4)),AM321*(1+Macroindicadores!J$7),IF(AND($J321="PONTUAL",MONTH($O321)=MONTH(BA$4)),AM321*(1+Macroindicadores!J$7),IF(AND($J321="PONTUAL",MONTH($O321)&lt;MONTH(BA$4)),MIN($AS321:AZ321),IF(AND($I321="NOVO",MONTH($O321)&gt;MONTH(BA$4)),AM321,IF(MONTH($O321)&gt;MONTH(BA$4),AM321,IF(MONTH($O321)=MONTH(BA$4),AM321*(1+Macroindicadores!J$7),AZ321)))))))))</f>
        <v>0.29399999999999998</v>
      </c>
      <c r="BB321" s="39">
        <f>IF(ISBLANK(Z321),"",IF(ISBLANK($O321),AN321,IF($J321="ANUAL",AN321*(1+Macroindicadores!K$7),IF(AND($I321="NOVO",MONTH($O321)=MONTH(BB$4)),AN321*(1+Macroindicadores!K$7),IF(AND($J321="PONTUAL",MONTH($O321)=MONTH(BB$4)),AN321*(1+Macroindicadores!K$7),IF(AND($J321="PONTUAL",MONTH($O321)&lt;MONTH(BB$4)),MIN($AS321:BA321),IF(AND($I321="NOVO",MONTH($O321)&gt;MONTH(BB$4)),AN321,IF(MONTH($O321)&gt;MONTH(BB$4),AN321,IF(MONTH($O321)=MONTH(BB$4),AN321*(1+Macroindicadores!K$7),BA321)))))))))</f>
        <v>0.29399999999999998</v>
      </c>
      <c r="BC321" s="39">
        <f>IF(ISBLANK(AA321),"",IF(ISBLANK($O321),AO321,IF($J321="ANUAL",AO321*(1+Macroindicadores!L$7),IF(AND($I321="NOVO",MONTH($O321)=MONTH(BC$4)),AO321*(1+Macroindicadores!L$7),IF(AND($J321="PONTUAL",MONTH($O321)=MONTH(BC$4)),AO321*(1+Macroindicadores!L$7),IF(AND($J321="PONTUAL",MONTH($O321)&lt;MONTH(BC$4)),MIN($AS321:BB321),IF(AND($I321="NOVO",MONTH($O321)&gt;MONTH(BC$4)),AO321,IF(MONTH($O321)&gt;MONTH(BC$4),AO321,IF(MONTH($O321)=MONTH(BC$4),AO321*(1+Macroindicadores!L$7),BB321)))))))))</f>
        <v>0.29399999999999998</v>
      </c>
      <c r="BD321" s="39">
        <f>IF(ISBLANK(AB321),"",IF(ISBLANK($O321),AP321,IF($J321="ANUAL",AP321*(1+Macroindicadores!M$7),IF(AND($I321="NOVO",MONTH($O321)=MONTH(BD$4)),AP321*(1+Macroindicadores!M$7),IF(AND($J321="PONTUAL",MONTH($O321)=MONTH(BD$4)),AP321*(1+Macroindicadores!M$7),IF(AND($J321="PONTUAL",MONTH($O321)&lt;MONTH(BD$4)),MIN($AS321:BC321),IF(AND($I321="NOVO",MONTH($O321)&gt;MONTH(BD$4)),AP321,IF(MONTH($O321)&gt;MONTH(BD$4),AP321,IF(MONTH($O321)=MONTH(BD$4),AP321*(1+Macroindicadores!M$7),BC321)))))))))</f>
        <v>0.29399999999999998</v>
      </c>
      <c r="BE321" s="40">
        <f t="shared" si="147"/>
        <v>3.528</v>
      </c>
      <c r="BG321" s="39">
        <f>IF(ISBLANK(Q321),"",AS321/Macroindicadores!B$2)</f>
        <v>4.9999999999999996E-2</v>
      </c>
      <c r="BH321" s="39">
        <f>IF(ISBLANK(R321),"",AT321/Macroindicadores!C$2)</f>
        <v>4.9999999999999996E-2</v>
      </c>
      <c r="BI321" s="39">
        <f>IF(ISBLANK(S321),"",AU321/Macroindicadores!D$2)</f>
        <v>4.9999999999999996E-2</v>
      </c>
      <c r="BJ321" s="39">
        <f>IF(ISBLANK(T321),"",AV321/Macroindicadores!E$2)</f>
        <v>4.9999999999999996E-2</v>
      </c>
      <c r="BK321" s="39">
        <f>IF(ISBLANK(U321),"",AW321/Macroindicadores!F$2)</f>
        <v>4.9999999999999996E-2</v>
      </c>
      <c r="BL321" s="39">
        <f>IF(ISBLANK(V321),"",AX321/Macroindicadores!G$2)</f>
        <v>4.9999999999999996E-2</v>
      </c>
      <c r="BM321" s="39">
        <f>IF(ISBLANK(W321),"",AY321/Macroindicadores!H$2)</f>
        <v>4.9999999999999996E-2</v>
      </c>
      <c r="BN321" s="39">
        <f>IF(ISBLANK(X321),"",AZ321/Macroindicadores!I$2)</f>
        <v>4.9999999999999996E-2</v>
      </c>
      <c r="BO321" s="39">
        <f>IF(ISBLANK(Y321),"",BA321/Macroindicadores!J$2)</f>
        <v>4.9999999999999996E-2</v>
      </c>
      <c r="BP321" s="39">
        <f>IF(ISBLANK(Z321),"",BB321/Macroindicadores!K$2)</f>
        <v>4.9999999999999996E-2</v>
      </c>
      <c r="BQ321" s="39">
        <f>IF(ISBLANK(AA321),"",BC321/Macroindicadores!L$2)</f>
        <v>4.9999999999999996E-2</v>
      </c>
      <c r="BR321" s="39">
        <f>IF(ISBLANK(AB321),"",BD321/Macroindicadores!M$2)</f>
        <v>4.9999999999999996E-2</v>
      </c>
      <c r="BS321" s="40">
        <f t="shared" si="148"/>
        <v>0.6</v>
      </c>
      <c r="BT321" s="25" t="str">
        <f>IF(ISBLANK($L321),"",_xlfn.XLOOKUP($L321,'CENTRO CUSTO'!$A:$A,'CENTRO CUSTO'!$E:$E,FALSE,0))</f>
        <v/>
      </c>
    </row>
    <row r="322" spans="1:72">
      <c r="A322" s="9" t="str">
        <f t="shared" si="80"/>
        <v>Budget</v>
      </c>
      <c r="B322" s="9">
        <f t="shared" si="77"/>
        <v>2026</v>
      </c>
      <c r="C322" s="111" t="s">
        <v>262</v>
      </c>
      <c r="D322" s="111" t="s">
        <v>263</v>
      </c>
      <c r="E322" s="111" t="s">
        <v>14</v>
      </c>
      <c r="F322" s="112" t="s">
        <v>296</v>
      </c>
      <c r="G322" s="112" t="s">
        <v>75</v>
      </c>
      <c r="H322" s="112" t="s">
        <v>297</v>
      </c>
      <c r="I322" s="11" t="s">
        <v>77</v>
      </c>
      <c r="J322" s="11" t="s">
        <v>78</v>
      </c>
      <c r="K322" s="11" t="s">
        <v>79</v>
      </c>
      <c r="L322" s="11"/>
      <c r="M322" s="18" t="str">
        <f>IF(ISBLANK($L322),"",_xlfn.XLOOKUP($L322,'CENTRO CUSTO'!$A:$A,'CENTRO CUSTO'!D:D,FALSE,0))</f>
        <v/>
      </c>
      <c r="N322" s="11" t="s">
        <v>106</v>
      </c>
      <c r="O322" s="12"/>
      <c r="P322" s="113" t="s">
        <v>88</v>
      </c>
      <c r="Q322" s="41">
        <v>74.77272727272728</v>
      </c>
      <c r="R322" s="41">
        <v>74.77272727272728</v>
      </c>
      <c r="S322" s="41">
        <v>74.77272727272728</v>
      </c>
      <c r="T322" s="41">
        <v>74.77272727272728</v>
      </c>
      <c r="U322" s="41">
        <v>74.77272727272728</v>
      </c>
      <c r="V322" s="41">
        <v>74.77272727272728</v>
      </c>
      <c r="W322" s="41">
        <v>74.77272727272728</v>
      </c>
      <c r="X322" s="41">
        <v>74.77272727272728</v>
      </c>
      <c r="Y322" s="41">
        <v>74.77272727272728</v>
      </c>
      <c r="Z322" s="41">
        <v>74.77272727272728</v>
      </c>
      <c r="AA322" s="41">
        <v>74.77272727272728</v>
      </c>
      <c r="AB322" s="41">
        <v>74.77272727272728</v>
      </c>
      <c r="AC322" s="116">
        <f t="shared" si="104"/>
        <v>897.27272727272714</v>
      </c>
      <c r="AE322" s="39">
        <f>IF(ISBLANK(Q322),"",IF($P322="BRL",Q322,Q322*Macroindicadores!B$2)/1000)</f>
        <v>0.43966363636363637</v>
      </c>
      <c r="AF322" s="39">
        <f>IF(ISBLANK(R322),"",IF($P322="BRL",R322,R322*Macroindicadores!C$2)/1000)</f>
        <v>0.43966363636363637</v>
      </c>
      <c r="AG322" s="39">
        <f>IF(ISBLANK(S322),"",IF($P322="BRL",S322,S322*Macroindicadores!D$2)/1000)</f>
        <v>0.43966363636363637</v>
      </c>
      <c r="AH322" s="39">
        <f>IF(ISBLANK(T322),"",IF($P322="BRL",T322,T322*Macroindicadores!E$2)/1000)</f>
        <v>0.43966363636363637</v>
      </c>
      <c r="AI322" s="39">
        <f>IF(ISBLANK(U322),"",IF($P322="BRL",U322,U322*Macroindicadores!F$2)/1000)</f>
        <v>0.43966363636363637</v>
      </c>
      <c r="AJ322" s="39">
        <f>IF(ISBLANK(V322),"",IF($P322="BRL",V322,V322*Macroindicadores!G$2)/1000)</f>
        <v>0.43966363636363637</v>
      </c>
      <c r="AK322" s="39">
        <f>IF(ISBLANK(W322),"",IF($P322="BRL",W322,W322*Macroindicadores!H$2)/1000)</f>
        <v>0.43966363636363637</v>
      </c>
      <c r="AL322" s="39">
        <f>IF(ISBLANK(X322),"",IF($P322="BRL",X322,X322*Macroindicadores!I$2)/1000)</f>
        <v>0.43966363636363637</v>
      </c>
      <c r="AM322" s="39">
        <f>IF(ISBLANK(Y322),"",IF($P322="BRL",Y322,Y322*Macroindicadores!J$2)/1000)</f>
        <v>0.43966363636363637</v>
      </c>
      <c r="AN322" s="39">
        <f>IF(ISBLANK(Z322),"",IF($P322="BRL",Z322,Z322*Macroindicadores!K$2)/1000)</f>
        <v>0.43966363636363637</v>
      </c>
      <c r="AO322" s="39">
        <f>IF(ISBLANK(AA322),"",IF($P322="BRL",AA322,AA322*Macroindicadores!L$2)/1000)</f>
        <v>0.43966363636363637</v>
      </c>
      <c r="AP322" s="39">
        <f>IF(ISBLANK(AB322),"",IF($P322="BRL",AB322,AB322*Macroindicadores!M$2)/1000)</f>
        <v>0.43966363636363637</v>
      </c>
      <c r="AQ322" s="40">
        <f t="shared" si="105"/>
        <v>5.2759636363636364</v>
      </c>
      <c r="AS322" s="39">
        <f>IF(ISBLANK(Q322),"",IF(ISBLANK($O322),AE322,IF($J322="ANUAL",AE322*(1+Macroindicadores!B$7),IF(AND($I322="NOVO",MONTH($O322)=MONTH(AS$4)),AE322*(1+Macroindicadores!B$7),IF(AND($J322="PONTUAL",MONTH($O322)=MONTH(AS$4)),AE322*(1+Macroindicadores!B$7),IF(AND($J322="PONTUAL",MONTH($O322)&lt;MONTH(AS$4)),MIN(AR322:$AS322),IF(AND($I322="NOVO",MONTH($O322)&gt;MONTH(AS$4)),AE322,IF(MONTH($O322)&gt;MONTH(AS$4),AE322,IF(MONTH($O322)=MONTH(AS$4),AE322*(1+Macroindicadores!B$7),AR322)))))))))</f>
        <v>0.43966363636363637</v>
      </c>
      <c r="AT322" s="39">
        <f>IF(ISBLANK(R322),"",IF(ISBLANK($O322),AF322,IF($J322="ANUAL",AF322*(1+Macroindicadores!C$7),IF(AND($I322="NOVO",MONTH($O322)=MONTH(AT$4)),AF322*(1+Macroindicadores!C$7),IF(AND($J322="PONTUAL",MONTH($O322)=MONTH(AT$4)),AF322*(1+Macroindicadores!C$7),IF(AND($J322="PONTUAL",MONTH($O322)&lt;MONTH(AT$4)),MIN($AS322:AS322),IF(AND($I322="NOVO",MONTH($O322)&gt;MONTH(AT$4)),AF322,IF(MONTH($O322)&gt;MONTH(AT$4),AF322,IF(MONTH($O322)=MONTH(AT$4),AF322*(1+Macroindicadores!C$7),AS322)))))))))</f>
        <v>0.43966363636363637</v>
      </c>
      <c r="AU322" s="39">
        <f>IF(ISBLANK(S322),"",IF(ISBLANK($O322),AG322,IF($J322="ANUAL",AG322*(1+Macroindicadores!D$7),IF(AND($I322="NOVO",MONTH($O322)=MONTH(AU$4)),AG322*(1+Macroindicadores!D$7),IF(AND($J322="PONTUAL",MONTH($O322)=MONTH(AU$4)),AG322*(1+Macroindicadores!D$7),IF(AND($J322="PONTUAL",MONTH($O322)&lt;MONTH(AU$4)),MIN($AS322:AT322),IF(AND($I322="NOVO",MONTH($O322)&gt;MONTH(AU$4)),AG322,IF(MONTH($O322)&gt;MONTH(AU$4),AG322,IF(MONTH($O322)=MONTH(AU$4),AG322*(1+Macroindicadores!D$7),AT322)))))))))</f>
        <v>0.43966363636363637</v>
      </c>
      <c r="AV322" s="39">
        <f>IF(ISBLANK(T322),"",IF(ISBLANK($O322),AH322,IF($J322="ANUAL",AH322*(1+Macroindicadores!E$7),IF(AND($I322="NOVO",MONTH($O322)=MONTH(AV$4)),AH322*(1+Macroindicadores!E$7),IF(AND($J322="PONTUAL",MONTH($O322)=MONTH(AV$4)),AH322*(1+Macroindicadores!E$7),IF(AND($J322="PONTUAL",MONTH($O322)&lt;MONTH(AV$4)),MIN($AS322:AU322),IF(AND($I322="NOVO",MONTH($O322)&gt;MONTH(AV$4)),AH322,IF(MONTH($O322)&gt;MONTH(AV$4),AH322,IF(MONTH($O322)=MONTH(AV$4),AH322*(1+Macroindicadores!E$7),AU322)))))))))</f>
        <v>0.43966363636363637</v>
      </c>
      <c r="AW322" s="39">
        <f>IF(ISBLANK(U322),"",IF(ISBLANK($O322),AI322,IF($J322="ANUAL",AI322*(1+Macroindicadores!F$7),IF(AND($I322="NOVO",MONTH($O322)=MONTH(AW$4)),AI322*(1+Macroindicadores!F$7),IF(AND($J322="PONTUAL",MONTH($O322)=MONTH(AW$4)),AI322*(1+Macroindicadores!F$7),IF(AND($J322="PONTUAL",MONTH($O322)&lt;MONTH(AW$4)),MIN($AS322:AV322),IF(AND($I322="NOVO",MONTH($O322)&gt;MONTH(AW$4)),AI322,IF(MONTH($O322)&gt;MONTH(AW$4),AI322,IF(MONTH($O322)=MONTH(AW$4),AI322*(1+Macroindicadores!F$7),AV322)))))))))</f>
        <v>0.43966363636363637</v>
      </c>
      <c r="AX322" s="39">
        <f>IF(ISBLANK(V322),"",IF(ISBLANK($O322),AJ322,IF($J322="ANUAL",AJ322*(1+Macroindicadores!G$7),IF(AND($I322="NOVO",MONTH($O322)=MONTH(AX$4)),AJ322*(1+Macroindicadores!G$7),IF(AND($J322="PONTUAL",MONTH($O322)=MONTH(AX$4)),AJ322*(1+Macroindicadores!G$7),IF(AND($J322="PONTUAL",MONTH($O322)&lt;MONTH(AX$4)),MIN($AS322:AW322),IF(AND($I322="NOVO",MONTH($O322)&gt;MONTH(AX$4)),AJ322,IF(MONTH($O322)&gt;MONTH(AX$4),AJ322,IF(MONTH($O322)=MONTH(AX$4),AJ322*(1+Macroindicadores!G$7),AW322)))))))))</f>
        <v>0.43966363636363637</v>
      </c>
      <c r="AY322" s="39">
        <f>IF(ISBLANK(W322),"",IF(ISBLANK($O322),AK322,IF($J322="ANUAL",AK322*(1+Macroindicadores!H$7),IF(AND($I322="NOVO",MONTH($O322)=MONTH(AY$4)),AK322*(1+Macroindicadores!H$7),IF(AND($J322="PONTUAL",MONTH($O322)=MONTH(AY$4)),AK322*(1+Macroindicadores!H$7),IF(AND($J322="PONTUAL",MONTH($O322)&lt;MONTH(AY$4)),MIN($AS322:AX322),IF(AND($I322="NOVO",MONTH($O322)&gt;MONTH(AY$4)),AK322,IF(MONTH($O322)&gt;MONTH(AY$4),AK322,IF(MONTH($O322)=MONTH(AY$4),AK322*(1+Macroindicadores!H$7),AX322)))))))))</f>
        <v>0.43966363636363637</v>
      </c>
      <c r="AZ322" s="39">
        <f>IF(ISBLANK(X322),"",IF(ISBLANK($O322),AL322,IF($J322="ANUAL",AL322*(1+Macroindicadores!I$7),IF(AND($I322="NOVO",MONTH($O322)=MONTH(AZ$4)),AL322*(1+Macroindicadores!I$7),IF(AND($J322="PONTUAL",MONTH($O322)=MONTH(AZ$4)),AL322*(1+Macroindicadores!I$7),IF(AND($J322="PONTUAL",MONTH($O322)&lt;MONTH(AZ$4)),MIN($AS322:AY322),IF(AND($I322="NOVO",MONTH($O322)&gt;MONTH(AZ$4)),AL322,IF(MONTH($O322)&gt;MONTH(AZ$4),AL322,IF(MONTH($O322)=MONTH(AZ$4),AL322*(1+Macroindicadores!I$7),AY322)))))))))</f>
        <v>0.43966363636363637</v>
      </c>
      <c r="BA322" s="39">
        <f>IF(ISBLANK(Y322),"",IF(ISBLANK($O322),AM322,IF($J322="ANUAL",AM322*(1+Macroindicadores!J$7),IF(AND($I322="NOVO",MONTH($O322)=MONTH(BA$4)),AM322*(1+Macroindicadores!J$7),IF(AND($J322="PONTUAL",MONTH($O322)=MONTH(BA$4)),AM322*(1+Macroindicadores!J$7),IF(AND($J322="PONTUAL",MONTH($O322)&lt;MONTH(BA$4)),MIN($AS322:AZ322),IF(AND($I322="NOVO",MONTH($O322)&gt;MONTH(BA$4)),AM322,IF(MONTH($O322)&gt;MONTH(BA$4),AM322,IF(MONTH($O322)=MONTH(BA$4),AM322*(1+Macroindicadores!J$7),AZ322)))))))))</f>
        <v>0.43966363636363637</v>
      </c>
      <c r="BB322" s="39">
        <f>IF(ISBLANK(Z322),"",IF(ISBLANK($O322),AN322,IF($J322="ANUAL",AN322*(1+Macroindicadores!K$7),IF(AND($I322="NOVO",MONTH($O322)=MONTH(BB$4)),AN322*(1+Macroindicadores!K$7),IF(AND($J322="PONTUAL",MONTH($O322)=MONTH(BB$4)),AN322*(1+Macroindicadores!K$7),IF(AND($J322="PONTUAL",MONTH($O322)&lt;MONTH(BB$4)),MIN($AS322:BA322),IF(AND($I322="NOVO",MONTH($O322)&gt;MONTH(BB$4)),AN322,IF(MONTH($O322)&gt;MONTH(BB$4),AN322,IF(MONTH($O322)=MONTH(BB$4),AN322*(1+Macroindicadores!K$7),BA322)))))))))</f>
        <v>0.43966363636363637</v>
      </c>
      <c r="BC322" s="39">
        <f>IF(ISBLANK(AA322),"",IF(ISBLANK($O322),AO322,IF($J322="ANUAL",AO322*(1+Macroindicadores!L$7),IF(AND($I322="NOVO",MONTH($O322)=MONTH(BC$4)),AO322*(1+Macroindicadores!L$7),IF(AND($J322="PONTUAL",MONTH($O322)=MONTH(BC$4)),AO322*(1+Macroindicadores!L$7),IF(AND($J322="PONTUAL",MONTH($O322)&lt;MONTH(BC$4)),MIN($AS322:BB322),IF(AND($I322="NOVO",MONTH($O322)&gt;MONTH(BC$4)),AO322,IF(MONTH($O322)&gt;MONTH(BC$4),AO322,IF(MONTH($O322)=MONTH(BC$4),AO322*(1+Macroindicadores!L$7),BB322)))))))))</f>
        <v>0.43966363636363637</v>
      </c>
      <c r="BD322" s="39">
        <f>IF(ISBLANK(AB322),"",IF(ISBLANK($O322),AP322,IF($J322="ANUAL",AP322*(1+Macroindicadores!M$7),IF(AND($I322="NOVO",MONTH($O322)=MONTH(BD$4)),AP322*(1+Macroindicadores!M$7),IF(AND($J322="PONTUAL",MONTH($O322)=MONTH(BD$4)),AP322*(1+Macroindicadores!M$7),IF(AND($J322="PONTUAL",MONTH($O322)&lt;MONTH(BD$4)),MIN($AS322:BC322),IF(AND($I322="NOVO",MONTH($O322)&gt;MONTH(BD$4)),AP322,IF(MONTH($O322)&gt;MONTH(BD$4),AP322,IF(MONTH($O322)=MONTH(BD$4),AP322*(1+Macroindicadores!M$7),BC322)))))))))</f>
        <v>0.43966363636363637</v>
      </c>
      <c r="BE322" s="40">
        <f t="shared" si="106"/>
        <v>5.2759636363636364</v>
      </c>
      <c r="BG322" s="39">
        <f>IF(ISBLANK(Q322),"",AS322/Macroindicadores!B$2)</f>
        <v>7.4772727272727268E-2</v>
      </c>
      <c r="BH322" s="39">
        <f>IF(ISBLANK(R322),"",AT322/Macroindicadores!C$2)</f>
        <v>7.4772727272727268E-2</v>
      </c>
      <c r="BI322" s="39">
        <f>IF(ISBLANK(S322),"",AU322/Macroindicadores!D$2)</f>
        <v>7.4772727272727268E-2</v>
      </c>
      <c r="BJ322" s="39">
        <f>IF(ISBLANK(T322),"",AV322/Macroindicadores!E$2)</f>
        <v>7.4772727272727268E-2</v>
      </c>
      <c r="BK322" s="39">
        <f>IF(ISBLANK(U322),"",AW322/Macroindicadores!F$2)</f>
        <v>7.4772727272727268E-2</v>
      </c>
      <c r="BL322" s="39">
        <f>IF(ISBLANK(V322),"",AX322/Macroindicadores!G$2)</f>
        <v>7.4772727272727268E-2</v>
      </c>
      <c r="BM322" s="39">
        <f>IF(ISBLANK(W322),"",AY322/Macroindicadores!H$2)</f>
        <v>7.4772727272727268E-2</v>
      </c>
      <c r="BN322" s="39">
        <f>IF(ISBLANK(X322),"",AZ322/Macroindicadores!I$2)</f>
        <v>7.4772727272727268E-2</v>
      </c>
      <c r="BO322" s="39">
        <f>IF(ISBLANK(Y322),"",BA322/Macroindicadores!J$2)</f>
        <v>7.4772727272727268E-2</v>
      </c>
      <c r="BP322" s="39">
        <f>IF(ISBLANK(Z322),"",BB322/Macroindicadores!K$2)</f>
        <v>7.4772727272727268E-2</v>
      </c>
      <c r="BQ322" s="39">
        <f>IF(ISBLANK(AA322),"",BC322/Macroindicadores!L$2)</f>
        <v>7.4772727272727268E-2</v>
      </c>
      <c r="BR322" s="39">
        <f>IF(ISBLANK(AB322),"",BD322/Macroindicadores!M$2)</f>
        <v>7.4772727272727268E-2</v>
      </c>
      <c r="BS322" s="40">
        <f t="shared" si="107"/>
        <v>0.897272727272727</v>
      </c>
      <c r="BT322" s="25" t="str">
        <f>IF(ISBLANK($L322),"",_xlfn.XLOOKUP($L322,'CENTRO CUSTO'!$A:$A,'CENTRO CUSTO'!$E:$E,FALSE,0))</f>
        <v/>
      </c>
    </row>
    <row r="323" spans="1:72">
      <c r="A323" s="9" t="str">
        <f t="shared" si="80"/>
        <v>Budget</v>
      </c>
      <c r="B323" s="9">
        <f t="shared" si="77"/>
        <v>2026</v>
      </c>
      <c r="C323" s="111" t="s">
        <v>273</v>
      </c>
      <c r="D323" s="111" t="s">
        <v>274</v>
      </c>
      <c r="E323" s="111" t="s">
        <v>14</v>
      </c>
      <c r="F323" s="112" t="s">
        <v>304</v>
      </c>
      <c r="G323" s="112" t="s">
        <v>123</v>
      </c>
      <c r="H323" s="112" t="s">
        <v>321</v>
      </c>
      <c r="I323" s="11" t="s">
        <v>77</v>
      </c>
      <c r="J323" s="11" t="s">
        <v>120</v>
      </c>
      <c r="K323" s="11" t="s">
        <v>79</v>
      </c>
      <c r="L323" s="11"/>
      <c r="M323" s="18" t="str">
        <f>IF(ISBLANK($L323),"",_xlfn.XLOOKUP($L323,'CENTRO CUSTO'!$A:$A,'CENTRO CUSTO'!D:D,FALSE,0))</f>
        <v/>
      </c>
      <c r="N323" s="11" t="s">
        <v>87</v>
      </c>
      <c r="O323" s="12"/>
      <c r="P323" s="113" t="s">
        <v>88</v>
      </c>
      <c r="Q323" s="41">
        <v>208.33333333333334</v>
      </c>
      <c r="R323" s="41">
        <v>208.33333333333334</v>
      </c>
      <c r="S323" s="41">
        <v>208.33333333333334</v>
      </c>
      <c r="T323" s="41">
        <v>208.33333333333334</v>
      </c>
      <c r="U323" s="41">
        <v>208.33333333333334</v>
      </c>
      <c r="V323" s="41">
        <v>208.33333333333334</v>
      </c>
      <c r="W323" s="41">
        <v>208.33333333333334</v>
      </c>
      <c r="X323" s="41">
        <v>208.33333333333334</v>
      </c>
      <c r="Y323" s="41">
        <v>208.33333333333334</v>
      </c>
      <c r="Z323" s="41">
        <v>208.33333333333334</v>
      </c>
      <c r="AA323" s="41">
        <v>208.33333333333334</v>
      </c>
      <c r="AB323" s="41">
        <v>208.33333333333334</v>
      </c>
      <c r="AC323" s="116">
        <f t="shared" si="104"/>
        <v>2500</v>
      </c>
      <c r="AE323" s="39">
        <f>IF(ISBLANK(Q323),"",IF($P323="BRL",Q323,Q323*Macroindicadores!B$2)/1000)</f>
        <v>1.2250000000000001</v>
      </c>
      <c r="AF323" s="39">
        <f>IF(ISBLANK(R323),"",IF($P323="BRL",R323,R323*Macroindicadores!C$2)/1000)</f>
        <v>1.2250000000000001</v>
      </c>
      <c r="AG323" s="39">
        <f>IF(ISBLANK(S323),"",IF($P323="BRL",S323,S323*Macroindicadores!D$2)/1000)</f>
        <v>1.2250000000000001</v>
      </c>
      <c r="AH323" s="39">
        <f>IF(ISBLANK(T323),"",IF($P323="BRL",T323,T323*Macroindicadores!E$2)/1000)</f>
        <v>1.2250000000000001</v>
      </c>
      <c r="AI323" s="39">
        <f>IF(ISBLANK(U323),"",IF($P323="BRL",U323,U323*Macroindicadores!F$2)/1000)</f>
        <v>1.2250000000000001</v>
      </c>
      <c r="AJ323" s="39">
        <f>IF(ISBLANK(V323),"",IF($P323="BRL",V323,V323*Macroindicadores!G$2)/1000)</f>
        <v>1.2250000000000001</v>
      </c>
      <c r="AK323" s="39">
        <f>IF(ISBLANK(W323),"",IF($P323="BRL",W323,W323*Macroindicadores!H$2)/1000)</f>
        <v>1.2250000000000001</v>
      </c>
      <c r="AL323" s="39">
        <f>IF(ISBLANK(X323),"",IF($P323="BRL",X323,X323*Macroindicadores!I$2)/1000)</f>
        <v>1.2250000000000001</v>
      </c>
      <c r="AM323" s="39">
        <f>IF(ISBLANK(Y323),"",IF($P323="BRL",Y323,Y323*Macroindicadores!J$2)/1000)</f>
        <v>1.2250000000000001</v>
      </c>
      <c r="AN323" s="39">
        <f>IF(ISBLANK(Z323),"",IF($P323="BRL",Z323,Z323*Macroindicadores!K$2)/1000)</f>
        <v>1.2250000000000001</v>
      </c>
      <c r="AO323" s="39">
        <f>IF(ISBLANK(AA323),"",IF($P323="BRL",AA323,AA323*Macroindicadores!L$2)/1000)</f>
        <v>1.2250000000000001</v>
      </c>
      <c r="AP323" s="39">
        <f>IF(ISBLANK(AB323),"",IF($P323="BRL",AB323,AB323*Macroindicadores!M$2)/1000)</f>
        <v>1.2250000000000001</v>
      </c>
      <c r="AQ323" s="40">
        <f t="shared" si="105"/>
        <v>14.699999999999998</v>
      </c>
      <c r="AS323" s="39">
        <f>IF(ISBLANK(Q323),"",IF(ISBLANK($O323),AE323,IF($J323="ANUAL",AE323*(1+Macroindicadores!B$7),IF(AND($I323="NOVO",MONTH($O323)=MONTH(AS$4)),AE323*(1+Macroindicadores!B$7),IF(AND($J323="PONTUAL",MONTH($O323)=MONTH(AS$4)),AE323*(1+Macroindicadores!B$7),IF(AND($J323="PONTUAL",MONTH($O323)&lt;MONTH(AS$4)),MIN(AR323:$AS323),IF(AND($I323="NOVO",MONTH($O323)&gt;MONTH(AS$4)),AE323,IF(MONTH($O323)&gt;MONTH(AS$4),AE323,IF(MONTH($O323)=MONTH(AS$4),AE323*(1+Macroindicadores!B$7),AR323)))))))))</f>
        <v>1.2250000000000001</v>
      </c>
      <c r="AT323" s="39">
        <f>IF(ISBLANK(R323),"",IF(ISBLANK($O323),AF323,IF($J323="ANUAL",AF323*(1+Macroindicadores!C$7),IF(AND($I323="NOVO",MONTH($O323)=MONTH(AT$4)),AF323*(1+Macroindicadores!C$7),IF(AND($J323="PONTUAL",MONTH($O323)=MONTH(AT$4)),AF323*(1+Macroindicadores!C$7),IF(AND($J323="PONTUAL",MONTH($O323)&lt;MONTH(AT$4)),MIN($AS323:AS323),IF(AND($I323="NOVO",MONTH($O323)&gt;MONTH(AT$4)),AF323,IF(MONTH($O323)&gt;MONTH(AT$4),AF323,IF(MONTH($O323)=MONTH(AT$4),AF323*(1+Macroindicadores!C$7),AS323)))))))))</f>
        <v>1.2250000000000001</v>
      </c>
      <c r="AU323" s="39">
        <f>IF(ISBLANK(S323),"",IF(ISBLANK($O323),AG323,IF($J323="ANUAL",AG323*(1+Macroindicadores!D$7),IF(AND($I323="NOVO",MONTH($O323)=MONTH(AU$4)),AG323*(1+Macroindicadores!D$7),IF(AND($J323="PONTUAL",MONTH($O323)=MONTH(AU$4)),AG323*(1+Macroindicadores!D$7),IF(AND($J323="PONTUAL",MONTH($O323)&lt;MONTH(AU$4)),MIN($AS323:AT323),IF(AND($I323="NOVO",MONTH($O323)&gt;MONTH(AU$4)),AG323,IF(MONTH($O323)&gt;MONTH(AU$4),AG323,IF(MONTH($O323)=MONTH(AU$4),AG323*(1+Macroindicadores!D$7),AT323)))))))))</f>
        <v>1.2250000000000001</v>
      </c>
      <c r="AV323" s="39">
        <f>IF(ISBLANK(T323),"",IF(ISBLANK($O323),AH323,IF($J323="ANUAL",AH323*(1+Macroindicadores!E$7),IF(AND($I323="NOVO",MONTH($O323)=MONTH(AV$4)),AH323*(1+Macroindicadores!E$7),IF(AND($J323="PONTUAL",MONTH($O323)=MONTH(AV$4)),AH323*(1+Macroindicadores!E$7),IF(AND($J323="PONTUAL",MONTH($O323)&lt;MONTH(AV$4)),MIN($AS323:AU323),IF(AND($I323="NOVO",MONTH($O323)&gt;MONTH(AV$4)),AH323,IF(MONTH($O323)&gt;MONTH(AV$4),AH323,IF(MONTH($O323)=MONTH(AV$4),AH323*(1+Macroindicadores!E$7),AU323)))))))))</f>
        <v>1.2250000000000001</v>
      </c>
      <c r="AW323" s="39">
        <f>IF(ISBLANK(U323),"",IF(ISBLANK($O323),AI323,IF($J323="ANUAL",AI323*(1+Macroindicadores!F$7),IF(AND($I323="NOVO",MONTH($O323)=MONTH(AW$4)),AI323*(1+Macroindicadores!F$7),IF(AND($J323="PONTUAL",MONTH($O323)=MONTH(AW$4)),AI323*(1+Macroindicadores!F$7),IF(AND($J323="PONTUAL",MONTH($O323)&lt;MONTH(AW$4)),MIN($AS323:AV323),IF(AND($I323="NOVO",MONTH($O323)&gt;MONTH(AW$4)),AI323,IF(MONTH($O323)&gt;MONTH(AW$4),AI323,IF(MONTH($O323)=MONTH(AW$4),AI323*(1+Macroindicadores!F$7),AV323)))))))))</f>
        <v>1.2250000000000001</v>
      </c>
      <c r="AX323" s="39">
        <f>IF(ISBLANK(V323),"",IF(ISBLANK($O323),AJ323,IF($J323="ANUAL",AJ323*(1+Macroindicadores!G$7),IF(AND($I323="NOVO",MONTH($O323)=MONTH(AX$4)),AJ323*(1+Macroindicadores!G$7),IF(AND($J323="PONTUAL",MONTH($O323)=MONTH(AX$4)),AJ323*(1+Macroindicadores!G$7),IF(AND($J323="PONTUAL",MONTH($O323)&lt;MONTH(AX$4)),MIN($AS323:AW323),IF(AND($I323="NOVO",MONTH($O323)&gt;MONTH(AX$4)),AJ323,IF(MONTH($O323)&gt;MONTH(AX$4),AJ323,IF(MONTH($O323)=MONTH(AX$4),AJ323*(1+Macroindicadores!G$7),AW323)))))))))</f>
        <v>1.2250000000000001</v>
      </c>
      <c r="AY323" s="39">
        <f>IF(ISBLANK(W323),"",IF(ISBLANK($O323),AK323,IF($J323="ANUAL",AK323*(1+Macroindicadores!H$7),IF(AND($I323="NOVO",MONTH($O323)=MONTH(AY$4)),AK323*(1+Macroindicadores!H$7),IF(AND($J323="PONTUAL",MONTH($O323)=MONTH(AY$4)),AK323*(1+Macroindicadores!H$7),IF(AND($J323="PONTUAL",MONTH($O323)&lt;MONTH(AY$4)),MIN($AS323:AX323),IF(AND($I323="NOVO",MONTH($O323)&gt;MONTH(AY$4)),AK323,IF(MONTH($O323)&gt;MONTH(AY$4),AK323,IF(MONTH($O323)=MONTH(AY$4),AK323*(1+Macroindicadores!H$7),AX323)))))))))</f>
        <v>1.2250000000000001</v>
      </c>
      <c r="AZ323" s="39">
        <f>IF(ISBLANK(X323),"",IF(ISBLANK($O323),AL323,IF($J323="ANUAL",AL323*(1+Macroindicadores!I$7),IF(AND($I323="NOVO",MONTH($O323)=MONTH(AZ$4)),AL323*(1+Macroindicadores!I$7),IF(AND($J323="PONTUAL",MONTH($O323)=MONTH(AZ$4)),AL323*(1+Macroindicadores!I$7),IF(AND($J323="PONTUAL",MONTH($O323)&lt;MONTH(AZ$4)),MIN($AS323:AY323),IF(AND($I323="NOVO",MONTH($O323)&gt;MONTH(AZ$4)),AL323,IF(MONTH($O323)&gt;MONTH(AZ$4),AL323,IF(MONTH($O323)=MONTH(AZ$4),AL323*(1+Macroindicadores!I$7),AY323)))))))))</f>
        <v>1.2250000000000001</v>
      </c>
      <c r="BA323" s="39">
        <f>IF(ISBLANK(Y323),"",IF(ISBLANK($O323),AM323,IF($J323="ANUAL",AM323*(1+Macroindicadores!J$7),IF(AND($I323="NOVO",MONTH($O323)=MONTH(BA$4)),AM323*(1+Macroindicadores!J$7),IF(AND($J323="PONTUAL",MONTH($O323)=MONTH(BA$4)),AM323*(1+Macroindicadores!J$7),IF(AND($J323="PONTUAL",MONTH($O323)&lt;MONTH(BA$4)),MIN($AS323:AZ323),IF(AND($I323="NOVO",MONTH($O323)&gt;MONTH(BA$4)),AM323,IF(MONTH($O323)&gt;MONTH(BA$4),AM323,IF(MONTH($O323)=MONTH(BA$4),AM323*(1+Macroindicadores!J$7),AZ323)))))))))</f>
        <v>1.2250000000000001</v>
      </c>
      <c r="BB323" s="39">
        <f>IF(ISBLANK(Z323),"",IF(ISBLANK($O323),AN323,IF($J323="ANUAL",AN323*(1+Macroindicadores!K$7),IF(AND($I323="NOVO",MONTH($O323)=MONTH(BB$4)),AN323*(1+Macroindicadores!K$7),IF(AND($J323="PONTUAL",MONTH($O323)=MONTH(BB$4)),AN323*(1+Macroindicadores!K$7),IF(AND($J323="PONTUAL",MONTH($O323)&lt;MONTH(BB$4)),MIN($AS323:BA323),IF(AND($I323="NOVO",MONTH($O323)&gt;MONTH(BB$4)),AN323,IF(MONTH($O323)&gt;MONTH(BB$4),AN323,IF(MONTH($O323)=MONTH(BB$4),AN323*(1+Macroindicadores!K$7),BA323)))))))))</f>
        <v>1.2250000000000001</v>
      </c>
      <c r="BC323" s="39">
        <f>IF(ISBLANK(AA323),"",IF(ISBLANK($O323),AO323,IF($J323="ANUAL",AO323*(1+Macroindicadores!L$7),IF(AND($I323="NOVO",MONTH($O323)=MONTH(BC$4)),AO323*(1+Macroindicadores!L$7),IF(AND($J323="PONTUAL",MONTH($O323)=MONTH(BC$4)),AO323*(1+Macroindicadores!L$7),IF(AND($J323="PONTUAL",MONTH($O323)&lt;MONTH(BC$4)),MIN($AS323:BB323),IF(AND($I323="NOVO",MONTH($O323)&gt;MONTH(BC$4)),AO323,IF(MONTH($O323)&gt;MONTH(BC$4),AO323,IF(MONTH($O323)=MONTH(BC$4),AO323*(1+Macroindicadores!L$7),BB323)))))))))</f>
        <v>1.2250000000000001</v>
      </c>
      <c r="BD323" s="39">
        <f>IF(ISBLANK(AB323),"",IF(ISBLANK($O323),AP323,IF($J323="ANUAL",AP323*(1+Macroindicadores!M$7),IF(AND($I323="NOVO",MONTH($O323)=MONTH(BD$4)),AP323*(1+Macroindicadores!M$7),IF(AND($J323="PONTUAL",MONTH($O323)=MONTH(BD$4)),AP323*(1+Macroindicadores!M$7),IF(AND($J323="PONTUAL",MONTH($O323)&lt;MONTH(BD$4)),MIN($AS323:BC323),IF(AND($I323="NOVO",MONTH($O323)&gt;MONTH(BD$4)),AP323,IF(MONTH($O323)&gt;MONTH(BD$4),AP323,IF(MONTH($O323)=MONTH(BD$4),AP323*(1+Macroindicadores!M$7),BC323)))))))))</f>
        <v>1.2250000000000001</v>
      </c>
      <c r="BE323" s="40">
        <f t="shared" si="106"/>
        <v>14.699999999999998</v>
      </c>
      <c r="BG323" s="39">
        <f>IF(ISBLANK(Q323),"",AS323/Macroindicadores!B$2)</f>
        <v>0.20833333333333334</v>
      </c>
      <c r="BH323" s="39">
        <f>IF(ISBLANK(R323),"",AT323/Macroindicadores!C$2)</f>
        <v>0.20833333333333334</v>
      </c>
      <c r="BI323" s="39">
        <f>IF(ISBLANK(S323),"",AU323/Macroindicadores!D$2)</f>
        <v>0.20833333333333334</v>
      </c>
      <c r="BJ323" s="39">
        <f>IF(ISBLANK(T323),"",AV323/Macroindicadores!E$2)</f>
        <v>0.20833333333333334</v>
      </c>
      <c r="BK323" s="39">
        <f>IF(ISBLANK(U323),"",AW323/Macroindicadores!F$2)</f>
        <v>0.20833333333333334</v>
      </c>
      <c r="BL323" s="39">
        <f>IF(ISBLANK(V323),"",AX323/Macroindicadores!G$2)</f>
        <v>0.20833333333333334</v>
      </c>
      <c r="BM323" s="39">
        <f>IF(ISBLANK(W323),"",AY323/Macroindicadores!H$2)</f>
        <v>0.20833333333333334</v>
      </c>
      <c r="BN323" s="39">
        <f>IF(ISBLANK(X323),"",AZ323/Macroindicadores!I$2)</f>
        <v>0.20833333333333334</v>
      </c>
      <c r="BO323" s="39">
        <f>IF(ISBLANK(Y323),"",BA323/Macroindicadores!J$2)</f>
        <v>0.20833333333333334</v>
      </c>
      <c r="BP323" s="39">
        <f>IF(ISBLANK(Z323),"",BB323/Macroindicadores!K$2)</f>
        <v>0.20833333333333334</v>
      </c>
      <c r="BQ323" s="39">
        <f>IF(ISBLANK(AA323),"",BC323/Macroindicadores!L$2)</f>
        <v>0.20833333333333334</v>
      </c>
      <c r="BR323" s="39">
        <f>IF(ISBLANK(AB323),"",BD323/Macroindicadores!M$2)</f>
        <v>0.20833333333333334</v>
      </c>
      <c r="BS323" s="40">
        <f t="shared" si="107"/>
        <v>2.5</v>
      </c>
      <c r="BT323" s="25" t="str">
        <f>IF(ISBLANK($L323),"",_xlfn.XLOOKUP($L323,'CENTRO CUSTO'!$A:$A,'CENTRO CUSTO'!$E:$E,FALSE,0))</f>
        <v/>
      </c>
    </row>
    <row r="324" spans="1:72">
      <c r="A324" s="9" t="str">
        <f t="shared" si="80"/>
        <v>Budget</v>
      </c>
      <c r="B324" s="9">
        <f t="shared" si="77"/>
        <v>2026</v>
      </c>
      <c r="C324" s="111" t="s">
        <v>273</v>
      </c>
      <c r="D324" s="111" t="s">
        <v>274</v>
      </c>
      <c r="E324" s="111" t="s">
        <v>14</v>
      </c>
      <c r="F324" s="112" t="s">
        <v>288</v>
      </c>
      <c r="G324" s="112" t="s">
        <v>123</v>
      </c>
      <c r="H324" s="112" t="s">
        <v>289</v>
      </c>
      <c r="I324" s="11" t="s">
        <v>84</v>
      </c>
      <c r="J324" s="11" t="s">
        <v>78</v>
      </c>
      <c r="K324" s="11" t="s">
        <v>121</v>
      </c>
      <c r="L324" s="11"/>
      <c r="M324" s="18" t="str">
        <f>IF(ISBLANK($L324),"",_xlfn.XLOOKUP($L324,'CENTRO CUSTO'!$A:$A,'CENTRO CUSTO'!D:D,FALSE,0))</f>
        <v/>
      </c>
      <c r="N324" s="11" t="s">
        <v>91</v>
      </c>
      <c r="O324" s="12"/>
      <c r="P324" s="113" t="s">
        <v>88</v>
      </c>
      <c r="Q324" s="41">
        <v>150</v>
      </c>
      <c r="R324" s="41">
        <v>150</v>
      </c>
      <c r="S324" s="41">
        <v>150</v>
      </c>
      <c r="T324" s="41">
        <v>150</v>
      </c>
      <c r="U324" s="41">
        <v>150</v>
      </c>
      <c r="V324" s="41">
        <v>150</v>
      </c>
      <c r="W324" s="41">
        <v>150</v>
      </c>
      <c r="X324" s="41">
        <v>150</v>
      </c>
      <c r="Y324" s="41">
        <v>150</v>
      </c>
      <c r="Z324" s="41">
        <v>150</v>
      </c>
      <c r="AA324" s="41">
        <v>150</v>
      </c>
      <c r="AB324" s="41">
        <v>150</v>
      </c>
      <c r="AC324" s="116">
        <f t="shared" si="104"/>
        <v>1800</v>
      </c>
      <c r="AE324" s="39">
        <f>IF(ISBLANK(Q324),"",IF($P324="BRL",Q324,Q324*Macroindicadores!B$2)/1000)</f>
        <v>0.88200000000000001</v>
      </c>
      <c r="AF324" s="39">
        <f>IF(ISBLANK(R324),"",IF($P324="BRL",R324,R324*Macroindicadores!C$2)/1000)</f>
        <v>0.88200000000000001</v>
      </c>
      <c r="AG324" s="39">
        <f>IF(ISBLANK(S324),"",IF($P324="BRL",S324,S324*Macroindicadores!D$2)/1000)</f>
        <v>0.88200000000000001</v>
      </c>
      <c r="AH324" s="39">
        <f>IF(ISBLANK(T324),"",IF($P324="BRL",T324,T324*Macroindicadores!E$2)/1000)</f>
        <v>0.88200000000000001</v>
      </c>
      <c r="AI324" s="39">
        <f>IF(ISBLANK(U324),"",IF($P324="BRL",U324,U324*Macroindicadores!F$2)/1000)</f>
        <v>0.88200000000000001</v>
      </c>
      <c r="AJ324" s="39">
        <f>IF(ISBLANK(V324),"",IF($P324="BRL",V324,V324*Macroindicadores!G$2)/1000)</f>
        <v>0.88200000000000001</v>
      </c>
      <c r="AK324" s="39">
        <f>IF(ISBLANK(W324),"",IF($P324="BRL",W324,W324*Macroindicadores!H$2)/1000)</f>
        <v>0.88200000000000001</v>
      </c>
      <c r="AL324" s="39">
        <f>IF(ISBLANK(X324),"",IF($P324="BRL",X324,X324*Macroindicadores!I$2)/1000)</f>
        <v>0.88200000000000001</v>
      </c>
      <c r="AM324" s="39">
        <f>IF(ISBLANK(Y324),"",IF($P324="BRL",Y324,Y324*Macroindicadores!J$2)/1000)</f>
        <v>0.88200000000000001</v>
      </c>
      <c r="AN324" s="39">
        <f>IF(ISBLANK(Z324),"",IF($P324="BRL",Z324,Z324*Macroindicadores!K$2)/1000)</f>
        <v>0.88200000000000001</v>
      </c>
      <c r="AO324" s="39">
        <f>IF(ISBLANK(AA324),"",IF($P324="BRL",AA324,AA324*Macroindicadores!L$2)/1000)</f>
        <v>0.88200000000000001</v>
      </c>
      <c r="AP324" s="39">
        <f>IF(ISBLANK(AB324),"",IF($P324="BRL",AB324,AB324*Macroindicadores!M$2)/1000)</f>
        <v>0.88200000000000001</v>
      </c>
      <c r="AQ324" s="40">
        <f t="shared" si="105"/>
        <v>10.583999999999998</v>
      </c>
      <c r="AS324" s="39">
        <f>IF(ISBLANK(Q324),"",IF(ISBLANK($O324),AE324,IF($J324="ANUAL",AE324*(1+Macroindicadores!B$7),IF(AND($I324="NOVO",MONTH($O324)=MONTH(AS$4)),AE324*(1+Macroindicadores!B$7),IF(AND($J324="PONTUAL",MONTH($O324)=MONTH(AS$4)),AE324*(1+Macroindicadores!B$7),IF(AND($J324="PONTUAL",MONTH($O324)&lt;MONTH(AS$4)),MIN(AR324:$AS324),IF(AND($I324="NOVO",MONTH($O324)&gt;MONTH(AS$4)),AE324,IF(MONTH($O324)&gt;MONTH(AS$4),AE324,IF(MONTH($O324)=MONTH(AS$4),AE324*(1+Macroindicadores!B$7),AR324)))))))))</f>
        <v>0.88200000000000001</v>
      </c>
      <c r="AT324" s="39">
        <f>IF(ISBLANK(R324),"",IF(ISBLANK($O324),AF324,IF($J324="ANUAL",AF324*(1+Macroindicadores!C$7),IF(AND($I324="NOVO",MONTH($O324)=MONTH(AT$4)),AF324*(1+Macroindicadores!C$7),IF(AND($J324="PONTUAL",MONTH($O324)=MONTH(AT$4)),AF324*(1+Macroindicadores!C$7),IF(AND($J324="PONTUAL",MONTH($O324)&lt;MONTH(AT$4)),MIN($AS324:AS324),IF(AND($I324="NOVO",MONTH($O324)&gt;MONTH(AT$4)),AF324,IF(MONTH($O324)&gt;MONTH(AT$4),AF324,IF(MONTH($O324)=MONTH(AT$4),AF324*(1+Macroindicadores!C$7),AS324)))))))))</f>
        <v>0.88200000000000001</v>
      </c>
      <c r="AU324" s="39">
        <f>IF(ISBLANK(S324),"",IF(ISBLANK($O324),AG324,IF($J324="ANUAL",AG324*(1+Macroindicadores!D$7),IF(AND($I324="NOVO",MONTH($O324)=MONTH(AU$4)),AG324*(1+Macroindicadores!D$7),IF(AND($J324="PONTUAL",MONTH($O324)=MONTH(AU$4)),AG324*(1+Macroindicadores!D$7),IF(AND($J324="PONTUAL",MONTH($O324)&lt;MONTH(AU$4)),MIN($AS324:AT324),IF(AND($I324="NOVO",MONTH($O324)&gt;MONTH(AU$4)),AG324,IF(MONTH($O324)&gt;MONTH(AU$4),AG324,IF(MONTH($O324)=MONTH(AU$4),AG324*(1+Macroindicadores!D$7),AT324)))))))))</f>
        <v>0.88200000000000001</v>
      </c>
      <c r="AV324" s="39">
        <f>IF(ISBLANK(T324),"",IF(ISBLANK($O324),AH324,IF($J324="ANUAL",AH324*(1+Macroindicadores!E$7),IF(AND($I324="NOVO",MONTH($O324)=MONTH(AV$4)),AH324*(1+Macroindicadores!E$7),IF(AND($J324="PONTUAL",MONTH($O324)=MONTH(AV$4)),AH324*(1+Macroindicadores!E$7),IF(AND($J324="PONTUAL",MONTH($O324)&lt;MONTH(AV$4)),MIN($AS324:AU324),IF(AND($I324="NOVO",MONTH($O324)&gt;MONTH(AV$4)),AH324,IF(MONTH($O324)&gt;MONTH(AV$4),AH324,IF(MONTH($O324)=MONTH(AV$4),AH324*(1+Macroindicadores!E$7),AU324)))))))))</f>
        <v>0.88200000000000001</v>
      </c>
      <c r="AW324" s="39">
        <f>IF(ISBLANK(U324),"",IF(ISBLANK($O324),AI324,IF($J324="ANUAL",AI324*(1+Macroindicadores!F$7),IF(AND($I324="NOVO",MONTH($O324)=MONTH(AW$4)),AI324*(1+Macroindicadores!F$7),IF(AND($J324="PONTUAL",MONTH($O324)=MONTH(AW$4)),AI324*(1+Macroindicadores!F$7),IF(AND($J324="PONTUAL",MONTH($O324)&lt;MONTH(AW$4)),MIN($AS324:AV324),IF(AND($I324="NOVO",MONTH($O324)&gt;MONTH(AW$4)),AI324,IF(MONTH($O324)&gt;MONTH(AW$4),AI324,IF(MONTH($O324)=MONTH(AW$4),AI324*(1+Macroindicadores!F$7),AV324)))))))))</f>
        <v>0.88200000000000001</v>
      </c>
      <c r="AX324" s="39">
        <f>IF(ISBLANK(V324),"",IF(ISBLANK($O324),AJ324,IF($J324="ANUAL",AJ324*(1+Macroindicadores!G$7),IF(AND($I324="NOVO",MONTH($O324)=MONTH(AX$4)),AJ324*(1+Macroindicadores!G$7),IF(AND($J324="PONTUAL",MONTH($O324)=MONTH(AX$4)),AJ324*(1+Macroindicadores!G$7),IF(AND($J324="PONTUAL",MONTH($O324)&lt;MONTH(AX$4)),MIN($AS324:AW324),IF(AND($I324="NOVO",MONTH($O324)&gt;MONTH(AX$4)),AJ324,IF(MONTH($O324)&gt;MONTH(AX$4),AJ324,IF(MONTH($O324)=MONTH(AX$4),AJ324*(1+Macroindicadores!G$7),AW324)))))))))</f>
        <v>0.88200000000000001</v>
      </c>
      <c r="AY324" s="39">
        <f>IF(ISBLANK(W324),"",IF(ISBLANK($O324),AK324,IF($J324="ANUAL",AK324*(1+Macroindicadores!H$7),IF(AND($I324="NOVO",MONTH($O324)=MONTH(AY$4)),AK324*(1+Macroindicadores!H$7),IF(AND($J324="PONTUAL",MONTH($O324)=MONTH(AY$4)),AK324*(1+Macroindicadores!H$7),IF(AND($J324="PONTUAL",MONTH($O324)&lt;MONTH(AY$4)),MIN($AS324:AX324),IF(AND($I324="NOVO",MONTH($O324)&gt;MONTH(AY$4)),AK324,IF(MONTH($O324)&gt;MONTH(AY$4),AK324,IF(MONTH($O324)=MONTH(AY$4),AK324*(1+Macroindicadores!H$7),AX324)))))))))</f>
        <v>0.88200000000000001</v>
      </c>
      <c r="AZ324" s="39">
        <f>IF(ISBLANK(X324),"",IF(ISBLANK($O324),AL324,IF($J324="ANUAL",AL324*(1+Macroindicadores!I$7),IF(AND($I324="NOVO",MONTH($O324)=MONTH(AZ$4)),AL324*(1+Macroindicadores!I$7),IF(AND($J324="PONTUAL",MONTH($O324)=MONTH(AZ$4)),AL324*(1+Macroindicadores!I$7),IF(AND($J324="PONTUAL",MONTH($O324)&lt;MONTH(AZ$4)),MIN($AS324:AY324),IF(AND($I324="NOVO",MONTH($O324)&gt;MONTH(AZ$4)),AL324,IF(MONTH($O324)&gt;MONTH(AZ$4),AL324,IF(MONTH($O324)=MONTH(AZ$4),AL324*(1+Macroindicadores!I$7),AY324)))))))))</f>
        <v>0.88200000000000001</v>
      </c>
      <c r="BA324" s="39">
        <f>IF(ISBLANK(Y324),"",IF(ISBLANK($O324),AM324,IF($J324="ANUAL",AM324*(1+Macroindicadores!J$7),IF(AND($I324="NOVO",MONTH($O324)=MONTH(BA$4)),AM324*(1+Macroindicadores!J$7),IF(AND($J324="PONTUAL",MONTH($O324)=MONTH(BA$4)),AM324*(1+Macroindicadores!J$7),IF(AND($J324="PONTUAL",MONTH($O324)&lt;MONTH(BA$4)),MIN($AS324:AZ324),IF(AND($I324="NOVO",MONTH($O324)&gt;MONTH(BA$4)),AM324,IF(MONTH($O324)&gt;MONTH(BA$4),AM324,IF(MONTH($O324)=MONTH(BA$4),AM324*(1+Macroindicadores!J$7),AZ324)))))))))</f>
        <v>0.88200000000000001</v>
      </c>
      <c r="BB324" s="39">
        <f>IF(ISBLANK(Z324),"",IF(ISBLANK($O324),AN324,IF($J324="ANUAL",AN324*(1+Macroindicadores!K$7),IF(AND($I324="NOVO",MONTH($O324)=MONTH(BB$4)),AN324*(1+Macroindicadores!K$7),IF(AND($J324="PONTUAL",MONTH($O324)=MONTH(BB$4)),AN324*(1+Macroindicadores!K$7),IF(AND($J324="PONTUAL",MONTH($O324)&lt;MONTH(BB$4)),MIN($AS324:BA324),IF(AND($I324="NOVO",MONTH($O324)&gt;MONTH(BB$4)),AN324,IF(MONTH($O324)&gt;MONTH(BB$4),AN324,IF(MONTH($O324)=MONTH(BB$4),AN324*(1+Macroindicadores!K$7),BA324)))))))))</f>
        <v>0.88200000000000001</v>
      </c>
      <c r="BC324" s="39">
        <f>IF(ISBLANK(AA324),"",IF(ISBLANK($O324),AO324,IF($J324="ANUAL",AO324*(1+Macroindicadores!L$7),IF(AND($I324="NOVO",MONTH($O324)=MONTH(BC$4)),AO324*(1+Macroindicadores!L$7),IF(AND($J324="PONTUAL",MONTH($O324)=MONTH(BC$4)),AO324*(1+Macroindicadores!L$7),IF(AND($J324="PONTUAL",MONTH($O324)&lt;MONTH(BC$4)),MIN($AS324:BB324),IF(AND($I324="NOVO",MONTH($O324)&gt;MONTH(BC$4)),AO324,IF(MONTH($O324)&gt;MONTH(BC$4),AO324,IF(MONTH($O324)=MONTH(BC$4),AO324*(1+Macroindicadores!L$7),BB324)))))))))</f>
        <v>0.88200000000000001</v>
      </c>
      <c r="BD324" s="39">
        <f>IF(ISBLANK(AB324),"",IF(ISBLANK($O324),AP324,IF($J324="ANUAL",AP324*(1+Macroindicadores!M$7),IF(AND($I324="NOVO",MONTH($O324)=MONTH(BD$4)),AP324*(1+Macroindicadores!M$7),IF(AND($J324="PONTUAL",MONTH($O324)=MONTH(BD$4)),AP324*(1+Macroindicadores!M$7),IF(AND($J324="PONTUAL",MONTH($O324)&lt;MONTH(BD$4)),MIN($AS324:BC324),IF(AND($I324="NOVO",MONTH($O324)&gt;MONTH(BD$4)),AP324,IF(MONTH($O324)&gt;MONTH(BD$4),AP324,IF(MONTH($O324)=MONTH(BD$4),AP324*(1+Macroindicadores!M$7),BC324)))))))))</f>
        <v>0.88200000000000001</v>
      </c>
      <c r="BE324" s="40">
        <f t="shared" si="106"/>
        <v>10.583999999999998</v>
      </c>
      <c r="BG324" s="39">
        <f>IF(ISBLANK(Q324),"",AS324/Macroindicadores!B$2)</f>
        <v>0.15</v>
      </c>
      <c r="BH324" s="39">
        <f>IF(ISBLANK(R324),"",AT324/Macroindicadores!C$2)</f>
        <v>0.15</v>
      </c>
      <c r="BI324" s="39">
        <f>IF(ISBLANK(S324),"",AU324/Macroindicadores!D$2)</f>
        <v>0.15</v>
      </c>
      <c r="BJ324" s="39">
        <f>IF(ISBLANK(T324),"",AV324/Macroindicadores!E$2)</f>
        <v>0.15</v>
      </c>
      <c r="BK324" s="39">
        <f>IF(ISBLANK(U324),"",AW324/Macroindicadores!F$2)</f>
        <v>0.15</v>
      </c>
      <c r="BL324" s="39">
        <f>IF(ISBLANK(V324),"",AX324/Macroindicadores!G$2)</f>
        <v>0.15</v>
      </c>
      <c r="BM324" s="39">
        <f>IF(ISBLANK(W324),"",AY324/Macroindicadores!H$2)</f>
        <v>0.15</v>
      </c>
      <c r="BN324" s="39">
        <f>IF(ISBLANK(X324),"",AZ324/Macroindicadores!I$2)</f>
        <v>0.15</v>
      </c>
      <c r="BO324" s="39">
        <f>IF(ISBLANK(Y324),"",BA324/Macroindicadores!J$2)</f>
        <v>0.15</v>
      </c>
      <c r="BP324" s="39">
        <f>IF(ISBLANK(Z324),"",BB324/Macroindicadores!K$2)</f>
        <v>0.15</v>
      </c>
      <c r="BQ324" s="39">
        <f>IF(ISBLANK(AA324),"",BC324/Macroindicadores!L$2)</f>
        <v>0.15</v>
      </c>
      <c r="BR324" s="39">
        <f>IF(ISBLANK(AB324),"",BD324/Macroindicadores!M$2)</f>
        <v>0.15</v>
      </c>
      <c r="BS324" s="40">
        <f t="shared" si="107"/>
        <v>1.7999999999999996</v>
      </c>
      <c r="BT324" s="25" t="str">
        <f>IF(ISBLANK($L324),"",_xlfn.XLOOKUP($L324,'CENTRO CUSTO'!$A:$A,'CENTRO CUSTO'!$E:$E,FALSE,0))</f>
        <v/>
      </c>
    </row>
    <row r="325" spans="1:72">
      <c r="A325" s="9" t="str">
        <f t="shared" si="80"/>
        <v>Budget</v>
      </c>
      <c r="B325" s="9">
        <f t="shared" si="77"/>
        <v>2026</v>
      </c>
      <c r="C325" s="111" t="s">
        <v>262</v>
      </c>
      <c r="D325" s="111" t="s">
        <v>278</v>
      </c>
      <c r="E325" s="111" t="s">
        <v>14</v>
      </c>
      <c r="F325" s="112" t="s">
        <v>296</v>
      </c>
      <c r="G325" s="112" t="s">
        <v>123</v>
      </c>
      <c r="H325" s="112" t="s">
        <v>297</v>
      </c>
      <c r="I325" s="11" t="s">
        <v>77</v>
      </c>
      <c r="J325" s="11" t="s">
        <v>78</v>
      </c>
      <c r="K325" s="11" t="s">
        <v>79</v>
      </c>
      <c r="L325" s="11"/>
      <c r="M325" s="18" t="str">
        <f>IF(ISBLANK($L325),"",_xlfn.XLOOKUP($L325,'CENTRO CUSTO'!$A:$A,'CENTRO CUSTO'!D:D,FALSE,0))</f>
        <v/>
      </c>
      <c r="N325" s="11" t="s">
        <v>106</v>
      </c>
      <c r="O325" s="12"/>
      <c r="P325" s="113" t="s">
        <v>88</v>
      </c>
      <c r="Q325" s="41">
        <v>83.088842975206617</v>
      </c>
      <c r="R325" s="41">
        <v>83.088842975206617</v>
      </c>
      <c r="S325" s="41">
        <v>83.088842975206617</v>
      </c>
      <c r="T325" s="41">
        <v>83.088842975206617</v>
      </c>
      <c r="U325" s="41">
        <v>83.088842975206617</v>
      </c>
      <c r="V325" s="41">
        <v>83.088842975206617</v>
      </c>
      <c r="W325" s="41">
        <v>83.088842975206617</v>
      </c>
      <c r="X325" s="41">
        <v>83.088842975206617</v>
      </c>
      <c r="Y325" s="41">
        <v>83.088842975206617</v>
      </c>
      <c r="Z325" s="41">
        <v>83.088842975206617</v>
      </c>
      <c r="AA325" s="41">
        <v>83.088842975206617</v>
      </c>
      <c r="AB325" s="41">
        <v>83.088842975206617</v>
      </c>
      <c r="AC325" s="116">
        <f t="shared" si="104"/>
        <v>997.06611570247935</v>
      </c>
      <c r="AE325" s="39">
        <f>IF(ISBLANK(Q325),"",IF($P325="BRL",Q325,Q325*Macroindicadores!B$2)/1000)</f>
        <v>0.48856239669421492</v>
      </c>
      <c r="AF325" s="39">
        <f>IF(ISBLANK(R325),"",IF($P325="BRL",R325,R325*Macroindicadores!C$2)/1000)</f>
        <v>0.48856239669421492</v>
      </c>
      <c r="AG325" s="39">
        <f>IF(ISBLANK(S325),"",IF($P325="BRL",S325,S325*Macroindicadores!D$2)/1000)</f>
        <v>0.48856239669421492</v>
      </c>
      <c r="AH325" s="39">
        <f>IF(ISBLANK(T325),"",IF($P325="BRL",T325,T325*Macroindicadores!E$2)/1000)</f>
        <v>0.48856239669421492</v>
      </c>
      <c r="AI325" s="39">
        <f>IF(ISBLANK(U325),"",IF($P325="BRL",U325,U325*Macroindicadores!F$2)/1000)</f>
        <v>0.48856239669421492</v>
      </c>
      <c r="AJ325" s="39">
        <f>IF(ISBLANK(V325),"",IF($P325="BRL",V325,V325*Macroindicadores!G$2)/1000)</f>
        <v>0.48856239669421492</v>
      </c>
      <c r="AK325" s="39">
        <f>IF(ISBLANK(W325),"",IF($P325="BRL",W325,W325*Macroindicadores!H$2)/1000)</f>
        <v>0.48856239669421492</v>
      </c>
      <c r="AL325" s="39">
        <f>IF(ISBLANK(X325),"",IF($P325="BRL",X325,X325*Macroindicadores!I$2)/1000)</f>
        <v>0.48856239669421492</v>
      </c>
      <c r="AM325" s="39">
        <f>IF(ISBLANK(Y325),"",IF($P325="BRL",Y325,Y325*Macroindicadores!J$2)/1000)</f>
        <v>0.48856239669421492</v>
      </c>
      <c r="AN325" s="39">
        <f>IF(ISBLANK(Z325),"",IF($P325="BRL",Z325,Z325*Macroindicadores!K$2)/1000)</f>
        <v>0.48856239669421492</v>
      </c>
      <c r="AO325" s="39">
        <f>IF(ISBLANK(AA325),"",IF($P325="BRL",AA325,AA325*Macroindicadores!L$2)/1000)</f>
        <v>0.48856239669421492</v>
      </c>
      <c r="AP325" s="39">
        <f>IF(ISBLANK(AB325),"",IF($P325="BRL",AB325,AB325*Macroindicadores!M$2)/1000)</f>
        <v>0.48856239669421492</v>
      </c>
      <c r="AQ325" s="40">
        <f t="shared" si="105"/>
        <v>5.8627487603305797</v>
      </c>
      <c r="AS325" s="39">
        <f>IF(ISBLANK(Q325),"",IF(ISBLANK($O325),AE325,IF($J325="ANUAL",AE325*(1+Macroindicadores!B$7),IF(AND($I325="NOVO",MONTH($O325)=MONTH(AS$4)),AE325*(1+Macroindicadores!B$7),IF(AND($J325="PONTUAL",MONTH($O325)=MONTH(AS$4)),AE325*(1+Macroindicadores!B$7),IF(AND($J325="PONTUAL",MONTH($O325)&lt;MONTH(AS$4)),MIN(AR325:$AS325),IF(AND($I325="NOVO",MONTH($O325)&gt;MONTH(AS$4)),AE325,IF(MONTH($O325)&gt;MONTH(AS$4),AE325,IF(MONTH($O325)=MONTH(AS$4),AE325*(1+Macroindicadores!B$7),AR325)))))))))</f>
        <v>0.48856239669421492</v>
      </c>
      <c r="AT325" s="39">
        <f>IF(ISBLANK(R325),"",IF(ISBLANK($O325),AF325,IF($J325="ANUAL",AF325*(1+Macroindicadores!C$7),IF(AND($I325="NOVO",MONTH($O325)=MONTH(AT$4)),AF325*(1+Macroindicadores!C$7),IF(AND($J325="PONTUAL",MONTH($O325)=MONTH(AT$4)),AF325*(1+Macroindicadores!C$7),IF(AND($J325="PONTUAL",MONTH($O325)&lt;MONTH(AT$4)),MIN($AS325:AS325),IF(AND($I325="NOVO",MONTH($O325)&gt;MONTH(AT$4)),AF325,IF(MONTH($O325)&gt;MONTH(AT$4),AF325,IF(MONTH($O325)=MONTH(AT$4),AF325*(1+Macroindicadores!C$7),AS325)))))))))</f>
        <v>0.48856239669421492</v>
      </c>
      <c r="AU325" s="39">
        <f>IF(ISBLANK(S325),"",IF(ISBLANK($O325),AG325,IF($J325="ANUAL",AG325*(1+Macroindicadores!D$7),IF(AND($I325="NOVO",MONTH($O325)=MONTH(AU$4)),AG325*(1+Macroindicadores!D$7),IF(AND($J325="PONTUAL",MONTH($O325)=MONTH(AU$4)),AG325*(1+Macroindicadores!D$7),IF(AND($J325="PONTUAL",MONTH($O325)&lt;MONTH(AU$4)),MIN($AS325:AT325),IF(AND($I325="NOVO",MONTH($O325)&gt;MONTH(AU$4)),AG325,IF(MONTH($O325)&gt;MONTH(AU$4),AG325,IF(MONTH($O325)=MONTH(AU$4),AG325*(1+Macroindicadores!D$7),AT325)))))))))</f>
        <v>0.48856239669421492</v>
      </c>
      <c r="AV325" s="39">
        <f>IF(ISBLANK(T325),"",IF(ISBLANK($O325),AH325,IF($J325="ANUAL",AH325*(1+Macroindicadores!E$7),IF(AND($I325="NOVO",MONTH($O325)=MONTH(AV$4)),AH325*(1+Macroindicadores!E$7),IF(AND($J325="PONTUAL",MONTH($O325)=MONTH(AV$4)),AH325*(1+Macroindicadores!E$7),IF(AND($J325="PONTUAL",MONTH($O325)&lt;MONTH(AV$4)),MIN($AS325:AU325),IF(AND($I325="NOVO",MONTH($O325)&gt;MONTH(AV$4)),AH325,IF(MONTH($O325)&gt;MONTH(AV$4),AH325,IF(MONTH($O325)=MONTH(AV$4),AH325*(1+Macroindicadores!E$7),AU325)))))))))</f>
        <v>0.48856239669421492</v>
      </c>
      <c r="AW325" s="39">
        <f>IF(ISBLANK(U325),"",IF(ISBLANK($O325),AI325,IF($J325="ANUAL",AI325*(1+Macroindicadores!F$7),IF(AND($I325="NOVO",MONTH($O325)=MONTH(AW$4)),AI325*(1+Macroindicadores!F$7),IF(AND($J325="PONTUAL",MONTH($O325)=MONTH(AW$4)),AI325*(1+Macroindicadores!F$7),IF(AND($J325="PONTUAL",MONTH($O325)&lt;MONTH(AW$4)),MIN($AS325:AV325),IF(AND($I325="NOVO",MONTH($O325)&gt;MONTH(AW$4)),AI325,IF(MONTH($O325)&gt;MONTH(AW$4),AI325,IF(MONTH($O325)=MONTH(AW$4),AI325*(1+Macroindicadores!F$7),AV325)))))))))</f>
        <v>0.48856239669421492</v>
      </c>
      <c r="AX325" s="39">
        <f>IF(ISBLANK(V325),"",IF(ISBLANK($O325),AJ325,IF($J325="ANUAL",AJ325*(1+Macroindicadores!G$7),IF(AND($I325="NOVO",MONTH($O325)=MONTH(AX$4)),AJ325*(1+Macroindicadores!G$7),IF(AND($J325="PONTUAL",MONTH($O325)=MONTH(AX$4)),AJ325*(1+Macroindicadores!G$7),IF(AND($J325="PONTUAL",MONTH($O325)&lt;MONTH(AX$4)),MIN($AS325:AW325),IF(AND($I325="NOVO",MONTH($O325)&gt;MONTH(AX$4)),AJ325,IF(MONTH($O325)&gt;MONTH(AX$4),AJ325,IF(MONTH($O325)=MONTH(AX$4),AJ325*(1+Macroindicadores!G$7),AW325)))))))))</f>
        <v>0.48856239669421492</v>
      </c>
      <c r="AY325" s="39">
        <f>IF(ISBLANK(W325),"",IF(ISBLANK($O325),AK325,IF($J325="ANUAL",AK325*(1+Macroindicadores!H$7),IF(AND($I325="NOVO",MONTH($O325)=MONTH(AY$4)),AK325*(1+Macroindicadores!H$7),IF(AND($J325="PONTUAL",MONTH($O325)=MONTH(AY$4)),AK325*(1+Macroindicadores!H$7),IF(AND($J325="PONTUAL",MONTH($O325)&lt;MONTH(AY$4)),MIN($AS325:AX325),IF(AND($I325="NOVO",MONTH($O325)&gt;MONTH(AY$4)),AK325,IF(MONTH($O325)&gt;MONTH(AY$4),AK325,IF(MONTH($O325)=MONTH(AY$4),AK325*(1+Macroindicadores!H$7),AX325)))))))))</f>
        <v>0.48856239669421492</v>
      </c>
      <c r="AZ325" s="39">
        <f>IF(ISBLANK(X325),"",IF(ISBLANK($O325),AL325,IF($J325="ANUAL",AL325*(1+Macroindicadores!I$7),IF(AND($I325="NOVO",MONTH($O325)=MONTH(AZ$4)),AL325*(1+Macroindicadores!I$7),IF(AND($J325="PONTUAL",MONTH($O325)=MONTH(AZ$4)),AL325*(1+Macroindicadores!I$7),IF(AND($J325="PONTUAL",MONTH($O325)&lt;MONTH(AZ$4)),MIN($AS325:AY325),IF(AND($I325="NOVO",MONTH($O325)&gt;MONTH(AZ$4)),AL325,IF(MONTH($O325)&gt;MONTH(AZ$4),AL325,IF(MONTH($O325)=MONTH(AZ$4),AL325*(1+Macroindicadores!I$7),AY325)))))))))</f>
        <v>0.48856239669421492</v>
      </c>
      <c r="BA325" s="39">
        <f>IF(ISBLANK(Y325),"",IF(ISBLANK($O325),AM325,IF($J325="ANUAL",AM325*(1+Macroindicadores!J$7),IF(AND($I325="NOVO",MONTH($O325)=MONTH(BA$4)),AM325*(1+Macroindicadores!J$7),IF(AND($J325="PONTUAL",MONTH($O325)=MONTH(BA$4)),AM325*(1+Macroindicadores!J$7),IF(AND($J325="PONTUAL",MONTH($O325)&lt;MONTH(BA$4)),MIN($AS325:AZ325),IF(AND($I325="NOVO",MONTH($O325)&gt;MONTH(BA$4)),AM325,IF(MONTH($O325)&gt;MONTH(BA$4),AM325,IF(MONTH($O325)=MONTH(BA$4),AM325*(1+Macroindicadores!J$7),AZ325)))))))))</f>
        <v>0.48856239669421492</v>
      </c>
      <c r="BB325" s="39">
        <f>IF(ISBLANK(Z325),"",IF(ISBLANK($O325),AN325,IF($J325="ANUAL",AN325*(1+Macroindicadores!K$7),IF(AND($I325="NOVO",MONTH($O325)=MONTH(BB$4)),AN325*(1+Macroindicadores!K$7),IF(AND($J325="PONTUAL",MONTH($O325)=MONTH(BB$4)),AN325*(1+Macroindicadores!K$7),IF(AND($J325="PONTUAL",MONTH($O325)&lt;MONTH(BB$4)),MIN($AS325:BA325),IF(AND($I325="NOVO",MONTH($O325)&gt;MONTH(BB$4)),AN325,IF(MONTH($O325)&gt;MONTH(BB$4),AN325,IF(MONTH($O325)=MONTH(BB$4),AN325*(1+Macroindicadores!K$7),BA325)))))))))</f>
        <v>0.48856239669421492</v>
      </c>
      <c r="BC325" s="39">
        <f>IF(ISBLANK(AA325),"",IF(ISBLANK($O325),AO325,IF($J325="ANUAL",AO325*(1+Macroindicadores!L$7),IF(AND($I325="NOVO",MONTH($O325)=MONTH(BC$4)),AO325*(1+Macroindicadores!L$7),IF(AND($J325="PONTUAL",MONTH($O325)=MONTH(BC$4)),AO325*(1+Macroindicadores!L$7),IF(AND($J325="PONTUAL",MONTH($O325)&lt;MONTH(BC$4)),MIN($AS325:BB325),IF(AND($I325="NOVO",MONTH($O325)&gt;MONTH(BC$4)),AO325,IF(MONTH($O325)&gt;MONTH(BC$4),AO325,IF(MONTH($O325)=MONTH(BC$4),AO325*(1+Macroindicadores!L$7),BB325)))))))))</f>
        <v>0.48856239669421492</v>
      </c>
      <c r="BD325" s="39">
        <f>IF(ISBLANK(AB325),"",IF(ISBLANK($O325),AP325,IF($J325="ANUAL",AP325*(1+Macroindicadores!M$7),IF(AND($I325="NOVO",MONTH($O325)=MONTH(BD$4)),AP325*(1+Macroindicadores!M$7),IF(AND($J325="PONTUAL",MONTH($O325)=MONTH(BD$4)),AP325*(1+Macroindicadores!M$7),IF(AND($J325="PONTUAL",MONTH($O325)&lt;MONTH(BD$4)),MIN($AS325:BC325),IF(AND($I325="NOVO",MONTH($O325)&gt;MONTH(BD$4)),AP325,IF(MONTH($O325)&gt;MONTH(BD$4),AP325,IF(MONTH($O325)=MONTH(BD$4),AP325*(1+Macroindicadores!M$7),BC325)))))))))</f>
        <v>0.48856239669421492</v>
      </c>
      <c r="BE325" s="40">
        <f t="shared" si="106"/>
        <v>5.8627487603305797</v>
      </c>
      <c r="BG325" s="39">
        <f>IF(ISBLANK(Q325),"",AS325/Macroindicadores!B$2)</f>
        <v>8.308884297520662E-2</v>
      </c>
      <c r="BH325" s="39">
        <f>IF(ISBLANK(R325),"",AT325/Macroindicadores!C$2)</f>
        <v>8.308884297520662E-2</v>
      </c>
      <c r="BI325" s="39">
        <f>IF(ISBLANK(S325),"",AU325/Macroindicadores!D$2)</f>
        <v>8.308884297520662E-2</v>
      </c>
      <c r="BJ325" s="39">
        <f>IF(ISBLANK(T325),"",AV325/Macroindicadores!E$2)</f>
        <v>8.308884297520662E-2</v>
      </c>
      <c r="BK325" s="39">
        <f>IF(ISBLANK(U325),"",AW325/Macroindicadores!F$2)</f>
        <v>8.308884297520662E-2</v>
      </c>
      <c r="BL325" s="39">
        <f>IF(ISBLANK(V325),"",AX325/Macroindicadores!G$2)</f>
        <v>8.308884297520662E-2</v>
      </c>
      <c r="BM325" s="39">
        <f>IF(ISBLANK(W325),"",AY325/Macroindicadores!H$2)</f>
        <v>8.308884297520662E-2</v>
      </c>
      <c r="BN325" s="39">
        <f>IF(ISBLANK(X325),"",AZ325/Macroindicadores!I$2)</f>
        <v>8.308884297520662E-2</v>
      </c>
      <c r="BO325" s="39">
        <f>IF(ISBLANK(Y325),"",BA325/Macroindicadores!J$2)</f>
        <v>8.308884297520662E-2</v>
      </c>
      <c r="BP325" s="39">
        <f>IF(ISBLANK(Z325),"",BB325/Macroindicadores!K$2)</f>
        <v>8.308884297520662E-2</v>
      </c>
      <c r="BQ325" s="39">
        <f>IF(ISBLANK(AA325),"",BC325/Macroindicadores!L$2)</f>
        <v>8.308884297520662E-2</v>
      </c>
      <c r="BR325" s="39">
        <f>IF(ISBLANK(AB325),"",BD325/Macroindicadores!M$2)</f>
        <v>8.308884297520662E-2</v>
      </c>
      <c r="BS325" s="40">
        <f t="shared" si="107"/>
        <v>0.99706611570247927</v>
      </c>
      <c r="BT325" s="25" t="str">
        <f>IF(ISBLANK($L325),"",_xlfn.XLOOKUP($L325,'CENTRO CUSTO'!$A:$A,'CENTRO CUSTO'!$E:$E,FALSE,0))</f>
        <v/>
      </c>
    </row>
    <row r="326" spans="1:72">
      <c r="A326" s="9" t="str">
        <f t="shared" si="80"/>
        <v>Budget</v>
      </c>
      <c r="B326" s="9">
        <f t="shared" si="77"/>
        <v>2026</v>
      </c>
      <c r="C326" s="111" t="s">
        <v>262</v>
      </c>
      <c r="D326" s="111" t="s">
        <v>278</v>
      </c>
      <c r="E326" s="111" t="s">
        <v>14</v>
      </c>
      <c r="F326" s="112" t="s">
        <v>322</v>
      </c>
      <c r="G326" s="112" t="s">
        <v>123</v>
      </c>
      <c r="H326" s="112" t="s">
        <v>323</v>
      </c>
      <c r="I326" s="11" t="s">
        <v>77</v>
      </c>
      <c r="J326" s="11" t="s">
        <v>78</v>
      </c>
      <c r="K326" s="11" t="s">
        <v>79</v>
      </c>
      <c r="L326" s="11"/>
      <c r="M326" s="18" t="str">
        <f>IF(ISBLANK($L326),"",_xlfn.XLOOKUP($L326,'CENTRO CUSTO'!$A:$A,'CENTRO CUSTO'!D:D,FALSE,0))</f>
        <v/>
      </c>
      <c r="N326" s="11" t="s">
        <v>106</v>
      </c>
      <c r="O326" s="12"/>
      <c r="P326" s="113" t="s">
        <v>88</v>
      </c>
      <c r="Q326" s="41">
        <v>207.66184573002755</v>
      </c>
      <c r="R326" s="41">
        <v>207.66184573002755</v>
      </c>
      <c r="S326" s="41">
        <v>207.66184573002755</v>
      </c>
      <c r="T326" s="41">
        <v>207.66184573002755</v>
      </c>
      <c r="U326" s="41">
        <v>207.66184573002755</v>
      </c>
      <c r="V326" s="41">
        <v>207.66184573002755</v>
      </c>
      <c r="W326" s="41">
        <v>207.66184573002755</v>
      </c>
      <c r="X326" s="41">
        <v>207.66184573002755</v>
      </c>
      <c r="Y326" s="41">
        <v>207.66184573002755</v>
      </c>
      <c r="Z326" s="41">
        <v>207.66184573002755</v>
      </c>
      <c r="AA326" s="41">
        <v>207.66184573002755</v>
      </c>
      <c r="AB326" s="41">
        <v>207.66184573002755</v>
      </c>
      <c r="AC326" s="116">
        <f t="shared" si="99"/>
        <v>2491.9421487603304</v>
      </c>
      <c r="AE326" s="39">
        <f>IF(ISBLANK(Q326),"",IF($P326="BRL",Q326,Q326*Macroindicadores!B$2)/1000)</f>
        <v>1.2210516528925621</v>
      </c>
      <c r="AF326" s="39">
        <f>IF(ISBLANK(R326),"",IF($P326="BRL",R326,R326*Macroindicadores!C$2)/1000)</f>
        <v>1.2210516528925621</v>
      </c>
      <c r="AG326" s="39">
        <f>IF(ISBLANK(S326),"",IF($P326="BRL",S326,S326*Macroindicadores!D$2)/1000)</f>
        <v>1.2210516528925621</v>
      </c>
      <c r="AH326" s="39">
        <f>IF(ISBLANK(T326),"",IF($P326="BRL",T326,T326*Macroindicadores!E$2)/1000)</f>
        <v>1.2210516528925621</v>
      </c>
      <c r="AI326" s="39">
        <f>IF(ISBLANK(U326),"",IF($P326="BRL",U326,U326*Macroindicadores!F$2)/1000)</f>
        <v>1.2210516528925621</v>
      </c>
      <c r="AJ326" s="39">
        <f>IF(ISBLANK(V326),"",IF($P326="BRL",V326,V326*Macroindicadores!G$2)/1000)</f>
        <v>1.2210516528925621</v>
      </c>
      <c r="AK326" s="39">
        <f>IF(ISBLANK(W326),"",IF($P326="BRL",W326,W326*Macroindicadores!H$2)/1000)</f>
        <v>1.2210516528925621</v>
      </c>
      <c r="AL326" s="39">
        <f>IF(ISBLANK(X326),"",IF($P326="BRL",X326,X326*Macroindicadores!I$2)/1000)</f>
        <v>1.2210516528925621</v>
      </c>
      <c r="AM326" s="39">
        <f>IF(ISBLANK(Y326),"",IF($P326="BRL",Y326,Y326*Macroindicadores!J$2)/1000)</f>
        <v>1.2210516528925621</v>
      </c>
      <c r="AN326" s="39">
        <f>IF(ISBLANK(Z326),"",IF($P326="BRL",Z326,Z326*Macroindicadores!K$2)/1000)</f>
        <v>1.2210516528925621</v>
      </c>
      <c r="AO326" s="39">
        <f>IF(ISBLANK(AA326),"",IF($P326="BRL",AA326,AA326*Macroindicadores!L$2)/1000)</f>
        <v>1.2210516528925621</v>
      </c>
      <c r="AP326" s="39">
        <f>IF(ISBLANK(AB326),"",IF($P326="BRL",AB326,AB326*Macroindicadores!M$2)/1000)</f>
        <v>1.2210516528925621</v>
      </c>
      <c r="AQ326" s="40">
        <f t="shared" si="100"/>
        <v>14.652619834710746</v>
      </c>
      <c r="AS326" s="39">
        <f>IF(ISBLANK(Q326),"",IF(ISBLANK($O326),AE326,IF($J326="ANUAL",AE326*(1+Macroindicadores!B$7),IF(AND($I326="NOVO",MONTH($O326)=MONTH(AS$4)),AE326*(1+Macroindicadores!B$7),IF(AND($J326="PONTUAL",MONTH($O326)=MONTH(AS$4)),AE326*(1+Macroindicadores!B$7),IF(AND($J326="PONTUAL",MONTH($O326)&lt;MONTH(AS$4)),MIN(AR326:$AS326),IF(AND($I326="NOVO",MONTH($O326)&gt;MONTH(AS$4)),AE326,IF(MONTH($O326)&gt;MONTH(AS$4),AE326,IF(MONTH($O326)=MONTH(AS$4),AE326*(1+Macroindicadores!B$7),AR326)))))))))</f>
        <v>1.2210516528925621</v>
      </c>
      <c r="AT326" s="39">
        <f>IF(ISBLANK(R326),"",IF(ISBLANK($O326),AF326,IF($J326="ANUAL",AF326*(1+Macroindicadores!C$7),IF(AND($I326="NOVO",MONTH($O326)=MONTH(AT$4)),AF326*(1+Macroindicadores!C$7),IF(AND($J326="PONTUAL",MONTH($O326)=MONTH(AT$4)),AF326*(1+Macroindicadores!C$7),IF(AND($J326="PONTUAL",MONTH($O326)&lt;MONTH(AT$4)),MIN($AS326:AS326),IF(AND($I326="NOVO",MONTH($O326)&gt;MONTH(AT$4)),AF326,IF(MONTH($O326)&gt;MONTH(AT$4),AF326,IF(MONTH($O326)=MONTH(AT$4),AF326*(1+Macroindicadores!C$7),AS326)))))))))</f>
        <v>1.2210516528925621</v>
      </c>
      <c r="AU326" s="39">
        <f>IF(ISBLANK(S326),"",IF(ISBLANK($O326),AG326,IF($J326="ANUAL",AG326*(1+Macroindicadores!D$7),IF(AND($I326="NOVO",MONTH($O326)=MONTH(AU$4)),AG326*(1+Macroindicadores!D$7),IF(AND($J326="PONTUAL",MONTH($O326)=MONTH(AU$4)),AG326*(1+Macroindicadores!D$7),IF(AND($J326="PONTUAL",MONTH($O326)&lt;MONTH(AU$4)),MIN($AS326:AT326),IF(AND($I326="NOVO",MONTH($O326)&gt;MONTH(AU$4)),AG326,IF(MONTH($O326)&gt;MONTH(AU$4),AG326,IF(MONTH($O326)=MONTH(AU$4),AG326*(1+Macroindicadores!D$7),AT326)))))))))</f>
        <v>1.2210516528925621</v>
      </c>
      <c r="AV326" s="39">
        <f>IF(ISBLANK(T326),"",IF(ISBLANK($O326),AH326,IF($J326="ANUAL",AH326*(1+Macroindicadores!E$7),IF(AND($I326="NOVO",MONTH($O326)=MONTH(AV$4)),AH326*(1+Macroindicadores!E$7),IF(AND($J326="PONTUAL",MONTH($O326)=MONTH(AV$4)),AH326*(1+Macroindicadores!E$7),IF(AND($J326="PONTUAL",MONTH($O326)&lt;MONTH(AV$4)),MIN($AS326:AU326),IF(AND($I326="NOVO",MONTH($O326)&gt;MONTH(AV$4)),AH326,IF(MONTH($O326)&gt;MONTH(AV$4),AH326,IF(MONTH($O326)=MONTH(AV$4),AH326*(1+Macroindicadores!E$7),AU326)))))))))</f>
        <v>1.2210516528925621</v>
      </c>
      <c r="AW326" s="39">
        <f>IF(ISBLANK(U326),"",IF(ISBLANK($O326),AI326,IF($J326="ANUAL",AI326*(1+Macroindicadores!F$7),IF(AND($I326="NOVO",MONTH($O326)=MONTH(AW$4)),AI326*(1+Macroindicadores!F$7),IF(AND($J326="PONTUAL",MONTH($O326)=MONTH(AW$4)),AI326*(1+Macroindicadores!F$7),IF(AND($J326="PONTUAL",MONTH($O326)&lt;MONTH(AW$4)),MIN($AS326:AV326),IF(AND($I326="NOVO",MONTH($O326)&gt;MONTH(AW$4)),AI326,IF(MONTH($O326)&gt;MONTH(AW$4),AI326,IF(MONTH($O326)=MONTH(AW$4),AI326*(1+Macroindicadores!F$7),AV326)))))))))</f>
        <v>1.2210516528925621</v>
      </c>
      <c r="AX326" s="39">
        <f>IF(ISBLANK(V326),"",IF(ISBLANK($O326),AJ326,IF($J326="ANUAL",AJ326*(1+Macroindicadores!G$7),IF(AND($I326="NOVO",MONTH($O326)=MONTH(AX$4)),AJ326*(1+Macroindicadores!G$7),IF(AND($J326="PONTUAL",MONTH($O326)=MONTH(AX$4)),AJ326*(1+Macroindicadores!G$7),IF(AND($J326="PONTUAL",MONTH($O326)&lt;MONTH(AX$4)),MIN($AS326:AW326),IF(AND($I326="NOVO",MONTH($O326)&gt;MONTH(AX$4)),AJ326,IF(MONTH($O326)&gt;MONTH(AX$4),AJ326,IF(MONTH($O326)=MONTH(AX$4),AJ326*(1+Macroindicadores!G$7),AW326)))))))))</f>
        <v>1.2210516528925621</v>
      </c>
      <c r="AY326" s="39">
        <f>IF(ISBLANK(W326),"",IF(ISBLANK($O326),AK326,IF($J326="ANUAL",AK326*(1+Macroindicadores!H$7),IF(AND($I326="NOVO",MONTH($O326)=MONTH(AY$4)),AK326*(1+Macroindicadores!H$7),IF(AND($J326="PONTUAL",MONTH($O326)=MONTH(AY$4)),AK326*(1+Macroindicadores!H$7),IF(AND($J326="PONTUAL",MONTH($O326)&lt;MONTH(AY$4)),MIN($AS326:AX326),IF(AND($I326="NOVO",MONTH($O326)&gt;MONTH(AY$4)),AK326,IF(MONTH($O326)&gt;MONTH(AY$4),AK326,IF(MONTH($O326)=MONTH(AY$4),AK326*(1+Macroindicadores!H$7),AX326)))))))))</f>
        <v>1.2210516528925621</v>
      </c>
      <c r="AZ326" s="39">
        <f>IF(ISBLANK(X326),"",IF(ISBLANK($O326),AL326,IF($J326="ANUAL",AL326*(1+Macroindicadores!I$7),IF(AND($I326="NOVO",MONTH($O326)=MONTH(AZ$4)),AL326*(1+Macroindicadores!I$7),IF(AND($J326="PONTUAL",MONTH($O326)=MONTH(AZ$4)),AL326*(1+Macroindicadores!I$7),IF(AND($J326="PONTUAL",MONTH($O326)&lt;MONTH(AZ$4)),MIN($AS326:AY326),IF(AND($I326="NOVO",MONTH($O326)&gt;MONTH(AZ$4)),AL326,IF(MONTH($O326)&gt;MONTH(AZ$4),AL326,IF(MONTH($O326)=MONTH(AZ$4),AL326*(1+Macroindicadores!I$7),AY326)))))))))</f>
        <v>1.2210516528925621</v>
      </c>
      <c r="BA326" s="39">
        <f>IF(ISBLANK(Y326),"",IF(ISBLANK($O326),AM326,IF($J326="ANUAL",AM326*(1+Macroindicadores!J$7),IF(AND($I326="NOVO",MONTH($O326)=MONTH(BA$4)),AM326*(1+Macroindicadores!J$7),IF(AND($J326="PONTUAL",MONTH($O326)=MONTH(BA$4)),AM326*(1+Macroindicadores!J$7),IF(AND($J326="PONTUAL",MONTH($O326)&lt;MONTH(BA$4)),MIN($AS326:AZ326),IF(AND($I326="NOVO",MONTH($O326)&gt;MONTH(BA$4)),AM326,IF(MONTH($O326)&gt;MONTH(BA$4),AM326,IF(MONTH($O326)=MONTH(BA$4),AM326*(1+Macroindicadores!J$7),AZ326)))))))))</f>
        <v>1.2210516528925621</v>
      </c>
      <c r="BB326" s="39">
        <f>IF(ISBLANK(Z326),"",IF(ISBLANK($O326),AN326,IF($J326="ANUAL",AN326*(1+Macroindicadores!K$7),IF(AND($I326="NOVO",MONTH($O326)=MONTH(BB$4)),AN326*(1+Macroindicadores!K$7),IF(AND($J326="PONTUAL",MONTH($O326)=MONTH(BB$4)),AN326*(1+Macroindicadores!K$7),IF(AND($J326="PONTUAL",MONTH($O326)&lt;MONTH(BB$4)),MIN($AS326:BA326),IF(AND($I326="NOVO",MONTH($O326)&gt;MONTH(BB$4)),AN326,IF(MONTH($O326)&gt;MONTH(BB$4),AN326,IF(MONTH($O326)=MONTH(BB$4),AN326*(1+Macroindicadores!K$7),BA326)))))))))</f>
        <v>1.2210516528925621</v>
      </c>
      <c r="BC326" s="39">
        <f>IF(ISBLANK(AA326),"",IF(ISBLANK($O326),AO326,IF($J326="ANUAL",AO326*(1+Macroindicadores!L$7),IF(AND($I326="NOVO",MONTH($O326)=MONTH(BC$4)),AO326*(1+Macroindicadores!L$7),IF(AND($J326="PONTUAL",MONTH($O326)=MONTH(BC$4)),AO326*(1+Macroindicadores!L$7),IF(AND($J326="PONTUAL",MONTH($O326)&lt;MONTH(BC$4)),MIN($AS326:BB326),IF(AND($I326="NOVO",MONTH($O326)&gt;MONTH(BC$4)),AO326,IF(MONTH($O326)&gt;MONTH(BC$4),AO326,IF(MONTH($O326)=MONTH(BC$4),AO326*(1+Macroindicadores!L$7),BB326)))))))))</f>
        <v>1.2210516528925621</v>
      </c>
      <c r="BD326" s="39">
        <f>IF(ISBLANK(AB326),"",IF(ISBLANK($O326),AP326,IF($J326="ANUAL",AP326*(1+Macroindicadores!M$7),IF(AND($I326="NOVO",MONTH($O326)=MONTH(BD$4)),AP326*(1+Macroindicadores!M$7),IF(AND($J326="PONTUAL",MONTH($O326)=MONTH(BD$4)),AP326*(1+Macroindicadores!M$7),IF(AND($J326="PONTUAL",MONTH($O326)&lt;MONTH(BD$4)),MIN($AS326:BC326),IF(AND($I326="NOVO",MONTH($O326)&gt;MONTH(BD$4)),AP326,IF(MONTH($O326)&gt;MONTH(BD$4),AP326,IF(MONTH($O326)=MONTH(BD$4),AP326*(1+Macroindicadores!M$7),BC326)))))))))</f>
        <v>1.2210516528925621</v>
      </c>
      <c r="BE326" s="40">
        <f t="shared" si="101"/>
        <v>14.652619834710746</v>
      </c>
      <c r="BG326" s="39">
        <f>IF(ISBLANK(Q326),"",AS326/Macroindicadores!B$2)</f>
        <v>0.20766184573002758</v>
      </c>
      <c r="BH326" s="39">
        <f>IF(ISBLANK(R326),"",AT326/Macroindicadores!C$2)</f>
        <v>0.20766184573002758</v>
      </c>
      <c r="BI326" s="39">
        <f>IF(ISBLANK(S326),"",AU326/Macroindicadores!D$2)</f>
        <v>0.20766184573002758</v>
      </c>
      <c r="BJ326" s="39">
        <f>IF(ISBLANK(T326),"",AV326/Macroindicadores!E$2)</f>
        <v>0.20766184573002758</v>
      </c>
      <c r="BK326" s="39">
        <f>IF(ISBLANK(U326),"",AW326/Macroindicadores!F$2)</f>
        <v>0.20766184573002758</v>
      </c>
      <c r="BL326" s="39">
        <f>IF(ISBLANK(V326),"",AX326/Macroindicadores!G$2)</f>
        <v>0.20766184573002758</v>
      </c>
      <c r="BM326" s="39">
        <f>IF(ISBLANK(W326),"",AY326/Macroindicadores!H$2)</f>
        <v>0.20766184573002758</v>
      </c>
      <c r="BN326" s="39">
        <f>IF(ISBLANK(X326),"",AZ326/Macroindicadores!I$2)</f>
        <v>0.20766184573002758</v>
      </c>
      <c r="BO326" s="39">
        <f>IF(ISBLANK(Y326),"",BA326/Macroindicadores!J$2)</f>
        <v>0.20766184573002758</v>
      </c>
      <c r="BP326" s="39">
        <f>IF(ISBLANK(Z326),"",BB326/Macroindicadores!K$2)</f>
        <v>0.20766184573002758</v>
      </c>
      <c r="BQ326" s="39">
        <f>IF(ISBLANK(AA326),"",BC326/Macroindicadores!L$2)</f>
        <v>0.20766184573002758</v>
      </c>
      <c r="BR326" s="39">
        <f>IF(ISBLANK(AB326),"",BD326/Macroindicadores!M$2)</f>
        <v>0.20766184573002758</v>
      </c>
      <c r="BS326" s="40">
        <f>IF(AND(ISBLANK($Q326),ISBLANK($R326),ISBLANK($S326),ISBLANK($T326),ISBLANK($U326),ISBLANK($V326),ISBLANK($W326),ISBLANK($X326),ISBLANK($Y326),ISBLANK($Z326),ISBLANK($AA326),ISBLANK($AB326)),"",SUM(BG326:BR326))</f>
        <v>2.4919421487603315</v>
      </c>
      <c r="BT326" s="25" t="str">
        <f>IF(ISBLANK($L326),"",_xlfn.XLOOKUP($L326,'CENTRO CUSTO'!$A:$A,'CENTRO CUSTO'!$E:$E,FALSE,0))</f>
        <v/>
      </c>
    </row>
    <row r="327" spans="1:72">
      <c r="A327" s="9" t="str">
        <f t="shared" si="80"/>
        <v>Budget</v>
      </c>
      <c r="B327" s="9">
        <f t="shared" si="77"/>
        <v>2026</v>
      </c>
      <c r="C327" s="111" t="s">
        <v>262</v>
      </c>
      <c r="D327" s="111" t="s">
        <v>278</v>
      </c>
      <c r="E327" s="111" t="s">
        <v>14</v>
      </c>
      <c r="F327" s="112" t="s">
        <v>304</v>
      </c>
      <c r="G327" s="112" t="s">
        <v>123</v>
      </c>
      <c r="H327" s="112" t="s">
        <v>324</v>
      </c>
      <c r="I327" s="11" t="s">
        <v>77</v>
      </c>
      <c r="J327" s="11" t="s">
        <v>120</v>
      </c>
      <c r="K327" s="11" t="s">
        <v>79</v>
      </c>
      <c r="L327" s="11"/>
      <c r="M327" s="18" t="str">
        <f>IF(ISBLANK($L327),"",_xlfn.XLOOKUP($L327,'CENTRO CUSTO'!$A:$A,'CENTRO CUSTO'!D:D,FALSE,0))</f>
        <v/>
      </c>
      <c r="N327" s="11" t="s">
        <v>87</v>
      </c>
      <c r="O327" s="12"/>
      <c r="P327" s="113" t="s">
        <v>88</v>
      </c>
      <c r="Q327" s="41">
        <v>625</v>
      </c>
      <c r="R327" s="41">
        <v>625</v>
      </c>
      <c r="S327" s="41">
        <v>625</v>
      </c>
      <c r="T327" s="41">
        <v>625</v>
      </c>
      <c r="U327" s="41">
        <v>625</v>
      </c>
      <c r="V327" s="41">
        <v>625</v>
      </c>
      <c r="W327" s="41">
        <v>625</v>
      </c>
      <c r="X327" s="41">
        <v>625</v>
      </c>
      <c r="Y327" s="41">
        <v>625</v>
      </c>
      <c r="Z327" s="41">
        <v>625</v>
      </c>
      <c r="AA327" s="41">
        <v>625</v>
      </c>
      <c r="AB327" s="41">
        <v>625</v>
      </c>
      <c r="AC327" s="116">
        <f t="shared" si="73"/>
        <v>7500</v>
      </c>
      <c r="AE327" s="39">
        <f>IF(ISBLANK(Q327),"",IF($P327="BRL",Q327,Q327*Macroindicadores!B$2)/1000)</f>
        <v>3.6749999999999998</v>
      </c>
      <c r="AF327" s="39">
        <f>IF(ISBLANK(R327),"",IF($P327="BRL",R327,R327*Macroindicadores!C$2)/1000)</f>
        <v>3.6749999999999998</v>
      </c>
      <c r="AG327" s="39">
        <f>IF(ISBLANK(S327),"",IF($P327="BRL",S327,S327*Macroindicadores!D$2)/1000)</f>
        <v>3.6749999999999998</v>
      </c>
      <c r="AH327" s="39">
        <f>IF(ISBLANK(T327),"",IF($P327="BRL",T327,T327*Macroindicadores!E$2)/1000)</f>
        <v>3.6749999999999998</v>
      </c>
      <c r="AI327" s="39">
        <f>IF(ISBLANK(U327),"",IF($P327="BRL",U327,U327*Macroindicadores!F$2)/1000)</f>
        <v>3.6749999999999998</v>
      </c>
      <c r="AJ327" s="39">
        <f>IF(ISBLANK(V327),"",IF($P327="BRL",V327,V327*Macroindicadores!G$2)/1000)</f>
        <v>3.6749999999999998</v>
      </c>
      <c r="AK327" s="39">
        <f>IF(ISBLANK(W327),"",IF($P327="BRL",W327,W327*Macroindicadores!H$2)/1000)</f>
        <v>3.6749999999999998</v>
      </c>
      <c r="AL327" s="39">
        <f>IF(ISBLANK(X327),"",IF($P327="BRL",X327,X327*Macroindicadores!I$2)/1000)</f>
        <v>3.6749999999999998</v>
      </c>
      <c r="AM327" s="39">
        <f>IF(ISBLANK(Y327),"",IF($P327="BRL",Y327,Y327*Macroindicadores!J$2)/1000)</f>
        <v>3.6749999999999998</v>
      </c>
      <c r="AN327" s="39">
        <f>IF(ISBLANK(Z327),"",IF($P327="BRL",Z327,Z327*Macroindicadores!K$2)/1000)</f>
        <v>3.6749999999999998</v>
      </c>
      <c r="AO327" s="39">
        <f>IF(ISBLANK(AA327),"",IF($P327="BRL",AA327,AA327*Macroindicadores!L$2)/1000)</f>
        <v>3.6749999999999998</v>
      </c>
      <c r="AP327" s="39">
        <f>IF(ISBLANK(AB327),"",IF($P327="BRL",AB327,AB327*Macroindicadores!M$2)/1000)</f>
        <v>3.6749999999999998</v>
      </c>
      <c r="AQ327" s="40">
        <f t="shared" si="79"/>
        <v>44.099999999999994</v>
      </c>
      <c r="AS327" s="39">
        <f>IF(ISBLANK(Q327),"",IF(ISBLANK($O327),AE327,IF($J327="ANUAL",AE327*(1+Macroindicadores!B$7),IF(AND($I327="NOVO",MONTH($O327)=MONTH(AS$4)),AE327*(1+Macroindicadores!B$7),IF(AND($J327="PONTUAL",MONTH($O327)=MONTH(AS$4)),AE327*(1+Macroindicadores!B$7),IF(AND($J327="PONTUAL",MONTH($O327)&lt;MONTH(AS$4)),MIN(AR327:$AS327),IF(AND($I327="NOVO",MONTH($O327)&gt;MONTH(AS$4)),AE327,IF(MONTH($O327)&gt;MONTH(AS$4),AE327,IF(MONTH($O327)=MONTH(AS$4),AE327*(1+Macroindicadores!B$7),AR327)))))))))</f>
        <v>3.6749999999999998</v>
      </c>
      <c r="AT327" s="39">
        <f>IF(ISBLANK(R327),"",IF(ISBLANK($O327),AF327,IF($J327="ANUAL",AF327*(1+Macroindicadores!C$7),IF(AND($I327="NOVO",MONTH($O327)=MONTH(AT$4)),AF327*(1+Macroindicadores!C$7),IF(AND($J327="PONTUAL",MONTH($O327)=MONTH(AT$4)),AF327*(1+Macroindicadores!C$7),IF(AND($J327="PONTUAL",MONTH($O327)&lt;MONTH(AT$4)),MIN($AS327:AS327),IF(AND($I327="NOVO",MONTH($O327)&gt;MONTH(AT$4)),AF327,IF(MONTH($O327)&gt;MONTH(AT$4),AF327,IF(MONTH($O327)=MONTH(AT$4),AF327*(1+Macroindicadores!C$7),AS327)))))))))</f>
        <v>3.6749999999999998</v>
      </c>
      <c r="AU327" s="39">
        <f>IF(ISBLANK(S327),"",IF(ISBLANK($O327),AG327,IF($J327="ANUAL",AG327*(1+Macroindicadores!D$7),IF(AND($I327="NOVO",MONTH($O327)=MONTH(AU$4)),AG327*(1+Macroindicadores!D$7),IF(AND($J327="PONTUAL",MONTH($O327)=MONTH(AU$4)),AG327*(1+Macroindicadores!D$7),IF(AND($J327="PONTUAL",MONTH($O327)&lt;MONTH(AU$4)),MIN($AS327:AT327),IF(AND($I327="NOVO",MONTH($O327)&gt;MONTH(AU$4)),AG327,IF(MONTH($O327)&gt;MONTH(AU$4),AG327,IF(MONTH($O327)=MONTH(AU$4),AG327*(1+Macroindicadores!D$7),AT327)))))))))</f>
        <v>3.6749999999999998</v>
      </c>
      <c r="AV327" s="39">
        <f>IF(ISBLANK(T327),"",IF(ISBLANK($O327),AH327,IF($J327="ANUAL",AH327*(1+Macroindicadores!E$7),IF(AND($I327="NOVO",MONTH($O327)=MONTH(AV$4)),AH327*(1+Macroindicadores!E$7),IF(AND($J327="PONTUAL",MONTH($O327)=MONTH(AV$4)),AH327*(1+Macroindicadores!E$7),IF(AND($J327="PONTUAL",MONTH($O327)&lt;MONTH(AV$4)),MIN($AS327:AU327),IF(AND($I327="NOVO",MONTH($O327)&gt;MONTH(AV$4)),AH327,IF(MONTH($O327)&gt;MONTH(AV$4),AH327,IF(MONTH($O327)=MONTH(AV$4),AH327*(1+Macroindicadores!E$7),AU327)))))))))</f>
        <v>3.6749999999999998</v>
      </c>
      <c r="AW327" s="39">
        <f>IF(ISBLANK(U327),"",IF(ISBLANK($O327),AI327,IF($J327="ANUAL",AI327*(1+Macroindicadores!F$7),IF(AND($I327="NOVO",MONTH($O327)=MONTH(AW$4)),AI327*(1+Macroindicadores!F$7),IF(AND($J327="PONTUAL",MONTH($O327)=MONTH(AW$4)),AI327*(1+Macroindicadores!F$7),IF(AND($J327="PONTUAL",MONTH($O327)&lt;MONTH(AW$4)),MIN($AS327:AV327),IF(AND($I327="NOVO",MONTH($O327)&gt;MONTH(AW$4)),AI327,IF(MONTH($O327)&gt;MONTH(AW$4),AI327,IF(MONTH($O327)=MONTH(AW$4),AI327*(1+Macroindicadores!F$7),AV327)))))))))</f>
        <v>3.6749999999999998</v>
      </c>
      <c r="AX327" s="39">
        <f>IF(ISBLANK(V327),"",IF(ISBLANK($O327),AJ327,IF($J327="ANUAL",AJ327*(1+Macroindicadores!G$7),IF(AND($I327="NOVO",MONTH($O327)=MONTH(AX$4)),AJ327*(1+Macroindicadores!G$7),IF(AND($J327="PONTUAL",MONTH($O327)=MONTH(AX$4)),AJ327*(1+Macroindicadores!G$7),IF(AND($J327="PONTUAL",MONTH($O327)&lt;MONTH(AX$4)),MIN($AS327:AW327),IF(AND($I327="NOVO",MONTH($O327)&gt;MONTH(AX$4)),AJ327,IF(MONTH($O327)&gt;MONTH(AX$4),AJ327,IF(MONTH($O327)=MONTH(AX$4),AJ327*(1+Macroindicadores!G$7),AW327)))))))))</f>
        <v>3.6749999999999998</v>
      </c>
      <c r="AY327" s="39">
        <f>IF(ISBLANK(W327),"",IF(ISBLANK($O327),AK327,IF($J327="ANUAL",AK327*(1+Macroindicadores!H$7),IF(AND($I327="NOVO",MONTH($O327)=MONTH(AY$4)),AK327*(1+Macroindicadores!H$7),IF(AND($J327="PONTUAL",MONTH($O327)=MONTH(AY$4)),AK327*(1+Macroindicadores!H$7),IF(AND($J327="PONTUAL",MONTH($O327)&lt;MONTH(AY$4)),MIN($AS327:AX327),IF(AND($I327="NOVO",MONTH($O327)&gt;MONTH(AY$4)),AK327,IF(MONTH($O327)&gt;MONTH(AY$4),AK327,IF(MONTH($O327)=MONTH(AY$4),AK327*(1+Macroindicadores!H$7),AX327)))))))))</f>
        <v>3.6749999999999998</v>
      </c>
      <c r="AZ327" s="39">
        <f>IF(ISBLANK(X327),"",IF(ISBLANK($O327),AL327,IF($J327="ANUAL",AL327*(1+Macroindicadores!I$7),IF(AND($I327="NOVO",MONTH($O327)=MONTH(AZ$4)),AL327*(1+Macroindicadores!I$7),IF(AND($J327="PONTUAL",MONTH($O327)=MONTH(AZ$4)),AL327*(1+Macroindicadores!I$7),IF(AND($J327="PONTUAL",MONTH($O327)&lt;MONTH(AZ$4)),MIN($AS327:AY327),IF(AND($I327="NOVO",MONTH($O327)&gt;MONTH(AZ$4)),AL327,IF(MONTH($O327)&gt;MONTH(AZ$4),AL327,IF(MONTH($O327)=MONTH(AZ$4),AL327*(1+Macroindicadores!I$7),AY327)))))))))</f>
        <v>3.6749999999999998</v>
      </c>
      <c r="BA327" s="39">
        <f>IF(ISBLANK(Y327),"",IF(ISBLANK($O327),AM327,IF($J327="ANUAL",AM327*(1+Macroindicadores!J$7),IF(AND($I327="NOVO",MONTH($O327)=MONTH(BA$4)),AM327*(1+Macroindicadores!J$7),IF(AND($J327="PONTUAL",MONTH($O327)=MONTH(BA$4)),AM327*(1+Macroindicadores!J$7),IF(AND($J327="PONTUAL",MONTH($O327)&lt;MONTH(BA$4)),MIN($AS327:AZ327),IF(AND($I327="NOVO",MONTH($O327)&gt;MONTH(BA$4)),AM327,IF(MONTH($O327)&gt;MONTH(BA$4),AM327,IF(MONTH($O327)=MONTH(BA$4),AM327*(1+Macroindicadores!J$7),AZ327)))))))))</f>
        <v>3.6749999999999998</v>
      </c>
      <c r="BB327" s="39">
        <f>IF(ISBLANK(Z327),"",IF(ISBLANK($O327),AN327,IF($J327="ANUAL",AN327*(1+Macroindicadores!K$7),IF(AND($I327="NOVO",MONTH($O327)=MONTH(BB$4)),AN327*(1+Macroindicadores!K$7),IF(AND($J327="PONTUAL",MONTH($O327)=MONTH(BB$4)),AN327*(1+Macroindicadores!K$7),IF(AND($J327="PONTUAL",MONTH($O327)&lt;MONTH(BB$4)),MIN($AS327:BA327),IF(AND($I327="NOVO",MONTH($O327)&gt;MONTH(BB$4)),AN327,IF(MONTH($O327)&gt;MONTH(BB$4),AN327,IF(MONTH($O327)=MONTH(BB$4),AN327*(1+Macroindicadores!K$7),BA327)))))))))</f>
        <v>3.6749999999999998</v>
      </c>
      <c r="BC327" s="39">
        <f>IF(ISBLANK(AA327),"",IF(ISBLANK($O327),AO327,IF($J327="ANUAL",AO327*(1+Macroindicadores!L$7),IF(AND($I327="NOVO",MONTH($O327)=MONTH(BC$4)),AO327*(1+Macroindicadores!L$7),IF(AND($J327="PONTUAL",MONTH($O327)=MONTH(BC$4)),AO327*(1+Macroindicadores!L$7),IF(AND($J327="PONTUAL",MONTH($O327)&lt;MONTH(BC$4)),MIN($AS327:BB327),IF(AND($I327="NOVO",MONTH($O327)&gt;MONTH(BC$4)),AO327,IF(MONTH($O327)&gt;MONTH(BC$4),AO327,IF(MONTH($O327)=MONTH(BC$4),AO327*(1+Macroindicadores!L$7),BB327)))))))))</f>
        <v>3.6749999999999998</v>
      </c>
      <c r="BD327" s="39">
        <f>IF(ISBLANK(AB327),"",IF(ISBLANK($O327),AP327,IF($J327="ANUAL",AP327*(1+Macroindicadores!M$7),IF(AND($I327="NOVO",MONTH($O327)=MONTH(BD$4)),AP327*(1+Macroindicadores!M$7),IF(AND($J327="PONTUAL",MONTH($O327)=MONTH(BD$4)),AP327*(1+Macroindicadores!M$7),IF(AND($J327="PONTUAL",MONTH($O327)&lt;MONTH(BD$4)),MIN($AS327:BC327),IF(AND($I327="NOVO",MONTH($O327)&gt;MONTH(BD$4)),AP327,IF(MONTH($O327)&gt;MONTH(BD$4),AP327,IF(MONTH($O327)=MONTH(BD$4),AP327*(1+Macroindicadores!M$7),BC327)))))))))</f>
        <v>3.6749999999999998</v>
      </c>
      <c r="BE327" s="40">
        <f t="shared" si="78"/>
        <v>44.099999999999994</v>
      </c>
      <c r="BG327" s="39">
        <f>IF(ISBLANK(Q327),"",AS327/Macroindicadores!B$2)</f>
        <v>0.625</v>
      </c>
      <c r="BH327" s="39">
        <f>IF(ISBLANK(R327),"",AT327/Macroindicadores!C$2)</f>
        <v>0.625</v>
      </c>
      <c r="BI327" s="39">
        <f>IF(ISBLANK(S327),"",AU327/Macroindicadores!D$2)</f>
        <v>0.625</v>
      </c>
      <c r="BJ327" s="39">
        <f>IF(ISBLANK(T327),"",AV327/Macroindicadores!E$2)</f>
        <v>0.625</v>
      </c>
      <c r="BK327" s="39">
        <f>IF(ISBLANK(U327),"",AW327/Macroindicadores!F$2)</f>
        <v>0.625</v>
      </c>
      <c r="BL327" s="39">
        <f>IF(ISBLANK(V327),"",AX327/Macroindicadores!G$2)</f>
        <v>0.625</v>
      </c>
      <c r="BM327" s="39">
        <f>IF(ISBLANK(W327),"",AY327/Macroindicadores!H$2)</f>
        <v>0.625</v>
      </c>
      <c r="BN327" s="39">
        <f>IF(ISBLANK(X327),"",AZ327/Macroindicadores!I$2)</f>
        <v>0.625</v>
      </c>
      <c r="BO327" s="39">
        <f>IF(ISBLANK(Y327),"",BA327/Macroindicadores!J$2)</f>
        <v>0.625</v>
      </c>
      <c r="BP327" s="39">
        <f>IF(ISBLANK(Z327),"",BB327/Macroindicadores!K$2)</f>
        <v>0.625</v>
      </c>
      <c r="BQ327" s="39">
        <f>IF(ISBLANK(AA327),"",BC327/Macroindicadores!L$2)</f>
        <v>0.625</v>
      </c>
      <c r="BR327" s="39">
        <f>IF(ISBLANK(AB327),"",BD327/Macroindicadores!M$2)</f>
        <v>0.625</v>
      </c>
      <c r="BS327" s="40">
        <f>IF(AND(ISBLANK($Q327),ISBLANK($R327),ISBLANK($S327),ISBLANK($T327),ISBLANK($U327),ISBLANK($V327),ISBLANK($W327),ISBLANK($X327),ISBLANK($Y327),ISBLANK($Z327),ISBLANK($AA327),ISBLANK($AB327)),"",SUM(BG327:BR327))</f>
        <v>7.5</v>
      </c>
      <c r="BT327" s="25" t="str">
        <f>IF(ISBLANK($L327),"",_xlfn.XLOOKUP($L327,'CENTRO CUSTO'!$A:$A,'CENTRO CUSTO'!$E:$E,FALSE,0))</f>
        <v/>
      </c>
    </row>
    <row r="328" spans="1:72">
      <c r="A328" s="9" t="str">
        <f t="shared" si="80"/>
        <v>Budget</v>
      </c>
      <c r="B328" s="9">
        <f t="shared" si="77"/>
        <v>2026</v>
      </c>
      <c r="C328" s="111" t="s">
        <v>262</v>
      </c>
      <c r="D328" s="111" t="s">
        <v>263</v>
      </c>
      <c r="E328" s="111" t="s">
        <v>14</v>
      </c>
      <c r="F328" s="112" t="s">
        <v>325</v>
      </c>
      <c r="G328" s="112" t="s">
        <v>123</v>
      </c>
      <c r="H328" s="112" t="s">
        <v>326</v>
      </c>
      <c r="I328" s="11" t="s">
        <v>77</v>
      </c>
      <c r="J328" s="11" t="s">
        <v>120</v>
      </c>
      <c r="K328" s="11" t="s">
        <v>79</v>
      </c>
      <c r="L328" s="11"/>
      <c r="M328" s="18" t="str">
        <f>IF(ISBLANK($L328),"",_xlfn.XLOOKUP($L328,'CENTRO CUSTO'!$A:$A,'CENTRO CUSTO'!D:D,FALSE,0))</f>
        <v/>
      </c>
      <c r="N328" s="11" t="s">
        <v>87</v>
      </c>
      <c r="O328" s="12"/>
      <c r="P328" s="113" t="s">
        <v>88</v>
      </c>
      <c r="Q328" s="41"/>
      <c r="R328" s="41">
        <v>600</v>
      </c>
      <c r="S328" s="41"/>
      <c r="T328" s="41"/>
      <c r="U328" s="41"/>
      <c r="V328" s="41"/>
      <c r="W328" s="41"/>
      <c r="X328" s="41"/>
      <c r="Y328" s="41"/>
      <c r="Z328" s="41"/>
      <c r="AA328" s="41"/>
      <c r="AB328" s="41"/>
      <c r="AC328" s="116">
        <f t="shared" si="73"/>
        <v>600</v>
      </c>
      <c r="AE328" s="39" t="str">
        <f>IF(ISBLANK(Q328),"",IF($P328="BRL",Q328,Q328*Macroindicadores!B$2)/1000)</f>
        <v/>
      </c>
      <c r="AF328" s="39">
        <f>IF(ISBLANK(R328),"",IF($P328="BRL",R328,R328*Macroindicadores!C$2)/1000)</f>
        <v>3.528</v>
      </c>
      <c r="AG328" s="39" t="str">
        <f>IF(ISBLANK(S328),"",IF($P328="BRL",S328,S328*Macroindicadores!D$2)/1000)</f>
        <v/>
      </c>
      <c r="AH328" s="39" t="str">
        <f>IF(ISBLANK(T328),"",IF($P328="BRL",T328,T328*Macroindicadores!E$2)/1000)</f>
        <v/>
      </c>
      <c r="AI328" s="39" t="str">
        <f>IF(ISBLANK(U328),"",IF($P328="BRL",U328,U328*Macroindicadores!F$2)/1000)</f>
        <v/>
      </c>
      <c r="AJ328" s="39" t="str">
        <f>IF(ISBLANK(V328),"",IF($P328="BRL",V328,V328*Macroindicadores!G$2)/1000)</f>
        <v/>
      </c>
      <c r="AK328" s="39" t="str">
        <f>IF(ISBLANK(W328),"",IF($P328="BRL",W328,W328*Macroindicadores!H$2)/1000)</f>
        <v/>
      </c>
      <c r="AL328" s="39" t="str">
        <f>IF(ISBLANK(X328),"",IF($P328="BRL",X328,X328*Macroindicadores!I$2)/1000)</f>
        <v/>
      </c>
      <c r="AM328" s="39" t="str">
        <f>IF(ISBLANK(Y328),"",IF($P328="BRL",Y328,Y328*Macroindicadores!J$2)/1000)</f>
        <v/>
      </c>
      <c r="AN328" s="39" t="str">
        <f>IF(ISBLANK(Z328),"",IF($P328="BRL",Z328,Z328*Macroindicadores!K$2)/1000)</f>
        <v/>
      </c>
      <c r="AO328" s="39" t="str">
        <f>IF(ISBLANK(AA328),"",IF($P328="BRL",AA328,AA328*Macroindicadores!L$2)/1000)</f>
        <v/>
      </c>
      <c r="AP328" s="39" t="str">
        <f>IF(ISBLANK(AB328),"",IF($P328="BRL",AB328,AB328*Macroindicadores!M$2)/1000)</f>
        <v/>
      </c>
      <c r="AQ328" s="40">
        <f t="shared" si="79"/>
        <v>3.528</v>
      </c>
      <c r="AS328" s="39" t="str">
        <f>IF(ISBLANK(Q328),"",IF(ISBLANK($O328),AE328,IF($J328="ANUAL",AE328*(1+Macroindicadores!B$7),IF(AND($I328="NOVO",MONTH($O328)=MONTH(AS$4)),AE328*(1+Macroindicadores!B$7),IF(AND($J328="PONTUAL",MONTH($O328)=MONTH(AS$4)),AE328*(1+Macroindicadores!B$7),IF(AND($J328="PONTUAL",MONTH($O328)&lt;MONTH(AS$4)),MIN(AR328:$AS328),IF(AND($I328="NOVO",MONTH($O328)&gt;MONTH(AS$4)),AE328,IF(MONTH($O328)&gt;MONTH(AS$4),AE328,IF(MONTH($O328)=MONTH(AS$4),AE328*(1+Macroindicadores!B$7),AR328)))))))))</f>
        <v/>
      </c>
      <c r="AT328" s="39">
        <f>IF(ISBLANK(R328),"",IF(ISBLANK($O328),AF328,IF($J328="ANUAL",AF328*(1+Macroindicadores!C$7),IF(AND($I328="NOVO",MONTH($O328)=MONTH(AT$4)),AF328*(1+Macroindicadores!C$7),IF(AND($J328="PONTUAL",MONTH($O328)=MONTH(AT$4)),AF328*(1+Macroindicadores!C$7),IF(AND($J328="PONTUAL",MONTH($O328)&lt;MONTH(AT$4)),MIN($AS328:AS328),IF(AND($I328="NOVO",MONTH($O328)&gt;MONTH(AT$4)),AF328,IF(MONTH($O328)&gt;MONTH(AT$4),AF328,IF(MONTH($O328)=MONTH(AT$4),AF328*(1+Macroindicadores!C$7),AS328)))))))))</f>
        <v>3.528</v>
      </c>
      <c r="AU328" s="39" t="str">
        <f>IF(ISBLANK(S328),"",IF(ISBLANK($O328),AG328,IF($J328="ANUAL",AG328*(1+Macroindicadores!D$7),IF(AND($I328="NOVO",MONTH($O328)=MONTH(AU$4)),AG328*(1+Macroindicadores!D$7),IF(AND($J328="PONTUAL",MONTH($O328)=MONTH(AU$4)),AG328*(1+Macroindicadores!D$7),IF(AND($J328="PONTUAL",MONTH($O328)&lt;MONTH(AU$4)),MIN($AS328:AT328),IF(AND($I328="NOVO",MONTH($O328)&gt;MONTH(AU$4)),AG328,IF(MONTH($O328)&gt;MONTH(AU$4),AG328,IF(MONTH($O328)=MONTH(AU$4),AG328*(1+Macroindicadores!D$7),AT328)))))))))</f>
        <v/>
      </c>
      <c r="AV328" s="39" t="str">
        <f>IF(ISBLANK(T328),"",IF(ISBLANK($O328),AH328,IF($J328="ANUAL",AH328*(1+Macroindicadores!E$7),IF(AND($I328="NOVO",MONTH($O328)=MONTH(AV$4)),AH328*(1+Macroindicadores!E$7),IF(AND($J328="PONTUAL",MONTH($O328)=MONTH(AV$4)),AH328*(1+Macroindicadores!E$7),IF(AND($J328="PONTUAL",MONTH($O328)&lt;MONTH(AV$4)),MIN($AS328:AU328),IF(AND($I328="NOVO",MONTH($O328)&gt;MONTH(AV$4)),AH328,IF(MONTH($O328)&gt;MONTH(AV$4),AH328,IF(MONTH($O328)=MONTH(AV$4),AH328*(1+Macroindicadores!E$7),AU328)))))))))</f>
        <v/>
      </c>
      <c r="AW328" s="39" t="str">
        <f>IF(ISBLANK(U328),"",IF(ISBLANK($O328),AI328,IF($J328="ANUAL",AI328*(1+Macroindicadores!F$7),IF(AND($I328="NOVO",MONTH($O328)=MONTH(AW$4)),AI328*(1+Macroindicadores!F$7),IF(AND($J328="PONTUAL",MONTH($O328)=MONTH(AW$4)),AI328*(1+Macroindicadores!F$7),IF(AND($J328="PONTUAL",MONTH($O328)&lt;MONTH(AW$4)),MIN($AS328:AV328),IF(AND($I328="NOVO",MONTH($O328)&gt;MONTH(AW$4)),AI328,IF(MONTH($O328)&gt;MONTH(AW$4),AI328,IF(MONTH($O328)=MONTH(AW$4),AI328*(1+Macroindicadores!F$7),AV328)))))))))</f>
        <v/>
      </c>
      <c r="AX328" s="39" t="str">
        <f>IF(ISBLANK(V328),"",IF(ISBLANK($O328),AJ328,IF($J328="ANUAL",AJ328*(1+Macroindicadores!G$7),IF(AND($I328="NOVO",MONTH($O328)=MONTH(AX$4)),AJ328*(1+Macroindicadores!G$7),IF(AND($J328="PONTUAL",MONTH($O328)=MONTH(AX$4)),AJ328*(1+Macroindicadores!G$7),IF(AND($J328="PONTUAL",MONTH($O328)&lt;MONTH(AX$4)),MIN($AS328:AW328),IF(AND($I328="NOVO",MONTH($O328)&gt;MONTH(AX$4)),AJ328,IF(MONTH($O328)&gt;MONTH(AX$4),AJ328,IF(MONTH($O328)=MONTH(AX$4),AJ328*(1+Macroindicadores!G$7),AW328)))))))))</f>
        <v/>
      </c>
      <c r="AY328" s="39" t="str">
        <f>IF(ISBLANK(W328),"",IF(ISBLANK($O328),AK328,IF($J328="ANUAL",AK328*(1+Macroindicadores!H$7),IF(AND($I328="NOVO",MONTH($O328)=MONTH(AY$4)),AK328*(1+Macroindicadores!H$7),IF(AND($J328="PONTUAL",MONTH($O328)=MONTH(AY$4)),AK328*(1+Macroindicadores!H$7),IF(AND($J328="PONTUAL",MONTH($O328)&lt;MONTH(AY$4)),MIN($AS328:AX328),IF(AND($I328="NOVO",MONTH($O328)&gt;MONTH(AY$4)),AK328,IF(MONTH($O328)&gt;MONTH(AY$4),AK328,IF(MONTH($O328)=MONTH(AY$4),AK328*(1+Macroindicadores!H$7),AX328)))))))))</f>
        <v/>
      </c>
      <c r="AZ328" s="39" t="str">
        <f>IF(ISBLANK(X328),"",IF(ISBLANK($O328),AL328,IF($J328="ANUAL",AL328*(1+Macroindicadores!I$7),IF(AND($I328="NOVO",MONTH($O328)=MONTH(AZ$4)),AL328*(1+Macroindicadores!I$7),IF(AND($J328="PONTUAL",MONTH($O328)=MONTH(AZ$4)),AL328*(1+Macroindicadores!I$7),IF(AND($J328="PONTUAL",MONTH($O328)&lt;MONTH(AZ$4)),MIN($AS328:AY328),IF(AND($I328="NOVO",MONTH($O328)&gt;MONTH(AZ$4)),AL328,IF(MONTH($O328)&gt;MONTH(AZ$4),AL328,IF(MONTH($O328)=MONTH(AZ$4),AL328*(1+Macroindicadores!I$7),AY328)))))))))</f>
        <v/>
      </c>
      <c r="BA328" s="39" t="str">
        <f>IF(ISBLANK(Y328),"",IF(ISBLANK($O328),AM328,IF($J328="ANUAL",AM328*(1+Macroindicadores!J$7),IF(AND($I328="NOVO",MONTH($O328)=MONTH(BA$4)),AM328*(1+Macroindicadores!J$7),IF(AND($J328="PONTUAL",MONTH($O328)=MONTH(BA$4)),AM328*(1+Macroindicadores!J$7),IF(AND($J328="PONTUAL",MONTH($O328)&lt;MONTH(BA$4)),MIN($AS328:AZ328),IF(AND($I328="NOVO",MONTH($O328)&gt;MONTH(BA$4)),AM328,IF(MONTH($O328)&gt;MONTH(BA$4),AM328,IF(MONTH($O328)=MONTH(BA$4),AM328*(1+Macroindicadores!J$7),AZ328)))))))))</f>
        <v/>
      </c>
      <c r="BB328" s="39" t="str">
        <f>IF(ISBLANK(Z328),"",IF(ISBLANK($O328),AN328,IF($J328="ANUAL",AN328*(1+Macroindicadores!K$7),IF(AND($I328="NOVO",MONTH($O328)=MONTH(BB$4)),AN328*(1+Macroindicadores!K$7),IF(AND($J328="PONTUAL",MONTH($O328)=MONTH(BB$4)),AN328*(1+Macroindicadores!K$7),IF(AND($J328="PONTUAL",MONTH($O328)&lt;MONTH(BB$4)),MIN($AS328:BA328),IF(AND($I328="NOVO",MONTH($O328)&gt;MONTH(BB$4)),AN328,IF(MONTH($O328)&gt;MONTH(BB$4),AN328,IF(MONTH($O328)=MONTH(BB$4),AN328*(1+Macroindicadores!K$7),BA328)))))))))</f>
        <v/>
      </c>
      <c r="BC328" s="39" t="str">
        <f>IF(ISBLANK(AA328),"",IF(ISBLANK($O328),AO328,IF($J328="ANUAL",AO328*(1+Macroindicadores!L$7),IF(AND($I328="NOVO",MONTH($O328)=MONTH(BC$4)),AO328*(1+Macroindicadores!L$7),IF(AND($J328="PONTUAL",MONTH($O328)=MONTH(BC$4)),AO328*(1+Macroindicadores!L$7),IF(AND($J328="PONTUAL",MONTH($O328)&lt;MONTH(BC$4)),MIN($AS328:BB328),IF(AND($I328="NOVO",MONTH($O328)&gt;MONTH(BC$4)),AO328,IF(MONTH($O328)&gt;MONTH(BC$4),AO328,IF(MONTH($O328)=MONTH(BC$4),AO328*(1+Macroindicadores!L$7),BB328)))))))))</f>
        <v/>
      </c>
      <c r="BD328" s="39" t="str">
        <f>IF(ISBLANK(AB328),"",IF(ISBLANK($O328),AP328,IF($J328="ANUAL",AP328*(1+Macroindicadores!M$7),IF(AND($I328="NOVO",MONTH($O328)=MONTH(BD$4)),AP328*(1+Macroindicadores!M$7),IF(AND($J328="PONTUAL",MONTH($O328)=MONTH(BD$4)),AP328*(1+Macroindicadores!M$7),IF(AND($J328="PONTUAL",MONTH($O328)&lt;MONTH(BD$4)),MIN($AS328:BC328),IF(AND($I328="NOVO",MONTH($O328)&gt;MONTH(BD$4)),AP328,IF(MONTH($O328)&gt;MONTH(BD$4),AP328,IF(MONTH($O328)=MONTH(BD$4),AP328*(1+Macroindicadores!M$7),BC328)))))))))</f>
        <v/>
      </c>
      <c r="BE328" s="40">
        <f t="shared" si="78"/>
        <v>3.528</v>
      </c>
      <c r="BG328" s="39" t="str">
        <f>IF(ISBLANK(Q328),"",AS328/Macroindicadores!B$2)</f>
        <v/>
      </c>
      <c r="BH328" s="39">
        <f>IF(ISBLANK(R328),"",AT328/Macroindicadores!C$2)</f>
        <v>0.6</v>
      </c>
      <c r="BI328" s="39" t="str">
        <f>IF(ISBLANK(S328),"",AU328/Macroindicadores!D$2)</f>
        <v/>
      </c>
      <c r="BJ328" s="39" t="str">
        <f>IF(ISBLANK(T328),"",AV328/Macroindicadores!E$2)</f>
        <v/>
      </c>
      <c r="BK328" s="39" t="str">
        <f>IF(ISBLANK(U328),"",AW328/Macroindicadores!F$2)</f>
        <v/>
      </c>
      <c r="BL328" s="39" t="str">
        <f>IF(ISBLANK(V328),"",AX328/Macroindicadores!G$2)</f>
        <v/>
      </c>
      <c r="BM328" s="39" t="str">
        <f>IF(ISBLANK(W328),"",AY328/Macroindicadores!H$2)</f>
        <v/>
      </c>
      <c r="BN328" s="39" t="str">
        <f>IF(ISBLANK(X328),"",AZ328/Macroindicadores!I$2)</f>
        <v/>
      </c>
      <c r="BO328" s="39" t="str">
        <f>IF(ISBLANK(Y328),"",BA328/Macroindicadores!J$2)</f>
        <v/>
      </c>
      <c r="BP328" s="39" t="str">
        <f>IF(ISBLANK(Z328),"",BB328/Macroindicadores!K$2)</f>
        <v/>
      </c>
      <c r="BQ328" s="39" t="str">
        <f>IF(ISBLANK(AA328),"",BC328/Macroindicadores!L$2)</f>
        <v/>
      </c>
      <c r="BR328" s="39" t="str">
        <f>IF(ISBLANK(AB328),"",BD328/Macroindicadores!M$2)</f>
        <v/>
      </c>
      <c r="BS328" s="40">
        <f>IF(AND(ISBLANK($Q328),ISBLANK($R328),ISBLANK($S328),ISBLANK($T328),ISBLANK($U328),ISBLANK($V328),ISBLANK($W328),ISBLANK($X328),ISBLANK($Y328),ISBLANK($Z328),ISBLANK($AA328),ISBLANK($AB328)),"",SUM(BG328:BR328))</f>
        <v>0.6</v>
      </c>
      <c r="BT328" s="25" t="str">
        <f>IF(ISBLANK($L328),"",_xlfn.XLOOKUP($L328,'CENTRO CUSTO'!$A:$A,'CENTRO CUSTO'!$E:$E,FALSE,0))</f>
        <v/>
      </c>
    </row>
    <row r="329" spans="1:72">
      <c r="C329" s="111" t="s">
        <v>262</v>
      </c>
      <c r="D329" s="111" t="s">
        <v>263</v>
      </c>
      <c r="E329" s="111" t="s">
        <v>14</v>
      </c>
      <c r="F329" s="112" t="s">
        <v>327</v>
      </c>
      <c r="G329" s="112" t="s">
        <v>233</v>
      </c>
      <c r="H329" s="112" t="s">
        <v>328</v>
      </c>
      <c r="I329" s="11" t="s">
        <v>77</v>
      </c>
      <c r="J329" s="11" t="s">
        <v>78</v>
      </c>
      <c r="K329" s="11" t="s">
        <v>79</v>
      </c>
      <c r="L329" s="11"/>
      <c r="M329" s="18"/>
      <c r="N329" s="11" t="s">
        <v>91</v>
      </c>
      <c r="O329" s="12"/>
      <c r="P329" s="113" t="s">
        <v>88</v>
      </c>
      <c r="Q329" s="41">
        <v>200</v>
      </c>
      <c r="R329" s="41">
        <v>200</v>
      </c>
      <c r="S329" s="41">
        <v>200</v>
      </c>
      <c r="T329" s="41">
        <v>200</v>
      </c>
      <c r="U329" s="41">
        <v>200</v>
      </c>
      <c r="V329" s="41">
        <v>200</v>
      </c>
      <c r="W329" s="41">
        <v>200</v>
      </c>
      <c r="X329" s="41">
        <v>200</v>
      </c>
      <c r="Y329" s="41">
        <v>200</v>
      </c>
      <c r="Z329" s="41">
        <v>200</v>
      </c>
      <c r="AA329" s="41">
        <v>200</v>
      </c>
      <c r="AB329" s="41">
        <v>200</v>
      </c>
      <c r="AC329" s="116">
        <f t="shared" si="73"/>
        <v>2400</v>
      </c>
      <c r="AE329" s="39">
        <f>IF(ISBLANK(Q329),"",IF($P329="BRL",Q329,Q329*Macroindicadores!B$2)/1000)</f>
        <v>1.1759999999999999</v>
      </c>
      <c r="AF329" s="39">
        <f>IF(ISBLANK(R329),"",IF($P329="BRL",R329,R329*Macroindicadores!C$2)/1000)</f>
        <v>1.1759999999999999</v>
      </c>
      <c r="AG329" s="39">
        <f>IF(ISBLANK(S329),"",IF($P329="BRL",S329,S329*Macroindicadores!D$2)/1000)</f>
        <v>1.1759999999999999</v>
      </c>
      <c r="AH329" s="39">
        <f>IF(ISBLANK(T329),"",IF($P329="BRL",T329,T329*Macroindicadores!E$2)/1000)</f>
        <v>1.1759999999999999</v>
      </c>
      <c r="AI329" s="39">
        <f>IF(ISBLANK(U329),"",IF($P329="BRL",U329,U329*Macroindicadores!F$2)/1000)</f>
        <v>1.1759999999999999</v>
      </c>
      <c r="AJ329" s="39">
        <f>IF(ISBLANK(V329),"",IF($P329="BRL",V329,V329*Macroindicadores!G$2)/1000)</f>
        <v>1.1759999999999999</v>
      </c>
      <c r="AK329" s="39">
        <f>IF(ISBLANK(W329),"",IF($P329="BRL",W329,W329*Macroindicadores!H$2)/1000)</f>
        <v>1.1759999999999999</v>
      </c>
      <c r="AL329" s="39">
        <f>IF(ISBLANK(X329),"",IF($P329="BRL",X329,X329*Macroindicadores!I$2)/1000)</f>
        <v>1.1759999999999999</v>
      </c>
      <c r="AM329" s="39">
        <f>IF(ISBLANK(Y329),"",IF($P329="BRL",Y329,Y329*Macroindicadores!J$2)/1000)</f>
        <v>1.1759999999999999</v>
      </c>
      <c r="AN329" s="39">
        <f>IF(ISBLANK(Z329),"",IF($P329="BRL",Z329,Z329*Macroindicadores!K$2)/1000)</f>
        <v>1.1759999999999999</v>
      </c>
      <c r="AO329" s="39">
        <f>IF(ISBLANK(AA329),"",IF($P329="BRL",AA329,AA329*Macroindicadores!L$2)/1000)</f>
        <v>1.1759999999999999</v>
      </c>
      <c r="AP329" s="39">
        <f>IF(ISBLANK(AB329),"",IF($P329="BRL",AB329,AB329*Macroindicadores!M$2)/1000)</f>
        <v>1.1759999999999999</v>
      </c>
      <c r="AQ329" s="40">
        <f t="shared" ref="AQ329:AQ352" si="149">IF(AND(ISBLANK($Q329),ISBLANK($R329),ISBLANK($S329),ISBLANK($T329),ISBLANK($U329),ISBLANK($V329),ISBLANK($W329),ISBLANK($X329),ISBLANK($Y329),ISBLANK($Z329),ISBLANK($AA329),ISBLANK($AB329)),"",SUM(AE329:AP329))</f>
        <v>14.112</v>
      </c>
      <c r="AS329" s="39">
        <f>IF(ISBLANK(Q329),"",IF(ISBLANK($O329),AE329,IF($J329="ANUAL",AE329*(1+Macroindicadores!B$7),IF(AND($I329="NOVO",MONTH($O329)=MONTH(AS$4)),AE329*(1+Macroindicadores!B$7),IF(AND($J329="PONTUAL",MONTH($O329)=MONTH(AS$4)),AE329*(1+Macroindicadores!B$7),IF(AND($J329="PONTUAL",MONTH($O329)&lt;MONTH(AS$4)),MIN(AR329:$AS329),IF(AND($I329="NOVO",MONTH($O329)&gt;MONTH(AS$4)),AE329,IF(MONTH($O329)&gt;MONTH(AS$4),AE329,IF(MONTH($O329)=MONTH(AS$4),AE329*(1+Macroindicadores!B$7),AR329)))))))))</f>
        <v>1.1759999999999999</v>
      </c>
      <c r="AT329" s="39">
        <f>IF(ISBLANK(R329),"",IF(ISBLANK($O329),AF329,IF($J329="ANUAL",AF329*(1+Macroindicadores!C$7),IF(AND($I329="NOVO",MONTH($O329)=MONTH(AT$4)),AF329*(1+Macroindicadores!C$7),IF(AND($J329="PONTUAL",MONTH($O329)=MONTH(AT$4)),AF329*(1+Macroindicadores!C$7),IF(AND($J329="PONTUAL",MONTH($O329)&lt;MONTH(AT$4)),MIN($AS329:AS329),IF(AND($I329="NOVO",MONTH($O329)&gt;MONTH(AT$4)),AF329,IF(MONTH($O329)&gt;MONTH(AT$4),AF329,IF(MONTH($O329)=MONTH(AT$4),AF329*(1+Macroindicadores!C$7),AS329)))))))))</f>
        <v>1.1759999999999999</v>
      </c>
      <c r="AU329" s="39">
        <f>IF(ISBLANK(S329),"",IF(ISBLANK($O329),AG329,IF($J329="ANUAL",AG329*(1+Macroindicadores!D$7),IF(AND($I329="NOVO",MONTH($O329)=MONTH(AU$4)),AG329*(1+Macroindicadores!D$7),IF(AND($J329="PONTUAL",MONTH($O329)=MONTH(AU$4)),AG329*(1+Macroindicadores!D$7),IF(AND($J329="PONTUAL",MONTH($O329)&lt;MONTH(AU$4)),MIN($AS329:AT329),IF(AND($I329="NOVO",MONTH($O329)&gt;MONTH(AU$4)),AG329,IF(MONTH($O329)&gt;MONTH(AU$4),AG329,IF(MONTH($O329)=MONTH(AU$4),AG329*(1+Macroindicadores!D$7),AT329)))))))))</f>
        <v>1.1759999999999999</v>
      </c>
      <c r="AV329" s="39">
        <f>IF(ISBLANK(T329),"",IF(ISBLANK($O329),AH329,IF($J329="ANUAL",AH329*(1+Macroindicadores!E$7),IF(AND($I329="NOVO",MONTH($O329)=MONTH(AV$4)),AH329*(1+Macroindicadores!E$7),IF(AND($J329="PONTUAL",MONTH($O329)=MONTH(AV$4)),AH329*(1+Macroindicadores!E$7),IF(AND($J329="PONTUAL",MONTH($O329)&lt;MONTH(AV$4)),MIN($AS329:AU329),IF(AND($I329="NOVO",MONTH($O329)&gt;MONTH(AV$4)),AH329,IF(MONTH($O329)&gt;MONTH(AV$4),AH329,IF(MONTH($O329)=MONTH(AV$4),AH329*(1+Macroindicadores!E$7),AU329)))))))))</f>
        <v>1.1759999999999999</v>
      </c>
      <c r="AW329" s="39">
        <f>IF(ISBLANK(U329),"",IF(ISBLANK($O329),AI329,IF($J329="ANUAL",AI329*(1+Macroindicadores!F$7),IF(AND($I329="NOVO",MONTH($O329)=MONTH(AW$4)),AI329*(1+Macroindicadores!F$7),IF(AND($J329="PONTUAL",MONTH($O329)=MONTH(AW$4)),AI329*(1+Macroindicadores!F$7),IF(AND($J329="PONTUAL",MONTH($O329)&lt;MONTH(AW$4)),MIN($AS329:AV329),IF(AND($I329="NOVO",MONTH($O329)&gt;MONTH(AW$4)),AI329,IF(MONTH($O329)&gt;MONTH(AW$4),AI329,IF(MONTH($O329)=MONTH(AW$4),AI329*(1+Macroindicadores!F$7),AV329)))))))))</f>
        <v>1.1759999999999999</v>
      </c>
      <c r="AX329" s="39">
        <f>IF(ISBLANK(V329),"",IF(ISBLANK($O329),AJ329,IF($J329="ANUAL",AJ329*(1+Macroindicadores!G$7),IF(AND($I329="NOVO",MONTH($O329)=MONTH(AX$4)),AJ329*(1+Macroindicadores!G$7),IF(AND($J329="PONTUAL",MONTH($O329)=MONTH(AX$4)),AJ329*(1+Macroindicadores!G$7),IF(AND($J329="PONTUAL",MONTH($O329)&lt;MONTH(AX$4)),MIN($AS329:AW329),IF(AND($I329="NOVO",MONTH($O329)&gt;MONTH(AX$4)),AJ329,IF(MONTH($O329)&gt;MONTH(AX$4),AJ329,IF(MONTH($O329)=MONTH(AX$4),AJ329*(1+Macroindicadores!G$7),AW329)))))))))</f>
        <v>1.1759999999999999</v>
      </c>
      <c r="AY329" s="39">
        <f>IF(ISBLANK(W329),"",IF(ISBLANK($O329),AK329,IF($J329="ANUAL",AK329*(1+Macroindicadores!H$7),IF(AND($I329="NOVO",MONTH($O329)=MONTH(AY$4)),AK329*(1+Macroindicadores!H$7),IF(AND($J329="PONTUAL",MONTH($O329)=MONTH(AY$4)),AK329*(1+Macroindicadores!H$7),IF(AND($J329="PONTUAL",MONTH($O329)&lt;MONTH(AY$4)),MIN($AS329:AX329),IF(AND($I329="NOVO",MONTH($O329)&gt;MONTH(AY$4)),AK329,IF(MONTH($O329)&gt;MONTH(AY$4),AK329,IF(MONTH($O329)=MONTH(AY$4),AK329*(1+Macroindicadores!H$7),AX329)))))))))</f>
        <v>1.1759999999999999</v>
      </c>
      <c r="AZ329" s="39">
        <f>IF(ISBLANK(X329),"",IF(ISBLANK($O329),AL329,IF($J329="ANUAL",AL329*(1+Macroindicadores!I$7),IF(AND($I329="NOVO",MONTH($O329)=MONTH(AZ$4)),AL329*(1+Macroindicadores!I$7),IF(AND($J329="PONTUAL",MONTH($O329)=MONTH(AZ$4)),AL329*(1+Macroindicadores!I$7),IF(AND($J329="PONTUAL",MONTH($O329)&lt;MONTH(AZ$4)),MIN($AS329:AY329),IF(AND($I329="NOVO",MONTH($O329)&gt;MONTH(AZ$4)),AL329,IF(MONTH($O329)&gt;MONTH(AZ$4),AL329,IF(MONTH($O329)=MONTH(AZ$4),AL329*(1+Macroindicadores!I$7),AY329)))))))))</f>
        <v>1.1759999999999999</v>
      </c>
      <c r="BA329" s="39">
        <f>IF(ISBLANK(Y329),"",IF(ISBLANK($O329),AM329,IF($J329="ANUAL",AM329*(1+Macroindicadores!J$7),IF(AND($I329="NOVO",MONTH($O329)=MONTH(BA$4)),AM329*(1+Macroindicadores!J$7),IF(AND($J329="PONTUAL",MONTH($O329)=MONTH(BA$4)),AM329*(1+Macroindicadores!J$7),IF(AND($J329="PONTUAL",MONTH($O329)&lt;MONTH(BA$4)),MIN($AS329:AZ329),IF(AND($I329="NOVO",MONTH($O329)&gt;MONTH(BA$4)),AM329,IF(MONTH($O329)&gt;MONTH(BA$4),AM329,IF(MONTH($O329)=MONTH(BA$4),AM329*(1+Macroindicadores!J$7),AZ329)))))))))</f>
        <v>1.1759999999999999</v>
      </c>
      <c r="BB329" s="39">
        <f>IF(ISBLANK(Z329),"",IF(ISBLANK($O329),AN329,IF($J329="ANUAL",AN329*(1+Macroindicadores!K$7),IF(AND($I329="NOVO",MONTH($O329)=MONTH(BB$4)),AN329*(1+Macroindicadores!K$7),IF(AND($J329="PONTUAL",MONTH($O329)=MONTH(BB$4)),AN329*(1+Macroindicadores!K$7),IF(AND($J329="PONTUAL",MONTH($O329)&lt;MONTH(BB$4)),MIN($AS329:BA329),IF(AND($I329="NOVO",MONTH($O329)&gt;MONTH(BB$4)),AN329,IF(MONTH($O329)&gt;MONTH(BB$4),AN329,IF(MONTH($O329)=MONTH(BB$4),AN329*(1+Macroindicadores!K$7),BA329)))))))))</f>
        <v>1.1759999999999999</v>
      </c>
      <c r="BC329" s="39">
        <f>IF(ISBLANK(AA329),"",IF(ISBLANK($O329),AO329,IF($J329="ANUAL",AO329*(1+Macroindicadores!L$7),IF(AND($I329="NOVO",MONTH($O329)=MONTH(BC$4)),AO329*(1+Macroindicadores!L$7),IF(AND($J329="PONTUAL",MONTH($O329)=MONTH(BC$4)),AO329*(1+Macroindicadores!L$7),IF(AND($J329="PONTUAL",MONTH($O329)&lt;MONTH(BC$4)),MIN($AS329:BB329),IF(AND($I329="NOVO",MONTH($O329)&gt;MONTH(BC$4)),AO329,IF(MONTH($O329)&gt;MONTH(BC$4),AO329,IF(MONTH($O329)=MONTH(BC$4),AO329*(1+Macroindicadores!L$7),BB329)))))))))</f>
        <v>1.1759999999999999</v>
      </c>
      <c r="BD329" s="39">
        <f>IF(ISBLANK(AB329),"",IF(ISBLANK($O329),AP329,IF($J329="ANUAL",AP329*(1+Macroindicadores!M$7),IF(AND($I329="NOVO",MONTH($O329)=MONTH(BD$4)),AP329*(1+Macroindicadores!M$7),IF(AND($J329="PONTUAL",MONTH($O329)=MONTH(BD$4)),AP329*(1+Macroindicadores!M$7),IF(AND($J329="PONTUAL",MONTH($O329)&lt;MONTH(BD$4)),MIN($AS329:BC329),IF(AND($I329="NOVO",MONTH($O329)&gt;MONTH(BD$4)),AP329,IF(MONTH($O329)&gt;MONTH(BD$4),AP329,IF(MONTH($O329)=MONTH(BD$4),AP329*(1+Macroindicadores!M$7),BC329)))))))))</f>
        <v>1.1759999999999999</v>
      </c>
      <c r="BE329" s="40">
        <f t="shared" ref="BE329:BE352" si="150">IF(AND(ISBLANK($Q329),ISBLANK($R329),ISBLANK($S329),ISBLANK($T329),ISBLANK($U329),ISBLANK($V329),ISBLANK($W329),ISBLANK($X329),ISBLANK($Y329),ISBLANK($Z329),ISBLANK($AA329),ISBLANK($AB329)),"",SUM(AS329:BD329))</f>
        <v>14.112</v>
      </c>
      <c r="BG329" s="39">
        <f>IF(ISBLANK(Q329),"",AS329/Macroindicadores!B$2)</f>
        <v>0.19999999999999998</v>
      </c>
      <c r="BH329" s="39">
        <f>IF(ISBLANK(R329),"",AT329/Macroindicadores!C$2)</f>
        <v>0.19999999999999998</v>
      </c>
      <c r="BI329" s="39">
        <f>IF(ISBLANK(S329),"",AU329/Macroindicadores!D$2)</f>
        <v>0.19999999999999998</v>
      </c>
      <c r="BJ329" s="39">
        <f>IF(ISBLANK(T329),"",AV329/Macroindicadores!E$2)</f>
        <v>0.19999999999999998</v>
      </c>
      <c r="BK329" s="39">
        <f>IF(ISBLANK(U329),"",AW329/Macroindicadores!F$2)</f>
        <v>0.19999999999999998</v>
      </c>
      <c r="BL329" s="39">
        <f>IF(ISBLANK(V329),"",AX329/Macroindicadores!G$2)</f>
        <v>0.19999999999999998</v>
      </c>
      <c r="BM329" s="39">
        <f>IF(ISBLANK(W329),"",AY329/Macroindicadores!H$2)</f>
        <v>0.19999999999999998</v>
      </c>
      <c r="BN329" s="39">
        <f>IF(ISBLANK(X329),"",AZ329/Macroindicadores!I$2)</f>
        <v>0.19999999999999998</v>
      </c>
      <c r="BO329" s="39">
        <f>IF(ISBLANK(Y329),"",BA329/Macroindicadores!J$2)</f>
        <v>0.19999999999999998</v>
      </c>
      <c r="BP329" s="39">
        <f>IF(ISBLANK(Z329),"",BB329/Macroindicadores!K$2)</f>
        <v>0.19999999999999998</v>
      </c>
      <c r="BQ329" s="39">
        <f>IF(ISBLANK(AA329),"",BC329/Macroindicadores!L$2)</f>
        <v>0.19999999999999998</v>
      </c>
      <c r="BR329" s="39">
        <f>IF(ISBLANK(AB329),"",BD329/Macroindicadores!M$2)</f>
        <v>0.19999999999999998</v>
      </c>
      <c r="BS329" s="40">
        <f t="shared" ref="BS329:BS352" si="151">IF(AND(ISBLANK($Q329),ISBLANK($R329),ISBLANK($S329),ISBLANK($T329),ISBLANK($U329),ISBLANK($V329),ISBLANK($W329),ISBLANK($X329),ISBLANK($Y329),ISBLANK($Z329),ISBLANK($AA329),ISBLANK($AB329)),"",SUM(BG329:BR329))</f>
        <v>2.4</v>
      </c>
    </row>
    <row r="330" spans="1:72">
      <c r="C330" s="111" t="s">
        <v>262</v>
      </c>
      <c r="D330" s="111" t="s">
        <v>263</v>
      </c>
      <c r="E330" s="111" t="s">
        <v>14</v>
      </c>
      <c r="F330" s="112" t="s">
        <v>329</v>
      </c>
      <c r="G330" s="112" t="s">
        <v>233</v>
      </c>
      <c r="H330" s="112" t="s">
        <v>330</v>
      </c>
      <c r="I330" s="11" t="s">
        <v>77</v>
      </c>
      <c r="J330" s="11" t="s">
        <v>78</v>
      </c>
      <c r="K330" s="11" t="s">
        <v>79</v>
      </c>
      <c r="L330" s="11"/>
      <c r="M330" s="18"/>
      <c r="N330" s="11" t="s">
        <v>331</v>
      </c>
      <c r="O330" s="12"/>
      <c r="P330" s="113" t="s">
        <v>88</v>
      </c>
      <c r="Q330" s="41">
        <v>200</v>
      </c>
      <c r="R330" s="41">
        <v>200</v>
      </c>
      <c r="S330" s="41">
        <v>200</v>
      </c>
      <c r="T330" s="41">
        <v>200</v>
      </c>
      <c r="U330" s="41">
        <v>200</v>
      </c>
      <c r="V330" s="41">
        <v>200</v>
      </c>
      <c r="W330" s="41">
        <v>200</v>
      </c>
      <c r="X330" s="41">
        <v>200</v>
      </c>
      <c r="Y330" s="41">
        <v>200</v>
      </c>
      <c r="Z330" s="41">
        <v>200</v>
      </c>
      <c r="AA330" s="41">
        <v>200</v>
      </c>
      <c r="AB330" s="41">
        <v>200</v>
      </c>
      <c r="AC330" s="116">
        <f t="shared" ref="AC330:AC352" si="152">IF(AND(ISBLANK($Q330),ISBLANK($R330),ISBLANK($S330),ISBLANK($T330),ISBLANK($U330),ISBLANK($V330),ISBLANK($W330),ISBLANK($X330),ISBLANK($Y330),ISBLANK($Z330),ISBLANK($AA330),ISBLANK($AB330)),"",SUM(Q330:AB330))</f>
        <v>2400</v>
      </c>
      <c r="AE330" s="39">
        <f>IF(ISBLANK(Q330),"",IF($P330="BRL",Q330,Q330*Macroindicadores!B$2)/1000)</f>
        <v>1.1759999999999999</v>
      </c>
      <c r="AF330" s="39">
        <f>IF(ISBLANK(R330),"",IF($P330="BRL",R330,R330*Macroindicadores!C$2)/1000)</f>
        <v>1.1759999999999999</v>
      </c>
      <c r="AG330" s="39">
        <f>IF(ISBLANK(S330),"",IF($P330="BRL",S330,S330*Macroindicadores!D$2)/1000)</f>
        <v>1.1759999999999999</v>
      </c>
      <c r="AH330" s="39">
        <f>IF(ISBLANK(T330),"",IF($P330="BRL",T330,T330*Macroindicadores!E$2)/1000)</f>
        <v>1.1759999999999999</v>
      </c>
      <c r="AI330" s="39">
        <f>IF(ISBLANK(U330),"",IF($P330="BRL",U330,U330*Macroindicadores!F$2)/1000)</f>
        <v>1.1759999999999999</v>
      </c>
      <c r="AJ330" s="39">
        <f>IF(ISBLANK(V330),"",IF($P330="BRL",V330,V330*Macroindicadores!G$2)/1000)</f>
        <v>1.1759999999999999</v>
      </c>
      <c r="AK330" s="39">
        <f>IF(ISBLANK(W330),"",IF($P330="BRL",W330,W330*Macroindicadores!H$2)/1000)</f>
        <v>1.1759999999999999</v>
      </c>
      <c r="AL330" s="39">
        <f>IF(ISBLANK(X330),"",IF($P330="BRL",X330,X330*Macroindicadores!I$2)/1000)</f>
        <v>1.1759999999999999</v>
      </c>
      <c r="AM330" s="39">
        <f>IF(ISBLANK(Y330),"",IF($P330="BRL",Y330,Y330*Macroindicadores!J$2)/1000)</f>
        <v>1.1759999999999999</v>
      </c>
      <c r="AN330" s="39">
        <f>IF(ISBLANK(Z330),"",IF($P330="BRL",Z330,Z330*Macroindicadores!K$2)/1000)</f>
        <v>1.1759999999999999</v>
      </c>
      <c r="AO330" s="39">
        <f>IF(ISBLANK(AA330),"",IF($P330="BRL",AA330,AA330*Macroindicadores!L$2)/1000)</f>
        <v>1.1759999999999999</v>
      </c>
      <c r="AP330" s="39">
        <f>IF(ISBLANK(AB330),"",IF($P330="BRL",AB330,AB330*Macroindicadores!M$2)/1000)</f>
        <v>1.1759999999999999</v>
      </c>
      <c r="AQ330" s="40">
        <f t="shared" si="149"/>
        <v>14.112</v>
      </c>
      <c r="AS330" s="39">
        <f>IF(ISBLANK(Q330),"",IF(ISBLANK($O330),AE330,IF($J330="ANUAL",AE330*(1+Macroindicadores!B$7),IF(AND($I330="NOVO",MONTH($O330)=MONTH(AS$4)),AE330*(1+Macroindicadores!B$7),IF(AND($J330="PONTUAL",MONTH($O330)=MONTH(AS$4)),AE330*(1+Macroindicadores!B$7),IF(AND($J330="PONTUAL",MONTH($O330)&lt;MONTH(AS$4)),MIN(AR330:$AS330),IF(AND($I330="NOVO",MONTH($O330)&gt;MONTH(AS$4)),AE330,IF(MONTH($O330)&gt;MONTH(AS$4),AE330,IF(MONTH($O330)=MONTH(AS$4),AE330*(1+Macroindicadores!B$7),AR330)))))))))</f>
        <v>1.1759999999999999</v>
      </c>
      <c r="AT330" s="39">
        <f>IF(ISBLANK(R330),"",IF(ISBLANK($O330),AF330,IF($J330="ANUAL",AF330*(1+Macroindicadores!C$7),IF(AND($I330="NOVO",MONTH($O330)=MONTH(AT$4)),AF330*(1+Macroindicadores!C$7),IF(AND($J330="PONTUAL",MONTH($O330)=MONTH(AT$4)),AF330*(1+Macroindicadores!C$7),IF(AND($J330="PONTUAL",MONTH($O330)&lt;MONTH(AT$4)),MIN($AS330:AS330),IF(AND($I330="NOVO",MONTH($O330)&gt;MONTH(AT$4)),AF330,IF(MONTH($O330)&gt;MONTH(AT$4),AF330,IF(MONTH($O330)=MONTH(AT$4),AF330*(1+Macroindicadores!C$7),AS330)))))))))</f>
        <v>1.1759999999999999</v>
      </c>
      <c r="AU330" s="39">
        <f>IF(ISBLANK(S330),"",IF(ISBLANK($O330),AG330,IF($J330="ANUAL",AG330*(1+Macroindicadores!D$7),IF(AND($I330="NOVO",MONTH($O330)=MONTH(AU$4)),AG330*(1+Macroindicadores!D$7),IF(AND($J330="PONTUAL",MONTH($O330)=MONTH(AU$4)),AG330*(1+Macroindicadores!D$7),IF(AND($J330="PONTUAL",MONTH($O330)&lt;MONTH(AU$4)),MIN($AS330:AT330),IF(AND($I330="NOVO",MONTH($O330)&gt;MONTH(AU$4)),AG330,IF(MONTH($O330)&gt;MONTH(AU$4),AG330,IF(MONTH($O330)=MONTH(AU$4),AG330*(1+Macroindicadores!D$7),AT330)))))))))</f>
        <v>1.1759999999999999</v>
      </c>
      <c r="AV330" s="39">
        <f>IF(ISBLANK(T330),"",IF(ISBLANK($O330),AH330,IF($J330="ANUAL",AH330*(1+Macroindicadores!E$7),IF(AND($I330="NOVO",MONTH($O330)=MONTH(AV$4)),AH330*(1+Macroindicadores!E$7),IF(AND($J330="PONTUAL",MONTH($O330)=MONTH(AV$4)),AH330*(1+Macroindicadores!E$7),IF(AND($J330="PONTUAL",MONTH($O330)&lt;MONTH(AV$4)),MIN($AS330:AU330),IF(AND($I330="NOVO",MONTH($O330)&gt;MONTH(AV$4)),AH330,IF(MONTH($O330)&gt;MONTH(AV$4),AH330,IF(MONTH($O330)=MONTH(AV$4),AH330*(1+Macroindicadores!E$7),AU330)))))))))</f>
        <v>1.1759999999999999</v>
      </c>
      <c r="AW330" s="39">
        <f>IF(ISBLANK(U330),"",IF(ISBLANK($O330),AI330,IF($J330="ANUAL",AI330*(1+Macroindicadores!F$7),IF(AND($I330="NOVO",MONTH($O330)=MONTH(AW$4)),AI330*(1+Macroindicadores!F$7),IF(AND($J330="PONTUAL",MONTH($O330)=MONTH(AW$4)),AI330*(1+Macroindicadores!F$7),IF(AND($J330="PONTUAL",MONTH($O330)&lt;MONTH(AW$4)),MIN($AS330:AV330),IF(AND($I330="NOVO",MONTH($O330)&gt;MONTH(AW$4)),AI330,IF(MONTH($O330)&gt;MONTH(AW$4),AI330,IF(MONTH($O330)=MONTH(AW$4),AI330*(1+Macroindicadores!F$7),AV330)))))))))</f>
        <v>1.1759999999999999</v>
      </c>
      <c r="AX330" s="39">
        <f>IF(ISBLANK(V330),"",IF(ISBLANK($O330),AJ330,IF($J330="ANUAL",AJ330*(1+Macroindicadores!G$7),IF(AND($I330="NOVO",MONTH($O330)=MONTH(AX$4)),AJ330*(1+Macroindicadores!G$7),IF(AND($J330="PONTUAL",MONTH($O330)=MONTH(AX$4)),AJ330*(1+Macroindicadores!G$7),IF(AND($J330="PONTUAL",MONTH($O330)&lt;MONTH(AX$4)),MIN($AS330:AW330),IF(AND($I330="NOVO",MONTH($O330)&gt;MONTH(AX$4)),AJ330,IF(MONTH($O330)&gt;MONTH(AX$4),AJ330,IF(MONTH($O330)=MONTH(AX$4),AJ330*(1+Macroindicadores!G$7),AW330)))))))))</f>
        <v>1.1759999999999999</v>
      </c>
      <c r="AY330" s="39">
        <f>IF(ISBLANK(W330),"",IF(ISBLANK($O330),AK330,IF($J330="ANUAL",AK330*(1+Macroindicadores!H$7),IF(AND($I330="NOVO",MONTH($O330)=MONTH(AY$4)),AK330*(1+Macroindicadores!H$7),IF(AND($J330="PONTUAL",MONTH($O330)=MONTH(AY$4)),AK330*(1+Macroindicadores!H$7),IF(AND($J330="PONTUAL",MONTH($O330)&lt;MONTH(AY$4)),MIN($AS330:AX330),IF(AND($I330="NOVO",MONTH($O330)&gt;MONTH(AY$4)),AK330,IF(MONTH($O330)&gt;MONTH(AY$4),AK330,IF(MONTH($O330)=MONTH(AY$4),AK330*(1+Macroindicadores!H$7),AX330)))))))))</f>
        <v>1.1759999999999999</v>
      </c>
      <c r="AZ330" s="39">
        <f>IF(ISBLANK(X330),"",IF(ISBLANK($O330),AL330,IF($J330="ANUAL",AL330*(1+Macroindicadores!I$7),IF(AND($I330="NOVO",MONTH($O330)=MONTH(AZ$4)),AL330*(1+Macroindicadores!I$7),IF(AND($J330="PONTUAL",MONTH($O330)=MONTH(AZ$4)),AL330*(1+Macroindicadores!I$7),IF(AND($J330="PONTUAL",MONTH($O330)&lt;MONTH(AZ$4)),MIN($AS330:AY330),IF(AND($I330="NOVO",MONTH($O330)&gt;MONTH(AZ$4)),AL330,IF(MONTH($O330)&gt;MONTH(AZ$4),AL330,IF(MONTH($O330)=MONTH(AZ$4),AL330*(1+Macroindicadores!I$7),AY330)))))))))</f>
        <v>1.1759999999999999</v>
      </c>
      <c r="BA330" s="39">
        <f>IF(ISBLANK(Y330),"",IF(ISBLANK($O330),AM330,IF($J330="ANUAL",AM330*(1+Macroindicadores!J$7),IF(AND($I330="NOVO",MONTH($O330)=MONTH(BA$4)),AM330*(1+Macroindicadores!J$7),IF(AND($J330="PONTUAL",MONTH($O330)=MONTH(BA$4)),AM330*(1+Macroindicadores!J$7),IF(AND($J330="PONTUAL",MONTH($O330)&lt;MONTH(BA$4)),MIN($AS330:AZ330),IF(AND($I330="NOVO",MONTH($O330)&gt;MONTH(BA$4)),AM330,IF(MONTH($O330)&gt;MONTH(BA$4),AM330,IF(MONTH($O330)=MONTH(BA$4),AM330*(1+Macroindicadores!J$7),AZ330)))))))))</f>
        <v>1.1759999999999999</v>
      </c>
      <c r="BB330" s="39">
        <f>IF(ISBLANK(Z330),"",IF(ISBLANK($O330),AN330,IF($J330="ANUAL",AN330*(1+Macroindicadores!K$7),IF(AND($I330="NOVO",MONTH($O330)=MONTH(BB$4)),AN330*(1+Macroindicadores!K$7),IF(AND($J330="PONTUAL",MONTH($O330)=MONTH(BB$4)),AN330*(1+Macroindicadores!K$7),IF(AND($J330="PONTUAL",MONTH($O330)&lt;MONTH(BB$4)),MIN($AS330:BA330),IF(AND($I330="NOVO",MONTH($O330)&gt;MONTH(BB$4)),AN330,IF(MONTH($O330)&gt;MONTH(BB$4),AN330,IF(MONTH($O330)=MONTH(BB$4),AN330*(1+Macroindicadores!K$7),BA330)))))))))</f>
        <v>1.1759999999999999</v>
      </c>
      <c r="BC330" s="39">
        <f>IF(ISBLANK(AA330),"",IF(ISBLANK($O330),AO330,IF($J330="ANUAL",AO330*(1+Macroindicadores!L$7),IF(AND($I330="NOVO",MONTH($O330)=MONTH(BC$4)),AO330*(1+Macroindicadores!L$7),IF(AND($J330="PONTUAL",MONTH($O330)=MONTH(BC$4)),AO330*(1+Macroindicadores!L$7),IF(AND($J330="PONTUAL",MONTH($O330)&lt;MONTH(BC$4)),MIN($AS330:BB330),IF(AND($I330="NOVO",MONTH($O330)&gt;MONTH(BC$4)),AO330,IF(MONTH($O330)&gt;MONTH(BC$4),AO330,IF(MONTH($O330)=MONTH(BC$4),AO330*(1+Macroindicadores!L$7),BB330)))))))))</f>
        <v>1.1759999999999999</v>
      </c>
      <c r="BD330" s="39">
        <f>IF(ISBLANK(AB330),"",IF(ISBLANK($O330),AP330,IF($J330="ANUAL",AP330*(1+Macroindicadores!M$7),IF(AND($I330="NOVO",MONTH($O330)=MONTH(BD$4)),AP330*(1+Macroindicadores!M$7),IF(AND($J330="PONTUAL",MONTH($O330)=MONTH(BD$4)),AP330*(1+Macroindicadores!M$7),IF(AND($J330="PONTUAL",MONTH($O330)&lt;MONTH(BD$4)),MIN($AS330:BC330),IF(AND($I330="NOVO",MONTH($O330)&gt;MONTH(BD$4)),AP330,IF(MONTH($O330)&gt;MONTH(BD$4),AP330,IF(MONTH($O330)=MONTH(BD$4),AP330*(1+Macroindicadores!M$7),BC330)))))))))</f>
        <v>1.1759999999999999</v>
      </c>
      <c r="BE330" s="40">
        <f t="shared" si="150"/>
        <v>14.112</v>
      </c>
      <c r="BG330" s="39">
        <f>IF(ISBLANK(Q330),"",AS330/Macroindicadores!B$2)</f>
        <v>0.19999999999999998</v>
      </c>
      <c r="BH330" s="39">
        <f>IF(ISBLANK(R330),"",AT330/Macroindicadores!C$2)</f>
        <v>0.19999999999999998</v>
      </c>
      <c r="BI330" s="39">
        <f>IF(ISBLANK(S330),"",AU330/Macroindicadores!D$2)</f>
        <v>0.19999999999999998</v>
      </c>
      <c r="BJ330" s="39">
        <f>IF(ISBLANK(T330),"",AV330/Macroindicadores!E$2)</f>
        <v>0.19999999999999998</v>
      </c>
      <c r="BK330" s="39">
        <f>IF(ISBLANK(U330),"",AW330/Macroindicadores!F$2)</f>
        <v>0.19999999999999998</v>
      </c>
      <c r="BL330" s="39">
        <f>IF(ISBLANK(V330),"",AX330/Macroindicadores!G$2)</f>
        <v>0.19999999999999998</v>
      </c>
      <c r="BM330" s="39">
        <f>IF(ISBLANK(W330),"",AY330/Macroindicadores!H$2)</f>
        <v>0.19999999999999998</v>
      </c>
      <c r="BN330" s="39">
        <f>IF(ISBLANK(X330),"",AZ330/Macroindicadores!I$2)</f>
        <v>0.19999999999999998</v>
      </c>
      <c r="BO330" s="39">
        <f>IF(ISBLANK(Y330),"",BA330/Macroindicadores!J$2)</f>
        <v>0.19999999999999998</v>
      </c>
      <c r="BP330" s="39">
        <f>IF(ISBLANK(Z330),"",BB330/Macroindicadores!K$2)</f>
        <v>0.19999999999999998</v>
      </c>
      <c r="BQ330" s="39">
        <f>IF(ISBLANK(AA330),"",BC330/Macroindicadores!L$2)</f>
        <v>0.19999999999999998</v>
      </c>
      <c r="BR330" s="39">
        <f>IF(ISBLANK(AB330),"",BD330/Macroindicadores!M$2)</f>
        <v>0.19999999999999998</v>
      </c>
      <c r="BS330" s="40">
        <f t="shared" si="151"/>
        <v>2.4</v>
      </c>
    </row>
    <row r="331" spans="1:72">
      <c r="C331" s="111" t="s">
        <v>263</v>
      </c>
      <c r="D331" s="111" t="s">
        <v>263</v>
      </c>
      <c r="E331" s="111" t="s">
        <v>14</v>
      </c>
      <c r="F331" s="112" t="s">
        <v>226</v>
      </c>
      <c r="G331" s="112" t="s">
        <v>75</v>
      </c>
      <c r="H331" s="112" t="s">
        <v>332</v>
      </c>
      <c r="I331" s="11"/>
      <c r="J331" s="11"/>
      <c r="K331" s="11"/>
      <c r="L331" s="11"/>
      <c r="M331" s="18"/>
      <c r="N331" s="11" t="s">
        <v>106</v>
      </c>
      <c r="O331" s="12"/>
      <c r="P331" s="113" t="s">
        <v>88</v>
      </c>
      <c r="Q331" s="41">
        <v>111</v>
      </c>
      <c r="R331" s="41"/>
      <c r="S331" s="41"/>
      <c r="T331" s="41">
        <v>111</v>
      </c>
      <c r="U331" s="41"/>
      <c r="V331" s="41"/>
      <c r="W331" s="41">
        <v>111</v>
      </c>
      <c r="X331" s="41"/>
      <c r="Y331" s="41"/>
      <c r="Z331" s="41">
        <v>111</v>
      </c>
      <c r="AA331" s="41"/>
      <c r="AB331" s="41"/>
      <c r="AC331" s="116">
        <f t="shared" si="152"/>
        <v>444</v>
      </c>
      <c r="AE331" s="39"/>
      <c r="AF331" s="39"/>
      <c r="AG331" s="39"/>
      <c r="AH331" s="39"/>
      <c r="AI331" s="39"/>
      <c r="AJ331" s="39"/>
      <c r="AK331" s="39"/>
      <c r="AL331" s="39"/>
      <c r="AM331" s="39"/>
      <c r="AN331" s="39"/>
      <c r="AO331" s="39"/>
      <c r="AP331" s="39"/>
      <c r="AQ331" s="40"/>
      <c r="AS331" s="39"/>
      <c r="AT331" s="39"/>
      <c r="AU331" s="39"/>
      <c r="AV331" s="39"/>
      <c r="AW331" s="39"/>
      <c r="AX331" s="39"/>
      <c r="AY331" s="39"/>
      <c r="AZ331" s="39"/>
      <c r="BA331" s="39"/>
      <c r="BB331" s="39"/>
      <c r="BC331" s="39"/>
      <c r="BD331" s="39"/>
      <c r="BE331" s="40"/>
      <c r="BG331" s="39"/>
      <c r="BH331" s="39"/>
      <c r="BI331" s="39"/>
      <c r="BJ331" s="39"/>
      <c r="BK331" s="39"/>
      <c r="BL331" s="39"/>
      <c r="BM331" s="39"/>
      <c r="BN331" s="39"/>
      <c r="BO331" s="39"/>
      <c r="BP331" s="39"/>
      <c r="BQ331" s="39"/>
      <c r="BR331" s="39"/>
      <c r="BS331" s="40"/>
    </row>
    <row r="332" spans="1:72">
      <c r="C332" s="111" t="s">
        <v>262</v>
      </c>
      <c r="D332" s="111" t="s">
        <v>263</v>
      </c>
      <c r="E332" s="111" t="s">
        <v>14</v>
      </c>
      <c r="F332" s="112" t="s">
        <v>333</v>
      </c>
      <c r="G332" s="112" t="s">
        <v>233</v>
      </c>
      <c r="H332" s="112" t="s">
        <v>334</v>
      </c>
      <c r="I332" s="11" t="s">
        <v>84</v>
      </c>
      <c r="J332" s="11" t="s">
        <v>120</v>
      </c>
      <c r="K332" s="11" t="s">
        <v>94</v>
      </c>
      <c r="L332" s="11"/>
      <c r="M332" s="18"/>
      <c r="N332" s="11" t="s">
        <v>335</v>
      </c>
      <c r="O332" s="12"/>
      <c r="P332" s="113" t="s">
        <v>88</v>
      </c>
      <c r="Q332" s="41">
        <v>1500</v>
      </c>
      <c r="R332" s="41"/>
      <c r="S332" s="41"/>
      <c r="T332" s="41"/>
      <c r="U332" s="41"/>
      <c r="V332" s="41">
        <v>1500</v>
      </c>
      <c r="W332" s="41"/>
      <c r="X332" s="41"/>
      <c r="Y332" s="41"/>
      <c r="Z332" s="41">
        <v>1500</v>
      </c>
      <c r="AA332" s="41"/>
      <c r="AB332" s="41"/>
      <c r="AC332" s="116">
        <f t="shared" si="152"/>
        <v>4500</v>
      </c>
      <c r="AD332" s="8">
        <f t="shared" ref="AD332:AD344" si="153">AC332/5.77</f>
        <v>779.89601386481809</v>
      </c>
      <c r="AE332" s="39">
        <f>IF(ISBLANK(Q332),"",IF($P332="BRL",Q332,Q332*Macroindicadores!B$2)/1000)</f>
        <v>8.82</v>
      </c>
      <c r="AF332" s="39" t="str">
        <f>IF(ISBLANK(R332),"",IF($P332="BRL",R332,R332*Macroindicadores!C$2)/1000)</f>
        <v/>
      </c>
      <c r="AG332" s="39" t="str">
        <f>IF(ISBLANK(S332),"",IF($P332="BRL",S332,S332*Macroindicadores!D$2)/1000)</f>
        <v/>
      </c>
      <c r="AH332" s="39" t="str">
        <f>IF(ISBLANK(T332),"",IF($P332="BRL",T332,T332*Macroindicadores!E$2)/1000)</f>
        <v/>
      </c>
      <c r="AI332" s="39" t="str">
        <f>IF(ISBLANK(U332),"",IF($P332="BRL",U332,U332*Macroindicadores!F$2)/1000)</f>
        <v/>
      </c>
      <c r="AJ332" s="39">
        <f>IF(ISBLANK(V332),"",IF($P332="BRL",V332,V332*Macroindicadores!G$2)/1000)</f>
        <v>8.82</v>
      </c>
      <c r="AK332" s="39" t="str">
        <f>IF(ISBLANK(W332),"",IF($P332="BRL",W332,W332*Macroindicadores!H$2)/1000)</f>
        <v/>
      </c>
      <c r="AL332" s="39" t="str">
        <f>IF(ISBLANK(X332),"",IF($P332="BRL",X332,X332*Macroindicadores!I$2)/1000)</f>
        <v/>
      </c>
      <c r="AM332" s="39" t="str">
        <f>IF(ISBLANK(Y332),"",IF($P332="BRL",Y332,Y332*Macroindicadores!J$2)/1000)</f>
        <v/>
      </c>
      <c r="AN332" s="39">
        <f>IF(ISBLANK(Z332),"",IF($P332="BRL",Z332,Z332*Macroindicadores!K$2)/1000)</f>
        <v>8.82</v>
      </c>
      <c r="AO332" s="39" t="str">
        <f>IF(ISBLANK(AA332),"",IF($P332="BRL",AA332,AA332*Macroindicadores!L$2)/1000)</f>
        <v/>
      </c>
      <c r="AP332" s="39" t="str">
        <f>IF(ISBLANK(AB332),"",IF($P332="BRL",AB332,AB332*Macroindicadores!M$2)/1000)</f>
        <v/>
      </c>
      <c r="AQ332" s="40">
        <f t="shared" si="149"/>
        <v>26.46</v>
      </c>
      <c r="AS332" s="39">
        <f>IF(ISBLANK(Q332),"",IF(ISBLANK($O332),AE332,IF($J332="ANUAL",AE332*(1+Macroindicadores!B$7),IF(AND($I332="NOVO",MONTH($O332)=MONTH(AS$4)),AE332*(1+Macroindicadores!B$7),IF(AND($J332="PONTUAL",MONTH($O332)=MONTH(AS$4)),AE332*(1+Macroindicadores!B$7),IF(AND($J332="PONTUAL",MONTH($O332)&lt;MONTH(AS$4)),MIN(AR332:$AS332),IF(AND($I332="NOVO",MONTH($O332)&gt;MONTH(AS$4)),AE332,IF(MONTH($O332)&gt;MONTH(AS$4),AE332,IF(MONTH($O332)=MONTH(AS$4),AE332*(1+Macroindicadores!B$7),AR332)))))))))</f>
        <v>8.82</v>
      </c>
      <c r="AT332" s="39" t="str">
        <f>IF(ISBLANK(R332),"",IF(ISBLANK($O332),AF332,IF($J332="ANUAL",AF332*(1+Macroindicadores!C$7),IF(AND($I332="NOVO",MONTH($O332)=MONTH(AT$4)),AF332*(1+Macroindicadores!C$7),IF(AND($J332="PONTUAL",MONTH($O332)=MONTH(AT$4)),AF332*(1+Macroindicadores!C$7),IF(AND($J332="PONTUAL",MONTH($O332)&lt;MONTH(AT$4)),MIN($AS332:AS332),IF(AND($I332="NOVO",MONTH($O332)&gt;MONTH(AT$4)),AF332,IF(MONTH($O332)&gt;MONTH(AT$4),AF332,IF(MONTH($O332)=MONTH(AT$4),AF332*(1+Macroindicadores!C$7),AS332)))))))))</f>
        <v/>
      </c>
      <c r="AU332" s="39" t="str">
        <f>IF(ISBLANK(S332),"",IF(ISBLANK($O332),AG332,IF($J332="ANUAL",AG332*(1+Macroindicadores!D$7),IF(AND($I332="NOVO",MONTH($O332)=MONTH(AU$4)),AG332*(1+Macroindicadores!D$7),IF(AND($J332="PONTUAL",MONTH($O332)=MONTH(AU$4)),AG332*(1+Macroindicadores!D$7),IF(AND($J332="PONTUAL",MONTH($O332)&lt;MONTH(AU$4)),MIN($AS332:AT332),IF(AND($I332="NOVO",MONTH($O332)&gt;MONTH(AU$4)),AG332,IF(MONTH($O332)&gt;MONTH(AU$4),AG332,IF(MONTH($O332)=MONTH(AU$4),AG332*(1+Macroindicadores!D$7),AT332)))))))))</f>
        <v/>
      </c>
      <c r="AV332" s="39" t="str">
        <f>IF(ISBLANK(T332),"",IF(ISBLANK($O332),AH332,IF($J332="ANUAL",AH332*(1+Macroindicadores!E$7),IF(AND($I332="NOVO",MONTH($O332)=MONTH(AV$4)),AH332*(1+Macroindicadores!E$7),IF(AND($J332="PONTUAL",MONTH($O332)=MONTH(AV$4)),AH332*(1+Macroindicadores!E$7),IF(AND($J332="PONTUAL",MONTH($O332)&lt;MONTH(AV$4)),MIN($AS332:AU332),IF(AND($I332="NOVO",MONTH($O332)&gt;MONTH(AV$4)),AH332,IF(MONTH($O332)&gt;MONTH(AV$4),AH332,IF(MONTH($O332)=MONTH(AV$4),AH332*(1+Macroindicadores!E$7),AU332)))))))))</f>
        <v/>
      </c>
      <c r="AW332" s="39" t="str">
        <f>IF(ISBLANK(U332),"",IF(ISBLANK($O332),AI332,IF($J332="ANUAL",AI332*(1+Macroindicadores!F$7),IF(AND($I332="NOVO",MONTH($O332)=MONTH(AW$4)),AI332*(1+Macroindicadores!F$7),IF(AND($J332="PONTUAL",MONTH($O332)=MONTH(AW$4)),AI332*(1+Macroindicadores!F$7),IF(AND($J332="PONTUAL",MONTH($O332)&lt;MONTH(AW$4)),MIN($AS332:AV332),IF(AND($I332="NOVO",MONTH($O332)&gt;MONTH(AW$4)),AI332,IF(MONTH($O332)&gt;MONTH(AW$4),AI332,IF(MONTH($O332)=MONTH(AW$4),AI332*(1+Macroindicadores!F$7),AV332)))))))))</f>
        <v/>
      </c>
      <c r="AX332" s="39">
        <f>IF(ISBLANK(V332),"",IF(ISBLANK($O332),AJ332,IF($J332="ANUAL",AJ332*(1+Macroindicadores!G$7),IF(AND($I332="NOVO",MONTH($O332)=MONTH(AX$4)),AJ332*(1+Macroindicadores!G$7),IF(AND($J332="PONTUAL",MONTH($O332)=MONTH(AX$4)),AJ332*(1+Macroindicadores!G$7),IF(AND($J332="PONTUAL",MONTH($O332)&lt;MONTH(AX$4)),MIN($AS332:AW332),IF(AND($I332="NOVO",MONTH($O332)&gt;MONTH(AX$4)),AJ332,IF(MONTH($O332)&gt;MONTH(AX$4),AJ332,IF(MONTH($O332)=MONTH(AX$4),AJ332*(1+Macroindicadores!G$7),AW332)))))))))</f>
        <v>8.82</v>
      </c>
      <c r="AY332" s="39" t="str">
        <f>IF(ISBLANK(W332),"",IF(ISBLANK($O332),AK332,IF($J332="ANUAL",AK332*(1+Macroindicadores!H$7),IF(AND($I332="NOVO",MONTH($O332)=MONTH(AY$4)),AK332*(1+Macroindicadores!H$7),IF(AND($J332="PONTUAL",MONTH($O332)=MONTH(AY$4)),AK332*(1+Macroindicadores!H$7),IF(AND($J332="PONTUAL",MONTH($O332)&lt;MONTH(AY$4)),MIN($AS332:AX332),IF(AND($I332="NOVO",MONTH($O332)&gt;MONTH(AY$4)),AK332,IF(MONTH($O332)&gt;MONTH(AY$4),AK332,IF(MONTH($O332)=MONTH(AY$4),AK332*(1+Macroindicadores!H$7),AX332)))))))))</f>
        <v/>
      </c>
      <c r="AZ332" s="39" t="str">
        <f>IF(ISBLANK(X332),"",IF(ISBLANK($O332),AL332,IF($J332="ANUAL",AL332*(1+Macroindicadores!I$7),IF(AND($I332="NOVO",MONTH($O332)=MONTH(AZ$4)),AL332*(1+Macroindicadores!I$7),IF(AND($J332="PONTUAL",MONTH($O332)=MONTH(AZ$4)),AL332*(1+Macroindicadores!I$7),IF(AND($J332="PONTUAL",MONTH($O332)&lt;MONTH(AZ$4)),MIN($AS332:AY332),IF(AND($I332="NOVO",MONTH($O332)&gt;MONTH(AZ$4)),AL332,IF(MONTH($O332)&gt;MONTH(AZ$4),AL332,IF(MONTH($O332)=MONTH(AZ$4),AL332*(1+Macroindicadores!I$7),AY332)))))))))</f>
        <v/>
      </c>
      <c r="BA332" s="39" t="str">
        <f>IF(ISBLANK(Y332),"",IF(ISBLANK($O332),AM332,IF($J332="ANUAL",AM332*(1+Macroindicadores!J$7),IF(AND($I332="NOVO",MONTH($O332)=MONTH(BA$4)),AM332*(1+Macroindicadores!J$7),IF(AND($J332="PONTUAL",MONTH($O332)=MONTH(BA$4)),AM332*(1+Macroindicadores!J$7),IF(AND($J332="PONTUAL",MONTH($O332)&lt;MONTH(BA$4)),MIN($AS332:AZ332),IF(AND($I332="NOVO",MONTH($O332)&gt;MONTH(BA$4)),AM332,IF(MONTH($O332)&gt;MONTH(BA$4),AM332,IF(MONTH($O332)=MONTH(BA$4),AM332*(1+Macroindicadores!J$7),AZ332)))))))))</f>
        <v/>
      </c>
      <c r="BB332" s="39">
        <f>IF(ISBLANK(Z332),"",IF(ISBLANK($O332),AN332,IF($J332="ANUAL",AN332*(1+Macroindicadores!K$7),IF(AND($I332="NOVO",MONTH($O332)=MONTH(BB$4)),AN332*(1+Macroindicadores!K$7),IF(AND($J332="PONTUAL",MONTH($O332)=MONTH(BB$4)),AN332*(1+Macroindicadores!K$7),IF(AND($J332="PONTUAL",MONTH($O332)&lt;MONTH(BB$4)),MIN($AS332:BA332),IF(AND($I332="NOVO",MONTH($O332)&gt;MONTH(BB$4)),AN332,IF(MONTH($O332)&gt;MONTH(BB$4),AN332,IF(MONTH($O332)=MONTH(BB$4),AN332*(1+Macroindicadores!K$7),BA332)))))))))</f>
        <v>8.82</v>
      </c>
      <c r="BC332" s="39" t="str">
        <f>IF(ISBLANK(AA332),"",IF(ISBLANK($O332),AO332,IF($J332="ANUAL",AO332*(1+Macroindicadores!L$7),IF(AND($I332="NOVO",MONTH($O332)=MONTH(BC$4)),AO332*(1+Macroindicadores!L$7),IF(AND($J332="PONTUAL",MONTH($O332)=MONTH(BC$4)),AO332*(1+Macroindicadores!L$7),IF(AND($J332="PONTUAL",MONTH($O332)&lt;MONTH(BC$4)),MIN($AS332:BB332),IF(AND($I332="NOVO",MONTH($O332)&gt;MONTH(BC$4)),AO332,IF(MONTH($O332)&gt;MONTH(BC$4),AO332,IF(MONTH($O332)=MONTH(BC$4),AO332*(1+Macroindicadores!L$7),BB332)))))))))</f>
        <v/>
      </c>
      <c r="BD332" s="39" t="str">
        <f>IF(ISBLANK(AB332),"",IF(ISBLANK($O332),AP332,IF($J332="ANUAL",AP332*(1+Macroindicadores!M$7),IF(AND($I332="NOVO",MONTH($O332)=MONTH(BD$4)),AP332*(1+Macroindicadores!M$7),IF(AND($J332="PONTUAL",MONTH($O332)=MONTH(BD$4)),AP332*(1+Macroindicadores!M$7),IF(AND($J332="PONTUAL",MONTH($O332)&lt;MONTH(BD$4)),MIN($AS332:BC332),IF(AND($I332="NOVO",MONTH($O332)&gt;MONTH(BD$4)),AP332,IF(MONTH($O332)&gt;MONTH(BD$4),AP332,IF(MONTH($O332)=MONTH(BD$4),AP332*(1+Macroindicadores!M$7),BC332)))))))))</f>
        <v/>
      </c>
      <c r="BE332" s="40">
        <f t="shared" si="150"/>
        <v>26.46</v>
      </c>
      <c r="BG332" s="39">
        <f>IF(ISBLANK(Q332),"",AS332/Macroindicadores!B$2)</f>
        <v>1.5</v>
      </c>
      <c r="BH332" s="39" t="str">
        <f>IF(ISBLANK(R332),"",AT332/Macroindicadores!C$2)</f>
        <v/>
      </c>
      <c r="BI332" s="39" t="str">
        <f>IF(ISBLANK(S332),"",AU332/Macroindicadores!D$2)</f>
        <v/>
      </c>
      <c r="BJ332" s="39" t="str">
        <f>IF(ISBLANK(T332),"",AV332/Macroindicadores!E$2)</f>
        <v/>
      </c>
      <c r="BK332" s="39" t="str">
        <f>IF(ISBLANK(U332),"",AW332/Macroindicadores!F$2)</f>
        <v/>
      </c>
      <c r="BL332" s="39">
        <f>IF(ISBLANK(V332),"",AX332/Macroindicadores!G$2)</f>
        <v>1.5</v>
      </c>
      <c r="BM332" s="39" t="str">
        <f>IF(ISBLANK(W332),"",AY332/Macroindicadores!H$2)</f>
        <v/>
      </c>
      <c r="BN332" s="39" t="str">
        <f>IF(ISBLANK(X332),"",AZ332/Macroindicadores!I$2)</f>
        <v/>
      </c>
      <c r="BO332" s="39" t="str">
        <f>IF(ISBLANK(Y332),"",BA332/Macroindicadores!J$2)</f>
        <v/>
      </c>
      <c r="BP332" s="39">
        <f>IF(ISBLANK(Z332),"",BB332/Macroindicadores!K$2)</f>
        <v>1.5</v>
      </c>
      <c r="BQ332" s="39" t="str">
        <f>IF(ISBLANK(AA332),"",BC332/Macroindicadores!L$2)</f>
        <v/>
      </c>
      <c r="BR332" s="39" t="str">
        <f>IF(ISBLANK(AB332),"",BD332/Macroindicadores!M$2)</f>
        <v/>
      </c>
      <c r="BS332" s="40">
        <f t="shared" si="151"/>
        <v>4.5</v>
      </c>
    </row>
    <row r="333" spans="1:72">
      <c r="C333" s="111" t="s">
        <v>336</v>
      </c>
      <c r="D333" s="111" t="s">
        <v>337</v>
      </c>
      <c r="E333" s="111" t="s">
        <v>14</v>
      </c>
      <c r="F333" s="112" t="s">
        <v>338</v>
      </c>
      <c r="G333" s="112" t="s">
        <v>339</v>
      </c>
      <c r="H333" s="112" t="s">
        <v>340</v>
      </c>
      <c r="I333" s="11" t="s">
        <v>77</v>
      </c>
      <c r="J333" s="11" t="s">
        <v>78</v>
      </c>
      <c r="K333" s="11" t="s">
        <v>79</v>
      </c>
      <c r="L333" s="11"/>
      <c r="M333" s="18"/>
      <c r="N333" s="11" t="s">
        <v>178</v>
      </c>
      <c r="O333" s="12"/>
      <c r="P333" s="113" t="s">
        <v>88</v>
      </c>
      <c r="Q333" s="41">
        <v>441.44541842719303</v>
      </c>
      <c r="R333" s="41">
        <v>441.44541842719303</v>
      </c>
      <c r="S333" s="41">
        <v>441.44541842719303</v>
      </c>
      <c r="T333" s="41">
        <v>441.44541842719303</v>
      </c>
      <c r="U333" s="41">
        <v>441.44541842719303</v>
      </c>
      <c r="V333" s="41">
        <v>441.44541842719303</v>
      </c>
      <c r="W333" s="41">
        <v>441.44541842719303</v>
      </c>
      <c r="X333" s="41">
        <v>441.44541842719303</v>
      </c>
      <c r="Y333" s="41">
        <v>441.44541842719303</v>
      </c>
      <c r="Z333" s="41">
        <v>441.44541842719303</v>
      </c>
      <c r="AA333" s="41">
        <v>441.44541842719303</v>
      </c>
      <c r="AB333" s="41">
        <v>441.44541842719303</v>
      </c>
      <c r="AC333" s="116">
        <f t="shared" si="152"/>
        <v>5297.3450211263153</v>
      </c>
      <c r="AD333" s="8">
        <f t="shared" si="153"/>
        <v>918.0840591206786</v>
      </c>
      <c r="AE333" s="39">
        <f>IF(ISBLANK(Q333),"",IF($P333="BRL",Q333,Q333*Macroindicadores!B$2)/1000)</f>
        <v>2.5956990603518948</v>
      </c>
      <c r="AF333" s="39">
        <f>IF(ISBLANK(R333),"",IF($P333="BRL",R333,R333*Macroindicadores!C$2)/1000)</f>
        <v>2.5956990603518948</v>
      </c>
      <c r="AG333" s="39">
        <f>IF(ISBLANK(S333),"",IF($P333="BRL",S333,S333*Macroindicadores!D$2)/1000)</f>
        <v>2.5956990603518948</v>
      </c>
      <c r="AH333" s="39">
        <f>IF(ISBLANK(T333),"",IF($P333="BRL",T333,T333*Macroindicadores!E$2)/1000)</f>
        <v>2.5956990603518948</v>
      </c>
      <c r="AI333" s="39">
        <f>IF(ISBLANK(U333),"",IF($P333="BRL",U333,U333*Macroindicadores!F$2)/1000)</f>
        <v>2.5956990603518948</v>
      </c>
      <c r="AJ333" s="39">
        <f>IF(ISBLANK(V333),"",IF($P333="BRL",V333,V333*Macroindicadores!G$2)/1000)</f>
        <v>2.5956990603518948</v>
      </c>
      <c r="AK333" s="39">
        <f>IF(ISBLANK(W333),"",IF($P333="BRL",W333,W333*Macroindicadores!H$2)/1000)</f>
        <v>2.5956990603518948</v>
      </c>
      <c r="AL333" s="39">
        <f>IF(ISBLANK(X333),"",IF($P333="BRL",X333,X333*Macroindicadores!I$2)/1000)</f>
        <v>2.5956990603518948</v>
      </c>
      <c r="AM333" s="39">
        <f>IF(ISBLANK(Y333),"",IF($P333="BRL",Y333,Y333*Macroindicadores!J$2)/1000)</f>
        <v>2.5956990603518948</v>
      </c>
      <c r="AN333" s="39">
        <f>IF(ISBLANK(Z333),"",IF($P333="BRL",Z333,Z333*Macroindicadores!K$2)/1000)</f>
        <v>2.5956990603518948</v>
      </c>
      <c r="AO333" s="39">
        <f>IF(ISBLANK(AA333),"",IF($P333="BRL",AA333,AA333*Macroindicadores!L$2)/1000)</f>
        <v>2.5956990603518948</v>
      </c>
      <c r="AP333" s="39">
        <f>IF(ISBLANK(AB333),"",IF($P333="BRL",AB333,AB333*Macroindicadores!M$2)/1000)</f>
        <v>2.5956990603518948</v>
      </c>
      <c r="AQ333" s="40">
        <f t="shared" si="149"/>
        <v>31.14838872422273</v>
      </c>
      <c r="AS333" s="39">
        <f>IF(ISBLANK(Q333),"",IF(ISBLANK($O333),AE333,IF($J333="ANUAL",AE333*(1+Macroindicadores!B$7),IF(AND($I333="NOVO",MONTH($O333)=MONTH(AS$4)),AE333*(1+Macroindicadores!B$7),IF(AND($J333="PONTUAL",MONTH($O333)=MONTH(AS$4)),AE333*(1+Macroindicadores!B$7),IF(AND($J333="PONTUAL",MONTH($O333)&lt;MONTH(AS$4)),MIN(AR333:$AS333),IF(AND($I333="NOVO",MONTH($O333)&gt;MONTH(AS$4)),AE333,IF(MONTH($O333)&gt;MONTH(AS$4),AE333,IF(MONTH($O333)=MONTH(AS$4),AE333*(1+Macroindicadores!B$7),AR333)))))))))</f>
        <v>2.5956990603518948</v>
      </c>
      <c r="AT333" s="39">
        <f>IF(ISBLANK(R333),"",IF(ISBLANK($O333),AF333,IF($J333="ANUAL",AF333*(1+Macroindicadores!C$7),IF(AND($I333="NOVO",MONTH($O333)=MONTH(AT$4)),AF333*(1+Macroindicadores!C$7),IF(AND($J333="PONTUAL",MONTH($O333)=MONTH(AT$4)),AF333*(1+Macroindicadores!C$7),IF(AND($J333="PONTUAL",MONTH($O333)&lt;MONTH(AT$4)),MIN($AS333:AS333),IF(AND($I333="NOVO",MONTH($O333)&gt;MONTH(AT$4)),AF333,IF(MONTH($O333)&gt;MONTH(AT$4),AF333,IF(MONTH($O333)=MONTH(AT$4),AF333*(1+Macroindicadores!C$7),AS333)))))))))</f>
        <v>2.5956990603518948</v>
      </c>
      <c r="AU333" s="39">
        <f>IF(ISBLANK(S333),"",IF(ISBLANK($O333),AG333,IF($J333="ANUAL",AG333*(1+Macroindicadores!D$7),IF(AND($I333="NOVO",MONTH($O333)=MONTH(AU$4)),AG333*(1+Macroindicadores!D$7),IF(AND($J333="PONTUAL",MONTH($O333)=MONTH(AU$4)),AG333*(1+Macroindicadores!D$7),IF(AND($J333="PONTUAL",MONTH($O333)&lt;MONTH(AU$4)),MIN($AS333:AT333),IF(AND($I333="NOVO",MONTH($O333)&gt;MONTH(AU$4)),AG333,IF(MONTH($O333)&gt;MONTH(AU$4),AG333,IF(MONTH($O333)=MONTH(AU$4),AG333*(1+Macroindicadores!D$7),AT333)))))))))</f>
        <v>2.5956990603518948</v>
      </c>
      <c r="AV333" s="39">
        <f>IF(ISBLANK(T333),"",IF(ISBLANK($O333),AH333,IF($J333="ANUAL",AH333*(1+Macroindicadores!E$7),IF(AND($I333="NOVO",MONTH($O333)=MONTH(AV$4)),AH333*(1+Macroindicadores!E$7),IF(AND($J333="PONTUAL",MONTH($O333)=MONTH(AV$4)),AH333*(1+Macroindicadores!E$7),IF(AND($J333="PONTUAL",MONTH($O333)&lt;MONTH(AV$4)),MIN($AS333:AU333),IF(AND($I333="NOVO",MONTH($O333)&gt;MONTH(AV$4)),AH333,IF(MONTH($O333)&gt;MONTH(AV$4),AH333,IF(MONTH($O333)=MONTH(AV$4),AH333*(1+Macroindicadores!E$7),AU333)))))))))</f>
        <v>2.5956990603518948</v>
      </c>
      <c r="AW333" s="39">
        <f>IF(ISBLANK(U333),"",IF(ISBLANK($O333),AI333,IF($J333="ANUAL",AI333*(1+Macroindicadores!F$7),IF(AND($I333="NOVO",MONTH($O333)=MONTH(AW$4)),AI333*(1+Macroindicadores!F$7),IF(AND($J333="PONTUAL",MONTH($O333)=MONTH(AW$4)),AI333*(1+Macroindicadores!F$7),IF(AND($J333="PONTUAL",MONTH($O333)&lt;MONTH(AW$4)),MIN($AS333:AV333),IF(AND($I333="NOVO",MONTH($O333)&gt;MONTH(AW$4)),AI333,IF(MONTH($O333)&gt;MONTH(AW$4),AI333,IF(MONTH($O333)=MONTH(AW$4),AI333*(1+Macroindicadores!F$7),AV333)))))))))</f>
        <v>2.5956990603518948</v>
      </c>
      <c r="AX333" s="39">
        <f>IF(ISBLANK(V333),"",IF(ISBLANK($O333),AJ333,IF($J333="ANUAL",AJ333*(1+Macroindicadores!G$7),IF(AND($I333="NOVO",MONTH($O333)=MONTH(AX$4)),AJ333*(1+Macroindicadores!G$7),IF(AND($J333="PONTUAL",MONTH($O333)=MONTH(AX$4)),AJ333*(1+Macroindicadores!G$7),IF(AND($J333="PONTUAL",MONTH($O333)&lt;MONTH(AX$4)),MIN($AS333:AW333),IF(AND($I333="NOVO",MONTH($O333)&gt;MONTH(AX$4)),AJ333,IF(MONTH($O333)&gt;MONTH(AX$4),AJ333,IF(MONTH($O333)=MONTH(AX$4),AJ333*(1+Macroindicadores!G$7),AW333)))))))))</f>
        <v>2.5956990603518948</v>
      </c>
      <c r="AY333" s="39">
        <f>IF(ISBLANK(W333),"",IF(ISBLANK($O333),AK333,IF($J333="ANUAL",AK333*(1+Macroindicadores!H$7),IF(AND($I333="NOVO",MONTH($O333)=MONTH(AY$4)),AK333*(1+Macroindicadores!H$7),IF(AND($J333="PONTUAL",MONTH($O333)=MONTH(AY$4)),AK333*(1+Macroindicadores!H$7),IF(AND($J333="PONTUAL",MONTH($O333)&lt;MONTH(AY$4)),MIN($AS333:AX333),IF(AND($I333="NOVO",MONTH($O333)&gt;MONTH(AY$4)),AK333,IF(MONTH($O333)&gt;MONTH(AY$4),AK333,IF(MONTH($O333)=MONTH(AY$4),AK333*(1+Macroindicadores!H$7),AX333)))))))))</f>
        <v>2.5956990603518948</v>
      </c>
      <c r="AZ333" s="39">
        <f>IF(ISBLANK(X333),"",IF(ISBLANK($O333),AL333,IF($J333="ANUAL",AL333*(1+Macroindicadores!I$7),IF(AND($I333="NOVO",MONTH($O333)=MONTH(AZ$4)),AL333*(1+Macroindicadores!I$7),IF(AND($J333="PONTUAL",MONTH($O333)=MONTH(AZ$4)),AL333*(1+Macroindicadores!I$7),IF(AND($J333="PONTUAL",MONTH($O333)&lt;MONTH(AZ$4)),MIN($AS333:AY333),IF(AND($I333="NOVO",MONTH($O333)&gt;MONTH(AZ$4)),AL333,IF(MONTH($O333)&gt;MONTH(AZ$4),AL333,IF(MONTH($O333)=MONTH(AZ$4),AL333*(1+Macroindicadores!I$7),AY333)))))))))</f>
        <v>2.5956990603518948</v>
      </c>
      <c r="BA333" s="39">
        <f>IF(ISBLANK(Y333),"",IF(ISBLANK($O333),AM333,IF($J333="ANUAL",AM333*(1+Macroindicadores!J$7),IF(AND($I333="NOVO",MONTH($O333)=MONTH(BA$4)),AM333*(1+Macroindicadores!J$7),IF(AND($J333="PONTUAL",MONTH($O333)=MONTH(BA$4)),AM333*(1+Macroindicadores!J$7),IF(AND($J333="PONTUAL",MONTH($O333)&lt;MONTH(BA$4)),MIN($AS333:AZ333),IF(AND($I333="NOVO",MONTH($O333)&gt;MONTH(BA$4)),AM333,IF(MONTH($O333)&gt;MONTH(BA$4),AM333,IF(MONTH($O333)=MONTH(BA$4),AM333*(1+Macroindicadores!J$7),AZ333)))))))))</f>
        <v>2.5956990603518948</v>
      </c>
      <c r="BB333" s="39">
        <f>IF(ISBLANK(Z333),"",IF(ISBLANK($O333),AN333,IF($J333="ANUAL",AN333*(1+Macroindicadores!K$7),IF(AND($I333="NOVO",MONTH($O333)=MONTH(BB$4)),AN333*(1+Macroindicadores!K$7),IF(AND($J333="PONTUAL",MONTH($O333)=MONTH(BB$4)),AN333*(1+Macroindicadores!K$7),IF(AND($J333="PONTUAL",MONTH($O333)&lt;MONTH(BB$4)),MIN($AS333:BA333),IF(AND($I333="NOVO",MONTH($O333)&gt;MONTH(BB$4)),AN333,IF(MONTH($O333)&gt;MONTH(BB$4),AN333,IF(MONTH($O333)=MONTH(BB$4),AN333*(1+Macroindicadores!K$7),BA333)))))))))</f>
        <v>2.5956990603518948</v>
      </c>
      <c r="BC333" s="39">
        <f>IF(ISBLANK(AA333),"",IF(ISBLANK($O333),AO333,IF($J333="ANUAL",AO333*(1+Macroindicadores!L$7),IF(AND($I333="NOVO",MONTH($O333)=MONTH(BC$4)),AO333*(1+Macroindicadores!L$7),IF(AND($J333="PONTUAL",MONTH($O333)=MONTH(BC$4)),AO333*(1+Macroindicadores!L$7),IF(AND($J333="PONTUAL",MONTH($O333)&lt;MONTH(BC$4)),MIN($AS333:BB333),IF(AND($I333="NOVO",MONTH($O333)&gt;MONTH(BC$4)),AO333,IF(MONTH($O333)&gt;MONTH(BC$4),AO333,IF(MONTH($O333)=MONTH(BC$4),AO333*(1+Macroindicadores!L$7),BB333)))))))))</f>
        <v>2.5956990603518948</v>
      </c>
      <c r="BD333" s="39">
        <f>IF(ISBLANK(AB333),"",IF(ISBLANK($O333),AP333,IF($J333="ANUAL",AP333*(1+Macroindicadores!M$7),IF(AND($I333="NOVO",MONTH($O333)=MONTH(BD$4)),AP333*(1+Macroindicadores!M$7),IF(AND($J333="PONTUAL",MONTH($O333)=MONTH(BD$4)),AP333*(1+Macroindicadores!M$7),IF(AND($J333="PONTUAL",MONTH($O333)&lt;MONTH(BD$4)),MIN($AS333:BC333),IF(AND($I333="NOVO",MONTH($O333)&gt;MONTH(BD$4)),AP333,IF(MONTH($O333)&gt;MONTH(BD$4),AP333,IF(MONTH($O333)=MONTH(BD$4),AP333*(1+Macroindicadores!M$7),BC333)))))))))</f>
        <v>2.5956990603518948</v>
      </c>
      <c r="BE333" s="40">
        <f t="shared" si="150"/>
        <v>31.14838872422273</v>
      </c>
      <c r="BG333" s="39">
        <f>IF(ISBLANK(Q333),"",AS333/Macroindicadores!B$2)</f>
        <v>0.44144541842719298</v>
      </c>
      <c r="BH333" s="39">
        <f>IF(ISBLANK(R333),"",AT333/Macroindicadores!C$2)</f>
        <v>0.44144541842719298</v>
      </c>
      <c r="BI333" s="39">
        <f>IF(ISBLANK(S333),"",AU333/Macroindicadores!D$2)</f>
        <v>0.44144541842719298</v>
      </c>
      <c r="BJ333" s="39">
        <f>IF(ISBLANK(T333),"",AV333/Macroindicadores!E$2)</f>
        <v>0.44144541842719298</v>
      </c>
      <c r="BK333" s="39">
        <f>IF(ISBLANK(U333),"",AW333/Macroindicadores!F$2)</f>
        <v>0.44144541842719298</v>
      </c>
      <c r="BL333" s="39">
        <f>IF(ISBLANK(V333),"",AX333/Macroindicadores!G$2)</f>
        <v>0.44144541842719298</v>
      </c>
      <c r="BM333" s="39">
        <f>IF(ISBLANK(W333),"",AY333/Macroindicadores!H$2)</f>
        <v>0.44144541842719298</v>
      </c>
      <c r="BN333" s="39">
        <f>IF(ISBLANK(X333),"",AZ333/Macroindicadores!I$2)</f>
        <v>0.44144541842719298</v>
      </c>
      <c r="BO333" s="39">
        <f>IF(ISBLANK(Y333),"",BA333/Macroindicadores!J$2)</f>
        <v>0.44144541842719298</v>
      </c>
      <c r="BP333" s="39">
        <f>IF(ISBLANK(Z333),"",BB333/Macroindicadores!K$2)</f>
        <v>0.44144541842719298</v>
      </c>
      <c r="BQ333" s="39">
        <f>IF(ISBLANK(AA333),"",BC333/Macroindicadores!L$2)</f>
        <v>0.44144541842719298</v>
      </c>
      <c r="BR333" s="39">
        <f>IF(ISBLANK(AB333),"",BD333/Macroindicadores!M$2)</f>
        <v>0.44144541842719298</v>
      </c>
      <c r="BS333" s="40">
        <f t="shared" si="151"/>
        <v>5.2973450211263176</v>
      </c>
    </row>
    <row r="334" spans="1:72">
      <c r="C334" s="111" t="s">
        <v>336</v>
      </c>
      <c r="D334" s="111" t="s">
        <v>337</v>
      </c>
      <c r="E334" s="111" t="s">
        <v>14</v>
      </c>
      <c r="F334" s="112" t="s">
        <v>338</v>
      </c>
      <c r="G334" s="112" t="s">
        <v>339</v>
      </c>
      <c r="H334" s="112" t="s">
        <v>341</v>
      </c>
      <c r="I334" s="11" t="s">
        <v>77</v>
      </c>
      <c r="J334" s="11" t="s">
        <v>78</v>
      </c>
      <c r="K334" s="11" t="s">
        <v>79</v>
      </c>
      <c r="L334" s="11"/>
      <c r="M334" s="18"/>
      <c r="N334" s="11" t="s">
        <v>178</v>
      </c>
      <c r="O334" s="12"/>
      <c r="P334" s="113" t="s">
        <v>88</v>
      </c>
      <c r="Q334" s="41">
        <v>917.292930566942</v>
      </c>
      <c r="R334" s="41">
        <v>917.292930566942</v>
      </c>
      <c r="S334" s="41">
        <v>917.292930566942</v>
      </c>
      <c r="T334" s="41">
        <v>917.292930566942</v>
      </c>
      <c r="U334" s="41">
        <v>917.292930566942</v>
      </c>
      <c r="V334" s="41">
        <v>917.292930566942</v>
      </c>
      <c r="W334" s="41">
        <v>917.292930566942</v>
      </c>
      <c r="X334" s="41">
        <v>917.292930566942</v>
      </c>
      <c r="Y334" s="41">
        <v>917.292930566942</v>
      </c>
      <c r="Z334" s="41">
        <v>917.292930566942</v>
      </c>
      <c r="AA334" s="41">
        <v>917.292930566942</v>
      </c>
      <c r="AB334" s="41">
        <v>917.292930566942</v>
      </c>
      <c r="AC334" s="116">
        <f t="shared" si="152"/>
        <v>11007.515166803305</v>
      </c>
      <c r="AD334" s="8">
        <f t="shared" si="153"/>
        <v>1907.7149335880945</v>
      </c>
      <c r="AE334" s="39">
        <f>IF(ISBLANK(Q334),"",IF($P334="BRL",Q334,Q334*Macroindicadores!B$2)/1000)</f>
        <v>5.3936824317336187</v>
      </c>
      <c r="AF334" s="39">
        <f>IF(ISBLANK(R334),"",IF($P334="BRL",R334,R334*Macroindicadores!C$2)/1000)</f>
        <v>5.3936824317336187</v>
      </c>
      <c r="AG334" s="39">
        <f>IF(ISBLANK(S334),"",IF($P334="BRL",S334,S334*Macroindicadores!D$2)/1000)</f>
        <v>5.3936824317336187</v>
      </c>
      <c r="AH334" s="39">
        <f>IF(ISBLANK(T334),"",IF($P334="BRL",T334,T334*Macroindicadores!E$2)/1000)</f>
        <v>5.3936824317336187</v>
      </c>
      <c r="AI334" s="39">
        <f>IF(ISBLANK(U334),"",IF($P334="BRL",U334,U334*Macroindicadores!F$2)/1000)</f>
        <v>5.3936824317336187</v>
      </c>
      <c r="AJ334" s="39">
        <f>IF(ISBLANK(V334),"",IF($P334="BRL",V334,V334*Macroindicadores!G$2)/1000)</f>
        <v>5.3936824317336187</v>
      </c>
      <c r="AK334" s="39">
        <f>IF(ISBLANK(W334),"",IF($P334="BRL",W334,W334*Macroindicadores!H$2)/1000)</f>
        <v>5.3936824317336187</v>
      </c>
      <c r="AL334" s="39">
        <f>IF(ISBLANK(X334),"",IF($P334="BRL",X334,X334*Macroindicadores!I$2)/1000)</f>
        <v>5.3936824317336187</v>
      </c>
      <c r="AM334" s="39">
        <f>IF(ISBLANK(Y334),"",IF($P334="BRL",Y334,Y334*Macroindicadores!J$2)/1000)</f>
        <v>5.3936824317336187</v>
      </c>
      <c r="AN334" s="39">
        <f>IF(ISBLANK(Z334),"",IF($P334="BRL",Z334,Z334*Macroindicadores!K$2)/1000)</f>
        <v>5.3936824317336187</v>
      </c>
      <c r="AO334" s="39">
        <f>IF(ISBLANK(AA334),"",IF($P334="BRL",AA334,AA334*Macroindicadores!L$2)/1000)</f>
        <v>5.3936824317336187</v>
      </c>
      <c r="AP334" s="39">
        <f>IF(ISBLANK(AB334),"",IF($P334="BRL",AB334,AB334*Macroindicadores!M$2)/1000)</f>
        <v>5.3936824317336187</v>
      </c>
      <c r="AQ334" s="40">
        <f t="shared" si="149"/>
        <v>64.724189180803407</v>
      </c>
      <c r="AS334" s="39">
        <f>IF(ISBLANK(Q334),"",IF(ISBLANK($O334),AE334,IF($J334="ANUAL",AE334*(1+Macroindicadores!B$7),IF(AND($I334="NOVO",MONTH($O334)=MONTH(AS$4)),AE334*(1+Macroindicadores!B$7),IF(AND($J334="PONTUAL",MONTH($O334)=MONTH(AS$4)),AE334*(1+Macroindicadores!B$7),IF(AND($J334="PONTUAL",MONTH($O334)&lt;MONTH(AS$4)),MIN(AR334:$AS334),IF(AND($I334="NOVO",MONTH($O334)&gt;MONTH(AS$4)),AE334,IF(MONTH($O334)&gt;MONTH(AS$4),AE334,IF(MONTH($O334)=MONTH(AS$4),AE334*(1+Macroindicadores!B$7),AR334)))))))))</f>
        <v>5.3936824317336187</v>
      </c>
      <c r="AT334" s="39">
        <f>IF(ISBLANK(R334),"",IF(ISBLANK($O334),AF334,IF($J334="ANUAL",AF334*(1+Macroindicadores!C$7),IF(AND($I334="NOVO",MONTH($O334)=MONTH(AT$4)),AF334*(1+Macroindicadores!C$7),IF(AND($J334="PONTUAL",MONTH($O334)=MONTH(AT$4)),AF334*(1+Macroindicadores!C$7),IF(AND($J334="PONTUAL",MONTH($O334)&lt;MONTH(AT$4)),MIN($AS334:AS334),IF(AND($I334="NOVO",MONTH($O334)&gt;MONTH(AT$4)),AF334,IF(MONTH($O334)&gt;MONTH(AT$4),AF334,IF(MONTH($O334)=MONTH(AT$4),AF334*(1+Macroindicadores!C$7),AS334)))))))))</f>
        <v>5.3936824317336187</v>
      </c>
      <c r="AU334" s="39">
        <f>IF(ISBLANK(S334),"",IF(ISBLANK($O334),AG334,IF($J334="ANUAL",AG334*(1+Macroindicadores!D$7),IF(AND($I334="NOVO",MONTH($O334)=MONTH(AU$4)),AG334*(1+Macroindicadores!D$7),IF(AND($J334="PONTUAL",MONTH($O334)=MONTH(AU$4)),AG334*(1+Macroindicadores!D$7),IF(AND($J334="PONTUAL",MONTH($O334)&lt;MONTH(AU$4)),MIN($AS334:AT334),IF(AND($I334="NOVO",MONTH($O334)&gt;MONTH(AU$4)),AG334,IF(MONTH($O334)&gt;MONTH(AU$4),AG334,IF(MONTH($O334)=MONTH(AU$4),AG334*(1+Macroindicadores!D$7),AT334)))))))))</f>
        <v>5.3936824317336187</v>
      </c>
      <c r="AV334" s="39">
        <f>IF(ISBLANK(T334),"",IF(ISBLANK($O334),AH334,IF($J334="ANUAL",AH334*(1+Macroindicadores!E$7),IF(AND($I334="NOVO",MONTH($O334)=MONTH(AV$4)),AH334*(1+Macroindicadores!E$7),IF(AND($J334="PONTUAL",MONTH($O334)=MONTH(AV$4)),AH334*(1+Macroindicadores!E$7),IF(AND($J334="PONTUAL",MONTH($O334)&lt;MONTH(AV$4)),MIN($AS334:AU334),IF(AND($I334="NOVO",MONTH($O334)&gt;MONTH(AV$4)),AH334,IF(MONTH($O334)&gt;MONTH(AV$4),AH334,IF(MONTH($O334)=MONTH(AV$4),AH334*(1+Macroindicadores!E$7),AU334)))))))))</f>
        <v>5.3936824317336187</v>
      </c>
      <c r="AW334" s="39">
        <f>IF(ISBLANK(U334),"",IF(ISBLANK($O334),AI334,IF($J334="ANUAL",AI334*(1+Macroindicadores!F$7),IF(AND($I334="NOVO",MONTH($O334)=MONTH(AW$4)),AI334*(1+Macroindicadores!F$7),IF(AND($J334="PONTUAL",MONTH($O334)=MONTH(AW$4)),AI334*(1+Macroindicadores!F$7),IF(AND($J334="PONTUAL",MONTH($O334)&lt;MONTH(AW$4)),MIN($AS334:AV334),IF(AND($I334="NOVO",MONTH($O334)&gt;MONTH(AW$4)),AI334,IF(MONTH($O334)&gt;MONTH(AW$4),AI334,IF(MONTH($O334)=MONTH(AW$4),AI334*(1+Macroindicadores!F$7),AV334)))))))))</f>
        <v>5.3936824317336187</v>
      </c>
      <c r="AX334" s="39">
        <f>IF(ISBLANK(V334),"",IF(ISBLANK($O334),AJ334,IF($J334="ANUAL",AJ334*(1+Macroindicadores!G$7),IF(AND($I334="NOVO",MONTH($O334)=MONTH(AX$4)),AJ334*(1+Macroindicadores!G$7),IF(AND($J334="PONTUAL",MONTH($O334)=MONTH(AX$4)),AJ334*(1+Macroindicadores!G$7),IF(AND($J334="PONTUAL",MONTH($O334)&lt;MONTH(AX$4)),MIN($AS334:AW334),IF(AND($I334="NOVO",MONTH($O334)&gt;MONTH(AX$4)),AJ334,IF(MONTH($O334)&gt;MONTH(AX$4),AJ334,IF(MONTH($O334)=MONTH(AX$4),AJ334*(1+Macroindicadores!G$7),AW334)))))))))</f>
        <v>5.3936824317336187</v>
      </c>
      <c r="AY334" s="39">
        <f>IF(ISBLANK(W334),"",IF(ISBLANK($O334),AK334,IF($J334="ANUAL",AK334*(1+Macroindicadores!H$7),IF(AND($I334="NOVO",MONTH($O334)=MONTH(AY$4)),AK334*(1+Macroindicadores!H$7),IF(AND($J334="PONTUAL",MONTH($O334)=MONTH(AY$4)),AK334*(1+Macroindicadores!H$7),IF(AND($J334="PONTUAL",MONTH($O334)&lt;MONTH(AY$4)),MIN($AS334:AX334),IF(AND($I334="NOVO",MONTH($O334)&gt;MONTH(AY$4)),AK334,IF(MONTH($O334)&gt;MONTH(AY$4),AK334,IF(MONTH($O334)=MONTH(AY$4),AK334*(1+Macroindicadores!H$7),AX334)))))))))</f>
        <v>5.3936824317336187</v>
      </c>
      <c r="AZ334" s="39">
        <f>IF(ISBLANK(X334),"",IF(ISBLANK($O334),AL334,IF($J334="ANUAL",AL334*(1+Macroindicadores!I$7),IF(AND($I334="NOVO",MONTH($O334)=MONTH(AZ$4)),AL334*(1+Macroindicadores!I$7),IF(AND($J334="PONTUAL",MONTH($O334)=MONTH(AZ$4)),AL334*(1+Macroindicadores!I$7),IF(AND($J334="PONTUAL",MONTH($O334)&lt;MONTH(AZ$4)),MIN($AS334:AY334),IF(AND($I334="NOVO",MONTH($O334)&gt;MONTH(AZ$4)),AL334,IF(MONTH($O334)&gt;MONTH(AZ$4),AL334,IF(MONTH($O334)=MONTH(AZ$4),AL334*(1+Macroindicadores!I$7),AY334)))))))))</f>
        <v>5.3936824317336187</v>
      </c>
      <c r="BA334" s="39">
        <f>IF(ISBLANK(Y334),"",IF(ISBLANK($O334),AM334,IF($J334="ANUAL",AM334*(1+Macroindicadores!J$7),IF(AND($I334="NOVO",MONTH($O334)=MONTH(BA$4)),AM334*(1+Macroindicadores!J$7),IF(AND($J334="PONTUAL",MONTH($O334)=MONTH(BA$4)),AM334*(1+Macroindicadores!J$7),IF(AND($J334="PONTUAL",MONTH($O334)&lt;MONTH(BA$4)),MIN($AS334:AZ334),IF(AND($I334="NOVO",MONTH($O334)&gt;MONTH(BA$4)),AM334,IF(MONTH($O334)&gt;MONTH(BA$4),AM334,IF(MONTH($O334)=MONTH(BA$4),AM334*(1+Macroindicadores!J$7),AZ334)))))))))</f>
        <v>5.3936824317336187</v>
      </c>
      <c r="BB334" s="39">
        <f>IF(ISBLANK(Z334),"",IF(ISBLANK($O334),AN334,IF($J334="ANUAL",AN334*(1+Macroindicadores!K$7),IF(AND($I334="NOVO",MONTH($O334)=MONTH(BB$4)),AN334*(1+Macroindicadores!K$7),IF(AND($J334="PONTUAL",MONTH($O334)=MONTH(BB$4)),AN334*(1+Macroindicadores!K$7),IF(AND($J334="PONTUAL",MONTH($O334)&lt;MONTH(BB$4)),MIN($AS334:BA334),IF(AND($I334="NOVO",MONTH($O334)&gt;MONTH(BB$4)),AN334,IF(MONTH($O334)&gt;MONTH(BB$4),AN334,IF(MONTH($O334)=MONTH(BB$4),AN334*(1+Macroindicadores!K$7),BA334)))))))))</f>
        <v>5.3936824317336187</v>
      </c>
      <c r="BC334" s="39">
        <f>IF(ISBLANK(AA334),"",IF(ISBLANK($O334),AO334,IF($J334="ANUAL",AO334*(1+Macroindicadores!L$7),IF(AND($I334="NOVO",MONTH($O334)=MONTH(BC$4)),AO334*(1+Macroindicadores!L$7),IF(AND($J334="PONTUAL",MONTH($O334)=MONTH(BC$4)),AO334*(1+Macroindicadores!L$7),IF(AND($J334="PONTUAL",MONTH($O334)&lt;MONTH(BC$4)),MIN($AS334:BB334),IF(AND($I334="NOVO",MONTH($O334)&gt;MONTH(BC$4)),AO334,IF(MONTH($O334)&gt;MONTH(BC$4),AO334,IF(MONTH($O334)=MONTH(BC$4),AO334*(1+Macroindicadores!L$7),BB334)))))))))</f>
        <v>5.3936824317336187</v>
      </c>
      <c r="BD334" s="39">
        <f>IF(ISBLANK(AB334),"",IF(ISBLANK($O334),AP334,IF($J334="ANUAL",AP334*(1+Macroindicadores!M$7),IF(AND($I334="NOVO",MONTH($O334)=MONTH(BD$4)),AP334*(1+Macroindicadores!M$7),IF(AND($J334="PONTUAL",MONTH($O334)=MONTH(BD$4)),AP334*(1+Macroindicadores!M$7),IF(AND($J334="PONTUAL",MONTH($O334)&lt;MONTH(BD$4)),MIN($AS334:BC334),IF(AND($I334="NOVO",MONTH($O334)&gt;MONTH(BD$4)),AP334,IF(MONTH($O334)&gt;MONTH(BD$4),AP334,IF(MONTH($O334)=MONTH(BD$4),AP334*(1+Macroindicadores!M$7),BC334)))))))))</f>
        <v>5.3936824317336187</v>
      </c>
      <c r="BE334" s="40">
        <f t="shared" si="150"/>
        <v>64.724189180803407</v>
      </c>
      <c r="BG334" s="39">
        <f>IF(ISBLANK(Q334),"",AS334/Macroindicadores!B$2)</f>
        <v>0.91729293056694194</v>
      </c>
      <c r="BH334" s="39">
        <f>IF(ISBLANK(R334),"",AT334/Macroindicadores!C$2)</f>
        <v>0.91729293056694194</v>
      </c>
      <c r="BI334" s="39">
        <f>IF(ISBLANK(S334),"",AU334/Macroindicadores!D$2)</f>
        <v>0.91729293056694194</v>
      </c>
      <c r="BJ334" s="39">
        <f>IF(ISBLANK(T334),"",AV334/Macroindicadores!E$2)</f>
        <v>0.91729293056694194</v>
      </c>
      <c r="BK334" s="39">
        <f>IF(ISBLANK(U334),"",AW334/Macroindicadores!F$2)</f>
        <v>0.91729293056694194</v>
      </c>
      <c r="BL334" s="39">
        <f>IF(ISBLANK(V334),"",AX334/Macroindicadores!G$2)</f>
        <v>0.91729293056694194</v>
      </c>
      <c r="BM334" s="39">
        <f>IF(ISBLANK(W334),"",AY334/Macroindicadores!H$2)</f>
        <v>0.91729293056694194</v>
      </c>
      <c r="BN334" s="39">
        <f>IF(ISBLANK(X334),"",AZ334/Macroindicadores!I$2)</f>
        <v>0.91729293056694194</v>
      </c>
      <c r="BO334" s="39">
        <f>IF(ISBLANK(Y334),"",BA334/Macroindicadores!J$2)</f>
        <v>0.91729293056694194</v>
      </c>
      <c r="BP334" s="39">
        <f>IF(ISBLANK(Z334),"",BB334/Macroindicadores!K$2)</f>
        <v>0.91729293056694194</v>
      </c>
      <c r="BQ334" s="39">
        <f>IF(ISBLANK(AA334),"",BC334/Macroindicadores!L$2)</f>
        <v>0.91729293056694194</v>
      </c>
      <c r="BR334" s="39">
        <f>IF(ISBLANK(AB334),"",BD334/Macroindicadores!M$2)</f>
        <v>0.91729293056694194</v>
      </c>
      <c r="BS334" s="40">
        <f t="shared" si="151"/>
        <v>11.007515166803307</v>
      </c>
    </row>
    <row r="335" spans="1:72">
      <c r="C335" s="111" t="s">
        <v>336</v>
      </c>
      <c r="D335" s="111" t="s">
        <v>337</v>
      </c>
      <c r="E335" s="111" t="s">
        <v>14</v>
      </c>
      <c r="F335" s="112" t="s">
        <v>342</v>
      </c>
      <c r="G335" s="112" t="s">
        <v>339</v>
      </c>
      <c r="H335" s="112" t="s">
        <v>343</v>
      </c>
      <c r="I335" s="11" t="s">
        <v>77</v>
      </c>
      <c r="J335" s="11" t="s">
        <v>78</v>
      </c>
      <c r="K335" s="11" t="s">
        <v>79</v>
      </c>
      <c r="L335" s="11"/>
      <c r="M335" s="18"/>
      <c r="N335" s="11" t="s">
        <v>106</v>
      </c>
      <c r="O335" s="12"/>
      <c r="P335" s="113" t="s">
        <v>88</v>
      </c>
      <c r="Q335" s="41">
        <v>155.13653276155642</v>
      </c>
      <c r="R335" s="41">
        <v>155.13653276155642</v>
      </c>
      <c r="S335" s="41">
        <v>155.13653276155642</v>
      </c>
      <c r="T335" s="41">
        <v>155.13653276155642</v>
      </c>
      <c r="U335" s="41">
        <v>155.13653276155642</v>
      </c>
      <c r="V335" s="41">
        <v>155.13653276155642</v>
      </c>
      <c r="W335" s="41">
        <v>155.13653276155642</v>
      </c>
      <c r="X335" s="41">
        <v>155.13653276155642</v>
      </c>
      <c r="Y335" s="41">
        <v>155.13653276155642</v>
      </c>
      <c r="Z335" s="41">
        <v>155.13653276155642</v>
      </c>
      <c r="AA335" s="41">
        <v>155.13653276155642</v>
      </c>
      <c r="AB335" s="41">
        <v>155.13653276155642</v>
      </c>
      <c r="AC335" s="116">
        <f t="shared" si="152"/>
        <v>1861.6383931386774</v>
      </c>
      <c r="AD335" s="8">
        <f t="shared" si="153"/>
        <v>322.64096934812437</v>
      </c>
      <c r="AE335" s="39">
        <f>IF(ISBLANK(Q335),"",IF($P335="BRL",Q335,Q335*Macroindicadores!B$2)/1000)</f>
        <v>0.91220281263795178</v>
      </c>
      <c r="AF335" s="39">
        <f>IF(ISBLANK(R335),"",IF($P335="BRL",R335,R335*Macroindicadores!C$2)/1000)</f>
        <v>0.91220281263795178</v>
      </c>
      <c r="AG335" s="39">
        <f>IF(ISBLANK(S335),"",IF($P335="BRL",S335,S335*Macroindicadores!D$2)/1000)</f>
        <v>0.91220281263795178</v>
      </c>
      <c r="AH335" s="39">
        <f>IF(ISBLANK(T335),"",IF($P335="BRL",T335,T335*Macroindicadores!E$2)/1000)</f>
        <v>0.91220281263795178</v>
      </c>
      <c r="AI335" s="39">
        <f>IF(ISBLANK(U335),"",IF($P335="BRL",U335,U335*Macroindicadores!F$2)/1000)</f>
        <v>0.91220281263795178</v>
      </c>
      <c r="AJ335" s="39">
        <f>IF(ISBLANK(V335),"",IF($P335="BRL",V335,V335*Macroindicadores!G$2)/1000)</f>
        <v>0.91220281263795178</v>
      </c>
      <c r="AK335" s="39">
        <f>IF(ISBLANK(W335),"",IF($P335="BRL",W335,W335*Macroindicadores!H$2)/1000)</f>
        <v>0.91220281263795178</v>
      </c>
      <c r="AL335" s="39">
        <f>IF(ISBLANK(X335),"",IF($P335="BRL",X335,X335*Macroindicadores!I$2)/1000)</f>
        <v>0.91220281263795178</v>
      </c>
      <c r="AM335" s="39">
        <f>IF(ISBLANK(Y335),"",IF($P335="BRL",Y335,Y335*Macroindicadores!J$2)/1000)</f>
        <v>0.91220281263795178</v>
      </c>
      <c r="AN335" s="39">
        <f>IF(ISBLANK(Z335),"",IF($P335="BRL",Z335,Z335*Macroindicadores!K$2)/1000)</f>
        <v>0.91220281263795178</v>
      </c>
      <c r="AO335" s="39">
        <f>IF(ISBLANK(AA335),"",IF($P335="BRL",AA335,AA335*Macroindicadores!L$2)/1000)</f>
        <v>0.91220281263795178</v>
      </c>
      <c r="AP335" s="39">
        <f>IF(ISBLANK(AB335),"",IF($P335="BRL",AB335,AB335*Macroindicadores!M$2)/1000)</f>
        <v>0.91220281263795178</v>
      </c>
      <c r="AQ335" s="40">
        <f t="shared" si="149"/>
        <v>10.946433751655425</v>
      </c>
      <c r="AS335" s="39">
        <f>IF(ISBLANK(Q335),"",IF(ISBLANK($O335),AE335,IF($J335="ANUAL",AE335*(1+Macroindicadores!B$7),IF(AND($I335="NOVO",MONTH($O335)=MONTH(AS$4)),AE335*(1+Macroindicadores!B$7),IF(AND($J335="PONTUAL",MONTH($O335)=MONTH(AS$4)),AE335*(1+Macroindicadores!B$7),IF(AND($J335="PONTUAL",MONTH($O335)&lt;MONTH(AS$4)),MIN(AR335:$AS335),IF(AND($I335="NOVO",MONTH($O335)&gt;MONTH(AS$4)),AE335,IF(MONTH($O335)&gt;MONTH(AS$4),AE335,IF(MONTH($O335)=MONTH(AS$4),AE335*(1+Macroindicadores!B$7),AR335)))))))))</f>
        <v>0.91220281263795178</v>
      </c>
      <c r="AT335" s="39">
        <f>IF(ISBLANK(R335),"",IF(ISBLANK($O335),AF335,IF($J335="ANUAL",AF335*(1+Macroindicadores!C$7),IF(AND($I335="NOVO",MONTH($O335)=MONTH(AT$4)),AF335*(1+Macroindicadores!C$7),IF(AND($J335="PONTUAL",MONTH($O335)=MONTH(AT$4)),AF335*(1+Macroindicadores!C$7),IF(AND($J335="PONTUAL",MONTH($O335)&lt;MONTH(AT$4)),MIN($AS335:AS335),IF(AND($I335="NOVO",MONTH($O335)&gt;MONTH(AT$4)),AF335,IF(MONTH($O335)&gt;MONTH(AT$4),AF335,IF(MONTH($O335)=MONTH(AT$4),AF335*(1+Macroindicadores!C$7),AS335)))))))))</f>
        <v>0.91220281263795178</v>
      </c>
      <c r="AU335" s="39">
        <f>IF(ISBLANK(S335),"",IF(ISBLANK($O335),AG335,IF($J335="ANUAL",AG335*(1+Macroindicadores!D$7),IF(AND($I335="NOVO",MONTH($O335)=MONTH(AU$4)),AG335*(1+Macroindicadores!D$7),IF(AND($J335="PONTUAL",MONTH($O335)=MONTH(AU$4)),AG335*(1+Macroindicadores!D$7),IF(AND($J335="PONTUAL",MONTH($O335)&lt;MONTH(AU$4)),MIN($AS335:AT335),IF(AND($I335="NOVO",MONTH($O335)&gt;MONTH(AU$4)),AG335,IF(MONTH($O335)&gt;MONTH(AU$4),AG335,IF(MONTH($O335)=MONTH(AU$4),AG335*(1+Macroindicadores!D$7),AT335)))))))))</f>
        <v>0.91220281263795178</v>
      </c>
      <c r="AV335" s="39">
        <f>IF(ISBLANK(T335),"",IF(ISBLANK($O335),AH335,IF($J335="ANUAL",AH335*(1+Macroindicadores!E$7),IF(AND($I335="NOVO",MONTH($O335)=MONTH(AV$4)),AH335*(1+Macroindicadores!E$7),IF(AND($J335="PONTUAL",MONTH($O335)=MONTH(AV$4)),AH335*(1+Macroindicadores!E$7),IF(AND($J335="PONTUAL",MONTH($O335)&lt;MONTH(AV$4)),MIN($AS335:AU335),IF(AND($I335="NOVO",MONTH($O335)&gt;MONTH(AV$4)),AH335,IF(MONTH($O335)&gt;MONTH(AV$4),AH335,IF(MONTH($O335)=MONTH(AV$4),AH335*(1+Macroindicadores!E$7),AU335)))))))))</f>
        <v>0.91220281263795178</v>
      </c>
      <c r="AW335" s="39">
        <f>IF(ISBLANK(U335),"",IF(ISBLANK($O335),AI335,IF($J335="ANUAL",AI335*(1+Macroindicadores!F$7),IF(AND($I335="NOVO",MONTH($O335)=MONTH(AW$4)),AI335*(1+Macroindicadores!F$7),IF(AND($J335="PONTUAL",MONTH($O335)=MONTH(AW$4)),AI335*(1+Macroindicadores!F$7),IF(AND($J335="PONTUAL",MONTH($O335)&lt;MONTH(AW$4)),MIN($AS335:AV335),IF(AND($I335="NOVO",MONTH($O335)&gt;MONTH(AW$4)),AI335,IF(MONTH($O335)&gt;MONTH(AW$4),AI335,IF(MONTH($O335)=MONTH(AW$4),AI335*(1+Macroindicadores!F$7),AV335)))))))))</f>
        <v>0.91220281263795178</v>
      </c>
      <c r="AX335" s="39">
        <f>IF(ISBLANK(V335),"",IF(ISBLANK($O335),AJ335,IF($J335="ANUAL",AJ335*(1+Macroindicadores!G$7),IF(AND($I335="NOVO",MONTH($O335)=MONTH(AX$4)),AJ335*(1+Macroindicadores!G$7),IF(AND($J335="PONTUAL",MONTH($O335)=MONTH(AX$4)),AJ335*(1+Macroindicadores!G$7),IF(AND($J335="PONTUAL",MONTH($O335)&lt;MONTH(AX$4)),MIN($AS335:AW335),IF(AND($I335="NOVO",MONTH($O335)&gt;MONTH(AX$4)),AJ335,IF(MONTH($O335)&gt;MONTH(AX$4),AJ335,IF(MONTH($O335)=MONTH(AX$4),AJ335*(1+Macroindicadores!G$7),AW335)))))))))</f>
        <v>0.91220281263795178</v>
      </c>
      <c r="AY335" s="39">
        <f>IF(ISBLANK(W335),"",IF(ISBLANK($O335),AK335,IF($J335="ANUAL",AK335*(1+Macroindicadores!H$7),IF(AND($I335="NOVO",MONTH($O335)=MONTH(AY$4)),AK335*(1+Macroindicadores!H$7),IF(AND($J335="PONTUAL",MONTH($O335)=MONTH(AY$4)),AK335*(1+Macroindicadores!H$7),IF(AND($J335="PONTUAL",MONTH($O335)&lt;MONTH(AY$4)),MIN($AS335:AX335),IF(AND($I335="NOVO",MONTH($O335)&gt;MONTH(AY$4)),AK335,IF(MONTH($O335)&gt;MONTH(AY$4),AK335,IF(MONTH($O335)=MONTH(AY$4),AK335*(1+Macroindicadores!H$7),AX335)))))))))</f>
        <v>0.91220281263795178</v>
      </c>
      <c r="AZ335" s="39">
        <f>IF(ISBLANK(X335),"",IF(ISBLANK($O335),AL335,IF($J335="ANUAL",AL335*(1+Macroindicadores!I$7),IF(AND($I335="NOVO",MONTH($O335)=MONTH(AZ$4)),AL335*(1+Macroindicadores!I$7),IF(AND($J335="PONTUAL",MONTH($O335)=MONTH(AZ$4)),AL335*(1+Macroindicadores!I$7),IF(AND($J335="PONTUAL",MONTH($O335)&lt;MONTH(AZ$4)),MIN($AS335:AY335),IF(AND($I335="NOVO",MONTH($O335)&gt;MONTH(AZ$4)),AL335,IF(MONTH($O335)&gt;MONTH(AZ$4),AL335,IF(MONTH($O335)=MONTH(AZ$4),AL335*(1+Macroindicadores!I$7),AY335)))))))))</f>
        <v>0.91220281263795178</v>
      </c>
      <c r="BA335" s="39">
        <f>IF(ISBLANK(Y335),"",IF(ISBLANK($O335),AM335,IF($J335="ANUAL",AM335*(1+Macroindicadores!J$7),IF(AND($I335="NOVO",MONTH($O335)=MONTH(BA$4)),AM335*(1+Macroindicadores!J$7),IF(AND($J335="PONTUAL",MONTH($O335)=MONTH(BA$4)),AM335*(1+Macroindicadores!J$7),IF(AND($J335="PONTUAL",MONTH($O335)&lt;MONTH(BA$4)),MIN($AS335:AZ335),IF(AND($I335="NOVO",MONTH($O335)&gt;MONTH(BA$4)),AM335,IF(MONTH($O335)&gt;MONTH(BA$4),AM335,IF(MONTH($O335)=MONTH(BA$4),AM335*(1+Macroindicadores!J$7),AZ335)))))))))</f>
        <v>0.91220281263795178</v>
      </c>
      <c r="BB335" s="39">
        <f>IF(ISBLANK(Z335),"",IF(ISBLANK($O335),AN335,IF($J335="ANUAL",AN335*(1+Macroindicadores!K$7),IF(AND($I335="NOVO",MONTH($O335)=MONTH(BB$4)),AN335*(1+Macroindicadores!K$7),IF(AND($J335="PONTUAL",MONTH($O335)=MONTH(BB$4)),AN335*(1+Macroindicadores!K$7),IF(AND($J335="PONTUAL",MONTH($O335)&lt;MONTH(BB$4)),MIN($AS335:BA335),IF(AND($I335="NOVO",MONTH($O335)&gt;MONTH(BB$4)),AN335,IF(MONTH($O335)&gt;MONTH(BB$4),AN335,IF(MONTH($O335)=MONTH(BB$4),AN335*(1+Macroindicadores!K$7),BA335)))))))))</f>
        <v>0.91220281263795178</v>
      </c>
      <c r="BC335" s="39">
        <f>IF(ISBLANK(AA335),"",IF(ISBLANK($O335),AO335,IF($J335="ANUAL",AO335*(1+Macroindicadores!L$7),IF(AND($I335="NOVO",MONTH($O335)=MONTH(BC$4)),AO335*(1+Macroindicadores!L$7),IF(AND($J335="PONTUAL",MONTH($O335)=MONTH(BC$4)),AO335*(1+Macroindicadores!L$7),IF(AND($J335="PONTUAL",MONTH($O335)&lt;MONTH(BC$4)),MIN($AS335:BB335),IF(AND($I335="NOVO",MONTH($O335)&gt;MONTH(BC$4)),AO335,IF(MONTH($O335)&gt;MONTH(BC$4),AO335,IF(MONTH($O335)=MONTH(BC$4),AO335*(1+Macroindicadores!L$7),BB335)))))))))</f>
        <v>0.91220281263795178</v>
      </c>
      <c r="BD335" s="39">
        <f>IF(ISBLANK(AB335),"",IF(ISBLANK($O335),AP335,IF($J335="ANUAL",AP335*(1+Macroindicadores!M$7),IF(AND($I335="NOVO",MONTH($O335)=MONTH(BD$4)),AP335*(1+Macroindicadores!M$7),IF(AND($J335="PONTUAL",MONTH($O335)=MONTH(BD$4)),AP335*(1+Macroindicadores!M$7),IF(AND($J335="PONTUAL",MONTH($O335)&lt;MONTH(BD$4)),MIN($AS335:BC335),IF(AND($I335="NOVO",MONTH($O335)&gt;MONTH(BD$4)),AP335,IF(MONTH($O335)&gt;MONTH(BD$4),AP335,IF(MONTH($O335)=MONTH(BD$4),AP335*(1+Macroindicadores!M$7),BC335)))))))))</f>
        <v>0.91220281263795178</v>
      </c>
      <c r="BE335" s="40">
        <f t="shared" si="150"/>
        <v>10.946433751655425</v>
      </c>
      <c r="BG335" s="39">
        <f>IF(ISBLANK(Q335),"",AS335/Macroindicadores!B$2)</f>
        <v>0.15513653276155642</v>
      </c>
      <c r="BH335" s="39">
        <f>IF(ISBLANK(R335),"",AT335/Macroindicadores!C$2)</f>
        <v>0.15513653276155642</v>
      </c>
      <c r="BI335" s="39">
        <f>IF(ISBLANK(S335),"",AU335/Macroindicadores!D$2)</f>
        <v>0.15513653276155642</v>
      </c>
      <c r="BJ335" s="39">
        <f>IF(ISBLANK(T335),"",AV335/Macroindicadores!E$2)</f>
        <v>0.15513653276155642</v>
      </c>
      <c r="BK335" s="39">
        <f>IF(ISBLANK(U335),"",AW335/Macroindicadores!F$2)</f>
        <v>0.15513653276155642</v>
      </c>
      <c r="BL335" s="39">
        <f>IF(ISBLANK(V335),"",AX335/Macroindicadores!G$2)</f>
        <v>0.15513653276155642</v>
      </c>
      <c r="BM335" s="39">
        <f>IF(ISBLANK(W335),"",AY335/Macroindicadores!H$2)</f>
        <v>0.15513653276155642</v>
      </c>
      <c r="BN335" s="39">
        <f>IF(ISBLANK(X335),"",AZ335/Macroindicadores!I$2)</f>
        <v>0.15513653276155642</v>
      </c>
      <c r="BO335" s="39">
        <f>IF(ISBLANK(Y335),"",BA335/Macroindicadores!J$2)</f>
        <v>0.15513653276155642</v>
      </c>
      <c r="BP335" s="39">
        <f>IF(ISBLANK(Z335),"",BB335/Macroindicadores!K$2)</f>
        <v>0.15513653276155642</v>
      </c>
      <c r="BQ335" s="39">
        <f>IF(ISBLANK(AA335),"",BC335/Macroindicadores!L$2)</f>
        <v>0.15513653276155642</v>
      </c>
      <c r="BR335" s="39">
        <f>IF(ISBLANK(AB335),"",BD335/Macroindicadores!M$2)</f>
        <v>0.15513653276155642</v>
      </c>
      <c r="BS335" s="40">
        <f t="shared" si="151"/>
        <v>1.8616383931386766</v>
      </c>
    </row>
    <row r="336" spans="1:72">
      <c r="C336" s="111" t="s">
        <v>336</v>
      </c>
      <c r="D336" s="111" t="s">
        <v>337</v>
      </c>
      <c r="E336" s="111" t="s">
        <v>14</v>
      </c>
      <c r="F336" s="112" t="s">
        <v>344</v>
      </c>
      <c r="G336" s="112" t="s">
        <v>224</v>
      </c>
      <c r="H336" s="112" t="s">
        <v>345</v>
      </c>
      <c r="I336" s="11" t="s">
        <v>77</v>
      </c>
      <c r="J336" s="11" t="s">
        <v>78</v>
      </c>
      <c r="K336" s="11" t="s">
        <v>79</v>
      </c>
      <c r="L336" s="11"/>
      <c r="M336" s="18"/>
      <c r="N336" s="11" t="s">
        <v>132</v>
      </c>
      <c r="O336" s="12"/>
      <c r="P336" s="113" t="s">
        <v>88</v>
      </c>
      <c r="Q336" s="41">
        <v>365.76906098253141</v>
      </c>
      <c r="R336" s="41">
        <v>365.76906098253141</v>
      </c>
      <c r="S336" s="41">
        <v>365.76906098253141</v>
      </c>
      <c r="T336" s="41">
        <v>365.76906098253141</v>
      </c>
      <c r="U336" s="41">
        <v>365.76906098253141</v>
      </c>
      <c r="V336" s="41">
        <v>365.76906098253141</v>
      </c>
      <c r="W336" s="41">
        <v>365.76906098253141</v>
      </c>
      <c r="X336" s="41">
        <v>365.76906098253141</v>
      </c>
      <c r="Y336" s="41">
        <v>365.76906098253141</v>
      </c>
      <c r="Z336" s="41">
        <v>365.76906098253141</v>
      </c>
      <c r="AA336" s="41">
        <v>365.76906098253141</v>
      </c>
      <c r="AB336" s="41">
        <v>365.76906098253141</v>
      </c>
      <c r="AC336" s="116">
        <f t="shared" si="152"/>
        <v>4389.2287317903765</v>
      </c>
      <c r="AD336" s="8">
        <f t="shared" si="153"/>
        <v>760.69822041427676</v>
      </c>
      <c r="AE336" s="39">
        <f>IF(ISBLANK(Q336),"",IF($P336="BRL",Q336,Q336*Macroindicadores!B$2)/1000)</f>
        <v>2.1507220785772847</v>
      </c>
      <c r="AF336" s="39">
        <f>IF(ISBLANK(R336),"",IF($P336="BRL",R336,R336*Macroindicadores!C$2)/1000)</f>
        <v>2.1507220785772847</v>
      </c>
      <c r="AG336" s="39">
        <f>IF(ISBLANK(S336),"",IF($P336="BRL",S336,S336*Macroindicadores!D$2)/1000)</f>
        <v>2.1507220785772847</v>
      </c>
      <c r="AH336" s="39">
        <f>IF(ISBLANK(T336),"",IF($P336="BRL",T336,T336*Macroindicadores!E$2)/1000)</f>
        <v>2.1507220785772847</v>
      </c>
      <c r="AI336" s="39">
        <f>IF(ISBLANK(U336),"",IF($P336="BRL",U336,U336*Macroindicadores!F$2)/1000)</f>
        <v>2.1507220785772847</v>
      </c>
      <c r="AJ336" s="39">
        <f>IF(ISBLANK(V336),"",IF($P336="BRL",V336,V336*Macroindicadores!G$2)/1000)</f>
        <v>2.1507220785772847</v>
      </c>
      <c r="AK336" s="39">
        <f>IF(ISBLANK(W336),"",IF($P336="BRL",W336,W336*Macroindicadores!H$2)/1000)</f>
        <v>2.1507220785772847</v>
      </c>
      <c r="AL336" s="39">
        <f>IF(ISBLANK(X336),"",IF($P336="BRL",X336,X336*Macroindicadores!I$2)/1000)</f>
        <v>2.1507220785772847</v>
      </c>
      <c r="AM336" s="39">
        <f>IF(ISBLANK(Y336),"",IF($P336="BRL",Y336,Y336*Macroindicadores!J$2)/1000)</f>
        <v>2.1507220785772847</v>
      </c>
      <c r="AN336" s="39">
        <f>IF(ISBLANK(Z336),"",IF($P336="BRL",Z336,Z336*Macroindicadores!K$2)/1000)</f>
        <v>2.1507220785772847</v>
      </c>
      <c r="AO336" s="39">
        <f>IF(ISBLANK(AA336),"",IF($P336="BRL",AA336,AA336*Macroindicadores!L$2)/1000)</f>
        <v>2.1507220785772847</v>
      </c>
      <c r="AP336" s="39">
        <f>IF(ISBLANK(AB336),"",IF($P336="BRL",AB336,AB336*Macroindicadores!M$2)/1000)</f>
        <v>2.1507220785772847</v>
      </c>
      <c r="AQ336" s="40">
        <f t="shared" si="149"/>
        <v>25.808664942927418</v>
      </c>
      <c r="AS336" s="39">
        <f>IF(ISBLANK(Q336),"",IF(ISBLANK($O336),AE336,IF($J336="ANUAL",AE336*(1+Macroindicadores!B$7),IF(AND($I336="NOVO",MONTH($O336)=MONTH(AS$4)),AE336*(1+Macroindicadores!B$7),IF(AND($J336="PONTUAL",MONTH($O336)=MONTH(AS$4)),AE336*(1+Macroindicadores!B$7),IF(AND($J336="PONTUAL",MONTH($O336)&lt;MONTH(AS$4)),MIN(AR336:$AS336),IF(AND($I336="NOVO",MONTH($O336)&gt;MONTH(AS$4)),AE336,IF(MONTH($O336)&gt;MONTH(AS$4),AE336,IF(MONTH($O336)=MONTH(AS$4),AE336*(1+Macroindicadores!B$7),AR336)))))))))</f>
        <v>2.1507220785772847</v>
      </c>
      <c r="AT336" s="39">
        <f>IF(ISBLANK(R336),"",IF(ISBLANK($O336),AF336,IF($J336="ANUAL",AF336*(1+Macroindicadores!C$7),IF(AND($I336="NOVO",MONTH($O336)=MONTH(AT$4)),AF336*(1+Macroindicadores!C$7),IF(AND($J336="PONTUAL",MONTH($O336)=MONTH(AT$4)),AF336*(1+Macroindicadores!C$7),IF(AND($J336="PONTUAL",MONTH($O336)&lt;MONTH(AT$4)),MIN($AS336:AS336),IF(AND($I336="NOVO",MONTH($O336)&gt;MONTH(AT$4)),AF336,IF(MONTH($O336)&gt;MONTH(AT$4),AF336,IF(MONTH($O336)=MONTH(AT$4),AF336*(1+Macroindicadores!C$7),AS336)))))))))</f>
        <v>2.1507220785772847</v>
      </c>
      <c r="AU336" s="39">
        <f>IF(ISBLANK(S336),"",IF(ISBLANK($O336),AG336,IF($J336="ANUAL",AG336*(1+Macroindicadores!D$7),IF(AND($I336="NOVO",MONTH($O336)=MONTH(AU$4)),AG336*(1+Macroindicadores!D$7),IF(AND($J336="PONTUAL",MONTH($O336)=MONTH(AU$4)),AG336*(1+Macroindicadores!D$7),IF(AND($J336="PONTUAL",MONTH($O336)&lt;MONTH(AU$4)),MIN($AS336:AT336),IF(AND($I336="NOVO",MONTH($O336)&gt;MONTH(AU$4)),AG336,IF(MONTH($O336)&gt;MONTH(AU$4),AG336,IF(MONTH($O336)=MONTH(AU$4),AG336*(1+Macroindicadores!D$7),AT336)))))))))</f>
        <v>2.1507220785772847</v>
      </c>
      <c r="AV336" s="39">
        <f>IF(ISBLANK(T336),"",IF(ISBLANK($O336),AH336,IF($J336="ANUAL",AH336*(1+Macroindicadores!E$7),IF(AND($I336="NOVO",MONTH($O336)=MONTH(AV$4)),AH336*(1+Macroindicadores!E$7),IF(AND($J336="PONTUAL",MONTH($O336)=MONTH(AV$4)),AH336*(1+Macroindicadores!E$7),IF(AND($J336="PONTUAL",MONTH($O336)&lt;MONTH(AV$4)),MIN($AS336:AU336),IF(AND($I336="NOVO",MONTH($O336)&gt;MONTH(AV$4)),AH336,IF(MONTH($O336)&gt;MONTH(AV$4),AH336,IF(MONTH($O336)=MONTH(AV$4),AH336*(1+Macroindicadores!E$7),AU336)))))))))</f>
        <v>2.1507220785772847</v>
      </c>
      <c r="AW336" s="39">
        <f>IF(ISBLANK(U336),"",IF(ISBLANK($O336),AI336,IF($J336="ANUAL",AI336*(1+Macroindicadores!F$7),IF(AND($I336="NOVO",MONTH($O336)=MONTH(AW$4)),AI336*(1+Macroindicadores!F$7),IF(AND($J336="PONTUAL",MONTH($O336)=MONTH(AW$4)),AI336*(1+Macroindicadores!F$7),IF(AND($J336="PONTUAL",MONTH($O336)&lt;MONTH(AW$4)),MIN($AS336:AV336),IF(AND($I336="NOVO",MONTH($O336)&gt;MONTH(AW$4)),AI336,IF(MONTH($O336)&gt;MONTH(AW$4),AI336,IF(MONTH($O336)=MONTH(AW$4),AI336*(1+Macroindicadores!F$7),AV336)))))))))</f>
        <v>2.1507220785772847</v>
      </c>
      <c r="AX336" s="39">
        <f>IF(ISBLANK(V336),"",IF(ISBLANK($O336),AJ336,IF($J336="ANUAL",AJ336*(1+Macroindicadores!G$7),IF(AND($I336="NOVO",MONTH($O336)=MONTH(AX$4)),AJ336*(1+Macroindicadores!G$7),IF(AND($J336="PONTUAL",MONTH($O336)=MONTH(AX$4)),AJ336*(1+Macroindicadores!G$7),IF(AND($J336="PONTUAL",MONTH($O336)&lt;MONTH(AX$4)),MIN($AS336:AW336),IF(AND($I336="NOVO",MONTH($O336)&gt;MONTH(AX$4)),AJ336,IF(MONTH($O336)&gt;MONTH(AX$4),AJ336,IF(MONTH($O336)=MONTH(AX$4),AJ336*(1+Macroindicadores!G$7),AW336)))))))))</f>
        <v>2.1507220785772847</v>
      </c>
      <c r="AY336" s="39">
        <f>IF(ISBLANK(W336),"",IF(ISBLANK($O336),AK336,IF($J336="ANUAL",AK336*(1+Macroindicadores!H$7),IF(AND($I336="NOVO",MONTH($O336)=MONTH(AY$4)),AK336*(1+Macroindicadores!H$7),IF(AND($J336="PONTUAL",MONTH($O336)=MONTH(AY$4)),AK336*(1+Macroindicadores!H$7),IF(AND($J336="PONTUAL",MONTH($O336)&lt;MONTH(AY$4)),MIN($AS336:AX336),IF(AND($I336="NOVO",MONTH($O336)&gt;MONTH(AY$4)),AK336,IF(MONTH($O336)&gt;MONTH(AY$4),AK336,IF(MONTH($O336)=MONTH(AY$4),AK336*(1+Macroindicadores!H$7),AX336)))))))))</f>
        <v>2.1507220785772847</v>
      </c>
      <c r="AZ336" s="39">
        <f>IF(ISBLANK(X336),"",IF(ISBLANK($O336),AL336,IF($J336="ANUAL",AL336*(1+Macroindicadores!I$7),IF(AND($I336="NOVO",MONTH($O336)=MONTH(AZ$4)),AL336*(1+Macroindicadores!I$7),IF(AND($J336="PONTUAL",MONTH($O336)=MONTH(AZ$4)),AL336*(1+Macroindicadores!I$7),IF(AND($J336="PONTUAL",MONTH($O336)&lt;MONTH(AZ$4)),MIN($AS336:AY336),IF(AND($I336="NOVO",MONTH($O336)&gt;MONTH(AZ$4)),AL336,IF(MONTH($O336)&gt;MONTH(AZ$4),AL336,IF(MONTH($O336)=MONTH(AZ$4),AL336*(1+Macroindicadores!I$7),AY336)))))))))</f>
        <v>2.1507220785772847</v>
      </c>
      <c r="BA336" s="39">
        <f>IF(ISBLANK(Y336),"",IF(ISBLANK($O336),AM336,IF($J336="ANUAL",AM336*(1+Macroindicadores!J$7),IF(AND($I336="NOVO",MONTH($O336)=MONTH(BA$4)),AM336*(1+Macroindicadores!J$7),IF(AND($J336="PONTUAL",MONTH($O336)=MONTH(BA$4)),AM336*(1+Macroindicadores!J$7),IF(AND($J336="PONTUAL",MONTH($O336)&lt;MONTH(BA$4)),MIN($AS336:AZ336),IF(AND($I336="NOVO",MONTH($O336)&gt;MONTH(BA$4)),AM336,IF(MONTH($O336)&gt;MONTH(BA$4),AM336,IF(MONTH($O336)=MONTH(BA$4),AM336*(1+Macroindicadores!J$7),AZ336)))))))))</f>
        <v>2.1507220785772847</v>
      </c>
      <c r="BB336" s="39">
        <f>IF(ISBLANK(Z336),"",IF(ISBLANK($O336),AN336,IF($J336="ANUAL",AN336*(1+Macroindicadores!K$7),IF(AND($I336="NOVO",MONTH($O336)=MONTH(BB$4)),AN336*(1+Macroindicadores!K$7),IF(AND($J336="PONTUAL",MONTH($O336)=MONTH(BB$4)),AN336*(1+Macroindicadores!K$7),IF(AND($J336="PONTUAL",MONTH($O336)&lt;MONTH(BB$4)),MIN($AS336:BA336),IF(AND($I336="NOVO",MONTH($O336)&gt;MONTH(BB$4)),AN336,IF(MONTH($O336)&gt;MONTH(BB$4),AN336,IF(MONTH($O336)=MONTH(BB$4),AN336*(1+Macroindicadores!K$7),BA336)))))))))</f>
        <v>2.1507220785772847</v>
      </c>
      <c r="BC336" s="39">
        <f>IF(ISBLANK(AA336),"",IF(ISBLANK($O336),AO336,IF($J336="ANUAL",AO336*(1+Macroindicadores!L$7),IF(AND($I336="NOVO",MONTH($O336)=MONTH(BC$4)),AO336*(1+Macroindicadores!L$7),IF(AND($J336="PONTUAL",MONTH($O336)=MONTH(BC$4)),AO336*(1+Macroindicadores!L$7),IF(AND($J336="PONTUAL",MONTH($O336)&lt;MONTH(BC$4)),MIN($AS336:BB336),IF(AND($I336="NOVO",MONTH($O336)&gt;MONTH(BC$4)),AO336,IF(MONTH($O336)&gt;MONTH(BC$4),AO336,IF(MONTH($O336)=MONTH(BC$4),AO336*(1+Macroindicadores!L$7),BB336)))))))))</f>
        <v>2.1507220785772847</v>
      </c>
      <c r="BD336" s="39">
        <f>IF(ISBLANK(AB336),"",IF(ISBLANK($O336),AP336,IF($J336="ANUAL",AP336*(1+Macroindicadores!M$7),IF(AND($I336="NOVO",MONTH($O336)=MONTH(BD$4)),AP336*(1+Macroindicadores!M$7),IF(AND($J336="PONTUAL",MONTH($O336)=MONTH(BD$4)),AP336*(1+Macroindicadores!M$7),IF(AND($J336="PONTUAL",MONTH($O336)&lt;MONTH(BD$4)),MIN($AS336:BC336),IF(AND($I336="NOVO",MONTH($O336)&gt;MONTH(BD$4)),AP336,IF(MONTH($O336)&gt;MONTH(BD$4),AP336,IF(MONTH($O336)=MONTH(BD$4),AP336*(1+Macroindicadores!M$7),BC336)))))))))</f>
        <v>2.1507220785772847</v>
      </c>
      <c r="BE336" s="40">
        <f t="shared" si="150"/>
        <v>25.808664942927418</v>
      </c>
      <c r="BG336" s="39">
        <f>IF(ISBLANK(Q336),"",AS336/Macroindicadores!B$2)</f>
        <v>0.36576906098253142</v>
      </c>
      <c r="BH336" s="39">
        <f>IF(ISBLANK(R336),"",AT336/Macroindicadores!C$2)</f>
        <v>0.36576906098253142</v>
      </c>
      <c r="BI336" s="39">
        <f>IF(ISBLANK(S336),"",AU336/Macroindicadores!D$2)</f>
        <v>0.36576906098253142</v>
      </c>
      <c r="BJ336" s="39">
        <f>IF(ISBLANK(T336),"",AV336/Macroindicadores!E$2)</f>
        <v>0.36576906098253142</v>
      </c>
      <c r="BK336" s="39">
        <f>IF(ISBLANK(U336),"",AW336/Macroindicadores!F$2)</f>
        <v>0.36576906098253142</v>
      </c>
      <c r="BL336" s="39">
        <f>IF(ISBLANK(V336),"",AX336/Macroindicadores!G$2)</f>
        <v>0.36576906098253142</v>
      </c>
      <c r="BM336" s="39">
        <f>IF(ISBLANK(W336),"",AY336/Macroindicadores!H$2)</f>
        <v>0.36576906098253142</v>
      </c>
      <c r="BN336" s="39">
        <f>IF(ISBLANK(X336),"",AZ336/Macroindicadores!I$2)</f>
        <v>0.36576906098253142</v>
      </c>
      <c r="BO336" s="39">
        <f>IF(ISBLANK(Y336),"",BA336/Macroindicadores!J$2)</f>
        <v>0.36576906098253142</v>
      </c>
      <c r="BP336" s="39">
        <f>IF(ISBLANK(Z336),"",BB336/Macroindicadores!K$2)</f>
        <v>0.36576906098253142</v>
      </c>
      <c r="BQ336" s="39">
        <f>IF(ISBLANK(AA336),"",BC336/Macroindicadores!L$2)</f>
        <v>0.36576906098253142</v>
      </c>
      <c r="BR336" s="39">
        <f>IF(ISBLANK(AB336),"",BD336/Macroindicadores!M$2)</f>
        <v>0.36576906098253142</v>
      </c>
      <c r="BS336" s="40">
        <f t="shared" si="151"/>
        <v>4.389228731790376</v>
      </c>
    </row>
    <row r="337" spans="3:71">
      <c r="C337" s="111" t="s">
        <v>336</v>
      </c>
      <c r="D337" s="111" t="s">
        <v>337</v>
      </c>
      <c r="E337" s="111" t="s">
        <v>14</v>
      </c>
      <c r="F337" s="112" t="s">
        <v>346</v>
      </c>
      <c r="G337" s="112" t="s">
        <v>224</v>
      </c>
      <c r="H337" s="112" t="s">
        <v>345</v>
      </c>
      <c r="I337" s="11" t="s">
        <v>77</v>
      </c>
      <c r="J337" s="11" t="s">
        <v>78</v>
      </c>
      <c r="K337" s="11" t="s">
        <v>79</v>
      </c>
      <c r="L337" s="11"/>
      <c r="M337" s="18"/>
      <c r="N337" s="11" t="s">
        <v>132</v>
      </c>
      <c r="O337" s="12"/>
      <c r="P337" s="113" t="s">
        <v>88</v>
      </c>
      <c r="Q337" s="41">
        <v>56.183893548590532</v>
      </c>
      <c r="R337" s="41">
        <v>56.183893548590532</v>
      </c>
      <c r="S337" s="41">
        <v>56.183893548590532</v>
      </c>
      <c r="T337" s="41">
        <v>56.183893548590532</v>
      </c>
      <c r="U337" s="41">
        <v>56.183893548590532</v>
      </c>
      <c r="V337" s="41">
        <v>56.183893548590532</v>
      </c>
      <c r="W337" s="41">
        <v>56.183893548590532</v>
      </c>
      <c r="X337" s="41">
        <v>56.183893548590532</v>
      </c>
      <c r="Y337" s="41">
        <v>56.183893548590532</v>
      </c>
      <c r="Z337" s="41">
        <v>56.183893548590532</v>
      </c>
      <c r="AA337" s="41">
        <v>56.183893548590532</v>
      </c>
      <c r="AB337" s="41">
        <v>56.183893548590532</v>
      </c>
      <c r="AC337" s="116">
        <f t="shared" si="152"/>
        <v>674.20672258308616</v>
      </c>
      <c r="AD337" s="8">
        <f t="shared" si="153"/>
        <v>116.84691899186936</v>
      </c>
      <c r="AE337" s="39">
        <f>IF(ISBLANK(Q337),"",IF($P337="BRL",Q337,Q337*Macroindicadores!B$2)/1000)</f>
        <v>0.33036129406571235</v>
      </c>
      <c r="AF337" s="39">
        <f>IF(ISBLANK(R337),"",IF($P337="BRL",R337,R337*Macroindicadores!C$2)/1000)</f>
        <v>0.33036129406571235</v>
      </c>
      <c r="AG337" s="39">
        <f>IF(ISBLANK(S337),"",IF($P337="BRL",S337,S337*Macroindicadores!D$2)/1000)</f>
        <v>0.33036129406571235</v>
      </c>
      <c r="AH337" s="39">
        <f>IF(ISBLANK(T337),"",IF($P337="BRL",T337,T337*Macroindicadores!E$2)/1000)</f>
        <v>0.33036129406571235</v>
      </c>
      <c r="AI337" s="39">
        <f>IF(ISBLANK(U337),"",IF($P337="BRL",U337,U337*Macroindicadores!F$2)/1000)</f>
        <v>0.33036129406571235</v>
      </c>
      <c r="AJ337" s="39">
        <f>IF(ISBLANK(V337),"",IF($P337="BRL",V337,V337*Macroindicadores!G$2)/1000)</f>
        <v>0.33036129406571235</v>
      </c>
      <c r="AK337" s="39">
        <f>IF(ISBLANK(W337),"",IF($P337="BRL",W337,W337*Macroindicadores!H$2)/1000)</f>
        <v>0.33036129406571235</v>
      </c>
      <c r="AL337" s="39">
        <f>IF(ISBLANK(X337),"",IF($P337="BRL",X337,X337*Macroindicadores!I$2)/1000)</f>
        <v>0.33036129406571235</v>
      </c>
      <c r="AM337" s="39">
        <f>IF(ISBLANK(Y337),"",IF($P337="BRL",Y337,Y337*Macroindicadores!J$2)/1000)</f>
        <v>0.33036129406571235</v>
      </c>
      <c r="AN337" s="39">
        <f>IF(ISBLANK(Z337),"",IF($P337="BRL",Z337,Z337*Macroindicadores!K$2)/1000)</f>
        <v>0.33036129406571235</v>
      </c>
      <c r="AO337" s="39">
        <f>IF(ISBLANK(AA337),"",IF($P337="BRL",AA337,AA337*Macroindicadores!L$2)/1000)</f>
        <v>0.33036129406571235</v>
      </c>
      <c r="AP337" s="39">
        <f>IF(ISBLANK(AB337),"",IF($P337="BRL",AB337,AB337*Macroindicadores!M$2)/1000)</f>
        <v>0.33036129406571235</v>
      </c>
      <c r="AQ337" s="40">
        <f t="shared" si="149"/>
        <v>3.9643355287885473</v>
      </c>
      <c r="AS337" s="39">
        <f>IF(ISBLANK(Q337),"",IF(ISBLANK($O337),AE337,IF($J337="ANUAL",AE337*(1+Macroindicadores!B$7),IF(AND($I337="NOVO",MONTH($O337)=MONTH(AS$4)),AE337*(1+Macroindicadores!B$7),IF(AND($J337="PONTUAL",MONTH($O337)=MONTH(AS$4)),AE337*(1+Macroindicadores!B$7),IF(AND($J337="PONTUAL",MONTH($O337)&lt;MONTH(AS$4)),MIN(AR337:$AS337),IF(AND($I337="NOVO",MONTH($O337)&gt;MONTH(AS$4)),AE337,IF(MONTH($O337)&gt;MONTH(AS$4),AE337,IF(MONTH($O337)=MONTH(AS$4),AE337*(1+Macroindicadores!B$7),AR337)))))))))</f>
        <v>0.33036129406571235</v>
      </c>
      <c r="AT337" s="39">
        <f>IF(ISBLANK(R337),"",IF(ISBLANK($O337),AF337,IF($J337="ANUAL",AF337*(1+Macroindicadores!C$7),IF(AND($I337="NOVO",MONTH($O337)=MONTH(AT$4)),AF337*(1+Macroindicadores!C$7),IF(AND($J337="PONTUAL",MONTH($O337)=MONTH(AT$4)),AF337*(1+Macroindicadores!C$7),IF(AND($J337="PONTUAL",MONTH($O337)&lt;MONTH(AT$4)),MIN($AS337:AS337),IF(AND($I337="NOVO",MONTH($O337)&gt;MONTH(AT$4)),AF337,IF(MONTH($O337)&gt;MONTH(AT$4),AF337,IF(MONTH($O337)=MONTH(AT$4),AF337*(1+Macroindicadores!C$7),AS337)))))))))</f>
        <v>0.33036129406571235</v>
      </c>
      <c r="AU337" s="39">
        <f>IF(ISBLANK(S337),"",IF(ISBLANK($O337),AG337,IF($J337="ANUAL",AG337*(1+Macroindicadores!D$7),IF(AND($I337="NOVO",MONTH($O337)=MONTH(AU$4)),AG337*(1+Macroindicadores!D$7),IF(AND($J337="PONTUAL",MONTH($O337)=MONTH(AU$4)),AG337*(1+Macroindicadores!D$7),IF(AND($J337="PONTUAL",MONTH($O337)&lt;MONTH(AU$4)),MIN($AS337:AT337),IF(AND($I337="NOVO",MONTH($O337)&gt;MONTH(AU$4)),AG337,IF(MONTH($O337)&gt;MONTH(AU$4),AG337,IF(MONTH($O337)=MONTH(AU$4),AG337*(1+Macroindicadores!D$7),AT337)))))))))</f>
        <v>0.33036129406571235</v>
      </c>
      <c r="AV337" s="39">
        <f>IF(ISBLANK(T337),"",IF(ISBLANK($O337),AH337,IF($J337="ANUAL",AH337*(1+Macroindicadores!E$7),IF(AND($I337="NOVO",MONTH($O337)=MONTH(AV$4)),AH337*(1+Macroindicadores!E$7),IF(AND($J337="PONTUAL",MONTH($O337)=MONTH(AV$4)),AH337*(1+Macroindicadores!E$7),IF(AND($J337="PONTUAL",MONTH($O337)&lt;MONTH(AV$4)),MIN($AS337:AU337),IF(AND($I337="NOVO",MONTH($O337)&gt;MONTH(AV$4)),AH337,IF(MONTH($O337)&gt;MONTH(AV$4),AH337,IF(MONTH($O337)=MONTH(AV$4),AH337*(1+Macroindicadores!E$7),AU337)))))))))</f>
        <v>0.33036129406571235</v>
      </c>
      <c r="AW337" s="39">
        <f>IF(ISBLANK(U337),"",IF(ISBLANK($O337),AI337,IF($J337="ANUAL",AI337*(1+Macroindicadores!F$7),IF(AND($I337="NOVO",MONTH($O337)=MONTH(AW$4)),AI337*(1+Macroindicadores!F$7),IF(AND($J337="PONTUAL",MONTH($O337)=MONTH(AW$4)),AI337*(1+Macroindicadores!F$7),IF(AND($J337="PONTUAL",MONTH($O337)&lt;MONTH(AW$4)),MIN($AS337:AV337),IF(AND($I337="NOVO",MONTH($O337)&gt;MONTH(AW$4)),AI337,IF(MONTH($O337)&gt;MONTH(AW$4),AI337,IF(MONTH($O337)=MONTH(AW$4),AI337*(1+Macroindicadores!F$7),AV337)))))))))</f>
        <v>0.33036129406571235</v>
      </c>
      <c r="AX337" s="39">
        <f>IF(ISBLANK(V337),"",IF(ISBLANK($O337),AJ337,IF($J337="ANUAL",AJ337*(1+Macroindicadores!G$7),IF(AND($I337="NOVO",MONTH($O337)=MONTH(AX$4)),AJ337*(1+Macroindicadores!G$7),IF(AND($J337="PONTUAL",MONTH($O337)=MONTH(AX$4)),AJ337*(1+Macroindicadores!G$7),IF(AND($J337="PONTUAL",MONTH($O337)&lt;MONTH(AX$4)),MIN($AS337:AW337),IF(AND($I337="NOVO",MONTH($O337)&gt;MONTH(AX$4)),AJ337,IF(MONTH($O337)&gt;MONTH(AX$4),AJ337,IF(MONTH($O337)=MONTH(AX$4),AJ337*(1+Macroindicadores!G$7),AW337)))))))))</f>
        <v>0.33036129406571235</v>
      </c>
      <c r="AY337" s="39">
        <f>IF(ISBLANK(W337),"",IF(ISBLANK($O337),AK337,IF($J337="ANUAL",AK337*(1+Macroindicadores!H$7),IF(AND($I337="NOVO",MONTH($O337)=MONTH(AY$4)),AK337*(1+Macroindicadores!H$7),IF(AND($J337="PONTUAL",MONTH($O337)=MONTH(AY$4)),AK337*(1+Macroindicadores!H$7),IF(AND($J337="PONTUAL",MONTH($O337)&lt;MONTH(AY$4)),MIN($AS337:AX337),IF(AND($I337="NOVO",MONTH($O337)&gt;MONTH(AY$4)),AK337,IF(MONTH($O337)&gt;MONTH(AY$4),AK337,IF(MONTH($O337)=MONTH(AY$4),AK337*(1+Macroindicadores!H$7),AX337)))))))))</f>
        <v>0.33036129406571235</v>
      </c>
      <c r="AZ337" s="39">
        <f>IF(ISBLANK(X337),"",IF(ISBLANK($O337),AL337,IF($J337="ANUAL",AL337*(1+Macroindicadores!I$7),IF(AND($I337="NOVO",MONTH($O337)=MONTH(AZ$4)),AL337*(1+Macroindicadores!I$7),IF(AND($J337="PONTUAL",MONTH($O337)=MONTH(AZ$4)),AL337*(1+Macroindicadores!I$7),IF(AND($J337="PONTUAL",MONTH($O337)&lt;MONTH(AZ$4)),MIN($AS337:AY337),IF(AND($I337="NOVO",MONTH($O337)&gt;MONTH(AZ$4)),AL337,IF(MONTH($O337)&gt;MONTH(AZ$4),AL337,IF(MONTH($O337)=MONTH(AZ$4),AL337*(1+Macroindicadores!I$7),AY337)))))))))</f>
        <v>0.33036129406571235</v>
      </c>
      <c r="BA337" s="39">
        <f>IF(ISBLANK(Y337),"",IF(ISBLANK($O337),AM337,IF($J337="ANUAL",AM337*(1+Macroindicadores!J$7),IF(AND($I337="NOVO",MONTH($O337)=MONTH(BA$4)),AM337*(1+Macroindicadores!J$7),IF(AND($J337="PONTUAL",MONTH($O337)=MONTH(BA$4)),AM337*(1+Macroindicadores!J$7),IF(AND($J337="PONTUAL",MONTH($O337)&lt;MONTH(BA$4)),MIN($AS337:AZ337),IF(AND($I337="NOVO",MONTH($O337)&gt;MONTH(BA$4)),AM337,IF(MONTH($O337)&gt;MONTH(BA$4),AM337,IF(MONTH($O337)=MONTH(BA$4),AM337*(1+Macroindicadores!J$7),AZ337)))))))))</f>
        <v>0.33036129406571235</v>
      </c>
      <c r="BB337" s="39">
        <f>IF(ISBLANK(Z337),"",IF(ISBLANK($O337),AN337,IF($J337="ANUAL",AN337*(1+Macroindicadores!K$7),IF(AND($I337="NOVO",MONTH($O337)=MONTH(BB$4)),AN337*(1+Macroindicadores!K$7),IF(AND($J337="PONTUAL",MONTH($O337)=MONTH(BB$4)),AN337*(1+Macroindicadores!K$7),IF(AND($J337="PONTUAL",MONTH($O337)&lt;MONTH(BB$4)),MIN($AS337:BA337),IF(AND($I337="NOVO",MONTH($O337)&gt;MONTH(BB$4)),AN337,IF(MONTH($O337)&gt;MONTH(BB$4),AN337,IF(MONTH($O337)=MONTH(BB$4),AN337*(1+Macroindicadores!K$7),BA337)))))))))</f>
        <v>0.33036129406571235</v>
      </c>
      <c r="BC337" s="39">
        <f>IF(ISBLANK(AA337),"",IF(ISBLANK($O337),AO337,IF($J337="ANUAL",AO337*(1+Macroindicadores!L$7),IF(AND($I337="NOVO",MONTH($O337)=MONTH(BC$4)),AO337*(1+Macroindicadores!L$7),IF(AND($J337="PONTUAL",MONTH($O337)=MONTH(BC$4)),AO337*(1+Macroindicadores!L$7),IF(AND($J337="PONTUAL",MONTH($O337)&lt;MONTH(BC$4)),MIN($AS337:BB337),IF(AND($I337="NOVO",MONTH($O337)&gt;MONTH(BC$4)),AO337,IF(MONTH($O337)&gt;MONTH(BC$4),AO337,IF(MONTH($O337)=MONTH(BC$4),AO337*(1+Macroindicadores!L$7),BB337)))))))))</f>
        <v>0.33036129406571235</v>
      </c>
      <c r="BD337" s="39">
        <f>IF(ISBLANK(AB337),"",IF(ISBLANK($O337),AP337,IF($J337="ANUAL",AP337*(1+Macroindicadores!M$7),IF(AND($I337="NOVO",MONTH($O337)=MONTH(BD$4)),AP337*(1+Macroindicadores!M$7),IF(AND($J337="PONTUAL",MONTH($O337)=MONTH(BD$4)),AP337*(1+Macroindicadores!M$7),IF(AND($J337="PONTUAL",MONTH($O337)&lt;MONTH(BD$4)),MIN($AS337:BC337),IF(AND($I337="NOVO",MONTH($O337)&gt;MONTH(BD$4)),AP337,IF(MONTH($O337)&gt;MONTH(BD$4),AP337,IF(MONTH($O337)=MONTH(BD$4),AP337*(1+Macroindicadores!M$7),BC337)))))))))</f>
        <v>0.33036129406571235</v>
      </c>
      <c r="BE337" s="40">
        <f t="shared" si="150"/>
        <v>3.9643355287885473</v>
      </c>
      <c r="BG337" s="39">
        <f>IF(ISBLANK(Q337),"",AS337/Macroindicadores!B$2)</f>
        <v>5.618389354859054E-2</v>
      </c>
      <c r="BH337" s="39">
        <f>IF(ISBLANK(R337),"",AT337/Macroindicadores!C$2)</f>
        <v>5.618389354859054E-2</v>
      </c>
      <c r="BI337" s="39">
        <f>IF(ISBLANK(S337),"",AU337/Macroindicadores!D$2)</f>
        <v>5.618389354859054E-2</v>
      </c>
      <c r="BJ337" s="39">
        <f>IF(ISBLANK(T337),"",AV337/Macroindicadores!E$2)</f>
        <v>5.618389354859054E-2</v>
      </c>
      <c r="BK337" s="39">
        <f>IF(ISBLANK(U337),"",AW337/Macroindicadores!F$2)</f>
        <v>5.618389354859054E-2</v>
      </c>
      <c r="BL337" s="39">
        <f>IF(ISBLANK(V337),"",AX337/Macroindicadores!G$2)</f>
        <v>5.618389354859054E-2</v>
      </c>
      <c r="BM337" s="39">
        <f>IF(ISBLANK(W337),"",AY337/Macroindicadores!H$2)</f>
        <v>5.618389354859054E-2</v>
      </c>
      <c r="BN337" s="39">
        <f>IF(ISBLANK(X337),"",AZ337/Macroindicadores!I$2)</f>
        <v>5.618389354859054E-2</v>
      </c>
      <c r="BO337" s="39">
        <f>IF(ISBLANK(Y337),"",BA337/Macroindicadores!J$2)</f>
        <v>5.618389354859054E-2</v>
      </c>
      <c r="BP337" s="39">
        <f>IF(ISBLANK(Z337),"",BB337/Macroindicadores!K$2)</f>
        <v>5.618389354859054E-2</v>
      </c>
      <c r="BQ337" s="39">
        <f>IF(ISBLANK(AA337),"",BC337/Macroindicadores!L$2)</f>
        <v>5.618389354859054E-2</v>
      </c>
      <c r="BR337" s="39">
        <f>IF(ISBLANK(AB337),"",BD337/Macroindicadores!M$2)</f>
        <v>5.618389354859054E-2</v>
      </c>
      <c r="BS337" s="40">
        <f t="shared" si="151"/>
        <v>0.67420672258308645</v>
      </c>
    </row>
    <row r="338" spans="3:71">
      <c r="C338" s="111" t="s">
        <v>336</v>
      </c>
      <c r="D338" s="111" t="s">
        <v>337</v>
      </c>
      <c r="E338" s="111" t="s">
        <v>14</v>
      </c>
      <c r="F338" s="112" t="s">
        <v>347</v>
      </c>
      <c r="G338" s="112" t="s">
        <v>224</v>
      </c>
      <c r="H338" s="112" t="s">
        <v>348</v>
      </c>
      <c r="I338" s="11" t="s">
        <v>77</v>
      </c>
      <c r="J338" s="11" t="s">
        <v>78</v>
      </c>
      <c r="K338" s="11" t="s">
        <v>79</v>
      </c>
      <c r="L338" s="11"/>
      <c r="M338" s="18"/>
      <c r="N338" s="11" t="s">
        <v>132</v>
      </c>
      <c r="O338" s="12"/>
      <c r="P338" s="113" t="s">
        <v>88</v>
      </c>
      <c r="Q338" s="41">
        <v>76.364255533833642</v>
      </c>
      <c r="R338" s="41">
        <v>76.364255533833642</v>
      </c>
      <c r="S338" s="41">
        <v>76.364255533833642</v>
      </c>
      <c r="T338" s="41">
        <v>76.364255533833642</v>
      </c>
      <c r="U338" s="41">
        <v>76.364255533833642</v>
      </c>
      <c r="V338" s="41">
        <v>76.364255533833642</v>
      </c>
      <c r="W338" s="41">
        <v>76.364255533833642</v>
      </c>
      <c r="X338" s="41">
        <v>76.364255533833642</v>
      </c>
      <c r="Y338" s="41">
        <v>76.364255533833642</v>
      </c>
      <c r="Z338" s="41">
        <v>76.364255533833642</v>
      </c>
      <c r="AA338" s="41">
        <v>76.364255533833642</v>
      </c>
      <c r="AB338" s="41">
        <v>76.364255533833642</v>
      </c>
      <c r="AC338" s="116">
        <f t="shared" si="152"/>
        <v>916.37106640600393</v>
      </c>
      <c r="AD338" s="8">
        <f t="shared" si="153"/>
        <v>158.81647598024333</v>
      </c>
      <c r="AE338" s="39">
        <f>IF(ISBLANK(Q338),"",IF($P338="BRL",Q338,Q338*Macroindicadores!B$2)/1000)</f>
        <v>0.44902182253894179</v>
      </c>
      <c r="AF338" s="39">
        <f>IF(ISBLANK(R338),"",IF($P338="BRL",R338,R338*Macroindicadores!C$2)/1000)</f>
        <v>0.44902182253894179</v>
      </c>
      <c r="AG338" s="39">
        <f>IF(ISBLANK(S338),"",IF($P338="BRL",S338,S338*Macroindicadores!D$2)/1000)</f>
        <v>0.44902182253894179</v>
      </c>
      <c r="AH338" s="39">
        <f>IF(ISBLANK(T338),"",IF($P338="BRL",T338,T338*Macroindicadores!E$2)/1000)</f>
        <v>0.44902182253894179</v>
      </c>
      <c r="AI338" s="39">
        <f>IF(ISBLANK(U338),"",IF($P338="BRL",U338,U338*Macroindicadores!F$2)/1000)</f>
        <v>0.44902182253894179</v>
      </c>
      <c r="AJ338" s="39">
        <f>IF(ISBLANK(V338),"",IF($P338="BRL",V338,V338*Macroindicadores!G$2)/1000)</f>
        <v>0.44902182253894179</v>
      </c>
      <c r="AK338" s="39">
        <f>IF(ISBLANK(W338),"",IF($P338="BRL",W338,W338*Macroindicadores!H$2)/1000)</f>
        <v>0.44902182253894179</v>
      </c>
      <c r="AL338" s="39">
        <f>IF(ISBLANK(X338),"",IF($P338="BRL",X338,X338*Macroindicadores!I$2)/1000)</f>
        <v>0.44902182253894179</v>
      </c>
      <c r="AM338" s="39">
        <f>IF(ISBLANK(Y338),"",IF($P338="BRL",Y338,Y338*Macroindicadores!J$2)/1000)</f>
        <v>0.44902182253894179</v>
      </c>
      <c r="AN338" s="39">
        <f>IF(ISBLANK(Z338),"",IF($P338="BRL",Z338,Z338*Macroindicadores!K$2)/1000)</f>
        <v>0.44902182253894179</v>
      </c>
      <c r="AO338" s="39">
        <f>IF(ISBLANK(AA338),"",IF($P338="BRL",AA338,AA338*Macroindicadores!L$2)/1000)</f>
        <v>0.44902182253894179</v>
      </c>
      <c r="AP338" s="39">
        <f>IF(ISBLANK(AB338),"",IF($P338="BRL",AB338,AB338*Macroindicadores!M$2)/1000)</f>
        <v>0.44902182253894179</v>
      </c>
      <c r="AQ338" s="40">
        <f t="shared" si="149"/>
        <v>5.3882618704673026</v>
      </c>
      <c r="AS338" s="39">
        <f>IF(ISBLANK(Q338),"",IF(ISBLANK($O338),AE338,IF($J338="ANUAL",AE338*(1+Macroindicadores!B$7),IF(AND($I338="NOVO",MONTH($O338)=MONTH(AS$4)),AE338*(1+Macroindicadores!B$7),IF(AND($J338="PONTUAL",MONTH($O338)=MONTH(AS$4)),AE338*(1+Macroindicadores!B$7),IF(AND($J338="PONTUAL",MONTH($O338)&lt;MONTH(AS$4)),MIN(AR338:$AS338),IF(AND($I338="NOVO",MONTH($O338)&gt;MONTH(AS$4)),AE338,IF(MONTH($O338)&gt;MONTH(AS$4),AE338,IF(MONTH($O338)=MONTH(AS$4),AE338*(1+Macroindicadores!B$7),AR338)))))))))</f>
        <v>0.44902182253894179</v>
      </c>
      <c r="AT338" s="39">
        <f>IF(ISBLANK(R338),"",IF(ISBLANK($O338),AF338,IF($J338="ANUAL",AF338*(1+Macroindicadores!C$7),IF(AND($I338="NOVO",MONTH($O338)=MONTH(AT$4)),AF338*(1+Macroindicadores!C$7),IF(AND($J338="PONTUAL",MONTH($O338)=MONTH(AT$4)),AF338*(1+Macroindicadores!C$7),IF(AND($J338="PONTUAL",MONTH($O338)&lt;MONTH(AT$4)),MIN($AS338:AS338),IF(AND($I338="NOVO",MONTH($O338)&gt;MONTH(AT$4)),AF338,IF(MONTH($O338)&gt;MONTH(AT$4),AF338,IF(MONTH($O338)=MONTH(AT$4),AF338*(1+Macroindicadores!C$7),AS338)))))))))</f>
        <v>0.44902182253894179</v>
      </c>
      <c r="AU338" s="39">
        <f>IF(ISBLANK(S338),"",IF(ISBLANK($O338),AG338,IF($J338="ANUAL",AG338*(1+Macroindicadores!D$7),IF(AND($I338="NOVO",MONTH($O338)=MONTH(AU$4)),AG338*(1+Macroindicadores!D$7),IF(AND($J338="PONTUAL",MONTH($O338)=MONTH(AU$4)),AG338*(1+Macroindicadores!D$7),IF(AND($J338="PONTUAL",MONTH($O338)&lt;MONTH(AU$4)),MIN($AS338:AT338),IF(AND($I338="NOVO",MONTH($O338)&gt;MONTH(AU$4)),AG338,IF(MONTH($O338)&gt;MONTH(AU$4),AG338,IF(MONTH($O338)=MONTH(AU$4),AG338*(1+Macroindicadores!D$7),AT338)))))))))</f>
        <v>0.44902182253894179</v>
      </c>
      <c r="AV338" s="39">
        <f>IF(ISBLANK(T338),"",IF(ISBLANK($O338),AH338,IF($J338="ANUAL",AH338*(1+Macroindicadores!E$7),IF(AND($I338="NOVO",MONTH($O338)=MONTH(AV$4)),AH338*(1+Macroindicadores!E$7),IF(AND($J338="PONTUAL",MONTH($O338)=MONTH(AV$4)),AH338*(1+Macroindicadores!E$7),IF(AND($J338="PONTUAL",MONTH($O338)&lt;MONTH(AV$4)),MIN($AS338:AU338),IF(AND($I338="NOVO",MONTH($O338)&gt;MONTH(AV$4)),AH338,IF(MONTH($O338)&gt;MONTH(AV$4),AH338,IF(MONTH($O338)=MONTH(AV$4),AH338*(1+Macroindicadores!E$7),AU338)))))))))</f>
        <v>0.44902182253894179</v>
      </c>
      <c r="AW338" s="39">
        <f>IF(ISBLANK(U338),"",IF(ISBLANK($O338),AI338,IF($J338="ANUAL",AI338*(1+Macroindicadores!F$7),IF(AND($I338="NOVO",MONTH($O338)=MONTH(AW$4)),AI338*(1+Macroindicadores!F$7),IF(AND($J338="PONTUAL",MONTH($O338)=MONTH(AW$4)),AI338*(1+Macroindicadores!F$7),IF(AND($J338="PONTUAL",MONTH($O338)&lt;MONTH(AW$4)),MIN($AS338:AV338),IF(AND($I338="NOVO",MONTH($O338)&gt;MONTH(AW$4)),AI338,IF(MONTH($O338)&gt;MONTH(AW$4),AI338,IF(MONTH($O338)=MONTH(AW$4),AI338*(1+Macroindicadores!F$7),AV338)))))))))</f>
        <v>0.44902182253894179</v>
      </c>
      <c r="AX338" s="39">
        <f>IF(ISBLANK(V338),"",IF(ISBLANK($O338),AJ338,IF($J338="ANUAL",AJ338*(1+Macroindicadores!G$7),IF(AND($I338="NOVO",MONTH($O338)=MONTH(AX$4)),AJ338*(1+Macroindicadores!G$7),IF(AND($J338="PONTUAL",MONTH($O338)=MONTH(AX$4)),AJ338*(1+Macroindicadores!G$7),IF(AND($J338="PONTUAL",MONTH($O338)&lt;MONTH(AX$4)),MIN($AS338:AW338),IF(AND($I338="NOVO",MONTH($O338)&gt;MONTH(AX$4)),AJ338,IF(MONTH($O338)&gt;MONTH(AX$4),AJ338,IF(MONTH($O338)=MONTH(AX$4),AJ338*(1+Macroindicadores!G$7),AW338)))))))))</f>
        <v>0.44902182253894179</v>
      </c>
      <c r="AY338" s="39">
        <f>IF(ISBLANK(W338),"",IF(ISBLANK($O338),AK338,IF($J338="ANUAL",AK338*(1+Macroindicadores!H$7),IF(AND($I338="NOVO",MONTH($O338)=MONTH(AY$4)),AK338*(1+Macroindicadores!H$7),IF(AND($J338="PONTUAL",MONTH($O338)=MONTH(AY$4)),AK338*(1+Macroindicadores!H$7),IF(AND($J338="PONTUAL",MONTH($O338)&lt;MONTH(AY$4)),MIN($AS338:AX338),IF(AND($I338="NOVO",MONTH($O338)&gt;MONTH(AY$4)),AK338,IF(MONTH($O338)&gt;MONTH(AY$4),AK338,IF(MONTH($O338)=MONTH(AY$4),AK338*(1+Macroindicadores!H$7),AX338)))))))))</f>
        <v>0.44902182253894179</v>
      </c>
      <c r="AZ338" s="39">
        <f>IF(ISBLANK(X338),"",IF(ISBLANK($O338),AL338,IF($J338="ANUAL",AL338*(1+Macroindicadores!I$7),IF(AND($I338="NOVO",MONTH($O338)=MONTH(AZ$4)),AL338*(1+Macroindicadores!I$7),IF(AND($J338="PONTUAL",MONTH($O338)=MONTH(AZ$4)),AL338*(1+Macroindicadores!I$7),IF(AND($J338="PONTUAL",MONTH($O338)&lt;MONTH(AZ$4)),MIN($AS338:AY338),IF(AND($I338="NOVO",MONTH($O338)&gt;MONTH(AZ$4)),AL338,IF(MONTH($O338)&gt;MONTH(AZ$4),AL338,IF(MONTH($O338)=MONTH(AZ$4),AL338*(1+Macroindicadores!I$7),AY338)))))))))</f>
        <v>0.44902182253894179</v>
      </c>
      <c r="BA338" s="39">
        <f>IF(ISBLANK(Y338),"",IF(ISBLANK($O338),AM338,IF($J338="ANUAL",AM338*(1+Macroindicadores!J$7),IF(AND($I338="NOVO",MONTH($O338)=MONTH(BA$4)),AM338*(1+Macroindicadores!J$7),IF(AND($J338="PONTUAL",MONTH($O338)=MONTH(BA$4)),AM338*(1+Macroindicadores!J$7),IF(AND($J338="PONTUAL",MONTH($O338)&lt;MONTH(BA$4)),MIN($AS338:AZ338),IF(AND($I338="NOVO",MONTH($O338)&gt;MONTH(BA$4)),AM338,IF(MONTH($O338)&gt;MONTH(BA$4),AM338,IF(MONTH($O338)=MONTH(BA$4),AM338*(1+Macroindicadores!J$7),AZ338)))))))))</f>
        <v>0.44902182253894179</v>
      </c>
      <c r="BB338" s="39">
        <f>IF(ISBLANK(Z338),"",IF(ISBLANK($O338),AN338,IF($J338="ANUAL",AN338*(1+Macroindicadores!K$7),IF(AND($I338="NOVO",MONTH($O338)=MONTH(BB$4)),AN338*(1+Macroindicadores!K$7),IF(AND($J338="PONTUAL",MONTH($O338)=MONTH(BB$4)),AN338*(1+Macroindicadores!K$7),IF(AND($J338="PONTUAL",MONTH($O338)&lt;MONTH(BB$4)),MIN($AS338:BA338),IF(AND($I338="NOVO",MONTH($O338)&gt;MONTH(BB$4)),AN338,IF(MONTH($O338)&gt;MONTH(BB$4),AN338,IF(MONTH($O338)=MONTH(BB$4),AN338*(1+Macroindicadores!K$7),BA338)))))))))</f>
        <v>0.44902182253894179</v>
      </c>
      <c r="BC338" s="39">
        <f>IF(ISBLANK(AA338),"",IF(ISBLANK($O338),AO338,IF($J338="ANUAL",AO338*(1+Macroindicadores!L$7),IF(AND($I338="NOVO",MONTH($O338)=MONTH(BC$4)),AO338*(1+Macroindicadores!L$7),IF(AND($J338="PONTUAL",MONTH($O338)=MONTH(BC$4)),AO338*(1+Macroindicadores!L$7),IF(AND($J338="PONTUAL",MONTH($O338)&lt;MONTH(BC$4)),MIN($AS338:BB338),IF(AND($I338="NOVO",MONTH($O338)&gt;MONTH(BC$4)),AO338,IF(MONTH($O338)&gt;MONTH(BC$4),AO338,IF(MONTH($O338)=MONTH(BC$4),AO338*(1+Macroindicadores!L$7),BB338)))))))))</f>
        <v>0.44902182253894179</v>
      </c>
      <c r="BD338" s="39">
        <f>IF(ISBLANK(AB338),"",IF(ISBLANK($O338),AP338,IF($J338="ANUAL",AP338*(1+Macroindicadores!M$7),IF(AND($I338="NOVO",MONTH($O338)=MONTH(BD$4)),AP338*(1+Macroindicadores!M$7),IF(AND($J338="PONTUAL",MONTH($O338)=MONTH(BD$4)),AP338*(1+Macroindicadores!M$7),IF(AND($J338="PONTUAL",MONTH($O338)&lt;MONTH(BD$4)),MIN($AS338:BC338),IF(AND($I338="NOVO",MONTH($O338)&gt;MONTH(BD$4)),AP338,IF(MONTH($O338)&gt;MONTH(BD$4),AP338,IF(MONTH($O338)=MONTH(BD$4),AP338*(1+Macroindicadores!M$7),BC338)))))))))</f>
        <v>0.44902182253894179</v>
      </c>
      <c r="BE338" s="40">
        <f t="shared" si="150"/>
        <v>5.3882618704673026</v>
      </c>
      <c r="BG338" s="39">
        <f>IF(ISBLANK(Q338),"",AS338/Macroindicadores!B$2)</f>
        <v>7.6364255533833636E-2</v>
      </c>
      <c r="BH338" s="39">
        <f>IF(ISBLANK(R338),"",AT338/Macroindicadores!C$2)</f>
        <v>7.6364255533833636E-2</v>
      </c>
      <c r="BI338" s="39">
        <f>IF(ISBLANK(S338),"",AU338/Macroindicadores!D$2)</f>
        <v>7.6364255533833636E-2</v>
      </c>
      <c r="BJ338" s="39">
        <f>IF(ISBLANK(T338),"",AV338/Macroindicadores!E$2)</f>
        <v>7.6364255533833636E-2</v>
      </c>
      <c r="BK338" s="39">
        <f>IF(ISBLANK(U338),"",AW338/Macroindicadores!F$2)</f>
        <v>7.6364255533833636E-2</v>
      </c>
      <c r="BL338" s="39">
        <f>IF(ISBLANK(V338),"",AX338/Macroindicadores!G$2)</f>
        <v>7.6364255533833636E-2</v>
      </c>
      <c r="BM338" s="39">
        <f>IF(ISBLANK(W338),"",AY338/Macroindicadores!H$2)</f>
        <v>7.6364255533833636E-2</v>
      </c>
      <c r="BN338" s="39">
        <f>IF(ISBLANK(X338),"",AZ338/Macroindicadores!I$2)</f>
        <v>7.6364255533833636E-2</v>
      </c>
      <c r="BO338" s="39">
        <f>IF(ISBLANK(Y338),"",BA338/Macroindicadores!J$2)</f>
        <v>7.6364255533833636E-2</v>
      </c>
      <c r="BP338" s="39">
        <f>IF(ISBLANK(Z338),"",BB338/Macroindicadores!K$2)</f>
        <v>7.6364255533833636E-2</v>
      </c>
      <c r="BQ338" s="39">
        <f>IF(ISBLANK(AA338),"",BC338/Macroindicadores!L$2)</f>
        <v>7.6364255533833636E-2</v>
      </c>
      <c r="BR338" s="39">
        <f>IF(ISBLANK(AB338),"",BD338/Macroindicadores!M$2)</f>
        <v>7.6364255533833636E-2</v>
      </c>
      <c r="BS338" s="40">
        <f t="shared" si="151"/>
        <v>0.91637106640600363</v>
      </c>
    </row>
    <row r="339" spans="3:71">
      <c r="C339" s="111" t="s">
        <v>336</v>
      </c>
      <c r="D339" s="111" t="s">
        <v>337</v>
      </c>
      <c r="E339" s="111" t="s">
        <v>14</v>
      </c>
      <c r="F339" s="112" t="s">
        <v>92</v>
      </c>
      <c r="G339" s="112" t="s">
        <v>75</v>
      </c>
      <c r="H339" s="112" t="s">
        <v>349</v>
      </c>
      <c r="I339" s="11" t="s">
        <v>77</v>
      </c>
      <c r="J339" s="11" t="s">
        <v>350</v>
      </c>
      <c r="K339" s="11" t="s">
        <v>79</v>
      </c>
      <c r="L339" s="11"/>
      <c r="M339" s="18"/>
      <c r="N339" s="11" t="s">
        <v>80</v>
      </c>
      <c r="O339" s="12"/>
      <c r="P339" s="113" t="s">
        <v>88</v>
      </c>
      <c r="Q339" s="41">
        <v>1889</v>
      </c>
      <c r="R339" s="41"/>
      <c r="S339" s="41"/>
      <c r="T339" s="41">
        <v>1889</v>
      </c>
      <c r="U339" s="41"/>
      <c r="V339" s="41"/>
      <c r="W339" s="41">
        <v>2379</v>
      </c>
      <c r="X339" s="41"/>
      <c r="Y339" s="41"/>
      <c r="Z339" s="41">
        <v>2379</v>
      </c>
      <c r="AA339" s="41"/>
      <c r="AB339" s="41"/>
      <c r="AC339" s="116">
        <f t="shared" si="152"/>
        <v>8536</v>
      </c>
      <c r="AD339" s="8">
        <f t="shared" si="153"/>
        <v>1479.3760831889083</v>
      </c>
      <c r="AE339" s="39">
        <f>IF(ISBLANK(Q339),"",IF($P339="BRL",Q339,Q339*Macroindicadores!B$2)/1000)</f>
        <v>11.10732</v>
      </c>
      <c r="AF339" s="39" t="str">
        <f>IF(ISBLANK(R339),"",IF($P339="BRL",R339,R339*Macroindicadores!C$2)/1000)</f>
        <v/>
      </c>
      <c r="AG339" s="39" t="str">
        <f>IF(ISBLANK(S339),"",IF($P339="BRL",S339,S339*Macroindicadores!D$2)/1000)</f>
        <v/>
      </c>
      <c r="AH339" s="39">
        <f>IF(ISBLANK(T339),"",IF($P339="BRL",T339,T339*Macroindicadores!E$2)/1000)</f>
        <v>11.10732</v>
      </c>
      <c r="AI339" s="39" t="str">
        <f>IF(ISBLANK(U339),"",IF($P339="BRL",U339,U339*Macroindicadores!F$2)/1000)</f>
        <v/>
      </c>
      <c r="AJ339" s="39" t="str">
        <f>IF(ISBLANK(V339),"",IF($P339="BRL",V339,V339*Macroindicadores!G$2)/1000)</f>
        <v/>
      </c>
      <c r="AK339" s="39">
        <f>IF(ISBLANK(W339),"",IF($P339="BRL",W339,W339*Macroindicadores!H$2)/1000)</f>
        <v>13.988520000000001</v>
      </c>
      <c r="AL339" s="39" t="str">
        <f>IF(ISBLANK(X339),"",IF($P339="BRL",X339,X339*Macroindicadores!I$2)/1000)</f>
        <v/>
      </c>
      <c r="AM339" s="39" t="str">
        <f>IF(ISBLANK(Y339),"",IF($P339="BRL",Y339,Y339*Macroindicadores!J$2)/1000)</f>
        <v/>
      </c>
      <c r="AN339" s="39">
        <f>IF(ISBLANK(Z339),"",IF($P339="BRL",Z339,Z339*Macroindicadores!K$2)/1000)</f>
        <v>13.988520000000001</v>
      </c>
      <c r="AO339" s="39" t="str">
        <f>IF(ISBLANK(AA339),"",IF($P339="BRL",AA339,AA339*Macroindicadores!L$2)/1000)</f>
        <v/>
      </c>
      <c r="AP339" s="39" t="str">
        <f>IF(ISBLANK(AB339),"",IF($P339="BRL",AB339,AB339*Macroindicadores!M$2)/1000)</f>
        <v/>
      </c>
      <c r="AQ339" s="40">
        <f t="shared" si="149"/>
        <v>50.191679999999998</v>
      </c>
      <c r="AS339" s="39">
        <f>IF(ISBLANK(Q339),"",IF(ISBLANK($O339),AE339,IF($J339="ANUAL",AE339*(1+Macroindicadores!B$7),IF(AND($I339="NOVO",MONTH($O339)=MONTH(AS$4)),AE339*(1+Macroindicadores!B$7),IF(AND($J339="PONTUAL",MONTH($O339)=MONTH(AS$4)),AE339*(1+Macroindicadores!B$7),IF(AND($J339="PONTUAL",MONTH($O339)&lt;MONTH(AS$4)),MIN(AR339:$AS339),IF(AND($I339="NOVO",MONTH($O339)&gt;MONTH(AS$4)),AE339,IF(MONTH($O339)&gt;MONTH(AS$4),AE339,IF(MONTH($O339)=MONTH(AS$4),AE339*(1+Macroindicadores!B$7),AR339)))))))))</f>
        <v>11.10732</v>
      </c>
      <c r="AT339" s="39" t="str">
        <f>IF(ISBLANK(R339),"",IF(ISBLANK($O339),AF339,IF($J339="ANUAL",AF339*(1+Macroindicadores!C$7),IF(AND($I339="NOVO",MONTH($O339)=MONTH(AT$4)),AF339*(1+Macroindicadores!C$7),IF(AND($J339="PONTUAL",MONTH($O339)=MONTH(AT$4)),AF339*(1+Macroindicadores!C$7),IF(AND($J339="PONTUAL",MONTH($O339)&lt;MONTH(AT$4)),MIN($AS339:AS339),IF(AND($I339="NOVO",MONTH($O339)&gt;MONTH(AT$4)),AF339,IF(MONTH($O339)&gt;MONTH(AT$4),AF339,IF(MONTH($O339)=MONTH(AT$4),AF339*(1+Macroindicadores!C$7),AS339)))))))))</f>
        <v/>
      </c>
      <c r="AU339" s="39" t="str">
        <f>IF(ISBLANK(S339),"",IF(ISBLANK($O339),AG339,IF($J339="ANUAL",AG339*(1+Macroindicadores!D$7),IF(AND($I339="NOVO",MONTH($O339)=MONTH(AU$4)),AG339*(1+Macroindicadores!D$7),IF(AND($J339="PONTUAL",MONTH($O339)=MONTH(AU$4)),AG339*(1+Macroindicadores!D$7),IF(AND($J339="PONTUAL",MONTH($O339)&lt;MONTH(AU$4)),MIN($AS339:AT339),IF(AND($I339="NOVO",MONTH($O339)&gt;MONTH(AU$4)),AG339,IF(MONTH($O339)&gt;MONTH(AU$4),AG339,IF(MONTH($O339)=MONTH(AU$4),AG339*(1+Macroindicadores!D$7),AT339)))))))))</f>
        <v/>
      </c>
      <c r="AV339" s="39">
        <f>IF(ISBLANK(T339),"",IF(ISBLANK($O339),AH339,IF($J339="ANUAL",AH339*(1+Macroindicadores!E$7),IF(AND($I339="NOVO",MONTH($O339)=MONTH(AV$4)),AH339*(1+Macroindicadores!E$7),IF(AND($J339="PONTUAL",MONTH($O339)=MONTH(AV$4)),AH339*(1+Macroindicadores!E$7),IF(AND($J339="PONTUAL",MONTH($O339)&lt;MONTH(AV$4)),MIN($AS339:AU339),IF(AND($I339="NOVO",MONTH($O339)&gt;MONTH(AV$4)),AH339,IF(MONTH($O339)&gt;MONTH(AV$4),AH339,IF(MONTH($O339)=MONTH(AV$4),AH339*(1+Macroindicadores!E$7),AU339)))))))))</f>
        <v>11.10732</v>
      </c>
      <c r="AW339" s="39" t="str">
        <f>IF(ISBLANK(U339),"",IF(ISBLANK($O339),AI339,IF($J339="ANUAL",AI339*(1+Macroindicadores!F$7),IF(AND($I339="NOVO",MONTH($O339)=MONTH(AW$4)),AI339*(1+Macroindicadores!F$7),IF(AND($J339="PONTUAL",MONTH($O339)=MONTH(AW$4)),AI339*(1+Macroindicadores!F$7),IF(AND($J339="PONTUAL",MONTH($O339)&lt;MONTH(AW$4)),MIN($AS339:AV339),IF(AND($I339="NOVO",MONTH($O339)&gt;MONTH(AW$4)),AI339,IF(MONTH($O339)&gt;MONTH(AW$4),AI339,IF(MONTH($O339)=MONTH(AW$4),AI339*(1+Macroindicadores!F$7),AV339)))))))))</f>
        <v/>
      </c>
      <c r="AX339" s="39" t="str">
        <f>IF(ISBLANK(V339),"",IF(ISBLANK($O339),AJ339,IF($J339="ANUAL",AJ339*(1+Macroindicadores!G$7),IF(AND($I339="NOVO",MONTH($O339)=MONTH(AX$4)),AJ339*(1+Macroindicadores!G$7),IF(AND($J339="PONTUAL",MONTH($O339)=MONTH(AX$4)),AJ339*(1+Macroindicadores!G$7),IF(AND($J339="PONTUAL",MONTH($O339)&lt;MONTH(AX$4)),MIN($AS339:AW339),IF(AND($I339="NOVO",MONTH($O339)&gt;MONTH(AX$4)),AJ339,IF(MONTH($O339)&gt;MONTH(AX$4),AJ339,IF(MONTH($O339)=MONTH(AX$4),AJ339*(1+Macroindicadores!G$7),AW339)))))))))</f>
        <v/>
      </c>
      <c r="AY339" s="39">
        <f>IF(ISBLANK(W339),"",IF(ISBLANK($O339),AK339,IF($J339="ANUAL",AK339*(1+Macroindicadores!H$7),IF(AND($I339="NOVO",MONTH($O339)=MONTH(AY$4)),AK339*(1+Macroindicadores!H$7),IF(AND($J339="PONTUAL",MONTH($O339)=MONTH(AY$4)),AK339*(1+Macroindicadores!H$7),IF(AND($J339="PONTUAL",MONTH($O339)&lt;MONTH(AY$4)),MIN($AS339:AX339),IF(AND($I339="NOVO",MONTH($O339)&gt;MONTH(AY$4)),AK339,IF(MONTH($O339)&gt;MONTH(AY$4),AK339,IF(MONTH($O339)=MONTH(AY$4),AK339*(1+Macroindicadores!H$7),AX339)))))))))</f>
        <v>13.988520000000001</v>
      </c>
      <c r="AZ339" s="39" t="str">
        <f>IF(ISBLANK(X339),"",IF(ISBLANK($O339),AL339,IF($J339="ANUAL",AL339*(1+Macroindicadores!I$7),IF(AND($I339="NOVO",MONTH($O339)=MONTH(AZ$4)),AL339*(1+Macroindicadores!I$7),IF(AND($J339="PONTUAL",MONTH($O339)=MONTH(AZ$4)),AL339*(1+Macroindicadores!I$7),IF(AND($J339="PONTUAL",MONTH($O339)&lt;MONTH(AZ$4)),MIN($AS339:AY339),IF(AND($I339="NOVO",MONTH($O339)&gt;MONTH(AZ$4)),AL339,IF(MONTH($O339)&gt;MONTH(AZ$4),AL339,IF(MONTH($O339)=MONTH(AZ$4),AL339*(1+Macroindicadores!I$7),AY339)))))))))</f>
        <v/>
      </c>
      <c r="BA339" s="39" t="str">
        <f>IF(ISBLANK(Y339),"",IF(ISBLANK($O339),AM339,IF($J339="ANUAL",AM339*(1+Macroindicadores!J$7),IF(AND($I339="NOVO",MONTH($O339)=MONTH(BA$4)),AM339*(1+Macroindicadores!J$7),IF(AND($J339="PONTUAL",MONTH($O339)=MONTH(BA$4)),AM339*(1+Macroindicadores!J$7),IF(AND($J339="PONTUAL",MONTH($O339)&lt;MONTH(BA$4)),MIN($AS339:AZ339),IF(AND($I339="NOVO",MONTH($O339)&gt;MONTH(BA$4)),AM339,IF(MONTH($O339)&gt;MONTH(BA$4),AM339,IF(MONTH($O339)=MONTH(BA$4),AM339*(1+Macroindicadores!J$7),AZ339)))))))))</f>
        <v/>
      </c>
      <c r="BB339" s="39">
        <f>IF(ISBLANK(Z339),"",IF(ISBLANK($O339),AN339,IF($J339="ANUAL",AN339*(1+Macroindicadores!K$7),IF(AND($I339="NOVO",MONTH($O339)=MONTH(BB$4)),AN339*(1+Macroindicadores!K$7),IF(AND($J339="PONTUAL",MONTH($O339)=MONTH(BB$4)),AN339*(1+Macroindicadores!K$7),IF(AND($J339="PONTUAL",MONTH($O339)&lt;MONTH(BB$4)),MIN($AS339:BA339),IF(AND($I339="NOVO",MONTH($O339)&gt;MONTH(BB$4)),AN339,IF(MONTH($O339)&gt;MONTH(BB$4),AN339,IF(MONTH($O339)=MONTH(BB$4),AN339*(1+Macroindicadores!K$7),BA339)))))))))</f>
        <v>13.988520000000001</v>
      </c>
      <c r="BC339" s="39" t="str">
        <f>IF(ISBLANK(AA339),"",IF(ISBLANK($O339),AO339,IF($J339="ANUAL",AO339*(1+Macroindicadores!L$7),IF(AND($I339="NOVO",MONTH($O339)=MONTH(BC$4)),AO339*(1+Macroindicadores!L$7),IF(AND($J339="PONTUAL",MONTH($O339)=MONTH(BC$4)),AO339*(1+Macroindicadores!L$7),IF(AND($J339="PONTUAL",MONTH($O339)&lt;MONTH(BC$4)),MIN($AS339:BB339),IF(AND($I339="NOVO",MONTH($O339)&gt;MONTH(BC$4)),AO339,IF(MONTH($O339)&gt;MONTH(BC$4),AO339,IF(MONTH($O339)=MONTH(BC$4),AO339*(1+Macroindicadores!L$7),BB339)))))))))</f>
        <v/>
      </c>
      <c r="BD339" s="39" t="str">
        <f>IF(ISBLANK(AB339),"",IF(ISBLANK($O339),AP339,IF($J339="ANUAL",AP339*(1+Macroindicadores!M$7),IF(AND($I339="NOVO",MONTH($O339)=MONTH(BD$4)),AP339*(1+Macroindicadores!M$7),IF(AND($J339="PONTUAL",MONTH($O339)=MONTH(BD$4)),AP339*(1+Macroindicadores!M$7),IF(AND($J339="PONTUAL",MONTH($O339)&lt;MONTH(BD$4)),MIN($AS339:BC339),IF(AND($I339="NOVO",MONTH($O339)&gt;MONTH(BD$4)),AP339,IF(MONTH($O339)&gt;MONTH(BD$4),AP339,IF(MONTH($O339)=MONTH(BD$4),AP339*(1+Macroindicadores!M$7),BC339)))))))))</f>
        <v/>
      </c>
      <c r="BE339" s="40">
        <f t="shared" si="150"/>
        <v>50.191679999999998</v>
      </c>
      <c r="BG339" s="39">
        <f>IF(ISBLANK(Q339),"",AS339/Macroindicadores!B$2)</f>
        <v>1.889</v>
      </c>
      <c r="BH339" s="39" t="str">
        <f>IF(ISBLANK(R339),"",AT339/Macroindicadores!C$2)</f>
        <v/>
      </c>
      <c r="BI339" s="39" t="str">
        <f>IF(ISBLANK(S339),"",AU339/Macroindicadores!D$2)</f>
        <v/>
      </c>
      <c r="BJ339" s="39">
        <f>IF(ISBLANK(T339),"",AV339/Macroindicadores!E$2)</f>
        <v>1.889</v>
      </c>
      <c r="BK339" s="39" t="str">
        <f>IF(ISBLANK(U339),"",AW339/Macroindicadores!F$2)</f>
        <v/>
      </c>
      <c r="BL339" s="39" t="str">
        <f>IF(ISBLANK(V339),"",AX339/Macroindicadores!G$2)</f>
        <v/>
      </c>
      <c r="BM339" s="39">
        <f>IF(ISBLANK(W339),"",AY339/Macroindicadores!H$2)</f>
        <v>2.3790000000000004</v>
      </c>
      <c r="BN339" s="39" t="str">
        <f>IF(ISBLANK(X339),"",AZ339/Macroindicadores!I$2)</f>
        <v/>
      </c>
      <c r="BO339" s="39" t="str">
        <f>IF(ISBLANK(Y339),"",BA339/Macroindicadores!J$2)</f>
        <v/>
      </c>
      <c r="BP339" s="39">
        <f>IF(ISBLANK(Z339),"",BB339/Macroindicadores!K$2)</f>
        <v>2.3790000000000004</v>
      </c>
      <c r="BQ339" s="39" t="str">
        <f>IF(ISBLANK(AA339),"",BC339/Macroindicadores!L$2)</f>
        <v/>
      </c>
      <c r="BR339" s="39" t="str">
        <f>IF(ISBLANK(AB339),"",BD339/Macroindicadores!M$2)</f>
        <v/>
      </c>
      <c r="BS339" s="40">
        <f t="shared" si="151"/>
        <v>8.5360000000000014</v>
      </c>
    </row>
    <row r="340" spans="3:71">
      <c r="C340" s="111" t="s">
        <v>336</v>
      </c>
      <c r="D340" s="111" t="s">
        <v>337</v>
      </c>
      <c r="E340" s="111" t="s">
        <v>14</v>
      </c>
      <c r="F340" s="112" t="s">
        <v>92</v>
      </c>
      <c r="G340" s="112" t="s">
        <v>75</v>
      </c>
      <c r="H340" s="112" t="s">
        <v>276</v>
      </c>
      <c r="I340" s="11" t="s">
        <v>77</v>
      </c>
      <c r="J340" s="11" t="s">
        <v>78</v>
      </c>
      <c r="K340" s="11" t="s">
        <v>79</v>
      </c>
      <c r="L340" s="11"/>
      <c r="M340" s="18"/>
      <c r="N340" s="11" t="s">
        <v>91</v>
      </c>
      <c r="O340" s="12"/>
      <c r="P340" s="113" t="s">
        <v>88</v>
      </c>
      <c r="Q340" s="41">
        <v>1824</v>
      </c>
      <c r="R340" s="41"/>
      <c r="S340" s="41"/>
      <c r="T340" s="41">
        <v>1824</v>
      </c>
      <c r="U340" s="41"/>
      <c r="V340" s="41"/>
      <c r="W340" s="41">
        <v>1824</v>
      </c>
      <c r="X340" s="41"/>
      <c r="Y340" s="41"/>
      <c r="Z340" s="41">
        <v>1824</v>
      </c>
      <c r="AA340" s="41"/>
      <c r="AB340" s="41"/>
      <c r="AC340" s="116">
        <f t="shared" si="152"/>
        <v>7296</v>
      </c>
      <c r="AD340" s="8">
        <f t="shared" si="153"/>
        <v>1264.471403812825</v>
      </c>
      <c r="AE340" s="39">
        <f>IF(ISBLANK(Q340),"",IF($P340="BRL",Q340,Q340*Macroindicadores!B$2)/1000)</f>
        <v>10.725119999999999</v>
      </c>
      <c r="AF340" s="39" t="str">
        <f>IF(ISBLANK(R340),"",IF($P340="BRL",R340,R340*Macroindicadores!C$2)/1000)</f>
        <v/>
      </c>
      <c r="AG340" s="39" t="str">
        <f>IF(ISBLANK(S340),"",IF($P340="BRL",S340,S340*Macroindicadores!D$2)/1000)</f>
        <v/>
      </c>
      <c r="AH340" s="39">
        <f>IF(ISBLANK(T340),"",IF($P340="BRL",T340,T340*Macroindicadores!E$2)/1000)</f>
        <v>10.725119999999999</v>
      </c>
      <c r="AI340" s="39" t="str">
        <f>IF(ISBLANK(U340),"",IF($P340="BRL",U340,U340*Macroindicadores!F$2)/1000)</f>
        <v/>
      </c>
      <c r="AJ340" s="39" t="str">
        <f>IF(ISBLANK(V340),"",IF($P340="BRL",V340,V340*Macroindicadores!G$2)/1000)</f>
        <v/>
      </c>
      <c r="AK340" s="39">
        <f>IF(ISBLANK(W340),"",IF($P340="BRL",W340,W340*Macroindicadores!H$2)/1000)</f>
        <v>10.725119999999999</v>
      </c>
      <c r="AL340" s="39" t="str">
        <f>IF(ISBLANK(X340),"",IF($P340="BRL",X340,X340*Macroindicadores!I$2)/1000)</f>
        <v/>
      </c>
      <c r="AM340" s="39" t="str">
        <f>IF(ISBLANK(Y340),"",IF($P340="BRL",Y340,Y340*Macroindicadores!J$2)/1000)</f>
        <v/>
      </c>
      <c r="AN340" s="39">
        <f>IF(ISBLANK(Z340),"",IF($P340="BRL",Z340,Z340*Macroindicadores!K$2)/1000)</f>
        <v>10.725119999999999</v>
      </c>
      <c r="AO340" s="39" t="str">
        <f>IF(ISBLANK(AA340),"",IF($P340="BRL",AA340,AA340*Macroindicadores!L$2)/1000)</f>
        <v/>
      </c>
      <c r="AP340" s="39" t="str">
        <f>IF(ISBLANK(AB340),"",IF($P340="BRL",AB340,AB340*Macroindicadores!M$2)/1000)</f>
        <v/>
      </c>
      <c r="AQ340" s="40">
        <f t="shared" si="149"/>
        <v>42.900479999999995</v>
      </c>
      <c r="AS340" s="39">
        <f>IF(ISBLANK(Q340),"",IF(ISBLANK($O340),AE340,IF($J340="ANUAL",AE340*(1+Macroindicadores!B$7),IF(AND($I340="NOVO",MONTH($O340)=MONTH(AS$4)),AE340*(1+Macroindicadores!B$7),IF(AND($J340="PONTUAL",MONTH($O340)=MONTH(AS$4)),AE340*(1+Macroindicadores!B$7),IF(AND($J340="PONTUAL",MONTH($O340)&lt;MONTH(AS$4)),MIN(AR340:$AS340),IF(AND($I340="NOVO",MONTH($O340)&gt;MONTH(AS$4)),AE340,IF(MONTH($O340)&gt;MONTH(AS$4),AE340,IF(MONTH($O340)=MONTH(AS$4),AE340*(1+Macroindicadores!B$7),AR340)))))))))</f>
        <v>10.725119999999999</v>
      </c>
      <c r="AT340" s="39" t="str">
        <f>IF(ISBLANK(R340),"",IF(ISBLANK($O340),AF340,IF($J340="ANUAL",AF340*(1+Macroindicadores!C$7),IF(AND($I340="NOVO",MONTH($O340)=MONTH(AT$4)),AF340*(1+Macroindicadores!C$7),IF(AND($J340="PONTUAL",MONTH($O340)=MONTH(AT$4)),AF340*(1+Macroindicadores!C$7),IF(AND($J340="PONTUAL",MONTH($O340)&lt;MONTH(AT$4)),MIN($AS340:AS340),IF(AND($I340="NOVO",MONTH($O340)&gt;MONTH(AT$4)),AF340,IF(MONTH($O340)&gt;MONTH(AT$4),AF340,IF(MONTH($O340)=MONTH(AT$4),AF340*(1+Macroindicadores!C$7),AS340)))))))))</f>
        <v/>
      </c>
      <c r="AU340" s="39" t="str">
        <f>IF(ISBLANK(S340),"",IF(ISBLANK($O340),AG340,IF($J340="ANUAL",AG340*(1+Macroindicadores!D$7),IF(AND($I340="NOVO",MONTH($O340)=MONTH(AU$4)),AG340*(1+Macroindicadores!D$7),IF(AND($J340="PONTUAL",MONTH($O340)=MONTH(AU$4)),AG340*(1+Macroindicadores!D$7),IF(AND($J340="PONTUAL",MONTH($O340)&lt;MONTH(AU$4)),MIN($AS340:AT340),IF(AND($I340="NOVO",MONTH($O340)&gt;MONTH(AU$4)),AG340,IF(MONTH($O340)&gt;MONTH(AU$4),AG340,IF(MONTH($O340)=MONTH(AU$4),AG340*(1+Macroindicadores!D$7),AT340)))))))))</f>
        <v/>
      </c>
      <c r="AV340" s="39">
        <f>IF(ISBLANK(T340),"",IF(ISBLANK($O340),AH340,IF($J340="ANUAL",AH340*(1+Macroindicadores!E$7),IF(AND($I340="NOVO",MONTH($O340)=MONTH(AV$4)),AH340*(1+Macroindicadores!E$7),IF(AND($J340="PONTUAL",MONTH($O340)=MONTH(AV$4)),AH340*(1+Macroindicadores!E$7),IF(AND($J340="PONTUAL",MONTH($O340)&lt;MONTH(AV$4)),MIN($AS340:AU340),IF(AND($I340="NOVO",MONTH($O340)&gt;MONTH(AV$4)),AH340,IF(MONTH($O340)&gt;MONTH(AV$4),AH340,IF(MONTH($O340)=MONTH(AV$4),AH340*(1+Macroindicadores!E$7),AU340)))))))))</f>
        <v>10.725119999999999</v>
      </c>
      <c r="AW340" s="39" t="str">
        <f>IF(ISBLANK(U340),"",IF(ISBLANK($O340),AI340,IF($J340="ANUAL",AI340*(1+Macroindicadores!F$7),IF(AND($I340="NOVO",MONTH($O340)=MONTH(AW$4)),AI340*(1+Macroindicadores!F$7),IF(AND($J340="PONTUAL",MONTH($O340)=MONTH(AW$4)),AI340*(1+Macroindicadores!F$7),IF(AND($J340="PONTUAL",MONTH($O340)&lt;MONTH(AW$4)),MIN($AS340:AV340),IF(AND($I340="NOVO",MONTH($O340)&gt;MONTH(AW$4)),AI340,IF(MONTH($O340)&gt;MONTH(AW$4),AI340,IF(MONTH($O340)=MONTH(AW$4),AI340*(1+Macroindicadores!F$7),AV340)))))))))</f>
        <v/>
      </c>
      <c r="AX340" s="39" t="str">
        <f>IF(ISBLANK(V340),"",IF(ISBLANK($O340),AJ340,IF($J340="ANUAL",AJ340*(1+Macroindicadores!G$7),IF(AND($I340="NOVO",MONTH($O340)=MONTH(AX$4)),AJ340*(1+Macroindicadores!G$7),IF(AND($J340="PONTUAL",MONTH($O340)=MONTH(AX$4)),AJ340*(1+Macroindicadores!G$7),IF(AND($J340="PONTUAL",MONTH($O340)&lt;MONTH(AX$4)),MIN($AS340:AW340),IF(AND($I340="NOVO",MONTH($O340)&gt;MONTH(AX$4)),AJ340,IF(MONTH($O340)&gt;MONTH(AX$4),AJ340,IF(MONTH($O340)=MONTH(AX$4),AJ340*(1+Macroindicadores!G$7),AW340)))))))))</f>
        <v/>
      </c>
      <c r="AY340" s="39">
        <f>IF(ISBLANK(W340),"",IF(ISBLANK($O340),AK340,IF($J340="ANUAL",AK340*(1+Macroindicadores!H$7),IF(AND($I340="NOVO",MONTH($O340)=MONTH(AY$4)),AK340*(1+Macroindicadores!H$7),IF(AND($J340="PONTUAL",MONTH($O340)=MONTH(AY$4)),AK340*(1+Macroindicadores!H$7),IF(AND($J340="PONTUAL",MONTH($O340)&lt;MONTH(AY$4)),MIN($AS340:AX340),IF(AND($I340="NOVO",MONTH($O340)&gt;MONTH(AY$4)),AK340,IF(MONTH($O340)&gt;MONTH(AY$4),AK340,IF(MONTH($O340)=MONTH(AY$4),AK340*(1+Macroindicadores!H$7),AX340)))))))))</f>
        <v>10.725119999999999</v>
      </c>
      <c r="AZ340" s="39" t="str">
        <f>IF(ISBLANK(X340),"",IF(ISBLANK($O340),AL340,IF($J340="ANUAL",AL340*(1+Macroindicadores!I$7),IF(AND($I340="NOVO",MONTH($O340)=MONTH(AZ$4)),AL340*(1+Macroindicadores!I$7),IF(AND($J340="PONTUAL",MONTH($O340)=MONTH(AZ$4)),AL340*(1+Macroindicadores!I$7),IF(AND($J340="PONTUAL",MONTH($O340)&lt;MONTH(AZ$4)),MIN($AS340:AY340),IF(AND($I340="NOVO",MONTH($O340)&gt;MONTH(AZ$4)),AL340,IF(MONTH($O340)&gt;MONTH(AZ$4),AL340,IF(MONTH($O340)=MONTH(AZ$4),AL340*(1+Macroindicadores!I$7),AY340)))))))))</f>
        <v/>
      </c>
      <c r="BA340" s="39" t="str">
        <f>IF(ISBLANK(Y340),"",IF(ISBLANK($O340),AM340,IF($J340="ANUAL",AM340*(1+Macroindicadores!J$7),IF(AND($I340="NOVO",MONTH($O340)=MONTH(BA$4)),AM340*(1+Macroindicadores!J$7),IF(AND($J340="PONTUAL",MONTH($O340)=MONTH(BA$4)),AM340*(1+Macroindicadores!J$7),IF(AND($J340="PONTUAL",MONTH($O340)&lt;MONTH(BA$4)),MIN($AS340:AZ340),IF(AND($I340="NOVO",MONTH($O340)&gt;MONTH(BA$4)),AM340,IF(MONTH($O340)&gt;MONTH(BA$4),AM340,IF(MONTH($O340)=MONTH(BA$4),AM340*(1+Macroindicadores!J$7),AZ340)))))))))</f>
        <v/>
      </c>
      <c r="BB340" s="39">
        <f>IF(ISBLANK(Z340),"",IF(ISBLANK($O340),AN340,IF($J340="ANUAL",AN340*(1+Macroindicadores!K$7),IF(AND($I340="NOVO",MONTH($O340)=MONTH(BB$4)),AN340*(1+Macroindicadores!K$7),IF(AND($J340="PONTUAL",MONTH($O340)=MONTH(BB$4)),AN340*(1+Macroindicadores!K$7),IF(AND($J340="PONTUAL",MONTH($O340)&lt;MONTH(BB$4)),MIN($AS340:BA340),IF(AND($I340="NOVO",MONTH($O340)&gt;MONTH(BB$4)),AN340,IF(MONTH($O340)&gt;MONTH(BB$4),AN340,IF(MONTH($O340)=MONTH(BB$4),AN340*(1+Macroindicadores!K$7),BA340)))))))))</f>
        <v>10.725119999999999</v>
      </c>
      <c r="BC340" s="39" t="str">
        <f>IF(ISBLANK(AA340),"",IF(ISBLANK($O340),AO340,IF($J340="ANUAL",AO340*(1+Macroindicadores!L$7),IF(AND($I340="NOVO",MONTH($O340)=MONTH(BC$4)),AO340*(1+Macroindicadores!L$7),IF(AND($J340="PONTUAL",MONTH($O340)=MONTH(BC$4)),AO340*(1+Macroindicadores!L$7),IF(AND($J340="PONTUAL",MONTH($O340)&lt;MONTH(BC$4)),MIN($AS340:BB340),IF(AND($I340="NOVO",MONTH($O340)&gt;MONTH(BC$4)),AO340,IF(MONTH($O340)&gt;MONTH(BC$4),AO340,IF(MONTH($O340)=MONTH(BC$4),AO340*(1+Macroindicadores!L$7),BB340)))))))))</f>
        <v/>
      </c>
      <c r="BD340" s="39" t="str">
        <f>IF(ISBLANK(AB340),"",IF(ISBLANK($O340),AP340,IF($J340="ANUAL",AP340*(1+Macroindicadores!M$7),IF(AND($I340="NOVO",MONTH($O340)=MONTH(BD$4)),AP340*(1+Macroindicadores!M$7),IF(AND($J340="PONTUAL",MONTH($O340)=MONTH(BD$4)),AP340*(1+Macroindicadores!M$7),IF(AND($J340="PONTUAL",MONTH($O340)&lt;MONTH(BD$4)),MIN($AS340:BC340),IF(AND($I340="NOVO",MONTH($O340)&gt;MONTH(BD$4)),AP340,IF(MONTH($O340)&gt;MONTH(BD$4),AP340,IF(MONTH($O340)=MONTH(BD$4),AP340*(1+Macroindicadores!M$7),BC340)))))))))</f>
        <v/>
      </c>
      <c r="BE340" s="40">
        <f t="shared" si="150"/>
        <v>42.900479999999995</v>
      </c>
      <c r="BG340" s="39">
        <f>IF(ISBLANK(Q340),"",AS340/Macroindicadores!B$2)</f>
        <v>1.8239999999999998</v>
      </c>
      <c r="BH340" s="39" t="str">
        <f>IF(ISBLANK(R340),"",AT340/Macroindicadores!C$2)</f>
        <v/>
      </c>
      <c r="BI340" s="39" t="str">
        <f>IF(ISBLANK(S340),"",AU340/Macroindicadores!D$2)</f>
        <v/>
      </c>
      <c r="BJ340" s="39">
        <f>IF(ISBLANK(T340),"",AV340/Macroindicadores!E$2)</f>
        <v>1.8239999999999998</v>
      </c>
      <c r="BK340" s="39" t="str">
        <f>IF(ISBLANK(U340),"",AW340/Macroindicadores!F$2)</f>
        <v/>
      </c>
      <c r="BL340" s="39" t="str">
        <f>IF(ISBLANK(V340),"",AX340/Macroindicadores!G$2)</f>
        <v/>
      </c>
      <c r="BM340" s="39">
        <f>IF(ISBLANK(W340),"",AY340/Macroindicadores!H$2)</f>
        <v>1.8239999999999998</v>
      </c>
      <c r="BN340" s="39" t="str">
        <f>IF(ISBLANK(X340),"",AZ340/Macroindicadores!I$2)</f>
        <v/>
      </c>
      <c r="BO340" s="39" t="str">
        <f>IF(ISBLANK(Y340),"",BA340/Macroindicadores!J$2)</f>
        <v/>
      </c>
      <c r="BP340" s="39">
        <f>IF(ISBLANK(Z340),"",BB340/Macroindicadores!K$2)</f>
        <v>1.8239999999999998</v>
      </c>
      <c r="BQ340" s="39" t="str">
        <f>IF(ISBLANK(AA340),"",BC340/Macroindicadores!L$2)</f>
        <v/>
      </c>
      <c r="BR340" s="39" t="str">
        <f>IF(ISBLANK(AB340),"",BD340/Macroindicadores!M$2)</f>
        <v/>
      </c>
      <c r="BS340" s="40">
        <f t="shared" si="151"/>
        <v>7.2959999999999994</v>
      </c>
    </row>
    <row r="341" spans="3:71">
      <c r="C341" s="111" t="s">
        <v>336</v>
      </c>
      <c r="D341" s="111" t="s">
        <v>337</v>
      </c>
      <c r="E341" s="111" t="s">
        <v>14</v>
      </c>
      <c r="F341" s="112" t="s">
        <v>99</v>
      </c>
      <c r="G341" s="112" t="s">
        <v>75</v>
      </c>
      <c r="H341" s="112" t="s">
        <v>351</v>
      </c>
      <c r="I341" s="11" t="s">
        <v>77</v>
      </c>
      <c r="J341" s="11" t="s">
        <v>350</v>
      </c>
      <c r="K341" s="11" t="s">
        <v>79</v>
      </c>
      <c r="L341" s="11"/>
      <c r="M341" s="18"/>
      <c r="N341" s="113" t="s">
        <v>101</v>
      </c>
      <c r="O341" s="12"/>
      <c r="P341" s="113" t="s">
        <v>88</v>
      </c>
      <c r="Q341" s="41">
        <v>900</v>
      </c>
      <c r="R341" s="41"/>
      <c r="S341" s="41"/>
      <c r="T341" s="41">
        <v>900</v>
      </c>
      <c r="U341" s="41"/>
      <c r="V341" s="41"/>
      <c r="W341" s="41">
        <v>900</v>
      </c>
      <c r="X341" s="41"/>
      <c r="Y341" s="41"/>
      <c r="Z341" s="41">
        <v>900</v>
      </c>
      <c r="AA341" s="41"/>
      <c r="AB341" s="41"/>
      <c r="AC341" s="116">
        <f t="shared" si="152"/>
        <v>3600</v>
      </c>
      <c r="AD341" s="8">
        <f t="shared" si="153"/>
        <v>623.91681109185447</v>
      </c>
      <c r="AE341" s="39">
        <f>IF(ISBLANK(Q341),"",IF($P341="BRL",Q341,Q341*Macroindicadores!B$2)/1000)</f>
        <v>5.2919999999999998</v>
      </c>
      <c r="AF341" s="39" t="str">
        <f>IF(ISBLANK(R341),"",IF($P341="BRL",R341,R341*Macroindicadores!C$2)/1000)</f>
        <v/>
      </c>
      <c r="AG341" s="39" t="str">
        <f>IF(ISBLANK(S341),"",IF($P341="BRL",S341,S341*Macroindicadores!D$2)/1000)</f>
        <v/>
      </c>
      <c r="AH341" s="39">
        <f>IF(ISBLANK(T341),"",IF($P341="BRL",T341,T341*Macroindicadores!E$2)/1000)</f>
        <v>5.2919999999999998</v>
      </c>
      <c r="AI341" s="39" t="str">
        <f>IF(ISBLANK(U341),"",IF($P341="BRL",U341,U341*Macroindicadores!F$2)/1000)</f>
        <v/>
      </c>
      <c r="AJ341" s="39" t="str">
        <f>IF(ISBLANK(V341),"",IF($P341="BRL",V341,V341*Macroindicadores!G$2)/1000)</f>
        <v/>
      </c>
      <c r="AK341" s="39">
        <f>IF(ISBLANK(W341),"",IF($P341="BRL",W341,W341*Macroindicadores!H$2)/1000)</f>
        <v>5.2919999999999998</v>
      </c>
      <c r="AL341" s="39" t="str">
        <f>IF(ISBLANK(X341),"",IF($P341="BRL",X341,X341*Macroindicadores!I$2)/1000)</f>
        <v/>
      </c>
      <c r="AM341" s="39" t="str">
        <f>IF(ISBLANK(Y341),"",IF($P341="BRL",Y341,Y341*Macroindicadores!J$2)/1000)</f>
        <v/>
      </c>
      <c r="AN341" s="39">
        <f>IF(ISBLANK(Z341),"",IF($P341="BRL",Z341,Z341*Macroindicadores!K$2)/1000)</f>
        <v>5.2919999999999998</v>
      </c>
      <c r="AO341" s="39" t="str">
        <f>IF(ISBLANK(AA341),"",IF($P341="BRL",AA341,AA341*Macroindicadores!L$2)/1000)</f>
        <v/>
      </c>
      <c r="AP341" s="39" t="str">
        <f>IF(ISBLANK(AB341),"",IF($P341="BRL",AB341,AB341*Macroindicadores!M$2)/1000)</f>
        <v/>
      </c>
      <c r="AQ341" s="40">
        <f t="shared" si="149"/>
        <v>21.167999999999999</v>
      </c>
      <c r="AS341" s="39">
        <f>IF(ISBLANK(Q341),"",IF(ISBLANK($O341),AE341,IF($J341="ANUAL",AE341*(1+Macroindicadores!B$7),IF(AND($I341="NOVO",MONTH($O341)=MONTH(AS$4)),AE341*(1+Macroindicadores!B$7),IF(AND($J341="PONTUAL",MONTH($O341)=MONTH(AS$4)),AE341*(1+Macroindicadores!B$7),IF(AND($J341="PONTUAL",MONTH($O341)&lt;MONTH(AS$4)),MIN(AR341:$AS341),IF(AND($I341="NOVO",MONTH($O341)&gt;MONTH(AS$4)),AE341,IF(MONTH($O341)&gt;MONTH(AS$4),AE341,IF(MONTH($O341)=MONTH(AS$4),AE341*(1+Macroindicadores!B$7),AR341)))))))))</f>
        <v>5.2919999999999998</v>
      </c>
      <c r="AT341" s="39" t="str">
        <f>IF(ISBLANK(R341),"",IF(ISBLANK($O341),AF341,IF($J341="ANUAL",AF341*(1+Macroindicadores!C$7),IF(AND($I341="NOVO",MONTH($O341)=MONTH(AT$4)),AF341*(1+Macroindicadores!C$7),IF(AND($J341="PONTUAL",MONTH($O341)=MONTH(AT$4)),AF341*(1+Macroindicadores!C$7),IF(AND($J341="PONTUAL",MONTH($O341)&lt;MONTH(AT$4)),MIN($AS341:AS341),IF(AND($I341="NOVO",MONTH($O341)&gt;MONTH(AT$4)),AF341,IF(MONTH($O341)&gt;MONTH(AT$4),AF341,IF(MONTH($O341)=MONTH(AT$4),AF341*(1+Macroindicadores!C$7),AS341)))))))))</f>
        <v/>
      </c>
      <c r="AU341" s="39" t="str">
        <f>IF(ISBLANK(S341),"",IF(ISBLANK($O341),AG341,IF($J341="ANUAL",AG341*(1+Macroindicadores!D$7),IF(AND($I341="NOVO",MONTH($O341)=MONTH(AU$4)),AG341*(1+Macroindicadores!D$7),IF(AND($J341="PONTUAL",MONTH($O341)=MONTH(AU$4)),AG341*(1+Macroindicadores!D$7),IF(AND($J341="PONTUAL",MONTH($O341)&lt;MONTH(AU$4)),MIN($AS341:AT341),IF(AND($I341="NOVO",MONTH($O341)&gt;MONTH(AU$4)),AG341,IF(MONTH($O341)&gt;MONTH(AU$4),AG341,IF(MONTH($O341)=MONTH(AU$4),AG341*(1+Macroindicadores!D$7),AT341)))))))))</f>
        <v/>
      </c>
      <c r="AV341" s="39">
        <f>IF(ISBLANK(T341),"",IF(ISBLANK($O341),AH341,IF($J341="ANUAL",AH341*(1+Macroindicadores!E$7),IF(AND($I341="NOVO",MONTH($O341)=MONTH(AV$4)),AH341*(1+Macroindicadores!E$7),IF(AND($J341="PONTUAL",MONTH($O341)=MONTH(AV$4)),AH341*(1+Macroindicadores!E$7),IF(AND($J341="PONTUAL",MONTH($O341)&lt;MONTH(AV$4)),MIN($AS341:AU341),IF(AND($I341="NOVO",MONTH($O341)&gt;MONTH(AV$4)),AH341,IF(MONTH($O341)&gt;MONTH(AV$4),AH341,IF(MONTH($O341)=MONTH(AV$4),AH341*(1+Macroindicadores!E$7),AU341)))))))))</f>
        <v>5.2919999999999998</v>
      </c>
      <c r="AW341" s="39" t="str">
        <f>IF(ISBLANK(U341),"",IF(ISBLANK($O341),AI341,IF($J341="ANUAL",AI341*(1+Macroindicadores!F$7),IF(AND($I341="NOVO",MONTH($O341)=MONTH(AW$4)),AI341*(1+Macroindicadores!F$7),IF(AND($J341="PONTUAL",MONTH($O341)=MONTH(AW$4)),AI341*(1+Macroindicadores!F$7),IF(AND($J341="PONTUAL",MONTH($O341)&lt;MONTH(AW$4)),MIN($AS341:AV341),IF(AND($I341="NOVO",MONTH($O341)&gt;MONTH(AW$4)),AI341,IF(MONTH($O341)&gt;MONTH(AW$4),AI341,IF(MONTH($O341)=MONTH(AW$4),AI341*(1+Macroindicadores!F$7),AV341)))))))))</f>
        <v/>
      </c>
      <c r="AX341" s="39" t="str">
        <f>IF(ISBLANK(V341),"",IF(ISBLANK($O341),AJ341,IF($J341="ANUAL",AJ341*(1+Macroindicadores!G$7),IF(AND($I341="NOVO",MONTH($O341)=MONTH(AX$4)),AJ341*(1+Macroindicadores!G$7),IF(AND($J341="PONTUAL",MONTH($O341)=MONTH(AX$4)),AJ341*(1+Macroindicadores!G$7),IF(AND($J341="PONTUAL",MONTH($O341)&lt;MONTH(AX$4)),MIN($AS341:AW341),IF(AND($I341="NOVO",MONTH($O341)&gt;MONTH(AX$4)),AJ341,IF(MONTH($O341)&gt;MONTH(AX$4),AJ341,IF(MONTH($O341)=MONTH(AX$4),AJ341*(1+Macroindicadores!G$7),AW341)))))))))</f>
        <v/>
      </c>
      <c r="AY341" s="39">
        <f>IF(ISBLANK(W341),"",IF(ISBLANK($O341),AK341,IF($J341="ANUAL",AK341*(1+Macroindicadores!H$7),IF(AND($I341="NOVO",MONTH($O341)=MONTH(AY$4)),AK341*(1+Macroindicadores!H$7),IF(AND($J341="PONTUAL",MONTH($O341)=MONTH(AY$4)),AK341*(1+Macroindicadores!H$7),IF(AND($J341="PONTUAL",MONTH($O341)&lt;MONTH(AY$4)),MIN($AS341:AX341),IF(AND($I341="NOVO",MONTH($O341)&gt;MONTH(AY$4)),AK341,IF(MONTH($O341)&gt;MONTH(AY$4),AK341,IF(MONTH($O341)=MONTH(AY$4),AK341*(1+Macroindicadores!H$7),AX341)))))))))</f>
        <v>5.2919999999999998</v>
      </c>
      <c r="AZ341" s="39" t="str">
        <f>IF(ISBLANK(X341),"",IF(ISBLANK($O341),AL341,IF($J341="ANUAL",AL341*(1+Macroindicadores!I$7),IF(AND($I341="NOVO",MONTH($O341)=MONTH(AZ$4)),AL341*(1+Macroindicadores!I$7),IF(AND($J341="PONTUAL",MONTH($O341)=MONTH(AZ$4)),AL341*(1+Macroindicadores!I$7),IF(AND($J341="PONTUAL",MONTH($O341)&lt;MONTH(AZ$4)),MIN($AS341:AY341),IF(AND($I341="NOVO",MONTH($O341)&gt;MONTH(AZ$4)),AL341,IF(MONTH($O341)&gt;MONTH(AZ$4),AL341,IF(MONTH($O341)=MONTH(AZ$4),AL341*(1+Macroindicadores!I$7),AY341)))))))))</f>
        <v/>
      </c>
      <c r="BA341" s="39" t="str">
        <f>IF(ISBLANK(Y341),"",IF(ISBLANK($O341),AM341,IF($J341="ANUAL",AM341*(1+Macroindicadores!J$7),IF(AND($I341="NOVO",MONTH($O341)=MONTH(BA$4)),AM341*(1+Macroindicadores!J$7),IF(AND($J341="PONTUAL",MONTH($O341)=MONTH(BA$4)),AM341*(1+Macroindicadores!J$7),IF(AND($J341="PONTUAL",MONTH($O341)&lt;MONTH(BA$4)),MIN($AS341:AZ341),IF(AND($I341="NOVO",MONTH($O341)&gt;MONTH(BA$4)),AM341,IF(MONTH($O341)&gt;MONTH(BA$4),AM341,IF(MONTH($O341)=MONTH(BA$4),AM341*(1+Macroindicadores!J$7),AZ341)))))))))</f>
        <v/>
      </c>
      <c r="BB341" s="39">
        <f>IF(ISBLANK(Z341),"",IF(ISBLANK($O341),AN341,IF($J341="ANUAL",AN341*(1+Macroindicadores!K$7),IF(AND($I341="NOVO",MONTH($O341)=MONTH(BB$4)),AN341*(1+Macroindicadores!K$7),IF(AND($J341="PONTUAL",MONTH($O341)=MONTH(BB$4)),AN341*(1+Macroindicadores!K$7),IF(AND($J341="PONTUAL",MONTH($O341)&lt;MONTH(BB$4)),MIN($AS341:BA341),IF(AND($I341="NOVO",MONTH($O341)&gt;MONTH(BB$4)),AN341,IF(MONTH($O341)&gt;MONTH(BB$4),AN341,IF(MONTH($O341)=MONTH(BB$4),AN341*(1+Macroindicadores!K$7),BA341)))))))))</f>
        <v>5.2919999999999998</v>
      </c>
      <c r="BC341" s="39" t="str">
        <f>IF(ISBLANK(AA341),"",IF(ISBLANK($O341),AO341,IF($J341="ANUAL",AO341*(1+Macroindicadores!L$7),IF(AND($I341="NOVO",MONTH($O341)=MONTH(BC$4)),AO341*(1+Macroindicadores!L$7),IF(AND($J341="PONTUAL",MONTH($O341)=MONTH(BC$4)),AO341*(1+Macroindicadores!L$7),IF(AND($J341="PONTUAL",MONTH($O341)&lt;MONTH(BC$4)),MIN($AS341:BB341),IF(AND($I341="NOVO",MONTH($O341)&gt;MONTH(BC$4)),AO341,IF(MONTH($O341)&gt;MONTH(BC$4),AO341,IF(MONTH($O341)=MONTH(BC$4),AO341*(1+Macroindicadores!L$7),BB341)))))))))</f>
        <v/>
      </c>
      <c r="BD341" s="39" t="str">
        <f>IF(ISBLANK(AB341),"",IF(ISBLANK($O341),AP341,IF($J341="ANUAL",AP341*(1+Macroindicadores!M$7),IF(AND($I341="NOVO",MONTH($O341)=MONTH(BD$4)),AP341*(1+Macroindicadores!M$7),IF(AND($J341="PONTUAL",MONTH($O341)=MONTH(BD$4)),AP341*(1+Macroindicadores!M$7),IF(AND($J341="PONTUAL",MONTH($O341)&lt;MONTH(BD$4)),MIN($AS341:BC341),IF(AND($I341="NOVO",MONTH($O341)&gt;MONTH(BD$4)),AP341,IF(MONTH($O341)&gt;MONTH(BD$4),AP341,IF(MONTH($O341)=MONTH(BD$4),AP341*(1+Macroindicadores!M$7),BC341)))))))))</f>
        <v/>
      </c>
      <c r="BE341" s="40">
        <f t="shared" si="150"/>
        <v>21.167999999999999</v>
      </c>
      <c r="BG341" s="39">
        <f>IF(ISBLANK(Q341),"",AS341/Macroindicadores!B$2)</f>
        <v>0.9</v>
      </c>
      <c r="BH341" s="39" t="str">
        <f>IF(ISBLANK(R341),"",AT341/Macroindicadores!C$2)</f>
        <v/>
      </c>
      <c r="BI341" s="39" t="str">
        <f>IF(ISBLANK(S341),"",AU341/Macroindicadores!D$2)</f>
        <v/>
      </c>
      <c r="BJ341" s="39">
        <f>IF(ISBLANK(T341),"",AV341/Macroindicadores!E$2)</f>
        <v>0.9</v>
      </c>
      <c r="BK341" s="39" t="str">
        <f>IF(ISBLANK(U341),"",AW341/Macroindicadores!F$2)</f>
        <v/>
      </c>
      <c r="BL341" s="39" t="str">
        <f>IF(ISBLANK(V341),"",AX341/Macroindicadores!G$2)</f>
        <v/>
      </c>
      <c r="BM341" s="39">
        <f>IF(ISBLANK(W341),"",AY341/Macroindicadores!H$2)</f>
        <v>0.9</v>
      </c>
      <c r="BN341" s="39" t="str">
        <f>IF(ISBLANK(X341),"",AZ341/Macroindicadores!I$2)</f>
        <v/>
      </c>
      <c r="BO341" s="39" t="str">
        <f>IF(ISBLANK(Y341),"",BA341/Macroindicadores!J$2)</f>
        <v/>
      </c>
      <c r="BP341" s="39">
        <f>IF(ISBLANK(Z341),"",BB341/Macroindicadores!K$2)</f>
        <v>0.9</v>
      </c>
      <c r="BQ341" s="39" t="str">
        <f>IF(ISBLANK(AA341),"",BC341/Macroindicadores!L$2)</f>
        <v/>
      </c>
      <c r="BR341" s="39" t="str">
        <f>IF(ISBLANK(AB341),"",BD341/Macroindicadores!M$2)</f>
        <v/>
      </c>
      <c r="BS341" s="40">
        <f t="shared" si="151"/>
        <v>3.6</v>
      </c>
    </row>
    <row r="342" spans="3:71">
      <c r="C342" s="111" t="s">
        <v>262</v>
      </c>
      <c r="D342" s="111" t="s">
        <v>278</v>
      </c>
      <c r="E342" s="111" t="s">
        <v>14</v>
      </c>
      <c r="F342" s="112" t="s">
        <v>163</v>
      </c>
      <c r="G342" s="112" t="s">
        <v>75</v>
      </c>
      <c r="H342" s="112" t="s">
        <v>264</v>
      </c>
      <c r="I342" s="11" t="s">
        <v>77</v>
      </c>
      <c r="J342" s="11" t="s">
        <v>78</v>
      </c>
      <c r="K342" s="11" t="s">
        <v>79</v>
      </c>
      <c r="L342" s="11"/>
      <c r="M342" s="18"/>
      <c r="N342" s="113" t="s">
        <v>91</v>
      </c>
      <c r="O342" s="12"/>
      <c r="P342" s="113" t="s">
        <v>88</v>
      </c>
      <c r="Q342" s="41"/>
      <c r="R342" s="41"/>
      <c r="S342" s="41"/>
      <c r="T342" s="41"/>
      <c r="U342" s="41"/>
      <c r="V342" s="41"/>
      <c r="W342" s="41"/>
      <c r="X342" s="41"/>
      <c r="Y342" s="41"/>
      <c r="Z342" s="41"/>
      <c r="AA342" s="41"/>
      <c r="AB342" s="41"/>
      <c r="AC342" s="116" t="str">
        <f t="shared" si="152"/>
        <v/>
      </c>
      <c r="AD342" s="8" t="e">
        <f t="shared" si="153"/>
        <v>#VALUE!</v>
      </c>
      <c r="AE342" s="39" t="str">
        <f>IF(ISBLANK(Q342),"",IF($P342="BRL",Q342,Q342*Macroindicadores!B$2)/1000)</f>
        <v/>
      </c>
      <c r="AF342" s="39" t="str">
        <f>IF(ISBLANK(R342),"",IF($P342="BRL",R342,R342*Macroindicadores!C$2)/1000)</f>
        <v/>
      </c>
      <c r="AG342" s="39" t="str">
        <f>IF(ISBLANK(S342),"",IF($P342="BRL",S342,S342*Macroindicadores!D$2)/1000)</f>
        <v/>
      </c>
      <c r="AH342" s="39" t="str">
        <f>IF(ISBLANK(T342),"",IF($P342="BRL",T342,T342*Macroindicadores!E$2)/1000)</f>
        <v/>
      </c>
      <c r="AI342" s="39" t="str">
        <f>IF(ISBLANK(U342),"",IF($P342="BRL",U342,U342*Macroindicadores!F$2)/1000)</f>
        <v/>
      </c>
      <c r="AJ342" s="39" t="str">
        <f>IF(ISBLANK(V342),"",IF($P342="BRL",V342,V342*Macroindicadores!G$2)/1000)</f>
        <v/>
      </c>
      <c r="AK342" s="39" t="str">
        <f>IF(ISBLANK(W342),"",IF($P342="BRL",W342,W342*Macroindicadores!H$2)/1000)</f>
        <v/>
      </c>
      <c r="AL342" s="39" t="str">
        <f>IF(ISBLANK(X342),"",IF($P342="BRL",X342,X342*Macroindicadores!I$2)/1000)</f>
        <v/>
      </c>
      <c r="AM342" s="39" t="str">
        <f>IF(ISBLANK(Y342),"",IF($P342="BRL",Y342,Y342*Macroindicadores!J$2)/1000)</f>
        <v/>
      </c>
      <c r="AN342" s="39" t="str">
        <f>IF(ISBLANK(Z342),"",IF($P342="BRL",Z342,Z342*Macroindicadores!K$2)/1000)</f>
        <v/>
      </c>
      <c r="AO342" s="39" t="str">
        <f>IF(ISBLANK(AA342),"",IF($P342="BRL",AA342,AA342*Macroindicadores!L$2)/1000)</f>
        <v/>
      </c>
      <c r="AP342" s="39" t="str">
        <f>IF(ISBLANK(AB342),"",IF($P342="BRL",AB342,AB342*Macroindicadores!M$2)/1000)</f>
        <v/>
      </c>
      <c r="AQ342" s="40" t="str">
        <f t="shared" si="149"/>
        <v/>
      </c>
      <c r="AS342" s="39" t="str">
        <f>IF(ISBLANK(Q342),"",IF(ISBLANK($O342),AE342,IF($J342="ANUAL",AE342*(1+Macroindicadores!B$7),IF(AND($I342="NOVO",MONTH($O342)=MONTH(AS$4)),AE342*(1+Macroindicadores!B$7),IF(AND($J342="PONTUAL",MONTH($O342)=MONTH(AS$4)),AE342*(1+Macroindicadores!B$7),IF(AND($J342="PONTUAL",MONTH($O342)&lt;MONTH(AS$4)),MIN(AR342:$AS342),IF(AND($I342="NOVO",MONTH($O342)&gt;MONTH(AS$4)),AE342,IF(MONTH($O342)&gt;MONTH(AS$4),AE342,IF(MONTH($O342)=MONTH(AS$4),AE342*(1+Macroindicadores!B$7),AR342)))))))))</f>
        <v/>
      </c>
      <c r="AT342" s="39" t="str">
        <f>IF(ISBLANK(R342),"",IF(ISBLANK($O342),AF342,IF($J342="ANUAL",AF342*(1+Macroindicadores!C$7),IF(AND($I342="NOVO",MONTH($O342)=MONTH(AT$4)),AF342*(1+Macroindicadores!C$7),IF(AND($J342="PONTUAL",MONTH($O342)=MONTH(AT$4)),AF342*(1+Macroindicadores!C$7),IF(AND($J342="PONTUAL",MONTH($O342)&lt;MONTH(AT$4)),MIN($AS342:AS342),IF(AND($I342="NOVO",MONTH($O342)&gt;MONTH(AT$4)),AF342,IF(MONTH($O342)&gt;MONTH(AT$4),AF342,IF(MONTH($O342)=MONTH(AT$4),AF342*(1+Macroindicadores!C$7),AS342)))))))))</f>
        <v/>
      </c>
      <c r="AU342" s="39" t="str">
        <f>IF(ISBLANK(S342),"",IF(ISBLANK($O342),AG342,IF($J342="ANUAL",AG342*(1+Macroindicadores!D$7),IF(AND($I342="NOVO",MONTH($O342)=MONTH(AU$4)),AG342*(1+Macroindicadores!D$7),IF(AND($J342="PONTUAL",MONTH($O342)=MONTH(AU$4)),AG342*(1+Macroindicadores!D$7),IF(AND($J342="PONTUAL",MONTH($O342)&lt;MONTH(AU$4)),MIN($AS342:AT342),IF(AND($I342="NOVO",MONTH($O342)&gt;MONTH(AU$4)),AG342,IF(MONTH($O342)&gt;MONTH(AU$4),AG342,IF(MONTH($O342)=MONTH(AU$4),AG342*(1+Macroindicadores!D$7),AT342)))))))))</f>
        <v/>
      </c>
      <c r="AV342" s="39" t="str">
        <f>IF(ISBLANK(T342),"",IF(ISBLANK($O342),AH342,IF($J342="ANUAL",AH342*(1+Macroindicadores!E$7),IF(AND($I342="NOVO",MONTH($O342)=MONTH(AV$4)),AH342*(1+Macroindicadores!E$7),IF(AND($J342="PONTUAL",MONTH($O342)=MONTH(AV$4)),AH342*(1+Macroindicadores!E$7),IF(AND($J342="PONTUAL",MONTH($O342)&lt;MONTH(AV$4)),MIN($AS342:AU342),IF(AND($I342="NOVO",MONTH($O342)&gt;MONTH(AV$4)),AH342,IF(MONTH($O342)&gt;MONTH(AV$4),AH342,IF(MONTH($O342)=MONTH(AV$4),AH342*(1+Macroindicadores!E$7),AU342)))))))))</f>
        <v/>
      </c>
      <c r="AW342" s="39" t="str">
        <f>IF(ISBLANK(U342),"",IF(ISBLANK($O342),AI342,IF($J342="ANUAL",AI342*(1+Macroindicadores!F$7),IF(AND($I342="NOVO",MONTH($O342)=MONTH(AW$4)),AI342*(1+Macroindicadores!F$7),IF(AND($J342="PONTUAL",MONTH($O342)=MONTH(AW$4)),AI342*(1+Macroindicadores!F$7),IF(AND($J342="PONTUAL",MONTH($O342)&lt;MONTH(AW$4)),MIN($AS342:AV342),IF(AND($I342="NOVO",MONTH($O342)&gt;MONTH(AW$4)),AI342,IF(MONTH($O342)&gt;MONTH(AW$4),AI342,IF(MONTH($O342)=MONTH(AW$4),AI342*(1+Macroindicadores!F$7),AV342)))))))))</f>
        <v/>
      </c>
      <c r="AX342" s="39" t="str">
        <f>IF(ISBLANK(V342),"",IF(ISBLANK($O342),AJ342,IF($J342="ANUAL",AJ342*(1+Macroindicadores!G$7),IF(AND($I342="NOVO",MONTH($O342)=MONTH(AX$4)),AJ342*(1+Macroindicadores!G$7),IF(AND($J342="PONTUAL",MONTH($O342)=MONTH(AX$4)),AJ342*(1+Macroindicadores!G$7),IF(AND($J342="PONTUAL",MONTH($O342)&lt;MONTH(AX$4)),MIN($AS342:AW342),IF(AND($I342="NOVO",MONTH($O342)&gt;MONTH(AX$4)),AJ342,IF(MONTH($O342)&gt;MONTH(AX$4),AJ342,IF(MONTH($O342)=MONTH(AX$4),AJ342*(1+Macroindicadores!G$7),AW342)))))))))</f>
        <v/>
      </c>
      <c r="AY342" s="39" t="str">
        <f>IF(ISBLANK(W342),"",IF(ISBLANK($O342),AK342,IF($J342="ANUAL",AK342*(1+Macroindicadores!H$7),IF(AND($I342="NOVO",MONTH($O342)=MONTH(AY$4)),AK342*(1+Macroindicadores!H$7),IF(AND($J342="PONTUAL",MONTH($O342)=MONTH(AY$4)),AK342*(1+Macroindicadores!H$7),IF(AND($J342="PONTUAL",MONTH($O342)&lt;MONTH(AY$4)),MIN($AS342:AX342),IF(AND($I342="NOVO",MONTH($O342)&gt;MONTH(AY$4)),AK342,IF(MONTH($O342)&gt;MONTH(AY$4),AK342,IF(MONTH($O342)=MONTH(AY$4),AK342*(1+Macroindicadores!H$7),AX342)))))))))</f>
        <v/>
      </c>
      <c r="AZ342" s="39" t="str">
        <f>IF(ISBLANK(X342),"",IF(ISBLANK($O342),AL342,IF($J342="ANUAL",AL342*(1+Macroindicadores!I$7),IF(AND($I342="NOVO",MONTH($O342)=MONTH(AZ$4)),AL342*(1+Macroindicadores!I$7),IF(AND($J342="PONTUAL",MONTH($O342)=MONTH(AZ$4)),AL342*(1+Macroindicadores!I$7),IF(AND($J342="PONTUAL",MONTH($O342)&lt;MONTH(AZ$4)),MIN($AS342:AY342),IF(AND($I342="NOVO",MONTH($O342)&gt;MONTH(AZ$4)),AL342,IF(MONTH($O342)&gt;MONTH(AZ$4),AL342,IF(MONTH($O342)=MONTH(AZ$4),AL342*(1+Macroindicadores!I$7),AY342)))))))))</f>
        <v/>
      </c>
      <c r="BA342" s="39" t="str">
        <f>IF(ISBLANK(Y342),"",IF(ISBLANK($O342),AM342,IF($J342="ANUAL",AM342*(1+Macroindicadores!J$7),IF(AND($I342="NOVO",MONTH($O342)=MONTH(BA$4)),AM342*(1+Macroindicadores!J$7),IF(AND($J342="PONTUAL",MONTH($O342)=MONTH(BA$4)),AM342*(1+Macroindicadores!J$7),IF(AND($J342="PONTUAL",MONTH($O342)&lt;MONTH(BA$4)),MIN($AS342:AZ342),IF(AND($I342="NOVO",MONTH($O342)&gt;MONTH(BA$4)),AM342,IF(MONTH($O342)&gt;MONTH(BA$4),AM342,IF(MONTH($O342)=MONTH(BA$4),AM342*(1+Macroindicadores!J$7),AZ342)))))))))</f>
        <v/>
      </c>
      <c r="BB342" s="39" t="str">
        <f>IF(ISBLANK(Z342),"",IF(ISBLANK($O342),AN342,IF($J342="ANUAL",AN342*(1+Macroindicadores!K$7),IF(AND($I342="NOVO",MONTH($O342)=MONTH(BB$4)),AN342*(1+Macroindicadores!K$7),IF(AND($J342="PONTUAL",MONTH($O342)=MONTH(BB$4)),AN342*(1+Macroindicadores!K$7),IF(AND($J342="PONTUAL",MONTH($O342)&lt;MONTH(BB$4)),MIN($AS342:BA342),IF(AND($I342="NOVO",MONTH($O342)&gt;MONTH(BB$4)),AN342,IF(MONTH($O342)&gt;MONTH(BB$4),AN342,IF(MONTH($O342)=MONTH(BB$4),AN342*(1+Macroindicadores!K$7),BA342)))))))))</f>
        <v/>
      </c>
      <c r="BC342" s="39" t="str">
        <f>IF(ISBLANK(AA342),"",IF(ISBLANK($O342),AO342,IF($J342="ANUAL",AO342*(1+Macroindicadores!L$7),IF(AND($I342="NOVO",MONTH($O342)=MONTH(BC$4)),AO342*(1+Macroindicadores!L$7),IF(AND($J342="PONTUAL",MONTH($O342)=MONTH(BC$4)),AO342*(1+Macroindicadores!L$7),IF(AND($J342="PONTUAL",MONTH($O342)&lt;MONTH(BC$4)),MIN($AS342:BB342),IF(AND($I342="NOVO",MONTH($O342)&gt;MONTH(BC$4)),AO342,IF(MONTH($O342)&gt;MONTH(BC$4),AO342,IF(MONTH($O342)=MONTH(BC$4),AO342*(1+Macroindicadores!L$7),BB342)))))))))</f>
        <v/>
      </c>
      <c r="BD342" s="39" t="str">
        <f>IF(ISBLANK(AB342),"",IF(ISBLANK($O342),AP342,IF($J342="ANUAL",AP342*(1+Macroindicadores!M$7),IF(AND($I342="NOVO",MONTH($O342)=MONTH(BD$4)),AP342*(1+Macroindicadores!M$7),IF(AND($J342="PONTUAL",MONTH($O342)=MONTH(BD$4)),AP342*(1+Macroindicadores!M$7),IF(AND($J342="PONTUAL",MONTH($O342)&lt;MONTH(BD$4)),MIN($AS342:BC342),IF(AND($I342="NOVO",MONTH($O342)&gt;MONTH(BD$4)),AP342,IF(MONTH($O342)&gt;MONTH(BD$4),AP342,IF(MONTH($O342)=MONTH(BD$4),AP342*(1+Macroindicadores!M$7),BC342)))))))))</f>
        <v/>
      </c>
      <c r="BE342" s="40" t="str">
        <f t="shared" si="150"/>
        <v/>
      </c>
      <c r="BG342" s="39" t="str">
        <f>IF(ISBLANK(Q342),"",AS342/Macroindicadores!B$2)</f>
        <v/>
      </c>
      <c r="BH342" s="39" t="str">
        <f>IF(ISBLANK(R342),"",AT342/Macroindicadores!C$2)</f>
        <v/>
      </c>
      <c r="BI342" s="39" t="str">
        <f>IF(ISBLANK(S342),"",AU342/Macroindicadores!D$2)</f>
        <v/>
      </c>
      <c r="BJ342" s="39" t="str">
        <f>IF(ISBLANK(T342),"",AV342/Macroindicadores!E$2)</f>
        <v/>
      </c>
      <c r="BK342" s="39" t="str">
        <f>IF(ISBLANK(U342),"",AW342/Macroindicadores!F$2)</f>
        <v/>
      </c>
      <c r="BL342" s="39" t="str">
        <f>IF(ISBLANK(V342),"",AX342/Macroindicadores!G$2)</f>
        <v/>
      </c>
      <c r="BM342" s="39" t="str">
        <f>IF(ISBLANK(W342),"",AY342/Macroindicadores!H$2)</f>
        <v/>
      </c>
      <c r="BN342" s="39" t="str">
        <f>IF(ISBLANK(X342),"",AZ342/Macroindicadores!I$2)</f>
        <v/>
      </c>
      <c r="BO342" s="39" t="str">
        <f>IF(ISBLANK(Y342),"",BA342/Macroindicadores!J$2)</f>
        <v/>
      </c>
      <c r="BP342" s="39" t="str">
        <f>IF(ISBLANK(Z342),"",BB342/Macroindicadores!K$2)</f>
        <v/>
      </c>
      <c r="BQ342" s="39" t="str">
        <f>IF(ISBLANK(AA342),"",BC342/Macroindicadores!L$2)</f>
        <v/>
      </c>
      <c r="BR342" s="39" t="str">
        <f>IF(ISBLANK(AB342),"",BD342/Macroindicadores!M$2)</f>
        <v/>
      </c>
      <c r="BS342" s="40" t="str">
        <f t="shared" si="151"/>
        <v/>
      </c>
    </row>
    <row r="343" spans="3:71">
      <c r="C343" s="111" t="s">
        <v>336</v>
      </c>
      <c r="D343" s="111" t="s">
        <v>337</v>
      </c>
      <c r="E343" s="111" t="s">
        <v>14</v>
      </c>
      <c r="F343" s="112" t="s">
        <v>163</v>
      </c>
      <c r="G343" s="112" t="s">
        <v>75</v>
      </c>
      <c r="H343" s="112" t="s">
        <v>308</v>
      </c>
      <c r="I343" s="11" t="s">
        <v>77</v>
      </c>
      <c r="J343" s="11" t="s">
        <v>120</v>
      </c>
      <c r="K343" s="11" t="s">
        <v>79</v>
      </c>
      <c r="L343" s="11"/>
      <c r="M343" s="18"/>
      <c r="N343" s="113" t="s">
        <v>106</v>
      </c>
      <c r="O343" s="12"/>
      <c r="P343" s="113" t="s">
        <v>88</v>
      </c>
      <c r="Q343" s="41"/>
      <c r="R343" s="41"/>
      <c r="S343" s="41"/>
      <c r="T343" s="41"/>
      <c r="U343" s="41"/>
      <c r="V343" s="41"/>
      <c r="W343" s="41">
        <v>1522</v>
      </c>
      <c r="X343" s="41"/>
      <c r="Y343" s="41"/>
      <c r="Z343" s="41"/>
      <c r="AA343" s="41"/>
      <c r="AB343" s="41"/>
      <c r="AC343" s="116">
        <f t="shared" si="152"/>
        <v>1522</v>
      </c>
      <c r="AD343" s="8">
        <f t="shared" si="153"/>
        <v>263.77816291161179</v>
      </c>
      <c r="AE343" s="39" t="str">
        <f>IF(ISBLANK(Q343),"",IF($P343="BRL",Q343,Q343*Macroindicadores!B$2)/1000)</f>
        <v/>
      </c>
      <c r="AF343" s="39" t="str">
        <f>IF(ISBLANK(R343),"",IF($P343="BRL",R343,R343*Macroindicadores!C$2)/1000)</f>
        <v/>
      </c>
      <c r="AG343" s="39" t="str">
        <f>IF(ISBLANK(S343),"",IF($P343="BRL",S343,S343*Macroindicadores!D$2)/1000)</f>
        <v/>
      </c>
      <c r="AH343" s="39" t="str">
        <f>IF(ISBLANK(T343),"",IF($P343="BRL",T343,T343*Macroindicadores!E$2)/1000)</f>
        <v/>
      </c>
      <c r="AI343" s="39" t="str">
        <f>IF(ISBLANK(U343),"",IF($P343="BRL",U343,U343*Macroindicadores!F$2)/1000)</f>
        <v/>
      </c>
      <c r="AJ343" s="39" t="str">
        <f>IF(ISBLANK(V343),"",IF($P343="BRL",V343,V343*Macroindicadores!G$2)/1000)</f>
        <v/>
      </c>
      <c r="AK343" s="39">
        <f>IF(ISBLANK(W343),"",IF($P343="BRL",W343,W343*Macroindicadores!H$2)/1000)</f>
        <v>8.9493600000000004</v>
      </c>
      <c r="AL343" s="39" t="str">
        <f>IF(ISBLANK(X343),"",IF($P343="BRL",X343,X343*Macroindicadores!I$2)/1000)</f>
        <v/>
      </c>
      <c r="AM343" s="39" t="str">
        <f>IF(ISBLANK(Y343),"",IF($P343="BRL",Y343,Y343*Macroindicadores!J$2)/1000)</f>
        <v/>
      </c>
      <c r="AN343" s="39" t="str">
        <f>IF(ISBLANK(Z343),"",IF($P343="BRL",Z343,Z343*Macroindicadores!K$2)/1000)</f>
        <v/>
      </c>
      <c r="AO343" s="39" t="str">
        <f>IF(ISBLANK(AA343),"",IF($P343="BRL",AA343,AA343*Macroindicadores!L$2)/1000)</f>
        <v/>
      </c>
      <c r="AP343" s="39" t="str">
        <f>IF(ISBLANK(AB343),"",IF($P343="BRL",AB343,AB343*Macroindicadores!M$2)/1000)</f>
        <v/>
      </c>
      <c r="AQ343" s="40">
        <f t="shared" si="149"/>
        <v>8.9493600000000004</v>
      </c>
      <c r="AS343" s="39" t="str">
        <f>IF(ISBLANK(Q343),"",IF(ISBLANK($O343),AE343,IF($J343="ANUAL",AE343*(1+Macroindicadores!B$7),IF(AND($I343="NOVO",MONTH($O343)=MONTH(AS$4)),AE343*(1+Macroindicadores!B$7),IF(AND($J343="PONTUAL",MONTH($O343)=MONTH(AS$4)),AE343*(1+Macroindicadores!B$7),IF(AND($J343="PONTUAL",MONTH($O343)&lt;MONTH(AS$4)),MIN(AR343:$AS343),IF(AND($I343="NOVO",MONTH($O343)&gt;MONTH(AS$4)),AE343,IF(MONTH($O343)&gt;MONTH(AS$4),AE343,IF(MONTH($O343)=MONTH(AS$4),AE343*(1+Macroindicadores!B$7),AR343)))))))))</f>
        <v/>
      </c>
      <c r="AT343" s="39" t="str">
        <f>IF(ISBLANK(R343),"",IF(ISBLANK($O343),AF343,IF($J343="ANUAL",AF343*(1+Macroindicadores!C$7),IF(AND($I343="NOVO",MONTH($O343)=MONTH(AT$4)),AF343*(1+Macroindicadores!C$7),IF(AND($J343="PONTUAL",MONTH($O343)=MONTH(AT$4)),AF343*(1+Macroindicadores!C$7),IF(AND($J343="PONTUAL",MONTH($O343)&lt;MONTH(AT$4)),MIN($AS343:AS343),IF(AND($I343="NOVO",MONTH($O343)&gt;MONTH(AT$4)),AF343,IF(MONTH($O343)&gt;MONTH(AT$4),AF343,IF(MONTH($O343)=MONTH(AT$4),AF343*(1+Macroindicadores!C$7),AS343)))))))))</f>
        <v/>
      </c>
      <c r="AU343" s="39" t="str">
        <f>IF(ISBLANK(S343),"",IF(ISBLANK($O343),AG343,IF($J343="ANUAL",AG343*(1+Macroindicadores!D$7),IF(AND($I343="NOVO",MONTH($O343)=MONTH(AU$4)),AG343*(1+Macroindicadores!D$7),IF(AND($J343="PONTUAL",MONTH($O343)=MONTH(AU$4)),AG343*(1+Macroindicadores!D$7),IF(AND($J343="PONTUAL",MONTH($O343)&lt;MONTH(AU$4)),MIN($AS343:AT343),IF(AND($I343="NOVO",MONTH($O343)&gt;MONTH(AU$4)),AG343,IF(MONTH($O343)&gt;MONTH(AU$4),AG343,IF(MONTH($O343)=MONTH(AU$4),AG343*(1+Macroindicadores!D$7),AT343)))))))))</f>
        <v/>
      </c>
      <c r="AV343" s="39" t="str">
        <f>IF(ISBLANK(T343),"",IF(ISBLANK($O343),AH343,IF($J343="ANUAL",AH343*(1+Macroindicadores!E$7),IF(AND($I343="NOVO",MONTH($O343)=MONTH(AV$4)),AH343*(1+Macroindicadores!E$7),IF(AND($J343="PONTUAL",MONTH($O343)=MONTH(AV$4)),AH343*(1+Macroindicadores!E$7),IF(AND($J343="PONTUAL",MONTH($O343)&lt;MONTH(AV$4)),MIN($AS343:AU343),IF(AND($I343="NOVO",MONTH($O343)&gt;MONTH(AV$4)),AH343,IF(MONTH($O343)&gt;MONTH(AV$4),AH343,IF(MONTH($O343)=MONTH(AV$4),AH343*(1+Macroindicadores!E$7),AU343)))))))))</f>
        <v/>
      </c>
      <c r="AW343" s="39" t="str">
        <f>IF(ISBLANK(U343),"",IF(ISBLANK($O343),AI343,IF($J343="ANUAL",AI343*(1+Macroindicadores!F$7),IF(AND($I343="NOVO",MONTH($O343)=MONTH(AW$4)),AI343*(1+Macroindicadores!F$7),IF(AND($J343="PONTUAL",MONTH($O343)=MONTH(AW$4)),AI343*(1+Macroindicadores!F$7),IF(AND($J343="PONTUAL",MONTH($O343)&lt;MONTH(AW$4)),MIN($AS343:AV343),IF(AND($I343="NOVO",MONTH($O343)&gt;MONTH(AW$4)),AI343,IF(MONTH($O343)&gt;MONTH(AW$4),AI343,IF(MONTH($O343)=MONTH(AW$4),AI343*(1+Macroindicadores!F$7),AV343)))))))))</f>
        <v/>
      </c>
      <c r="AX343" s="39" t="str">
        <f>IF(ISBLANK(V343),"",IF(ISBLANK($O343),AJ343,IF($J343="ANUAL",AJ343*(1+Macroindicadores!G$7),IF(AND($I343="NOVO",MONTH($O343)=MONTH(AX$4)),AJ343*(1+Macroindicadores!G$7),IF(AND($J343="PONTUAL",MONTH($O343)=MONTH(AX$4)),AJ343*(1+Macroindicadores!G$7),IF(AND($J343="PONTUAL",MONTH($O343)&lt;MONTH(AX$4)),MIN($AS343:AW343),IF(AND($I343="NOVO",MONTH($O343)&gt;MONTH(AX$4)),AJ343,IF(MONTH($O343)&gt;MONTH(AX$4),AJ343,IF(MONTH($O343)=MONTH(AX$4),AJ343*(1+Macroindicadores!G$7),AW343)))))))))</f>
        <v/>
      </c>
      <c r="AY343" s="39">
        <f>IF(ISBLANK(W343),"",IF(ISBLANK($O343),AK343,IF($J343="ANUAL",AK343*(1+Macroindicadores!H$7),IF(AND($I343="NOVO",MONTH($O343)=MONTH(AY$4)),AK343*(1+Macroindicadores!H$7),IF(AND($J343="PONTUAL",MONTH($O343)=MONTH(AY$4)),AK343*(1+Macroindicadores!H$7),IF(AND($J343="PONTUAL",MONTH($O343)&lt;MONTH(AY$4)),MIN($AS343:AX343),IF(AND($I343="NOVO",MONTH($O343)&gt;MONTH(AY$4)),AK343,IF(MONTH($O343)&gt;MONTH(AY$4),AK343,IF(MONTH($O343)=MONTH(AY$4),AK343*(1+Macroindicadores!H$7),AX343)))))))))</f>
        <v>8.9493600000000004</v>
      </c>
      <c r="AZ343" s="39" t="str">
        <f>IF(ISBLANK(X343),"",IF(ISBLANK($O343),AL343,IF($J343="ANUAL",AL343*(1+Macroindicadores!I$7),IF(AND($I343="NOVO",MONTH($O343)=MONTH(AZ$4)),AL343*(1+Macroindicadores!I$7),IF(AND($J343="PONTUAL",MONTH($O343)=MONTH(AZ$4)),AL343*(1+Macroindicadores!I$7),IF(AND($J343="PONTUAL",MONTH($O343)&lt;MONTH(AZ$4)),MIN($AS343:AY343),IF(AND($I343="NOVO",MONTH($O343)&gt;MONTH(AZ$4)),AL343,IF(MONTH($O343)&gt;MONTH(AZ$4),AL343,IF(MONTH($O343)=MONTH(AZ$4),AL343*(1+Macroindicadores!I$7),AY343)))))))))</f>
        <v/>
      </c>
      <c r="BA343" s="39" t="str">
        <f>IF(ISBLANK(Y343),"",IF(ISBLANK($O343),AM343,IF($J343="ANUAL",AM343*(1+Macroindicadores!J$7),IF(AND($I343="NOVO",MONTH($O343)=MONTH(BA$4)),AM343*(1+Macroindicadores!J$7),IF(AND($J343="PONTUAL",MONTH($O343)=MONTH(BA$4)),AM343*(1+Macroindicadores!J$7),IF(AND($J343="PONTUAL",MONTH($O343)&lt;MONTH(BA$4)),MIN($AS343:AZ343),IF(AND($I343="NOVO",MONTH($O343)&gt;MONTH(BA$4)),AM343,IF(MONTH($O343)&gt;MONTH(BA$4),AM343,IF(MONTH($O343)=MONTH(BA$4),AM343*(1+Macroindicadores!J$7),AZ343)))))))))</f>
        <v/>
      </c>
      <c r="BB343" s="39" t="str">
        <f>IF(ISBLANK(Z343),"",IF(ISBLANK($O343),AN343,IF($J343="ANUAL",AN343*(1+Macroindicadores!K$7),IF(AND($I343="NOVO",MONTH($O343)=MONTH(BB$4)),AN343*(1+Macroindicadores!K$7),IF(AND($J343="PONTUAL",MONTH($O343)=MONTH(BB$4)),AN343*(1+Macroindicadores!K$7),IF(AND($J343="PONTUAL",MONTH($O343)&lt;MONTH(BB$4)),MIN($AS343:BA343),IF(AND($I343="NOVO",MONTH($O343)&gt;MONTH(BB$4)),AN343,IF(MONTH($O343)&gt;MONTH(BB$4),AN343,IF(MONTH($O343)=MONTH(BB$4),AN343*(1+Macroindicadores!K$7),BA343)))))))))</f>
        <v/>
      </c>
      <c r="BC343" s="39" t="str">
        <f>IF(ISBLANK(AA343),"",IF(ISBLANK($O343),AO343,IF($J343="ANUAL",AO343*(1+Macroindicadores!L$7),IF(AND($I343="NOVO",MONTH($O343)=MONTH(BC$4)),AO343*(1+Macroindicadores!L$7),IF(AND($J343="PONTUAL",MONTH($O343)=MONTH(BC$4)),AO343*(1+Macroindicadores!L$7),IF(AND($J343="PONTUAL",MONTH($O343)&lt;MONTH(BC$4)),MIN($AS343:BB343),IF(AND($I343="NOVO",MONTH($O343)&gt;MONTH(BC$4)),AO343,IF(MONTH($O343)&gt;MONTH(BC$4),AO343,IF(MONTH($O343)=MONTH(BC$4),AO343*(1+Macroindicadores!L$7),BB343)))))))))</f>
        <v/>
      </c>
      <c r="BD343" s="39" t="str">
        <f>IF(ISBLANK(AB343),"",IF(ISBLANK($O343),AP343,IF($J343="ANUAL",AP343*(1+Macroindicadores!M$7),IF(AND($I343="NOVO",MONTH($O343)=MONTH(BD$4)),AP343*(1+Macroindicadores!M$7),IF(AND($J343="PONTUAL",MONTH($O343)=MONTH(BD$4)),AP343*(1+Macroindicadores!M$7),IF(AND($J343="PONTUAL",MONTH($O343)&lt;MONTH(BD$4)),MIN($AS343:BC343),IF(AND($I343="NOVO",MONTH($O343)&gt;MONTH(BD$4)),AP343,IF(MONTH($O343)&gt;MONTH(BD$4),AP343,IF(MONTH($O343)=MONTH(BD$4),AP343*(1+Macroindicadores!M$7),BC343)))))))))</f>
        <v/>
      </c>
      <c r="BE343" s="40">
        <f t="shared" si="150"/>
        <v>8.9493600000000004</v>
      </c>
      <c r="BG343" s="39" t="str">
        <f>IF(ISBLANK(Q343),"",AS343/Macroindicadores!B$2)</f>
        <v/>
      </c>
      <c r="BH343" s="39" t="str">
        <f>IF(ISBLANK(R343),"",AT343/Macroindicadores!C$2)</f>
        <v/>
      </c>
      <c r="BI343" s="39" t="str">
        <f>IF(ISBLANK(S343),"",AU343/Macroindicadores!D$2)</f>
        <v/>
      </c>
      <c r="BJ343" s="39" t="str">
        <f>IF(ISBLANK(T343),"",AV343/Macroindicadores!E$2)</f>
        <v/>
      </c>
      <c r="BK343" s="39" t="str">
        <f>IF(ISBLANK(U343),"",AW343/Macroindicadores!F$2)</f>
        <v/>
      </c>
      <c r="BL343" s="39" t="str">
        <f>IF(ISBLANK(V343),"",AX343/Macroindicadores!G$2)</f>
        <v/>
      </c>
      <c r="BM343" s="39">
        <f>IF(ISBLANK(W343),"",AY343/Macroindicadores!H$2)</f>
        <v>1.522</v>
      </c>
      <c r="BN343" s="39" t="str">
        <f>IF(ISBLANK(X343),"",AZ343/Macroindicadores!I$2)</f>
        <v/>
      </c>
      <c r="BO343" s="39" t="str">
        <f>IF(ISBLANK(Y343),"",BA343/Macroindicadores!J$2)</f>
        <v/>
      </c>
      <c r="BP343" s="39" t="str">
        <f>IF(ISBLANK(Z343),"",BB343/Macroindicadores!K$2)</f>
        <v/>
      </c>
      <c r="BQ343" s="39" t="str">
        <f>IF(ISBLANK(AA343),"",BC343/Macroindicadores!L$2)</f>
        <v/>
      </c>
      <c r="BR343" s="39" t="str">
        <f>IF(ISBLANK(AB343),"",BD343/Macroindicadores!M$2)</f>
        <v/>
      </c>
      <c r="BS343" s="40">
        <f t="shared" si="151"/>
        <v>1.522</v>
      </c>
    </row>
    <row r="344" spans="3:71">
      <c r="C344" s="111" t="s">
        <v>336</v>
      </c>
      <c r="D344" s="111" t="s">
        <v>337</v>
      </c>
      <c r="E344" s="111" t="s">
        <v>14</v>
      </c>
      <c r="F344" s="112" t="s">
        <v>161</v>
      </c>
      <c r="G344" s="112" t="s">
        <v>75</v>
      </c>
      <c r="H344" s="112" t="s">
        <v>264</v>
      </c>
      <c r="I344" s="11" t="s">
        <v>77</v>
      </c>
      <c r="J344" s="11" t="s">
        <v>120</v>
      </c>
      <c r="K344" s="11" t="s">
        <v>79</v>
      </c>
      <c r="L344" s="11"/>
      <c r="M344" s="18"/>
      <c r="N344" s="113" t="s">
        <v>91</v>
      </c>
      <c r="O344" s="12"/>
      <c r="P344" s="113" t="s">
        <v>88</v>
      </c>
      <c r="Q344" s="41">
        <v>312</v>
      </c>
      <c r="R344" s="41"/>
      <c r="S344" s="41"/>
      <c r="T344" s="41">
        <v>312</v>
      </c>
      <c r="U344" s="41"/>
      <c r="V344" s="41"/>
      <c r="W344" s="41">
        <v>312</v>
      </c>
      <c r="X344" s="41"/>
      <c r="Y344" s="41"/>
      <c r="Z344" s="41">
        <v>312</v>
      </c>
      <c r="AA344" s="41"/>
      <c r="AB344" s="41"/>
      <c r="AC344" s="116">
        <f t="shared" si="152"/>
        <v>1248</v>
      </c>
      <c r="AD344" s="8">
        <f t="shared" si="153"/>
        <v>216.29116117850955</v>
      </c>
      <c r="AE344" s="39">
        <f>IF(ISBLANK(Q344),"",IF($P344="BRL",Q344,Q344*Macroindicadores!B$2)/1000)</f>
        <v>1.83456</v>
      </c>
      <c r="AF344" s="39" t="str">
        <f>IF(ISBLANK(R344),"",IF($P344="BRL",R344,R344*Macroindicadores!C$2)/1000)</f>
        <v/>
      </c>
      <c r="AG344" s="39" t="str">
        <f>IF(ISBLANK(S344),"",IF($P344="BRL",S344,S344*Macroindicadores!D$2)/1000)</f>
        <v/>
      </c>
      <c r="AH344" s="39">
        <f>IF(ISBLANK(T344),"",IF($P344="BRL",T344,T344*Macroindicadores!E$2)/1000)</f>
        <v>1.83456</v>
      </c>
      <c r="AI344" s="39" t="str">
        <f>IF(ISBLANK(U344),"",IF($P344="BRL",U344,U344*Macroindicadores!F$2)/1000)</f>
        <v/>
      </c>
      <c r="AJ344" s="39" t="str">
        <f>IF(ISBLANK(V344),"",IF($P344="BRL",V344,V344*Macroindicadores!G$2)/1000)</f>
        <v/>
      </c>
      <c r="AK344" s="39">
        <f>IF(ISBLANK(W344),"",IF($P344="BRL",W344,W344*Macroindicadores!H$2)/1000)</f>
        <v>1.83456</v>
      </c>
      <c r="AL344" s="39" t="str">
        <f>IF(ISBLANK(X344),"",IF($P344="BRL",X344,X344*Macroindicadores!I$2)/1000)</f>
        <v/>
      </c>
      <c r="AM344" s="39" t="str">
        <f>IF(ISBLANK(Y344),"",IF($P344="BRL",Y344,Y344*Macroindicadores!J$2)/1000)</f>
        <v/>
      </c>
      <c r="AN344" s="39">
        <f>IF(ISBLANK(Z344),"",IF($P344="BRL",Z344,Z344*Macroindicadores!K$2)/1000)</f>
        <v>1.83456</v>
      </c>
      <c r="AO344" s="39" t="str">
        <f>IF(ISBLANK(AA344),"",IF($P344="BRL",AA344,AA344*Macroindicadores!L$2)/1000)</f>
        <v/>
      </c>
      <c r="AP344" s="39" t="str">
        <f>IF(ISBLANK(AB344),"",IF($P344="BRL",AB344,AB344*Macroindicadores!M$2)/1000)</f>
        <v/>
      </c>
      <c r="AQ344" s="40">
        <f t="shared" si="149"/>
        <v>7.3382399999999999</v>
      </c>
      <c r="AS344" s="39">
        <f>IF(ISBLANK(Q344),"",IF(ISBLANK($O344),AE344,IF($J344="ANUAL",AE344*(1+Macroindicadores!B$7),IF(AND($I344="NOVO",MONTH($O344)=MONTH(AS$4)),AE344*(1+Macroindicadores!B$7),IF(AND($J344="PONTUAL",MONTH($O344)=MONTH(AS$4)),AE344*(1+Macroindicadores!B$7),IF(AND($J344="PONTUAL",MONTH($O344)&lt;MONTH(AS$4)),MIN(AR344:$AS344),IF(AND($I344="NOVO",MONTH($O344)&gt;MONTH(AS$4)),AE344,IF(MONTH($O344)&gt;MONTH(AS$4),AE344,IF(MONTH($O344)=MONTH(AS$4),AE344*(1+Macroindicadores!B$7),AR344)))))))))</f>
        <v>1.83456</v>
      </c>
      <c r="AT344" s="39" t="str">
        <f>IF(ISBLANK(R344),"",IF(ISBLANK($O344),AF344,IF($J344="ANUAL",AF344*(1+Macroindicadores!C$7),IF(AND($I344="NOVO",MONTH($O344)=MONTH(AT$4)),AF344*(1+Macroindicadores!C$7),IF(AND($J344="PONTUAL",MONTH($O344)=MONTH(AT$4)),AF344*(1+Macroindicadores!C$7),IF(AND($J344="PONTUAL",MONTH($O344)&lt;MONTH(AT$4)),MIN($AS344:AS344),IF(AND($I344="NOVO",MONTH($O344)&gt;MONTH(AT$4)),AF344,IF(MONTH($O344)&gt;MONTH(AT$4),AF344,IF(MONTH($O344)=MONTH(AT$4),AF344*(1+Macroindicadores!C$7),AS344)))))))))</f>
        <v/>
      </c>
      <c r="AU344" s="39" t="str">
        <f>IF(ISBLANK(S344),"",IF(ISBLANK($O344),AG344,IF($J344="ANUAL",AG344*(1+Macroindicadores!D$7),IF(AND($I344="NOVO",MONTH($O344)=MONTH(AU$4)),AG344*(1+Macroindicadores!D$7),IF(AND($J344="PONTUAL",MONTH($O344)=MONTH(AU$4)),AG344*(1+Macroindicadores!D$7),IF(AND($J344="PONTUAL",MONTH($O344)&lt;MONTH(AU$4)),MIN($AS344:AT344),IF(AND($I344="NOVO",MONTH($O344)&gt;MONTH(AU$4)),AG344,IF(MONTH($O344)&gt;MONTH(AU$4),AG344,IF(MONTH($O344)=MONTH(AU$4),AG344*(1+Macroindicadores!D$7),AT344)))))))))</f>
        <v/>
      </c>
      <c r="AV344" s="39">
        <f>IF(ISBLANK(T344),"",IF(ISBLANK($O344),AH344,IF($J344="ANUAL",AH344*(1+Macroindicadores!E$7),IF(AND($I344="NOVO",MONTH($O344)=MONTH(AV$4)),AH344*(1+Macroindicadores!E$7),IF(AND($J344="PONTUAL",MONTH($O344)=MONTH(AV$4)),AH344*(1+Macroindicadores!E$7),IF(AND($J344="PONTUAL",MONTH($O344)&lt;MONTH(AV$4)),MIN($AS344:AU344),IF(AND($I344="NOVO",MONTH($O344)&gt;MONTH(AV$4)),AH344,IF(MONTH($O344)&gt;MONTH(AV$4),AH344,IF(MONTH($O344)=MONTH(AV$4),AH344*(1+Macroindicadores!E$7),AU344)))))))))</f>
        <v>1.83456</v>
      </c>
      <c r="AW344" s="39" t="str">
        <f>IF(ISBLANK(U344),"",IF(ISBLANK($O344),AI344,IF($J344="ANUAL",AI344*(1+Macroindicadores!F$7),IF(AND($I344="NOVO",MONTH($O344)=MONTH(AW$4)),AI344*(1+Macroindicadores!F$7),IF(AND($J344="PONTUAL",MONTH($O344)=MONTH(AW$4)),AI344*(1+Macroindicadores!F$7),IF(AND($J344="PONTUAL",MONTH($O344)&lt;MONTH(AW$4)),MIN($AS344:AV344),IF(AND($I344="NOVO",MONTH($O344)&gt;MONTH(AW$4)),AI344,IF(MONTH($O344)&gt;MONTH(AW$4),AI344,IF(MONTH($O344)=MONTH(AW$4),AI344*(1+Macroindicadores!F$7),AV344)))))))))</f>
        <v/>
      </c>
      <c r="AX344" s="39" t="str">
        <f>IF(ISBLANK(V344),"",IF(ISBLANK($O344),AJ344,IF($J344="ANUAL",AJ344*(1+Macroindicadores!G$7),IF(AND($I344="NOVO",MONTH($O344)=MONTH(AX$4)),AJ344*(1+Macroindicadores!G$7),IF(AND($J344="PONTUAL",MONTH($O344)=MONTH(AX$4)),AJ344*(1+Macroindicadores!G$7),IF(AND($J344="PONTUAL",MONTH($O344)&lt;MONTH(AX$4)),MIN($AS344:AW344),IF(AND($I344="NOVO",MONTH($O344)&gt;MONTH(AX$4)),AJ344,IF(MONTH($O344)&gt;MONTH(AX$4),AJ344,IF(MONTH($O344)=MONTH(AX$4),AJ344*(1+Macroindicadores!G$7),AW344)))))))))</f>
        <v/>
      </c>
      <c r="AY344" s="39">
        <f>IF(ISBLANK(W344),"",IF(ISBLANK($O344),AK344,IF($J344="ANUAL",AK344*(1+Macroindicadores!H$7),IF(AND($I344="NOVO",MONTH($O344)=MONTH(AY$4)),AK344*(1+Macroindicadores!H$7),IF(AND($J344="PONTUAL",MONTH($O344)=MONTH(AY$4)),AK344*(1+Macroindicadores!H$7),IF(AND($J344="PONTUAL",MONTH($O344)&lt;MONTH(AY$4)),MIN($AS344:AX344),IF(AND($I344="NOVO",MONTH($O344)&gt;MONTH(AY$4)),AK344,IF(MONTH($O344)&gt;MONTH(AY$4),AK344,IF(MONTH($O344)=MONTH(AY$4),AK344*(1+Macroindicadores!H$7),AX344)))))))))</f>
        <v>1.83456</v>
      </c>
      <c r="AZ344" s="39" t="str">
        <f>IF(ISBLANK(X344),"",IF(ISBLANK($O344),AL344,IF($J344="ANUAL",AL344*(1+Macroindicadores!I$7),IF(AND($I344="NOVO",MONTH($O344)=MONTH(AZ$4)),AL344*(1+Macroindicadores!I$7),IF(AND($J344="PONTUAL",MONTH($O344)=MONTH(AZ$4)),AL344*(1+Macroindicadores!I$7),IF(AND($J344="PONTUAL",MONTH($O344)&lt;MONTH(AZ$4)),MIN($AS344:AY344),IF(AND($I344="NOVO",MONTH($O344)&gt;MONTH(AZ$4)),AL344,IF(MONTH($O344)&gt;MONTH(AZ$4),AL344,IF(MONTH($O344)=MONTH(AZ$4),AL344*(1+Macroindicadores!I$7),AY344)))))))))</f>
        <v/>
      </c>
      <c r="BA344" s="39" t="str">
        <f>IF(ISBLANK(Y344),"",IF(ISBLANK($O344),AM344,IF($J344="ANUAL",AM344*(1+Macroindicadores!J$7),IF(AND($I344="NOVO",MONTH($O344)=MONTH(BA$4)),AM344*(1+Macroindicadores!J$7),IF(AND($J344="PONTUAL",MONTH($O344)=MONTH(BA$4)),AM344*(1+Macroindicadores!J$7),IF(AND($J344="PONTUAL",MONTH($O344)&lt;MONTH(BA$4)),MIN($AS344:AZ344),IF(AND($I344="NOVO",MONTH($O344)&gt;MONTH(BA$4)),AM344,IF(MONTH($O344)&gt;MONTH(BA$4),AM344,IF(MONTH($O344)=MONTH(BA$4),AM344*(1+Macroindicadores!J$7),AZ344)))))))))</f>
        <v/>
      </c>
      <c r="BB344" s="39">
        <f>IF(ISBLANK(Z344),"",IF(ISBLANK($O344),AN344,IF($J344="ANUAL",AN344*(1+Macroindicadores!K$7),IF(AND($I344="NOVO",MONTH($O344)=MONTH(BB$4)),AN344*(1+Macroindicadores!K$7),IF(AND($J344="PONTUAL",MONTH($O344)=MONTH(BB$4)),AN344*(1+Macroindicadores!K$7),IF(AND($J344="PONTUAL",MONTH($O344)&lt;MONTH(BB$4)),MIN($AS344:BA344),IF(AND($I344="NOVO",MONTH($O344)&gt;MONTH(BB$4)),AN344,IF(MONTH($O344)&gt;MONTH(BB$4),AN344,IF(MONTH($O344)=MONTH(BB$4),AN344*(1+Macroindicadores!K$7),BA344)))))))))</f>
        <v>1.83456</v>
      </c>
      <c r="BC344" s="39" t="str">
        <f>IF(ISBLANK(AA344),"",IF(ISBLANK($O344),AO344,IF($J344="ANUAL",AO344*(1+Macroindicadores!L$7),IF(AND($I344="NOVO",MONTH($O344)=MONTH(BC$4)),AO344*(1+Macroindicadores!L$7),IF(AND($J344="PONTUAL",MONTH($O344)=MONTH(BC$4)),AO344*(1+Macroindicadores!L$7),IF(AND($J344="PONTUAL",MONTH($O344)&lt;MONTH(BC$4)),MIN($AS344:BB344),IF(AND($I344="NOVO",MONTH($O344)&gt;MONTH(BC$4)),AO344,IF(MONTH($O344)&gt;MONTH(BC$4),AO344,IF(MONTH($O344)=MONTH(BC$4),AO344*(1+Macroindicadores!L$7),BB344)))))))))</f>
        <v/>
      </c>
      <c r="BD344" s="39" t="str">
        <f>IF(ISBLANK(AB344),"",IF(ISBLANK($O344),AP344,IF($J344="ANUAL",AP344*(1+Macroindicadores!M$7),IF(AND($I344="NOVO",MONTH($O344)=MONTH(BD$4)),AP344*(1+Macroindicadores!M$7),IF(AND($J344="PONTUAL",MONTH($O344)=MONTH(BD$4)),AP344*(1+Macroindicadores!M$7),IF(AND($J344="PONTUAL",MONTH($O344)&lt;MONTH(BD$4)),MIN($AS344:BC344),IF(AND($I344="NOVO",MONTH($O344)&gt;MONTH(BD$4)),AP344,IF(MONTH($O344)&gt;MONTH(BD$4),AP344,IF(MONTH($O344)=MONTH(BD$4),AP344*(1+Macroindicadores!M$7),BC344)))))))))</f>
        <v/>
      </c>
      <c r="BE344" s="40">
        <f t="shared" si="150"/>
        <v>7.3382399999999999</v>
      </c>
      <c r="BG344" s="39">
        <f>IF(ISBLANK(Q344),"",AS344/Macroindicadores!B$2)</f>
        <v>0.312</v>
      </c>
      <c r="BH344" s="39" t="str">
        <f>IF(ISBLANK(R344),"",AT344/Macroindicadores!C$2)</f>
        <v/>
      </c>
      <c r="BI344" s="39" t="str">
        <f>IF(ISBLANK(S344),"",AU344/Macroindicadores!D$2)</f>
        <v/>
      </c>
      <c r="BJ344" s="39">
        <f>IF(ISBLANK(T344),"",AV344/Macroindicadores!E$2)</f>
        <v>0.312</v>
      </c>
      <c r="BK344" s="39" t="str">
        <f>IF(ISBLANK(U344),"",AW344/Macroindicadores!F$2)</f>
        <v/>
      </c>
      <c r="BL344" s="39" t="str">
        <f>IF(ISBLANK(V344),"",AX344/Macroindicadores!G$2)</f>
        <v/>
      </c>
      <c r="BM344" s="39">
        <f>IF(ISBLANK(W344),"",AY344/Macroindicadores!H$2)</f>
        <v>0.312</v>
      </c>
      <c r="BN344" s="39" t="str">
        <f>IF(ISBLANK(X344),"",AZ344/Macroindicadores!I$2)</f>
        <v/>
      </c>
      <c r="BO344" s="39" t="str">
        <f>IF(ISBLANK(Y344),"",BA344/Macroindicadores!J$2)</f>
        <v/>
      </c>
      <c r="BP344" s="39">
        <f>IF(ISBLANK(Z344),"",BB344/Macroindicadores!K$2)</f>
        <v>0.312</v>
      </c>
      <c r="BQ344" s="39" t="str">
        <f>IF(ISBLANK(AA344),"",BC344/Macroindicadores!L$2)</f>
        <v/>
      </c>
      <c r="BR344" s="39" t="str">
        <f>IF(ISBLANK(AB344),"",BD344/Macroindicadores!M$2)</f>
        <v/>
      </c>
      <c r="BS344" s="40">
        <f t="shared" si="151"/>
        <v>1.248</v>
      </c>
    </row>
    <row r="345" spans="3:71">
      <c r="C345" s="111" t="s">
        <v>336</v>
      </c>
      <c r="D345" s="111" t="s">
        <v>337</v>
      </c>
      <c r="E345" s="111" t="s">
        <v>14</v>
      </c>
      <c r="F345" s="112" t="s">
        <v>352</v>
      </c>
      <c r="G345" s="112" t="s">
        <v>75</v>
      </c>
      <c r="H345" s="112" t="s">
        <v>352</v>
      </c>
      <c r="I345" s="11" t="s">
        <v>77</v>
      </c>
      <c r="J345" s="11" t="s">
        <v>350</v>
      </c>
      <c r="K345" s="11" t="s">
        <v>79</v>
      </c>
      <c r="L345" s="11"/>
      <c r="M345" s="18"/>
      <c r="N345" s="113" t="s">
        <v>87</v>
      </c>
      <c r="O345" s="12"/>
      <c r="P345" s="113" t="s">
        <v>88</v>
      </c>
      <c r="Q345" s="41">
        <v>44.5</v>
      </c>
      <c r="R345" s="41"/>
      <c r="S345" s="41"/>
      <c r="T345" s="41">
        <v>44.5</v>
      </c>
      <c r="U345" s="41"/>
      <c r="V345" s="41"/>
      <c r="W345" s="41">
        <v>44.5</v>
      </c>
      <c r="X345" s="41"/>
      <c r="Y345" s="41"/>
      <c r="Z345" s="41">
        <v>44.5</v>
      </c>
      <c r="AA345" s="41"/>
      <c r="AB345" s="41"/>
      <c r="AC345" s="116">
        <f t="shared" si="152"/>
        <v>178</v>
      </c>
      <c r="AE345" s="39">
        <f>IF(ISBLANK(Q345),"",IF($P345="BRL",Q345,Q345*Macroindicadores!B$2)/1000)</f>
        <v>0.26165999999999995</v>
      </c>
      <c r="AF345" s="39" t="str">
        <f>IF(ISBLANK(R345),"",IF($P345="BRL",R345,R345*Macroindicadores!C$2)/1000)</f>
        <v/>
      </c>
      <c r="AG345" s="39" t="str">
        <f>IF(ISBLANK(S345),"",IF($P345="BRL",S345,S345*Macroindicadores!D$2)/1000)</f>
        <v/>
      </c>
      <c r="AH345" s="39">
        <f>IF(ISBLANK(T345),"",IF($P345="BRL",T345,T345*Macroindicadores!E$2)/1000)</f>
        <v>0.26165999999999995</v>
      </c>
      <c r="AI345" s="39" t="str">
        <f>IF(ISBLANK(U345),"",IF($P345="BRL",U345,U345*Macroindicadores!F$2)/1000)</f>
        <v/>
      </c>
      <c r="AJ345" s="39" t="str">
        <f>IF(ISBLANK(V345),"",IF($P345="BRL",V345,V345*Macroindicadores!G$2)/1000)</f>
        <v/>
      </c>
      <c r="AK345" s="39">
        <f>IF(ISBLANK(W345),"",IF($P345="BRL",W345,W345*Macroindicadores!H$2)/1000)</f>
        <v>0.26165999999999995</v>
      </c>
      <c r="AL345" s="39" t="str">
        <f>IF(ISBLANK(X345),"",IF($P345="BRL",X345,X345*Macroindicadores!I$2)/1000)</f>
        <v/>
      </c>
      <c r="AM345" s="39" t="str">
        <f>IF(ISBLANK(Y345),"",IF($P345="BRL",Y345,Y345*Macroindicadores!J$2)/1000)</f>
        <v/>
      </c>
      <c r="AN345" s="39">
        <f>IF(ISBLANK(Z345),"",IF($P345="BRL",Z345,Z345*Macroindicadores!K$2)/1000)</f>
        <v>0.26165999999999995</v>
      </c>
      <c r="AO345" s="39" t="str">
        <f>IF(ISBLANK(AA345),"",IF($P345="BRL",AA345,AA345*Macroindicadores!L$2)/1000)</f>
        <v/>
      </c>
      <c r="AP345" s="39" t="str">
        <f>IF(ISBLANK(AB345),"",IF($P345="BRL",AB345,AB345*Macroindicadores!M$2)/1000)</f>
        <v/>
      </c>
      <c r="AQ345" s="40">
        <f t="shared" si="149"/>
        <v>1.0466399999999998</v>
      </c>
      <c r="AS345" s="39">
        <f>IF(ISBLANK(Q345),"",IF(ISBLANK($O345),AE345,IF($J345="ANUAL",AE345*(1+Macroindicadores!B$7),IF(AND($I345="NOVO",MONTH($O345)=MONTH(AS$4)),AE345*(1+Macroindicadores!B$7),IF(AND($J345="PONTUAL",MONTH($O345)=MONTH(AS$4)),AE345*(1+Macroindicadores!B$7),IF(AND($J345="PONTUAL",MONTH($O345)&lt;MONTH(AS$4)),MIN(AR345:$AS345),IF(AND($I345="NOVO",MONTH($O345)&gt;MONTH(AS$4)),AE345,IF(MONTH($O345)&gt;MONTH(AS$4),AE345,IF(MONTH($O345)=MONTH(AS$4),AE345*(1+Macroindicadores!B$7),AR345)))))))))</f>
        <v>0.26165999999999995</v>
      </c>
      <c r="AT345" s="39" t="str">
        <f>IF(ISBLANK(R345),"",IF(ISBLANK($O345),AF345,IF($J345="ANUAL",AF345*(1+Macroindicadores!C$7),IF(AND($I345="NOVO",MONTH($O345)=MONTH(AT$4)),AF345*(1+Macroindicadores!C$7),IF(AND($J345="PONTUAL",MONTH($O345)=MONTH(AT$4)),AF345*(1+Macroindicadores!C$7),IF(AND($J345="PONTUAL",MONTH($O345)&lt;MONTH(AT$4)),MIN($AS345:AS345),IF(AND($I345="NOVO",MONTH($O345)&gt;MONTH(AT$4)),AF345,IF(MONTH($O345)&gt;MONTH(AT$4),AF345,IF(MONTH($O345)=MONTH(AT$4),AF345*(1+Macroindicadores!C$7),AS345)))))))))</f>
        <v/>
      </c>
      <c r="AU345" s="39" t="str">
        <f>IF(ISBLANK(S345),"",IF(ISBLANK($O345),AG345,IF($J345="ANUAL",AG345*(1+Macroindicadores!D$7),IF(AND($I345="NOVO",MONTH($O345)=MONTH(AU$4)),AG345*(1+Macroindicadores!D$7),IF(AND($J345="PONTUAL",MONTH($O345)=MONTH(AU$4)),AG345*(1+Macroindicadores!D$7),IF(AND($J345="PONTUAL",MONTH($O345)&lt;MONTH(AU$4)),MIN($AS345:AT345),IF(AND($I345="NOVO",MONTH($O345)&gt;MONTH(AU$4)),AG345,IF(MONTH($O345)&gt;MONTH(AU$4),AG345,IF(MONTH($O345)=MONTH(AU$4),AG345*(1+Macroindicadores!D$7),AT345)))))))))</f>
        <v/>
      </c>
      <c r="AV345" s="39">
        <f>IF(ISBLANK(T345),"",IF(ISBLANK($O345),AH345,IF($J345="ANUAL",AH345*(1+Macroindicadores!E$7),IF(AND($I345="NOVO",MONTH($O345)=MONTH(AV$4)),AH345*(1+Macroindicadores!E$7),IF(AND($J345="PONTUAL",MONTH($O345)=MONTH(AV$4)),AH345*(1+Macroindicadores!E$7),IF(AND($J345="PONTUAL",MONTH($O345)&lt;MONTH(AV$4)),MIN($AS345:AU345),IF(AND($I345="NOVO",MONTH($O345)&gt;MONTH(AV$4)),AH345,IF(MONTH($O345)&gt;MONTH(AV$4),AH345,IF(MONTH($O345)=MONTH(AV$4),AH345*(1+Macroindicadores!E$7),AU345)))))))))</f>
        <v>0.26165999999999995</v>
      </c>
      <c r="AW345" s="39" t="str">
        <f>IF(ISBLANK(U345),"",IF(ISBLANK($O345),AI345,IF($J345="ANUAL",AI345*(1+Macroindicadores!F$7),IF(AND($I345="NOVO",MONTH($O345)=MONTH(AW$4)),AI345*(1+Macroindicadores!F$7),IF(AND($J345="PONTUAL",MONTH($O345)=MONTH(AW$4)),AI345*(1+Macroindicadores!F$7),IF(AND($J345="PONTUAL",MONTH($O345)&lt;MONTH(AW$4)),MIN($AS345:AV345),IF(AND($I345="NOVO",MONTH($O345)&gt;MONTH(AW$4)),AI345,IF(MONTH($O345)&gt;MONTH(AW$4),AI345,IF(MONTH($O345)=MONTH(AW$4),AI345*(1+Macroindicadores!F$7),AV345)))))))))</f>
        <v/>
      </c>
      <c r="AX345" s="39" t="str">
        <f>IF(ISBLANK(V345),"",IF(ISBLANK($O345),AJ345,IF($J345="ANUAL",AJ345*(1+Macroindicadores!G$7),IF(AND($I345="NOVO",MONTH($O345)=MONTH(AX$4)),AJ345*(1+Macroindicadores!G$7),IF(AND($J345="PONTUAL",MONTH($O345)=MONTH(AX$4)),AJ345*(1+Macroindicadores!G$7),IF(AND($J345="PONTUAL",MONTH($O345)&lt;MONTH(AX$4)),MIN($AS345:AW345),IF(AND($I345="NOVO",MONTH($O345)&gt;MONTH(AX$4)),AJ345,IF(MONTH($O345)&gt;MONTH(AX$4),AJ345,IF(MONTH($O345)=MONTH(AX$4),AJ345*(1+Macroindicadores!G$7),AW345)))))))))</f>
        <v/>
      </c>
      <c r="AY345" s="39">
        <f>IF(ISBLANK(W345),"",IF(ISBLANK($O345),AK345,IF($J345="ANUAL",AK345*(1+Macroindicadores!H$7),IF(AND($I345="NOVO",MONTH($O345)=MONTH(AY$4)),AK345*(1+Macroindicadores!H$7),IF(AND($J345="PONTUAL",MONTH($O345)=MONTH(AY$4)),AK345*(1+Macroindicadores!H$7),IF(AND($J345="PONTUAL",MONTH($O345)&lt;MONTH(AY$4)),MIN($AS345:AX345),IF(AND($I345="NOVO",MONTH($O345)&gt;MONTH(AY$4)),AK345,IF(MONTH($O345)&gt;MONTH(AY$4),AK345,IF(MONTH($O345)=MONTH(AY$4),AK345*(1+Macroindicadores!H$7),AX345)))))))))</f>
        <v>0.26165999999999995</v>
      </c>
      <c r="AZ345" s="39" t="str">
        <f>IF(ISBLANK(X345),"",IF(ISBLANK($O345),AL345,IF($J345="ANUAL",AL345*(1+Macroindicadores!I$7),IF(AND($I345="NOVO",MONTH($O345)=MONTH(AZ$4)),AL345*(1+Macroindicadores!I$7),IF(AND($J345="PONTUAL",MONTH($O345)=MONTH(AZ$4)),AL345*(1+Macroindicadores!I$7),IF(AND($J345="PONTUAL",MONTH($O345)&lt;MONTH(AZ$4)),MIN($AS345:AY345),IF(AND($I345="NOVO",MONTH($O345)&gt;MONTH(AZ$4)),AL345,IF(MONTH($O345)&gt;MONTH(AZ$4),AL345,IF(MONTH($O345)=MONTH(AZ$4),AL345*(1+Macroindicadores!I$7),AY345)))))))))</f>
        <v/>
      </c>
      <c r="BA345" s="39" t="str">
        <f>IF(ISBLANK(Y345),"",IF(ISBLANK($O345),AM345,IF($J345="ANUAL",AM345*(1+Macroindicadores!J$7),IF(AND($I345="NOVO",MONTH($O345)=MONTH(BA$4)),AM345*(1+Macroindicadores!J$7),IF(AND($J345="PONTUAL",MONTH($O345)=MONTH(BA$4)),AM345*(1+Macroindicadores!J$7),IF(AND($J345="PONTUAL",MONTH($O345)&lt;MONTH(BA$4)),MIN($AS345:AZ345),IF(AND($I345="NOVO",MONTH($O345)&gt;MONTH(BA$4)),AM345,IF(MONTH($O345)&gt;MONTH(BA$4),AM345,IF(MONTH($O345)=MONTH(BA$4),AM345*(1+Macroindicadores!J$7),AZ345)))))))))</f>
        <v/>
      </c>
      <c r="BB345" s="39">
        <f>IF(ISBLANK(Z345),"",IF(ISBLANK($O345),AN345,IF($J345="ANUAL",AN345*(1+Macroindicadores!K$7),IF(AND($I345="NOVO",MONTH($O345)=MONTH(BB$4)),AN345*(1+Macroindicadores!K$7),IF(AND($J345="PONTUAL",MONTH($O345)=MONTH(BB$4)),AN345*(1+Macroindicadores!K$7),IF(AND($J345="PONTUAL",MONTH($O345)&lt;MONTH(BB$4)),MIN($AS345:BA345),IF(AND($I345="NOVO",MONTH($O345)&gt;MONTH(BB$4)),AN345,IF(MONTH($O345)&gt;MONTH(BB$4),AN345,IF(MONTH($O345)=MONTH(BB$4),AN345*(1+Macroindicadores!K$7),BA345)))))))))</f>
        <v>0.26165999999999995</v>
      </c>
      <c r="BC345" s="39" t="str">
        <f>IF(ISBLANK(AA345),"",IF(ISBLANK($O345),AO345,IF($J345="ANUAL",AO345*(1+Macroindicadores!L$7),IF(AND($I345="NOVO",MONTH($O345)=MONTH(BC$4)),AO345*(1+Macroindicadores!L$7),IF(AND($J345="PONTUAL",MONTH($O345)=MONTH(BC$4)),AO345*(1+Macroindicadores!L$7),IF(AND($J345="PONTUAL",MONTH($O345)&lt;MONTH(BC$4)),MIN($AS345:BB345),IF(AND($I345="NOVO",MONTH($O345)&gt;MONTH(BC$4)),AO345,IF(MONTH($O345)&gt;MONTH(BC$4),AO345,IF(MONTH($O345)=MONTH(BC$4),AO345*(1+Macroindicadores!L$7),BB345)))))))))</f>
        <v/>
      </c>
      <c r="BD345" s="39" t="str">
        <f>IF(ISBLANK(AB345),"",IF(ISBLANK($O345),AP345,IF($J345="ANUAL",AP345*(1+Macroindicadores!M$7),IF(AND($I345="NOVO",MONTH($O345)=MONTH(BD$4)),AP345*(1+Macroindicadores!M$7),IF(AND($J345="PONTUAL",MONTH($O345)=MONTH(BD$4)),AP345*(1+Macroindicadores!M$7),IF(AND($J345="PONTUAL",MONTH($O345)&lt;MONTH(BD$4)),MIN($AS345:BC345),IF(AND($I345="NOVO",MONTH($O345)&gt;MONTH(BD$4)),AP345,IF(MONTH($O345)&gt;MONTH(BD$4),AP345,IF(MONTH($O345)=MONTH(BD$4),AP345*(1+Macroindicadores!M$7),BC345)))))))))</f>
        <v/>
      </c>
      <c r="BE345" s="40">
        <f t="shared" si="150"/>
        <v>1.0466399999999998</v>
      </c>
      <c r="BG345" s="39">
        <f>IF(ISBLANK(Q345),"",AS345/Macroindicadores!B$2)</f>
        <v>4.4499999999999991E-2</v>
      </c>
      <c r="BH345" s="39" t="str">
        <f>IF(ISBLANK(R345),"",AT345/Macroindicadores!C$2)</f>
        <v/>
      </c>
      <c r="BI345" s="39" t="str">
        <f>IF(ISBLANK(S345),"",AU345/Macroindicadores!D$2)</f>
        <v/>
      </c>
      <c r="BJ345" s="39">
        <f>IF(ISBLANK(T345),"",AV345/Macroindicadores!E$2)</f>
        <v>4.4499999999999991E-2</v>
      </c>
      <c r="BK345" s="39" t="str">
        <f>IF(ISBLANK(U345),"",AW345/Macroindicadores!F$2)</f>
        <v/>
      </c>
      <c r="BL345" s="39" t="str">
        <f>IF(ISBLANK(V345),"",AX345/Macroindicadores!G$2)</f>
        <v/>
      </c>
      <c r="BM345" s="39">
        <f>IF(ISBLANK(W345),"",AY345/Macroindicadores!H$2)</f>
        <v>4.4499999999999991E-2</v>
      </c>
      <c r="BN345" s="39" t="str">
        <f>IF(ISBLANK(X345),"",AZ345/Macroindicadores!I$2)</f>
        <v/>
      </c>
      <c r="BO345" s="39" t="str">
        <f>IF(ISBLANK(Y345),"",BA345/Macroindicadores!J$2)</f>
        <v/>
      </c>
      <c r="BP345" s="39">
        <f>IF(ISBLANK(Z345),"",BB345/Macroindicadores!K$2)</f>
        <v>4.4499999999999991E-2</v>
      </c>
      <c r="BQ345" s="39" t="str">
        <f>IF(ISBLANK(AA345),"",BC345/Macroindicadores!L$2)</f>
        <v/>
      </c>
      <c r="BR345" s="39" t="str">
        <f>IF(ISBLANK(AB345),"",BD345/Macroindicadores!M$2)</f>
        <v/>
      </c>
      <c r="BS345" s="40">
        <f t="shared" si="151"/>
        <v>0.17799999999999996</v>
      </c>
    </row>
    <row r="346" spans="3:71">
      <c r="C346" s="111" t="s">
        <v>336</v>
      </c>
      <c r="D346" s="111" t="s">
        <v>337</v>
      </c>
      <c r="E346" s="111" t="s">
        <v>14</v>
      </c>
      <c r="F346" s="112" t="s">
        <v>304</v>
      </c>
      <c r="G346" s="112" t="s">
        <v>123</v>
      </c>
      <c r="H346" s="112" t="s">
        <v>353</v>
      </c>
      <c r="I346" s="11" t="s">
        <v>77</v>
      </c>
      <c r="J346" s="11" t="s">
        <v>120</v>
      </c>
      <c r="K346" s="11" t="s">
        <v>79</v>
      </c>
      <c r="L346" s="11"/>
      <c r="M346" s="18"/>
      <c r="N346" s="113" t="s">
        <v>106</v>
      </c>
      <c r="O346" s="12"/>
      <c r="P346" s="113" t="s">
        <v>88</v>
      </c>
      <c r="Q346" s="41">
        <v>203.62</v>
      </c>
      <c r="R346" s="41">
        <v>203.62</v>
      </c>
      <c r="S346" s="41">
        <v>203.62</v>
      </c>
      <c r="T346" s="41">
        <v>203.62</v>
      </c>
      <c r="U346" s="41">
        <v>203.62</v>
      </c>
      <c r="V346" s="41">
        <v>203.62</v>
      </c>
      <c r="W346" s="41">
        <v>203.62</v>
      </c>
      <c r="X346" s="41">
        <v>203.62</v>
      </c>
      <c r="Y346" s="41">
        <v>203.62</v>
      </c>
      <c r="Z346" s="41">
        <v>203.62</v>
      </c>
      <c r="AA346" s="41">
        <v>203.62</v>
      </c>
      <c r="AB346" s="41">
        <v>203.62</v>
      </c>
      <c r="AC346" s="116">
        <f t="shared" si="152"/>
        <v>2443.4399999999996</v>
      </c>
      <c r="AE346" s="39">
        <f>IF(ISBLANK(Q346),"",IF($P346="BRL",Q346,Q346*Macroindicadores!B$2)/1000)</f>
        <v>1.1972855999999998</v>
      </c>
      <c r="AF346" s="39">
        <f>IF(ISBLANK(R346),"",IF($P346="BRL",R346,R346*Macroindicadores!C$2)/1000)</f>
        <v>1.1972855999999998</v>
      </c>
      <c r="AG346" s="39">
        <f>IF(ISBLANK(S346),"",IF($P346="BRL",S346,S346*Macroindicadores!D$2)/1000)</f>
        <v>1.1972855999999998</v>
      </c>
      <c r="AH346" s="39">
        <f>IF(ISBLANK(T346),"",IF($P346="BRL",T346,T346*Macroindicadores!E$2)/1000)</f>
        <v>1.1972855999999998</v>
      </c>
      <c r="AI346" s="39">
        <f>IF(ISBLANK(U346),"",IF($P346="BRL",U346,U346*Macroindicadores!F$2)/1000)</f>
        <v>1.1972855999999998</v>
      </c>
      <c r="AJ346" s="39">
        <f>IF(ISBLANK(V346),"",IF($P346="BRL",V346,V346*Macroindicadores!G$2)/1000)</f>
        <v>1.1972855999999998</v>
      </c>
      <c r="AK346" s="39">
        <f>IF(ISBLANK(W346),"",IF($P346="BRL",W346,W346*Macroindicadores!H$2)/1000)</f>
        <v>1.1972855999999998</v>
      </c>
      <c r="AL346" s="39">
        <f>IF(ISBLANK(X346),"",IF($P346="BRL",X346,X346*Macroindicadores!I$2)/1000)</f>
        <v>1.1972855999999998</v>
      </c>
      <c r="AM346" s="39">
        <f>IF(ISBLANK(Y346),"",IF($P346="BRL",Y346,Y346*Macroindicadores!J$2)/1000)</f>
        <v>1.1972855999999998</v>
      </c>
      <c r="AN346" s="39">
        <f>IF(ISBLANK(Z346),"",IF($P346="BRL",Z346,Z346*Macroindicadores!K$2)/1000)</f>
        <v>1.1972855999999998</v>
      </c>
      <c r="AO346" s="39">
        <f>IF(ISBLANK(AA346),"",IF($P346="BRL",AA346,AA346*Macroindicadores!L$2)/1000)</f>
        <v>1.1972855999999998</v>
      </c>
      <c r="AP346" s="39">
        <f>IF(ISBLANK(AB346),"",IF($P346="BRL",AB346,AB346*Macroindicadores!M$2)/1000)</f>
        <v>1.1972855999999998</v>
      </c>
      <c r="AQ346" s="40">
        <f t="shared" si="149"/>
        <v>14.367427200000002</v>
      </c>
      <c r="AS346" s="39">
        <f>IF(ISBLANK(Q346),"",IF(ISBLANK($O346),AE346,IF($J346="ANUAL",AE346*(1+Macroindicadores!B$7),IF(AND($I346="NOVO",MONTH($O346)=MONTH(AS$4)),AE346*(1+Macroindicadores!B$7),IF(AND($J346="PONTUAL",MONTH($O346)=MONTH(AS$4)),AE346*(1+Macroindicadores!B$7),IF(AND($J346="PONTUAL",MONTH($O346)&lt;MONTH(AS$4)),MIN(AR346:$AS346),IF(AND($I346="NOVO",MONTH($O346)&gt;MONTH(AS$4)),AE346,IF(MONTH($O346)&gt;MONTH(AS$4),AE346,IF(MONTH($O346)=MONTH(AS$4),AE346*(1+Macroindicadores!B$7),AR346)))))))))</f>
        <v>1.1972855999999998</v>
      </c>
      <c r="AT346" s="39">
        <f>IF(ISBLANK(R346),"",IF(ISBLANK($O346),AF346,IF($J346="ANUAL",AF346*(1+Macroindicadores!C$7),IF(AND($I346="NOVO",MONTH($O346)=MONTH(AT$4)),AF346*(1+Macroindicadores!C$7),IF(AND($J346="PONTUAL",MONTH($O346)=MONTH(AT$4)),AF346*(1+Macroindicadores!C$7),IF(AND($J346="PONTUAL",MONTH($O346)&lt;MONTH(AT$4)),MIN($AS346:AS346),IF(AND($I346="NOVO",MONTH($O346)&gt;MONTH(AT$4)),AF346,IF(MONTH($O346)&gt;MONTH(AT$4),AF346,IF(MONTH($O346)=MONTH(AT$4),AF346*(1+Macroindicadores!C$7),AS346)))))))))</f>
        <v>1.1972855999999998</v>
      </c>
      <c r="AU346" s="39">
        <f>IF(ISBLANK(S346),"",IF(ISBLANK($O346),AG346,IF($J346="ANUAL",AG346*(1+Macroindicadores!D$7),IF(AND($I346="NOVO",MONTH($O346)=MONTH(AU$4)),AG346*(1+Macroindicadores!D$7),IF(AND($J346="PONTUAL",MONTH($O346)=MONTH(AU$4)),AG346*(1+Macroindicadores!D$7),IF(AND($J346="PONTUAL",MONTH($O346)&lt;MONTH(AU$4)),MIN($AS346:AT346),IF(AND($I346="NOVO",MONTH($O346)&gt;MONTH(AU$4)),AG346,IF(MONTH($O346)&gt;MONTH(AU$4),AG346,IF(MONTH($O346)=MONTH(AU$4),AG346*(1+Macroindicadores!D$7),AT346)))))))))</f>
        <v>1.1972855999999998</v>
      </c>
      <c r="AV346" s="39">
        <f>IF(ISBLANK(T346),"",IF(ISBLANK($O346),AH346,IF($J346="ANUAL",AH346*(1+Macroindicadores!E$7),IF(AND($I346="NOVO",MONTH($O346)=MONTH(AV$4)),AH346*(1+Macroindicadores!E$7),IF(AND($J346="PONTUAL",MONTH($O346)=MONTH(AV$4)),AH346*(1+Macroindicadores!E$7),IF(AND($J346="PONTUAL",MONTH($O346)&lt;MONTH(AV$4)),MIN($AS346:AU346),IF(AND($I346="NOVO",MONTH($O346)&gt;MONTH(AV$4)),AH346,IF(MONTH($O346)&gt;MONTH(AV$4),AH346,IF(MONTH($O346)=MONTH(AV$4),AH346*(1+Macroindicadores!E$7),AU346)))))))))</f>
        <v>1.1972855999999998</v>
      </c>
      <c r="AW346" s="39">
        <f>IF(ISBLANK(U346),"",IF(ISBLANK($O346),AI346,IF($J346="ANUAL",AI346*(1+Macroindicadores!F$7),IF(AND($I346="NOVO",MONTH($O346)=MONTH(AW$4)),AI346*(1+Macroindicadores!F$7),IF(AND($J346="PONTUAL",MONTH($O346)=MONTH(AW$4)),AI346*(1+Macroindicadores!F$7),IF(AND($J346="PONTUAL",MONTH($O346)&lt;MONTH(AW$4)),MIN($AS346:AV346),IF(AND($I346="NOVO",MONTH($O346)&gt;MONTH(AW$4)),AI346,IF(MONTH($O346)&gt;MONTH(AW$4),AI346,IF(MONTH($O346)=MONTH(AW$4),AI346*(1+Macroindicadores!F$7),AV346)))))))))</f>
        <v>1.1972855999999998</v>
      </c>
      <c r="AX346" s="39">
        <f>IF(ISBLANK(V346),"",IF(ISBLANK($O346),AJ346,IF($J346="ANUAL",AJ346*(1+Macroindicadores!G$7),IF(AND($I346="NOVO",MONTH($O346)=MONTH(AX$4)),AJ346*(1+Macroindicadores!G$7),IF(AND($J346="PONTUAL",MONTH($O346)=MONTH(AX$4)),AJ346*(1+Macroindicadores!G$7),IF(AND($J346="PONTUAL",MONTH($O346)&lt;MONTH(AX$4)),MIN($AS346:AW346),IF(AND($I346="NOVO",MONTH($O346)&gt;MONTH(AX$4)),AJ346,IF(MONTH($O346)&gt;MONTH(AX$4),AJ346,IF(MONTH($O346)=MONTH(AX$4),AJ346*(1+Macroindicadores!G$7),AW346)))))))))</f>
        <v>1.1972855999999998</v>
      </c>
      <c r="AY346" s="39">
        <f>IF(ISBLANK(W346),"",IF(ISBLANK($O346),AK346,IF($J346="ANUAL",AK346*(1+Macroindicadores!H$7),IF(AND($I346="NOVO",MONTH($O346)=MONTH(AY$4)),AK346*(1+Macroindicadores!H$7),IF(AND($J346="PONTUAL",MONTH($O346)=MONTH(AY$4)),AK346*(1+Macroindicadores!H$7),IF(AND($J346="PONTUAL",MONTH($O346)&lt;MONTH(AY$4)),MIN($AS346:AX346),IF(AND($I346="NOVO",MONTH($O346)&gt;MONTH(AY$4)),AK346,IF(MONTH($O346)&gt;MONTH(AY$4),AK346,IF(MONTH($O346)=MONTH(AY$4),AK346*(1+Macroindicadores!H$7),AX346)))))))))</f>
        <v>1.1972855999999998</v>
      </c>
      <c r="AZ346" s="39">
        <f>IF(ISBLANK(X346),"",IF(ISBLANK($O346),AL346,IF($J346="ANUAL",AL346*(1+Macroindicadores!I$7),IF(AND($I346="NOVO",MONTH($O346)=MONTH(AZ$4)),AL346*(1+Macroindicadores!I$7),IF(AND($J346="PONTUAL",MONTH($O346)=MONTH(AZ$4)),AL346*(1+Macroindicadores!I$7),IF(AND($J346="PONTUAL",MONTH($O346)&lt;MONTH(AZ$4)),MIN($AS346:AY346),IF(AND($I346="NOVO",MONTH($O346)&gt;MONTH(AZ$4)),AL346,IF(MONTH($O346)&gt;MONTH(AZ$4),AL346,IF(MONTH($O346)=MONTH(AZ$4),AL346*(1+Macroindicadores!I$7),AY346)))))))))</f>
        <v>1.1972855999999998</v>
      </c>
      <c r="BA346" s="39">
        <f>IF(ISBLANK(Y346),"",IF(ISBLANK($O346),AM346,IF($J346="ANUAL",AM346*(1+Macroindicadores!J$7),IF(AND($I346="NOVO",MONTH($O346)=MONTH(BA$4)),AM346*(1+Macroindicadores!J$7),IF(AND($J346="PONTUAL",MONTH($O346)=MONTH(BA$4)),AM346*(1+Macroindicadores!J$7),IF(AND($J346="PONTUAL",MONTH($O346)&lt;MONTH(BA$4)),MIN($AS346:AZ346),IF(AND($I346="NOVO",MONTH($O346)&gt;MONTH(BA$4)),AM346,IF(MONTH($O346)&gt;MONTH(BA$4),AM346,IF(MONTH($O346)=MONTH(BA$4),AM346*(1+Macroindicadores!J$7),AZ346)))))))))</f>
        <v>1.1972855999999998</v>
      </c>
      <c r="BB346" s="39">
        <f>IF(ISBLANK(Z346),"",IF(ISBLANK($O346),AN346,IF($J346="ANUAL",AN346*(1+Macroindicadores!K$7),IF(AND($I346="NOVO",MONTH($O346)=MONTH(BB$4)),AN346*(1+Macroindicadores!K$7),IF(AND($J346="PONTUAL",MONTH($O346)=MONTH(BB$4)),AN346*(1+Macroindicadores!K$7),IF(AND($J346="PONTUAL",MONTH($O346)&lt;MONTH(BB$4)),MIN($AS346:BA346),IF(AND($I346="NOVO",MONTH($O346)&gt;MONTH(BB$4)),AN346,IF(MONTH($O346)&gt;MONTH(BB$4),AN346,IF(MONTH($O346)=MONTH(BB$4),AN346*(1+Macroindicadores!K$7),BA346)))))))))</f>
        <v>1.1972855999999998</v>
      </c>
      <c r="BC346" s="39">
        <f>IF(ISBLANK(AA346),"",IF(ISBLANK($O346),AO346,IF($J346="ANUAL",AO346*(1+Macroindicadores!L$7),IF(AND($I346="NOVO",MONTH($O346)=MONTH(BC$4)),AO346*(1+Macroindicadores!L$7),IF(AND($J346="PONTUAL",MONTH($O346)=MONTH(BC$4)),AO346*(1+Macroindicadores!L$7),IF(AND($J346="PONTUAL",MONTH($O346)&lt;MONTH(BC$4)),MIN($AS346:BB346),IF(AND($I346="NOVO",MONTH($O346)&gt;MONTH(BC$4)),AO346,IF(MONTH($O346)&gt;MONTH(BC$4),AO346,IF(MONTH($O346)=MONTH(BC$4),AO346*(1+Macroindicadores!L$7),BB346)))))))))</f>
        <v>1.1972855999999998</v>
      </c>
      <c r="BD346" s="39">
        <f>IF(ISBLANK(AB346),"",IF(ISBLANK($O346),AP346,IF($J346="ANUAL",AP346*(1+Macroindicadores!M$7),IF(AND($I346="NOVO",MONTH($O346)=MONTH(BD$4)),AP346*(1+Macroindicadores!M$7),IF(AND($J346="PONTUAL",MONTH($O346)=MONTH(BD$4)),AP346*(1+Macroindicadores!M$7),IF(AND($J346="PONTUAL",MONTH($O346)&lt;MONTH(BD$4)),MIN($AS346:BC346),IF(AND($I346="NOVO",MONTH($O346)&gt;MONTH(BD$4)),AP346,IF(MONTH($O346)&gt;MONTH(BD$4),AP346,IF(MONTH($O346)=MONTH(BD$4),AP346*(1+Macroindicadores!M$7),BC346)))))))))</f>
        <v>1.1972855999999998</v>
      </c>
      <c r="BE346" s="40">
        <f t="shared" si="150"/>
        <v>14.367427200000002</v>
      </c>
      <c r="BG346" s="39">
        <f>IF(ISBLANK(Q346),"",AS346/Macroindicadores!B$2)</f>
        <v>0.20361999999999997</v>
      </c>
      <c r="BH346" s="39">
        <f>IF(ISBLANK(R346),"",AT346/Macroindicadores!C$2)</f>
        <v>0.20361999999999997</v>
      </c>
      <c r="BI346" s="39">
        <f>IF(ISBLANK(S346),"",AU346/Macroindicadores!D$2)</f>
        <v>0.20361999999999997</v>
      </c>
      <c r="BJ346" s="39">
        <f>IF(ISBLANK(T346),"",AV346/Macroindicadores!E$2)</f>
        <v>0.20361999999999997</v>
      </c>
      <c r="BK346" s="39">
        <f>IF(ISBLANK(U346),"",AW346/Macroindicadores!F$2)</f>
        <v>0.20361999999999997</v>
      </c>
      <c r="BL346" s="39">
        <f>IF(ISBLANK(V346),"",AX346/Macroindicadores!G$2)</f>
        <v>0.20361999999999997</v>
      </c>
      <c r="BM346" s="39">
        <f>IF(ISBLANK(W346),"",AY346/Macroindicadores!H$2)</f>
        <v>0.20361999999999997</v>
      </c>
      <c r="BN346" s="39">
        <f>IF(ISBLANK(X346),"",AZ346/Macroindicadores!I$2)</f>
        <v>0.20361999999999997</v>
      </c>
      <c r="BO346" s="39">
        <f>IF(ISBLANK(Y346),"",BA346/Macroindicadores!J$2)</f>
        <v>0.20361999999999997</v>
      </c>
      <c r="BP346" s="39">
        <f>IF(ISBLANK(Z346),"",BB346/Macroindicadores!K$2)</f>
        <v>0.20361999999999997</v>
      </c>
      <c r="BQ346" s="39">
        <f>IF(ISBLANK(AA346),"",BC346/Macroindicadores!L$2)</f>
        <v>0.20361999999999997</v>
      </c>
      <c r="BR346" s="39">
        <f>IF(ISBLANK(AB346),"",BD346/Macroindicadores!M$2)</f>
        <v>0.20361999999999997</v>
      </c>
      <c r="BS346" s="40">
        <f t="shared" si="151"/>
        <v>2.4434399999999994</v>
      </c>
    </row>
    <row r="347" spans="3:71">
      <c r="C347" s="111" t="s">
        <v>336</v>
      </c>
      <c r="D347" s="111" t="s">
        <v>337</v>
      </c>
      <c r="E347" s="111" t="s">
        <v>14</v>
      </c>
      <c r="F347" s="112" t="s">
        <v>304</v>
      </c>
      <c r="G347" s="112" t="s">
        <v>123</v>
      </c>
      <c r="H347" s="112" t="s">
        <v>353</v>
      </c>
      <c r="I347" s="11" t="s">
        <v>77</v>
      </c>
      <c r="J347" s="11" t="s">
        <v>120</v>
      </c>
      <c r="K347" s="11" t="s">
        <v>79</v>
      </c>
      <c r="L347" s="11"/>
      <c r="M347" s="18"/>
      <c r="N347" s="113" t="s">
        <v>106</v>
      </c>
      <c r="O347" s="12"/>
      <c r="P347" s="113" t="s">
        <v>88</v>
      </c>
      <c r="Q347" s="41">
        <v>116</v>
      </c>
      <c r="R347" s="41">
        <v>116</v>
      </c>
      <c r="S347" s="41">
        <v>116</v>
      </c>
      <c r="T347" s="41">
        <v>116</v>
      </c>
      <c r="U347" s="41">
        <v>116</v>
      </c>
      <c r="V347" s="41">
        <v>116</v>
      </c>
      <c r="W347" s="41">
        <v>116</v>
      </c>
      <c r="X347" s="41">
        <v>116</v>
      </c>
      <c r="Y347" s="41">
        <v>116</v>
      </c>
      <c r="Z347" s="41">
        <v>116</v>
      </c>
      <c r="AA347" s="41">
        <v>116</v>
      </c>
      <c r="AB347" s="41">
        <v>116</v>
      </c>
      <c r="AC347" s="116">
        <f t="shared" si="152"/>
        <v>1392</v>
      </c>
      <c r="AE347" s="39">
        <f>IF(ISBLANK(Q347),"",IF($P347="BRL",Q347,Q347*Macroindicadores!B$2)/1000)</f>
        <v>0.68208000000000002</v>
      </c>
      <c r="AF347" s="39">
        <f>IF(ISBLANK(R347),"",IF($P347="BRL",R347,R347*Macroindicadores!C$2)/1000)</f>
        <v>0.68208000000000002</v>
      </c>
      <c r="AG347" s="39">
        <f>IF(ISBLANK(S347),"",IF($P347="BRL",S347,S347*Macroindicadores!D$2)/1000)</f>
        <v>0.68208000000000002</v>
      </c>
      <c r="AH347" s="39">
        <f>IF(ISBLANK(T347),"",IF($P347="BRL",T347,T347*Macroindicadores!E$2)/1000)</f>
        <v>0.68208000000000002</v>
      </c>
      <c r="AI347" s="39">
        <f>IF(ISBLANK(U347),"",IF($P347="BRL",U347,U347*Macroindicadores!F$2)/1000)</f>
        <v>0.68208000000000002</v>
      </c>
      <c r="AJ347" s="39">
        <f>IF(ISBLANK(V347),"",IF($P347="BRL",V347,V347*Macroindicadores!G$2)/1000)</f>
        <v>0.68208000000000002</v>
      </c>
      <c r="AK347" s="39">
        <f>IF(ISBLANK(W347),"",IF($P347="BRL",W347,W347*Macroindicadores!H$2)/1000)</f>
        <v>0.68208000000000002</v>
      </c>
      <c r="AL347" s="39">
        <f>IF(ISBLANK(X347),"",IF($P347="BRL",X347,X347*Macroindicadores!I$2)/1000)</f>
        <v>0.68208000000000002</v>
      </c>
      <c r="AM347" s="39">
        <f>IF(ISBLANK(Y347),"",IF($P347="BRL",Y347,Y347*Macroindicadores!J$2)/1000)</f>
        <v>0.68208000000000002</v>
      </c>
      <c r="AN347" s="39">
        <f>IF(ISBLANK(Z347),"",IF($P347="BRL",Z347,Z347*Macroindicadores!K$2)/1000)</f>
        <v>0.68208000000000002</v>
      </c>
      <c r="AO347" s="39">
        <f>IF(ISBLANK(AA347),"",IF($P347="BRL",AA347,AA347*Macroindicadores!L$2)/1000)</f>
        <v>0.68208000000000002</v>
      </c>
      <c r="AP347" s="39">
        <f>IF(ISBLANK(AB347),"",IF($P347="BRL",AB347,AB347*Macroindicadores!M$2)/1000)</f>
        <v>0.68208000000000002</v>
      </c>
      <c r="AQ347" s="40">
        <f t="shared" si="149"/>
        <v>8.1849600000000002</v>
      </c>
      <c r="AS347" s="39">
        <f>IF(ISBLANK(Q347),"",IF(ISBLANK($O347),AE347,IF($J347="ANUAL",AE347*(1+Macroindicadores!B$7),IF(AND($I347="NOVO",MONTH($O347)=MONTH(AS$4)),AE347*(1+Macroindicadores!B$7),IF(AND($J347="PONTUAL",MONTH($O347)=MONTH(AS$4)),AE347*(1+Macroindicadores!B$7),IF(AND($J347="PONTUAL",MONTH($O347)&lt;MONTH(AS$4)),MIN(AR347:$AS347),IF(AND($I347="NOVO",MONTH($O347)&gt;MONTH(AS$4)),AE347,IF(MONTH($O347)&gt;MONTH(AS$4),AE347,IF(MONTH($O347)=MONTH(AS$4),AE347*(1+Macroindicadores!B$7),AR347)))))))))</f>
        <v>0.68208000000000002</v>
      </c>
      <c r="AT347" s="39">
        <f>IF(ISBLANK(R347),"",IF(ISBLANK($O347),AF347,IF($J347="ANUAL",AF347*(1+Macroindicadores!C$7),IF(AND($I347="NOVO",MONTH($O347)=MONTH(AT$4)),AF347*(1+Macroindicadores!C$7),IF(AND($J347="PONTUAL",MONTH($O347)=MONTH(AT$4)),AF347*(1+Macroindicadores!C$7),IF(AND($J347="PONTUAL",MONTH($O347)&lt;MONTH(AT$4)),MIN($AS347:AS347),IF(AND($I347="NOVO",MONTH($O347)&gt;MONTH(AT$4)),AF347,IF(MONTH($O347)&gt;MONTH(AT$4),AF347,IF(MONTH($O347)=MONTH(AT$4),AF347*(1+Macroindicadores!C$7),AS347)))))))))</f>
        <v>0.68208000000000002</v>
      </c>
      <c r="AU347" s="39">
        <f>IF(ISBLANK(S347),"",IF(ISBLANK($O347),AG347,IF($J347="ANUAL",AG347*(1+Macroindicadores!D$7),IF(AND($I347="NOVO",MONTH($O347)=MONTH(AU$4)),AG347*(1+Macroindicadores!D$7),IF(AND($J347="PONTUAL",MONTH($O347)=MONTH(AU$4)),AG347*(1+Macroindicadores!D$7),IF(AND($J347="PONTUAL",MONTH($O347)&lt;MONTH(AU$4)),MIN($AS347:AT347),IF(AND($I347="NOVO",MONTH($O347)&gt;MONTH(AU$4)),AG347,IF(MONTH($O347)&gt;MONTH(AU$4),AG347,IF(MONTH($O347)=MONTH(AU$4),AG347*(1+Macroindicadores!D$7),AT347)))))))))</f>
        <v>0.68208000000000002</v>
      </c>
      <c r="AV347" s="39">
        <f>IF(ISBLANK(T347),"",IF(ISBLANK($O347),AH347,IF($J347="ANUAL",AH347*(1+Macroindicadores!E$7),IF(AND($I347="NOVO",MONTH($O347)=MONTH(AV$4)),AH347*(1+Macroindicadores!E$7),IF(AND($J347="PONTUAL",MONTH($O347)=MONTH(AV$4)),AH347*(1+Macroindicadores!E$7),IF(AND($J347="PONTUAL",MONTH($O347)&lt;MONTH(AV$4)),MIN($AS347:AU347),IF(AND($I347="NOVO",MONTH($O347)&gt;MONTH(AV$4)),AH347,IF(MONTH($O347)&gt;MONTH(AV$4),AH347,IF(MONTH($O347)=MONTH(AV$4),AH347*(1+Macroindicadores!E$7),AU347)))))))))</f>
        <v>0.68208000000000002</v>
      </c>
      <c r="AW347" s="39">
        <f>IF(ISBLANK(U347),"",IF(ISBLANK($O347),AI347,IF($J347="ANUAL",AI347*(1+Macroindicadores!F$7),IF(AND($I347="NOVO",MONTH($O347)=MONTH(AW$4)),AI347*(1+Macroindicadores!F$7),IF(AND($J347="PONTUAL",MONTH($O347)=MONTH(AW$4)),AI347*(1+Macroindicadores!F$7),IF(AND($J347="PONTUAL",MONTH($O347)&lt;MONTH(AW$4)),MIN($AS347:AV347),IF(AND($I347="NOVO",MONTH($O347)&gt;MONTH(AW$4)),AI347,IF(MONTH($O347)&gt;MONTH(AW$4),AI347,IF(MONTH($O347)=MONTH(AW$4),AI347*(1+Macroindicadores!F$7),AV347)))))))))</f>
        <v>0.68208000000000002</v>
      </c>
      <c r="AX347" s="39">
        <f>IF(ISBLANK(V347),"",IF(ISBLANK($O347),AJ347,IF($J347="ANUAL",AJ347*(1+Macroindicadores!G$7),IF(AND($I347="NOVO",MONTH($O347)=MONTH(AX$4)),AJ347*(1+Macroindicadores!G$7),IF(AND($J347="PONTUAL",MONTH($O347)=MONTH(AX$4)),AJ347*(1+Macroindicadores!G$7),IF(AND($J347="PONTUAL",MONTH($O347)&lt;MONTH(AX$4)),MIN($AS347:AW347),IF(AND($I347="NOVO",MONTH($O347)&gt;MONTH(AX$4)),AJ347,IF(MONTH($O347)&gt;MONTH(AX$4),AJ347,IF(MONTH($O347)=MONTH(AX$4),AJ347*(1+Macroindicadores!G$7),AW347)))))))))</f>
        <v>0.68208000000000002</v>
      </c>
      <c r="AY347" s="39">
        <f>IF(ISBLANK(W347),"",IF(ISBLANK($O347),AK347,IF($J347="ANUAL",AK347*(1+Macroindicadores!H$7),IF(AND($I347="NOVO",MONTH($O347)=MONTH(AY$4)),AK347*(1+Macroindicadores!H$7),IF(AND($J347="PONTUAL",MONTH($O347)=MONTH(AY$4)),AK347*(1+Macroindicadores!H$7),IF(AND($J347="PONTUAL",MONTH($O347)&lt;MONTH(AY$4)),MIN($AS347:AX347),IF(AND($I347="NOVO",MONTH($O347)&gt;MONTH(AY$4)),AK347,IF(MONTH($O347)&gt;MONTH(AY$4),AK347,IF(MONTH($O347)=MONTH(AY$4),AK347*(1+Macroindicadores!H$7),AX347)))))))))</f>
        <v>0.68208000000000002</v>
      </c>
      <c r="AZ347" s="39">
        <f>IF(ISBLANK(X347),"",IF(ISBLANK($O347),AL347,IF($J347="ANUAL",AL347*(1+Macroindicadores!I$7),IF(AND($I347="NOVO",MONTH($O347)=MONTH(AZ$4)),AL347*(1+Macroindicadores!I$7),IF(AND($J347="PONTUAL",MONTH($O347)=MONTH(AZ$4)),AL347*(1+Macroindicadores!I$7),IF(AND($J347="PONTUAL",MONTH($O347)&lt;MONTH(AZ$4)),MIN($AS347:AY347),IF(AND($I347="NOVO",MONTH($O347)&gt;MONTH(AZ$4)),AL347,IF(MONTH($O347)&gt;MONTH(AZ$4),AL347,IF(MONTH($O347)=MONTH(AZ$4),AL347*(1+Macroindicadores!I$7),AY347)))))))))</f>
        <v>0.68208000000000002</v>
      </c>
      <c r="BA347" s="39">
        <f>IF(ISBLANK(Y347),"",IF(ISBLANK($O347),AM347,IF($J347="ANUAL",AM347*(1+Macroindicadores!J$7),IF(AND($I347="NOVO",MONTH($O347)=MONTH(BA$4)),AM347*(1+Macroindicadores!J$7),IF(AND($J347="PONTUAL",MONTH($O347)=MONTH(BA$4)),AM347*(1+Macroindicadores!J$7),IF(AND($J347="PONTUAL",MONTH($O347)&lt;MONTH(BA$4)),MIN($AS347:AZ347),IF(AND($I347="NOVO",MONTH($O347)&gt;MONTH(BA$4)),AM347,IF(MONTH($O347)&gt;MONTH(BA$4),AM347,IF(MONTH($O347)=MONTH(BA$4),AM347*(1+Macroindicadores!J$7),AZ347)))))))))</f>
        <v>0.68208000000000002</v>
      </c>
      <c r="BB347" s="39">
        <f>IF(ISBLANK(Z347),"",IF(ISBLANK($O347),AN347,IF($J347="ANUAL",AN347*(1+Macroindicadores!K$7),IF(AND($I347="NOVO",MONTH($O347)=MONTH(BB$4)),AN347*(1+Macroindicadores!K$7),IF(AND($J347="PONTUAL",MONTH($O347)=MONTH(BB$4)),AN347*(1+Macroindicadores!K$7),IF(AND($J347="PONTUAL",MONTH($O347)&lt;MONTH(BB$4)),MIN($AS347:BA347),IF(AND($I347="NOVO",MONTH($O347)&gt;MONTH(BB$4)),AN347,IF(MONTH($O347)&gt;MONTH(BB$4),AN347,IF(MONTH($O347)=MONTH(BB$4),AN347*(1+Macroindicadores!K$7),BA347)))))))))</f>
        <v>0.68208000000000002</v>
      </c>
      <c r="BC347" s="39">
        <f>IF(ISBLANK(AA347),"",IF(ISBLANK($O347),AO347,IF($J347="ANUAL",AO347*(1+Macroindicadores!L$7),IF(AND($I347="NOVO",MONTH($O347)=MONTH(BC$4)),AO347*(1+Macroindicadores!L$7),IF(AND($J347="PONTUAL",MONTH($O347)=MONTH(BC$4)),AO347*(1+Macroindicadores!L$7),IF(AND($J347="PONTUAL",MONTH($O347)&lt;MONTH(BC$4)),MIN($AS347:BB347),IF(AND($I347="NOVO",MONTH($O347)&gt;MONTH(BC$4)),AO347,IF(MONTH($O347)&gt;MONTH(BC$4),AO347,IF(MONTH($O347)=MONTH(BC$4),AO347*(1+Macroindicadores!L$7),BB347)))))))))</f>
        <v>0.68208000000000002</v>
      </c>
      <c r="BD347" s="39">
        <f>IF(ISBLANK(AB347),"",IF(ISBLANK($O347),AP347,IF($J347="ANUAL",AP347*(1+Macroindicadores!M$7),IF(AND($I347="NOVO",MONTH($O347)=MONTH(BD$4)),AP347*(1+Macroindicadores!M$7),IF(AND($J347="PONTUAL",MONTH($O347)=MONTH(BD$4)),AP347*(1+Macroindicadores!M$7),IF(AND($J347="PONTUAL",MONTH($O347)&lt;MONTH(BD$4)),MIN($AS347:BC347),IF(AND($I347="NOVO",MONTH($O347)&gt;MONTH(BD$4)),AP347,IF(MONTH($O347)&gt;MONTH(BD$4),AP347,IF(MONTH($O347)=MONTH(BD$4),AP347*(1+Macroindicadores!M$7),BC347)))))))))</f>
        <v>0.68208000000000002</v>
      </c>
      <c r="BE347" s="40">
        <f t="shared" si="150"/>
        <v>8.1849600000000002</v>
      </c>
      <c r="BG347" s="39">
        <f>IF(ISBLANK(Q347),"",AS347/Macroindicadores!B$2)</f>
        <v>0.11600000000000001</v>
      </c>
      <c r="BH347" s="39">
        <f>IF(ISBLANK(R347),"",AT347/Macroindicadores!C$2)</f>
        <v>0.11600000000000001</v>
      </c>
      <c r="BI347" s="39">
        <f>IF(ISBLANK(S347),"",AU347/Macroindicadores!D$2)</f>
        <v>0.11600000000000001</v>
      </c>
      <c r="BJ347" s="39">
        <f>IF(ISBLANK(T347),"",AV347/Macroindicadores!E$2)</f>
        <v>0.11600000000000001</v>
      </c>
      <c r="BK347" s="39">
        <f>IF(ISBLANK(U347),"",AW347/Macroindicadores!F$2)</f>
        <v>0.11600000000000001</v>
      </c>
      <c r="BL347" s="39">
        <f>IF(ISBLANK(V347),"",AX347/Macroindicadores!G$2)</f>
        <v>0.11600000000000001</v>
      </c>
      <c r="BM347" s="39">
        <f>IF(ISBLANK(W347),"",AY347/Macroindicadores!H$2)</f>
        <v>0.11600000000000001</v>
      </c>
      <c r="BN347" s="39">
        <f>IF(ISBLANK(X347),"",AZ347/Macroindicadores!I$2)</f>
        <v>0.11600000000000001</v>
      </c>
      <c r="BO347" s="39">
        <f>IF(ISBLANK(Y347),"",BA347/Macroindicadores!J$2)</f>
        <v>0.11600000000000001</v>
      </c>
      <c r="BP347" s="39">
        <f>IF(ISBLANK(Z347),"",BB347/Macroindicadores!K$2)</f>
        <v>0.11600000000000001</v>
      </c>
      <c r="BQ347" s="39">
        <f>IF(ISBLANK(AA347),"",BC347/Macroindicadores!L$2)</f>
        <v>0.11600000000000001</v>
      </c>
      <c r="BR347" s="39">
        <f>IF(ISBLANK(AB347),"",BD347/Macroindicadores!M$2)</f>
        <v>0.11600000000000001</v>
      </c>
      <c r="BS347" s="40">
        <f t="shared" si="151"/>
        <v>1.3920000000000003</v>
      </c>
    </row>
    <row r="348" spans="3:71">
      <c r="C348" s="111" t="s">
        <v>336</v>
      </c>
      <c r="D348" s="111" t="s">
        <v>337</v>
      </c>
      <c r="E348" s="111" t="s">
        <v>14</v>
      </c>
      <c r="F348" s="112" t="s">
        <v>304</v>
      </c>
      <c r="G348" s="112" t="s">
        <v>123</v>
      </c>
      <c r="H348" s="112" t="s">
        <v>353</v>
      </c>
      <c r="I348" s="11" t="s">
        <v>77</v>
      </c>
      <c r="J348" s="11" t="s">
        <v>120</v>
      </c>
      <c r="K348" s="11" t="s">
        <v>79</v>
      </c>
      <c r="L348" s="11"/>
      <c r="M348" s="18"/>
      <c r="N348" s="113" t="s">
        <v>106</v>
      </c>
      <c r="O348" s="12"/>
      <c r="P348" s="113" t="s">
        <v>88</v>
      </c>
      <c r="Q348" s="41">
        <v>314</v>
      </c>
      <c r="R348" s="41">
        <v>314</v>
      </c>
      <c r="S348" s="41">
        <v>314</v>
      </c>
      <c r="T348" s="41">
        <v>314</v>
      </c>
      <c r="U348" s="41">
        <v>314</v>
      </c>
      <c r="V348" s="41">
        <v>314</v>
      </c>
      <c r="W348" s="41">
        <v>314</v>
      </c>
      <c r="X348" s="41">
        <v>314</v>
      </c>
      <c r="Y348" s="41">
        <v>314</v>
      </c>
      <c r="Z348" s="41">
        <v>314</v>
      </c>
      <c r="AA348" s="41">
        <v>314</v>
      </c>
      <c r="AB348" s="41">
        <v>314</v>
      </c>
      <c r="AC348" s="116">
        <f t="shared" si="152"/>
        <v>3768</v>
      </c>
      <c r="AE348" s="39">
        <f>IF(ISBLANK(Q348),"",IF($P348="BRL",Q348,Q348*Macroindicadores!B$2)/1000)</f>
        <v>1.84632</v>
      </c>
      <c r="AF348" s="39">
        <f>IF(ISBLANK(R348),"",IF($P348="BRL",R348,R348*Macroindicadores!C$2)/1000)</f>
        <v>1.84632</v>
      </c>
      <c r="AG348" s="39">
        <f>IF(ISBLANK(S348),"",IF($P348="BRL",S348,S348*Macroindicadores!D$2)/1000)</f>
        <v>1.84632</v>
      </c>
      <c r="AH348" s="39">
        <f>IF(ISBLANK(T348),"",IF($P348="BRL",T348,T348*Macroindicadores!E$2)/1000)</f>
        <v>1.84632</v>
      </c>
      <c r="AI348" s="39">
        <f>IF(ISBLANK(U348),"",IF($P348="BRL",U348,U348*Macroindicadores!F$2)/1000)</f>
        <v>1.84632</v>
      </c>
      <c r="AJ348" s="39">
        <f>IF(ISBLANK(V348),"",IF($P348="BRL",V348,V348*Macroindicadores!G$2)/1000)</f>
        <v>1.84632</v>
      </c>
      <c r="AK348" s="39">
        <f>IF(ISBLANK(W348),"",IF($P348="BRL",W348,W348*Macroindicadores!H$2)/1000)</f>
        <v>1.84632</v>
      </c>
      <c r="AL348" s="39">
        <f>IF(ISBLANK(X348),"",IF($P348="BRL",X348,X348*Macroindicadores!I$2)/1000)</f>
        <v>1.84632</v>
      </c>
      <c r="AM348" s="39">
        <f>IF(ISBLANK(Y348),"",IF($P348="BRL",Y348,Y348*Macroindicadores!J$2)/1000)</f>
        <v>1.84632</v>
      </c>
      <c r="AN348" s="39">
        <f>IF(ISBLANK(Z348),"",IF($P348="BRL",Z348,Z348*Macroindicadores!K$2)/1000)</f>
        <v>1.84632</v>
      </c>
      <c r="AO348" s="39">
        <f>IF(ISBLANK(AA348),"",IF($P348="BRL",AA348,AA348*Macroindicadores!L$2)/1000)</f>
        <v>1.84632</v>
      </c>
      <c r="AP348" s="39">
        <f>IF(ISBLANK(AB348),"",IF($P348="BRL",AB348,AB348*Macroindicadores!M$2)/1000)</f>
        <v>1.84632</v>
      </c>
      <c r="AQ348" s="40">
        <f t="shared" si="149"/>
        <v>22.155839999999998</v>
      </c>
      <c r="AS348" s="39">
        <f>IF(ISBLANK(Q348),"",IF(ISBLANK($O348),AE348,IF($J348="ANUAL",AE348*(1+Macroindicadores!B$7),IF(AND($I348="NOVO",MONTH($O348)=MONTH(AS$4)),AE348*(1+Macroindicadores!B$7),IF(AND($J348="PONTUAL",MONTH($O348)=MONTH(AS$4)),AE348*(1+Macroindicadores!B$7),IF(AND($J348="PONTUAL",MONTH($O348)&lt;MONTH(AS$4)),MIN(AR348:$AS348),IF(AND($I348="NOVO",MONTH($O348)&gt;MONTH(AS$4)),AE348,IF(MONTH($O348)&gt;MONTH(AS$4),AE348,IF(MONTH($O348)=MONTH(AS$4),AE348*(1+Macroindicadores!B$7),AR348)))))))))</f>
        <v>1.84632</v>
      </c>
      <c r="AT348" s="39">
        <f>IF(ISBLANK(R348),"",IF(ISBLANK($O348),AF348,IF($J348="ANUAL",AF348*(1+Macroindicadores!C$7),IF(AND($I348="NOVO",MONTH($O348)=MONTH(AT$4)),AF348*(1+Macroindicadores!C$7),IF(AND($J348="PONTUAL",MONTH($O348)=MONTH(AT$4)),AF348*(1+Macroindicadores!C$7),IF(AND($J348="PONTUAL",MONTH($O348)&lt;MONTH(AT$4)),MIN($AS348:AS348),IF(AND($I348="NOVO",MONTH($O348)&gt;MONTH(AT$4)),AF348,IF(MONTH($O348)&gt;MONTH(AT$4),AF348,IF(MONTH($O348)=MONTH(AT$4),AF348*(1+Macroindicadores!C$7),AS348)))))))))</f>
        <v>1.84632</v>
      </c>
      <c r="AU348" s="39">
        <f>IF(ISBLANK(S348),"",IF(ISBLANK($O348),AG348,IF($J348="ANUAL",AG348*(1+Macroindicadores!D$7),IF(AND($I348="NOVO",MONTH($O348)=MONTH(AU$4)),AG348*(1+Macroindicadores!D$7),IF(AND($J348="PONTUAL",MONTH($O348)=MONTH(AU$4)),AG348*(1+Macroindicadores!D$7),IF(AND($J348="PONTUAL",MONTH($O348)&lt;MONTH(AU$4)),MIN($AS348:AT348),IF(AND($I348="NOVO",MONTH($O348)&gt;MONTH(AU$4)),AG348,IF(MONTH($O348)&gt;MONTH(AU$4),AG348,IF(MONTH($O348)=MONTH(AU$4),AG348*(1+Macroindicadores!D$7),AT348)))))))))</f>
        <v>1.84632</v>
      </c>
      <c r="AV348" s="39">
        <f>IF(ISBLANK(T348),"",IF(ISBLANK($O348),AH348,IF($J348="ANUAL",AH348*(1+Macroindicadores!E$7),IF(AND($I348="NOVO",MONTH($O348)=MONTH(AV$4)),AH348*(1+Macroindicadores!E$7),IF(AND($J348="PONTUAL",MONTH($O348)=MONTH(AV$4)),AH348*(1+Macroindicadores!E$7),IF(AND($J348="PONTUAL",MONTH($O348)&lt;MONTH(AV$4)),MIN($AS348:AU348),IF(AND($I348="NOVO",MONTH($O348)&gt;MONTH(AV$4)),AH348,IF(MONTH($O348)&gt;MONTH(AV$4),AH348,IF(MONTH($O348)=MONTH(AV$4),AH348*(1+Macroindicadores!E$7),AU348)))))))))</f>
        <v>1.84632</v>
      </c>
      <c r="AW348" s="39">
        <f>IF(ISBLANK(U348),"",IF(ISBLANK($O348),AI348,IF($J348="ANUAL",AI348*(1+Macroindicadores!F$7),IF(AND($I348="NOVO",MONTH($O348)=MONTH(AW$4)),AI348*(1+Macroindicadores!F$7),IF(AND($J348="PONTUAL",MONTH($O348)=MONTH(AW$4)),AI348*(1+Macroindicadores!F$7),IF(AND($J348="PONTUAL",MONTH($O348)&lt;MONTH(AW$4)),MIN($AS348:AV348),IF(AND($I348="NOVO",MONTH($O348)&gt;MONTH(AW$4)),AI348,IF(MONTH($O348)&gt;MONTH(AW$4),AI348,IF(MONTH($O348)=MONTH(AW$4),AI348*(1+Macroindicadores!F$7),AV348)))))))))</f>
        <v>1.84632</v>
      </c>
      <c r="AX348" s="39">
        <f>IF(ISBLANK(V348),"",IF(ISBLANK($O348),AJ348,IF($J348="ANUAL",AJ348*(1+Macroindicadores!G$7),IF(AND($I348="NOVO",MONTH($O348)=MONTH(AX$4)),AJ348*(1+Macroindicadores!G$7),IF(AND($J348="PONTUAL",MONTH($O348)=MONTH(AX$4)),AJ348*(1+Macroindicadores!G$7),IF(AND($J348="PONTUAL",MONTH($O348)&lt;MONTH(AX$4)),MIN($AS348:AW348),IF(AND($I348="NOVO",MONTH($O348)&gt;MONTH(AX$4)),AJ348,IF(MONTH($O348)&gt;MONTH(AX$4),AJ348,IF(MONTH($O348)=MONTH(AX$4),AJ348*(1+Macroindicadores!G$7),AW348)))))))))</f>
        <v>1.84632</v>
      </c>
      <c r="AY348" s="39">
        <f>IF(ISBLANK(W348),"",IF(ISBLANK($O348),AK348,IF($J348="ANUAL",AK348*(1+Macroindicadores!H$7),IF(AND($I348="NOVO",MONTH($O348)=MONTH(AY$4)),AK348*(1+Macroindicadores!H$7),IF(AND($J348="PONTUAL",MONTH($O348)=MONTH(AY$4)),AK348*(1+Macroindicadores!H$7),IF(AND($J348="PONTUAL",MONTH($O348)&lt;MONTH(AY$4)),MIN($AS348:AX348),IF(AND($I348="NOVO",MONTH($O348)&gt;MONTH(AY$4)),AK348,IF(MONTH($O348)&gt;MONTH(AY$4),AK348,IF(MONTH($O348)=MONTH(AY$4),AK348*(1+Macroindicadores!H$7),AX348)))))))))</f>
        <v>1.84632</v>
      </c>
      <c r="AZ348" s="39">
        <f>IF(ISBLANK(X348),"",IF(ISBLANK($O348),AL348,IF($J348="ANUAL",AL348*(1+Macroindicadores!I$7),IF(AND($I348="NOVO",MONTH($O348)=MONTH(AZ$4)),AL348*(1+Macroindicadores!I$7),IF(AND($J348="PONTUAL",MONTH($O348)=MONTH(AZ$4)),AL348*(1+Macroindicadores!I$7),IF(AND($J348="PONTUAL",MONTH($O348)&lt;MONTH(AZ$4)),MIN($AS348:AY348),IF(AND($I348="NOVO",MONTH($O348)&gt;MONTH(AZ$4)),AL348,IF(MONTH($O348)&gt;MONTH(AZ$4),AL348,IF(MONTH($O348)=MONTH(AZ$4),AL348*(1+Macroindicadores!I$7),AY348)))))))))</f>
        <v>1.84632</v>
      </c>
      <c r="BA348" s="39">
        <f>IF(ISBLANK(Y348),"",IF(ISBLANK($O348),AM348,IF($J348="ANUAL",AM348*(1+Macroindicadores!J$7),IF(AND($I348="NOVO",MONTH($O348)=MONTH(BA$4)),AM348*(1+Macroindicadores!J$7),IF(AND($J348="PONTUAL",MONTH($O348)=MONTH(BA$4)),AM348*(1+Macroindicadores!J$7),IF(AND($J348="PONTUAL",MONTH($O348)&lt;MONTH(BA$4)),MIN($AS348:AZ348),IF(AND($I348="NOVO",MONTH($O348)&gt;MONTH(BA$4)),AM348,IF(MONTH($O348)&gt;MONTH(BA$4),AM348,IF(MONTH($O348)=MONTH(BA$4),AM348*(1+Macroindicadores!J$7),AZ348)))))))))</f>
        <v>1.84632</v>
      </c>
      <c r="BB348" s="39">
        <f>IF(ISBLANK(Z348),"",IF(ISBLANK($O348),AN348,IF($J348="ANUAL",AN348*(1+Macroindicadores!K$7),IF(AND($I348="NOVO",MONTH($O348)=MONTH(BB$4)),AN348*(1+Macroindicadores!K$7),IF(AND($J348="PONTUAL",MONTH($O348)=MONTH(BB$4)),AN348*(1+Macroindicadores!K$7),IF(AND($J348="PONTUAL",MONTH($O348)&lt;MONTH(BB$4)),MIN($AS348:BA348),IF(AND($I348="NOVO",MONTH($O348)&gt;MONTH(BB$4)),AN348,IF(MONTH($O348)&gt;MONTH(BB$4),AN348,IF(MONTH($O348)=MONTH(BB$4),AN348*(1+Macroindicadores!K$7),BA348)))))))))</f>
        <v>1.84632</v>
      </c>
      <c r="BC348" s="39">
        <f>IF(ISBLANK(AA348),"",IF(ISBLANK($O348),AO348,IF($J348="ANUAL",AO348*(1+Macroindicadores!L$7),IF(AND($I348="NOVO",MONTH($O348)=MONTH(BC$4)),AO348*(1+Macroindicadores!L$7),IF(AND($J348="PONTUAL",MONTH($O348)=MONTH(BC$4)),AO348*(1+Macroindicadores!L$7),IF(AND($J348="PONTUAL",MONTH($O348)&lt;MONTH(BC$4)),MIN($AS348:BB348),IF(AND($I348="NOVO",MONTH($O348)&gt;MONTH(BC$4)),AO348,IF(MONTH($O348)&gt;MONTH(BC$4),AO348,IF(MONTH($O348)=MONTH(BC$4),AO348*(1+Macroindicadores!L$7),BB348)))))))))</f>
        <v>1.84632</v>
      </c>
      <c r="BD348" s="39">
        <f>IF(ISBLANK(AB348),"",IF(ISBLANK($O348),AP348,IF($J348="ANUAL",AP348*(1+Macroindicadores!M$7),IF(AND($I348="NOVO",MONTH($O348)=MONTH(BD$4)),AP348*(1+Macroindicadores!M$7),IF(AND($J348="PONTUAL",MONTH($O348)=MONTH(BD$4)),AP348*(1+Macroindicadores!M$7),IF(AND($J348="PONTUAL",MONTH($O348)&lt;MONTH(BD$4)),MIN($AS348:BC348),IF(AND($I348="NOVO",MONTH($O348)&gt;MONTH(BD$4)),AP348,IF(MONTH($O348)&gt;MONTH(BD$4),AP348,IF(MONTH($O348)=MONTH(BD$4),AP348*(1+Macroindicadores!M$7),BC348)))))))))</f>
        <v>1.84632</v>
      </c>
      <c r="BE348" s="40">
        <f t="shared" si="150"/>
        <v>22.155839999999998</v>
      </c>
      <c r="BG348" s="39">
        <f>IF(ISBLANK(Q348),"",AS348/Macroindicadores!B$2)</f>
        <v>0.314</v>
      </c>
      <c r="BH348" s="39">
        <f>IF(ISBLANK(R348),"",AT348/Macroindicadores!C$2)</f>
        <v>0.314</v>
      </c>
      <c r="BI348" s="39">
        <f>IF(ISBLANK(S348),"",AU348/Macroindicadores!D$2)</f>
        <v>0.314</v>
      </c>
      <c r="BJ348" s="39">
        <f>IF(ISBLANK(T348),"",AV348/Macroindicadores!E$2)</f>
        <v>0.314</v>
      </c>
      <c r="BK348" s="39">
        <f>IF(ISBLANK(U348),"",AW348/Macroindicadores!F$2)</f>
        <v>0.314</v>
      </c>
      <c r="BL348" s="39">
        <f>IF(ISBLANK(V348),"",AX348/Macroindicadores!G$2)</f>
        <v>0.314</v>
      </c>
      <c r="BM348" s="39">
        <f>IF(ISBLANK(W348),"",AY348/Macroindicadores!H$2)</f>
        <v>0.314</v>
      </c>
      <c r="BN348" s="39">
        <f>IF(ISBLANK(X348),"",AZ348/Macroindicadores!I$2)</f>
        <v>0.314</v>
      </c>
      <c r="BO348" s="39">
        <f>IF(ISBLANK(Y348),"",BA348/Macroindicadores!J$2)</f>
        <v>0.314</v>
      </c>
      <c r="BP348" s="39">
        <f>IF(ISBLANK(Z348),"",BB348/Macroindicadores!K$2)</f>
        <v>0.314</v>
      </c>
      <c r="BQ348" s="39">
        <f>IF(ISBLANK(AA348),"",BC348/Macroindicadores!L$2)</f>
        <v>0.314</v>
      </c>
      <c r="BR348" s="39">
        <f>IF(ISBLANK(AB348),"",BD348/Macroindicadores!M$2)</f>
        <v>0.314</v>
      </c>
      <c r="BS348" s="40">
        <f t="shared" si="151"/>
        <v>3.7680000000000002</v>
      </c>
    </row>
    <row r="349" spans="3:71">
      <c r="C349" s="111" t="s">
        <v>336</v>
      </c>
      <c r="D349" s="111" t="s">
        <v>337</v>
      </c>
      <c r="E349" s="111" t="s">
        <v>14</v>
      </c>
      <c r="F349" s="112" t="s">
        <v>125</v>
      </c>
      <c r="G349" s="112" t="s">
        <v>126</v>
      </c>
      <c r="H349" s="112" t="s">
        <v>127</v>
      </c>
      <c r="I349" s="11" t="s">
        <v>77</v>
      </c>
      <c r="J349" s="11" t="s">
        <v>120</v>
      </c>
      <c r="K349" s="11" t="s">
        <v>79</v>
      </c>
      <c r="L349" s="11"/>
      <c r="M349" s="18"/>
      <c r="N349" s="113" t="s">
        <v>87</v>
      </c>
      <c r="O349" s="12"/>
      <c r="P349" s="113" t="s">
        <v>88</v>
      </c>
      <c r="Q349" s="41">
        <v>42</v>
      </c>
      <c r="R349" s="41">
        <v>42</v>
      </c>
      <c r="S349" s="41">
        <v>42</v>
      </c>
      <c r="T349" s="41">
        <v>42</v>
      </c>
      <c r="U349" s="41">
        <v>42</v>
      </c>
      <c r="V349" s="41">
        <v>42</v>
      </c>
      <c r="W349" s="41">
        <v>42</v>
      </c>
      <c r="X349" s="41">
        <v>42</v>
      </c>
      <c r="Y349" s="41">
        <v>42</v>
      </c>
      <c r="Z349" s="41">
        <v>42</v>
      </c>
      <c r="AA349" s="41">
        <v>42</v>
      </c>
      <c r="AB349" s="41">
        <v>42</v>
      </c>
      <c r="AC349" s="116">
        <f t="shared" si="152"/>
        <v>504</v>
      </c>
      <c r="AE349" s="39">
        <f>IF(ISBLANK(Q349),"",IF($P349="BRL",Q349,Q349*Macroindicadores!B$2)/1000)</f>
        <v>0.24696000000000001</v>
      </c>
      <c r="AF349" s="39">
        <f>IF(ISBLANK(R349),"",IF($P349="BRL",R349,R349*Macroindicadores!C$2)/1000)</f>
        <v>0.24696000000000001</v>
      </c>
      <c r="AG349" s="39">
        <f>IF(ISBLANK(S349),"",IF($P349="BRL",S349,S349*Macroindicadores!D$2)/1000)</f>
        <v>0.24696000000000001</v>
      </c>
      <c r="AH349" s="39">
        <f>IF(ISBLANK(T349),"",IF($P349="BRL",T349,T349*Macroindicadores!E$2)/1000)</f>
        <v>0.24696000000000001</v>
      </c>
      <c r="AI349" s="39">
        <f>IF(ISBLANK(U349),"",IF($P349="BRL",U349,U349*Macroindicadores!F$2)/1000)</f>
        <v>0.24696000000000001</v>
      </c>
      <c r="AJ349" s="39">
        <f>IF(ISBLANK(V349),"",IF($P349="BRL",V349,V349*Macroindicadores!G$2)/1000)</f>
        <v>0.24696000000000001</v>
      </c>
      <c r="AK349" s="39">
        <f>IF(ISBLANK(W349),"",IF($P349="BRL",W349,W349*Macroindicadores!H$2)/1000)</f>
        <v>0.24696000000000001</v>
      </c>
      <c r="AL349" s="39">
        <f>IF(ISBLANK(X349),"",IF($P349="BRL",X349,X349*Macroindicadores!I$2)/1000)</f>
        <v>0.24696000000000001</v>
      </c>
      <c r="AM349" s="39">
        <f>IF(ISBLANK(Y349),"",IF($P349="BRL",Y349,Y349*Macroindicadores!J$2)/1000)</f>
        <v>0.24696000000000001</v>
      </c>
      <c r="AN349" s="39">
        <f>IF(ISBLANK(Z349),"",IF($P349="BRL",Z349,Z349*Macroindicadores!K$2)/1000)</f>
        <v>0.24696000000000001</v>
      </c>
      <c r="AO349" s="39">
        <f>IF(ISBLANK(AA349),"",IF($P349="BRL",AA349,AA349*Macroindicadores!L$2)/1000)</f>
        <v>0.24696000000000001</v>
      </c>
      <c r="AP349" s="39">
        <f>IF(ISBLANK(AB349),"",IF($P349="BRL",AB349,AB349*Macroindicadores!M$2)/1000)</f>
        <v>0.24696000000000001</v>
      </c>
      <c r="AQ349" s="40">
        <f t="shared" si="149"/>
        <v>2.9635200000000004</v>
      </c>
      <c r="AS349" s="39">
        <f>IF(ISBLANK(Q349),"",IF(ISBLANK($O349),AE349,IF($J349="ANUAL",AE349*(1+Macroindicadores!B$7),IF(AND($I349="NOVO",MONTH($O349)=MONTH(AS$4)),AE349*(1+Macroindicadores!B$7),IF(AND($J349="PONTUAL",MONTH($O349)=MONTH(AS$4)),AE349*(1+Macroindicadores!B$7),IF(AND($J349="PONTUAL",MONTH($O349)&lt;MONTH(AS$4)),MIN(AR349:$AS349),IF(AND($I349="NOVO",MONTH($O349)&gt;MONTH(AS$4)),AE349,IF(MONTH($O349)&gt;MONTH(AS$4),AE349,IF(MONTH($O349)=MONTH(AS$4),AE349*(1+Macroindicadores!B$7),AR349)))))))))</f>
        <v>0.24696000000000001</v>
      </c>
      <c r="AT349" s="39">
        <f>IF(ISBLANK(R349),"",IF(ISBLANK($O349),AF349,IF($J349="ANUAL",AF349*(1+Macroindicadores!C$7),IF(AND($I349="NOVO",MONTH($O349)=MONTH(AT$4)),AF349*(1+Macroindicadores!C$7),IF(AND($J349="PONTUAL",MONTH($O349)=MONTH(AT$4)),AF349*(1+Macroindicadores!C$7),IF(AND($J349="PONTUAL",MONTH($O349)&lt;MONTH(AT$4)),MIN($AS349:AS349),IF(AND($I349="NOVO",MONTH($O349)&gt;MONTH(AT$4)),AF349,IF(MONTH($O349)&gt;MONTH(AT$4),AF349,IF(MONTH($O349)=MONTH(AT$4),AF349*(1+Macroindicadores!C$7),AS349)))))))))</f>
        <v>0.24696000000000001</v>
      </c>
      <c r="AU349" s="39">
        <f>IF(ISBLANK(S349),"",IF(ISBLANK($O349),AG349,IF($J349="ANUAL",AG349*(1+Macroindicadores!D$7),IF(AND($I349="NOVO",MONTH($O349)=MONTH(AU$4)),AG349*(1+Macroindicadores!D$7),IF(AND($J349="PONTUAL",MONTH($O349)=MONTH(AU$4)),AG349*(1+Macroindicadores!D$7),IF(AND($J349="PONTUAL",MONTH($O349)&lt;MONTH(AU$4)),MIN($AS349:AT349),IF(AND($I349="NOVO",MONTH($O349)&gt;MONTH(AU$4)),AG349,IF(MONTH($O349)&gt;MONTH(AU$4),AG349,IF(MONTH($O349)=MONTH(AU$4),AG349*(1+Macroindicadores!D$7),AT349)))))))))</f>
        <v>0.24696000000000001</v>
      </c>
      <c r="AV349" s="39">
        <f>IF(ISBLANK(T349),"",IF(ISBLANK($O349),AH349,IF($J349="ANUAL",AH349*(1+Macroindicadores!E$7),IF(AND($I349="NOVO",MONTH($O349)=MONTH(AV$4)),AH349*(1+Macroindicadores!E$7),IF(AND($J349="PONTUAL",MONTH($O349)=MONTH(AV$4)),AH349*(1+Macroindicadores!E$7),IF(AND($J349="PONTUAL",MONTH($O349)&lt;MONTH(AV$4)),MIN($AS349:AU349),IF(AND($I349="NOVO",MONTH($O349)&gt;MONTH(AV$4)),AH349,IF(MONTH($O349)&gt;MONTH(AV$4),AH349,IF(MONTH($O349)=MONTH(AV$4),AH349*(1+Macroindicadores!E$7),AU349)))))))))</f>
        <v>0.24696000000000001</v>
      </c>
      <c r="AW349" s="39">
        <f>IF(ISBLANK(U349),"",IF(ISBLANK($O349),AI349,IF($J349="ANUAL",AI349*(1+Macroindicadores!F$7),IF(AND($I349="NOVO",MONTH($O349)=MONTH(AW$4)),AI349*(1+Macroindicadores!F$7),IF(AND($J349="PONTUAL",MONTH($O349)=MONTH(AW$4)),AI349*(1+Macroindicadores!F$7),IF(AND($J349="PONTUAL",MONTH($O349)&lt;MONTH(AW$4)),MIN($AS349:AV349),IF(AND($I349="NOVO",MONTH($O349)&gt;MONTH(AW$4)),AI349,IF(MONTH($O349)&gt;MONTH(AW$4),AI349,IF(MONTH($O349)=MONTH(AW$4),AI349*(1+Macroindicadores!F$7),AV349)))))))))</f>
        <v>0.24696000000000001</v>
      </c>
      <c r="AX349" s="39">
        <f>IF(ISBLANK(V349),"",IF(ISBLANK($O349),AJ349,IF($J349="ANUAL",AJ349*(1+Macroindicadores!G$7),IF(AND($I349="NOVO",MONTH($O349)=MONTH(AX$4)),AJ349*(1+Macroindicadores!G$7),IF(AND($J349="PONTUAL",MONTH($O349)=MONTH(AX$4)),AJ349*(1+Macroindicadores!G$7),IF(AND($J349="PONTUAL",MONTH($O349)&lt;MONTH(AX$4)),MIN($AS349:AW349),IF(AND($I349="NOVO",MONTH($O349)&gt;MONTH(AX$4)),AJ349,IF(MONTH($O349)&gt;MONTH(AX$4),AJ349,IF(MONTH($O349)=MONTH(AX$4),AJ349*(1+Macroindicadores!G$7),AW349)))))))))</f>
        <v>0.24696000000000001</v>
      </c>
      <c r="AY349" s="39">
        <f>IF(ISBLANK(W349),"",IF(ISBLANK($O349),AK349,IF($J349="ANUAL",AK349*(1+Macroindicadores!H$7),IF(AND($I349="NOVO",MONTH($O349)=MONTH(AY$4)),AK349*(1+Macroindicadores!H$7),IF(AND($J349="PONTUAL",MONTH($O349)=MONTH(AY$4)),AK349*(1+Macroindicadores!H$7),IF(AND($J349="PONTUAL",MONTH($O349)&lt;MONTH(AY$4)),MIN($AS349:AX349),IF(AND($I349="NOVO",MONTH($O349)&gt;MONTH(AY$4)),AK349,IF(MONTH($O349)&gt;MONTH(AY$4),AK349,IF(MONTH($O349)=MONTH(AY$4),AK349*(1+Macroindicadores!H$7),AX349)))))))))</f>
        <v>0.24696000000000001</v>
      </c>
      <c r="AZ349" s="39">
        <f>IF(ISBLANK(X349),"",IF(ISBLANK($O349),AL349,IF($J349="ANUAL",AL349*(1+Macroindicadores!I$7),IF(AND($I349="NOVO",MONTH($O349)=MONTH(AZ$4)),AL349*(1+Macroindicadores!I$7),IF(AND($J349="PONTUAL",MONTH($O349)=MONTH(AZ$4)),AL349*(1+Macroindicadores!I$7),IF(AND($J349="PONTUAL",MONTH($O349)&lt;MONTH(AZ$4)),MIN($AS349:AY349),IF(AND($I349="NOVO",MONTH($O349)&gt;MONTH(AZ$4)),AL349,IF(MONTH($O349)&gt;MONTH(AZ$4),AL349,IF(MONTH($O349)=MONTH(AZ$4),AL349*(1+Macroindicadores!I$7),AY349)))))))))</f>
        <v>0.24696000000000001</v>
      </c>
      <c r="BA349" s="39">
        <f>IF(ISBLANK(Y349),"",IF(ISBLANK($O349),AM349,IF($J349="ANUAL",AM349*(1+Macroindicadores!J$7),IF(AND($I349="NOVO",MONTH($O349)=MONTH(BA$4)),AM349*(1+Macroindicadores!J$7),IF(AND($J349="PONTUAL",MONTH($O349)=MONTH(BA$4)),AM349*(1+Macroindicadores!J$7),IF(AND($J349="PONTUAL",MONTH($O349)&lt;MONTH(BA$4)),MIN($AS349:AZ349),IF(AND($I349="NOVO",MONTH($O349)&gt;MONTH(BA$4)),AM349,IF(MONTH($O349)&gt;MONTH(BA$4),AM349,IF(MONTH($O349)=MONTH(BA$4),AM349*(1+Macroindicadores!J$7),AZ349)))))))))</f>
        <v>0.24696000000000001</v>
      </c>
      <c r="BB349" s="39">
        <f>IF(ISBLANK(Z349),"",IF(ISBLANK($O349),AN349,IF($J349="ANUAL",AN349*(1+Macroindicadores!K$7),IF(AND($I349="NOVO",MONTH($O349)=MONTH(BB$4)),AN349*(1+Macroindicadores!K$7),IF(AND($J349="PONTUAL",MONTH($O349)=MONTH(BB$4)),AN349*(1+Macroindicadores!K$7),IF(AND($J349="PONTUAL",MONTH($O349)&lt;MONTH(BB$4)),MIN($AS349:BA349),IF(AND($I349="NOVO",MONTH($O349)&gt;MONTH(BB$4)),AN349,IF(MONTH($O349)&gt;MONTH(BB$4),AN349,IF(MONTH($O349)=MONTH(BB$4),AN349*(1+Macroindicadores!K$7),BA349)))))))))</f>
        <v>0.24696000000000001</v>
      </c>
      <c r="BC349" s="39">
        <f>IF(ISBLANK(AA349),"",IF(ISBLANK($O349),AO349,IF($J349="ANUAL",AO349*(1+Macroindicadores!L$7),IF(AND($I349="NOVO",MONTH($O349)=MONTH(BC$4)),AO349*(1+Macroindicadores!L$7),IF(AND($J349="PONTUAL",MONTH($O349)=MONTH(BC$4)),AO349*(1+Macroindicadores!L$7),IF(AND($J349="PONTUAL",MONTH($O349)&lt;MONTH(BC$4)),MIN($AS349:BB349),IF(AND($I349="NOVO",MONTH($O349)&gt;MONTH(BC$4)),AO349,IF(MONTH($O349)&gt;MONTH(BC$4),AO349,IF(MONTH($O349)=MONTH(BC$4),AO349*(1+Macroindicadores!L$7),BB349)))))))))</f>
        <v>0.24696000000000001</v>
      </c>
      <c r="BD349" s="39">
        <f>IF(ISBLANK(AB349),"",IF(ISBLANK($O349),AP349,IF($J349="ANUAL",AP349*(1+Macroindicadores!M$7),IF(AND($I349="NOVO",MONTH($O349)=MONTH(BD$4)),AP349*(1+Macroindicadores!M$7),IF(AND($J349="PONTUAL",MONTH($O349)=MONTH(BD$4)),AP349*(1+Macroindicadores!M$7),IF(AND($J349="PONTUAL",MONTH($O349)&lt;MONTH(BD$4)),MIN($AS349:BC349),IF(AND($I349="NOVO",MONTH($O349)&gt;MONTH(BD$4)),AP349,IF(MONTH($O349)&gt;MONTH(BD$4),AP349,IF(MONTH($O349)=MONTH(BD$4),AP349*(1+Macroindicadores!M$7),BC349)))))))))</f>
        <v>0.24696000000000001</v>
      </c>
      <c r="BE349" s="40">
        <f t="shared" si="150"/>
        <v>2.9635200000000004</v>
      </c>
      <c r="BG349" s="39">
        <f>IF(ISBLANK(Q349),"",AS349/Macroindicadores!B$2)</f>
        <v>4.2000000000000003E-2</v>
      </c>
      <c r="BH349" s="39">
        <f>IF(ISBLANK(R349),"",AT349/Macroindicadores!C$2)</f>
        <v>4.2000000000000003E-2</v>
      </c>
      <c r="BI349" s="39">
        <f>IF(ISBLANK(S349),"",AU349/Macroindicadores!D$2)</f>
        <v>4.2000000000000003E-2</v>
      </c>
      <c r="BJ349" s="39">
        <f>IF(ISBLANK(T349),"",AV349/Macroindicadores!E$2)</f>
        <v>4.2000000000000003E-2</v>
      </c>
      <c r="BK349" s="39">
        <f>IF(ISBLANK(U349),"",AW349/Macroindicadores!F$2)</f>
        <v>4.2000000000000003E-2</v>
      </c>
      <c r="BL349" s="39">
        <f>IF(ISBLANK(V349),"",AX349/Macroindicadores!G$2)</f>
        <v>4.2000000000000003E-2</v>
      </c>
      <c r="BM349" s="39">
        <f>IF(ISBLANK(W349),"",AY349/Macroindicadores!H$2)</f>
        <v>4.2000000000000003E-2</v>
      </c>
      <c r="BN349" s="39">
        <f>IF(ISBLANK(X349),"",AZ349/Macroindicadores!I$2)</f>
        <v>4.2000000000000003E-2</v>
      </c>
      <c r="BO349" s="39">
        <f>IF(ISBLANK(Y349),"",BA349/Macroindicadores!J$2)</f>
        <v>4.2000000000000003E-2</v>
      </c>
      <c r="BP349" s="39">
        <f>IF(ISBLANK(Z349),"",BB349/Macroindicadores!K$2)</f>
        <v>4.2000000000000003E-2</v>
      </c>
      <c r="BQ349" s="39">
        <f>IF(ISBLANK(AA349),"",BC349/Macroindicadores!L$2)</f>
        <v>4.2000000000000003E-2</v>
      </c>
      <c r="BR349" s="39">
        <f>IF(ISBLANK(AB349),"",BD349/Macroindicadores!M$2)</f>
        <v>4.2000000000000003E-2</v>
      </c>
      <c r="BS349" s="40">
        <f t="shared" si="151"/>
        <v>0.50399999999999989</v>
      </c>
    </row>
    <row r="350" spans="3:71">
      <c r="C350" s="111" t="s">
        <v>336</v>
      </c>
      <c r="D350" s="111" t="s">
        <v>337</v>
      </c>
      <c r="E350" s="111" t="s">
        <v>14</v>
      </c>
      <c r="F350" s="112" t="s">
        <v>99</v>
      </c>
      <c r="G350" s="112" t="s">
        <v>123</v>
      </c>
      <c r="H350" s="112" t="s">
        <v>354</v>
      </c>
      <c r="I350" s="11" t="s">
        <v>77</v>
      </c>
      <c r="J350" s="11" t="s">
        <v>120</v>
      </c>
      <c r="K350" s="11" t="s">
        <v>79</v>
      </c>
      <c r="L350" s="11"/>
      <c r="M350" s="18"/>
      <c r="N350" s="113" t="s">
        <v>87</v>
      </c>
      <c r="O350" s="12"/>
      <c r="P350" s="113" t="s">
        <v>88</v>
      </c>
      <c r="Q350" s="41">
        <v>20</v>
      </c>
      <c r="R350" s="41">
        <v>20</v>
      </c>
      <c r="S350" s="41">
        <v>20</v>
      </c>
      <c r="T350" s="41">
        <v>20</v>
      </c>
      <c r="U350" s="41">
        <v>20</v>
      </c>
      <c r="V350" s="41">
        <v>20</v>
      </c>
      <c r="W350" s="41">
        <v>20</v>
      </c>
      <c r="X350" s="41">
        <v>20</v>
      </c>
      <c r="Y350" s="41">
        <v>20</v>
      </c>
      <c r="Z350" s="41">
        <v>20</v>
      </c>
      <c r="AA350" s="41">
        <v>20</v>
      </c>
      <c r="AB350" s="41">
        <v>20</v>
      </c>
      <c r="AC350" s="116">
        <f t="shared" si="152"/>
        <v>240</v>
      </c>
      <c r="AE350" s="39">
        <f>IF(ISBLANK(Q350),"",IF($P350="BRL",Q350,Q350*Macroindicadores!B$2)/1000)</f>
        <v>0.1176</v>
      </c>
      <c r="AF350" s="39">
        <f>IF(ISBLANK(R350),"",IF($P350="BRL",R350,R350*Macroindicadores!C$2)/1000)</f>
        <v>0.1176</v>
      </c>
      <c r="AG350" s="39">
        <f>IF(ISBLANK(S350),"",IF($P350="BRL",S350,S350*Macroindicadores!D$2)/1000)</f>
        <v>0.1176</v>
      </c>
      <c r="AH350" s="39">
        <f>IF(ISBLANK(T350),"",IF($P350="BRL",T350,T350*Macroindicadores!E$2)/1000)</f>
        <v>0.1176</v>
      </c>
      <c r="AI350" s="39">
        <f>IF(ISBLANK(U350),"",IF($P350="BRL",U350,U350*Macroindicadores!F$2)/1000)</f>
        <v>0.1176</v>
      </c>
      <c r="AJ350" s="39">
        <f>IF(ISBLANK(V350),"",IF($P350="BRL",V350,V350*Macroindicadores!G$2)/1000)</f>
        <v>0.1176</v>
      </c>
      <c r="AK350" s="39">
        <f>IF(ISBLANK(W350),"",IF($P350="BRL",W350,W350*Macroindicadores!H$2)/1000)</f>
        <v>0.1176</v>
      </c>
      <c r="AL350" s="39">
        <f>IF(ISBLANK(X350),"",IF($P350="BRL",X350,X350*Macroindicadores!I$2)/1000)</f>
        <v>0.1176</v>
      </c>
      <c r="AM350" s="39">
        <f>IF(ISBLANK(Y350),"",IF($P350="BRL",Y350,Y350*Macroindicadores!J$2)/1000)</f>
        <v>0.1176</v>
      </c>
      <c r="AN350" s="39">
        <f>IF(ISBLANK(Z350),"",IF($P350="BRL",Z350,Z350*Macroindicadores!K$2)/1000)</f>
        <v>0.1176</v>
      </c>
      <c r="AO350" s="39">
        <f>IF(ISBLANK(AA350),"",IF($P350="BRL",AA350,AA350*Macroindicadores!L$2)/1000)</f>
        <v>0.1176</v>
      </c>
      <c r="AP350" s="39">
        <f>IF(ISBLANK(AB350),"",IF($P350="BRL",AB350,AB350*Macroindicadores!M$2)/1000)</f>
        <v>0.1176</v>
      </c>
      <c r="AQ350" s="40">
        <f t="shared" si="149"/>
        <v>1.4111999999999998</v>
      </c>
      <c r="AS350" s="39">
        <f>IF(ISBLANK(Q350),"",IF(ISBLANK($O350),AE350,IF($J350="ANUAL",AE350*(1+Macroindicadores!B$7),IF(AND($I350="NOVO",MONTH($O350)=MONTH(AS$4)),AE350*(1+Macroindicadores!B$7),IF(AND($J350="PONTUAL",MONTH($O350)=MONTH(AS$4)),AE350*(1+Macroindicadores!B$7),IF(AND($J350="PONTUAL",MONTH($O350)&lt;MONTH(AS$4)),MIN(AR350:$AS350),IF(AND($I350="NOVO",MONTH($O350)&gt;MONTH(AS$4)),AE350,IF(MONTH($O350)&gt;MONTH(AS$4),AE350,IF(MONTH($O350)=MONTH(AS$4),AE350*(1+Macroindicadores!B$7),AR350)))))))))</f>
        <v>0.1176</v>
      </c>
      <c r="AT350" s="39">
        <f>IF(ISBLANK(R350),"",IF(ISBLANK($O350),AF350,IF($J350="ANUAL",AF350*(1+Macroindicadores!C$7),IF(AND($I350="NOVO",MONTH($O350)=MONTH(AT$4)),AF350*(1+Macroindicadores!C$7),IF(AND($J350="PONTUAL",MONTH($O350)=MONTH(AT$4)),AF350*(1+Macroindicadores!C$7),IF(AND($J350="PONTUAL",MONTH($O350)&lt;MONTH(AT$4)),MIN($AS350:AS350),IF(AND($I350="NOVO",MONTH($O350)&gt;MONTH(AT$4)),AF350,IF(MONTH($O350)&gt;MONTH(AT$4),AF350,IF(MONTH($O350)=MONTH(AT$4),AF350*(1+Macroindicadores!C$7),AS350)))))))))</f>
        <v>0.1176</v>
      </c>
      <c r="AU350" s="39">
        <f>IF(ISBLANK(S350),"",IF(ISBLANK($O350),AG350,IF($J350="ANUAL",AG350*(1+Macroindicadores!D$7),IF(AND($I350="NOVO",MONTH($O350)=MONTH(AU$4)),AG350*(1+Macroindicadores!D$7),IF(AND($J350="PONTUAL",MONTH($O350)=MONTH(AU$4)),AG350*(1+Macroindicadores!D$7),IF(AND($J350="PONTUAL",MONTH($O350)&lt;MONTH(AU$4)),MIN($AS350:AT350),IF(AND($I350="NOVO",MONTH($O350)&gt;MONTH(AU$4)),AG350,IF(MONTH($O350)&gt;MONTH(AU$4),AG350,IF(MONTH($O350)=MONTH(AU$4),AG350*(1+Macroindicadores!D$7),AT350)))))))))</f>
        <v>0.1176</v>
      </c>
      <c r="AV350" s="39">
        <f>IF(ISBLANK(T350),"",IF(ISBLANK($O350),AH350,IF($J350="ANUAL",AH350*(1+Macroindicadores!E$7),IF(AND($I350="NOVO",MONTH($O350)=MONTH(AV$4)),AH350*(1+Macroindicadores!E$7),IF(AND($J350="PONTUAL",MONTH($O350)=MONTH(AV$4)),AH350*(1+Macroindicadores!E$7),IF(AND($J350="PONTUAL",MONTH($O350)&lt;MONTH(AV$4)),MIN($AS350:AU350),IF(AND($I350="NOVO",MONTH($O350)&gt;MONTH(AV$4)),AH350,IF(MONTH($O350)&gt;MONTH(AV$4),AH350,IF(MONTH($O350)=MONTH(AV$4),AH350*(1+Macroindicadores!E$7),AU350)))))))))</f>
        <v>0.1176</v>
      </c>
      <c r="AW350" s="39">
        <f>IF(ISBLANK(U350),"",IF(ISBLANK($O350),AI350,IF($J350="ANUAL",AI350*(1+Macroindicadores!F$7),IF(AND($I350="NOVO",MONTH($O350)=MONTH(AW$4)),AI350*(1+Macroindicadores!F$7),IF(AND($J350="PONTUAL",MONTH($O350)=MONTH(AW$4)),AI350*(1+Macroindicadores!F$7),IF(AND($J350="PONTUAL",MONTH($O350)&lt;MONTH(AW$4)),MIN($AS350:AV350),IF(AND($I350="NOVO",MONTH($O350)&gt;MONTH(AW$4)),AI350,IF(MONTH($O350)&gt;MONTH(AW$4),AI350,IF(MONTH($O350)=MONTH(AW$4),AI350*(1+Macroindicadores!F$7),AV350)))))))))</f>
        <v>0.1176</v>
      </c>
      <c r="AX350" s="39">
        <f>IF(ISBLANK(V350),"",IF(ISBLANK($O350),AJ350,IF($J350="ANUAL",AJ350*(1+Macroindicadores!G$7),IF(AND($I350="NOVO",MONTH($O350)=MONTH(AX$4)),AJ350*(1+Macroindicadores!G$7),IF(AND($J350="PONTUAL",MONTH($O350)=MONTH(AX$4)),AJ350*(1+Macroindicadores!G$7),IF(AND($J350="PONTUAL",MONTH($O350)&lt;MONTH(AX$4)),MIN($AS350:AW350),IF(AND($I350="NOVO",MONTH($O350)&gt;MONTH(AX$4)),AJ350,IF(MONTH($O350)&gt;MONTH(AX$4),AJ350,IF(MONTH($O350)=MONTH(AX$4),AJ350*(1+Macroindicadores!G$7),AW350)))))))))</f>
        <v>0.1176</v>
      </c>
      <c r="AY350" s="39">
        <f>IF(ISBLANK(W350),"",IF(ISBLANK($O350),AK350,IF($J350="ANUAL",AK350*(1+Macroindicadores!H$7),IF(AND($I350="NOVO",MONTH($O350)=MONTH(AY$4)),AK350*(1+Macroindicadores!H$7),IF(AND($J350="PONTUAL",MONTH($O350)=MONTH(AY$4)),AK350*(1+Macroindicadores!H$7),IF(AND($J350="PONTUAL",MONTH($O350)&lt;MONTH(AY$4)),MIN($AS350:AX350),IF(AND($I350="NOVO",MONTH($O350)&gt;MONTH(AY$4)),AK350,IF(MONTH($O350)&gt;MONTH(AY$4),AK350,IF(MONTH($O350)=MONTH(AY$4),AK350*(1+Macroindicadores!H$7),AX350)))))))))</f>
        <v>0.1176</v>
      </c>
      <c r="AZ350" s="39">
        <f>IF(ISBLANK(X350),"",IF(ISBLANK($O350),AL350,IF($J350="ANUAL",AL350*(1+Macroindicadores!I$7),IF(AND($I350="NOVO",MONTH($O350)=MONTH(AZ$4)),AL350*(1+Macroindicadores!I$7),IF(AND($J350="PONTUAL",MONTH($O350)=MONTH(AZ$4)),AL350*(1+Macroindicadores!I$7),IF(AND($J350="PONTUAL",MONTH($O350)&lt;MONTH(AZ$4)),MIN($AS350:AY350),IF(AND($I350="NOVO",MONTH($O350)&gt;MONTH(AZ$4)),AL350,IF(MONTH($O350)&gt;MONTH(AZ$4),AL350,IF(MONTH($O350)=MONTH(AZ$4),AL350*(1+Macroindicadores!I$7),AY350)))))))))</f>
        <v>0.1176</v>
      </c>
      <c r="BA350" s="39">
        <f>IF(ISBLANK(Y350),"",IF(ISBLANK($O350),AM350,IF($J350="ANUAL",AM350*(1+Macroindicadores!J$7),IF(AND($I350="NOVO",MONTH($O350)=MONTH(BA$4)),AM350*(1+Macroindicadores!J$7),IF(AND($J350="PONTUAL",MONTH($O350)=MONTH(BA$4)),AM350*(1+Macroindicadores!J$7),IF(AND($J350="PONTUAL",MONTH($O350)&lt;MONTH(BA$4)),MIN($AS350:AZ350),IF(AND($I350="NOVO",MONTH($O350)&gt;MONTH(BA$4)),AM350,IF(MONTH($O350)&gt;MONTH(BA$4),AM350,IF(MONTH($O350)=MONTH(BA$4),AM350*(1+Macroindicadores!J$7),AZ350)))))))))</f>
        <v>0.1176</v>
      </c>
      <c r="BB350" s="39">
        <f>IF(ISBLANK(Z350),"",IF(ISBLANK($O350),AN350,IF($J350="ANUAL",AN350*(1+Macroindicadores!K$7),IF(AND($I350="NOVO",MONTH($O350)=MONTH(BB$4)),AN350*(1+Macroindicadores!K$7),IF(AND($J350="PONTUAL",MONTH($O350)=MONTH(BB$4)),AN350*(1+Macroindicadores!K$7),IF(AND($J350="PONTUAL",MONTH($O350)&lt;MONTH(BB$4)),MIN($AS350:BA350),IF(AND($I350="NOVO",MONTH($O350)&gt;MONTH(BB$4)),AN350,IF(MONTH($O350)&gt;MONTH(BB$4),AN350,IF(MONTH($O350)=MONTH(BB$4),AN350*(1+Macroindicadores!K$7),BA350)))))))))</f>
        <v>0.1176</v>
      </c>
      <c r="BC350" s="39">
        <f>IF(ISBLANK(AA350),"",IF(ISBLANK($O350),AO350,IF($J350="ANUAL",AO350*(1+Macroindicadores!L$7),IF(AND($I350="NOVO",MONTH($O350)=MONTH(BC$4)),AO350*(1+Macroindicadores!L$7),IF(AND($J350="PONTUAL",MONTH($O350)=MONTH(BC$4)),AO350*(1+Macroindicadores!L$7),IF(AND($J350="PONTUAL",MONTH($O350)&lt;MONTH(BC$4)),MIN($AS350:BB350),IF(AND($I350="NOVO",MONTH($O350)&gt;MONTH(BC$4)),AO350,IF(MONTH($O350)&gt;MONTH(BC$4),AO350,IF(MONTH($O350)=MONTH(BC$4),AO350*(1+Macroindicadores!L$7),BB350)))))))))</f>
        <v>0.1176</v>
      </c>
      <c r="BD350" s="39">
        <f>IF(ISBLANK(AB350),"",IF(ISBLANK($O350),AP350,IF($J350="ANUAL",AP350*(1+Macroindicadores!M$7),IF(AND($I350="NOVO",MONTH($O350)=MONTH(BD$4)),AP350*(1+Macroindicadores!M$7),IF(AND($J350="PONTUAL",MONTH($O350)=MONTH(BD$4)),AP350*(1+Macroindicadores!M$7),IF(AND($J350="PONTUAL",MONTH($O350)&lt;MONTH(BD$4)),MIN($AS350:BC350),IF(AND($I350="NOVO",MONTH($O350)&gt;MONTH(BD$4)),AP350,IF(MONTH($O350)&gt;MONTH(BD$4),AP350,IF(MONTH($O350)=MONTH(BD$4),AP350*(1+Macroindicadores!M$7),BC350)))))))))</f>
        <v>0.1176</v>
      </c>
      <c r="BE350" s="40">
        <f t="shared" si="150"/>
        <v>1.4111999999999998</v>
      </c>
      <c r="BG350" s="39">
        <f>IF(ISBLANK(Q350),"",AS350/Macroindicadores!B$2)</f>
        <v>0.02</v>
      </c>
      <c r="BH350" s="39">
        <f>IF(ISBLANK(R350),"",AT350/Macroindicadores!C$2)</f>
        <v>0.02</v>
      </c>
      <c r="BI350" s="39">
        <f>IF(ISBLANK(S350),"",AU350/Macroindicadores!D$2)</f>
        <v>0.02</v>
      </c>
      <c r="BJ350" s="39">
        <f>IF(ISBLANK(T350),"",AV350/Macroindicadores!E$2)</f>
        <v>0.02</v>
      </c>
      <c r="BK350" s="39">
        <f>IF(ISBLANK(U350),"",AW350/Macroindicadores!F$2)</f>
        <v>0.02</v>
      </c>
      <c r="BL350" s="39">
        <f>IF(ISBLANK(V350),"",AX350/Macroindicadores!G$2)</f>
        <v>0.02</v>
      </c>
      <c r="BM350" s="39">
        <f>IF(ISBLANK(W350),"",AY350/Macroindicadores!H$2)</f>
        <v>0.02</v>
      </c>
      <c r="BN350" s="39">
        <f>IF(ISBLANK(X350),"",AZ350/Macroindicadores!I$2)</f>
        <v>0.02</v>
      </c>
      <c r="BO350" s="39">
        <f>IF(ISBLANK(Y350),"",BA350/Macroindicadores!J$2)</f>
        <v>0.02</v>
      </c>
      <c r="BP350" s="39">
        <f>IF(ISBLANK(Z350),"",BB350/Macroindicadores!K$2)</f>
        <v>0.02</v>
      </c>
      <c r="BQ350" s="39">
        <f>IF(ISBLANK(AA350),"",BC350/Macroindicadores!L$2)</f>
        <v>0.02</v>
      </c>
      <c r="BR350" s="39">
        <f>IF(ISBLANK(AB350),"",BD350/Macroindicadores!M$2)</f>
        <v>0.02</v>
      </c>
      <c r="BS350" s="40">
        <f t="shared" si="151"/>
        <v>0.23999999999999996</v>
      </c>
    </row>
    <row r="351" spans="3:71">
      <c r="C351" s="111" t="s">
        <v>336</v>
      </c>
      <c r="D351" s="111" t="s">
        <v>337</v>
      </c>
      <c r="E351" s="111" t="s">
        <v>14</v>
      </c>
      <c r="F351" s="112" t="s">
        <v>99</v>
      </c>
      <c r="G351" s="112" t="s">
        <v>126</v>
      </c>
      <c r="H351" s="112" t="s">
        <v>355</v>
      </c>
      <c r="I351" s="11" t="s">
        <v>77</v>
      </c>
      <c r="J351" s="11" t="s">
        <v>120</v>
      </c>
      <c r="K351" s="11" t="s">
        <v>79</v>
      </c>
      <c r="L351" s="11"/>
      <c r="M351" s="18"/>
      <c r="N351" s="113" t="s">
        <v>178</v>
      </c>
      <c r="O351" s="12"/>
      <c r="P351" s="113" t="s">
        <v>88</v>
      </c>
      <c r="Q351" s="41">
        <v>0</v>
      </c>
      <c r="R351" s="41">
        <v>0</v>
      </c>
      <c r="S351" s="41">
        <v>0</v>
      </c>
      <c r="T351" s="41">
        <v>0</v>
      </c>
      <c r="U351" s="41">
        <v>0</v>
      </c>
      <c r="V351" s="41">
        <v>0</v>
      </c>
      <c r="W351" s="41">
        <v>0</v>
      </c>
      <c r="X351" s="41">
        <v>1841.4580311534339</v>
      </c>
      <c r="Y351" s="41">
        <v>0</v>
      </c>
      <c r="Z351" s="41">
        <v>0</v>
      </c>
      <c r="AA351" s="41">
        <v>0</v>
      </c>
      <c r="AB351" s="41">
        <v>0</v>
      </c>
      <c r="AC351" s="116">
        <f t="shared" si="152"/>
        <v>1841.4580311534339</v>
      </c>
      <c r="AE351" s="39">
        <f>IF(ISBLANK(Q351),"",IF($P351="BRL",Q351,Q351*Macroindicadores!B$2)/1000)</f>
        <v>0</v>
      </c>
      <c r="AF351" s="39">
        <f>IF(ISBLANK(R351),"",IF($P351="BRL",R351,R351*Macroindicadores!C$2)/1000)</f>
        <v>0</v>
      </c>
      <c r="AG351" s="39">
        <f>IF(ISBLANK(S351),"",IF($P351="BRL",S351,S351*Macroindicadores!D$2)/1000)</f>
        <v>0</v>
      </c>
      <c r="AH351" s="39">
        <f>IF(ISBLANK(T351),"",IF($P351="BRL",T351,T351*Macroindicadores!E$2)/1000)</f>
        <v>0</v>
      </c>
      <c r="AI351" s="39">
        <f>IF(ISBLANK(U351),"",IF($P351="BRL",U351,U351*Macroindicadores!F$2)/1000)</f>
        <v>0</v>
      </c>
      <c r="AJ351" s="39">
        <f>IF(ISBLANK(V351),"",IF($P351="BRL",V351,V351*Macroindicadores!G$2)/1000)</f>
        <v>0</v>
      </c>
      <c r="AK351" s="39">
        <f>IF(ISBLANK(W351),"",IF($P351="BRL",W351,W351*Macroindicadores!H$2)/1000)</f>
        <v>0</v>
      </c>
      <c r="AL351" s="39">
        <f>IF(ISBLANK(X351),"",IF($P351="BRL",X351,X351*Macroindicadores!I$2)/1000)</f>
        <v>10.827773223182191</v>
      </c>
      <c r="AM351" s="39">
        <f>IF(ISBLANK(Y351),"",IF($P351="BRL",Y351,Y351*Macroindicadores!J$2)/1000)</f>
        <v>0</v>
      </c>
      <c r="AN351" s="39">
        <f>IF(ISBLANK(Z351),"",IF($P351="BRL",Z351,Z351*Macroindicadores!K$2)/1000)</f>
        <v>0</v>
      </c>
      <c r="AO351" s="39">
        <f>IF(ISBLANK(AA351),"",IF($P351="BRL",AA351,AA351*Macroindicadores!L$2)/1000)</f>
        <v>0</v>
      </c>
      <c r="AP351" s="39">
        <f>IF(ISBLANK(AB351),"",IF($P351="BRL",AB351,AB351*Macroindicadores!M$2)/1000)</f>
        <v>0</v>
      </c>
      <c r="AQ351" s="40">
        <f t="shared" si="149"/>
        <v>10.827773223182191</v>
      </c>
      <c r="AS351" s="39">
        <f>IF(ISBLANK(Q351),"",IF(ISBLANK($O351),AE351,IF($J351="ANUAL",AE351*(1+Macroindicadores!B$7),IF(AND($I351="NOVO",MONTH($O351)=MONTH(AS$4)),AE351*(1+Macroindicadores!B$7),IF(AND($J351="PONTUAL",MONTH($O351)=MONTH(AS$4)),AE351*(1+Macroindicadores!B$7),IF(AND($J351="PONTUAL",MONTH($O351)&lt;MONTH(AS$4)),MIN(AR351:$AS351),IF(AND($I351="NOVO",MONTH($O351)&gt;MONTH(AS$4)),AE351,IF(MONTH($O351)&gt;MONTH(AS$4),AE351,IF(MONTH($O351)=MONTH(AS$4),AE351*(1+Macroindicadores!B$7),AR351)))))))))</f>
        <v>0</v>
      </c>
      <c r="AT351" s="39">
        <f>IF(ISBLANK(R351),"",IF(ISBLANK($O351),AF351,IF($J351="ANUAL",AF351*(1+Macroindicadores!C$7),IF(AND($I351="NOVO",MONTH($O351)=MONTH(AT$4)),AF351*(1+Macroindicadores!C$7),IF(AND($J351="PONTUAL",MONTH($O351)=MONTH(AT$4)),AF351*(1+Macroindicadores!C$7),IF(AND($J351="PONTUAL",MONTH($O351)&lt;MONTH(AT$4)),MIN($AS351:AS351),IF(AND($I351="NOVO",MONTH($O351)&gt;MONTH(AT$4)),AF351,IF(MONTH($O351)&gt;MONTH(AT$4),AF351,IF(MONTH($O351)=MONTH(AT$4),AF351*(1+Macroindicadores!C$7),AS351)))))))))</f>
        <v>0</v>
      </c>
      <c r="AU351" s="39">
        <f>IF(ISBLANK(S351),"",IF(ISBLANK($O351),AG351,IF($J351="ANUAL",AG351*(1+Macroindicadores!D$7),IF(AND($I351="NOVO",MONTH($O351)=MONTH(AU$4)),AG351*(1+Macroindicadores!D$7),IF(AND($J351="PONTUAL",MONTH($O351)=MONTH(AU$4)),AG351*(1+Macroindicadores!D$7),IF(AND($J351="PONTUAL",MONTH($O351)&lt;MONTH(AU$4)),MIN($AS351:AT351),IF(AND($I351="NOVO",MONTH($O351)&gt;MONTH(AU$4)),AG351,IF(MONTH($O351)&gt;MONTH(AU$4),AG351,IF(MONTH($O351)=MONTH(AU$4),AG351*(1+Macroindicadores!D$7),AT351)))))))))</f>
        <v>0</v>
      </c>
      <c r="AV351" s="39">
        <f>IF(ISBLANK(T351),"",IF(ISBLANK($O351),AH351,IF($J351="ANUAL",AH351*(1+Macroindicadores!E$7),IF(AND($I351="NOVO",MONTH($O351)=MONTH(AV$4)),AH351*(1+Macroindicadores!E$7),IF(AND($J351="PONTUAL",MONTH($O351)=MONTH(AV$4)),AH351*(1+Macroindicadores!E$7),IF(AND($J351="PONTUAL",MONTH($O351)&lt;MONTH(AV$4)),MIN($AS351:AU351),IF(AND($I351="NOVO",MONTH($O351)&gt;MONTH(AV$4)),AH351,IF(MONTH($O351)&gt;MONTH(AV$4),AH351,IF(MONTH($O351)=MONTH(AV$4),AH351*(1+Macroindicadores!E$7),AU351)))))))))</f>
        <v>0</v>
      </c>
      <c r="AW351" s="39">
        <f>IF(ISBLANK(U351),"",IF(ISBLANK($O351),AI351,IF($J351="ANUAL",AI351*(1+Macroindicadores!F$7),IF(AND($I351="NOVO",MONTH($O351)=MONTH(AW$4)),AI351*(1+Macroindicadores!F$7),IF(AND($J351="PONTUAL",MONTH($O351)=MONTH(AW$4)),AI351*(1+Macroindicadores!F$7),IF(AND($J351="PONTUAL",MONTH($O351)&lt;MONTH(AW$4)),MIN($AS351:AV351),IF(AND($I351="NOVO",MONTH($O351)&gt;MONTH(AW$4)),AI351,IF(MONTH($O351)&gt;MONTH(AW$4),AI351,IF(MONTH($O351)=MONTH(AW$4),AI351*(1+Macroindicadores!F$7),AV351)))))))))</f>
        <v>0</v>
      </c>
      <c r="AX351" s="39">
        <f>IF(ISBLANK(V351),"",IF(ISBLANK($O351),AJ351,IF($J351="ANUAL",AJ351*(1+Macroindicadores!G$7),IF(AND($I351="NOVO",MONTH($O351)=MONTH(AX$4)),AJ351*(1+Macroindicadores!G$7),IF(AND($J351="PONTUAL",MONTH($O351)=MONTH(AX$4)),AJ351*(1+Macroindicadores!G$7),IF(AND($J351="PONTUAL",MONTH($O351)&lt;MONTH(AX$4)),MIN($AS351:AW351),IF(AND($I351="NOVO",MONTH($O351)&gt;MONTH(AX$4)),AJ351,IF(MONTH($O351)&gt;MONTH(AX$4),AJ351,IF(MONTH($O351)=MONTH(AX$4),AJ351*(1+Macroindicadores!G$7),AW351)))))))))</f>
        <v>0</v>
      </c>
      <c r="AY351" s="39">
        <f>IF(ISBLANK(W351),"",IF(ISBLANK($O351),AK351,IF($J351="ANUAL",AK351*(1+Macroindicadores!H$7),IF(AND($I351="NOVO",MONTH($O351)=MONTH(AY$4)),AK351*(1+Macroindicadores!H$7),IF(AND($J351="PONTUAL",MONTH($O351)=MONTH(AY$4)),AK351*(1+Macroindicadores!H$7),IF(AND($J351="PONTUAL",MONTH($O351)&lt;MONTH(AY$4)),MIN($AS351:AX351),IF(AND($I351="NOVO",MONTH($O351)&gt;MONTH(AY$4)),AK351,IF(MONTH($O351)&gt;MONTH(AY$4),AK351,IF(MONTH($O351)=MONTH(AY$4),AK351*(1+Macroindicadores!H$7),AX351)))))))))</f>
        <v>0</v>
      </c>
      <c r="AZ351" s="39">
        <f>IF(ISBLANK(X351),"",IF(ISBLANK($O351),AL351,IF($J351="ANUAL",AL351*(1+Macroindicadores!I$7),IF(AND($I351="NOVO",MONTH($O351)=MONTH(AZ$4)),AL351*(1+Macroindicadores!I$7),IF(AND($J351="PONTUAL",MONTH($O351)=MONTH(AZ$4)),AL351*(1+Macroindicadores!I$7),IF(AND($J351="PONTUAL",MONTH($O351)&lt;MONTH(AZ$4)),MIN($AS351:AY351),IF(AND($I351="NOVO",MONTH($O351)&gt;MONTH(AZ$4)),AL351,IF(MONTH($O351)&gt;MONTH(AZ$4),AL351,IF(MONTH($O351)=MONTH(AZ$4),AL351*(1+Macroindicadores!I$7),AY351)))))))))</f>
        <v>10.827773223182191</v>
      </c>
      <c r="BA351" s="39">
        <f>IF(ISBLANK(Y351),"",IF(ISBLANK($O351),AM351,IF($J351="ANUAL",AM351*(1+Macroindicadores!J$7),IF(AND($I351="NOVO",MONTH($O351)=MONTH(BA$4)),AM351*(1+Macroindicadores!J$7),IF(AND($J351="PONTUAL",MONTH($O351)=MONTH(BA$4)),AM351*(1+Macroindicadores!J$7),IF(AND($J351="PONTUAL",MONTH($O351)&lt;MONTH(BA$4)),MIN($AS351:AZ351),IF(AND($I351="NOVO",MONTH($O351)&gt;MONTH(BA$4)),AM351,IF(MONTH($O351)&gt;MONTH(BA$4),AM351,IF(MONTH($O351)=MONTH(BA$4),AM351*(1+Macroindicadores!J$7),AZ351)))))))))</f>
        <v>0</v>
      </c>
      <c r="BB351" s="39">
        <f>IF(ISBLANK(Z351),"",IF(ISBLANK($O351),AN351,IF($J351="ANUAL",AN351*(1+Macroindicadores!K$7),IF(AND($I351="NOVO",MONTH($O351)=MONTH(BB$4)),AN351*(1+Macroindicadores!K$7),IF(AND($J351="PONTUAL",MONTH($O351)=MONTH(BB$4)),AN351*(1+Macroindicadores!K$7),IF(AND($J351="PONTUAL",MONTH($O351)&lt;MONTH(BB$4)),MIN($AS351:BA351),IF(AND($I351="NOVO",MONTH($O351)&gt;MONTH(BB$4)),AN351,IF(MONTH($O351)&gt;MONTH(BB$4),AN351,IF(MONTH($O351)=MONTH(BB$4),AN351*(1+Macroindicadores!K$7),BA351)))))))))</f>
        <v>0</v>
      </c>
      <c r="BC351" s="39">
        <f>IF(ISBLANK(AA351),"",IF(ISBLANK($O351),AO351,IF($J351="ANUAL",AO351*(1+Macroindicadores!L$7),IF(AND($I351="NOVO",MONTH($O351)=MONTH(BC$4)),AO351*(1+Macroindicadores!L$7),IF(AND($J351="PONTUAL",MONTH($O351)=MONTH(BC$4)),AO351*(1+Macroindicadores!L$7),IF(AND($J351="PONTUAL",MONTH($O351)&lt;MONTH(BC$4)),MIN($AS351:BB351),IF(AND($I351="NOVO",MONTH($O351)&gt;MONTH(BC$4)),AO351,IF(MONTH($O351)&gt;MONTH(BC$4),AO351,IF(MONTH($O351)=MONTH(BC$4),AO351*(1+Macroindicadores!L$7),BB351)))))))))</f>
        <v>0</v>
      </c>
      <c r="BD351" s="39">
        <f>IF(ISBLANK(AB351),"",IF(ISBLANK($O351),AP351,IF($J351="ANUAL",AP351*(1+Macroindicadores!M$7),IF(AND($I351="NOVO",MONTH($O351)=MONTH(BD$4)),AP351*(1+Macroindicadores!M$7),IF(AND($J351="PONTUAL",MONTH($O351)=MONTH(BD$4)),AP351*(1+Macroindicadores!M$7),IF(AND($J351="PONTUAL",MONTH($O351)&lt;MONTH(BD$4)),MIN($AS351:BC351),IF(AND($I351="NOVO",MONTH($O351)&gt;MONTH(BD$4)),AP351,IF(MONTH($O351)&gt;MONTH(BD$4),AP351,IF(MONTH($O351)=MONTH(BD$4),AP351*(1+Macroindicadores!M$7),BC351)))))))))</f>
        <v>0</v>
      </c>
      <c r="BE351" s="40">
        <f t="shared" si="150"/>
        <v>10.827773223182191</v>
      </c>
      <c r="BG351" s="39">
        <f>IF(ISBLANK(Q351),"",AS351/Macroindicadores!B$2)</f>
        <v>0</v>
      </c>
      <c r="BH351" s="39">
        <f>IF(ISBLANK(R351),"",AT351/Macroindicadores!C$2)</f>
        <v>0</v>
      </c>
      <c r="BI351" s="39">
        <f>IF(ISBLANK(S351),"",AU351/Macroindicadores!D$2)</f>
        <v>0</v>
      </c>
      <c r="BJ351" s="39">
        <f>IF(ISBLANK(T351),"",AV351/Macroindicadores!E$2)</f>
        <v>0</v>
      </c>
      <c r="BK351" s="39">
        <f>IF(ISBLANK(U351),"",AW351/Macroindicadores!F$2)</f>
        <v>0</v>
      </c>
      <c r="BL351" s="39">
        <f>IF(ISBLANK(V351),"",AX351/Macroindicadores!G$2)</f>
        <v>0</v>
      </c>
      <c r="BM351" s="39">
        <f>IF(ISBLANK(W351),"",AY351/Macroindicadores!H$2)</f>
        <v>0</v>
      </c>
      <c r="BN351" s="39">
        <f>IF(ISBLANK(X351),"",AZ351/Macroindicadores!I$2)</f>
        <v>1.8414580311534339</v>
      </c>
      <c r="BO351" s="39">
        <f>IF(ISBLANK(Y351),"",BA351/Macroindicadores!J$2)</f>
        <v>0</v>
      </c>
      <c r="BP351" s="39">
        <f>IF(ISBLANK(Z351),"",BB351/Macroindicadores!K$2)</f>
        <v>0</v>
      </c>
      <c r="BQ351" s="39">
        <f>IF(ISBLANK(AA351),"",BC351/Macroindicadores!L$2)</f>
        <v>0</v>
      </c>
      <c r="BR351" s="39">
        <f>IF(ISBLANK(AB351),"",BD351/Macroindicadores!M$2)</f>
        <v>0</v>
      </c>
      <c r="BS351" s="40">
        <f t="shared" si="151"/>
        <v>1.8414580311534339</v>
      </c>
    </row>
    <row r="352" spans="3:71">
      <c r="C352" s="111" t="s">
        <v>336</v>
      </c>
      <c r="D352" s="111" t="s">
        <v>337</v>
      </c>
      <c r="E352" s="111" t="s">
        <v>14</v>
      </c>
      <c r="F352" s="112" t="s">
        <v>99</v>
      </c>
      <c r="G352" s="112" t="s">
        <v>233</v>
      </c>
      <c r="H352" s="112" t="s">
        <v>356</v>
      </c>
      <c r="I352" s="11" t="s">
        <v>77</v>
      </c>
      <c r="J352" s="11" t="s">
        <v>78</v>
      </c>
      <c r="K352" s="11" t="s">
        <v>79</v>
      </c>
      <c r="L352" s="11"/>
      <c r="M352" s="18"/>
      <c r="N352" s="113" t="s">
        <v>106</v>
      </c>
      <c r="O352" s="12"/>
      <c r="P352" s="113" t="s">
        <v>88</v>
      </c>
      <c r="Q352" s="41">
        <v>63.063631203884725</v>
      </c>
      <c r="R352" s="41">
        <v>63.063631203884725</v>
      </c>
      <c r="S352" s="41">
        <v>63.063631203884725</v>
      </c>
      <c r="T352" s="41">
        <v>63.063631203884725</v>
      </c>
      <c r="U352" s="41">
        <v>63.063631203884725</v>
      </c>
      <c r="V352" s="41">
        <v>63.063631203884725</v>
      </c>
      <c r="W352" s="41">
        <v>63.063631203884725</v>
      </c>
      <c r="X352" s="41">
        <v>63.063631203884725</v>
      </c>
      <c r="Y352" s="41">
        <v>63.063631203884725</v>
      </c>
      <c r="Z352" s="41">
        <v>63.063631203884725</v>
      </c>
      <c r="AA352" s="41">
        <v>63.063631203884725</v>
      </c>
      <c r="AB352" s="41">
        <v>63.063631203884725</v>
      </c>
      <c r="AC352" s="116">
        <f t="shared" si="152"/>
        <v>756.76357444661664</v>
      </c>
      <c r="AE352" s="39">
        <f>IF(ISBLANK(Q352),"",IF($P352="BRL",Q352,Q352*Macroindicadores!B$2)/1000)</f>
        <v>0.37081415147884217</v>
      </c>
      <c r="AF352" s="39">
        <f>IF(ISBLANK(R352),"",IF($P352="BRL",R352,R352*Macroindicadores!C$2)/1000)</f>
        <v>0.37081415147884217</v>
      </c>
      <c r="AG352" s="39">
        <f>IF(ISBLANK(S352),"",IF($P352="BRL",S352,S352*Macroindicadores!D$2)/1000)</f>
        <v>0.37081415147884217</v>
      </c>
      <c r="AH352" s="39">
        <f>IF(ISBLANK(T352),"",IF($P352="BRL",T352,T352*Macroindicadores!E$2)/1000)</f>
        <v>0.37081415147884217</v>
      </c>
      <c r="AI352" s="39">
        <f>IF(ISBLANK(U352),"",IF($P352="BRL",U352,U352*Macroindicadores!F$2)/1000)</f>
        <v>0.37081415147884217</v>
      </c>
      <c r="AJ352" s="39">
        <f>IF(ISBLANK(V352),"",IF($P352="BRL",V352,V352*Macroindicadores!G$2)/1000)</f>
        <v>0.37081415147884217</v>
      </c>
      <c r="AK352" s="39">
        <f>IF(ISBLANK(W352),"",IF($P352="BRL",W352,W352*Macroindicadores!H$2)/1000)</f>
        <v>0.37081415147884217</v>
      </c>
      <c r="AL352" s="39">
        <f>IF(ISBLANK(X352),"",IF($P352="BRL",X352,X352*Macroindicadores!I$2)/1000)</f>
        <v>0.37081415147884217</v>
      </c>
      <c r="AM352" s="39">
        <f>IF(ISBLANK(Y352),"",IF($P352="BRL",Y352,Y352*Macroindicadores!J$2)/1000)</f>
        <v>0.37081415147884217</v>
      </c>
      <c r="AN352" s="39">
        <f>IF(ISBLANK(Z352),"",IF($P352="BRL",Z352,Z352*Macroindicadores!K$2)/1000)</f>
        <v>0.37081415147884217</v>
      </c>
      <c r="AO352" s="39">
        <f>IF(ISBLANK(AA352),"",IF($P352="BRL",AA352,AA352*Macroindicadores!L$2)/1000)</f>
        <v>0.37081415147884217</v>
      </c>
      <c r="AP352" s="39">
        <f>IF(ISBLANK(AB352),"",IF($P352="BRL",AB352,AB352*Macroindicadores!M$2)/1000)</f>
        <v>0.37081415147884217</v>
      </c>
      <c r="AQ352" s="40">
        <f t="shared" si="149"/>
        <v>4.4497698177461062</v>
      </c>
      <c r="AS352" s="39">
        <f>IF(ISBLANK(Q352),"",IF(ISBLANK($O352),AE352,IF($J352="ANUAL",AE352*(1+Macroindicadores!B$7),IF(AND($I352="NOVO",MONTH($O352)=MONTH(AS$4)),AE352*(1+Macroindicadores!B$7),IF(AND($J352="PONTUAL",MONTH($O352)=MONTH(AS$4)),AE352*(1+Macroindicadores!B$7),IF(AND($J352="PONTUAL",MONTH($O352)&lt;MONTH(AS$4)),MIN(AR352:$AS352),IF(AND($I352="NOVO",MONTH($O352)&gt;MONTH(AS$4)),AE352,IF(MONTH($O352)&gt;MONTH(AS$4),AE352,IF(MONTH($O352)=MONTH(AS$4),AE352*(1+Macroindicadores!B$7),AR352)))))))))</f>
        <v>0.37081415147884217</v>
      </c>
      <c r="AT352" s="39">
        <f>IF(ISBLANK(R352),"",IF(ISBLANK($O352),AF352,IF($J352="ANUAL",AF352*(1+Macroindicadores!C$7),IF(AND($I352="NOVO",MONTH($O352)=MONTH(AT$4)),AF352*(1+Macroindicadores!C$7),IF(AND($J352="PONTUAL",MONTH($O352)=MONTH(AT$4)),AF352*(1+Macroindicadores!C$7),IF(AND($J352="PONTUAL",MONTH($O352)&lt;MONTH(AT$4)),MIN($AS352:AS352),IF(AND($I352="NOVO",MONTH($O352)&gt;MONTH(AT$4)),AF352,IF(MONTH($O352)&gt;MONTH(AT$4),AF352,IF(MONTH($O352)=MONTH(AT$4),AF352*(1+Macroindicadores!C$7),AS352)))))))))</f>
        <v>0.37081415147884217</v>
      </c>
      <c r="AU352" s="39">
        <f>IF(ISBLANK(S352),"",IF(ISBLANK($O352),AG352,IF($J352="ANUAL",AG352*(1+Macroindicadores!D$7),IF(AND($I352="NOVO",MONTH($O352)=MONTH(AU$4)),AG352*(1+Macroindicadores!D$7),IF(AND($J352="PONTUAL",MONTH($O352)=MONTH(AU$4)),AG352*(1+Macroindicadores!D$7),IF(AND($J352="PONTUAL",MONTH($O352)&lt;MONTH(AU$4)),MIN($AS352:AT352),IF(AND($I352="NOVO",MONTH($O352)&gt;MONTH(AU$4)),AG352,IF(MONTH($O352)&gt;MONTH(AU$4),AG352,IF(MONTH($O352)=MONTH(AU$4),AG352*(1+Macroindicadores!D$7),AT352)))))))))</f>
        <v>0.37081415147884217</v>
      </c>
      <c r="AV352" s="39">
        <f>IF(ISBLANK(T352),"",IF(ISBLANK($O352),AH352,IF($J352="ANUAL",AH352*(1+Macroindicadores!E$7),IF(AND($I352="NOVO",MONTH($O352)=MONTH(AV$4)),AH352*(1+Macroindicadores!E$7),IF(AND($J352="PONTUAL",MONTH($O352)=MONTH(AV$4)),AH352*(1+Macroindicadores!E$7),IF(AND($J352="PONTUAL",MONTH($O352)&lt;MONTH(AV$4)),MIN($AS352:AU352),IF(AND($I352="NOVO",MONTH($O352)&gt;MONTH(AV$4)),AH352,IF(MONTH($O352)&gt;MONTH(AV$4),AH352,IF(MONTH($O352)=MONTH(AV$4),AH352*(1+Macroindicadores!E$7),AU352)))))))))</f>
        <v>0.37081415147884217</v>
      </c>
      <c r="AW352" s="39">
        <f>IF(ISBLANK(U352),"",IF(ISBLANK($O352),AI352,IF($J352="ANUAL",AI352*(1+Macroindicadores!F$7),IF(AND($I352="NOVO",MONTH($O352)=MONTH(AW$4)),AI352*(1+Macroindicadores!F$7),IF(AND($J352="PONTUAL",MONTH($O352)=MONTH(AW$4)),AI352*(1+Macroindicadores!F$7),IF(AND($J352="PONTUAL",MONTH($O352)&lt;MONTH(AW$4)),MIN($AS352:AV352),IF(AND($I352="NOVO",MONTH($O352)&gt;MONTH(AW$4)),AI352,IF(MONTH($O352)&gt;MONTH(AW$4),AI352,IF(MONTH($O352)=MONTH(AW$4),AI352*(1+Macroindicadores!F$7),AV352)))))))))</f>
        <v>0.37081415147884217</v>
      </c>
      <c r="AX352" s="39">
        <f>IF(ISBLANK(V352),"",IF(ISBLANK($O352),AJ352,IF($J352="ANUAL",AJ352*(1+Macroindicadores!G$7),IF(AND($I352="NOVO",MONTH($O352)=MONTH(AX$4)),AJ352*(1+Macroindicadores!G$7),IF(AND($J352="PONTUAL",MONTH($O352)=MONTH(AX$4)),AJ352*(1+Macroindicadores!G$7),IF(AND($J352="PONTUAL",MONTH($O352)&lt;MONTH(AX$4)),MIN($AS352:AW352),IF(AND($I352="NOVO",MONTH($O352)&gt;MONTH(AX$4)),AJ352,IF(MONTH($O352)&gt;MONTH(AX$4),AJ352,IF(MONTH($O352)=MONTH(AX$4),AJ352*(1+Macroindicadores!G$7),AW352)))))))))</f>
        <v>0.37081415147884217</v>
      </c>
      <c r="AY352" s="39">
        <f>IF(ISBLANK(W352),"",IF(ISBLANK($O352),AK352,IF($J352="ANUAL",AK352*(1+Macroindicadores!H$7),IF(AND($I352="NOVO",MONTH($O352)=MONTH(AY$4)),AK352*(1+Macroindicadores!H$7),IF(AND($J352="PONTUAL",MONTH($O352)=MONTH(AY$4)),AK352*(1+Macroindicadores!H$7),IF(AND($J352="PONTUAL",MONTH($O352)&lt;MONTH(AY$4)),MIN($AS352:AX352),IF(AND($I352="NOVO",MONTH($O352)&gt;MONTH(AY$4)),AK352,IF(MONTH($O352)&gt;MONTH(AY$4),AK352,IF(MONTH($O352)=MONTH(AY$4),AK352*(1+Macroindicadores!H$7),AX352)))))))))</f>
        <v>0.37081415147884217</v>
      </c>
      <c r="AZ352" s="39">
        <f>IF(ISBLANK(X352),"",IF(ISBLANK($O352),AL352,IF($J352="ANUAL",AL352*(1+Macroindicadores!I$7),IF(AND($I352="NOVO",MONTH($O352)=MONTH(AZ$4)),AL352*(1+Macroindicadores!I$7),IF(AND($J352="PONTUAL",MONTH($O352)=MONTH(AZ$4)),AL352*(1+Macroindicadores!I$7),IF(AND($J352="PONTUAL",MONTH($O352)&lt;MONTH(AZ$4)),MIN($AS352:AY352),IF(AND($I352="NOVO",MONTH($O352)&gt;MONTH(AZ$4)),AL352,IF(MONTH($O352)&gt;MONTH(AZ$4),AL352,IF(MONTH($O352)=MONTH(AZ$4),AL352*(1+Macroindicadores!I$7),AY352)))))))))</f>
        <v>0.37081415147884217</v>
      </c>
      <c r="BA352" s="39">
        <f>IF(ISBLANK(Y352),"",IF(ISBLANK($O352),AM352,IF($J352="ANUAL",AM352*(1+Macroindicadores!J$7),IF(AND($I352="NOVO",MONTH($O352)=MONTH(BA$4)),AM352*(1+Macroindicadores!J$7),IF(AND($J352="PONTUAL",MONTH($O352)=MONTH(BA$4)),AM352*(1+Macroindicadores!J$7),IF(AND($J352="PONTUAL",MONTH($O352)&lt;MONTH(BA$4)),MIN($AS352:AZ352),IF(AND($I352="NOVO",MONTH($O352)&gt;MONTH(BA$4)),AM352,IF(MONTH($O352)&gt;MONTH(BA$4),AM352,IF(MONTH($O352)=MONTH(BA$4),AM352*(1+Macroindicadores!J$7),AZ352)))))))))</f>
        <v>0.37081415147884217</v>
      </c>
      <c r="BB352" s="39">
        <f>IF(ISBLANK(Z352),"",IF(ISBLANK($O352),AN352,IF($J352="ANUAL",AN352*(1+Macroindicadores!K$7),IF(AND($I352="NOVO",MONTH($O352)=MONTH(BB$4)),AN352*(1+Macroindicadores!K$7),IF(AND($J352="PONTUAL",MONTH($O352)=MONTH(BB$4)),AN352*(1+Macroindicadores!K$7),IF(AND($J352="PONTUAL",MONTH($O352)&lt;MONTH(BB$4)),MIN($AS352:BA352),IF(AND($I352="NOVO",MONTH($O352)&gt;MONTH(BB$4)),AN352,IF(MONTH($O352)&gt;MONTH(BB$4),AN352,IF(MONTH($O352)=MONTH(BB$4),AN352*(1+Macroindicadores!K$7),BA352)))))))))</f>
        <v>0.37081415147884217</v>
      </c>
      <c r="BC352" s="39">
        <f>IF(ISBLANK(AA352),"",IF(ISBLANK($O352),AO352,IF($J352="ANUAL",AO352*(1+Macroindicadores!L$7),IF(AND($I352="NOVO",MONTH($O352)=MONTH(BC$4)),AO352*(1+Macroindicadores!L$7),IF(AND($J352="PONTUAL",MONTH($O352)=MONTH(BC$4)),AO352*(1+Macroindicadores!L$7),IF(AND($J352="PONTUAL",MONTH($O352)&lt;MONTH(BC$4)),MIN($AS352:BB352),IF(AND($I352="NOVO",MONTH($O352)&gt;MONTH(BC$4)),AO352,IF(MONTH($O352)&gt;MONTH(BC$4),AO352,IF(MONTH($O352)=MONTH(BC$4),AO352*(1+Macroindicadores!L$7),BB352)))))))))</f>
        <v>0.37081415147884217</v>
      </c>
      <c r="BD352" s="39">
        <f>IF(ISBLANK(AB352),"",IF(ISBLANK($O352),AP352,IF($J352="ANUAL",AP352*(1+Macroindicadores!M$7),IF(AND($I352="NOVO",MONTH($O352)=MONTH(BD$4)),AP352*(1+Macroindicadores!M$7),IF(AND($J352="PONTUAL",MONTH($O352)=MONTH(BD$4)),AP352*(1+Macroindicadores!M$7),IF(AND($J352="PONTUAL",MONTH($O352)&lt;MONTH(BD$4)),MIN($AS352:BC352),IF(AND($I352="NOVO",MONTH($O352)&gt;MONTH(BD$4)),AP352,IF(MONTH($O352)&gt;MONTH(BD$4),AP352,IF(MONTH($O352)=MONTH(BD$4),AP352*(1+Macroindicadores!M$7),BC352)))))))))</f>
        <v>0.37081415147884217</v>
      </c>
      <c r="BE352" s="40">
        <f t="shared" si="150"/>
        <v>4.4497698177461062</v>
      </c>
      <c r="BG352" s="39">
        <f>IF(ISBLANK(Q352),"",AS352/Macroindicadores!B$2)</f>
        <v>6.3063631203884724E-2</v>
      </c>
      <c r="BH352" s="39">
        <f>IF(ISBLANK(R352),"",AT352/Macroindicadores!C$2)</f>
        <v>6.3063631203884724E-2</v>
      </c>
      <c r="BI352" s="39">
        <f>IF(ISBLANK(S352),"",AU352/Macroindicadores!D$2)</f>
        <v>6.3063631203884724E-2</v>
      </c>
      <c r="BJ352" s="39">
        <f>IF(ISBLANK(T352),"",AV352/Macroindicadores!E$2)</f>
        <v>6.3063631203884724E-2</v>
      </c>
      <c r="BK352" s="39">
        <f>IF(ISBLANK(U352),"",AW352/Macroindicadores!F$2)</f>
        <v>6.3063631203884724E-2</v>
      </c>
      <c r="BL352" s="39">
        <f>IF(ISBLANK(V352),"",AX352/Macroindicadores!G$2)</f>
        <v>6.3063631203884724E-2</v>
      </c>
      <c r="BM352" s="39">
        <f>IF(ISBLANK(W352),"",AY352/Macroindicadores!H$2)</f>
        <v>6.3063631203884724E-2</v>
      </c>
      <c r="BN352" s="39">
        <f>IF(ISBLANK(X352),"",AZ352/Macroindicadores!I$2)</f>
        <v>6.3063631203884724E-2</v>
      </c>
      <c r="BO352" s="39">
        <f>IF(ISBLANK(Y352),"",BA352/Macroindicadores!J$2)</f>
        <v>6.3063631203884724E-2</v>
      </c>
      <c r="BP352" s="39">
        <f>IF(ISBLANK(Z352),"",BB352/Macroindicadores!K$2)</f>
        <v>6.3063631203884724E-2</v>
      </c>
      <c r="BQ352" s="39">
        <f>IF(ISBLANK(AA352),"",BC352/Macroindicadores!L$2)</f>
        <v>6.3063631203884724E-2</v>
      </c>
      <c r="BR352" s="39">
        <f>IF(ISBLANK(AB352),"",BD352/Macroindicadores!M$2)</f>
        <v>6.3063631203884724E-2</v>
      </c>
      <c r="BS352" s="40">
        <f t="shared" si="151"/>
        <v>0.75676357444661646</v>
      </c>
    </row>
    <row r="353" spans="3:71">
      <c r="C353" s="111" t="s">
        <v>336</v>
      </c>
      <c r="D353" s="111" t="s">
        <v>337</v>
      </c>
      <c r="E353" s="111" t="s">
        <v>14</v>
      </c>
      <c r="F353" s="112" t="s">
        <v>125</v>
      </c>
      <c r="G353" s="112" t="s">
        <v>126</v>
      </c>
      <c r="H353" s="112" t="s">
        <v>357</v>
      </c>
      <c r="I353" s="11" t="s">
        <v>84</v>
      </c>
      <c r="J353" s="11" t="s">
        <v>78</v>
      </c>
      <c r="K353" s="11" t="s">
        <v>86</v>
      </c>
      <c r="L353" s="11"/>
      <c r="M353" s="18" t="str">
        <f>IF(ISBLANK($L353),"",_xlfn.XLOOKUP($L353,'CENTRO CUSTO'!$A:$A,'CENTRO CUSTO'!D:D,FALSE,0))</f>
        <v/>
      </c>
      <c r="N353" s="113" t="s">
        <v>87</v>
      </c>
      <c r="O353" s="12"/>
      <c r="P353" s="113" t="s">
        <v>88</v>
      </c>
      <c r="Q353" s="41">
        <v>63.063631203884725</v>
      </c>
      <c r="R353" s="41">
        <v>63.063631203884725</v>
      </c>
      <c r="S353" s="41">
        <v>63.063631203884725</v>
      </c>
      <c r="T353" s="41">
        <v>63.063631203884725</v>
      </c>
      <c r="U353" s="41">
        <v>63.063631203884725</v>
      </c>
      <c r="V353" s="41">
        <v>63.063631203884725</v>
      </c>
      <c r="W353" s="41">
        <v>63.063631203884725</v>
      </c>
      <c r="X353" s="41">
        <v>63.063631203884725</v>
      </c>
      <c r="Y353" s="41">
        <v>63.063631203884725</v>
      </c>
      <c r="Z353" s="41">
        <v>63.063631203884725</v>
      </c>
      <c r="AA353" s="41">
        <v>63.063631203884725</v>
      </c>
      <c r="AB353" s="41">
        <v>63.063631203884725</v>
      </c>
      <c r="AC353" s="116">
        <f t="shared" ref="AC353" si="154">IF(AND(ISBLANK($Q353),ISBLANK($R353),ISBLANK($S353),ISBLANK($T353),ISBLANK($U353),ISBLANK($V353),ISBLANK($W353),ISBLANK($X353),ISBLANK($Y353),ISBLANK($Z353),ISBLANK($AA353),ISBLANK($AB353)),"",SUM(Q353:AB353))</f>
        <v>756.76357444661664</v>
      </c>
      <c r="AE353" s="39">
        <f>IF(ISBLANK(Q353),"",IF($P353="BRL",Q353,Q353*Macroindicadores!B$2)/1000)</f>
        <v>0.37081415147884217</v>
      </c>
      <c r="AF353" s="39">
        <f>IF(ISBLANK(R353),"",IF($P353="BRL",R353,R353*Macroindicadores!C$2)/1000)</f>
        <v>0.37081415147884217</v>
      </c>
      <c r="AG353" s="39">
        <f>IF(ISBLANK(S353),"",IF($P353="BRL",S353,S353*Macroindicadores!D$2)/1000)</f>
        <v>0.37081415147884217</v>
      </c>
      <c r="AH353" s="39">
        <f>IF(ISBLANK(T353),"",IF($P353="BRL",T353,T353*Macroindicadores!E$2)/1000)</f>
        <v>0.37081415147884217</v>
      </c>
      <c r="AI353" s="39">
        <f>IF(ISBLANK(U353),"",IF($P353="BRL",U353,U353*Macroindicadores!F$2)/1000)</f>
        <v>0.37081415147884217</v>
      </c>
      <c r="AJ353" s="39">
        <f>IF(ISBLANK(V353),"",IF($P353="BRL",V353,V353*Macroindicadores!G$2)/1000)</f>
        <v>0.37081415147884217</v>
      </c>
      <c r="AK353" s="39">
        <f>IF(ISBLANK(W353),"",IF($P353="BRL",W353,W353*Macroindicadores!H$2)/1000)</f>
        <v>0.37081415147884217</v>
      </c>
      <c r="AL353" s="39">
        <f>IF(ISBLANK(X353),"",IF($P353="BRL",X353,X353*Macroindicadores!I$2)/1000)</f>
        <v>0.37081415147884217</v>
      </c>
      <c r="AM353" s="39">
        <f>IF(ISBLANK(Y353),"",IF($P353="BRL",Y353,Y353*Macroindicadores!J$2)/1000)</f>
        <v>0.37081415147884217</v>
      </c>
      <c r="AN353" s="39">
        <f>IF(ISBLANK(Z353),"",IF($P353="BRL",Z353,Z353*Macroindicadores!K$2)/1000)</f>
        <v>0.37081415147884217</v>
      </c>
      <c r="AO353" s="39">
        <f>IF(ISBLANK(AA353),"",IF($P353="BRL",AA353,AA353*Macroindicadores!L$2)/1000)</f>
        <v>0.37081415147884217</v>
      </c>
      <c r="AP353" s="39">
        <f>IF(ISBLANK(AB353),"",IF($P353="BRL",AB353,AB353*Macroindicadores!M$2)/1000)</f>
        <v>0.37081415147884217</v>
      </c>
      <c r="AQ353" s="40">
        <f t="shared" ref="AQ353" si="155">IF(AND(ISBLANK($Q353),ISBLANK($R353),ISBLANK($S353),ISBLANK($T353),ISBLANK($U353),ISBLANK($V353),ISBLANK($W353),ISBLANK($X353),ISBLANK($Y353),ISBLANK($Z353),ISBLANK($AA353),ISBLANK($AB353)),"",SUM(AE353:AP353))</f>
        <v>4.4497698177461062</v>
      </c>
      <c r="AS353" s="39">
        <f>IF(ISBLANK(Q353),"",IF(ISBLANK($O353),AE353,IF($J353="ANUAL",AE353*(1+Macroindicadores!B$7),IF(AND($I353="NOVO",MONTH($O353)=MONTH(AS$4)),AE353*(1+Macroindicadores!B$7),IF(AND($J353="PONTUAL",MONTH($O353)=MONTH(AS$4)),AE353*(1+Macroindicadores!B$7),IF(AND($J353="PONTUAL",MONTH($O353)&lt;MONTH(AS$4)),MIN(AR353:$AS353),IF(AND($I353="NOVO",MONTH($O353)&gt;MONTH(AS$4)),AE353,IF(MONTH($O353)&gt;MONTH(AS$4),AE353,IF(MONTH($O353)=MONTH(AS$4),AE353*(1+Macroindicadores!B$7),AR353)))))))))</f>
        <v>0.37081415147884217</v>
      </c>
      <c r="AT353" s="39">
        <f>IF(ISBLANK(R353),"",IF(ISBLANK($O353),AF353,IF($J353="ANUAL",AF353*(1+Macroindicadores!C$7),IF(AND($I353="NOVO",MONTH($O353)=MONTH(AT$4)),AF353*(1+Macroindicadores!C$7),IF(AND($J353="PONTUAL",MONTH($O353)=MONTH(AT$4)),AF353*(1+Macroindicadores!C$7),IF(AND($J353="PONTUAL",MONTH($O353)&lt;MONTH(AT$4)),MIN($AS353:AS353),IF(AND($I353="NOVO",MONTH($O353)&gt;MONTH(AT$4)),AF353,IF(MONTH($O353)&gt;MONTH(AT$4),AF353,IF(MONTH($O353)=MONTH(AT$4),AF353*(1+Macroindicadores!C$7),AS353)))))))))</f>
        <v>0.37081415147884217</v>
      </c>
      <c r="AU353" s="39">
        <f>IF(ISBLANK(S353),"",IF(ISBLANK($O353),AG353,IF($J353="ANUAL",AG353*(1+Macroindicadores!D$7),IF(AND($I353="NOVO",MONTH($O353)=MONTH(AU$4)),AG353*(1+Macroindicadores!D$7),IF(AND($J353="PONTUAL",MONTH($O353)=MONTH(AU$4)),AG353*(1+Macroindicadores!D$7),IF(AND($J353="PONTUAL",MONTH($O353)&lt;MONTH(AU$4)),MIN($AS353:AT353),IF(AND($I353="NOVO",MONTH($O353)&gt;MONTH(AU$4)),AG353,IF(MONTH($O353)&gt;MONTH(AU$4),AG353,IF(MONTH($O353)=MONTH(AU$4),AG353*(1+Macroindicadores!D$7),AT353)))))))))</f>
        <v>0.37081415147884217</v>
      </c>
      <c r="AV353" s="39">
        <f>IF(ISBLANK(T353),"",IF(ISBLANK($O353),AH353,IF($J353="ANUAL",AH353*(1+Macroindicadores!E$7),IF(AND($I353="NOVO",MONTH($O353)=MONTH(AV$4)),AH353*(1+Macroindicadores!E$7),IF(AND($J353="PONTUAL",MONTH($O353)=MONTH(AV$4)),AH353*(1+Macroindicadores!E$7),IF(AND($J353="PONTUAL",MONTH($O353)&lt;MONTH(AV$4)),MIN($AS353:AU353),IF(AND($I353="NOVO",MONTH($O353)&gt;MONTH(AV$4)),AH353,IF(MONTH($O353)&gt;MONTH(AV$4),AH353,IF(MONTH($O353)=MONTH(AV$4),AH353*(1+Macroindicadores!E$7),AU353)))))))))</f>
        <v>0.37081415147884217</v>
      </c>
      <c r="AW353" s="39">
        <f>IF(ISBLANK(U353),"",IF(ISBLANK($O353),AI353,IF($J353="ANUAL",AI353*(1+Macroindicadores!F$7),IF(AND($I353="NOVO",MONTH($O353)=MONTH(AW$4)),AI353*(1+Macroindicadores!F$7),IF(AND($J353="PONTUAL",MONTH($O353)=MONTH(AW$4)),AI353*(1+Macroindicadores!F$7),IF(AND($J353="PONTUAL",MONTH($O353)&lt;MONTH(AW$4)),MIN($AS353:AV353),IF(AND($I353="NOVO",MONTH($O353)&gt;MONTH(AW$4)),AI353,IF(MONTH($O353)&gt;MONTH(AW$4),AI353,IF(MONTH($O353)=MONTH(AW$4),AI353*(1+Macroindicadores!F$7),AV353)))))))))</f>
        <v>0.37081415147884217</v>
      </c>
      <c r="AX353" s="39">
        <f>IF(ISBLANK(V353),"",IF(ISBLANK($O353),AJ353,IF($J353="ANUAL",AJ353*(1+Macroindicadores!G$7),IF(AND($I353="NOVO",MONTH($O353)=MONTH(AX$4)),AJ353*(1+Macroindicadores!G$7),IF(AND($J353="PONTUAL",MONTH($O353)=MONTH(AX$4)),AJ353*(1+Macroindicadores!G$7),IF(AND($J353="PONTUAL",MONTH($O353)&lt;MONTH(AX$4)),MIN($AS353:AW353),IF(AND($I353="NOVO",MONTH($O353)&gt;MONTH(AX$4)),AJ353,IF(MONTH($O353)&gt;MONTH(AX$4),AJ353,IF(MONTH($O353)=MONTH(AX$4),AJ353*(1+Macroindicadores!G$7),AW353)))))))))</f>
        <v>0.37081415147884217</v>
      </c>
      <c r="AY353" s="39">
        <f>IF(ISBLANK(W353),"",IF(ISBLANK($O353),AK353,IF($J353="ANUAL",AK353*(1+Macroindicadores!H$7),IF(AND($I353="NOVO",MONTH($O353)=MONTH(AY$4)),AK353*(1+Macroindicadores!H$7),IF(AND($J353="PONTUAL",MONTH($O353)=MONTH(AY$4)),AK353*(1+Macroindicadores!H$7),IF(AND($J353="PONTUAL",MONTH($O353)&lt;MONTH(AY$4)),MIN($AS353:AX353),IF(AND($I353="NOVO",MONTH($O353)&gt;MONTH(AY$4)),AK353,IF(MONTH($O353)&gt;MONTH(AY$4),AK353,IF(MONTH($O353)=MONTH(AY$4),AK353*(1+Macroindicadores!H$7),AX353)))))))))</f>
        <v>0.37081415147884217</v>
      </c>
      <c r="AZ353" s="39">
        <f>IF(ISBLANK(X353),"",IF(ISBLANK($O353),AL353,IF($J353="ANUAL",AL353*(1+Macroindicadores!I$7),IF(AND($I353="NOVO",MONTH($O353)=MONTH(AZ$4)),AL353*(1+Macroindicadores!I$7),IF(AND($J353="PONTUAL",MONTH($O353)=MONTH(AZ$4)),AL353*(1+Macroindicadores!I$7),IF(AND($J353="PONTUAL",MONTH($O353)&lt;MONTH(AZ$4)),MIN($AS353:AY353),IF(AND($I353="NOVO",MONTH($O353)&gt;MONTH(AZ$4)),AL353,IF(MONTH($O353)&gt;MONTH(AZ$4),AL353,IF(MONTH($O353)=MONTH(AZ$4),AL353*(1+Macroindicadores!I$7),AY353)))))))))</f>
        <v>0.37081415147884217</v>
      </c>
      <c r="BA353" s="39">
        <f>IF(ISBLANK(Y353),"",IF(ISBLANK($O353),AM353,IF($J353="ANUAL",AM353*(1+Macroindicadores!J$7),IF(AND($I353="NOVO",MONTH($O353)=MONTH(BA$4)),AM353*(1+Macroindicadores!J$7),IF(AND($J353="PONTUAL",MONTH($O353)=MONTH(BA$4)),AM353*(1+Macroindicadores!J$7),IF(AND($J353="PONTUAL",MONTH($O353)&lt;MONTH(BA$4)),MIN($AS353:AZ353),IF(AND($I353="NOVO",MONTH($O353)&gt;MONTH(BA$4)),AM353,IF(MONTH($O353)&gt;MONTH(BA$4),AM353,IF(MONTH($O353)=MONTH(BA$4),AM353*(1+Macroindicadores!J$7),AZ353)))))))))</f>
        <v>0.37081415147884217</v>
      </c>
      <c r="BB353" s="39">
        <f>IF(ISBLANK(Z353),"",IF(ISBLANK($O353),AN353,IF($J353="ANUAL",AN353*(1+Macroindicadores!K$7),IF(AND($I353="NOVO",MONTH($O353)=MONTH(BB$4)),AN353*(1+Macroindicadores!K$7),IF(AND($J353="PONTUAL",MONTH($O353)=MONTH(BB$4)),AN353*(1+Macroindicadores!K$7),IF(AND($J353="PONTUAL",MONTH($O353)&lt;MONTH(BB$4)),MIN($AS353:BA353),IF(AND($I353="NOVO",MONTH($O353)&gt;MONTH(BB$4)),AN353,IF(MONTH($O353)&gt;MONTH(BB$4),AN353,IF(MONTH($O353)=MONTH(BB$4),AN353*(1+Macroindicadores!K$7),BA353)))))))))</f>
        <v>0.37081415147884217</v>
      </c>
      <c r="BC353" s="39">
        <f>IF(ISBLANK(AA353),"",IF(ISBLANK($O353),AO353,IF($J353="ANUAL",AO353*(1+Macroindicadores!L$7),IF(AND($I353="NOVO",MONTH($O353)=MONTH(BC$4)),AO353*(1+Macroindicadores!L$7),IF(AND($J353="PONTUAL",MONTH($O353)=MONTH(BC$4)),AO353*(1+Macroindicadores!L$7),IF(AND($J353="PONTUAL",MONTH($O353)&lt;MONTH(BC$4)),MIN($AS353:BB353),IF(AND($I353="NOVO",MONTH($O353)&gt;MONTH(BC$4)),AO353,IF(MONTH($O353)&gt;MONTH(BC$4),AO353,IF(MONTH($O353)=MONTH(BC$4),AO353*(1+Macroindicadores!L$7),BB353)))))))))</f>
        <v>0.37081415147884217</v>
      </c>
      <c r="BD353" s="39">
        <f>IF(ISBLANK(AB353),"",IF(ISBLANK($O353),AP353,IF($J353="ANUAL",AP353*(1+Macroindicadores!M$7),IF(AND($I353="NOVO",MONTH($O353)=MONTH(BD$4)),AP353*(1+Macroindicadores!M$7),IF(AND($J353="PONTUAL",MONTH($O353)=MONTH(BD$4)),AP353*(1+Macroindicadores!M$7),IF(AND($J353="PONTUAL",MONTH($O353)&lt;MONTH(BD$4)),MIN($AS353:BC353),IF(AND($I353="NOVO",MONTH($O353)&gt;MONTH(BD$4)),AP353,IF(MONTH($O353)&gt;MONTH(BD$4),AP353,IF(MONTH($O353)=MONTH(BD$4),AP353*(1+Macroindicadores!M$7),BC353)))))))))</f>
        <v>0.37081415147884217</v>
      </c>
      <c r="BE353" s="40">
        <f t="shared" ref="BE353" si="156">IF(AND(ISBLANK($Q353),ISBLANK($R353),ISBLANK($S353),ISBLANK($T353),ISBLANK($U353),ISBLANK($V353),ISBLANK($W353),ISBLANK($X353),ISBLANK($Y353),ISBLANK($Z353),ISBLANK($AA353),ISBLANK($AB353)),"",SUM(AS353:BD353))</f>
        <v>4.4497698177461062</v>
      </c>
      <c r="BG353" s="39">
        <f>IF(ISBLANK(Q353),"",AS353/Macroindicadores!B$2)</f>
        <v>6.3063631203884724E-2</v>
      </c>
      <c r="BH353" s="39">
        <f>IF(ISBLANK(R353),"",AT353/Macroindicadores!C$2)</f>
        <v>6.3063631203884724E-2</v>
      </c>
      <c r="BI353" s="39">
        <f>IF(ISBLANK(S353),"",AU353/Macroindicadores!D$2)</f>
        <v>6.3063631203884724E-2</v>
      </c>
      <c r="BJ353" s="39">
        <f>IF(ISBLANK(T353),"",AV353/Macroindicadores!E$2)</f>
        <v>6.3063631203884724E-2</v>
      </c>
      <c r="BK353" s="39">
        <f>IF(ISBLANK(U353),"",AW353/Macroindicadores!F$2)</f>
        <v>6.3063631203884724E-2</v>
      </c>
      <c r="BL353" s="39">
        <f>IF(ISBLANK(V353),"",AX353/Macroindicadores!G$2)</f>
        <v>6.3063631203884724E-2</v>
      </c>
      <c r="BM353" s="39">
        <f>IF(ISBLANK(W353),"",AY353/Macroindicadores!H$2)</f>
        <v>6.3063631203884724E-2</v>
      </c>
      <c r="BN353" s="39">
        <f>IF(ISBLANK(X353),"",AZ353/Macroindicadores!I$2)</f>
        <v>6.3063631203884724E-2</v>
      </c>
      <c r="BO353" s="39">
        <f>IF(ISBLANK(Y353),"",BA353/Macroindicadores!J$2)</f>
        <v>6.3063631203884724E-2</v>
      </c>
      <c r="BP353" s="39">
        <f>IF(ISBLANK(Z353),"",BB353/Macroindicadores!K$2)</f>
        <v>6.3063631203884724E-2</v>
      </c>
      <c r="BQ353" s="39">
        <f>IF(ISBLANK(AA353),"",BC353/Macroindicadores!L$2)</f>
        <v>6.3063631203884724E-2</v>
      </c>
      <c r="BR353" s="39">
        <f>IF(ISBLANK(AB353),"",BD353/Macroindicadores!M$2)</f>
        <v>6.3063631203884724E-2</v>
      </c>
      <c r="BS353" s="40">
        <f t="shared" ref="BS353" si="157">IF(AND(ISBLANK($Q353),ISBLANK($R353),ISBLANK($S353),ISBLANK($T353),ISBLANK($U353),ISBLANK($V353),ISBLANK($W353),ISBLANK($X353),ISBLANK($Y353),ISBLANK($Z353),ISBLANK($AA353),ISBLANK($AB353)),"",SUM(BG353:BR353))</f>
        <v>0.75676357444661646</v>
      </c>
    </row>
    <row r="354" spans="3:71">
      <c r="C354" s="111" t="s">
        <v>336</v>
      </c>
      <c r="D354" s="111" t="s">
        <v>337</v>
      </c>
      <c r="E354" s="111" t="s">
        <v>14</v>
      </c>
      <c r="F354" s="112" t="s">
        <v>99</v>
      </c>
      <c r="G354" s="112" t="s">
        <v>75</v>
      </c>
      <c r="H354" s="112" t="s">
        <v>102</v>
      </c>
      <c r="I354" s="11" t="s">
        <v>84</v>
      </c>
      <c r="J354" s="11" t="s">
        <v>78</v>
      </c>
      <c r="K354" s="11" t="s">
        <v>86</v>
      </c>
      <c r="L354" s="11"/>
      <c r="M354" s="18" t="str">
        <f>IF(ISBLANK($L354),"",_xlfn.XLOOKUP($L354,'CENTRO CUSTO'!$A:$A,'CENTRO CUSTO'!D:D,FALSE,0))</f>
        <v/>
      </c>
      <c r="N354" s="113" t="s">
        <v>87</v>
      </c>
      <c r="O354" s="12"/>
      <c r="P354" s="113" t="s">
        <v>88</v>
      </c>
      <c r="Q354" s="41">
        <f>240/12</f>
        <v>20</v>
      </c>
      <c r="R354" s="41">
        <f t="shared" ref="R354:AB354" si="158">240/12</f>
        <v>20</v>
      </c>
      <c r="S354" s="41">
        <f t="shared" si="158"/>
        <v>20</v>
      </c>
      <c r="T354" s="41">
        <f t="shared" si="158"/>
        <v>20</v>
      </c>
      <c r="U354" s="41">
        <f t="shared" si="158"/>
        <v>20</v>
      </c>
      <c r="V354" s="41">
        <f t="shared" si="158"/>
        <v>20</v>
      </c>
      <c r="W354" s="41">
        <f t="shared" si="158"/>
        <v>20</v>
      </c>
      <c r="X354" s="41">
        <f t="shared" si="158"/>
        <v>20</v>
      </c>
      <c r="Y354" s="41">
        <f t="shared" si="158"/>
        <v>20</v>
      </c>
      <c r="Z354" s="41">
        <f t="shared" si="158"/>
        <v>20</v>
      </c>
      <c r="AA354" s="41">
        <f t="shared" si="158"/>
        <v>20</v>
      </c>
      <c r="AB354" s="41">
        <f t="shared" si="158"/>
        <v>20</v>
      </c>
      <c r="AC354" s="116">
        <f>IF(AND(ISBLANK($Q354),ISBLANK($R354),ISBLANK($S354),ISBLANK($T354),ISBLANK($U354),ISBLANK($V354),ISBLANK($W354),ISBLANK($X354),ISBLANK($Y354),ISBLANK($Z354),ISBLANK($AA354),ISBLANK($AB354)),"",SUM(Q354:AB354))</f>
        <v>240</v>
      </c>
      <c r="AE354" s="39">
        <f>IF(ISBLANK(Q354),"",IF($P354="BRL",Q354,Q354*Macroindicadores!B$2)/1000)</f>
        <v>0.1176</v>
      </c>
      <c r="AF354" s="39">
        <f>IF(ISBLANK(R354),"",IF($P354="BRL",R354,R354*Macroindicadores!C$2)/1000)</f>
        <v>0.1176</v>
      </c>
      <c r="AG354" s="39">
        <f>IF(ISBLANK(S354),"",IF($P354="BRL",S354,S354*Macroindicadores!D$2)/1000)</f>
        <v>0.1176</v>
      </c>
      <c r="AH354" s="39">
        <f>IF(ISBLANK(T354),"",IF($P354="BRL",T354,T354*Macroindicadores!E$2)/1000)</f>
        <v>0.1176</v>
      </c>
      <c r="AI354" s="39">
        <f>IF(ISBLANK(U354),"",IF($P354="BRL",U354,U354*Macroindicadores!F$2)/1000)</f>
        <v>0.1176</v>
      </c>
      <c r="AJ354" s="39">
        <f>IF(ISBLANK(V354),"",IF($P354="BRL",V354,V354*Macroindicadores!G$2)/1000)</f>
        <v>0.1176</v>
      </c>
      <c r="AK354" s="39">
        <f>IF(ISBLANK(W354),"",IF($P354="BRL",W354,W354*Macroindicadores!H$2)/1000)</f>
        <v>0.1176</v>
      </c>
      <c r="AL354" s="39">
        <f>IF(ISBLANK(X354),"",IF($P354="BRL",X354,X354*Macroindicadores!I$2)/1000)</f>
        <v>0.1176</v>
      </c>
      <c r="AM354" s="39">
        <f>IF(ISBLANK(Y354),"",IF($P354="BRL",Y354,Y354*Macroindicadores!J$2)/1000)</f>
        <v>0.1176</v>
      </c>
      <c r="AN354" s="39">
        <f>IF(ISBLANK(Z354),"",IF($P354="BRL",Z354,Z354*Macroindicadores!K$2)/1000)</f>
        <v>0.1176</v>
      </c>
      <c r="AO354" s="39">
        <f>IF(ISBLANK(AA354),"",IF($P354="BRL",AA354,AA354*Macroindicadores!L$2)/1000)</f>
        <v>0.1176</v>
      </c>
      <c r="AP354" s="39">
        <f>IF(ISBLANK(AB354),"",IF($P354="BRL",AB354,AB354*Macroindicadores!M$2)/1000)</f>
        <v>0.1176</v>
      </c>
      <c r="AQ354" s="40">
        <f t="shared" ref="AQ354" si="159">IF(AND(ISBLANK($Q354),ISBLANK($R354),ISBLANK($S354),ISBLANK($T354),ISBLANK($U354),ISBLANK($V354),ISBLANK($W354),ISBLANK($X354),ISBLANK($Y354),ISBLANK($Z354),ISBLANK($AA354),ISBLANK($AB354)),"",SUM(AE354:AP354))</f>
        <v>1.4111999999999998</v>
      </c>
      <c r="AS354" s="39">
        <f>IF(ISBLANK(Q354),"",IF(ISBLANK($O354),AE354,IF($J354="ANUAL",AE354*(1+Macroindicadores!B$7),IF(AND($I354="NOVO",MONTH($O354)=MONTH(AS$4)),AE354*(1+Macroindicadores!B$7),IF(AND($J354="PONTUAL",MONTH($O354)=MONTH(AS$4)),AE354*(1+Macroindicadores!B$7),IF(AND($J354="PONTUAL",MONTH($O354)&lt;MONTH(AS$4)),MIN(AR354:$AS354),IF(AND($I354="NOVO",MONTH($O354)&gt;MONTH(AS$4)),AE354,IF(MONTH($O354)&gt;MONTH(AS$4),AE354,IF(MONTH($O354)=MONTH(AS$4),AE354*(1+Macroindicadores!B$7),AR354)))))))))</f>
        <v>0.1176</v>
      </c>
      <c r="AT354" s="39">
        <f>IF(ISBLANK(R354),"",IF(ISBLANK($O354),AF354,IF($J354="ANUAL",AF354*(1+Macroindicadores!C$7),IF(AND($I354="NOVO",MONTH($O354)=MONTH(AT$4)),AF354*(1+Macroindicadores!C$7),IF(AND($J354="PONTUAL",MONTH($O354)=MONTH(AT$4)),AF354*(1+Macroindicadores!C$7),IF(AND($J354="PONTUAL",MONTH($O354)&lt;MONTH(AT$4)),MIN($AS354:AS354),IF(AND($I354="NOVO",MONTH($O354)&gt;MONTH(AT$4)),AF354,IF(MONTH($O354)&gt;MONTH(AT$4),AF354,IF(MONTH($O354)=MONTH(AT$4),AF354*(1+Macroindicadores!C$7),AS354)))))))))</f>
        <v>0.1176</v>
      </c>
      <c r="AU354" s="39">
        <f>IF(ISBLANK(S354),"",IF(ISBLANK($O354),AG354,IF($J354="ANUAL",AG354*(1+Macroindicadores!D$7),IF(AND($I354="NOVO",MONTH($O354)=MONTH(AU$4)),AG354*(1+Macroindicadores!D$7),IF(AND($J354="PONTUAL",MONTH($O354)=MONTH(AU$4)),AG354*(1+Macroindicadores!D$7),IF(AND($J354="PONTUAL",MONTH($O354)&lt;MONTH(AU$4)),MIN($AS354:AT354),IF(AND($I354="NOVO",MONTH($O354)&gt;MONTH(AU$4)),AG354,IF(MONTH($O354)&gt;MONTH(AU$4),AG354,IF(MONTH($O354)=MONTH(AU$4),AG354*(1+Macroindicadores!D$7),AT354)))))))))</f>
        <v>0.1176</v>
      </c>
      <c r="AV354" s="39">
        <f>IF(ISBLANK(T354),"",IF(ISBLANK($O354),AH354,IF($J354="ANUAL",AH354*(1+Macroindicadores!E$7),IF(AND($I354="NOVO",MONTH($O354)=MONTH(AV$4)),AH354*(1+Macroindicadores!E$7),IF(AND($J354="PONTUAL",MONTH($O354)=MONTH(AV$4)),AH354*(1+Macroindicadores!E$7),IF(AND($J354="PONTUAL",MONTH($O354)&lt;MONTH(AV$4)),MIN($AS354:AU354),IF(AND($I354="NOVO",MONTH($O354)&gt;MONTH(AV$4)),AH354,IF(MONTH($O354)&gt;MONTH(AV$4),AH354,IF(MONTH($O354)=MONTH(AV$4),AH354*(1+Macroindicadores!E$7),AU354)))))))))</f>
        <v>0.1176</v>
      </c>
      <c r="AW354" s="39">
        <f>IF(ISBLANK(U354),"",IF(ISBLANK($O354),AI354,IF($J354="ANUAL",AI354*(1+Macroindicadores!F$7),IF(AND($I354="NOVO",MONTH($O354)=MONTH(AW$4)),AI354*(1+Macroindicadores!F$7),IF(AND($J354="PONTUAL",MONTH($O354)=MONTH(AW$4)),AI354*(1+Macroindicadores!F$7),IF(AND($J354="PONTUAL",MONTH($O354)&lt;MONTH(AW$4)),MIN($AS354:AV354),IF(AND($I354="NOVO",MONTH($O354)&gt;MONTH(AW$4)),AI354,IF(MONTH($O354)&gt;MONTH(AW$4),AI354,IF(MONTH($O354)=MONTH(AW$4),AI354*(1+Macroindicadores!F$7),AV354)))))))))</f>
        <v>0.1176</v>
      </c>
      <c r="AX354" s="39">
        <f>IF(ISBLANK(V354),"",IF(ISBLANK($O354),AJ354,IF($J354="ANUAL",AJ354*(1+Macroindicadores!G$7),IF(AND($I354="NOVO",MONTH($O354)=MONTH(AX$4)),AJ354*(1+Macroindicadores!G$7),IF(AND($J354="PONTUAL",MONTH($O354)=MONTH(AX$4)),AJ354*(1+Macroindicadores!G$7),IF(AND($J354="PONTUAL",MONTH($O354)&lt;MONTH(AX$4)),MIN($AS354:AW354),IF(AND($I354="NOVO",MONTH($O354)&gt;MONTH(AX$4)),AJ354,IF(MONTH($O354)&gt;MONTH(AX$4),AJ354,IF(MONTH($O354)=MONTH(AX$4),AJ354*(1+Macroindicadores!G$7),AW354)))))))))</f>
        <v>0.1176</v>
      </c>
      <c r="AY354" s="39">
        <f>IF(ISBLANK(W354),"",IF(ISBLANK($O354),AK354,IF($J354="ANUAL",AK354*(1+Macroindicadores!H$7),IF(AND($I354="NOVO",MONTH($O354)=MONTH(AY$4)),AK354*(1+Macroindicadores!H$7),IF(AND($J354="PONTUAL",MONTH($O354)=MONTH(AY$4)),AK354*(1+Macroindicadores!H$7),IF(AND($J354="PONTUAL",MONTH($O354)&lt;MONTH(AY$4)),MIN($AS354:AX354),IF(AND($I354="NOVO",MONTH($O354)&gt;MONTH(AY$4)),AK354,IF(MONTH($O354)&gt;MONTH(AY$4),AK354,IF(MONTH($O354)=MONTH(AY$4),AK354*(1+Macroindicadores!H$7),AX354)))))))))</f>
        <v>0.1176</v>
      </c>
      <c r="AZ354" s="39">
        <f>IF(ISBLANK(X354),"",IF(ISBLANK($O354),AL354,IF($J354="ANUAL",AL354*(1+Macroindicadores!I$7),IF(AND($I354="NOVO",MONTH($O354)=MONTH(AZ$4)),AL354*(1+Macroindicadores!I$7),IF(AND($J354="PONTUAL",MONTH($O354)=MONTH(AZ$4)),AL354*(1+Macroindicadores!I$7),IF(AND($J354="PONTUAL",MONTH($O354)&lt;MONTH(AZ$4)),MIN($AS354:AY354),IF(AND($I354="NOVO",MONTH($O354)&gt;MONTH(AZ$4)),AL354,IF(MONTH($O354)&gt;MONTH(AZ$4),AL354,IF(MONTH($O354)=MONTH(AZ$4),AL354*(1+Macroindicadores!I$7),AY354)))))))))</f>
        <v>0.1176</v>
      </c>
      <c r="BA354" s="39">
        <f>IF(ISBLANK(Y354),"",IF(ISBLANK($O354),AM354,IF($J354="ANUAL",AM354*(1+Macroindicadores!J$7),IF(AND($I354="NOVO",MONTH($O354)=MONTH(BA$4)),AM354*(1+Macroindicadores!J$7),IF(AND($J354="PONTUAL",MONTH($O354)=MONTH(BA$4)),AM354*(1+Macroindicadores!J$7),IF(AND($J354="PONTUAL",MONTH($O354)&lt;MONTH(BA$4)),MIN($AS354:AZ354),IF(AND($I354="NOVO",MONTH($O354)&gt;MONTH(BA$4)),AM354,IF(MONTH($O354)&gt;MONTH(BA$4),AM354,IF(MONTH($O354)=MONTH(BA$4),AM354*(1+Macroindicadores!J$7),AZ354)))))))))</f>
        <v>0.1176</v>
      </c>
      <c r="BB354" s="39">
        <f>IF(ISBLANK(Z354),"",IF(ISBLANK($O354),AN354,IF($J354="ANUAL",AN354*(1+Macroindicadores!K$7),IF(AND($I354="NOVO",MONTH($O354)=MONTH(BB$4)),AN354*(1+Macroindicadores!K$7),IF(AND($J354="PONTUAL",MONTH($O354)=MONTH(BB$4)),AN354*(1+Macroindicadores!K$7),IF(AND($J354="PONTUAL",MONTH($O354)&lt;MONTH(BB$4)),MIN($AS354:BA354),IF(AND($I354="NOVO",MONTH($O354)&gt;MONTH(BB$4)),AN354,IF(MONTH($O354)&gt;MONTH(BB$4),AN354,IF(MONTH($O354)=MONTH(BB$4),AN354*(1+Macroindicadores!K$7),BA354)))))))))</f>
        <v>0.1176</v>
      </c>
      <c r="BC354" s="39">
        <f>IF(ISBLANK(AA354),"",IF(ISBLANK($O354),AO354,IF($J354="ANUAL",AO354*(1+Macroindicadores!L$7),IF(AND($I354="NOVO",MONTH($O354)=MONTH(BC$4)),AO354*(1+Macroindicadores!L$7),IF(AND($J354="PONTUAL",MONTH($O354)=MONTH(BC$4)),AO354*(1+Macroindicadores!L$7),IF(AND($J354="PONTUAL",MONTH($O354)&lt;MONTH(BC$4)),MIN($AS354:BB354),IF(AND($I354="NOVO",MONTH($O354)&gt;MONTH(BC$4)),AO354,IF(MONTH($O354)&gt;MONTH(BC$4),AO354,IF(MONTH($O354)=MONTH(BC$4),AO354*(1+Macroindicadores!L$7),BB354)))))))))</f>
        <v>0.1176</v>
      </c>
      <c r="BD354" s="39">
        <f>IF(ISBLANK(AB354),"",IF(ISBLANK($O354),AP354,IF($J354="ANUAL",AP354*(1+Macroindicadores!M$7),IF(AND($I354="NOVO",MONTH($O354)=MONTH(BD$4)),AP354*(1+Macroindicadores!M$7),IF(AND($J354="PONTUAL",MONTH($O354)=MONTH(BD$4)),AP354*(1+Macroindicadores!M$7),IF(AND($J354="PONTUAL",MONTH($O354)&lt;MONTH(BD$4)),MIN($AS354:BC354),IF(AND($I354="NOVO",MONTH($O354)&gt;MONTH(BD$4)),AP354,IF(MONTH($O354)&gt;MONTH(BD$4),AP354,IF(MONTH($O354)=MONTH(BD$4),AP354*(1+Macroindicadores!M$7),BC354)))))))))</f>
        <v>0.1176</v>
      </c>
      <c r="BE354" s="40">
        <f t="shared" ref="BE354" si="160">IF(AND(ISBLANK($Q354),ISBLANK($R354),ISBLANK($S354),ISBLANK($T354),ISBLANK($U354),ISBLANK($V354),ISBLANK($W354),ISBLANK($X354),ISBLANK($Y354),ISBLANK($Z354),ISBLANK($AA354),ISBLANK($AB354)),"",SUM(AS354:BD354))</f>
        <v>1.4111999999999998</v>
      </c>
      <c r="BG354" s="39">
        <f>IF(ISBLANK(Q354),"",AS354/Macroindicadores!B$2)</f>
        <v>0.02</v>
      </c>
      <c r="BH354" s="39">
        <f>IF(ISBLANK(R354),"",AT354/Macroindicadores!C$2)</f>
        <v>0.02</v>
      </c>
      <c r="BI354" s="39">
        <f>IF(ISBLANK(S354),"",AU354/Macroindicadores!D$2)</f>
        <v>0.02</v>
      </c>
      <c r="BJ354" s="39">
        <f>IF(ISBLANK(T354),"",AV354/Macroindicadores!E$2)</f>
        <v>0.02</v>
      </c>
      <c r="BK354" s="39">
        <f>IF(ISBLANK(U354),"",AW354/Macroindicadores!F$2)</f>
        <v>0.02</v>
      </c>
      <c r="BL354" s="39">
        <f>IF(ISBLANK(V354),"",AX354/Macroindicadores!G$2)</f>
        <v>0.02</v>
      </c>
      <c r="BM354" s="39">
        <f>IF(ISBLANK(W354),"",AY354/Macroindicadores!H$2)</f>
        <v>0.02</v>
      </c>
      <c r="BN354" s="39">
        <f>IF(ISBLANK(X354),"",AZ354/Macroindicadores!I$2)</f>
        <v>0.02</v>
      </c>
      <c r="BO354" s="39">
        <f>IF(ISBLANK(Y354),"",BA354/Macroindicadores!J$2)</f>
        <v>0.02</v>
      </c>
      <c r="BP354" s="39">
        <f>IF(ISBLANK(Z354),"",BB354/Macroindicadores!K$2)</f>
        <v>0.02</v>
      </c>
      <c r="BQ354" s="39">
        <f>IF(ISBLANK(AA354),"",BC354/Macroindicadores!L$2)</f>
        <v>0.02</v>
      </c>
      <c r="BR354" s="39">
        <f>IF(ISBLANK(AB354),"",BD354/Macroindicadores!M$2)</f>
        <v>0.02</v>
      </c>
      <c r="BS354" s="40">
        <f t="shared" ref="BS354" si="161">IF(AND(ISBLANK($Q354),ISBLANK($R354),ISBLANK($S354),ISBLANK($T354),ISBLANK($U354),ISBLANK($V354),ISBLANK($W354),ISBLANK($X354),ISBLANK($Y354),ISBLANK($Z354),ISBLANK($AA354),ISBLANK($AB354)),"",SUM(BG354:BR354))</f>
        <v>0.23999999999999996</v>
      </c>
    </row>
    <row r="355" spans="3:71">
      <c r="C355" s="111" t="s">
        <v>336</v>
      </c>
      <c r="D355" s="111" t="s">
        <v>337</v>
      </c>
      <c r="E355" s="111" t="s">
        <v>14</v>
      </c>
      <c r="F355" s="112" t="s">
        <v>99</v>
      </c>
      <c r="G355" s="112" t="s">
        <v>123</v>
      </c>
      <c r="H355" s="112" t="s">
        <v>358</v>
      </c>
      <c r="I355" s="11" t="s">
        <v>84</v>
      </c>
      <c r="J355" s="11" t="s">
        <v>78</v>
      </c>
      <c r="K355" s="11" t="s">
        <v>86</v>
      </c>
      <c r="L355" s="11"/>
      <c r="M355" s="18" t="str">
        <f>IF(ISBLANK($L355),"",_xlfn.XLOOKUP($L355,'CENTRO CUSTO'!$A:$A,'CENTRO CUSTO'!D:D,FALSE,0))</f>
        <v/>
      </c>
      <c r="N355" s="113" t="s">
        <v>359</v>
      </c>
      <c r="O355" s="12"/>
      <c r="P355" s="113" t="s">
        <v>88</v>
      </c>
      <c r="Q355" s="41">
        <f>2940/12</f>
        <v>245</v>
      </c>
      <c r="R355" s="41">
        <f t="shared" ref="R355:AB355" si="162">2940/12</f>
        <v>245</v>
      </c>
      <c r="S355" s="41">
        <f t="shared" si="162"/>
        <v>245</v>
      </c>
      <c r="T355" s="41">
        <f t="shared" si="162"/>
        <v>245</v>
      </c>
      <c r="U355" s="41">
        <f t="shared" si="162"/>
        <v>245</v>
      </c>
      <c r="V355" s="41">
        <f t="shared" si="162"/>
        <v>245</v>
      </c>
      <c r="W355" s="41">
        <f t="shared" si="162"/>
        <v>245</v>
      </c>
      <c r="X355" s="41">
        <f t="shared" si="162"/>
        <v>245</v>
      </c>
      <c r="Y355" s="41">
        <f t="shared" si="162"/>
        <v>245</v>
      </c>
      <c r="Z355" s="41">
        <f t="shared" si="162"/>
        <v>245</v>
      </c>
      <c r="AA355" s="41">
        <f t="shared" si="162"/>
        <v>245</v>
      </c>
      <c r="AB355" s="41">
        <f t="shared" si="162"/>
        <v>245</v>
      </c>
      <c r="AC355" s="116">
        <f t="shared" ref="AC355:AC356" si="163">IF(AND(ISBLANK($Q355),ISBLANK($R355),ISBLANK($S355),ISBLANK($T355),ISBLANK($U355),ISBLANK($V355),ISBLANK($W355),ISBLANK($X355),ISBLANK($Y355),ISBLANK($Z355),ISBLANK($AA355),ISBLANK($AB355)),"",SUM(Q355:AB355))</f>
        <v>2940</v>
      </c>
      <c r="AE355" s="39">
        <f>IF(ISBLANK(Q355),"",IF($P355="BRL",Q355,Q355*Macroindicadores!B$2)/1000)</f>
        <v>1.4405999999999999</v>
      </c>
      <c r="AF355" s="39">
        <f>IF(ISBLANK(R355),"",IF($P355="BRL",R355,R355*Macroindicadores!C$2)/1000)</f>
        <v>1.4405999999999999</v>
      </c>
      <c r="AG355" s="39">
        <f>IF(ISBLANK(S355),"",IF($P355="BRL",S355,S355*Macroindicadores!D$2)/1000)</f>
        <v>1.4405999999999999</v>
      </c>
      <c r="AH355" s="39">
        <f>IF(ISBLANK(T355),"",IF($P355="BRL",T355,T355*Macroindicadores!E$2)/1000)</f>
        <v>1.4405999999999999</v>
      </c>
      <c r="AI355" s="39">
        <f>IF(ISBLANK(U355),"",IF($P355="BRL",U355,U355*Macroindicadores!F$2)/1000)</f>
        <v>1.4405999999999999</v>
      </c>
      <c r="AJ355" s="39">
        <f>IF(ISBLANK(V355),"",IF($P355="BRL",V355,V355*Macroindicadores!G$2)/1000)</f>
        <v>1.4405999999999999</v>
      </c>
      <c r="AK355" s="39">
        <f>IF(ISBLANK(W355),"",IF($P355="BRL",W355,W355*Macroindicadores!H$2)/1000)</f>
        <v>1.4405999999999999</v>
      </c>
      <c r="AL355" s="39">
        <f>IF(ISBLANK(X355),"",IF($P355="BRL",X355,X355*Macroindicadores!I$2)/1000)</f>
        <v>1.4405999999999999</v>
      </c>
      <c r="AM355" s="39">
        <f>IF(ISBLANK(Y355),"",IF($P355="BRL",Y355,Y355*Macroindicadores!J$2)/1000)</f>
        <v>1.4405999999999999</v>
      </c>
      <c r="AN355" s="39">
        <f>IF(ISBLANK(Z355),"",IF($P355="BRL",Z355,Z355*Macroindicadores!K$2)/1000)</f>
        <v>1.4405999999999999</v>
      </c>
      <c r="AO355" s="39">
        <f>IF(ISBLANK(AA355),"",IF($P355="BRL",AA355,AA355*Macroindicadores!L$2)/1000)</f>
        <v>1.4405999999999999</v>
      </c>
      <c r="AP355" s="39">
        <f>IF(ISBLANK(AB355),"",IF($P355="BRL",AB355,AB355*Macroindicadores!M$2)/1000)</f>
        <v>1.4405999999999999</v>
      </c>
      <c r="AQ355" s="40">
        <f t="shared" ref="AQ355:AQ356" si="164">IF(AND(ISBLANK($Q355),ISBLANK($R355),ISBLANK($S355),ISBLANK($T355),ISBLANK($U355),ISBLANK($V355),ISBLANK($W355),ISBLANK($X355),ISBLANK($Y355),ISBLANK($Z355),ISBLANK($AA355),ISBLANK($AB355)),"",SUM(AE355:AP355))</f>
        <v>17.287199999999999</v>
      </c>
      <c r="AS355" s="39">
        <f>IF(ISBLANK(Q355),"",IF(ISBLANK($O355),AE355,IF($J355="ANUAL",AE355*(1+Macroindicadores!B$7),IF(AND($I355="NOVO",MONTH($O355)=MONTH(AS$4)),AE355*(1+Macroindicadores!B$7),IF(AND($J355="PONTUAL",MONTH($O355)=MONTH(AS$4)),AE355*(1+Macroindicadores!B$7),IF(AND($J355="PONTUAL",MONTH($O355)&lt;MONTH(AS$4)),MIN(AR355:$AS355),IF(AND($I355="NOVO",MONTH($O355)&gt;MONTH(AS$4)),AE355,IF(MONTH($O355)&gt;MONTH(AS$4),AE355,IF(MONTH($O355)=MONTH(AS$4),AE355*(1+Macroindicadores!B$7),AR355)))))))))</f>
        <v>1.4405999999999999</v>
      </c>
      <c r="AT355" s="39">
        <f>IF(ISBLANK(R355),"",IF(ISBLANK($O355),AF355,IF($J355="ANUAL",AF355*(1+Macroindicadores!C$7),IF(AND($I355="NOVO",MONTH($O355)=MONTH(AT$4)),AF355*(1+Macroindicadores!C$7),IF(AND($J355="PONTUAL",MONTH($O355)=MONTH(AT$4)),AF355*(1+Macroindicadores!C$7),IF(AND($J355="PONTUAL",MONTH($O355)&lt;MONTH(AT$4)),MIN($AS355:AS355),IF(AND($I355="NOVO",MONTH($O355)&gt;MONTH(AT$4)),AF355,IF(MONTH($O355)&gt;MONTH(AT$4),AF355,IF(MONTH($O355)=MONTH(AT$4),AF355*(1+Macroindicadores!C$7),AS355)))))))))</f>
        <v>1.4405999999999999</v>
      </c>
      <c r="AU355" s="39">
        <f>IF(ISBLANK(S355),"",IF(ISBLANK($O355),AG355,IF($J355="ANUAL",AG355*(1+Macroindicadores!D$7),IF(AND($I355="NOVO",MONTH($O355)=MONTH(AU$4)),AG355*(1+Macroindicadores!D$7),IF(AND($J355="PONTUAL",MONTH($O355)=MONTH(AU$4)),AG355*(1+Macroindicadores!D$7),IF(AND($J355="PONTUAL",MONTH($O355)&lt;MONTH(AU$4)),MIN($AS355:AT355),IF(AND($I355="NOVO",MONTH($O355)&gt;MONTH(AU$4)),AG355,IF(MONTH($O355)&gt;MONTH(AU$4),AG355,IF(MONTH($O355)=MONTH(AU$4),AG355*(1+Macroindicadores!D$7),AT355)))))))))</f>
        <v>1.4405999999999999</v>
      </c>
      <c r="AV355" s="39">
        <f>IF(ISBLANK(T355),"",IF(ISBLANK($O355),AH355,IF($J355="ANUAL",AH355*(1+Macroindicadores!E$7),IF(AND($I355="NOVO",MONTH($O355)=MONTH(AV$4)),AH355*(1+Macroindicadores!E$7),IF(AND($J355="PONTUAL",MONTH($O355)=MONTH(AV$4)),AH355*(1+Macroindicadores!E$7),IF(AND($J355="PONTUAL",MONTH($O355)&lt;MONTH(AV$4)),MIN($AS355:AU355),IF(AND($I355="NOVO",MONTH($O355)&gt;MONTH(AV$4)),AH355,IF(MONTH($O355)&gt;MONTH(AV$4),AH355,IF(MONTH($O355)=MONTH(AV$4),AH355*(1+Macroindicadores!E$7),AU355)))))))))</f>
        <v>1.4405999999999999</v>
      </c>
      <c r="AW355" s="39">
        <f>IF(ISBLANK(U355),"",IF(ISBLANK($O355),AI355,IF($J355="ANUAL",AI355*(1+Macroindicadores!F$7),IF(AND($I355="NOVO",MONTH($O355)=MONTH(AW$4)),AI355*(1+Macroindicadores!F$7),IF(AND($J355="PONTUAL",MONTH($O355)=MONTH(AW$4)),AI355*(1+Macroindicadores!F$7),IF(AND($J355="PONTUAL",MONTH($O355)&lt;MONTH(AW$4)),MIN($AS355:AV355),IF(AND($I355="NOVO",MONTH($O355)&gt;MONTH(AW$4)),AI355,IF(MONTH($O355)&gt;MONTH(AW$4),AI355,IF(MONTH($O355)=MONTH(AW$4),AI355*(1+Macroindicadores!F$7),AV355)))))))))</f>
        <v>1.4405999999999999</v>
      </c>
      <c r="AX355" s="39">
        <f>IF(ISBLANK(V355),"",IF(ISBLANK($O355),AJ355,IF($J355="ANUAL",AJ355*(1+Macroindicadores!G$7),IF(AND($I355="NOVO",MONTH($O355)=MONTH(AX$4)),AJ355*(1+Macroindicadores!G$7),IF(AND($J355="PONTUAL",MONTH($O355)=MONTH(AX$4)),AJ355*(1+Macroindicadores!G$7),IF(AND($J355="PONTUAL",MONTH($O355)&lt;MONTH(AX$4)),MIN($AS355:AW355),IF(AND($I355="NOVO",MONTH($O355)&gt;MONTH(AX$4)),AJ355,IF(MONTH($O355)&gt;MONTH(AX$4),AJ355,IF(MONTH($O355)=MONTH(AX$4),AJ355*(1+Macroindicadores!G$7),AW355)))))))))</f>
        <v>1.4405999999999999</v>
      </c>
      <c r="AY355" s="39">
        <f>IF(ISBLANK(W355),"",IF(ISBLANK($O355),AK355,IF($J355="ANUAL",AK355*(1+Macroindicadores!H$7),IF(AND($I355="NOVO",MONTH($O355)=MONTH(AY$4)),AK355*(1+Macroindicadores!H$7),IF(AND($J355="PONTUAL",MONTH($O355)=MONTH(AY$4)),AK355*(1+Macroindicadores!H$7),IF(AND($J355="PONTUAL",MONTH($O355)&lt;MONTH(AY$4)),MIN($AS355:AX355),IF(AND($I355="NOVO",MONTH($O355)&gt;MONTH(AY$4)),AK355,IF(MONTH($O355)&gt;MONTH(AY$4),AK355,IF(MONTH($O355)=MONTH(AY$4),AK355*(1+Macroindicadores!H$7),AX355)))))))))</f>
        <v>1.4405999999999999</v>
      </c>
      <c r="AZ355" s="39">
        <f>IF(ISBLANK(X355),"",IF(ISBLANK($O355),AL355,IF($J355="ANUAL",AL355*(1+Macroindicadores!I$7),IF(AND($I355="NOVO",MONTH($O355)=MONTH(AZ$4)),AL355*(1+Macroindicadores!I$7),IF(AND($J355="PONTUAL",MONTH($O355)=MONTH(AZ$4)),AL355*(1+Macroindicadores!I$7),IF(AND($J355="PONTUAL",MONTH($O355)&lt;MONTH(AZ$4)),MIN($AS355:AY355),IF(AND($I355="NOVO",MONTH($O355)&gt;MONTH(AZ$4)),AL355,IF(MONTH($O355)&gt;MONTH(AZ$4),AL355,IF(MONTH($O355)=MONTH(AZ$4),AL355*(1+Macroindicadores!I$7),AY355)))))))))</f>
        <v>1.4405999999999999</v>
      </c>
      <c r="BA355" s="39">
        <f>IF(ISBLANK(Y355),"",IF(ISBLANK($O355),AM355,IF($J355="ANUAL",AM355*(1+Macroindicadores!J$7),IF(AND($I355="NOVO",MONTH($O355)=MONTH(BA$4)),AM355*(1+Macroindicadores!J$7),IF(AND($J355="PONTUAL",MONTH($O355)=MONTH(BA$4)),AM355*(1+Macroindicadores!J$7),IF(AND($J355="PONTUAL",MONTH($O355)&lt;MONTH(BA$4)),MIN($AS355:AZ355),IF(AND($I355="NOVO",MONTH($O355)&gt;MONTH(BA$4)),AM355,IF(MONTH($O355)&gt;MONTH(BA$4),AM355,IF(MONTH($O355)=MONTH(BA$4),AM355*(1+Macroindicadores!J$7),AZ355)))))))))</f>
        <v>1.4405999999999999</v>
      </c>
      <c r="BB355" s="39">
        <f>IF(ISBLANK(Z355),"",IF(ISBLANK($O355),AN355,IF($J355="ANUAL",AN355*(1+Macroindicadores!K$7),IF(AND($I355="NOVO",MONTH($O355)=MONTH(BB$4)),AN355*(1+Macroindicadores!K$7),IF(AND($J355="PONTUAL",MONTH($O355)=MONTH(BB$4)),AN355*(1+Macroindicadores!K$7),IF(AND($J355="PONTUAL",MONTH($O355)&lt;MONTH(BB$4)),MIN($AS355:BA355),IF(AND($I355="NOVO",MONTH($O355)&gt;MONTH(BB$4)),AN355,IF(MONTH($O355)&gt;MONTH(BB$4),AN355,IF(MONTH($O355)=MONTH(BB$4),AN355*(1+Macroindicadores!K$7),BA355)))))))))</f>
        <v>1.4405999999999999</v>
      </c>
      <c r="BC355" s="39">
        <f>IF(ISBLANK(AA355),"",IF(ISBLANK($O355),AO355,IF($J355="ANUAL",AO355*(1+Macroindicadores!L$7),IF(AND($I355="NOVO",MONTH($O355)=MONTH(BC$4)),AO355*(1+Macroindicadores!L$7),IF(AND($J355="PONTUAL",MONTH($O355)=MONTH(BC$4)),AO355*(1+Macroindicadores!L$7),IF(AND($J355="PONTUAL",MONTH($O355)&lt;MONTH(BC$4)),MIN($AS355:BB355),IF(AND($I355="NOVO",MONTH($O355)&gt;MONTH(BC$4)),AO355,IF(MONTH($O355)&gt;MONTH(BC$4),AO355,IF(MONTH($O355)=MONTH(BC$4),AO355*(1+Macroindicadores!L$7),BB355)))))))))</f>
        <v>1.4405999999999999</v>
      </c>
      <c r="BD355" s="39">
        <f>IF(ISBLANK(AB355),"",IF(ISBLANK($O355),AP355,IF($J355="ANUAL",AP355*(1+Macroindicadores!M$7),IF(AND($I355="NOVO",MONTH($O355)=MONTH(BD$4)),AP355*(1+Macroindicadores!M$7),IF(AND($J355="PONTUAL",MONTH($O355)=MONTH(BD$4)),AP355*(1+Macroindicadores!M$7),IF(AND($J355="PONTUAL",MONTH($O355)&lt;MONTH(BD$4)),MIN($AS355:BC355),IF(AND($I355="NOVO",MONTH($O355)&gt;MONTH(BD$4)),AP355,IF(MONTH($O355)&gt;MONTH(BD$4),AP355,IF(MONTH($O355)=MONTH(BD$4),AP355*(1+Macroindicadores!M$7),BC355)))))))))</f>
        <v>1.4405999999999999</v>
      </c>
      <c r="BE355" s="40">
        <f t="shared" ref="BE355:BE356" si="165">IF(AND(ISBLANK($Q355),ISBLANK($R355),ISBLANK($S355),ISBLANK($T355),ISBLANK($U355),ISBLANK($V355),ISBLANK($W355),ISBLANK($X355),ISBLANK($Y355),ISBLANK($Z355),ISBLANK($AA355),ISBLANK($AB355)),"",SUM(AS355:BD355))</f>
        <v>17.287199999999999</v>
      </c>
      <c r="BG355" s="39">
        <f>IF(ISBLANK(Q355),"",AS355/Macroindicadores!B$2)</f>
        <v>0.245</v>
      </c>
      <c r="BH355" s="39">
        <f>IF(ISBLANK(R355),"",AT355/Macroindicadores!C$2)</f>
        <v>0.245</v>
      </c>
      <c r="BI355" s="39">
        <f>IF(ISBLANK(S355),"",AU355/Macroindicadores!D$2)</f>
        <v>0.245</v>
      </c>
      <c r="BJ355" s="39">
        <f>IF(ISBLANK(T355),"",AV355/Macroindicadores!E$2)</f>
        <v>0.245</v>
      </c>
      <c r="BK355" s="39">
        <f>IF(ISBLANK(U355),"",AW355/Macroindicadores!F$2)</f>
        <v>0.245</v>
      </c>
      <c r="BL355" s="39">
        <f>IF(ISBLANK(V355),"",AX355/Macroindicadores!G$2)</f>
        <v>0.245</v>
      </c>
      <c r="BM355" s="39">
        <f>IF(ISBLANK(W355),"",AY355/Macroindicadores!H$2)</f>
        <v>0.245</v>
      </c>
      <c r="BN355" s="39">
        <f>IF(ISBLANK(X355),"",AZ355/Macroindicadores!I$2)</f>
        <v>0.245</v>
      </c>
      <c r="BO355" s="39">
        <f>IF(ISBLANK(Y355),"",BA355/Macroindicadores!J$2)</f>
        <v>0.245</v>
      </c>
      <c r="BP355" s="39">
        <f>IF(ISBLANK(Z355),"",BB355/Macroindicadores!K$2)</f>
        <v>0.245</v>
      </c>
      <c r="BQ355" s="39">
        <f>IF(ISBLANK(AA355),"",BC355/Macroindicadores!L$2)</f>
        <v>0.245</v>
      </c>
      <c r="BR355" s="39">
        <f>IF(ISBLANK(AB355),"",BD355/Macroindicadores!M$2)</f>
        <v>0.245</v>
      </c>
      <c r="BS355" s="40">
        <f t="shared" ref="BS355:BS356" si="166">IF(AND(ISBLANK($Q355),ISBLANK($R355),ISBLANK($S355),ISBLANK($T355),ISBLANK($U355),ISBLANK($V355),ISBLANK($W355),ISBLANK($X355),ISBLANK($Y355),ISBLANK($Z355),ISBLANK($AA355),ISBLANK($AB355)),"",SUM(BG355:BR355))</f>
        <v>2.9400000000000008</v>
      </c>
    </row>
    <row r="356" spans="3:71">
      <c r="C356" s="111" t="s">
        <v>336</v>
      </c>
      <c r="D356" s="111" t="s">
        <v>337</v>
      </c>
      <c r="E356" s="111" t="s">
        <v>14</v>
      </c>
      <c r="F356" s="112" t="s">
        <v>99</v>
      </c>
      <c r="G356" s="112" t="s">
        <v>123</v>
      </c>
      <c r="H356" s="112" t="s">
        <v>360</v>
      </c>
      <c r="I356" s="11" t="s">
        <v>84</v>
      </c>
      <c r="J356" s="11" t="s">
        <v>78</v>
      </c>
      <c r="K356" s="11" t="s">
        <v>86</v>
      </c>
      <c r="L356" s="11"/>
      <c r="M356" s="18" t="str">
        <f>IF(ISBLANK($L356),"",_xlfn.XLOOKUP($L356,'CENTRO CUSTO'!$A:$A,'CENTRO CUSTO'!D:D,FALSE,0))</f>
        <v/>
      </c>
      <c r="N356" s="113" t="s">
        <v>158</v>
      </c>
      <c r="O356" s="12" t="s">
        <v>361</v>
      </c>
      <c r="P356" s="113" t="s">
        <v>88</v>
      </c>
      <c r="Q356" s="41">
        <f>80</f>
        <v>80</v>
      </c>
      <c r="R356" s="41">
        <f>80</f>
        <v>80</v>
      </c>
      <c r="S356" s="41">
        <f>80</f>
        <v>80</v>
      </c>
      <c r="T356" s="41">
        <f>80</f>
        <v>80</v>
      </c>
      <c r="U356" s="41">
        <f>80</f>
        <v>80</v>
      </c>
      <c r="V356" s="41">
        <f>80</f>
        <v>80</v>
      </c>
      <c r="W356" s="41">
        <f>80</f>
        <v>80</v>
      </c>
      <c r="X356" s="41">
        <f>80</f>
        <v>80</v>
      </c>
      <c r="Y356" s="41">
        <f>80</f>
        <v>80</v>
      </c>
      <c r="Z356" s="41">
        <f>80</f>
        <v>80</v>
      </c>
      <c r="AA356" s="41">
        <f>80</f>
        <v>80</v>
      </c>
      <c r="AB356" s="41">
        <f>80</f>
        <v>80</v>
      </c>
      <c r="AC356" s="116">
        <f t="shared" si="163"/>
        <v>960</v>
      </c>
      <c r="AE356" s="39">
        <f>IF(ISBLANK(Q356),"",IF($P356="BRL",Q356,Q356*Macroindicadores!B$2)/1000)</f>
        <v>0.47039999999999998</v>
      </c>
      <c r="AF356" s="39">
        <f>IF(ISBLANK(R356),"",IF($P356="BRL",R356,R356*Macroindicadores!C$2)/1000)</f>
        <v>0.47039999999999998</v>
      </c>
      <c r="AG356" s="39">
        <f>IF(ISBLANK(S356),"",IF($P356="BRL",S356,S356*Macroindicadores!D$2)/1000)</f>
        <v>0.47039999999999998</v>
      </c>
      <c r="AH356" s="39">
        <f>IF(ISBLANK(T356),"",IF($P356="BRL",T356,T356*Macroindicadores!E$2)/1000)</f>
        <v>0.47039999999999998</v>
      </c>
      <c r="AI356" s="39">
        <f>IF(ISBLANK(U356),"",IF($P356="BRL",U356,U356*Macroindicadores!F$2)/1000)</f>
        <v>0.47039999999999998</v>
      </c>
      <c r="AJ356" s="39">
        <f>IF(ISBLANK(V356),"",IF($P356="BRL",V356,V356*Macroindicadores!G$2)/1000)</f>
        <v>0.47039999999999998</v>
      </c>
      <c r="AK356" s="39">
        <f>IF(ISBLANK(W356),"",IF($P356="BRL",W356,W356*Macroindicadores!H$2)/1000)</f>
        <v>0.47039999999999998</v>
      </c>
      <c r="AL356" s="39">
        <f>IF(ISBLANK(X356),"",IF($P356="BRL",X356,X356*Macroindicadores!I$2)/1000)</f>
        <v>0.47039999999999998</v>
      </c>
      <c r="AM356" s="39">
        <f>IF(ISBLANK(Y356),"",IF($P356="BRL",Y356,Y356*Macroindicadores!J$2)/1000)</f>
        <v>0.47039999999999998</v>
      </c>
      <c r="AN356" s="39">
        <f>IF(ISBLANK(Z356),"",IF($P356="BRL",Z356,Z356*Macroindicadores!K$2)/1000)</f>
        <v>0.47039999999999998</v>
      </c>
      <c r="AO356" s="39">
        <f>IF(ISBLANK(AA356),"",IF($P356="BRL",AA356,AA356*Macroindicadores!L$2)/1000)</f>
        <v>0.47039999999999998</v>
      </c>
      <c r="AP356" s="39">
        <f>IF(ISBLANK(AB356),"",IF($P356="BRL",AB356,AB356*Macroindicadores!M$2)/1000)</f>
        <v>0.47039999999999998</v>
      </c>
      <c r="AQ356" s="40">
        <f t="shared" si="164"/>
        <v>5.6447999999999992</v>
      </c>
      <c r="AS356" s="39" t="e">
        <f>IF(ISBLANK(Q356),"",IF(ISBLANK($O356),AE356,IF($J356="ANUAL",AE356*(1+Macroindicadores!B$7),IF(AND($I356="NOVO",MONTH($O356)=MONTH(AS$4)),AE356*(1+Macroindicadores!B$7),IF(AND($J356="PONTUAL",MONTH($O356)=MONTH(AS$4)),AE356*(1+Macroindicadores!B$7),IF(AND($J356="PONTUAL",MONTH($O356)&lt;MONTH(AS$4)),MIN(AR356:$AS356),IF(AND($I356="NOVO",MONTH($O356)&gt;MONTH(AS$4)),AE356,IF(MONTH($O356)&gt;MONTH(AS$4),AE356,IF(MONTH($O356)=MONTH(AS$4),AE356*(1+Macroindicadores!B$7),AR356)))))))))</f>
        <v>#VALUE!</v>
      </c>
      <c r="AT356" s="39" t="e">
        <f>IF(ISBLANK(R356),"",IF(ISBLANK($O356),AF356,IF($J356="ANUAL",AF356*(1+Macroindicadores!C$7),IF(AND($I356="NOVO",MONTH($O356)=MONTH(AT$4)),AF356*(1+Macroindicadores!C$7),IF(AND($J356="PONTUAL",MONTH($O356)=MONTH(AT$4)),AF356*(1+Macroindicadores!C$7),IF(AND($J356="PONTUAL",MONTH($O356)&lt;MONTH(AT$4)),MIN($AS356:AS356),IF(AND($I356="NOVO",MONTH($O356)&gt;MONTH(AT$4)),AF356,IF(MONTH($O356)&gt;MONTH(AT$4),AF356,IF(MONTH($O356)=MONTH(AT$4),AF356*(1+Macroindicadores!C$7),AS356)))))))))</f>
        <v>#VALUE!</v>
      </c>
      <c r="AU356" s="39" t="e">
        <f>IF(ISBLANK(S356),"",IF(ISBLANK($O356),AG356,IF($J356="ANUAL",AG356*(1+Macroindicadores!D$7),IF(AND($I356="NOVO",MONTH($O356)=MONTH(AU$4)),AG356*(1+Macroindicadores!D$7),IF(AND($J356="PONTUAL",MONTH($O356)=MONTH(AU$4)),AG356*(1+Macroindicadores!D$7),IF(AND($J356="PONTUAL",MONTH($O356)&lt;MONTH(AU$4)),MIN($AS356:AT356),IF(AND($I356="NOVO",MONTH($O356)&gt;MONTH(AU$4)),AG356,IF(MONTH($O356)&gt;MONTH(AU$4),AG356,IF(MONTH($O356)=MONTH(AU$4),AG356*(1+Macroindicadores!D$7),AT356)))))))))</f>
        <v>#VALUE!</v>
      </c>
      <c r="AV356" s="39" t="e">
        <f>IF(ISBLANK(T356),"",IF(ISBLANK($O356),AH356,IF($J356="ANUAL",AH356*(1+Macroindicadores!E$7),IF(AND($I356="NOVO",MONTH($O356)=MONTH(AV$4)),AH356*(1+Macroindicadores!E$7),IF(AND($J356="PONTUAL",MONTH($O356)=MONTH(AV$4)),AH356*(1+Macroindicadores!E$7),IF(AND($J356="PONTUAL",MONTH($O356)&lt;MONTH(AV$4)),MIN($AS356:AU356),IF(AND($I356="NOVO",MONTH($O356)&gt;MONTH(AV$4)),AH356,IF(MONTH($O356)&gt;MONTH(AV$4),AH356,IF(MONTH($O356)=MONTH(AV$4),AH356*(1+Macroindicadores!E$7),AU356)))))))))</f>
        <v>#VALUE!</v>
      </c>
      <c r="AW356" s="39" t="e">
        <f>IF(ISBLANK(U356),"",IF(ISBLANK($O356),AI356,IF($J356="ANUAL",AI356*(1+Macroindicadores!F$7),IF(AND($I356="NOVO",MONTH($O356)=MONTH(AW$4)),AI356*(1+Macroindicadores!F$7),IF(AND($J356="PONTUAL",MONTH($O356)=MONTH(AW$4)),AI356*(1+Macroindicadores!F$7),IF(AND($J356="PONTUAL",MONTH($O356)&lt;MONTH(AW$4)),MIN($AS356:AV356),IF(AND($I356="NOVO",MONTH($O356)&gt;MONTH(AW$4)),AI356,IF(MONTH($O356)&gt;MONTH(AW$4),AI356,IF(MONTH($O356)=MONTH(AW$4),AI356*(1+Macroindicadores!F$7),AV356)))))))))</f>
        <v>#VALUE!</v>
      </c>
      <c r="AX356" s="39" t="e">
        <f>IF(ISBLANK(V356),"",IF(ISBLANK($O356),AJ356,IF($J356="ANUAL",AJ356*(1+Macroindicadores!G$7),IF(AND($I356="NOVO",MONTH($O356)=MONTH(AX$4)),AJ356*(1+Macroindicadores!G$7),IF(AND($J356="PONTUAL",MONTH($O356)=MONTH(AX$4)),AJ356*(1+Macroindicadores!G$7),IF(AND($J356="PONTUAL",MONTH($O356)&lt;MONTH(AX$4)),MIN($AS356:AW356),IF(AND($I356="NOVO",MONTH($O356)&gt;MONTH(AX$4)),AJ356,IF(MONTH($O356)&gt;MONTH(AX$4),AJ356,IF(MONTH($O356)=MONTH(AX$4),AJ356*(1+Macroindicadores!G$7),AW356)))))))))</f>
        <v>#VALUE!</v>
      </c>
      <c r="AY356" s="39" t="e">
        <f>IF(ISBLANK(W356),"",IF(ISBLANK($O356),AK356,IF($J356="ANUAL",AK356*(1+Macroindicadores!H$7),IF(AND($I356="NOVO",MONTH($O356)=MONTH(AY$4)),AK356*(1+Macroindicadores!H$7),IF(AND($J356="PONTUAL",MONTH($O356)=MONTH(AY$4)),AK356*(1+Macroindicadores!H$7),IF(AND($J356="PONTUAL",MONTH($O356)&lt;MONTH(AY$4)),MIN($AS356:AX356),IF(AND($I356="NOVO",MONTH($O356)&gt;MONTH(AY$4)),AK356,IF(MONTH($O356)&gt;MONTH(AY$4),AK356,IF(MONTH($O356)=MONTH(AY$4),AK356*(1+Macroindicadores!H$7),AX356)))))))))</f>
        <v>#VALUE!</v>
      </c>
      <c r="AZ356" s="39" t="e">
        <f>IF(ISBLANK(X356),"",IF(ISBLANK($O356),AL356,IF($J356="ANUAL",AL356*(1+Macroindicadores!I$7),IF(AND($I356="NOVO",MONTH($O356)=MONTH(AZ$4)),AL356*(1+Macroindicadores!I$7),IF(AND($J356="PONTUAL",MONTH($O356)=MONTH(AZ$4)),AL356*(1+Macroindicadores!I$7),IF(AND($J356="PONTUAL",MONTH($O356)&lt;MONTH(AZ$4)),MIN($AS356:AY356),IF(AND($I356="NOVO",MONTH($O356)&gt;MONTH(AZ$4)),AL356,IF(MONTH($O356)&gt;MONTH(AZ$4),AL356,IF(MONTH($O356)=MONTH(AZ$4),AL356*(1+Macroindicadores!I$7),AY356)))))))))</f>
        <v>#VALUE!</v>
      </c>
      <c r="BA356" s="39" t="e">
        <f>IF(ISBLANK(Y356),"",IF(ISBLANK($O356),AM356,IF($J356="ANUAL",AM356*(1+Macroindicadores!J$7),IF(AND($I356="NOVO",MONTH($O356)=MONTH(BA$4)),AM356*(1+Macroindicadores!J$7),IF(AND($J356="PONTUAL",MONTH($O356)=MONTH(BA$4)),AM356*(1+Macroindicadores!J$7),IF(AND($J356="PONTUAL",MONTH($O356)&lt;MONTH(BA$4)),MIN($AS356:AZ356),IF(AND($I356="NOVO",MONTH($O356)&gt;MONTH(BA$4)),AM356,IF(MONTH($O356)&gt;MONTH(BA$4),AM356,IF(MONTH($O356)=MONTH(BA$4),AM356*(1+Macroindicadores!J$7),AZ356)))))))))</f>
        <v>#VALUE!</v>
      </c>
      <c r="BB356" s="39" t="e">
        <f>IF(ISBLANK(Z356),"",IF(ISBLANK($O356),AN356,IF($J356="ANUAL",AN356*(1+Macroindicadores!K$7),IF(AND($I356="NOVO",MONTH($O356)=MONTH(BB$4)),AN356*(1+Macroindicadores!K$7),IF(AND($J356="PONTUAL",MONTH($O356)=MONTH(BB$4)),AN356*(1+Macroindicadores!K$7),IF(AND($J356="PONTUAL",MONTH($O356)&lt;MONTH(BB$4)),MIN($AS356:BA356),IF(AND($I356="NOVO",MONTH($O356)&gt;MONTH(BB$4)),AN356,IF(MONTH($O356)&gt;MONTH(BB$4),AN356,IF(MONTH($O356)=MONTH(BB$4),AN356*(1+Macroindicadores!K$7),BA356)))))))))</f>
        <v>#VALUE!</v>
      </c>
      <c r="BC356" s="39" t="e">
        <f>IF(ISBLANK(AA356),"",IF(ISBLANK($O356),AO356,IF($J356="ANUAL",AO356*(1+Macroindicadores!L$7),IF(AND($I356="NOVO",MONTH($O356)=MONTH(BC$4)),AO356*(1+Macroindicadores!L$7),IF(AND($J356="PONTUAL",MONTH($O356)=MONTH(BC$4)),AO356*(1+Macroindicadores!L$7),IF(AND($J356="PONTUAL",MONTH($O356)&lt;MONTH(BC$4)),MIN($AS356:BB356),IF(AND($I356="NOVO",MONTH($O356)&gt;MONTH(BC$4)),AO356,IF(MONTH($O356)&gt;MONTH(BC$4),AO356,IF(MONTH($O356)=MONTH(BC$4),AO356*(1+Macroindicadores!L$7),BB356)))))))))</f>
        <v>#VALUE!</v>
      </c>
      <c r="BD356" s="39" t="e">
        <f>IF(ISBLANK(AB356),"",IF(ISBLANK($O356),AP356,IF($J356="ANUAL",AP356*(1+Macroindicadores!M$7),IF(AND($I356="NOVO",MONTH($O356)=MONTH(BD$4)),AP356*(1+Macroindicadores!M$7),IF(AND($J356="PONTUAL",MONTH($O356)=MONTH(BD$4)),AP356*(1+Macroindicadores!M$7),IF(AND($J356="PONTUAL",MONTH($O356)&lt;MONTH(BD$4)),MIN($AS356:BC356),IF(AND($I356="NOVO",MONTH($O356)&gt;MONTH(BD$4)),AP356,IF(MONTH($O356)&gt;MONTH(BD$4),AP356,IF(MONTH($O356)=MONTH(BD$4),AP356*(1+Macroindicadores!M$7),BC356)))))))))</f>
        <v>#VALUE!</v>
      </c>
      <c r="BE356" s="40" t="e">
        <f t="shared" si="165"/>
        <v>#VALUE!</v>
      </c>
      <c r="BG356" s="39" t="e">
        <f>IF(ISBLANK(Q356),"",AS356/Macroindicadores!B$2)</f>
        <v>#VALUE!</v>
      </c>
      <c r="BH356" s="39" t="e">
        <f>IF(ISBLANK(R356),"",AT356/Macroindicadores!C$2)</f>
        <v>#VALUE!</v>
      </c>
      <c r="BI356" s="39" t="e">
        <f>IF(ISBLANK(S356),"",AU356/Macroindicadores!D$2)</f>
        <v>#VALUE!</v>
      </c>
      <c r="BJ356" s="39" t="e">
        <f>IF(ISBLANK(T356),"",AV356/Macroindicadores!E$2)</f>
        <v>#VALUE!</v>
      </c>
      <c r="BK356" s="39" t="e">
        <f>IF(ISBLANK(U356),"",AW356/Macroindicadores!F$2)</f>
        <v>#VALUE!</v>
      </c>
      <c r="BL356" s="39" t="e">
        <f>IF(ISBLANK(V356),"",AX356/Macroindicadores!G$2)</f>
        <v>#VALUE!</v>
      </c>
      <c r="BM356" s="39" t="e">
        <f>IF(ISBLANK(W356),"",AY356/Macroindicadores!H$2)</f>
        <v>#VALUE!</v>
      </c>
      <c r="BN356" s="39" t="e">
        <f>IF(ISBLANK(X356),"",AZ356/Macroindicadores!I$2)</f>
        <v>#VALUE!</v>
      </c>
      <c r="BO356" s="39" t="e">
        <f>IF(ISBLANK(Y356),"",BA356/Macroindicadores!J$2)</f>
        <v>#VALUE!</v>
      </c>
      <c r="BP356" s="39" t="e">
        <f>IF(ISBLANK(Z356),"",BB356/Macroindicadores!K$2)</f>
        <v>#VALUE!</v>
      </c>
      <c r="BQ356" s="39" t="e">
        <f>IF(ISBLANK(AA356),"",BC356/Macroindicadores!L$2)</f>
        <v>#VALUE!</v>
      </c>
      <c r="BR356" s="39" t="e">
        <f>IF(ISBLANK(AB356),"",BD356/Macroindicadores!M$2)</f>
        <v>#VALUE!</v>
      </c>
      <c r="BS356" s="40"/>
    </row>
    <row r="357" spans="3:71">
      <c r="C357" s="111" t="s">
        <v>336</v>
      </c>
      <c r="D357" s="111" t="s">
        <v>337</v>
      </c>
      <c r="E357" s="111" t="s">
        <v>14</v>
      </c>
      <c r="F357" s="112" t="s">
        <v>99</v>
      </c>
      <c r="G357" s="112" t="s">
        <v>123</v>
      </c>
      <c r="H357" s="112" t="s">
        <v>362</v>
      </c>
      <c r="I357" s="11" t="s">
        <v>84</v>
      </c>
      <c r="J357" s="11" t="s">
        <v>78</v>
      </c>
      <c r="K357" s="11" t="s">
        <v>86</v>
      </c>
      <c r="L357" s="11"/>
      <c r="M357" s="18" t="str">
        <f>IF(ISBLANK($L357),"",_xlfn.XLOOKUP($L357,'CENTRO CUSTO'!$A:$A,'CENTRO CUSTO'!D:D,FALSE,0))</f>
        <v/>
      </c>
      <c r="N357" s="113" t="s">
        <v>91</v>
      </c>
      <c r="O357" s="12"/>
      <c r="P357" s="113" t="s">
        <v>88</v>
      </c>
      <c r="Q357" s="41">
        <v>65</v>
      </c>
      <c r="R357" s="41">
        <v>65</v>
      </c>
      <c r="S357" s="41">
        <v>65</v>
      </c>
      <c r="T357" s="41">
        <v>65</v>
      </c>
      <c r="U357" s="41">
        <v>65</v>
      </c>
      <c r="V357" s="41">
        <v>65</v>
      </c>
      <c r="W357" s="41">
        <v>65</v>
      </c>
      <c r="X357" s="41">
        <v>65</v>
      </c>
      <c r="Y357" s="41">
        <v>65</v>
      </c>
      <c r="Z357" s="41">
        <v>65</v>
      </c>
      <c r="AA357" s="41">
        <v>65</v>
      </c>
      <c r="AB357" s="41">
        <v>65</v>
      </c>
      <c r="AC357" s="116">
        <f t="shared" ref="AC357" si="167">IF(AND(ISBLANK($Q357),ISBLANK($R357),ISBLANK($S357),ISBLANK($T357),ISBLANK($U357),ISBLANK($V357),ISBLANK($W357),ISBLANK($X357),ISBLANK($Y357),ISBLANK($Z357),ISBLANK($AA357),ISBLANK($AB357)),"",SUM(Q357:AB357))</f>
        <v>780</v>
      </c>
      <c r="AE357" s="39">
        <f>IF(ISBLANK(Q357),"",IF($P357="BRL",Q357,Q357*Macroindicadores!B$2)/1000)</f>
        <v>0.38219999999999998</v>
      </c>
      <c r="AF357" s="39">
        <f>IF(ISBLANK(R357),"",IF($P357="BRL",R357,R357*Macroindicadores!C$2)/1000)</f>
        <v>0.38219999999999998</v>
      </c>
      <c r="AG357" s="39">
        <f>IF(ISBLANK(S357),"",IF($P357="BRL",S357,S357*Macroindicadores!D$2)/1000)</f>
        <v>0.38219999999999998</v>
      </c>
      <c r="AH357" s="39">
        <f>IF(ISBLANK(T357),"",IF($P357="BRL",T357,T357*Macroindicadores!E$2)/1000)</f>
        <v>0.38219999999999998</v>
      </c>
      <c r="AI357" s="39">
        <f>IF(ISBLANK(U357),"",IF($P357="BRL",U357,U357*Macroindicadores!F$2)/1000)</f>
        <v>0.38219999999999998</v>
      </c>
      <c r="AJ357" s="39">
        <f>IF(ISBLANK(V357),"",IF($P357="BRL",V357,V357*Macroindicadores!G$2)/1000)</f>
        <v>0.38219999999999998</v>
      </c>
      <c r="AK357" s="39">
        <f>IF(ISBLANK(W357),"",IF($P357="BRL",W357,W357*Macroindicadores!H$2)/1000)</f>
        <v>0.38219999999999998</v>
      </c>
      <c r="AL357" s="39">
        <f>IF(ISBLANK(X357),"",IF($P357="BRL",X357,X357*Macroindicadores!I$2)/1000)</f>
        <v>0.38219999999999998</v>
      </c>
      <c r="AM357" s="39">
        <f>IF(ISBLANK(Y357),"",IF($P357="BRL",Y357,Y357*Macroindicadores!J$2)/1000)</f>
        <v>0.38219999999999998</v>
      </c>
      <c r="AN357" s="39">
        <f>IF(ISBLANK(Z357),"",IF($P357="BRL",Z357,Z357*Macroindicadores!K$2)/1000)</f>
        <v>0.38219999999999998</v>
      </c>
      <c r="AO357" s="39">
        <f>IF(ISBLANK(AA357),"",IF($P357="BRL",AA357,AA357*Macroindicadores!L$2)/1000)</f>
        <v>0.38219999999999998</v>
      </c>
      <c r="AP357" s="39">
        <f>IF(ISBLANK(AB357),"",IF($P357="BRL",AB357,AB357*Macroindicadores!M$2)/1000)</f>
        <v>0.38219999999999998</v>
      </c>
      <c r="AQ357" s="40">
        <f t="shared" ref="AQ357" si="168">IF(AND(ISBLANK($Q357),ISBLANK($R357),ISBLANK($S357),ISBLANK($T357),ISBLANK($U357),ISBLANK($V357),ISBLANK($W357),ISBLANK($X357),ISBLANK($Y357),ISBLANK($Z357),ISBLANK($AA357),ISBLANK($AB357)),"",SUM(AE357:AP357))</f>
        <v>4.5864000000000003</v>
      </c>
      <c r="AS357" s="39">
        <f>IF(ISBLANK(Q357),"",IF(ISBLANK($O357),AE357,IF($J357="ANUAL",AE357*(1+Macroindicadores!B$7),IF(AND($I357="NOVO",MONTH($O357)=MONTH(AS$4)),AE357*(1+Macroindicadores!B$7),IF(AND($J357="PONTUAL",MONTH($O357)=MONTH(AS$4)),AE357*(1+Macroindicadores!B$7),IF(AND($J357="PONTUAL",MONTH($O357)&lt;MONTH(AS$4)),MIN(AR357:$AS357),IF(AND($I357="NOVO",MONTH($O357)&gt;MONTH(AS$4)),AE357,IF(MONTH($O357)&gt;MONTH(AS$4),AE357,IF(MONTH($O357)=MONTH(AS$4),AE357*(1+Macroindicadores!B$7),AR357)))))))))</f>
        <v>0.38219999999999998</v>
      </c>
      <c r="AT357" s="39">
        <f>IF(ISBLANK(R357),"",IF(ISBLANK($O357),AF357,IF($J357="ANUAL",AF357*(1+Macroindicadores!C$7),IF(AND($I357="NOVO",MONTH($O357)=MONTH(AT$4)),AF357*(1+Macroindicadores!C$7),IF(AND($J357="PONTUAL",MONTH($O357)=MONTH(AT$4)),AF357*(1+Macroindicadores!C$7),IF(AND($J357="PONTUAL",MONTH($O357)&lt;MONTH(AT$4)),MIN($AS357:AS357),IF(AND($I357="NOVO",MONTH($O357)&gt;MONTH(AT$4)),AF357,IF(MONTH($O357)&gt;MONTH(AT$4),AF357,IF(MONTH($O357)=MONTH(AT$4),AF357*(1+Macroindicadores!C$7),AS357)))))))))</f>
        <v>0.38219999999999998</v>
      </c>
      <c r="AU357" s="39">
        <f>IF(ISBLANK(S357),"",IF(ISBLANK($O357),AG357,IF($J357="ANUAL",AG357*(1+Macroindicadores!D$7),IF(AND($I357="NOVO",MONTH($O357)=MONTH(AU$4)),AG357*(1+Macroindicadores!D$7),IF(AND($J357="PONTUAL",MONTH($O357)=MONTH(AU$4)),AG357*(1+Macroindicadores!D$7),IF(AND($J357="PONTUAL",MONTH($O357)&lt;MONTH(AU$4)),MIN($AS357:AT357),IF(AND($I357="NOVO",MONTH($O357)&gt;MONTH(AU$4)),AG357,IF(MONTH($O357)&gt;MONTH(AU$4),AG357,IF(MONTH($O357)=MONTH(AU$4),AG357*(1+Macroindicadores!D$7),AT357)))))))))</f>
        <v>0.38219999999999998</v>
      </c>
      <c r="AV357" s="39">
        <f>IF(ISBLANK(T357),"",IF(ISBLANK($O357),AH357,IF($J357="ANUAL",AH357*(1+Macroindicadores!E$7),IF(AND($I357="NOVO",MONTH($O357)=MONTH(AV$4)),AH357*(1+Macroindicadores!E$7),IF(AND($J357="PONTUAL",MONTH($O357)=MONTH(AV$4)),AH357*(1+Macroindicadores!E$7),IF(AND($J357="PONTUAL",MONTH($O357)&lt;MONTH(AV$4)),MIN($AS357:AU357),IF(AND($I357="NOVO",MONTH($O357)&gt;MONTH(AV$4)),AH357,IF(MONTH($O357)&gt;MONTH(AV$4),AH357,IF(MONTH($O357)=MONTH(AV$4),AH357*(1+Macroindicadores!E$7),AU357)))))))))</f>
        <v>0.38219999999999998</v>
      </c>
      <c r="AW357" s="39">
        <f>IF(ISBLANK(U357),"",IF(ISBLANK($O357),AI357,IF($J357="ANUAL",AI357*(1+Macroindicadores!F$7),IF(AND($I357="NOVO",MONTH($O357)=MONTH(AW$4)),AI357*(1+Macroindicadores!F$7),IF(AND($J357="PONTUAL",MONTH($O357)=MONTH(AW$4)),AI357*(1+Macroindicadores!F$7),IF(AND($J357="PONTUAL",MONTH($O357)&lt;MONTH(AW$4)),MIN($AS357:AV357),IF(AND($I357="NOVO",MONTH($O357)&gt;MONTH(AW$4)),AI357,IF(MONTH($O357)&gt;MONTH(AW$4),AI357,IF(MONTH($O357)=MONTH(AW$4),AI357*(1+Macroindicadores!F$7),AV357)))))))))</f>
        <v>0.38219999999999998</v>
      </c>
      <c r="AX357" s="39">
        <f>IF(ISBLANK(V357),"",IF(ISBLANK($O357),AJ357,IF($J357="ANUAL",AJ357*(1+Macroindicadores!G$7),IF(AND($I357="NOVO",MONTH($O357)=MONTH(AX$4)),AJ357*(1+Macroindicadores!G$7),IF(AND($J357="PONTUAL",MONTH($O357)=MONTH(AX$4)),AJ357*(1+Macroindicadores!G$7),IF(AND($J357="PONTUAL",MONTH($O357)&lt;MONTH(AX$4)),MIN($AS357:AW357),IF(AND($I357="NOVO",MONTH($O357)&gt;MONTH(AX$4)),AJ357,IF(MONTH($O357)&gt;MONTH(AX$4),AJ357,IF(MONTH($O357)=MONTH(AX$4),AJ357*(1+Macroindicadores!G$7),AW357)))))))))</f>
        <v>0.38219999999999998</v>
      </c>
      <c r="AY357" s="39">
        <f>IF(ISBLANK(W357),"",IF(ISBLANK($O357),AK357,IF($J357="ANUAL",AK357*(1+Macroindicadores!H$7),IF(AND($I357="NOVO",MONTH($O357)=MONTH(AY$4)),AK357*(1+Macroindicadores!H$7),IF(AND($J357="PONTUAL",MONTH($O357)=MONTH(AY$4)),AK357*(1+Macroindicadores!H$7),IF(AND($J357="PONTUAL",MONTH($O357)&lt;MONTH(AY$4)),MIN($AS357:AX357),IF(AND($I357="NOVO",MONTH($O357)&gt;MONTH(AY$4)),AK357,IF(MONTH($O357)&gt;MONTH(AY$4),AK357,IF(MONTH($O357)=MONTH(AY$4),AK357*(1+Macroindicadores!H$7),AX357)))))))))</f>
        <v>0.38219999999999998</v>
      </c>
      <c r="AZ357" s="39">
        <f>IF(ISBLANK(X357),"",IF(ISBLANK($O357),AL357,IF($J357="ANUAL",AL357*(1+Macroindicadores!I$7),IF(AND($I357="NOVO",MONTH($O357)=MONTH(AZ$4)),AL357*(1+Macroindicadores!I$7),IF(AND($J357="PONTUAL",MONTH($O357)=MONTH(AZ$4)),AL357*(1+Macroindicadores!I$7),IF(AND($J357="PONTUAL",MONTH($O357)&lt;MONTH(AZ$4)),MIN($AS357:AY357),IF(AND($I357="NOVO",MONTH($O357)&gt;MONTH(AZ$4)),AL357,IF(MONTH($O357)&gt;MONTH(AZ$4),AL357,IF(MONTH($O357)=MONTH(AZ$4),AL357*(1+Macroindicadores!I$7),AY357)))))))))</f>
        <v>0.38219999999999998</v>
      </c>
      <c r="BA357" s="39">
        <f>IF(ISBLANK(Y357),"",IF(ISBLANK($O357),AM357,IF($J357="ANUAL",AM357*(1+Macroindicadores!J$7),IF(AND($I357="NOVO",MONTH($O357)=MONTH(BA$4)),AM357*(1+Macroindicadores!J$7),IF(AND($J357="PONTUAL",MONTH($O357)=MONTH(BA$4)),AM357*(1+Macroindicadores!J$7),IF(AND($J357="PONTUAL",MONTH($O357)&lt;MONTH(BA$4)),MIN($AS357:AZ357),IF(AND($I357="NOVO",MONTH($O357)&gt;MONTH(BA$4)),AM357,IF(MONTH($O357)&gt;MONTH(BA$4),AM357,IF(MONTH($O357)=MONTH(BA$4),AM357*(1+Macroindicadores!J$7),AZ357)))))))))</f>
        <v>0.38219999999999998</v>
      </c>
      <c r="BB357" s="39">
        <f>IF(ISBLANK(Z357),"",IF(ISBLANK($O357),AN357,IF($J357="ANUAL",AN357*(1+Macroindicadores!K$7),IF(AND($I357="NOVO",MONTH($O357)=MONTH(BB$4)),AN357*(1+Macroindicadores!K$7),IF(AND($J357="PONTUAL",MONTH($O357)=MONTH(BB$4)),AN357*(1+Macroindicadores!K$7),IF(AND($J357="PONTUAL",MONTH($O357)&lt;MONTH(BB$4)),MIN($AS357:BA357),IF(AND($I357="NOVO",MONTH($O357)&gt;MONTH(BB$4)),AN357,IF(MONTH($O357)&gt;MONTH(BB$4),AN357,IF(MONTH($O357)=MONTH(BB$4),AN357*(1+Macroindicadores!K$7),BA357)))))))))</f>
        <v>0.38219999999999998</v>
      </c>
      <c r="BC357" s="39">
        <f>IF(ISBLANK(AA357),"",IF(ISBLANK($O357),AO357,IF($J357="ANUAL",AO357*(1+Macroindicadores!L$7),IF(AND($I357="NOVO",MONTH($O357)=MONTH(BC$4)),AO357*(1+Macroindicadores!L$7),IF(AND($J357="PONTUAL",MONTH($O357)=MONTH(BC$4)),AO357*(1+Macroindicadores!L$7),IF(AND($J357="PONTUAL",MONTH($O357)&lt;MONTH(BC$4)),MIN($AS357:BB357),IF(AND($I357="NOVO",MONTH($O357)&gt;MONTH(BC$4)),AO357,IF(MONTH($O357)&gt;MONTH(BC$4),AO357,IF(MONTH($O357)=MONTH(BC$4),AO357*(1+Macroindicadores!L$7),BB357)))))))))</f>
        <v>0.38219999999999998</v>
      </c>
      <c r="BD357" s="39">
        <f>IF(ISBLANK(AB357),"",IF(ISBLANK($O357),AP357,IF($J357="ANUAL",AP357*(1+Macroindicadores!M$7),IF(AND($I357="NOVO",MONTH($O357)=MONTH(BD$4)),AP357*(1+Macroindicadores!M$7),IF(AND($J357="PONTUAL",MONTH($O357)=MONTH(BD$4)),AP357*(1+Macroindicadores!M$7),IF(AND($J357="PONTUAL",MONTH($O357)&lt;MONTH(BD$4)),MIN($AS357:BC357),IF(AND($I357="NOVO",MONTH($O357)&gt;MONTH(BD$4)),AP357,IF(MONTH($O357)&gt;MONTH(BD$4),AP357,IF(MONTH($O357)=MONTH(BD$4),AP357*(1+Macroindicadores!M$7),BC357)))))))))</f>
        <v>0.38219999999999998</v>
      </c>
      <c r="BE357" s="40">
        <f t="shared" ref="BE357" si="169">IF(AND(ISBLANK($Q357),ISBLANK($R357),ISBLANK($S357),ISBLANK($T357),ISBLANK($U357),ISBLANK($V357),ISBLANK($W357),ISBLANK($X357),ISBLANK($Y357),ISBLANK($Z357),ISBLANK($AA357),ISBLANK($AB357)),"",SUM(AS357:BD357))</f>
        <v>4.5864000000000003</v>
      </c>
      <c r="BG357" s="39">
        <f>IF(ISBLANK(Q357),"",AS357/Macroindicadores!B$2)</f>
        <v>6.5000000000000002E-2</v>
      </c>
      <c r="BH357" s="39">
        <f>IF(ISBLANK(R357),"",AT357/Macroindicadores!C$2)</f>
        <v>6.5000000000000002E-2</v>
      </c>
      <c r="BI357" s="39">
        <f>IF(ISBLANK(S357),"",AU357/Macroindicadores!D$2)</f>
        <v>6.5000000000000002E-2</v>
      </c>
      <c r="BJ357" s="39">
        <f>IF(ISBLANK(T357),"",AV357/Macroindicadores!E$2)</f>
        <v>6.5000000000000002E-2</v>
      </c>
      <c r="BK357" s="39">
        <f>IF(ISBLANK(U357),"",AW357/Macroindicadores!F$2)</f>
        <v>6.5000000000000002E-2</v>
      </c>
      <c r="BL357" s="39">
        <f>IF(ISBLANK(V357),"",AX357/Macroindicadores!G$2)</f>
        <v>6.5000000000000002E-2</v>
      </c>
      <c r="BM357" s="39">
        <f>IF(ISBLANK(W357),"",AY357/Macroindicadores!H$2)</f>
        <v>6.5000000000000002E-2</v>
      </c>
      <c r="BN357" s="39">
        <f>IF(ISBLANK(X357),"",AZ357/Macroindicadores!I$2)</f>
        <v>6.5000000000000002E-2</v>
      </c>
      <c r="BO357" s="39">
        <f>IF(ISBLANK(Y357),"",BA357/Macroindicadores!J$2)</f>
        <v>6.5000000000000002E-2</v>
      </c>
      <c r="BP357" s="39">
        <f>IF(ISBLANK(Z357),"",BB357/Macroindicadores!K$2)</f>
        <v>6.5000000000000002E-2</v>
      </c>
      <c r="BQ357" s="39">
        <f>IF(ISBLANK(AA357),"",BC357/Macroindicadores!L$2)</f>
        <v>6.5000000000000002E-2</v>
      </c>
      <c r="BR357" s="39">
        <f>IF(ISBLANK(AB357),"",BD357/Macroindicadores!M$2)</f>
        <v>6.5000000000000002E-2</v>
      </c>
      <c r="BS357" s="40">
        <f t="shared" ref="BS357" si="170">IF(AND(ISBLANK($Q357),ISBLANK($R357),ISBLANK($S357),ISBLANK($T357),ISBLANK($U357),ISBLANK($V357),ISBLANK($W357),ISBLANK($X357),ISBLANK($Y357),ISBLANK($Z357),ISBLANK($AA357),ISBLANK($AB357)),"",SUM(BG357:BR357))</f>
        <v>0.7799999999999998</v>
      </c>
    </row>
    <row r="358" spans="3:71">
      <c r="G358" s="112"/>
      <c r="BS358" s="136">
        <f>SUM(BS5:BS357)</f>
        <v>2851.6535083034737</v>
      </c>
    </row>
    <row r="359" spans="3:71">
      <c r="G359" s="112"/>
    </row>
    <row r="360" spans="3:71">
      <c r="G360" s="112"/>
    </row>
    <row r="361" spans="3:71">
      <c r="G361" s="112"/>
    </row>
    <row r="362" spans="3:71">
      <c r="G362" s="112"/>
    </row>
  </sheetData>
  <sheetProtection formatCells="0" formatColumns="0" autoFilter="0"/>
  <autoFilter ref="A4:BT357" xr:uid="{6EEE80E7-A5DC-46D9-9E18-E1CF181FC245}"/>
  <conditionalFormatting sqref="F1:F2 N38:O226 P38:AB357 F145:L226 N218:N232">
    <cfRule type="containsBlanks" dxfId="10" priority="33">
      <formula>LEN(TRIM(F1))=0</formula>
    </cfRule>
  </conditionalFormatting>
  <conditionalFormatting sqref="F281:F344 F346:F357">
    <cfRule type="containsBlanks" dxfId="9" priority="4">
      <formula>LEN(TRIM(F281))=0</formula>
    </cfRule>
  </conditionalFormatting>
  <conditionalFormatting sqref="F220:M223">
    <cfRule type="containsBlanks" dxfId="8" priority="36">
      <formula>LEN(TRIM(F220))=0</formula>
    </cfRule>
  </conditionalFormatting>
  <conditionalFormatting sqref="F224:O280">
    <cfRule type="containsBlanks" dxfId="7" priority="12">
      <formula>LEN(TRIM(F224))=0</formula>
    </cfRule>
  </conditionalFormatting>
  <conditionalFormatting sqref="F5:AB37 F38:O219">
    <cfRule type="containsBlanks" dxfId="6" priority="5">
      <formula>LEN(TRIM(F5))=0</formula>
    </cfRule>
  </conditionalFormatting>
  <conditionalFormatting sqref="G281:G362">
    <cfRule type="containsBlanks" dxfId="5" priority="9">
      <formula>LEN(TRIM(G281))=0</formula>
    </cfRule>
  </conditionalFormatting>
  <conditionalFormatting sqref="H220:H230">
    <cfRule type="containsBlanks" dxfId="4" priority="16">
      <formula>LEN(TRIM(H220))=0</formula>
    </cfRule>
  </conditionalFormatting>
  <conditionalFormatting sqref="H281:O357">
    <cfRule type="containsBlanks" dxfId="3" priority="2">
      <formula>LEN(TRIM(H281))=0</formula>
    </cfRule>
  </conditionalFormatting>
  <conditionalFormatting sqref="M5:M357">
    <cfRule type="cellIs" dxfId="2" priority="37" operator="notEqual">
      <formula>$F$2</formula>
    </cfRule>
  </conditionalFormatting>
  <conditionalFormatting sqref="F345">
    <cfRule type="containsBlanks" dxfId="1" priority="1">
      <formula>LEN(TRIM(F345))=0</formula>
    </cfRule>
  </conditionalFormatting>
  <dataValidations xWindow="116" yWindow="320" count="6">
    <dataValidation type="textLength" operator="greaterThanOrEqual" allowBlank="1" showInputMessage="1" showErrorMessage="1" errorTitle="ERRO" error="Inserir no mínimo 4 caracteres alfanuméricos neste campo" promptTitle="INPUT TEXT" prompt="Informar fornecedor atual ou previsto" sqref="H349 H354 F339:G340 F5:H328 F341:F344 F346:F357" xr:uid="{5D97325F-1154-456E-A804-C295742DC89A}">
      <formula1>4</formula1>
    </dataValidation>
    <dataValidation type="list" allowBlank="1" showInputMessage="1" showErrorMessage="1" errorTitle="Opção inválida" error="Selecione uma opção da lista" promptTitle="Lista" prompt="Selecione uma opção" sqref="I353:I357 I5:I328" xr:uid="{0FA9A095-157D-40A6-BB82-77D25297867F}">
      <formula1>"Novo,Existente"</formula1>
    </dataValidation>
    <dataValidation type="list" allowBlank="1" showInputMessage="1" showErrorMessage="1" errorTitle="Opção inválida" error="Selecione uma opção da lista" promptTitle="Lista" prompt="Selecione uma opção" sqref="K353:K357 K5:K328" xr:uid="{1E0E2119-A841-4CE7-87E2-DADE81F224B1}">
      <formula1>"Alta - Para a operação,Média - Impacta a operação,Baixa - Eficiência,Contrato em Curso"</formula1>
    </dataValidation>
    <dataValidation type="list" allowBlank="1" showInputMessage="1" showErrorMessage="1" sqref="P5:P328" xr:uid="{7D7C0939-F5E5-425C-B930-EBFD093882DC}">
      <formula1>"BRL,USD"</formula1>
    </dataValidation>
    <dataValidation type="list" allowBlank="1" showInputMessage="1" showErrorMessage="1" sqref="O5:O328" xr:uid="{B2C0E9F1-1CD1-42E5-81DC-F8CEFCC175E4}">
      <formula1>$Q$4:$AB$4</formula1>
    </dataValidation>
    <dataValidation type="list" allowBlank="1" showInputMessage="1" showErrorMessage="1" errorTitle="Opção inválida" error="Selecione uma opção da lista" promptTitle="Lista" prompt="Selecione uma opção" sqref="J5:J328" xr:uid="{57E36D72-DA38-4A93-AEE8-C78892A89AA2}">
      <formula1>"Mensal,Pontual,Annual,Apropriação mensal"</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116" yWindow="320" count="4">
        <x14:dataValidation type="list" allowBlank="1" showInputMessage="1" showErrorMessage="1" errorTitle="Opção inválida" error="Selecione uma opção da lista" promptTitle="Lista" prompt="Selecione uma opção" xr:uid="{7ADCF63D-A67F-4A51-9246-950A32BDEE05}">
          <x14:formula1>
            <xm:f>'CENTRO CUSTO'!$D$2:$D$265</xm:f>
          </x14:formula1>
          <xm:sqref>F2</xm:sqref>
        </x14:dataValidation>
        <x14:dataValidation type="list" allowBlank="1" showInputMessage="1" showErrorMessage="1" errorTitle="Opção inválida" error="Selecione uma opção da lista" promptTitle="Lista" prompt="Selecione uma opção" xr:uid="{C38B95AC-11B6-4CFD-BE62-E67C18A84EBA}">
          <x14:formula1>
            <xm:f>CONTAS!$A$2:$A$41</xm:f>
          </x14:formula1>
          <xm:sqref>N356 N5:N328</xm:sqref>
        </x14:dataValidation>
        <x14:dataValidation type="list" allowBlank="1" showInputMessage="1" showErrorMessage="1" errorTitle="Opção inválida" error="Selecione uma opção da lista" promptTitle="Lista" prompt="Selecione uma opção" xr:uid="{5B4A62B5-7387-41A5-8315-90AD13FB503C}">
          <x14:formula1>
            <xm:f>'CENTRO CUSTO'!$A$2:$A$265</xm:f>
          </x14:formula1>
          <xm:sqref>M353:M357 M5:M328</xm:sqref>
        </x14:dataValidation>
        <x14:dataValidation type="list" allowBlank="1" showInputMessage="1" showErrorMessage="1" errorTitle="Opção inválida" error="Selecione uma opção da lista" promptTitle="Lista" prompt="Selecione uma opção" xr:uid="{85CA8026-0132-465B-A953-0E3889409C45}">
          <x14:formula1>
            <xm:f>'CENTRO CUSTO'!$A$2:$A$277</xm:f>
          </x14:formula1>
          <xm:sqref>L5:L328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07D2-C5FF-4975-B9BB-E1D6B5D1ED76}">
  <dimension ref="A1:K354"/>
  <sheetViews>
    <sheetView workbookViewId="0">
      <selection activeCell="K2" sqref="K2"/>
    </sheetView>
  </sheetViews>
  <sheetFormatPr defaultRowHeight="17.25"/>
  <cols>
    <col min="2" max="2" width="9.5546875" bestFit="1" customWidth="1"/>
    <col min="4" max="4" width="17.109375" bestFit="1" customWidth="1"/>
  </cols>
  <sheetData>
    <row r="1" spans="1:11">
      <c r="A1" t="s">
        <v>70</v>
      </c>
      <c r="C1" t="s">
        <v>363</v>
      </c>
    </row>
    <row r="2" spans="1:11">
      <c r="A2" s="113" t="s">
        <v>81</v>
      </c>
      <c r="B2" s="126">
        <v>650000</v>
      </c>
      <c r="C2">
        <f>B2/$E$2</f>
        <v>116591.92825112108</v>
      </c>
      <c r="D2" s="82"/>
      <c r="E2" s="82">
        <v>5.5750000000000002</v>
      </c>
      <c r="K2">
        <v>0</v>
      </c>
    </row>
    <row r="3" spans="1:11">
      <c r="A3" s="113" t="s">
        <v>88</v>
      </c>
      <c r="B3">
        <v>78368</v>
      </c>
      <c r="C3">
        <v>78368</v>
      </c>
      <c r="K3">
        <v>116.58823155668701</v>
      </c>
    </row>
    <row r="4" spans="1:11">
      <c r="A4" s="113" t="s">
        <v>81</v>
      </c>
      <c r="B4">
        <v>0</v>
      </c>
      <c r="C4">
        <f>B4/$E$2</f>
        <v>0</v>
      </c>
      <c r="K4">
        <v>78.367999999999995</v>
      </c>
    </row>
    <row r="5" spans="1:11">
      <c r="A5" s="113" t="s">
        <v>81</v>
      </c>
      <c r="B5">
        <v>105000</v>
      </c>
      <c r="C5">
        <f>B5/$E$2</f>
        <v>18834.080717488789</v>
      </c>
      <c r="K5">
        <v>0</v>
      </c>
    </row>
    <row r="6" spans="1:11">
      <c r="A6" s="113" t="s">
        <v>88</v>
      </c>
      <c r="B6">
        <v>25249.679999999997</v>
      </c>
      <c r="C6">
        <v>25249.679999999997</v>
      </c>
      <c r="K6">
        <v>17.857142857142858</v>
      </c>
    </row>
    <row r="7" spans="1:11">
      <c r="A7" s="113" t="s">
        <v>88</v>
      </c>
      <c r="B7">
        <v>67332.479999999996</v>
      </c>
      <c r="C7">
        <v>67332.479999999996</v>
      </c>
      <c r="K7">
        <v>25.249680000000009</v>
      </c>
    </row>
    <row r="8" spans="1:11">
      <c r="A8" s="113" t="s">
        <v>88</v>
      </c>
      <c r="B8">
        <v>7013.800000000002</v>
      </c>
      <c r="C8">
        <v>7013.800000000002</v>
      </c>
      <c r="K8">
        <v>67.332480000000018</v>
      </c>
    </row>
    <row r="9" spans="1:11">
      <c r="A9" s="113" t="s">
        <v>88</v>
      </c>
      <c r="B9">
        <v>8416.56</v>
      </c>
      <c r="C9">
        <v>8416.56</v>
      </c>
      <c r="K9">
        <v>7.0137999999999989</v>
      </c>
    </row>
    <row r="10" spans="1:11">
      <c r="A10" s="113" t="s">
        <v>88</v>
      </c>
      <c r="B10">
        <v>2805.5200000000004</v>
      </c>
      <c r="C10">
        <v>2805.5200000000004</v>
      </c>
      <c r="K10">
        <v>8.4165600000000023</v>
      </c>
    </row>
    <row r="11" spans="1:11">
      <c r="A11" s="113" t="s">
        <v>88</v>
      </c>
      <c r="B11">
        <v>22444.160000000003</v>
      </c>
      <c r="C11">
        <v>22444.160000000003</v>
      </c>
      <c r="K11">
        <v>2.80552</v>
      </c>
    </row>
    <row r="12" spans="1:11">
      <c r="A12" s="113" t="s">
        <v>88</v>
      </c>
      <c r="B12">
        <v>7013.800000000002</v>
      </c>
      <c r="C12">
        <v>7013.800000000002</v>
      </c>
      <c r="K12">
        <v>22.44416</v>
      </c>
    </row>
    <row r="13" spans="1:11">
      <c r="A13" s="113" t="s">
        <v>88</v>
      </c>
      <c r="B13">
        <v>33688.439999999995</v>
      </c>
      <c r="C13">
        <v>33688.439999999995</v>
      </c>
      <c r="K13">
        <v>7.0137999999999989</v>
      </c>
    </row>
    <row r="14" spans="1:11">
      <c r="A14" s="113" t="s">
        <v>88</v>
      </c>
      <c r="B14">
        <v>89835.840000000026</v>
      </c>
      <c r="C14">
        <v>89835.840000000026</v>
      </c>
      <c r="K14">
        <v>33.688439999999993</v>
      </c>
    </row>
    <row r="15" spans="1:11">
      <c r="A15" s="113" t="s">
        <v>88</v>
      </c>
      <c r="B15">
        <v>9357.9</v>
      </c>
      <c r="C15">
        <v>9357.9</v>
      </c>
      <c r="K15">
        <v>89.835840000000019</v>
      </c>
    </row>
    <row r="16" spans="1:11">
      <c r="A16" s="113" t="s">
        <v>88</v>
      </c>
      <c r="B16">
        <v>11229.480000000003</v>
      </c>
      <c r="C16">
        <v>11229.480000000003</v>
      </c>
      <c r="K16">
        <v>9.357899999999999</v>
      </c>
    </row>
    <row r="17" spans="1:11">
      <c r="A17" s="113" t="s">
        <v>88</v>
      </c>
      <c r="B17">
        <v>3743.1599999999994</v>
      </c>
      <c r="C17">
        <v>3743.1599999999994</v>
      </c>
      <c r="K17">
        <v>11.229480000000002</v>
      </c>
    </row>
    <row r="18" spans="1:11">
      <c r="A18" s="113" t="s">
        <v>88</v>
      </c>
      <c r="B18">
        <v>29945.279999999995</v>
      </c>
      <c r="C18">
        <v>29945.279999999995</v>
      </c>
      <c r="K18">
        <v>3.7431600000000014</v>
      </c>
    </row>
    <row r="19" spans="1:11">
      <c r="A19" s="113" t="s">
        <v>88</v>
      </c>
      <c r="B19">
        <v>9357.9</v>
      </c>
      <c r="C19">
        <v>9357.9</v>
      </c>
      <c r="K19">
        <v>29.945280000000011</v>
      </c>
    </row>
    <row r="20" spans="1:11">
      <c r="A20" s="113" t="s">
        <v>88</v>
      </c>
      <c r="B20">
        <v>4800</v>
      </c>
      <c r="C20">
        <v>4800</v>
      </c>
      <c r="K20">
        <v>9.357899999999999</v>
      </c>
    </row>
    <row r="21" spans="1:11">
      <c r="A21" s="113" t="s">
        <v>88</v>
      </c>
      <c r="B21">
        <v>1200</v>
      </c>
      <c r="C21">
        <v>1200</v>
      </c>
      <c r="K21">
        <v>4.8</v>
      </c>
    </row>
    <row r="22" spans="1:11">
      <c r="A22" s="113" t="s">
        <v>88</v>
      </c>
      <c r="B22">
        <v>1200</v>
      </c>
      <c r="C22">
        <v>1200</v>
      </c>
      <c r="K22">
        <v>1.2</v>
      </c>
    </row>
    <row r="23" spans="1:11">
      <c r="A23" s="113" t="s">
        <v>88</v>
      </c>
      <c r="B23">
        <v>15459.920000000006</v>
      </c>
      <c r="C23">
        <v>15459.920000000006</v>
      </c>
      <c r="K23">
        <v>1.2</v>
      </c>
    </row>
    <row r="24" spans="1:11">
      <c r="A24" s="113" t="s">
        <v>88</v>
      </c>
      <c r="B24">
        <v>3864.9800000000014</v>
      </c>
      <c r="C24">
        <v>3864.9800000000014</v>
      </c>
      <c r="K24">
        <v>15.459919999999999</v>
      </c>
    </row>
    <row r="25" spans="1:11">
      <c r="A25" s="113" t="s">
        <v>88</v>
      </c>
      <c r="B25">
        <v>2760.7000000000003</v>
      </c>
      <c r="C25">
        <v>2760.7000000000003</v>
      </c>
      <c r="K25">
        <v>3.8649799999999996</v>
      </c>
    </row>
    <row r="26" spans="1:11">
      <c r="A26" s="113" t="s">
        <v>88</v>
      </c>
      <c r="B26">
        <v>2760.7000000000003</v>
      </c>
      <c r="C26">
        <v>2760.7000000000003</v>
      </c>
      <c r="K26">
        <v>2.7607000000000013</v>
      </c>
    </row>
    <row r="27" spans="1:11">
      <c r="A27" s="113" t="s">
        <v>88</v>
      </c>
      <c r="B27">
        <v>4969.26</v>
      </c>
      <c r="C27">
        <v>4969.26</v>
      </c>
      <c r="K27">
        <v>2.7607000000000013</v>
      </c>
    </row>
    <row r="28" spans="1:11">
      <c r="A28" s="113" t="s">
        <v>88</v>
      </c>
      <c r="B28">
        <v>3312.8400000000006</v>
      </c>
      <c r="C28">
        <v>3312.8400000000006</v>
      </c>
      <c r="K28">
        <v>4.9692600000000011</v>
      </c>
    </row>
    <row r="29" spans="1:11">
      <c r="A29" s="113" t="s">
        <v>88</v>
      </c>
      <c r="B29">
        <v>9938.52</v>
      </c>
      <c r="C29">
        <v>9938.52</v>
      </c>
      <c r="K29">
        <v>3.3128399999999991</v>
      </c>
    </row>
    <row r="30" spans="1:11">
      <c r="A30" s="113" t="s">
        <v>88</v>
      </c>
      <c r="B30">
        <v>12147.079999999996</v>
      </c>
      <c r="C30">
        <v>12147.079999999996</v>
      </c>
      <c r="K30">
        <v>9.9385200000000022</v>
      </c>
    </row>
    <row r="31" spans="1:11">
      <c r="A31" s="113" t="s">
        <v>88</v>
      </c>
      <c r="B31">
        <v>2822.3999999999996</v>
      </c>
      <c r="C31">
        <v>2822.3999999999996</v>
      </c>
      <c r="K31">
        <v>12.147079999999995</v>
      </c>
    </row>
    <row r="32" spans="1:11">
      <c r="A32" s="113" t="s">
        <v>88</v>
      </c>
      <c r="B32">
        <v>705.59999999999991</v>
      </c>
      <c r="C32">
        <v>705.59999999999991</v>
      </c>
      <c r="K32">
        <v>2.8224</v>
      </c>
    </row>
    <row r="33" spans="1:11">
      <c r="A33" s="113" t="s">
        <v>88</v>
      </c>
      <c r="B33">
        <v>120000</v>
      </c>
      <c r="C33">
        <v>120000</v>
      </c>
      <c r="K33">
        <v>0.7056</v>
      </c>
    </row>
    <row r="34" spans="1:11">
      <c r="A34" s="113" t="s">
        <v>88</v>
      </c>
      <c r="B34">
        <v>504</v>
      </c>
      <c r="C34">
        <v>504</v>
      </c>
      <c r="K34">
        <v>120</v>
      </c>
    </row>
    <row r="35" spans="1:11">
      <c r="A35" s="113" t="s">
        <v>88</v>
      </c>
      <c r="B35">
        <v>504</v>
      </c>
      <c r="C35">
        <v>504</v>
      </c>
      <c r="K35">
        <v>0.50399999999999989</v>
      </c>
    </row>
    <row r="36" spans="1:11">
      <c r="A36" s="113" t="s">
        <v>88</v>
      </c>
      <c r="B36">
        <v>907.20000000000016</v>
      </c>
      <c r="C36">
        <v>907.20000000000016</v>
      </c>
      <c r="K36">
        <v>0.50399999999999989</v>
      </c>
    </row>
    <row r="37" spans="1:11">
      <c r="A37" s="113" t="s">
        <v>88</v>
      </c>
      <c r="B37">
        <v>604.79999999999984</v>
      </c>
      <c r="C37">
        <v>604.79999999999984</v>
      </c>
      <c r="K37">
        <v>0.90720000000000001</v>
      </c>
    </row>
    <row r="38" spans="1:11">
      <c r="A38" s="113" t="s">
        <v>88</v>
      </c>
      <c r="B38">
        <v>1814.4000000000003</v>
      </c>
      <c r="C38">
        <v>1814.4000000000003</v>
      </c>
      <c r="K38">
        <v>0.60479999999999989</v>
      </c>
    </row>
    <row r="39" spans="1:11">
      <c r="A39" s="113" t="s">
        <v>88</v>
      </c>
      <c r="B39">
        <v>0</v>
      </c>
      <c r="C39">
        <v>0</v>
      </c>
      <c r="K39">
        <v>1.8144</v>
      </c>
    </row>
    <row r="40" spans="1:11">
      <c r="A40" s="113" t="s">
        <v>88</v>
      </c>
      <c r="B40">
        <v>2217.6</v>
      </c>
      <c r="C40">
        <v>2217.6</v>
      </c>
      <c r="K40">
        <v>0</v>
      </c>
    </row>
    <row r="41" spans="1:11">
      <c r="A41" s="113" t="s">
        <v>81</v>
      </c>
      <c r="B41">
        <v>270600</v>
      </c>
      <c r="C41">
        <f t="shared" ref="C41:C54" si="0">B41/$E$2</f>
        <v>48538.11659192825</v>
      </c>
      <c r="K41">
        <v>2.2176</v>
      </c>
    </row>
    <row r="42" spans="1:11">
      <c r="A42" s="113" t="s">
        <v>81</v>
      </c>
      <c r="B42">
        <v>42900</v>
      </c>
      <c r="C42">
        <f t="shared" si="0"/>
        <v>7695.0672645739905</v>
      </c>
      <c r="K42">
        <v>46.020408163265323</v>
      </c>
    </row>
    <row r="43" spans="1:11">
      <c r="A43" s="113" t="s">
        <v>81</v>
      </c>
      <c r="B43">
        <v>16500</v>
      </c>
      <c r="C43">
        <f t="shared" si="0"/>
        <v>2959.641255605381</v>
      </c>
      <c r="K43">
        <v>7.2959183673469417</v>
      </c>
    </row>
    <row r="44" spans="1:11">
      <c r="A44" s="113" t="s">
        <v>81</v>
      </c>
      <c r="B44">
        <v>804000</v>
      </c>
      <c r="C44">
        <f t="shared" si="0"/>
        <v>144215.24663677131</v>
      </c>
      <c r="K44">
        <v>2.8061224489795928</v>
      </c>
    </row>
    <row r="45" spans="1:11">
      <c r="A45" s="113" t="s">
        <v>81</v>
      </c>
      <c r="B45">
        <v>168000</v>
      </c>
      <c r="C45">
        <f t="shared" si="0"/>
        <v>30134.529147982063</v>
      </c>
      <c r="K45">
        <v>136.734693877551</v>
      </c>
    </row>
    <row r="46" spans="1:11">
      <c r="A46" s="113" t="s">
        <v>81</v>
      </c>
      <c r="B46">
        <v>78000</v>
      </c>
      <c r="C46">
        <f t="shared" si="0"/>
        <v>13991.031390134529</v>
      </c>
      <c r="K46">
        <v>28.571428571428566</v>
      </c>
    </row>
    <row r="47" spans="1:11">
      <c r="A47" s="113" t="s">
        <v>81</v>
      </c>
      <c r="B47">
        <v>18000</v>
      </c>
      <c r="C47">
        <f t="shared" si="0"/>
        <v>3228.6995515695066</v>
      </c>
      <c r="K47">
        <v>13.265306122448983</v>
      </c>
    </row>
    <row r="48" spans="1:11">
      <c r="A48" s="113" t="s">
        <v>81</v>
      </c>
      <c r="B48">
        <v>45000</v>
      </c>
      <c r="C48">
        <f t="shared" si="0"/>
        <v>8071.7488789237668</v>
      </c>
      <c r="K48">
        <v>3.0612244897959191</v>
      </c>
    </row>
    <row r="49" spans="1:11">
      <c r="A49" s="113" t="s">
        <v>81</v>
      </c>
      <c r="B49">
        <v>15000</v>
      </c>
      <c r="C49">
        <f t="shared" si="0"/>
        <v>2690.5829596412555</v>
      </c>
      <c r="K49">
        <v>7.653061224489794</v>
      </c>
    </row>
    <row r="50" spans="1:11">
      <c r="A50" s="113" t="s">
        <v>81</v>
      </c>
      <c r="B50">
        <v>24000</v>
      </c>
      <c r="C50">
        <f t="shared" si="0"/>
        <v>4304.9327354260085</v>
      </c>
      <c r="K50">
        <v>2.5510204081632657</v>
      </c>
    </row>
    <row r="51" spans="1:11">
      <c r="A51" s="113" t="s">
        <v>81</v>
      </c>
      <c r="B51">
        <v>15000</v>
      </c>
      <c r="C51">
        <f t="shared" si="0"/>
        <v>2690.5829596412555</v>
      </c>
      <c r="K51">
        <v>4.0816326530612246</v>
      </c>
    </row>
    <row r="52" spans="1:11">
      <c r="A52" s="113" t="s">
        <v>81</v>
      </c>
      <c r="B52">
        <v>48000</v>
      </c>
      <c r="C52">
        <f t="shared" si="0"/>
        <v>8609.8654708520171</v>
      </c>
      <c r="K52">
        <v>2.5510204081632657</v>
      </c>
    </row>
    <row r="53" spans="1:11">
      <c r="A53" s="113" t="s">
        <v>81</v>
      </c>
      <c r="B53">
        <v>0</v>
      </c>
      <c r="C53">
        <f t="shared" si="0"/>
        <v>0</v>
      </c>
      <c r="K53">
        <v>8.1632653061224492</v>
      </c>
    </row>
    <row r="54" spans="1:11">
      <c r="A54" s="113" t="s">
        <v>81</v>
      </c>
      <c r="B54">
        <v>57000</v>
      </c>
      <c r="C54">
        <f t="shared" si="0"/>
        <v>10224.215246636772</v>
      </c>
      <c r="K54">
        <v>0</v>
      </c>
    </row>
    <row r="55" spans="1:11">
      <c r="A55" s="113" t="s">
        <v>88</v>
      </c>
      <c r="B55">
        <v>0</v>
      </c>
      <c r="C55">
        <v>0</v>
      </c>
      <c r="K55">
        <v>9.6938775510204067</v>
      </c>
    </row>
    <row r="56" spans="1:11">
      <c r="A56" s="113" t="s">
        <v>88</v>
      </c>
      <c r="B56">
        <v>1500</v>
      </c>
      <c r="C56">
        <v>1500</v>
      </c>
      <c r="K56">
        <v>0</v>
      </c>
    </row>
    <row r="57" spans="1:11">
      <c r="A57" s="113" t="s">
        <v>88</v>
      </c>
      <c r="B57">
        <v>6500.0000000000009</v>
      </c>
      <c r="C57">
        <v>6500.0000000000009</v>
      </c>
      <c r="K57">
        <v>1.582012618969199</v>
      </c>
    </row>
    <row r="58" spans="1:11">
      <c r="A58" s="113" t="s">
        <v>88</v>
      </c>
      <c r="B58">
        <v>1250</v>
      </c>
      <c r="C58">
        <v>1250</v>
      </c>
      <c r="K58">
        <v>6.8553880155331965</v>
      </c>
    </row>
    <row r="59" spans="1:11">
      <c r="A59" s="113" t="s">
        <v>88</v>
      </c>
      <c r="B59">
        <v>2000.0000000000002</v>
      </c>
      <c r="C59">
        <v>2000.0000000000002</v>
      </c>
      <c r="K59">
        <v>1.3183438491409991</v>
      </c>
    </row>
    <row r="60" spans="1:11">
      <c r="A60" s="113" t="s">
        <v>88</v>
      </c>
      <c r="B60">
        <v>3750</v>
      </c>
      <c r="C60">
        <v>3750</v>
      </c>
      <c r="K60">
        <v>2.1093501586255976</v>
      </c>
    </row>
    <row r="61" spans="1:11">
      <c r="A61" s="113" t="s">
        <v>88</v>
      </c>
      <c r="B61">
        <v>1250</v>
      </c>
      <c r="C61">
        <v>1250</v>
      </c>
      <c r="K61">
        <v>3.955031547422998</v>
      </c>
    </row>
    <row r="62" spans="1:11">
      <c r="A62" s="113" t="s">
        <v>88</v>
      </c>
      <c r="B62">
        <v>0</v>
      </c>
      <c r="C62">
        <v>0</v>
      </c>
      <c r="K62">
        <v>1.3183438491409991</v>
      </c>
    </row>
    <row r="63" spans="1:11">
      <c r="A63" s="113" t="s">
        <v>88</v>
      </c>
      <c r="B63">
        <v>4000.0000000000005</v>
      </c>
      <c r="C63">
        <v>4000.0000000000005</v>
      </c>
      <c r="K63">
        <v>0</v>
      </c>
    </row>
    <row r="64" spans="1:11">
      <c r="A64" s="113" t="s">
        <v>88</v>
      </c>
      <c r="B64">
        <v>4750</v>
      </c>
      <c r="C64">
        <v>4750</v>
      </c>
      <c r="K64">
        <v>4.2187003172511952</v>
      </c>
    </row>
    <row r="65" spans="1:11">
      <c r="A65" s="113" t="s">
        <v>88</v>
      </c>
      <c r="B65">
        <v>700.00000000000011</v>
      </c>
      <c r="C65">
        <v>700.00000000000011</v>
      </c>
      <c r="K65">
        <v>5.0097066267357961</v>
      </c>
    </row>
    <row r="66" spans="1:11">
      <c r="A66" s="113" t="s">
        <v>88</v>
      </c>
      <c r="B66">
        <v>55500</v>
      </c>
      <c r="C66">
        <v>55500</v>
      </c>
      <c r="K66">
        <v>0.70000000000000007</v>
      </c>
    </row>
    <row r="67" spans="1:11">
      <c r="A67" s="113" t="s">
        <v>88</v>
      </c>
      <c r="B67">
        <v>5760</v>
      </c>
      <c r="C67">
        <v>5760</v>
      </c>
      <c r="K67">
        <v>55.5</v>
      </c>
    </row>
    <row r="68" spans="1:11">
      <c r="A68" s="113" t="s">
        <v>88</v>
      </c>
      <c r="B68">
        <v>6399.9999999999991</v>
      </c>
      <c r="C68">
        <v>6399.9999999999991</v>
      </c>
      <c r="K68">
        <v>5.7600000000000016</v>
      </c>
    </row>
    <row r="69" spans="1:11">
      <c r="A69" s="113" t="s">
        <v>88</v>
      </c>
      <c r="B69">
        <v>5760</v>
      </c>
      <c r="C69">
        <v>5760</v>
      </c>
      <c r="K69">
        <v>6.3999999999999995</v>
      </c>
    </row>
    <row r="70" spans="1:11">
      <c r="A70" s="113" t="s">
        <v>88</v>
      </c>
      <c r="B70">
        <v>2560</v>
      </c>
      <c r="C70">
        <v>2560</v>
      </c>
      <c r="K70">
        <v>5.7600000000000016</v>
      </c>
    </row>
    <row r="71" spans="1:11">
      <c r="A71" s="113" t="s">
        <v>88</v>
      </c>
      <c r="B71">
        <v>1380</v>
      </c>
      <c r="C71">
        <v>1380</v>
      </c>
      <c r="K71">
        <v>2.5600000000000005</v>
      </c>
    </row>
    <row r="72" spans="1:11">
      <c r="A72" s="113" t="s">
        <v>88</v>
      </c>
      <c r="B72">
        <v>960</v>
      </c>
      <c r="C72">
        <v>960</v>
      </c>
      <c r="K72">
        <v>1.38</v>
      </c>
    </row>
    <row r="73" spans="1:11">
      <c r="A73" s="113" t="s">
        <v>88</v>
      </c>
      <c r="B73">
        <v>799.99999999999989</v>
      </c>
      <c r="C73">
        <v>799.99999999999989</v>
      </c>
      <c r="K73">
        <v>0.95999999999999985</v>
      </c>
    </row>
    <row r="74" spans="1:11">
      <c r="A74" s="113" t="s">
        <v>88</v>
      </c>
      <c r="B74">
        <v>799.99999999999989</v>
      </c>
      <c r="C74">
        <v>799.99999999999989</v>
      </c>
      <c r="K74">
        <v>0.79999999999999993</v>
      </c>
    </row>
    <row r="75" spans="1:11">
      <c r="A75" s="113" t="s">
        <v>88</v>
      </c>
      <c r="B75">
        <v>1920</v>
      </c>
      <c r="C75">
        <v>1920</v>
      </c>
      <c r="K75">
        <v>0.79999999999999993</v>
      </c>
    </row>
    <row r="76" spans="1:11">
      <c r="A76" s="113" t="s">
        <v>88</v>
      </c>
      <c r="B76">
        <v>5120</v>
      </c>
      <c r="C76">
        <v>5120</v>
      </c>
      <c r="K76">
        <v>1.9199999999999997</v>
      </c>
    </row>
    <row r="77" spans="1:11">
      <c r="A77" s="113" t="s">
        <v>88</v>
      </c>
      <c r="B77">
        <v>1599.9999999999998</v>
      </c>
      <c r="C77">
        <v>1599.9999999999998</v>
      </c>
      <c r="K77">
        <v>5.120000000000001</v>
      </c>
    </row>
    <row r="78" spans="1:11">
      <c r="A78" s="113" t="s">
        <v>81</v>
      </c>
      <c r="B78">
        <v>82080</v>
      </c>
      <c r="C78">
        <f>B78/$E$2</f>
        <v>14722.86995515695</v>
      </c>
      <c r="K78">
        <v>1.5999999999999999</v>
      </c>
    </row>
    <row r="79" spans="1:11">
      <c r="A79" s="113" t="s">
        <v>81</v>
      </c>
      <c r="B79">
        <v>228000</v>
      </c>
      <c r="C79">
        <f t="shared" ref="C79:C120" si="1">B79/$E$2</f>
        <v>40896.860986547086</v>
      </c>
      <c r="K79">
        <v>13.959183673469388</v>
      </c>
    </row>
    <row r="80" spans="1:11">
      <c r="A80" s="113" t="s">
        <v>81</v>
      </c>
      <c r="B80">
        <v>22800</v>
      </c>
      <c r="C80">
        <f t="shared" si="1"/>
        <v>4089.6860986547085</v>
      </c>
      <c r="K80">
        <v>38.775510204081627</v>
      </c>
    </row>
    <row r="81" spans="1:11">
      <c r="A81" s="113" t="s">
        <v>81</v>
      </c>
      <c r="B81">
        <v>27360</v>
      </c>
      <c r="C81">
        <f t="shared" si="1"/>
        <v>4907.6233183856502</v>
      </c>
      <c r="K81">
        <v>3.8775510204081622</v>
      </c>
    </row>
    <row r="82" spans="1:11">
      <c r="A82" s="113" t="s">
        <v>81</v>
      </c>
      <c r="B82">
        <v>72960</v>
      </c>
      <c r="C82">
        <f t="shared" si="1"/>
        <v>13086.995515695067</v>
      </c>
      <c r="K82">
        <v>4.6530612244897949</v>
      </c>
    </row>
    <row r="83" spans="1:11">
      <c r="A83" s="113" t="s">
        <v>81</v>
      </c>
      <c r="B83">
        <v>22800</v>
      </c>
      <c r="C83">
        <f t="shared" si="1"/>
        <v>4089.6860986547085</v>
      </c>
      <c r="K83">
        <v>12.40816326530612</v>
      </c>
    </row>
    <row r="84" spans="1:11">
      <c r="A84" s="113" t="s">
        <v>81</v>
      </c>
      <c r="B84">
        <v>24000</v>
      </c>
      <c r="C84">
        <f t="shared" si="1"/>
        <v>4304.9327354260085</v>
      </c>
      <c r="K84">
        <v>3.8775510204081622</v>
      </c>
    </row>
    <row r="85" spans="1:11">
      <c r="A85" s="113" t="s">
        <v>81</v>
      </c>
      <c r="B85">
        <v>9000</v>
      </c>
      <c r="C85">
        <f t="shared" si="1"/>
        <v>1614.3497757847533</v>
      </c>
      <c r="K85">
        <v>4.0816326530612246</v>
      </c>
    </row>
    <row r="86" spans="1:11">
      <c r="A86" s="113" t="s">
        <v>81</v>
      </c>
      <c r="B86">
        <v>9000</v>
      </c>
      <c r="C86">
        <f t="shared" si="1"/>
        <v>1614.3497757847533</v>
      </c>
      <c r="K86">
        <v>1.5306122448979596</v>
      </c>
    </row>
    <row r="87" spans="1:11">
      <c r="A87" s="113" t="s">
        <v>81</v>
      </c>
      <c r="B87">
        <v>18000</v>
      </c>
      <c r="C87">
        <f t="shared" si="1"/>
        <v>3228.6995515695066</v>
      </c>
      <c r="K87">
        <v>1.5306122448979596</v>
      </c>
    </row>
    <row r="88" spans="1:11">
      <c r="A88" s="113" t="s">
        <v>81</v>
      </c>
      <c r="B88">
        <v>0</v>
      </c>
      <c r="C88">
        <f t="shared" si="1"/>
        <v>0</v>
      </c>
      <c r="K88">
        <v>3.0612244897959191</v>
      </c>
    </row>
    <row r="89" spans="1:11">
      <c r="A89" s="113" t="s">
        <v>81</v>
      </c>
      <c r="B89">
        <v>0</v>
      </c>
      <c r="C89">
        <f t="shared" si="1"/>
        <v>0</v>
      </c>
      <c r="K89">
        <v>0</v>
      </c>
    </row>
    <row r="90" spans="1:11">
      <c r="A90" s="113" t="s">
        <v>81</v>
      </c>
      <c r="B90">
        <v>179400</v>
      </c>
      <c r="C90">
        <f t="shared" si="1"/>
        <v>32179.372197309414</v>
      </c>
      <c r="K90">
        <v>0</v>
      </c>
    </row>
    <row r="91" spans="1:11">
      <c r="A91" s="113" t="s">
        <v>81</v>
      </c>
      <c r="B91">
        <v>39000</v>
      </c>
      <c r="C91">
        <f t="shared" si="1"/>
        <v>6995.5156950672645</v>
      </c>
      <c r="K91">
        <v>32.178351909645606</v>
      </c>
    </row>
    <row r="92" spans="1:11">
      <c r="A92" s="113" t="s">
        <v>81</v>
      </c>
      <c r="B92">
        <v>109200.00000000001</v>
      </c>
      <c r="C92">
        <f t="shared" si="1"/>
        <v>19587.443946188341</v>
      </c>
      <c r="K92">
        <v>6.9952938934012208</v>
      </c>
    </row>
    <row r="93" spans="1:11">
      <c r="A93" s="113" t="s">
        <v>81</v>
      </c>
      <c r="B93">
        <v>70200</v>
      </c>
      <c r="C93">
        <f t="shared" si="1"/>
        <v>12591.928251121075</v>
      </c>
      <c r="K93">
        <v>19.586822901523419</v>
      </c>
    </row>
    <row r="94" spans="1:11">
      <c r="A94" s="113" t="s">
        <v>81</v>
      </c>
      <c r="B94">
        <v>39000</v>
      </c>
      <c r="C94">
        <f t="shared" si="1"/>
        <v>6995.5156950672645</v>
      </c>
      <c r="K94">
        <v>12.591529008122196</v>
      </c>
    </row>
    <row r="95" spans="1:11">
      <c r="A95" s="113" t="s">
        <v>81</v>
      </c>
      <c r="B95">
        <v>39000</v>
      </c>
      <c r="C95">
        <f t="shared" si="1"/>
        <v>6995.5156950672645</v>
      </c>
      <c r="K95">
        <v>6.9952938934012208</v>
      </c>
    </row>
    <row r="96" spans="1:11">
      <c r="A96" s="113" t="s">
        <v>81</v>
      </c>
      <c r="B96">
        <v>124800</v>
      </c>
      <c r="C96">
        <f t="shared" si="1"/>
        <v>22385.650224215246</v>
      </c>
      <c r="K96">
        <v>6.9952938934012208</v>
      </c>
    </row>
    <row r="97" spans="1:11">
      <c r="A97" s="113" t="s">
        <v>81</v>
      </c>
      <c r="B97">
        <v>117000</v>
      </c>
      <c r="C97">
        <f t="shared" si="1"/>
        <v>20986.547085201793</v>
      </c>
      <c r="K97">
        <v>22.384940458883907</v>
      </c>
    </row>
    <row r="98" spans="1:11">
      <c r="A98" s="113" t="s">
        <v>81</v>
      </c>
      <c r="B98">
        <v>0</v>
      </c>
      <c r="C98">
        <f t="shared" si="1"/>
        <v>0</v>
      </c>
      <c r="K98">
        <v>20.985881680203661</v>
      </c>
    </row>
    <row r="99" spans="1:11">
      <c r="A99" s="113" t="s">
        <v>81</v>
      </c>
      <c r="B99">
        <v>31200</v>
      </c>
      <c r="C99">
        <f t="shared" si="1"/>
        <v>5596.4125560538114</v>
      </c>
      <c r="K99">
        <v>0</v>
      </c>
    </row>
    <row r="100" spans="1:11">
      <c r="A100" s="113" t="s">
        <v>81</v>
      </c>
      <c r="B100">
        <v>31200</v>
      </c>
      <c r="C100">
        <f t="shared" si="1"/>
        <v>5596.4125560538114</v>
      </c>
      <c r="K100">
        <v>5.5962351147209768</v>
      </c>
    </row>
    <row r="101" spans="1:11">
      <c r="A101" s="113" t="s">
        <v>81</v>
      </c>
      <c r="B101">
        <v>4800</v>
      </c>
      <c r="C101">
        <f t="shared" si="1"/>
        <v>860.98654708520178</v>
      </c>
      <c r="K101">
        <v>5.5962351147209768</v>
      </c>
    </row>
    <row r="102" spans="1:11">
      <c r="A102" s="113" t="s">
        <v>81</v>
      </c>
      <c r="B102">
        <v>4800</v>
      </c>
      <c r="C102">
        <f t="shared" si="1"/>
        <v>860.98654708520178</v>
      </c>
      <c r="K102">
        <v>0.86095924841861171</v>
      </c>
    </row>
    <row r="103" spans="1:11">
      <c r="A103" s="113" t="s">
        <v>81</v>
      </c>
      <c r="B103">
        <v>4800</v>
      </c>
      <c r="C103">
        <f t="shared" si="1"/>
        <v>860.98654708520178</v>
      </c>
      <c r="K103">
        <v>0.86095924841861171</v>
      </c>
    </row>
    <row r="104" spans="1:11">
      <c r="A104" s="113" t="s">
        <v>81</v>
      </c>
      <c r="B104">
        <v>4800</v>
      </c>
      <c r="C104">
        <f t="shared" si="1"/>
        <v>860.98654708520178</v>
      </c>
      <c r="K104">
        <v>0.86095924841861171</v>
      </c>
    </row>
    <row r="105" spans="1:11">
      <c r="A105" s="113" t="s">
        <v>81</v>
      </c>
      <c r="B105">
        <v>4800</v>
      </c>
      <c r="C105">
        <f t="shared" si="1"/>
        <v>860.98654708520178</v>
      </c>
      <c r="K105">
        <v>0.86095924841861171</v>
      </c>
    </row>
    <row r="106" spans="1:11">
      <c r="A106" s="113" t="s">
        <v>81</v>
      </c>
      <c r="B106">
        <v>4800</v>
      </c>
      <c r="C106">
        <f t="shared" si="1"/>
        <v>860.98654708520178</v>
      </c>
      <c r="K106">
        <v>0.86095924841861171</v>
      </c>
    </row>
    <row r="107" spans="1:11">
      <c r="A107" s="113" t="s">
        <v>81</v>
      </c>
      <c r="B107">
        <v>4800</v>
      </c>
      <c r="C107">
        <f t="shared" si="1"/>
        <v>860.98654708520178</v>
      </c>
      <c r="K107">
        <v>0.86095924841861171</v>
      </c>
    </row>
    <row r="108" spans="1:11">
      <c r="A108" s="113" t="s">
        <v>81</v>
      </c>
      <c r="B108">
        <v>4800</v>
      </c>
      <c r="C108">
        <f t="shared" si="1"/>
        <v>860.98654708520178</v>
      </c>
      <c r="K108">
        <v>0.86095924841861171</v>
      </c>
    </row>
    <row r="109" spans="1:11">
      <c r="A109" s="113" t="s">
        <v>81</v>
      </c>
      <c r="B109">
        <v>1800</v>
      </c>
      <c r="C109">
        <f t="shared" si="1"/>
        <v>322.86995515695065</v>
      </c>
      <c r="K109">
        <v>0.86095924841861171</v>
      </c>
    </row>
    <row r="110" spans="1:11">
      <c r="A110" s="113" t="s">
        <v>81</v>
      </c>
      <c r="B110">
        <v>11280</v>
      </c>
      <c r="C110">
        <f t="shared" si="1"/>
        <v>2023.3183856502242</v>
      </c>
      <c r="K110">
        <v>0.32285971815697928</v>
      </c>
    </row>
    <row r="111" spans="1:11">
      <c r="A111" s="113" t="s">
        <v>81</v>
      </c>
      <c r="B111">
        <v>30000</v>
      </c>
      <c r="C111">
        <f t="shared" si="1"/>
        <v>5381.1659192825109</v>
      </c>
      <c r="K111">
        <v>2.0232542337837374</v>
      </c>
    </row>
    <row r="112" spans="1:11">
      <c r="A112" s="113" t="s">
        <v>81</v>
      </c>
      <c r="B112">
        <v>66000</v>
      </c>
      <c r="C112">
        <f t="shared" si="1"/>
        <v>11838.565022421524</v>
      </c>
      <c r="K112">
        <v>5.3809953026163226</v>
      </c>
    </row>
    <row r="113" spans="1:11">
      <c r="A113" s="113" t="s">
        <v>81</v>
      </c>
      <c r="B113">
        <v>96000</v>
      </c>
      <c r="C113">
        <f t="shared" si="1"/>
        <v>17219.730941704034</v>
      </c>
      <c r="K113">
        <v>11.838189665755907</v>
      </c>
    </row>
    <row r="114" spans="1:11">
      <c r="A114" s="113" t="s">
        <v>81</v>
      </c>
      <c r="B114">
        <v>9600</v>
      </c>
      <c r="C114">
        <f t="shared" si="1"/>
        <v>1721.9730941704036</v>
      </c>
      <c r="K114">
        <v>17.219184968372236</v>
      </c>
    </row>
    <row r="115" spans="1:11">
      <c r="A115" s="113" t="s">
        <v>81</v>
      </c>
      <c r="B115">
        <v>26400</v>
      </c>
      <c r="C115">
        <f>B115/$E$2</f>
        <v>4735.4260089686095</v>
      </c>
      <c r="K115">
        <v>1.7219184968372234</v>
      </c>
    </row>
    <row r="116" spans="1:11">
      <c r="A116" s="113" t="s">
        <v>81</v>
      </c>
      <c r="B116">
        <v>120000</v>
      </c>
      <c r="C116">
        <f t="shared" si="1"/>
        <v>21524.663677130044</v>
      </c>
      <c r="K116">
        <v>4.7352758663023655</v>
      </c>
    </row>
    <row r="117" spans="1:11">
      <c r="A117" s="113" t="s">
        <v>81</v>
      </c>
      <c r="B117">
        <v>36000</v>
      </c>
      <c r="C117">
        <f t="shared" si="1"/>
        <v>6457.3991031390133</v>
      </c>
      <c r="K117">
        <v>21.523981210465291</v>
      </c>
    </row>
    <row r="118" spans="1:11">
      <c r="A118" s="113" t="s">
        <v>81</v>
      </c>
      <c r="B118">
        <v>18000</v>
      </c>
      <c r="C118">
        <f t="shared" si="1"/>
        <v>3228.6995515695066</v>
      </c>
      <c r="K118">
        <v>6.4571943631395889</v>
      </c>
    </row>
    <row r="119" spans="1:11">
      <c r="A119" s="113" t="s">
        <v>81</v>
      </c>
      <c r="B119">
        <v>3000</v>
      </c>
      <c r="C119">
        <f t="shared" si="1"/>
        <v>538.11659192825107</v>
      </c>
      <c r="K119">
        <v>3.2285971815697945</v>
      </c>
    </row>
    <row r="120" spans="1:11">
      <c r="A120" s="113" t="s">
        <v>81</v>
      </c>
      <c r="B120">
        <v>3000</v>
      </c>
      <c r="C120">
        <f t="shared" si="1"/>
        <v>538.11659192825107</v>
      </c>
      <c r="K120">
        <v>0.53809953026163237</v>
      </c>
    </row>
    <row r="121" spans="1:11">
      <c r="A121" s="113" t="s">
        <v>88</v>
      </c>
      <c r="B121">
        <v>24840</v>
      </c>
      <c r="C121">
        <v>24840</v>
      </c>
      <c r="K121">
        <v>0.53809953026163237</v>
      </c>
    </row>
    <row r="122" spans="1:11">
      <c r="A122" s="113" t="s">
        <v>88</v>
      </c>
      <c r="B122">
        <v>69000</v>
      </c>
      <c r="C122">
        <v>69000</v>
      </c>
      <c r="K122">
        <v>24.84</v>
      </c>
    </row>
    <row r="123" spans="1:11">
      <c r="A123" s="11" t="s">
        <v>88</v>
      </c>
      <c r="B123">
        <v>6900</v>
      </c>
      <c r="C123">
        <v>6900</v>
      </c>
      <c r="K123">
        <v>69.000000000000014</v>
      </c>
    </row>
    <row r="124" spans="1:11">
      <c r="A124" s="11" t="s">
        <v>88</v>
      </c>
      <c r="B124">
        <v>8280</v>
      </c>
      <c r="C124">
        <v>8280</v>
      </c>
      <c r="K124">
        <v>6.9000000000000012</v>
      </c>
    </row>
    <row r="125" spans="1:11">
      <c r="A125" s="11" t="s">
        <v>88</v>
      </c>
      <c r="B125">
        <v>22080</v>
      </c>
      <c r="C125">
        <v>22080</v>
      </c>
      <c r="K125">
        <v>8.2799999999999976</v>
      </c>
    </row>
    <row r="126" spans="1:11">
      <c r="A126" s="11" t="s">
        <v>88</v>
      </c>
      <c r="B126">
        <v>6900</v>
      </c>
      <c r="C126">
        <v>6900</v>
      </c>
      <c r="K126">
        <v>22.08</v>
      </c>
    </row>
    <row r="127" spans="1:11">
      <c r="A127" s="11" t="s">
        <v>88</v>
      </c>
      <c r="B127">
        <v>48514.599999999984</v>
      </c>
      <c r="C127">
        <v>48514.599999999984</v>
      </c>
      <c r="K127">
        <v>6.9000000000000012</v>
      </c>
    </row>
    <row r="128" spans="1:11">
      <c r="A128" s="11" t="s">
        <v>88</v>
      </c>
      <c r="B128">
        <v>2553.4</v>
      </c>
      <c r="C128">
        <v>2553.4</v>
      </c>
      <c r="K128">
        <v>48.514600000000009</v>
      </c>
    </row>
    <row r="129" spans="1:11">
      <c r="A129" s="11" t="s">
        <v>88</v>
      </c>
      <c r="B129">
        <v>41254.858333333323</v>
      </c>
      <c r="C129">
        <v>41254.858333333323</v>
      </c>
      <c r="K129">
        <v>2.5533999999999999</v>
      </c>
    </row>
    <row r="130" spans="1:11">
      <c r="A130" s="11" t="s">
        <v>88</v>
      </c>
      <c r="B130">
        <v>2171.3083333333334</v>
      </c>
      <c r="C130">
        <v>2171.3083333333334</v>
      </c>
      <c r="K130">
        <v>41.254858333333331</v>
      </c>
    </row>
    <row r="131" spans="1:11">
      <c r="A131" s="11" t="s">
        <v>81</v>
      </c>
      <c r="B131">
        <v>207360</v>
      </c>
      <c r="C131">
        <f>B131/$E$2</f>
        <v>37194.618834080713</v>
      </c>
      <c r="K131">
        <v>2.1713083333333332</v>
      </c>
    </row>
    <row r="132" spans="1:11">
      <c r="A132" s="11" t="s">
        <v>81</v>
      </c>
      <c r="B132">
        <v>576000</v>
      </c>
      <c r="C132">
        <f t="shared" ref="C132:C195" si="2">B132/$E$2</f>
        <v>103318.38565022421</v>
      </c>
      <c r="K132">
        <v>36.132480457424535</v>
      </c>
    </row>
    <row r="133" spans="1:11">
      <c r="A133" s="11" t="s">
        <v>81</v>
      </c>
      <c r="B133">
        <v>57600</v>
      </c>
      <c r="C133">
        <f t="shared" si="2"/>
        <v>10331.838565022421</v>
      </c>
      <c r="K133">
        <v>100.36800127062368</v>
      </c>
    </row>
    <row r="134" spans="1:11">
      <c r="A134" s="11" t="s">
        <v>81</v>
      </c>
      <c r="B134">
        <v>69120</v>
      </c>
      <c r="C134">
        <f t="shared" si="2"/>
        <v>12398.206278026906</v>
      </c>
      <c r="K134">
        <v>10.036800127062369</v>
      </c>
    </row>
    <row r="135" spans="1:11">
      <c r="A135" s="11" t="s">
        <v>81</v>
      </c>
      <c r="B135">
        <v>184320</v>
      </c>
      <c r="C135">
        <f t="shared" si="2"/>
        <v>33061.88340807175</v>
      </c>
      <c r="K135">
        <v>12.044160152474847</v>
      </c>
    </row>
    <row r="136" spans="1:11">
      <c r="A136" s="11" t="s">
        <v>81</v>
      </c>
      <c r="B136">
        <v>57600</v>
      </c>
      <c r="C136">
        <f t="shared" si="2"/>
        <v>10331.838565022421</v>
      </c>
      <c r="K136">
        <v>32.117760406599587</v>
      </c>
    </row>
    <row r="137" spans="1:11">
      <c r="A137" s="11" t="s">
        <v>81</v>
      </c>
      <c r="B137">
        <v>9000</v>
      </c>
      <c r="C137">
        <f t="shared" si="2"/>
        <v>1614.3497757847533</v>
      </c>
      <c r="K137">
        <v>10.036800127062369</v>
      </c>
    </row>
    <row r="138" spans="1:11">
      <c r="A138" s="11" t="s">
        <v>81</v>
      </c>
      <c r="B138">
        <v>21000</v>
      </c>
      <c r="C138">
        <f t="shared" si="2"/>
        <v>3766.8161434977578</v>
      </c>
      <c r="K138">
        <v>1.5306122448979596</v>
      </c>
    </row>
    <row r="139" spans="1:11">
      <c r="A139" s="11" t="s">
        <v>81</v>
      </c>
      <c r="B139">
        <v>7600.0800000000008</v>
      </c>
      <c r="C139">
        <f t="shared" si="2"/>
        <v>1363.2430493273544</v>
      </c>
      <c r="K139">
        <v>3.5714285714285707</v>
      </c>
    </row>
    <row r="140" spans="1:11">
      <c r="A140" s="11" t="s">
        <v>81</v>
      </c>
      <c r="B140">
        <v>59592</v>
      </c>
      <c r="C140">
        <f t="shared" si="2"/>
        <v>10689.147982062779</v>
      </c>
      <c r="K140">
        <v>1.2925306122448983</v>
      </c>
    </row>
    <row r="141" spans="1:11">
      <c r="A141" s="11" t="s">
        <v>81</v>
      </c>
      <c r="B141">
        <v>36000</v>
      </c>
      <c r="C141">
        <f t="shared" si="2"/>
        <v>6457.3991031390133</v>
      </c>
      <c r="K141">
        <v>10.134693877551021</v>
      </c>
    </row>
    <row r="142" spans="1:11">
      <c r="A142" s="11" t="s">
        <v>81</v>
      </c>
      <c r="B142">
        <v>36000</v>
      </c>
      <c r="C142">
        <f t="shared" si="2"/>
        <v>6457.3991031390133</v>
      </c>
      <c r="K142">
        <v>6.1224489795918382</v>
      </c>
    </row>
    <row r="143" spans="1:11">
      <c r="A143" s="11" t="s">
        <v>81</v>
      </c>
      <c r="B143">
        <v>36000</v>
      </c>
      <c r="C143">
        <f t="shared" si="2"/>
        <v>6457.3991031390133</v>
      </c>
      <c r="K143">
        <v>6.1224489795918382</v>
      </c>
    </row>
    <row r="144" spans="1:11">
      <c r="A144" s="11" t="s">
        <v>81</v>
      </c>
      <c r="B144">
        <v>36000</v>
      </c>
      <c r="C144">
        <f t="shared" si="2"/>
        <v>6457.3991031390133</v>
      </c>
      <c r="K144">
        <v>6.1224489795918382</v>
      </c>
    </row>
    <row r="145" spans="1:11">
      <c r="A145" s="11" t="s">
        <v>81</v>
      </c>
      <c r="B145">
        <v>36000</v>
      </c>
      <c r="C145">
        <f t="shared" si="2"/>
        <v>6457.3991031390133</v>
      </c>
      <c r="K145">
        <v>6.1224489795918382</v>
      </c>
    </row>
    <row r="146" spans="1:11">
      <c r="A146" s="11" t="s">
        <v>81</v>
      </c>
      <c r="B146">
        <v>0</v>
      </c>
      <c r="C146">
        <f t="shared" si="2"/>
        <v>0</v>
      </c>
      <c r="K146">
        <v>6.1224489795918382</v>
      </c>
    </row>
    <row r="147" spans="1:11">
      <c r="A147" s="11" t="s">
        <v>81</v>
      </c>
      <c r="B147">
        <v>36000</v>
      </c>
      <c r="C147">
        <f t="shared" si="2"/>
        <v>6457.3991031390133</v>
      </c>
      <c r="K147">
        <v>0</v>
      </c>
    </row>
    <row r="148" spans="1:11">
      <c r="A148" s="11" t="s">
        <v>81</v>
      </c>
      <c r="B148">
        <v>216000</v>
      </c>
      <c r="C148">
        <f t="shared" si="2"/>
        <v>38744.394618834078</v>
      </c>
      <c r="K148">
        <v>6.1224489795918382</v>
      </c>
    </row>
    <row r="149" spans="1:11">
      <c r="A149" s="11" t="s">
        <v>81</v>
      </c>
      <c r="B149">
        <v>132000</v>
      </c>
      <c r="C149">
        <f t="shared" si="2"/>
        <v>23677.130044843048</v>
      </c>
      <c r="K149">
        <v>36.734693877551017</v>
      </c>
    </row>
    <row r="150" spans="1:11">
      <c r="A150" s="11" t="s">
        <v>81</v>
      </c>
      <c r="B150">
        <v>120000</v>
      </c>
      <c r="C150">
        <f t="shared" si="2"/>
        <v>21524.663677130044</v>
      </c>
      <c r="K150">
        <v>22.448979591836743</v>
      </c>
    </row>
    <row r="151" spans="1:11">
      <c r="A151" s="11" t="s">
        <v>81</v>
      </c>
      <c r="B151">
        <v>0</v>
      </c>
      <c r="C151">
        <f t="shared" si="2"/>
        <v>0</v>
      </c>
      <c r="K151">
        <v>20.408163265306126</v>
      </c>
    </row>
    <row r="152" spans="1:11">
      <c r="A152" s="11" t="s">
        <v>81</v>
      </c>
      <c r="B152">
        <v>0</v>
      </c>
      <c r="C152">
        <f t="shared" si="2"/>
        <v>0</v>
      </c>
      <c r="K152">
        <v>0</v>
      </c>
    </row>
    <row r="153" spans="1:11">
      <c r="A153" s="11" t="s">
        <v>81</v>
      </c>
      <c r="B153">
        <v>144000</v>
      </c>
      <c r="C153">
        <f t="shared" si="2"/>
        <v>25829.596412556053</v>
      </c>
      <c r="K153">
        <v>0</v>
      </c>
    </row>
    <row r="154" spans="1:11">
      <c r="A154" s="11" t="s">
        <v>81</v>
      </c>
      <c r="B154">
        <v>72000</v>
      </c>
      <c r="C154">
        <f t="shared" si="2"/>
        <v>12914.798206278027</v>
      </c>
      <c r="K154">
        <v>24.489795918367353</v>
      </c>
    </row>
    <row r="155" spans="1:11">
      <c r="A155" s="11" t="s">
        <v>81</v>
      </c>
      <c r="B155">
        <v>72000</v>
      </c>
      <c r="C155">
        <f t="shared" si="2"/>
        <v>12914.798206278027</v>
      </c>
      <c r="K155">
        <v>12.244897959183676</v>
      </c>
    </row>
    <row r="156" spans="1:11">
      <c r="A156" s="11" t="s">
        <v>81</v>
      </c>
      <c r="B156">
        <v>0</v>
      </c>
      <c r="C156">
        <f t="shared" si="2"/>
        <v>0</v>
      </c>
      <c r="K156">
        <v>12.244897959183676</v>
      </c>
    </row>
    <row r="157" spans="1:11">
      <c r="A157" s="11" t="s">
        <v>81</v>
      </c>
      <c r="B157">
        <v>360000</v>
      </c>
      <c r="C157">
        <f t="shared" si="2"/>
        <v>64573.991031390135</v>
      </c>
      <c r="K157">
        <v>0</v>
      </c>
    </row>
    <row r="158" spans="1:11">
      <c r="A158" s="11" t="s">
        <v>81</v>
      </c>
      <c r="B158">
        <v>32000</v>
      </c>
      <c r="C158">
        <f t="shared" si="2"/>
        <v>5739.910313901345</v>
      </c>
      <c r="K158">
        <v>61.224489795918352</v>
      </c>
    </row>
    <row r="159" spans="1:11">
      <c r="A159" s="11" t="s">
        <v>81</v>
      </c>
      <c r="B159">
        <v>40000</v>
      </c>
      <c r="C159">
        <f t="shared" si="2"/>
        <v>7174.8878923766815</v>
      </c>
      <c r="K159">
        <v>5.4421768707482991</v>
      </c>
    </row>
    <row r="160" spans="1:11">
      <c r="A160" s="11" t="s">
        <v>81</v>
      </c>
      <c r="B160">
        <v>0</v>
      </c>
      <c r="C160">
        <f t="shared" si="2"/>
        <v>0</v>
      </c>
      <c r="K160">
        <v>6.8027210884353746</v>
      </c>
    </row>
    <row r="161" spans="1:11">
      <c r="A161" s="11" t="s">
        <v>81</v>
      </c>
      <c r="B161">
        <v>40000</v>
      </c>
      <c r="C161">
        <f t="shared" si="2"/>
        <v>7174.8878923766815</v>
      </c>
      <c r="K161">
        <v>0</v>
      </c>
    </row>
    <row r="162" spans="1:11">
      <c r="A162" s="11" t="s">
        <v>81</v>
      </c>
      <c r="B162">
        <v>16000</v>
      </c>
      <c r="C162">
        <f t="shared" si="2"/>
        <v>2869.9551569506725</v>
      </c>
      <c r="K162">
        <v>6.8027210884353746</v>
      </c>
    </row>
    <row r="163" spans="1:11">
      <c r="A163" s="11" t="s">
        <v>81</v>
      </c>
      <c r="B163">
        <v>8000</v>
      </c>
      <c r="C163">
        <f t="shared" si="2"/>
        <v>1434.9775784753363</v>
      </c>
      <c r="K163">
        <v>2.7210884353741496</v>
      </c>
    </row>
    <row r="164" spans="1:11">
      <c r="A164" s="11" t="s">
        <v>81</v>
      </c>
      <c r="B164">
        <v>14000</v>
      </c>
      <c r="C164">
        <f t="shared" si="2"/>
        <v>2511.2107623318384</v>
      </c>
      <c r="K164">
        <v>1.3605442176870748</v>
      </c>
    </row>
    <row r="165" spans="1:11">
      <c r="A165" s="11" t="s">
        <v>81</v>
      </c>
      <c r="B165">
        <v>14000</v>
      </c>
      <c r="C165">
        <f t="shared" si="2"/>
        <v>2511.2107623318384</v>
      </c>
      <c r="K165">
        <v>2.3809523809523809</v>
      </c>
    </row>
    <row r="166" spans="1:11">
      <c r="A166" s="11" t="s">
        <v>81</v>
      </c>
      <c r="B166">
        <v>24000</v>
      </c>
      <c r="C166">
        <f t="shared" si="2"/>
        <v>4304.9327354260085</v>
      </c>
      <c r="K166">
        <v>2.3809523809523809</v>
      </c>
    </row>
    <row r="167" spans="1:11">
      <c r="A167" s="11" t="s">
        <v>81</v>
      </c>
      <c r="B167">
        <v>0</v>
      </c>
      <c r="C167">
        <f t="shared" si="2"/>
        <v>0</v>
      </c>
      <c r="K167">
        <v>4.0816326530612246</v>
      </c>
    </row>
    <row r="168" spans="1:11">
      <c r="A168" s="11" t="s">
        <v>81</v>
      </c>
      <c r="B168">
        <v>8000</v>
      </c>
      <c r="C168">
        <f t="shared" si="2"/>
        <v>1434.9775784753363</v>
      </c>
      <c r="K168">
        <v>0</v>
      </c>
    </row>
    <row r="169" spans="1:11">
      <c r="A169" s="11" t="s">
        <v>81</v>
      </c>
      <c r="B169">
        <v>32000</v>
      </c>
      <c r="C169">
        <f t="shared" si="2"/>
        <v>5739.910313901345</v>
      </c>
      <c r="K169">
        <v>1.3605442176870748</v>
      </c>
    </row>
    <row r="170" spans="1:11">
      <c r="A170" s="11" t="s">
        <v>81</v>
      </c>
      <c r="B170">
        <v>8000</v>
      </c>
      <c r="C170">
        <f t="shared" si="2"/>
        <v>1434.9775784753363</v>
      </c>
      <c r="K170">
        <v>5.4421768707482991</v>
      </c>
    </row>
    <row r="171" spans="1:11">
      <c r="A171" s="11" t="s">
        <v>81</v>
      </c>
      <c r="B171">
        <v>0</v>
      </c>
      <c r="C171">
        <f t="shared" si="2"/>
        <v>0</v>
      </c>
      <c r="K171">
        <v>1.3605442176870748</v>
      </c>
    </row>
    <row r="172" spans="1:11">
      <c r="A172" s="11" t="s">
        <v>81</v>
      </c>
      <c r="B172">
        <v>24000</v>
      </c>
      <c r="C172">
        <f t="shared" si="2"/>
        <v>4304.9327354260085</v>
      </c>
      <c r="K172">
        <v>0</v>
      </c>
    </row>
    <row r="173" spans="1:11">
      <c r="A173" s="11" t="s">
        <v>81</v>
      </c>
      <c r="B173">
        <v>41040</v>
      </c>
      <c r="C173">
        <f t="shared" si="2"/>
        <v>7361.4349775784749</v>
      </c>
      <c r="K173">
        <v>4.0816326530612246</v>
      </c>
    </row>
    <row r="174" spans="1:11">
      <c r="A174" s="11" t="s">
        <v>81</v>
      </c>
      <c r="B174">
        <v>114000</v>
      </c>
      <c r="C174">
        <f t="shared" si="2"/>
        <v>20448.430493273543</v>
      </c>
      <c r="K174">
        <v>6.9795918367346941</v>
      </c>
    </row>
    <row r="175" spans="1:11">
      <c r="A175" s="11" t="s">
        <v>81</v>
      </c>
      <c r="B175">
        <v>11400</v>
      </c>
      <c r="C175">
        <f t="shared" si="2"/>
        <v>2044.8430493273543</v>
      </c>
      <c r="K175">
        <v>19.387755102040813</v>
      </c>
    </row>
    <row r="176" spans="1:11">
      <c r="A176" s="11" t="s">
        <v>81</v>
      </c>
      <c r="B176">
        <v>13680</v>
      </c>
      <c r="C176">
        <f t="shared" si="2"/>
        <v>2453.8116591928251</v>
      </c>
      <c r="K176">
        <v>1.9387755102040811</v>
      </c>
    </row>
    <row r="177" spans="1:11">
      <c r="A177" s="11" t="s">
        <v>81</v>
      </c>
      <c r="B177">
        <v>36480</v>
      </c>
      <c r="C177">
        <f t="shared" si="2"/>
        <v>6543.4977578475336</v>
      </c>
      <c r="K177">
        <v>2.3265306122448974</v>
      </c>
    </row>
    <row r="178" spans="1:11">
      <c r="A178" s="11" t="s">
        <v>81</v>
      </c>
      <c r="B178">
        <v>11400</v>
      </c>
      <c r="C178">
        <f t="shared" si="2"/>
        <v>2044.8430493273543</v>
      </c>
      <c r="K178">
        <v>6.2040816326530601</v>
      </c>
    </row>
    <row r="179" spans="1:11">
      <c r="A179" s="11" t="s">
        <v>81</v>
      </c>
      <c r="B179">
        <v>0</v>
      </c>
      <c r="C179">
        <f t="shared" si="2"/>
        <v>0</v>
      </c>
      <c r="K179">
        <v>1.9387755102040811</v>
      </c>
    </row>
    <row r="180" spans="1:11">
      <c r="A180" s="11" t="s">
        <v>81</v>
      </c>
      <c r="B180">
        <v>0</v>
      </c>
      <c r="C180">
        <f t="shared" si="2"/>
        <v>0</v>
      </c>
      <c r="K180">
        <v>0</v>
      </c>
    </row>
    <row r="181" spans="1:11">
      <c r="A181" s="11" t="s">
        <v>81</v>
      </c>
      <c r="B181">
        <v>1704</v>
      </c>
      <c r="C181">
        <f t="shared" si="2"/>
        <v>305.65022421524662</v>
      </c>
      <c r="K181">
        <v>0</v>
      </c>
    </row>
    <row r="182" spans="1:11">
      <c r="A182" s="11" t="s">
        <v>81</v>
      </c>
      <c r="B182">
        <v>0</v>
      </c>
      <c r="C182">
        <f t="shared" si="2"/>
        <v>0</v>
      </c>
      <c r="K182">
        <v>0.28979591836734692</v>
      </c>
    </row>
    <row r="183" spans="1:11">
      <c r="A183" s="11" t="s">
        <v>81</v>
      </c>
      <c r="B183">
        <v>0</v>
      </c>
      <c r="C183">
        <f t="shared" si="2"/>
        <v>0</v>
      </c>
      <c r="K183">
        <v>0</v>
      </c>
    </row>
    <row r="184" spans="1:11">
      <c r="A184" s="11" t="s">
        <v>81</v>
      </c>
      <c r="B184">
        <v>0</v>
      </c>
      <c r="C184">
        <f t="shared" si="2"/>
        <v>0</v>
      </c>
      <c r="K184">
        <v>0</v>
      </c>
    </row>
    <row r="185" spans="1:11">
      <c r="A185" s="11" t="s">
        <v>81</v>
      </c>
      <c r="B185">
        <v>0</v>
      </c>
      <c r="C185">
        <f t="shared" si="2"/>
        <v>0</v>
      </c>
      <c r="K185">
        <v>0</v>
      </c>
    </row>
    <row r="186" spans="1:11">
      <c r="A186" s="11" t="s">
        <v>81</v>
      </c>
      <c r="B186">
        <v>0</v>
      </c>
      <c r="C186">
        <f t="shared" si="2"/>
        <v>0</v>
      </c>
      <c r="K186">
        <v>0</v>
      </c>
    </row>
    <row r="187" spans="1:11">
      <c r="A187" s="11" t="s">
        <v>81</v>
      </c>
      <c r="B187">
        <v>0</v>
      </c>
      <c r="C187">
        <f t="shared" si="2"/>
        <v>0</v>
      </c>
      <c r="K187">
        <v>0</v>
      </c>
    </row>
    <row r="188" spans="1:11">
      <c r="A188" s="11" t="s">
        <v>81</v>
      </c>
      <c r="B188">
        <v>4680</v>
      </c>
      <c r="C188">
        <f t="shared" si="2"/>
        <v>839.46188340807169</v>
      </c>
      <c r="K188">
        <v>0</v>
      </c>
    </row>
    <row r="189" spans="1:11">
      <c r="A189" s="11" t="s">
        <v>81</v>
      </c>
      <c r="B189">
        <v>36000</v>
      </c>
      <c r="C189">
        <f t="shared" si="2"/>
        <v>6457.3991031390133</v>
      </c>
      <c r="K189">
        <v>0.79591836734693888</v>
      </c>
    </row>
    <row r="190" spans="1:11">
      <c r="A190" s="11" t="s">
        <v>81</v>
      </c>
      <c r="B190">
        <v>44400</v>
      </c>
      <c r="C190">
        <f t="shared" si="2"/>
        <v>7964.1255605381166</v>
      </c>
      <c r="K190">
        <v>6.1224489795918382</v>
      </c>
    </row>
    <row r="191" spans="1:11">
      <c r="A191" s="11" t="s">
        <v>81</v>
      </c>
      <c r="B191">
        <v>18000</v>
      </c>
      <c r="C191">
        <f t="shared" si="2"/>
        <v>3228.6995515695066</v>
      </c>
      <c r="K191">
        <v>7.5510204081632653</v>
      </c>
    </row>
    <row r="192" spans="1:11">
      <c r="A192" s="11" t="s">
        <v>81</v>
      </c>
      <c r="B192">
        <v>1800</v>
      </c>
      <c r="C192">
        <f t="shared" si="2"/>
        <v>322.86995515695065</v>
      </c>
      <c r="K192">
        <v>3.0612244897959191</v>
      </c>
    </row>
    <row r="193" spans="1:11">
      <c r="A193" s="11" t="s">
        <v>81</v>
      </c>
      <c r="B193">
        <v>120000</v>
      </c>
      <c r="C193">
        <f t="shared" si="2"/>
        <v>21524.663677130044</v>
      </c>
      <c r="K193">
        <v>0.30612244897959184</v>
      </c>
    </row>
    <row r="194" spans="1:11">
      <c r="A194" s="11" t="s">
        <v>81</v>
      </c>
      <c r="B194">
        <v>14400</v>
      </c>
      <c r="C194">
        <f t="shared" si="2"/>
        <v>2582.9596412556052</v>
      </c>
      <c r="K194">
        <v>20.408163265306126</v>
      </c>
    </row>
    <row r="195" spans="1:11">
      <c r="A195" s="11" t="s">
        <v>81</v>
      </c>
      <c r="B195">
        <v>2880</v>
      </c>
      <c r="C195">
        <f t="shared" si="2"/>
        <v>516.59192825112109</v>
      </c>
      <c r="K195">
        <v>2.4489795918367347</v>
      </c>
    </row>
    <row r="196" spans="1:11">
      <c r="A196" s="11" t="s">
        <v>81</v>
      </c>
      <c r="B196">
        <v>19200</v>
      </c>
      <c r="C196">
        <f t="shared" ref="C196:C205" si="3">B196/$E$2</f>
        <v>3443.9461883408071</v>
      </c>
      <c r="K196">
        <v>0.48979591836734687</v>
      </c>
    </row>
    <row r="197" spans="1:11">
      <c r="A197" s="11" t="s">
        <v>81</v>
      </c>
      <c r="B197">
        <v>120000</v>
      </c>
      <c r="C197">
        <f t="shared" si="3"/>
        <v>21524.663677130044</v>
      </c>
      <c r="K197">
        <v>3.4438369936744468</v>
      </c>
    </row>
    <row r="198" spans="1:11">
      <c r="A198" s="11" t="s">
        <v>81</v>
      </c>
      <c r="B198">
        <v>0</v>
      </c>
      <c r="C198">
        <f t="shared" si="3"/>
        <v>0</v>
      </c>
      <c r="K198">
        <v>21.523981210465291</v>
      </c>
    </row>
    <row r="199" spans="1:11">
      <c r="A199" s="11" t="s">
        <v>81</v>
      </c>
      <c r="B199">
        <v>23400</v>
      </c>
      <c r="C199">
        <f t="shared" si="3"/>
        <v>4197.3094170403583</v>
      </c>
      <c r="K199">
        <v>0</v>
      </c>
    </row>
    <row r="200" spans="1:11">
      <c r="A200" s="11" t="s">
        <v>81</v>
      </c>
      <c r="B200">
        <v>4680</v>
      </c>
      <c r="C200">
        <f t="shared" si="3"/>
        <v>839.46188340807169</v>
      </c>
      <c r="K200">
        <v>3.9795918367346945</v>
      </c>
    </row>
    <row r="201" spans="1:11">
      <c r="A201" s="11" t="s">
        <v>81</v>
      </c>
      <c r="B201">
        <v>7920</v>
      </c>
      <c r="C201">
        <f t="shared" si="3"/>
        <v>1420.6278026905829</v>
      </c>
      <c r="K201">
        <v>0.79591836734693888</v>
      </c>
    </row>
    <row r="202" spans="1:11">
      <c r="A202" s="11" t="s">
        <v>81</v>
      </c>
      <c r="B202">
        <v>3120</v>
      </c>
      <c r="C202">
        <f t="shared" si="3"/>
        <v>559.64125560538116</v>
      </c>
      <c r="K202">
        <v>1.3469387755102042</v>
      </c>
    </row>
    <row r="203" spans="1:11">
      <c r="A203" s="11" t="s">
        <v>81</v>
      </c>
      <c r="B203">
        <v>624</v>
      </c>
      <c r="C203">
        <f t="shared" si="3"/>
        <v>111.92825112107623</v>
      </c>
      <c r="K203">
        <v>0.53061224489795922</v>
      </c>
    </row>
    <row r="204" spans="1:11">
      <c r="A204" s="11" t="s">
        <v>81</v>
      </c>
      <c r="B204">
        <v>1056</v>
      </c>
      <c r="C204">
        <f t="shared" si="3"/>
        <v>189.4170403587444</v>
      </c>
      <c r="K204">
        <v>0.10612244897959185</v>
      </c>
    </row>
    <row r="205" spans="1:11">
      <c r="A205" s="11" t="s">
        <v>81</v>
      </c>
      <c r="B205">
        <v>36000</v>
      </c>
      <c r="C205">
        <f t="shared" si="3"/>
        <v>6457.3991031390133</v>
      </c>
      <c r="K205">
        <v>0.17959183673469384</v>
      </c>
    </row>
    <row r="206" spans="1:11">
      <c r="A206" s="11" t="s">
        <v>88</v>
      </c>
      <c r="B206">
        <v>3499.9999999999995</v>
      </c>
      <c r="C206">
        <v>3499.9999999999995</v>
      </c>
      <c r="K206">
        <v>6.1224489795918382</v>
      </c>
    </row>
    <row r="207" spans="1:11">
      <c r="A207" s="11" t="s">
        <v>81</v>
      </c>
      <c r="B207">
        <v>15600</v>
      </c>
      <c r="C207">
        <f>B207/$E$2</f>
        <v>2798.2062780269057</v>
      </c>
      <c r="K207">
        <v>3.4999999999999996</v>
      </c>
    </row>
    <row r="208" spans="1:11">
      <c r="A208" s="11" t="s">
        <v>81</v>
      </c>
      <c r="B208">
        <v>3120</v>
      </c>
      <c r="C208">
        <f t="shared" ref="C208:C222" si="4">B208/$E$2</f>
        <v>559.64125560538116</v>
      </c>
      <c r="K208">
        <v>2.6530612244897953</v>
      </c>
    </row>
    <row r="209" spans="1:11">
      <c r="A209" s="11" t="s">
        <v>81</v>
      </c>
      <c r="B209">
        <v>5280</v>
      </c>
      <c r="C209">
        <f t="shared" si="4"/>
        <v>947.08520179372192</v>
      </c>
      <c r="K209">
        <v>0.53061224489795922</v>
      </c>
    </row>
    <row r="210" spans="1:11">
      <c r="A210" s="11" t="s">
        <v>81</v>
      </c>
      <c r="B210">
        <v>171600</v>
      </c>
      <c r="C210">
        <f t="shared" si="4"/>
        <v>30780.269058295962</v>
      </c>
      <c r="K210">
        <v>0.89795918367346916</v>
      </c>
    </row>
    <row r="211" spans="1:11">
      <c r="A211" s="11" t="s">
        <v>81</v>
      </c>
      <c r="B211">
        <v>34320</v>
      </c>
      <c r="C211">
        <f t="shared" si="4"/>
        <v>6156.0538116591924</v>
      </c>
      <c r="K211">
        <v>29.183673469387767</v>
      </c>
    </row>
    <row r="212" spans="1:11">
      <c r="A212" s="11" t="s">
        <v>81</v>
      </c>
      <c r="B212">
        <v>58080</v>
      </c>
      <c r="C212">
        <f t="shared" si="4"/>
        <v>10417.937219730942</v>
      </c>
      <c r="K212">
        <v>5.8367346938775491</v>
      </c>
    </row>
    <row r="213" spans="1:11">
      <c r="A213" s="11" t="s">
        <v>81</v>
      </c>
      <c r="B213">
        <v>15600</v>
      </c>
      <c r="C213">
        <f t="shared" si="4"/>
        <v>2798.2062780269057</v>
      </c>
      <c r="K213">
        <v>9.8775510204081627</v>
      </c>
    </row>
    <row r="214" spans="1:11">
      <c r="A214" s="11" t="s">
        <v>81</v>
      </c>
      <c r="B214">
        <v>3120</v>
      </c>
      <c r="C214">
        <f t="shared" si="4"/>
        <v>559.64125560538116</v>
      </c>
      <c r="K214">
        <v>2.6530612244897953</v>
      </c>
    </row>
    <row r="215" spans="1:11">
      <c r="A215" s="11" t="s">
        <v>81</v>
      </c>
      <c r="B215">
        <v>5280</v>
      </c>
      <c r="C215">
        <f t="shared" si="4"/>
        <v>947.08520179372192</v>
      </c>
      <c r="K215">
        <v>0.53061224489795922</v>
      </c>
    </row>
    <row r="216" spans="1:11">
      <c r="A216" s="11" t="s">
        <v>81</v>
      </c>
      <c r="B216">
        <v>18000</v>
      </c>
      <c r="C216">
        <f t="shared" si="4"/>
        <v>3228.6995515695066</v>
      </c>
      <c r="K216">
        <v>0.89795918367346916</v>
      </c>
    </row>
    <row r="217" spans="1:11">
      <c r="A217" s="11" t="s">
        <v>81</v>
      </c>
      <c r="B217">
        <v>3600</v>
      </c>
      <c r="C217">
        <f t="shared" si="4"/>
        <v>645.73991031390131</v>
      </c>
      <c r="K217">
        <v>3.0612244897959191</v>
      </c>
    </row>
    <row r="218" spans="1:11">
      <c r="A218" s="11" t="s">
        <v>81</v>
      </c>
      <c r="B218">
        <v>10800</v>
      </c>
      <c r="C218">
        <f t="shared" si="4"/>
        <v>1937.219730941704</v>
      </c>
      <c r="K218">
        <v>0.61224489795918369</v>
      </c>
    </row>
    <row r="219" spans="1:11">
      <c r="A219" s="11" t="s">
        <v>81</v>
      </c>
      <c r="B219">
        <v>3600</v>
      </c>
      <c r="C219">
        <f t="shared" si="4"/>
        <v>645.73991031390131</v>
      </c>
      <c r="K219">
        <v>1.8367346938775515</v>
      </c>
    </row>
    <row r="220" spans="1:11">
      <c r="A220" s="11" t="s">
        <v>81</v>
      </c>
      <c r="B220">
        <v>0</v>
      </c>
      <c r="C220">
        <f t="shared" si="4"/>
        <v>0</v>
      </c>
      <c r="K220">
        <v>0.61224489795918369</v>
      </c>
    </row>
    <row r="221" spans="1:11">
      <c r="A221" s="11" t="s">
        <v>81</v>
      </c>
      <c r="B221">
        <v>10800</v>
      </c>
      <c r="C221">
        <f t="shared" si="4"/>
        <v>1937.219730941704</v>
      </c>
      <c r="K221">
        <v>0</v>
      </c>
    </row>
    <row r="222" spans="1:11">
      <c r="A222" s="11" t="s">
        <v>81</v>
      </c>
      <c r="B222">
        <v>13200</v>
      </c>
      <c r="C222">
        <f t="shared" si="4"/>
        <v>2367.7130044843047</v>
      </c>
      <c r="K222">
        <v>1.8367346938775515</v>
      </c>
    </row>
    <row r="223" spans="1:11">
      <c r="A223" s="11" t="s">
        <v>88</v>
      </c>
      <c r="B223">
        <v>0</v>
      </c>
      <c r="C223">
        <v>0</v>
      </c>
      <c r="K223">
        <v>2.2448979591836742</v>
      </c>
    </row>
    <row r="224" spans="1:11">
      <c r="A224" s="11" t="s">
        <v>88</v>
      </c>
      <c r="B224">
        <v>7800</v>
      </c>
      <c r="C224">
        <v>7800</v>
      </c>
      <c r="K224">
        <v>0</v>
      </c>
    </row>
    <row r="225" spans="1:11">
      <c r="A225" s="11" t="s">
        <v>88</v>
      </c>
      <c r="B225">
        <v>1560</v>
      </c>
      <c r="C225">
        <v>1560</v>
      </c>
      <c r="K225">
        <v>7.8000000000000016</v>
      </c>
    </row>
    <row r="226" spans="1:11">
      <c r="A226" s="11" t="s">
        <v>88</v>
      </c>
      <c r="B226">
        <v>2640</v>
      </c>
      <c r="C226">
        <v>2640</v>
      </c>
      <c r="K226">
        <v>1.5599999999999996</v>
      </c>
    </row>
    <row r="227" spans="1:11">
      <c r="A227" s="11" t="s">
        <v>88</v>
      </c>
      <c r="B227">
        <v>2664</v>
      </c>
      <c r="C227">
        <v>2664</v>
      </c>
      <c r="K227">
        <v>2.6399999999999997</v>
      </c>
    </row>
    <row r="228" spans="1:11">
      <c r="B228" t="s">
        <v>364</v>
      </c>
      <c r="C228" t="s">
        <v>364</v>
      </c>
      <c r="K228">
        <v>2.6639999999999997</v>
      </c>
    </row>
    <row r="229" spans="1:11">
      <c r="A229" s="11"/>
      <c r="B229" t="s">
        <v>364</v>
      </c>
      <c r="C229" t="s">
        <v>364</v>
      </c>
      <c r="K229" t="s">
        <v>364</v>
      </c>
    </row>
    <row r="230" spans="1:11">
      <c r="A230" s="11"/>
      <c r="B230" t="s">
        <v>364</v>
      </c>
      <c r="C230" t="s">
        <v>364</v>
      </c>
      <c r="K230" t="s">
        <v>364</v>
      </c>
    </row>
    <row r="231" spans="1:11">
      <c r="A231" s="11" t="s">
        <v>88</v>
      </c>
      <c r="B231">
        <v>384000</v>
      </c>
      <c r="C231">
        <v>384000</v>
      </c>
      <c r="K231" t="s">
        <v>364</v>
      </c>
    </row>
    <row r="232" spans="1:11">
      <c r="A232" s="11" t="s">
        <v>81</v>
      </c>
      <c r="B232" t="s">
        <v>364</v>
      </c>
      <c r="K232">
        <v>66.424539030724432</v>
      </c>
    </row>
    <row r="233" spans="1:11">
      <c r="A233" s="11" t="s">
        <v>81</v>
      </c>
      <c r="B233" t="s">
        <v>364</v>
      </c>
    </row>
    <row r="234" spans="1:11">
      <c r="A234" s="11" t="s">
        <v>81</v>
      </c>
      <c r="B234" t="s">
        <v>364</v>
      </c>
    </row>
    <row r="235" spans="1:11">
      <c r="A235" s="11" t="s">
        <v>81</v>
      </c>
      <c r="B235" t="s">
        <v>364</v>
      </c>
    </row>
    <row r="236" spans="1:11">
      <c r="A236" s="11" t="s">
        <v>81</v>
      </c>
      <c r="B236" t="s">
        <v>364</v>
      </c>
    </row>
    <row r="237" spans="1:11">
      <c r="A237" s="11" t="s">
        <v>81</v>
      </c>
      <c r="B237">
        <v>14400</v>
      </c>
      <c r="C237">
        <f t="shared" ref="C237:C260" si="5">B237/$E$2</f>
        <v>2582.9596412556052</v>
      </c>
    </row>
    <row r="238" spans="1:11">
      <c r="A238" s="11" t="s">
        <v>81</v>
      </c>
      <c r="B238">
        <v>48000</v>
      </c>
      <c r="C238">
        <f t="shared" si="5"/>
        <v>8609.8654708520171</v>
      </c>
    </row>
    <row r="239" spans="1:11">
      <c r="A239" s="11" t="s">
        <v>81</v>
      </c>
      <c r="B239">
        <v>60000</v>
      </c>
      <c r="C239">
        <f t="shared" si="5"/>
        <v>10762.331838565022</v>
      </c>
    </row>
    <row r="240" spans="1:11">
      <c r="A240" s="11" t="s">
        <v>81</v>
      </c>
      <c r="B240">
        <v>15000</v>
      </c>
      <c r="C240">
        <f t="shared" si="5"/>
        <v>2690.5829596412555</v>
      </c>
    </row>
    <row r="241" spans="1:3">
      <c r="A241" s="11" t="s">
        <v>81</v>
      </c>
      <c r="B241">
        <v>46800</v>
      </c>
      <c r="C241">
        <f t="shared" si="5"/>
        <v>8394.6188340807166</v>
      </c>
    </row>
    <row r="242" spans="1:3">
      <c r="A242" s="11" t="s">
        <v>81</v>
      </c>
      <c r="B242">
        <v>109200</v>
      </c>
      <c r="C242">
        <f t="shared" si="5"/>
        <v>19587.443946188341</v>
      </c>
    </row>
    <row r="243" spans="1:3">
      <c r="A243" s="11" t="s">
        <v>81</v>
      </c>
      <c r="B243">
        <v>14400</v>
      </c>
      <c r="C243">
        <f t="shared" si="5"/>
        <v>2582.9596412556052</v>
      </c>
    </row>
    <row r="244" spans="1:3">
      <c r="A244" s="11" t="s">
        <v>81</v>
      </c>
      <c r="B244">
        <v>19200</v>
      </c>
      <c r="C244">
        <f t="shared" si="5"/>
        <v>3443.9461883408071</v>
      </c>
    </row>
    <row r="245" spans="1:3">
      <c r="A245" s="11" t="s">
        <v>81</v>
      </c>
      <c r="B245">
        <v>9000</v>
      </c>
      <c r="C245">
        <f t="shared" si="5"/>
        <v>1614.3497757847533</v>
      </c>
    </row>
    <row r="246" spans="1:3">
      <c r="A246" s="11" t="s">
        <v>81</v>
      </c>
      <c r="B246">
        <v>24000</v>
      </c>
      <c r="C246">
        <f t="shared" si="5"/>
        <v>4304.9327354260085</v>
      </c>
    </row>
    <row r="247" spans="1:3">
      <c r="A247" s="11" t="s">
        <v>81</v>
      </c>
      <c r="B247">
        <v>14400</v>
      </c>
      <c r="C247">
        <f t="shared" si="5"/>
        <v>2582.9596412556052</v>
      </c>
    </row>
    <row r="248" spans="1:3">
      <c r="A248" s="11" t="s">
        <v>81</v>
      </c>
      <c r="B248">
        <v>19200</v>
      </c>
      <c r="C248">
        <f t="shared" si="5"/>
        <v>3443.9461883408071</v>
      </c>
    </row>
    <row r="249" spans="1:3">
      <c r="A249" s="11" t="s">
        <v>81</v>
      </c>
      <c r="B249">
        <v>9000</v>
      </c>
      <c r="C249">
        <f t="shared" si="5"/>
        <v>1614.3497757847533</v>
      </c>
    </row>
    <row r="250" spans="1:3">
      <c r="A250" s="11" t="s">
        <v>81</v>
      </c>
      <c r="B250">
        <v>24000</v>
      </c>
      <c r="C250">
        <f t="shared" si="5"/>
        <v>4304.9327354260085</v>
      </c>
    </row>
    <row r="251" spans="1:3">
      <c r="A251" s="11" t="s">
        <v>81</v>
      </c>
      <c r="B251">
        <v>14400</v>
      </c>
      <c r="C251">
        <f t="shared" si="5"/>
        <v>2582.9596412556052</v>
      </c>
    </row>
    <row r="252" spans="1:3">
      <c r="A252" s="11" t="s">
        <v>81</v>
      </c>
      <c r="B252">
        <v>19200</v>
      </c>
      <c r="C252">
        <f t="shared" si="5"/>
        <v>3443.9461883408071</v>
      </c>
    </row>
    <row r="253" spans="1:3">
      <c r="A253" s="11" t="s">
        <v>81</v>
      </c>
      <c r="B253">
        <v>9000</v>
      </c>
      <c r="C253">
        <f t="shared" si="5"/>
        <v>1614.3497757847533</v>
      </c>
    </row>
    <row r="254" spans="1:3">
      <c r="A254" s="11" t="s">
        <v>81</v>
      </c>
      <c r="B254">
        <v>24000</v>
      </c>
      <c r="C254">
        <f t="shared" si="5"/>
        <v>4304.9327354260085</v>
      </c>
    </row>
    <row r="255" spans="1:3">
      <c r="A255" s="11" t="s">
        <v>81</v>
      </c>
      <c r="B255">
        <v>24000</v>
      </c>
      <c r="C255">
        <f t="shared" si="5"/>
        <v>4304.9327354260085</v>
      </c>
    </row>
    <row r="256" spans="1:3">
      <c r="A256" s="11" t="s">
        <v>81</v>
      </c>
      <c r="B256">
        <v>4800</v>
      </c>
      <c r="C256">
        <f t="shared" si="5"/>
        <v>860.98654708520178</v>
      </c>
    </row>
    <row r="257" spans="1:3">
      <c r="A257" s="11" t="s">
        <v>81</v>
      </c>
      <c r="B257">
        <v>2700</v>
      </c>
      <c r="C257">
        <f t="shared" si="5"/>
        <v>484.30493273542601</v>
      </c>
    </row>
    <row r="258" spans="1:3">
      <c r="A258" s="11" t="s">
        <v>81</v>
      </c>
      <c r="B258">
        <v>7200</v>
      </c>
      <c r="C258">
        <f t="shared" si="5"/>
        <v>1291.4798206278026</v>
      </c>
    </row>
    <row r="259" spans="1:3">
      <c r="A259" s="11" t="s">
        <v>81</v>
      </c>
      <c r="B259">
        <v>14000</v>
      </c>
      <c r="C259">
        <f t="shared" si="5"/>
        <v>2511.2107623318384</v>
      </c>
    </row>
    <row r="260" spans="1:3">
      <c r="A260" s="11" t="s">
        <v>81</v>
      </c>
      <c r="B260">
        <v>600</v>
      </c>
      <c r="C260">
        <f t="shared" si="5"/>
        <v>107.62331838565022</v>
      </c>
    </row>
    <row r="261" spans="1:3">
      <c r="A261" s="11" t="s">
        <v>88</v>
      </c>
      <c r="B261">
        <v>14000</v>
      </c>
      <c r="C261">
        <v>14000</v>
      </c>
    </row>
    <row r="262" spans="1:3">
      <c r="A262" s="11" t="s">
        <v>81</v>
      </c>
      <c r="B262">
        <v>600</v>
      </c>
      <c r="C262">
        <f>B262/$E$2</f>
        <v>107.62331838565022</v>
      </c>
    </row>
    <row r="263" spans="1:3">
      <c r="A263" s="11" t="s">
        <v>88</v>
      </c>
      <c r="B263">
        <v>7200</v>
      </c>
      <c r="C263">
        <v>7200</v>
      </c>
    </row>
    <row r="264" spans="1:3">
      <c r="A264" s="11" t="s">
        <v>81</v>
      </c>
      <c r="B264">
        <v>4800</v>
      </c>
      <c r="C264">
        <f>B264/$E$2</f>
        <v>860.98654708520178</v>
      </c>
    </row>
    <row r="265" spans="1:3">
      <c r="A265" s="11" t="s">
        <v>81</v>
      </c>
      <c r="B265">
        <v>2700</v>
      </c>
      <c r="C265">
        <f t="shared" ref="C265:C274" si="6">B265/$E$2</f>
        <v>484.30493273542601</v>
      </c>
    </row>
    <row r="266" spans="1:3">
      <c r="A266" s="11" t="s">
        <v>81</v>
      </c>
      <c r="B266">
        <v>7200</v>
      </c>
      <c r="C266">
        <f t="shared" si="6"/>
        <v>1291.4798206278026</v>
      </c>
    </row>
    <row r="267" spans="1:3">
      <c r="A267" s="11" t="s">
        <v>81</v>
      </c>
      <c r="B267">
        <v>36000</v>
      </c>
      <c r="C267">
        <f t="shared" si="6"/>
        <v>6457.3991031390133</v>
      </c>
    </row>
    <row r="268" spans="1:3">
      <c r="A268" s="11" t="s">
        <v>81</v>
      </c>
      <c r="B268">
        <v>30000</v>
      </c>
      <c r="C268">
        <f t="shared" si="6"/>
        <v>5381.1659192825109</v>
      </c>
    </row>
    <row r="269" spans="1:3">
      <c r="A269" s="11" t="s">
        <v>81</v>
      </c>
      <c r="B269">
        <v>30000</v>
      </c>
      <c r="C269">
        <f t="shared" si="6"/>
        <v>5381.1659192825109</v>
      </c>
    </row>
    <row r="270" spans="1:3">
      <c r="A270" s="11" t="s">
        <v>81</v>
      </c>
      <c r="B270">
        <v>36000</v>
      </c>
      <c r="C270">
        <f t="shared" si="6"/>
        <v>6457.3991031390133</v>
      </c>
    </row>
    <row r="271" spans="1:3">
      <c r="A271" s="11" t="s">
        <v>81</v>
      </c>
      <c r="B271">
        <v>18000</v>
      </c>
      <c r="C271">
        <f t="shared" si="6"/>
        <v>3228.6995515695066</v>
      </c>
    </row>
    <row r="272" spans="1:3">
      <c r="A272" s="11" t="s">
        <v>81</v>
      </c>
      <c r="B272">
        <v>18000</v>
      </c>
      <c r="C272">
        <f t="shared" si="6"/>
        <v>3228.6995515695066</v>
      </c>
    </row>
    <row r="273" spans="1:3">
      <c r="A273" s="11" t="s">
        <v>81</v>
      </c>
      <c r="B273">
        <v>24000</v>
      </c>
      <c r="C273">
        <f t="shared" si="6"/>
        <v>4304.9327354260085</v>
      </c>
    </row>
    <row r="274" spans="1:3">
      <c r="A274" s="11" t="s">
        <v>81</v>
      </c>
      <c r="B274">
        <v>3728</v>
      </c>
      <c r="C274">
        <f t="shared" si="6"/>
        <v>668.69955156950675</v>
      </c>
    </row>
    <row r="275" spans="1:3">
      <c r="A275" s="11" t="s">
        <v>88</v>
      </c>
      <c r="B275">
        <v>2000</v>
      </c>
      <c r="C275">
        <v>2000</v>
      </c>
    </row>
    <row r="276" spans="1:3">
      <c r="A276" s="11" t="s">
        <v>88</v>
      </c>
      <c r="B276">
        <v>2700</v>
      </c>
      <c r="C276">
        <v>2700</v>
      </c>
    </row>
    <row r="277" spans="1:3">
      <c r="A277" s="11" t="s">
        <v>88</v>
      </c>
      <c r="B277">
        <v>1440</v>
      </c>
      <c r="C277">
        <v>1440</v>
      </c>
    </row>
    <row r="278" spans="1:3">
      <c r="A278" s="113" t="s">
        <v>88</v>
      </c>
      <c r="B278">
        <v>5000</v>
      </c>
      <c r="C278">
        <v>5000</v>
      </c>
    </row>
    <row r="279" spans="1:3">
      <c r="A279" s="113" t="s">
        <v>88</v>
      </c>
      <c r="B279">
        <v>13200</v>
      </c>
      <c r="C279">
        <v>13200</v>
      </c>
    </row>
    <row r="280" spans="1:3">
      <c r="A280" s="113" t="s">
        <v>88</v>
      </c>
      <c r="B280">
        <v>27600</v>
      </c>
      <c r="C280">
        <v>27600</v>
      </c>
    </row>
    <row r="281" spans="1:3">
      <c r="A281" s="113" t="s">
        <v>88</v>
      </c>
      <c r="B281">
        <v>12000</v>
      </c>
      <c r="C281">
        <v>12000</v>
      </c>
    </row>
    <row r="282" spans="1:3">
      <c r="A282" s="113" t="s">
        <v>88</v>
      </c>
      <c r="B282">
        <v>7910.3999999999987</v>
      </c>
      <c r="C282">
        <v>7910.3999999999987</v>
      </c>
    </row>
    <row r="283" spans="1:3">
      <c r="A283" s="113" t="s">
        <v>88</v>
      </c>
      <c r="B283">
        <v>9256.7999999999993</v>
      </c>
      <c r="C283">
        <v>9256.7999999999993</v>
      </c>
    </row>
    <row r="284" spans="1:3">
      <c r="A284" s="113" t="s">
        <v>88</v>
      </c>
      <c r="B284">
        <v>1318.4</v>
      </c>
      <c r="C284">
        <v>1318.4</v>
      </c>
    </row>
    <row r="285" spans="1:3">
      <c r="A285" s="113" t="s">
        <v>88</v>
      </c>
      <c r="B285">
        <v>1542.7999999999997</v>
      </c>
      <c r="C285">
        <v>1542.7999999999997</v>
      </c>
    </row>
    <row r="286" spans="1:3">
      <c r="A286" s="113" t="s">
        <v>88</v>
      </c>
      <c r="B286">
        <v>3955.1999999999994</v>
      </c>
      <c r="C286">
        <v>3955.1999999999994</v>
      </c>
    </row>
    <row r="287" spans="1:3">
      <c r="A287" s="113" t="s">
        <v>88</v>
      </c>
      <c r="B287">
        <v>4628.3999999999996</v>
      </c>
      <c r="C287">
        <v>4628.3999999999996</v>
      </c>
    </row>
    <row r="288" spans="1:3">
      <c r="A288" s="113" t="s">
        <v>88</v>
      </c>
      <c r="B288">
        <v>5000</v>
      </c>
      <c r="C288">
        <v>5000</v>
      </c>
    </row>
    <row r="289" spans="1:3">
      <c r="A289" s="113" t="s">
        <v>88</v>
      </c>
      <c r="B289">
        <v>11253.810330578513</v>
      </c>
      <c r="C289">
        <v>11253.810330578513</v>
      </c>
    </row>
    <row r="290" spans="1:3">
      <c r="A290" s="113" t="s">
        <v>88</v>
      </c>
      <c r="B290">
        <v>17933.884297520657</v>
      </c>
      <c r="C290">
        <v>17933.884297520657</v>
      </c>
    </row>
    <row r="291" spans="1:3">
      <c r="A291" s="113" t="s">
        <v>88</v>
      </c>
      <c r="B291">
        <v>474.38016528925624</v>
      </c>
      <c r="C291">
        <v>474.38016528925624</v>
      </c>
    </row>
    <row r="292" spans="1:3">
      <c r="A292" s="113" t="s">
        <v>88</v>
      </c>
      <c r="B292">
        <v>4674.3801652892553</v>
      </c>
      <c r="C292">
        <v>4674.3801652892553</v>
      </c>
    </row>
    <row r="293" spans="1:3">
      <c r="A293" s="113" t="s">
        <v>88</v>
      </c>
      <c r="B293">
        <v>4200</v>
      </c>
      <c r="C293">
        <v>4200</v>
      </c>
    </row>
    <row r="294" spans="1:3">
      <c r="A294" s="113" t="s">
        <v>88</v>
      </c>
      <c r="B294">
        <v>5952</v>
      </c>
      <c r="C294">
        <v>5952</v>
      </c>
    </row>
    <row r="295" spans="1:3">
      <c r="A295" s="113" t="s">
        <v>88</v>
      </c>
      <c r="B295">
        <v>600</v>
      </c>
      <c r="C295">
        <v>600</v>
      </c>
    </row>
    <row r="296" spans="1:3">
      <c r="A296" s="113" t="s">
        <v>88</v>
      </c>
      <c r="B296">
        <v>7440</v>
      </c>
      <c r="C296">
        <v>7440</v>
      </c>
    </row>
    <row r="297" spans="1:3">
      <c r="A297" s="113" t="s">
        <v>88</v>
      </c>
      <c r="B297">
        <v>897.27272727272714</v>
      </c>
      <c r="C297">
        <v>897.27272727272714</v>
      </c>
    </row>
    <row r="298" spans="1:3">
      <c r="A298" s="113" t="s">
        <v>88</v>
      </c>
      <c r="B298">
        <v>4471.6115702479337</v>
      </c>
      <c r="C298">
        <v>4471.6115702479337</v>
      </c>
    </row>
    <row r="299" spans="1:3">
      <c r="A299" s="113" t="s">
        <v>88</v>
      </c>
      <c r="B299">
        <v>300</v>
      </c>
      <c r="C299">
        <v>300</v>
      </c>
    </row>
    <row r="300" spans="1:3">
      <c r="A300" s="113" t="s">
        <v>88</v>
      </c>
      <c r="B300">
        <v>900</v>
      </c>
      <c r="C300">
        <v>900</v>
      </c>
    </row>
    <row r="301" spans="1:3">
      <c r="A301" s="113" t="s">
        <v>88</v>
      </c>
      <c r="B301">
        <v>2160</v>
      </c>
      <c r="C301">
        <v>2160</v>
      </c>
    </row>
    <row r="302" spans="1:3">
      <c r="A302" s="113" t="s">
        <v>88</v>
      </c>
      <c r="B302">
        <v>14500.000000000002</v>
      </c>
      <c r="C302">
        <v>14500.000000000002</v>
      </c>
    </row>
    <row r="303" spans="1:3">
      <c r="A303" s="113" t="s">
        <v>88</v>
      </c>
      <c r="B303">
        <v>432</v>
      </c>
      <c r="C303">
        <v>432</v>
      </c>
    </row>
    <row r="304" spans="1:3">
      <c r="A304" s="113" t="s">
        <v>88</v>
      </c>
      <c r="B304">
        <v>4370</v>
      </c>
      <c r="C304">
        <v>4370</v>
      </c>
    </row>
    <row r="305" spans="1:3">
      <c r="A305" s="113" t="s">
        <v>88</v>
      </c>
      <c r="B305" t="s">
        <v>364</v>
      </c>
      <c r="C305" t="s">
        <v>364</v>
      </c>
    </row>
    <row r="306" spans="1:3">
      <c r="A306" s="113" t="s">
        <v>88</v>
      </c>
      <c r="B306" t="s">
        <v>364</v>
      </c>
      <c r="C306" t="s">
        <v>364</v>
      </c>
    </row>
    <row r="307" spans="1:3">
      <c r="A307" s="113" t="s">
        <v>88</v>
      </c>
      <c r="B307" t="s">
        <v>364</v>
      </c>
      <c r="C307" t="s">
        <v>364</v>
      </c>
    </row>
    <row r="308" spans="1:3">
      <c r="A308" s="113" t="s">
        <v>88</v>
      </c>
      <c r="B308">
        <v>6420</v>
      </c>
      <c r="C308">
        <v>6420</v>
      </c>
    </row>
    <row r="309" spans="1:3">
      <c r="A309" s="113" t="s">
        <v>88</v>
      </c>
      <c r="B309">
        <v>13444.999999999998</v>
      </c>
      <c r="C309">
        <v>13444.999999999998</v>
      </c>
    </row>
    <row r="310" spans="1:3">
      <c r="A310" s="113" t="s">
        <v>88</v>
      </c>
      <c r="B310" t="s">
        <v>364</v>
      </c>
      <c r="C310" t="s">
        <v>364</v>
      </c>
    </row>
    <row r="311" spans="1:3">
      <c r="A311" s="113" t="s">
        <v>88</v>
      </c>
      <c r="B311">
        <v>430</v>
      </c>
      <c r="C311">
        <v>430</v>
      </c>
    </row>
    <row r="312" spans="1:3">
      <c r="A312" s="113" t="s">
        <v>88</v>
      </c>
      <c r="B312" t="s">
        <v>364</v>
      </c>
      <c r="C312" t="s">
        <v>364</v>
      </c>
    </row>
    <row r="313" spans="1:3">
      <c r="A313" s="113" t="s">
        <v>88</v>
      </c>
      <c r="B313" t="s">
        <v>364</v>
      </c>
      <c r="C313" t="s">
        <v>364</v>
      </c>
    </row>
    <row r="314" spans="1:3">
      <c r="A314" s="113" t="s">
        <v>88</v>
      </c>
      <c r="B314">
        <v>3480</v>
      </c>
      <c r="C314">
        <v>3480</v>
      </c>
    </row>
    <row r="315" spans="1:3">
      <c r="A315" s="113" t="s">
        <v>88</v>
      </c>
      <c r="B315">
        <v>5386.5289256198366</v>
      </c>
      <c r="C315">
        <v>5386.5289256198366</v>
      </c>
    </row>
    <row r="316" spans="1:3">
      <c r="A316" s="113" t="s">
        <v>88</v>
      </c>
      <c r="B316">
        <v>137.39669421487602</v>
      </c>
      <c r="C316">
        <v>137.39669421487602</v>
      </c>
    </row>
    <row r="317" spans="1:3">
      <c r="A317" s="113" t="s">
        <v>88</v>
      </c>
      <c r="B317">
        <v>600</v>
      </c>
      <c r="C317">
        <v>600</v>
      </c>
    </row>
    <row r="318" spans="1:3">
      <c r="A318" s="113" t="s">
        <v>88</v>
      </c>
      <c r="B318">
        <v>897.27272727272714</v>
      </c>
      <c r="C318">
        <v>897.27272727272714</v>
      </c>
    </row>
    <row r="319" spans="1:3">
      <c r="A319" s="113" t="s">
        <v>88</v>
      </c>
      <c r="B319">
        <v>2500</v>
      </c>
      <c r="C319">
        <v>2500</v>
      </c>
    </row>
    <row r="320" spans="1:3">
      <c r="A320" s="113" t="s">
        <v>88</v>
      </c>
      <c r="B320">
        <v>1800</v>
      </c>
      <c r="C320">
        <v>1800</v>
      </c>
    </row>
    <row r="321" spans="1:3">
      <c r="A321" s="113" t="s">
        <v>88</v>
      </c>
      <c r="B321">
        <v>997.06611570247935</v>
      </c>
      <c r="C321">
        <v>997.06611570247935</v>
      </c>
    </row>
    <row r="322" spans="1:3">
      <c r="A322" s="113" t="s">
        <v>88</v>
      </c>
      <c r="B322">
        <v>2491.9421487603304</v>
      </c>
      <c r="C322">
        <v>2491.9421487603304</v>
      </c>
    </row>
    <row r="323" spans="1:3">
      <c r="A323" s="113" t="s">
        <v>88</v>
      </c>
      <c r="B323">
        <v>7500</v>
      </c>
      <c r="C323">
        <v>7500</v>
      </c>
    </row>
    <row r="324" spans="1:3">
      <c r="A324" s="113" t="s">
        <v>88</v>
      </c>
      <c r="B324">
        <v>600</v>
      </c>
      <c r="C324">
        <v>600</v>
      </c>
    </row>
    <row r="325" spans="1:3">
      <c r="A325" s="113" t="s">
        <v>88</v>
      </c>
      <c r="B325">
        <v>2400</v>
      </c>
      <c r="C325">
        <v>2400</v>
      </c>
    </row>
    <row r="326" spans="1:3">
      <c r="A326" s="113" t="s">
        <v>88</v>
      </c>
      <c r="B326">
        <v>2400</v>
      </c>
      <c r="C326">
        <v>2400</v>
      </c>
    </row>
    <row r="327" spans="1:3">
      <c r="A327" s="113" t="s">
        <v>88</v>
      </c>
      <c r="B327">
        <v>444</v>
      </c>
      <c r="C327">
        <v>444</v>
      </c>
    </row>
    <row r="328" spans="1:3">
      <c r="A328" s="113" t="s">
        <v>88</v>
      </c>
      <c r="B328">
        <v>4500</v>
      </c>
      <c r="C328">
        <v>4500</v>
      </c>
    </row>
    <row r="329" spans="1:3">
      <c r="A329" s="113" t="s">
        <v>88</v>
      </c>
      <c r="B329">
        <v>5297.3450211263153</v>
      </c>
      <c r="C329">
        <v>5297.3450211263153</v>
      </c>
    </row>
    <row r="330" spans="1:3">
      <c r="A330" s="113" t="s">
        <v>88</v>
      </c>
      <c r="B330">
        <v>11007.515166803305</v>
      </c>
      <c r="C330">
        <v>11007.515166803305</v>
      </c>
    </row>
    <row r="331" spans="1:3">
      <c r="A331" s="113" t="s">
        <v>88</v>
      </c>
      <c r="B331">
        <v>1861.6383931386774</v>
      </c>
      <c r="C331">
        <v>1861.6383931386774</v>
      </c>
    </row>
    <row r="332" spans="1:3">
      <c r="A332" s="113" t="s">
        <v>88</v>
      </c>
      <c r="B332">
        <v>4389.2287317903765</v>
      </c>
      <c r="C332">
        <v>4389.2287317903765</v>
      </c>
    </row>
    <row r="333" spans="1:3">
      <c r="A333" s="113" t="s">
        <v>88</v>
      </c>
      <c r="B333">
        <v>674.20672258308616</v>
      </c>
      <c r="C333">
        <v>674.20672258308616</v>
      </c>
    </row>
    <row r="334" spans="1:3">
      <c r="A334" s="113" t="s">
        <v>88</v>
      </c>
      <c r="B334">
        <v>916.37106640600393</v>
      </c>
      <c r="C334">
        <v>916.37106640600393</v>
      </c>
    </row>
    <row r="335" spans="1:3">
      <c r="A335" s="113" t="s">
        <v>88</v>
      </c>
      <c r="B335">
        <v>8536</v>
      </c>
      <c r="C335">
        <v>8536</v>
      </c>
    </row>
    <row r="336" spans="1:3">
      <c r="A336" s="113" t="s">
        <v>88</v>
      </c>
      <c r="B336">
        <v>7296</v>
      </c>
      <c r="C336">
        <v>7296</v>
      </c>
    </row>
    <row r="337" spans="1:3">
      <c r="A337" s="113" t="s">
        <v>88</v>
      </c>
      <c r="B337">
        <v>3600</v>
      </c>
      <c r="C337">
        <v>3600</v>
      </c>
    </row>
    <row r="338" spans="1:3">
      <c r="A338" s="113" t="s">
        <v>88</v>
      </c>
      <c r="B338" t="s">
        <v>364</v>
      </c>
      <c r="C338" t="s">
        <v>364</v>
      </c>
    </row>
    <row r="339" spans="1:3">
      <c r="A339" s="113" t="s">
        <v>88</v>
      </c>
      <c r="B339">
        <v>1522</v>
      </c>
      <c r="C339">
        <v>1522</v>
      </c>
    </row>
    <row r="340" spans="1:3">
      <c r="A340" s="113" t="s">
        <v>88</v>
      </c>
      <c r="B340">
        <v>1248</v>
      </c>
      <c r="C340">
        <v>1248</v>
      </c>
    </row>
    <row r="341" spans="1:3">
      <c r="A341" s="113" t="s">
        <v>88</v>
      </c>
      <c r="B341">
        <v>178</v>
      </c>
      <c r="C341">
        <v>178</v>
      </c>
    </row>
    <row r="342" spans="1:3">
      <c r="A342" s="113" t="s">
        <v>88</v>
      </c>
      <c r="B342">
        <v>2443.4399999999996</v>
      </c>
      <c r="C342">
        <v>2443.4399999999996</v>
      </c>
    </row>
    <row r="343" spans="1:3">
      <c r="A343" s="113" t="s">
        <v>88</v>
      </c>
      <c r="B343">
        <v>1392</v>
      </c>
      <c r="C343">
        <v>1392</v>
      </c>
    </row>
    <row r="344" spans="1:3">
      <c r="A344" s="113" t="s">
        <v>88</v>
      </c>
      <c r="B344">
        <v>3768</v>
      </c>
      <c r="C344">
        <v>3768</v>
      </c>
    </row>
    <row r="345" spans="1:3">
      <c r="A345" s="113" t="s">
        <v>88</v>
      </c>
      <c r="B345">
        <v>504</v>
      </c>
      <c r="C345">
        <v>504</v>
      </c>
    </row>
    <row r="346" spans="1:3">
      <c r="A346" s="113" t="s">
        <v>88</v>
      </c>
      <c r="B346">
        <v>240</v>
      </c>
      <c r="C346">
        <v>240</v>
      </c>
    </row>
    <row r="347" spans="1:3">
      <c r="A347" s="113" t="s">
        <v>88</v>
      </c>
      <c r="B347">
        <v>1841.4580311534339</v>
      </c>
      <c r="C347">
        <v>1841.4580311534339</v>
      </c>
    </row>
    <row r="348" spans="1:3">
      <c r="A348" s="113" t="s">
        <v>88</v>
      </c>
      <c r="B348">
        <v>756.76357444661664</v>
      </c>
      <c r="C348">
        <v>756.76357444661664</v>
      </c>
    </row>
    <row r="349" spans="1:3">
      <c r="A349" s="113" t="s">
        <v>88</v>
      </c>
      <c r="B349">
        <v>756.76357444661664</v>
      </c>
      <c r="C349">
        <v>756.76357444661664</v>
      </c>
    </row>
    <row r="350" spans="1:3">
      <c r="A350" s="113" t="s">
        <v>88</v>
      </c>
      <c r="B350">
        <v>240</v>
      </c>
      <c r="C350">
        <v>240</v>
      </c>
    </row>
    <row r="351" spans="1:3">
      <c r="A351" s="113" t="s">
        <v>88</v>
      </c>
      <c r="B351">
        <v>2940</v>
      </c>
      <c r="C351">
        <v>2940</v>
      </c>
    </row>
    <row r="352" spans="1:3">
      <c r="A352" s="113" t="s">
        <v>88</v>
      </c>
      <c r="B352">
        <v>960</v>
      </c>
      <c r="C352">
        <v>960</v>
      </c>
    </row>
    <row r="353" spans="1:3">
      <c r="A353" s="113" t="s">
        <v>88</v>
      </c>
      <c r="B353">
        <v>780</v>
      </c>
      <c r="C353">
        <v>780</v>
      </c>
    </row>
    <row r="354" spans="1:3">
      <c r="A354" s="113" t="s">
        <v>88</v>
      </c>
    </row>
  </sheetData>
  <autoFilter ref="A1:D354" xr:uid="{54E307D2-C5FF-4975-B9BB-E1D6B5D1ED76}"/>
  <conditionalFormatting sqref="A229:A354 A2:A227">
    <cfRule type="containsBlanks" dxfId="0" priority="2">
      <formula>LEN(TRIM(A2))=0</formula>
    </cfRule>
  </conditionalFormatting>
  <dataValidations count="1">
    <dataValidation type="list" allowBlank="1" showInputMessage="1" showErrorMessage="1" sqref="A229:A325 A2:A227" xr:uid="{6695F39F-B058-477B-9CB9-9A9920F6A718}">
      <formula1>"BRL,USD"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3DDA6-D520-45A7-8FD6-08E950FA6F19}">
  <dimension ref="A1:A354"/>
  <sheetViews>
    <sheetView topLeftCell="A14" workbookViewId="0">
      <selection activeCell="A37" sqref="A37"/>
    </sheetView>
  </sheetViews>
  <sheetFormatPr defaultRowHeight="17.25"/>
  <sheetData>
    <row r="1" spans="1:1">
      <c r="A1" t="s">
        <v>365</v>
      </c>
    </row>
    <row r="2" spans="1:1">
      <c r="A2" s="127">
        <v>0</v>
      </c>
    </row>
    <row r="3" spans="1:1">
      <c r="A3" s="128">
        <v>116.58823155668701</v>
      </c>
    </row>
    <row r="4" spans="1:1">
      <c r="A4" s="129">
        <v>78.367999999999995</v>
      </c>
    </row>
    <row r="5" spans="1:1">
      <c r="A5" s="128">
        <v>0</v>
      </c>
    </row>
    <row r="6" spans="1:1">
      <c r="A6" s="128">
        <v>17.857142857142858</v>
      </c>
    </row>
    <row r="7" spans="1:1">
      <c r="A7" s="128">
        <v>25.249680000000009</v>
      </c>
    </row>
    <row r="8" spans="1:1">
      <c r="A8" s="128">
        <v>67.332480000000018</v>
      </c>
    </row>
    <row r="9" spans="1:1">
      <c r="A9" s="128">
        <v>7.0137999999999989</v>
      </c>
    </row>
    <row r="10" spans="1:1">
      <c r="A10" s="128">
        <v>8.4165600000000023</v>
      </c>
    </row>
    <row r="11" spans="1:1">
      <c r="A11" s="128">
        <v>2.80552</v>
      </c>
    </row>
    <row r="12" spans="1:1">
      <c r="A12" s="128">
        <v>22.44416</v>
      </c>
    </row>
    <row r="13" spans="1:1">
      <c r="A13" s="128">
        <v>7.0137999999999989</v>
      </c>
    </row>
    <row r="14" spans="1:1">
      <c r="A14" s="128">
        <v>33.688439999999993</v>
      </c>
    </row>
    <row r="15" spans="1:1">
      <c r="A15" s="128">
        <v>89.835840000000019</v>
      </c>
    </row>
    <row r="16" spans="1:1">
      <c r="A16" s="128">
        <v>9.357899999999999</v>
      </c>
    </row>
    <row r="17" spans="1:1">
      <c r="A17" s="128">
        <v>11.229480000000002</v>
      </c>
    </row>
    <row r="18" spans="1:1">
      <c r="A18" s="128">
        <v>3.7431600000000014</v>
      </c>
    </row>
    <row r="19" spans="1:1">
      <c r="A19" s="128">
        <v>29.945280000000011</v>
      </c>
    </row>
    <row r="20" spans="1:1">
      <c r="A20" s="128">
        <v>9.357899999999999</v>
      </c>
    </row>
    <row r="21" spans="1:1">
      <c r="A21" s="128">
        <v>4.8</v>
      </c>
    </row>
    <row r="22" spans="1:1">
      <c r="A22" s="128">
        <v>1.2</v>
      </c>
    </row>
    <row r="23" spans="1:1">
      <c r="A23" s="128">
        <v>1.2</v>
      </c>
    </row>
    <row r="24" spans="1:1">
      <c r="A24" s="128">
        <v>15.459919999999999</v>
      </c>
    </row>
    <row r="25" spans="1:1">
      <c r="A25" s="128">
        <v>3.8649799999999996</v>
      </c>
    </row>
    <row r="26" spans="1:1">
      <c r="A26" s="128">
        <v>2.7607000000000013</v>
      </c>
    </row>
    <row r="27" spans="1:1">
      <c r="A27" s="128">
        <v>2.7607000000000013</v>
      </c>
    </row>
    <row r="28" spans="1:1">
      <c r="A28" s="128">
        <v>4.9692600000000011</v>
      </c>
    </row>
    <row r="29" spans="1:1">
      <c r="A29" s="128">
        <v>3.3128399999999991</v>
      </c>
    </row>
    <row r="30" spans="1:1">
      <c r="A30" s="128">
        <v>9.9385200000000022</v>
      </c>
    </row>
    <row r="31" spans="1:1">
      <c r="A31" s="128">
        <v>12.147079999999995</v>
      </c>
    </row>
    <row r="32" spans="1:1">
      <c r="A32" s="128">
        <v>2.8224</v>
      </c>
    </row>
    <row r="33" spans="1:1">
      <c r="A33" s="128">
        <v>0.7056</v>
      </c>
    </row>
    <row r="34" spans="1:1">
      <c r="A34" s="128">
        <v>120</v>
      </c>
    </row>
    <row r="35" spans="1:1">
      <c r="A35" s="128">
        <v>0.50399999999999989</v>
      </c>
    </row>
    <row r="36" spans="1:1">
      <c r="A36" s="128">
        <v>0.50399999999999989</v>
      </c>
    </row>
    <row r="37" spans="1:1">
      <c r="A37" s="128">
        <v>0.90720000000000001</v>
      </c>
    </row>
    <row r="38" spans="1:1">
      <c r="A38" s="128">
        <v>0.60479999999999989</v>
      </c>
    </row>
    <row r="39" spans="1:1">
      <c r="A39" s="128">
        <v>1.8144</v>
      </c>
    </row>
    <row r="40" spans="1:1">
      <c r="A40" s="128">
        <v>0</v>
      </c>
    </row>
    <row r="41" spans="1:1">
      <c r="A41" s="128">
        <v>2.2176</v>
      </c>
    </row>
    <row r="42" spans="1:1">
      <c r="A42" s="128">
        <v>46.020408163265323</v>
      </c>
    </row>
    <row r="43" spans="1:1">
      <c r="A43" s="128">
        <v>7.2959183673469417</v>
      </c>
    </row>
    <row r="44" spans="1:1">
      <c r="A44" s="128">
        <v>2.8061224489795928</v>
      </c>
    </row>
    <row r="45" spans="1:1">
      <c r="A45" s="128">
        <v>136.734693877551</v>
      </c>
    </row>
    <row r="46" spans="1:1">
      <c r="A46" s="128">
        <v>28.571428571428566</v>
      </c>
    </row>
    <row r="47" spans="1:1">
      <c r="A47" s="128">
        <v>13.265306122448983</v>
      </c>
    </row>
    <row r="48" spans="1:1">
      <c r="A48" s="128">
        <v>3.0612244897959191</v>
      </c>
    </row>
    <row r="49" spans="1:1">
      <c r="A49" s="128">
        <v>7.653061224489794</v>
      </c>
    </row>
    <row r="50" spans="1:1">
      <c r="A50" s="130">
        <v>2.5510204081632657</v>
      </c>
    </row>
    <row r="51" spans="1:1">
      <c r="A51" s="130">
        <v>4.0816326530612246</v>
      </c>
    </row>
    <row r="52" spans="1:1">
      <c r="A52" s="130">
        <v>2.5510204081632657</v>
      </c>
    </row>
    <row r="53" spans="1:1">
      <c r="A53" s="130">
        <v>8.1632653061224492</v>
      </c>
    </row>
    <row r="54" spans="1:1">
      <c r="A54" s="130">
        <v>0</v>
      </c>
    </row>
    <row r="55" spans="1:1">
      <c r="A55" s="130">
        <v>9.6938775510204067</v>
      </c>
    </row>
    <row r="56" spans="1:1">
      <c r="A56" s="130">
        <v>0</v>
      </c>
    </row>
    <row r="57" spans="1:1">
      <c r="A57" s="130">
        <v>1.582012618969199</v>
      </c>
    </row>
    <row r="58" spans="1:1">
      <c r="A58" s="130">
        <v>6.8553880155331965</v>
      </c>
    </row>
    <row r="59" spans="1:1">
      <c r="A59" s="130">
        <v>1.3183438491409991</v>
      </c>
    </row>
    <row r="60" spans="1:1">
      <c r="A60" s="130">
        <v>2.1093501586255976</v>
      </c>
    </row>
    <row r="61" spans="1:1">
      <c r="A61" s="130">
        <v>3.955031547422998</v>
      </c>
    </row>
    <row r="62" spans="1:1">
      <c r="A62" s="130">
        <v>1.3183438491409991</v>
      </c>
    </row>
    <row r="63" spans="1:1">
      <c r="A63" s="130">
        <v>0</v>
      </c>
    </row>
    <row r="64" spans="1:1">
      <c r="A64" s="130">
        <v>4.2187003172511952</v>
      </c>
    </row>
    <row r="65" spans="1:1">
      <c r="A65" s="130">
        <v>5.0097066267357961</v>
      </c>
    </row>
    <row r="66" spans="1:1">
      <c r="A66" s="128">
        <v>0.70000000000000007</v>
      </c>
    </row>
    <row r="67" spans="1:1">
      <c r="A67" s="130">
        <v>55.5</v>
      </c>
    </row>
    <row r="68" spans="1:1">
      <c r="A68" s="130">
        <v>5.7600000000000016</v>
      </c>
    </row>
    <row r="69" spans="1:1">
      <c r="A69" s="130">
        <v>6.3999999999999995</v>
      </c>
    </row>
    <row r="70" spans="1:1">
      <c r="A70" s="128">
        <v>5.7600000000000016</v>
      </c>
    </row>
    <row r="71" spans="1:1">
      <c r="A71" s="128">
        <v>2.5600000000000005</v>
      </c>
    </row>
    <row r="72" spans="1:1">
      <c r="A72" s="128">
        <v>1.38</v>
      </c>
    </row>
    <row r="73" spans="1:1">
      <c r="A73" s="128">
        <v>0.95999999999999985</v>
      </c>
    </row>
    <row r="74" spans="1:1">
      <c r="A74" s="128">
        <v>0.79999999999999993</v>
      </c>
    </row>
    <row r="75" spans="1:1">
      <c r="A75" s="128">
        <v>0.79999999999999993</v>
      </c>
    </row>
    <row r="76" spans="1:1">
      <c r="A76" s="128">
        <v>1.9199999999999997</v>
      </c>
    </row>
    <row r="77" spans="1:1">
      <c r="A77" s="128">
        <v>5.120000000000001</v>
      </c>
    </row>
    <row r="78" spans="1:1">
      <c r="A78" s="128">
        <v>1.5999999999999999</v>
      </c>
    </row>
    <row r="79" spans="1:1">
      <c r="A79" s="128">
        <v>13.959183673469388</v>
      </c>
    </row>
    <row r="80" spans="1:1">
      <c r="A80" s="128">
        <v>38.775510204081627</v>
      </c>
    </row>
    <row r="81" spans="1:1">
      <c r="A81" s="128">
        <v>3.8775510204081622</v>
      </c>
    </row>
    <row r="82" spans="1:1">
      <c r="A82" s="128">
        <v>4.6530612244897949</v>
      </c>
    </row>
    <row r="83" spans="1:1">
      <c r="A83" s="128">
        <v>12.40816326530612</v>
      </c>
    </row>
    <row r="84" spans="1:1">
      <c r="A84" s="128">
        <v>3.8775510204081622</v>
      </c>
    </row>
    <row r="85" spans="1:1">
      <c r="A85" s="128">
        <v>4.0816326530612246</v>
      </c>
    </row>
    <row r="86" spans="1:1">
      <c r="A86" s="128">
        <v>1.5306122448979596</v>
      </c>
    </row>
    <row r="87" spans="1:1">
      <c r="A87" s="131">
        <v>1.5306122448979596</v>
      </c>
    </row>
    <row r="88" spans="1:1">
      <c r="A88" s="129">
        <v>3.0612244897959191</v>
      </c>
    </row>
    <row r="89" spans="1:1">
      <c r="A89" s="129">
        <v>0</v>
      </c>
    </row>
    <row r="90" spans="1:1">
      <c r="A90" s="129">
        <v>0</v>
      </c>
    </row>
    <row r="91" spans="1:1">
      <c r="A91" s="129">
        <v>32.178351909645606</v>
      </c>
    </row>
    <row r="92" spans="1:1">
      <c r="A92" s="129">
        <v>6.9952938934012208</v>
      </c>
    </row>
    <row r="93" spans="1:1">
      <c r="A93" s="129">
        <v>19.586822901523419</v>
      </c>
    </row>
    <row r="94" spans="1:1">
      <c r="A94" s="129">
        <v>12.591529008122196</v>
      </c>
    </row>
    <row r="95" spans="1:1">
      <c r="A95" s="129">
        <v>6.9952938934012208</v>
      </c>
    </row>
    <row r="96" spans="1:1">
      <c r="A96" s="129">
        <v>6.9952938934012208</v>
      </c>
    </row>
    <row r="97" spans="1:1">
      <c r="A97" s="129">
        <v>22.384940458883907</v>
      </c>
    </row>
    <row r="98" spans="1:1">
      <c r="A98" s="129">
        <v>20.985881680203661</v>
      </c>
    </row>
    <row r="99" spans="1:1">
      <c r="A99" s="129">
        <v>0</v>
      </c>
    </row>
    <row r="100" spans="1:1">
      <c r="A100" s="129">
        <v>5.5962351147209768</v>
      </c>
    </row>
    <row r="101" spans="1:1">
      <c r="A101" s="129">
        <v>5.5962351147209768</v>
      </c>
    </row>
    <row r="102" spans="1:1">
      <c r="A102" s="129">
        <v>0.86095924841861171</v>
      </c>
    </row>
    <row r="103" spans="1:1">
      <c r="A103" s="129">
        <v>0.86095924841861171</v>
      </c>
    </row>
    <row r="104" spans="1:1">
      <c r="A104" s="129">
        <v>0.86095924841861171</v>
      </c>
    </row>
    <row r="105" spans="1:1">
      <c r="A105" s="129">
        <v>0.86095924841861171</v>
      </c>
    </row>
    <row r="106" spans="1:1">
      <c r="A106" s="129">
        <v>0.86095924841861171</v>
      </c>
    </row>
    <row r="107" spans="1:1">
      <c r="A107" s="129">
        <v>0.86095924841861171</v>
      </c>
    </row>
    <row r="108" spans="1:1">
      <c r="A108" s="129">
        <v>0.86095924841861171</v>
      </c>
    </row>
    <row r="109" spans="1:1">
      <c r="A109" s="132">
        <v>0.86095924841861171</v>
      </c>
    </row>
    <row r="110" spans="1:1">
      <c r="A110" s="133">
        <v>0.32285971815697928</v>
      </c>
    </row>
    <row r="111" spans="1:1">
      <c r="A111" s="133">
        <v>2.0232542337837374</v>
      </c>
    </row>
    <row r="112" spans="1:1">
      <c r="A112" s="133">
        <v>5.3809953026163226</v>
      </c>
    </row>
    <row r="113" spans="1:1">
      <c r="A113" s="129">
        <v>11.838189665755907</v>
      </c>
    </row>
    <row r="114" spans="1:1">
      <c r="A114" s="129">
        <v>17.219184968372236</v>
      </c>
    </row>
    <row r="115" spans="1:1">
      <c r="A115" s="129">
        <v>1.7219184968372234</v>
      </c>
    </row>
    <row r="116" spans="1:1">
      <c r="A116" s="129">
        <v>4.7352758663023655</v>
      </c>
    </row>
    <row r="117" spans="1:1">
      <c r="A117" s="129">
        <v>21.523981210465291</v>
      </c>
    </row>
    <row r="118" spans="1:1">
      <c r="A118" s="129">
        <v>6.4571943631395889</v>
      </c>
    </row>
    <row r="119" spans="1:1">
      <c r="A119" s="129">
        <v>3.2285971815697945</v>
      </c>
    </row>
    <row r="120" spans="1:1">
      <c r="A120" s="129">
        <v>0.53809953026163237</v>
      </c>
    </row>
    <row r="121" spans="1:1">
      <c r="A121" s="134">
        <v>0.53809953026163237</v>
      </c>
    </row>
    <row r="122" spans="1:1">
      <c r="A122" s="129">
        <v>24.84</v>
      </c>
    </row>
    <row r="123" spans="1:1">
      <c r="A123" s="135">
        <v>69.000000000000014</v>
      </c>
    </row>
    <row r="124" spans="1:1">
      <c r="A124" s="135">
        <v>6.9000000000000012</v>
      </c>
    </row>
    <row r="125" spans="1:1">
      <c r="A125" s="135">
        <v>8.2799999999999976</v>
      </c>
    </row>
    <row r="126" spans="1:1">
      <c r="A126" s="135">
        <v>22.08</v>
      </c>
    </row>
    <row r="127" spans="1:1">
      <c r="A127" s="135">
        <v>6.9000000000000012</v>
      </c>
    </row>
    <row r="128" spans="1:1">
      <c r="A128" s="135">
        <v>48.514600000000009</v>
      </c>
    </row>
    <row r="129" spans="1:1">
      <c r="A129" s="135">
        <v>2.5533999999999999</v>
      </c>
    </row>
    <row r="130" spans="1:1">
      <c r="A130" s="135">
        <v>41.254858333333331</v>
      </c>
    </row>
    <row r="131" spans="1:1">
      <c r="A131" s="135">
        <v>2.1713083333333332</v>
      </c>
    </row>
    <row r="132" spans="1:1">
      <c r="A132" s="135">
        <v>36.132480457424535</v>
      </c>
    </row>
    <row r="133" spans="1:1">
      <c r="A133" s="135">
        <v>100.36800127062368</v>
      </c>
    </row>
    <row r="134" spans="1:1">
      <c r="A134" s="135">
        <v>10.036800127062369</v>
      </c>
    </row>
    <row r="135" spans="1:1">
      <c r="A135" s="135">
        <v>12.044160152474847</v>
      </c>
    </row>
    <row r="136" spans="1:1">
      <c r="A136" s="135">
        <v>32.117760406599587</v>
      </c>
    </row>
    <row r="137" spans="1:1">
      <c r="A137" s="135">
        <v>10.036800127062369</v>
      </c>
    </row>
    <row r="138" spans="1:1">
      <c r="A138" s="135">
        <v>1.5306122448979596</v>
      </c>
    </row>
    <row r="139" spans="1:1">
      <c r="A139" s="135">
        <v>3.5714285714285707</v>
      </c>
    </row>
    <row r="140" spans="1:1">
      <c r="A140" s="135">
        <v>1.2925306122448983</v>
      </c>
    </row>
    <row r="141" spans="1:1">
      <c r="A141" s="135">
        <v>10.134693877551021</v>
      </c>
    </row>
    <row r="142" spans="1:1">
      <c r="A142" s="135">
        <v>6.1224489795918382</v>
      </c>
    </row>
    <row r="143" spans="1:1">
      <c r="A143" s="135">
        <v>6.1224489795918382</v>
      </c>
    </row>
    <row r="144" spans="1:1">
      <c r="A144" s="135">
        <v>6.1224489795918382</v>
      </c>
    </row>
    <row r="145" spans="1:1">
      <c r="A145" s="135">
        <v>6.1224489795918382</v>
      </c>
    </row>
    <row r="146" spans="1:1">
      <c r="A146" s="135">
        <v>6.1224489795918382</v>
      </c>
    </row>
    <row r="147" spans="1:1">
      <c r="A147" s="135">
        <v>0</v>
      </c>
    </row>
    <row r="148" spans="1:1">
      <c r="A148" s="135">
        <v>6.1224489795918382</v>
      </c>
    </row>
    <row r="149" spans="1:1">
      <c r="A149" s="135">
        <v>36.734693877551017</v>
      </c>
    </row>
    <row r="150" spans="1:1">
      <c r="A150" s="135">
        <v>22.448979591836743</v>
      </c>
    </row>
    <row r="151" spans="1:1">
      <c r="A151" s="135">
        <v>20.408163265306126</v>
      </c>
    </row>
    <row r="152" spans="1:1">
      <c r="A152" s="135">
        <v>0</v>
      </c>
    </row>
    <row r="153" spans="1:1">
      <c r="A153" s="135">
        <v>0</v>
      </c>
    </row>
    <row r="154" spans="1:1">
      <c r="A154" s="135">
        <v>24.489795918367353</v>
      </c>
    </row>
    <row r="155" spans="1:1">
      <c r="A155" s="135">
        <v>12.244897959183676</v>
      </c>
    </row>
    <row r="156" spans="1:1">
      <c r="A156" s="135">
        <v>12.244897959183676</v>
      </c>
    </row>
    <row r="157" spans="1:1">
      <c r="A157" s="135">
        <v>0</v>
      </c>
    </row>
    <row r="158" spans="1:1">
      <c r="A158" s="135">
        <v>61.224489795918352</v>
      </c>
    </row>
    <row r="159" spans="1:1">
      <c r="A159" s="135">
        <v>5.4421768707482991</v>
      </c>
    </row>
    <row r="160" spans="1:1">
      <c r="A160" s="135">
        <v>6.8027210884353746</v>
      </c>
    </row>
    <row r="161" spans="1:1">
      <c r="A161" s="135">
        <v>0</v>
      </c>
    </row>
    <row r="162" spans="1:1">
      <c r="A162" s="135">
        <v>6.8027210884353746</v>
      </c>
    </row>
    <row r="163" spans="1:1">
      <c r="A163" s="135">
        <v>2.7210884353741496</v>
      </c>
    </row>
    <row r="164" spans="1:1">
      <c r="A164" s="135">
        <v>1.3605442176870748</v>
      </c>
    </row>
    <row r="165" spans="1:1">
      <c r="A165" s="135">
        <v>2.3809523809523809</v>
      </c>
    </row>
    <row r="166" spans="1:1">
      <c r="A166" s="135">
        <v>2.3809523809523809</v>
      </c>
    </row>
    <row r="167" spans="1:1">
      <c r="A167" s="135">
        <v>4.0816326530612246</v>
      </c>
    </row>
    <row r="168" spans="1:1">
      <c r="A168" s="135">
        <v>0</v>
      </c>
    </row>
    <row r="169" spans="1:1">
      <c r="A169" s="135">
        <v>1.3605442176870748</v>
      </c>
    </row>
    <row r="170" spans="1:1">
      <c r="A170" s="135">
        <v>5.4421768707482991</v>
      </c>
    </row>
    <row r="171" spans="1:1">
      <c r="A171" s="135">
        <v>1.3605442176870748</v>
      </c>
    </row>
    <row r="172" spans="1:1">
      <c r="A172" s="135">
        <v>0</v>
      </c>
    </row>
    <row r="173" spans="1:1">
      <c r="A173" s="135">
        <v>4.0816326530612246</v>
      </c>
    </row>
    <row r="174" spans="1:1">
      <c r="A174" s="135">
        <v>6.9795918367346941</v>
      </c>
    </row>
    <row r="175" spans="1:1">
      <c r="A175" s="135">
        <v>19.387755102040813</v>
      </c>
    </row>
    <row r="176" spans="1:1">
      <c r="A176" s="135">
        <v>1.9387755102040811</v>
      </c>
    </row>
    <row r="177" spans="1:1">
      <c r="A177" s="135">
        <v>2.3265306122448974</v>
      </c>
    </row>
    <row r="178" spans="1:1">
      <c r="A178" s="135">
        <v>6.2040816326530601</v>
      </c>
    </row>
    <row r="179" spans="1:1">
      <c r="A179" s="135">
        <v>1.9387755102040811</v>
      </c>
    </row>
    <row r="180" spans="1:1">
      <c r="A180" s="135">
        <v>0</v>
      </c>
    </row>
    <row r="181" spans="1:1">
      <c r="A181" s="135">
        <v>0</v>
      </c>
    </row>
    <row r="182" spans="1:1">
      <c r="A182" s="135">
        <v>0.28979591836734692</v>
      </c>
    </row>
    <row r="183" spans="1:1">
      <c r="A183" s="135">
        <v>0</v>
      </c>
    </row>
    <row r="184" spans="1:1">
      <c r="A184" s="135">
        <v>0</v>
      </c>
    </row>
    <row r="185" spans="1:1">
      <c r="A185" s="135">
        <v>0</v>
      </c>
    </row>
    <row r="186" spans="1:1">
      <c r="A186" s="135">
        <v>0</v>
      </c>
    </row>
    <row r="187" spans="1:1">
      <c r="A187" s="135">
        <v>0</v>
      </c>
    </row>
    <row r="188" spans="1:1">
      <c r="A188" s="135">
        <v>0</v>
      </c>
    </row>
    <row r="189" spans="1:1">
      <c r="A189" s="135">
        <v>0.79591836734693888</v>
      </c>
    </row>
    <row r="190" spans="1:1">
      <c r="A190" s="135">
        <v>6.1224489795918382</v>
      </c>
    </row>
    <row r="191" spans="1:1">
      <c r="A191" s="135">
        <v>7.5510204081632653</v>
      </c>
    </row>
    <row r="192" spans="1:1">
      <c r="A192" s="135">
        <v>3.0612244897959191</v>
      </c>
    </row>
    <row r="193" spans="1:1">
      <c r="A193" s="135">
        <v>0.30612244897959184</v>
      </c>
    </row>
    <row r="194" spans="1:1">
      <c r="A194" s="135">
        <v>20.408163265306126</v>
      </c>
    </row>
    <row r="195" spans="1:1">
      <c r="A195" s="135">
        <v>2.4489795918367347</v>
      </c>
    </row>
    <row r="196" spans="1:1">
      <c r="A196" s="135">
        <v>0.48979591836734687</v>
      </c>
    </row>
    <row r="197" spans="1:1">
      <c r="A197" s="135">
        <v>3.4438369936744468</v>
      </c>
    </row>
    <row r="198" spans="1:1">
      <c r="A198" s="135">
        <v>21.523981210465291</v>
      </c>
    </row>
    <row r="199" spans="1:1">
      <c r="A199" s="135">
        <v>0</v>
      </c>
    </row>
    <row r="200" spans="1:1">
      <c r="A200" s="135">
        <v>3.9795918367346945</v>
      </c>
    </row>
    <row r="201" spans="1:1">
      <c r="A201" s="135">
        <v>0.79591836734693888</v>
      </c>
    </row>
    <row r="202" spans="1:1">
      <c r="A202" s="135">
        <v>1.3469387755102042</v>
      </c>
    </row>
    <row r="203" spans="1:1">
      <c r="A203" s="135">
        <v>0.53061224489795922</v>
      </c>
    </row>
    <row r="204" spans="1:1">
      <c r="A204" s="135">
        <v>0.10612244897959185</v>
      </c>
    </row>
    <row r="205" spans="1:1">
      <c r="A205" s="135">
        <v>0.17959183673469384</v>
      </c>
    </row>
    <row r="206" spans="1:1">
      <c r="A206" s="135">
        <v>6.1224489795918382</v>
      </c>
    </row>
    <row r="207" spans="1:1">
      <c r="A207" s="135">
        <v>3.4999999999999996</v>
      </c>
    </row>
    <row r="208" spans="1:1">
      <c r="A208" s="135">
        <v>2.6530612244897953</v>
      </c>
    </row>
    <row r="209" spans="1:1">
      <c r="A209" s="135">
        <v>0.53061224489795922</v>
      </c>
    </row>
    <row r="210" spans="1:1">
      <c r="A210" s="135">
        <v>0.89795918367346916</v>
      </c>
    </row>
    <row r="211" spans="1:1">
      <c r="A211" s="135">
        <v>29.183673469387767</v>
      </c>
    </row>
    <row r="212" spans="1:1">
      <c r="A212" s="135">
        <v>5.8367346938775491</v>
      </c>
    </row>
    <row r="213" spans="1:1">
      <c r="A213" s="135">
        <v>9.8775510204081627</v>
      </c>
    </row>
    <row r="214" spans="1:1">
      <c r="A214" s="135">
        <v>2.6530612244897953</v>
      </c>
    </row>
    <row r="215" spans="1:1">
      <c r="A215" s="135">
        <v>0.53061224489795922</v>
      </c>
    </row>
    <row r="216" spans="1:1">
      <c r="A216" s="135">
        <v>0.89795918367346916</v>
      </c>
    </row>
    <row r="217" spans="1:1">
      <c r="A217" s="135">
        <v>3.0612244897959191</v>
      </c>
    </row>
    <row r="218" spans="1:1">
      <c r="A218" s="135">
        <v>0.61224489795918369</v>
      </c>
    </row>
    <row r="219" spans="1:1">
      <c r="A219" s="135">
        <v>1.8367346938775515</v>
      </c>
    </row>
    <row r="220" spans="1:1">
      <c r="A220" s="135">
        <v>0.61224489795918369</v>
      </c>
    </row>
    <row r="221" spans="1:1">
      <c r="A221" s="135">
        <v>0</v>
      </c>
    </row>
    <row r="222" spans="1:1">
      <c r="A222" s="135">
        <v>1.8367346938775515</v>
      </c>
    </row>
    <row r="223" spans="1:1">
      <c r="A223" s="135">
        <v>2.2448979591836742</v>
      </c>
    </row>
    <row r="224" spans="1:1">
      <c r="A224" s="135">
        <v>0</v>
      </c>
    </row>
    <row r="225" spans="1:1">
      <c r="A225" s="135">
        <v>7.8000000000000016</v>
      </c>
    </row>
    <row r="226" spans="1:1">
      <c r="A226" s="135">
        <v>1.5599999999999996</v>
      </c>
    </row>
    <row r="227" spans="1:1">
      <c r="A227" s="135">
        <v>2.6399999999999997</v>
      </c>
    </row>
    <row r="228" spans="1:1">
      <c r="A228" s="135">
        <v>2.6639999999999997</v>
      </c>
    </row>
    <row r="229" spans="1:1">
      <c r="A229" s="135" t="s">
        <v>364</v>
      </c>
    </row>
    <row r="230" spans="1:1">
      <c r="A230" s="135" t="s">
        <v>364</v>
      </c>
    </row>
    <row r="231" spans="1:1">
      <c r="A231" s="135" t="s">
        <v>364</v>
      </c>
    </row>
    <row r="232" spans="1:1">
      <c r="A232" s="135">
        <v>66.424539030724432</v>
      </c>
    </row>
    <row r="233" spans="1:1">
      <c r="A233" s="135" t="s">
        <v>364</v>
      </c>
    </row>
    <row r="234" spans="1:1">
      <c r="A234" s="135" t="s">
        <v>364</v>
      </c>
    </row>
    <row r="235" spans="1:1">
      <c r="A235" s="135" t="s">
        <v>364</v>
      </c>
    </row>
    <row r="236" spans="1:1">
      <c r="A236" s="135" t="s">
        <v>364</v>
      </c>
    </row>
    <row r="237" spans="1:1">
      <c r="A237" s="135" t="s">
        <v>364</v>
      </c>
    </row>
    <row r="238" spans="1:1">
      <c r="A238" s="135">
        <v>2.4489795918367347</v>
      </c>
    </row>
    <row r="239" spans="1:1">
      <c r="A239" s="135">
        <v>8.1632653061224492</v>
      </c>
    </row>
    <row r="240" spans="1:1">
      <c r="A240" s="135">
        <v>10.204081632653063</v>
      </c>
    </row>
    <row r="241" spans="1:1">
      <c r="A241" s="135">
        <v>2.6587966091760644</v>
      </c>
    </row>
    <row r="242" spans="1:1">
      <c r="A242" s="135">
        <v>7.959183673469389</v>
      </c>
    </row>
    <row r="243" spans="1:1">
      <c r="A243" s="135">
        <v>18.571428571428573</v>
      </c>
    </row>
    <row r="244" spans="1:1">
      <c r="A244" s="135">
        <v>2.4489795918367347</v>
      </c>
    </row>
    <row r="245" spans="1:1">
      <c r="A245" s="135">
        <v>3.2653061224489792</v>
      </c>
    </row>
    <row r="246" spans="1:1">
      <c r="A246" s="135">
        <v>1.5306122448979596</v>
      </c>
    </row>
    <row r="247" spans="1:1">
      <c r="A247" s="135">
        <v>4.0816326530612246</v>
      </c>
    </row>
    <row r="248" spans="1:1">
      <c r="A248" s="135">
        <v>2.4489795918367347</v>
      </c>
    </row>
    <row r="249" spans="1:1">
      <c r="A249" s="135">
        <v>3.2653061224489792</v>
      </c>
    </row>
    <row r="250" spans="1:1">
      <c r="A250" s="135">
        <v>1.5306122448979596</v>
      </c>
    </row>
    <row r="251" spans="1:1">
      <c r="A251" s="135">
        <v>4.0816326530612246</v>
      </c>
    </row>
    <row r="252" spans="1:1">
      <c r="A252" s="135">
        <v>2.4489795918367347</v>
      </c>
    </row>
    <row r="253" spans="1:1">
      <c r="A253" s="135">
        <v>3.2653061224489792</v>
      </c>
    </row>
    <row r="254" spans="1:1">
      <c r="A254" s="135">
        <v>1.5306122448979596</v>
      </c>
    </row>
    <row r="255" spans="1:1">
      <c r="A255" s="135">
        <v>4.0816326530612246</v>
      </c>
    </row>
    <row r="256" spans="1:1">
      <c r="A256" s="135">
        <v>4.0816326530612246</v>
      </c>
    </row>
    <row r="257" spans="1:1">
      <c r="A257" s="135">
        <v>0.81632653061224503</v>
      </c>
    </row>
    <row r="258" spans="1:1">
      <c r="A258" s="135">
        <v>0.45918367346938782</v>
      </c>
    </row>
    <row r="259" spans="1:1">
      <c r="A259" s="135">
        <v>1.2244897959183674</v>
      </c>
    </row>
    <row r="260" spans="1:1">
      <c r="A260" s="135">
        <v>2.3809523809523809</v>
      </c>
    </row>
    <row r="261" spans="1:1">
      <c r="A261" s="135">
        <v>0.6</v>
      </c>
    </row>
    <row r="262" spans="1:1">
      <c r="A262" s="135">
        <v>2.3809523809523809</v>
      </c>
    </row>
    <row r="263" spans="1:1">
      <c r="A263" s="135">
        <v>0.6</v>
      </c>
    </row>
    <row r="264" spans="1:1">
      <c r="A264" s="135">
        <v>1.2244897959183674</v>
      </c>
    </row>
    <row r="265" spans="1:1">
      <c r="A265" s="135">
        <v>0.81632653061224503</v>
      </c>
    </row>
    <row r="266" spans="1:1">
      <c r="A266" s="135">
        <v>0.45918367346938782</v>
      </c>
    </row>
    <row r="267" spans="1:1">
      <c r="A267" s="135">
        <v>1.2244897959183674</v>
      </c>
    </row>
    <row r="268" spans="1:1">
      <c r="A268" s="135">
        <v>6.1224489795918382</v>
      </c>
    </row>
    <row r="269" spans="1:1">
      <c r="A269" s="135">
        <v>5.1020408163265314</v>
      </c>
    </row>
    <row r="270" spans="1:1">
      <c r="A270" s="135">
        <v>5.1020408163265314</v>
      </c>
    </row>
    <row r="271" spans="1:1">
      <c r="A271" s="135">
        <v>6.1224489795918382</v>
      </c>
    </row>
    <row r="272" spans="1:1">
      <c r="A272" s="135">
        <v>3.0612244897959191</v>
      </c>
    </row>
    <row r="273" spans="1:1">
      <c r="A273" s="135">
        <v>3.0612244897959191</v>
      </c>
    </row>
    <row r="274" spans="1:1">
      <c r="A274" s="135">
        <v>4.0816326530612246</v>
      </c>
    </row>
    <row r="275" spans="1:1">
      <c r="A275">
        <v>3.7279999999999998</v>
      </c>
    </row>
    <row r="276" spans="1:1">
      <c r="A276">
        <v>2</v>
      </c>
    </row>
    <row r="277" spans="1:1">
      <c r="A277">
        <v>2.6999999999999997</v>
      </c>
    </row>
    <row r="278" spans="1:1">
      <c r="A278">
        <v>1.4400000000000004</v>
      </c>
    </row>
    <row r="279" spans="1:1">
      <c r="A279">
        <v>5</v>
      </c>
    </row>
    <row r="280" spans="1:1">
      <c r="A280" t="e">
        <v>#VALUE!</v>
      </c>
    </row>
    <row r="281" spans="1:1">
      <c r="A281">
        <v>27.6</v>
      </c>
    </row>
    <row r="282" spans="1:1">
      <c r="A282">
        <v>12</v>
      </c>
    </row>
    <row r="283" spans="1:1">
      <c r="A283">
        <v>7.9104000000000019</v>
      </c>
    </row>
    <row r="284" spans="1:1">
      <c r="A284">
        <v>9.2568000000000001</v>
      </c>
    </row>
    <row r="285" spans="1:1">
      <c r="A285">
        <v>1.3184</v>
      </c>
    </row>
    <row r="286" spans="1:1">
      <c r="A286">
        <v>1.5427999999999999</v>
      </c>
    </row>
    <row r="287" spans="1:1">
      <c r="A287">
        <v>3.9552000000000009</v>
      </c>
    </row>
    <row r="288" spans="1:1">
      <c r="A288">
        <v>4.6284000000000001</v>
      </c>
    </row>
    <row r="289" spans="1:1">
      <c r="A289">
        <v>5</v>
      </c>
    </row>
    <row r="290" spans="1:1">
      <c r="A290">
        <v>11.25381033057851</v>
      </c>
    </row>
    <row r="291" spans="1:1">
      <c r="A291">
        <v>17.933884297520663</v>
      </c>
    </row>
    <row r="292" spans="1:1">
      <c r="A292">
        <v>0.47438016528925603</v>
      </c>
    </row>
    <row r="293" spans="1:1">
      <c r="A293">
        <v>4.6743801652892554</v>
      </c>
    </row>
    <row r="294" spans="1:1">
      <c r="A294">
        <v>4.2</v>
      </c>
    </row>
    <row r="295" spans="1:1">
      <c r="A295">
        <v>5.9520000000000017</v>
      </c>
    </row>
    <row r="296" spans="1:1">
      <c r="A296">
        <v>0.6</v>
      </c>
    </row>
    <row r="297" spans="1:1">
      <c r="A297">
        <v>7.44</v>
      </c>
    </row>
    <row r="298" spans="1:1">
      <c r="A298">
        <v>0.897272727272727</v>
      </c>
    </row>
    <row r="299" spans="1:1">
      <c r="A299">
        <v>4.4716115702479335</v>
      </c>
    </row>
    <row r="300" spans="1:1">
      <c r="A300">
        <v>0.3</v>
      </c>
    </row>
    <row r="301" spans="1:1">
      <c r="A301">
        <v>0.8999999999999998</v>
      </c>
    </row>
    <row r="302" spans="1:1">
      <c r="A302">
        <v>2.1599999999999997</v>
      </c>
    </row>
    <row r="303" spans="1:1">
      <c r="A303">
        <v>14.499999999999993</v>
      </c>
    </row>
    <row r="304" spans="1:1">
      <c r="A304">
        <v>0.43199999999999994</v>
      </c>
    </row>
    <row r="305" spans="1:1">
      <c r="A305">
        <v>4.37</v>
      </c>
    </row>
    <row r="306" spans="1:1">
      <c r="A306" t="s">
        <v>364</v>
      </c>
    </row>
    <row r="307" spans="1:1">
      <c r="A307" t="s">
        <v>364</v>
      </c>
    </row>
    <row r="308" spans="1:1">
      <c r="A308" t="s">
        <v>364</v>
      </c>
    </row>
    <row r="309" spans="1:1">
      <c r="A309">
        <v>6.4200000000000008</v>
      </c>
    </row>
    <row r="310" spans="1:1">
      <c r="A310">
        <v>13.445000000000002</v>
      </c>
    </row>
    <row r="311" spans="1:1">
      <c r="A311" t="s">
        <v>364</v>
      </c>
    </row>
    <row r="312" spans="1:1">
      <c r="A312">
        <v>0.43</v>
      </c>
    </row>
    <row r="313" spans="1:1">
      <c r="A313" t="s">
        <v>364</v>
      </c>
    </row>
    <row r="314" spans="1:1">
      <c r="A314" t="s">
        <v>364</v>
      </c>
    </row>
    <row r="315" spans="1:1">
      <c r="A315">
        <v>3.4800000000000004</v>
      </c>
    </row>
    <row r="316" spans="1:1">
      <c r="A316">
        <v>5.3865289256198343</v>
      </c>
    </row>
    <row r="317" spans="1:1">
      <c r="A317">
        <v>0.13739669421487605</v>
      </c>
    </row>
    <row r="318" spans="1:1">
      <c r="A318">
        <v>0.6</v>
      </c>
    </row>
    <row r="319" spans="1:1">
      <c r="A319">
        <v>0.897272727272727</v>
      </c>
    </row>
    <row r="320" spans="1:1">
      <c r="A320">
        <v>2.5</v>
      </c>
    </row>
    <row r="321" spans="1:1">
      <c r="A321">
        <v>1.7999999999999996</v>
      </c>
    </row>
    <row r="322" spans="1:1">
      <c r="A322">
        <v>0.99706611570247927</v>
      </c>
    </row>
    <row r="323" spans="1:1">
      <c r="A323">
        <v>2.4919421487603315</v>
      </c>
    </row>
    <row r="324" spans="1:1">
      <c r="A324">
        <v>7.5</v>
      </c>
    </row>
    <row r="325" spans="1:1">
      <c r="A325">
        <v>0.6</v>
      </c>
    </row>
    <row r="326" spans="1:1">
      <c r="A326">
        <v>2.4</v>
      </c>
    </row>
    <row r="327" spans="1:1">
      <c r="A327">
        <v>2.4</v>
      </c>
    </row>
    <row r="329" spans="1:1">
      <c r="A329">
        <v>4.5</v>
      </c>
    </row>
    <row r="330" spans="1:1">
      <c r="A330">
        <v>5.2973450211263176</v>
      </c>
    </row>
    <row r="331" spans="1:1">
      <c r="A331">
        <v>11.007515166803307</v>
      </c>
    </row>
    <row r="332" spans="1:1">
      <c r="A332">
        <v>1.8616383931386766</v>
      </c>
    </row>
    <row r="333" spans="1:1">
      <c r="A333">
        <v>4.389228731790376</v>
      </c>
    </row>
    <row r="334" spans="1:1">
      <c r="A334">
        <v>0.67420672258308645</v>
      </c>
    </row>
    <row r="335" spans="1:1">
      <c r="A335">
        <v>0.91637106640600363</v>
      </c>
    </row>
    <row r="336" spans="1:1">
      <c r="A336">
        <v>8.5360000000000014</v>
      </c>
    </row>
    <row r="337" spans="1:1">
      <c r="A337">
        <v>7.2959999999999994</v>
      </c>
    </row>
    <row r="338" spans="1:1">
      <c r="A338">
        <v>3.6</v>
      </c>
    </row>
    <row r="339" spans="1:1">
      <c r="A339" t="s">
        <v>364</v>
      </c>
    </row>
    <row r="340" spans="1:1">
      <c r="A340">
        <v>1.522</v>
      </c>
    </row>
    <row r="341" spans="1:1">
      <c r="A341">
        <v>1.248</v>
      </c>
    </row>
    <row r="342" spans="1:1">
      <c r="A342">
        <v>0.17799999999999996</v>
      </c>
    </row>
    <row r="343" spans="1:1">
      <c r="A343">
        <v>2.4434399999999994</v>
      </c>
    </row>
    <row r="344" spans="1:1">
      <c r="A344">
        <v>1.3920000000000003</v>
      </c>
    </row>
    <row r="345" spans="1:1">
      <c r="A345">
        <v>3.7680000000000002</v>
      </c>
    </row>
    <row r="346" spans="1:1">
      <c r="A346">
        <v>0.50399999999999989</v>
      </c>
    </row>
    <row r="347" spans="1:1">
      <c r="A347">
        <v>0.23999999999999996</v>
      </c>
    </row>
    <row r="348" spans="1:1">
      <c r="A348">
        <v>1.8414580311534339</v>
      </c>
    </row>
    <row r="349" spans="1:1">
      <c r="A349">
        <v>0.75676357444661646</v>
      </c>
    </row>
    <row r="350" spans="1:1">
      <c r="A350">
        <v>0.75676357444661646</v>
      </c>
    </row>
    <row r="351" spans="1:1">
      <c r="A351">
        <v>0.23999999999999996</v>
      </c>
    </row>
    <row r="352" spans="1:1">
      <c r="A352">
        <v>2.9400000000000008</v>
      </c>
    </row>
    <row r="353" spans="1:1">
      <c r="A353">
        <v>0.95999999999999985</v>
      </c>
    </row>
    <row r="354" spans="1:1">
      <c r="A354">
        <v>0.7799999999999998</v>
      </c>
    </row>
  </sheetData>
  <autoFilter ref="A1:A327" xr:uid="{5333DDA6-D520-45A7-8FD6-08E950FA6F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A1C52-87D8-464E-8F50-E5A5DD6AF9A5}">
  <dimension ref="A1:A157"/>
  <sheetViews>
    <sheetView workbookViewId="0"/>
  </sheetViews>
  <sheetFormatPr defaultRowHeight="17.25"/>
  <sheetData>
    <row r="1" spans="1:1">
      <c r="A1">
        <v>78368</v>
      </c>
    </row>
    <row r="2" spans="1:1">
      <c r="A2">
        <v>25249.679999999997</v>
      </c>
    </row>
    <row r="3" spans="1:1">
      <c r="A3">
        <v>67332.479999999996</v>
      </c>
    </row>
    <row r="4" spans="1:1">
      <c r="A4">
        <v>7013.800000000002</v>
      </c>
    </row>
    <row r="5" spans="1:1">
      <c r="A5">
        <v>8416.56</v>
      </c>
    </row>
    <row r="6" spans="1:1">
      <c r="A6">
        <v>2805.5200000000004</v>
      </c>
    </row>
    <row r="7" spans="1:1">
      <c r="A7">
        <v>22444.160000000003</v>
      </c>
    </row>
    <row r="8" spans="1:1">
      <c r="A8">
        <v>7013.800000000002</v>
      </c>
    </row>
    <row r="9" spans="1:1">
      <c r="A9">
        <v>33688.439999999995</v>
      </c>
    </row>
    <row r="10" spans="1:1">
      <c r="A10">
        <v>89835.840000000026</v>
      </c>
    </row>
    <row r="11" spans="1:1">
      <c r="A11">
        <v>9357.9</v>
      </c>
    </row>
    <row r="12" spans="1:1">
      <c r="A12">
        <v>11229.480000000003</v>
      </c>
    </row>
    <row r="13" spans="1:1">
      <c r="A13">
        <v>3743.1599999999994</v>
      </c>
    </row>
    <row r="14" spans="1:1">
      <c r="A14">
        <v>29945.279999999995</v>
      </c>
    </row>
    <row r="15" spans="1:1">
      <c r="A15">
        <v>9357.9</v>
      </c>
    </row>
    <row r="16" spans="1:1">
      <c r="A16">
        <v>4800</v>
      </c>
    </row>
    <row r="17" spans="1:1">
      <c r="A17">
        <v>1200</v>
      </c>
    </row>
    <row r="18" spans="1:1">
      <c r="A18">
        <v>1200</v>
      </c>
    </row>
    <row r="19" spans="1:1">
      <c r="A19">
        <v>15459.920000000006</v>
      </c>
    </row>
    <row r="20" spans="1:1">
      <c r="A20">
        <v>3864.9800000000014</v>
      </c>
    </row>
    <row r="21" spans="1:1">
      <c r="A21">
        <v>2760.7000000000003</v>
      </c>
    </row>
    <row r="22" spans="1:1">
      <c r="A22">
        <v>2760.7000000000003</v>
      </c>
    </row>
    <row r="23" spans="1:1">
      <c r="A23">
        <v>4969.26</v>
      </c>
    </row>
    <row r="24" spans="1:1">
      <c r="A24">
        <v>3312.8400000000006</v>
      </c>
    </row>
    <row r="25" spans="1:1">
      <c r="A25">
        <v>9938.52</v>
      </c>
    </row>
    <row r="26" spans="1:1">
      <c r="A26">
        <v>12147.079999999996</v>
      </c>
    </row>
    <row r="27" spans="1:1">
      <c r="A27">
        <v>2822.3999999999996</v>
      </c>
    </row>
    <row r="28" spans="1:1">
      <c r="A28">
        <v>705.59999999999991</v>
      </c>
    </row>
    <row r="29" spans="1:1">
      <c r="A29">
        <v>120000</v>
      </c>
    </row>
    <row r="30" spans="1:1">
      <c r="A30">
        <v>504</v>
      </c>
    </row>
    <row r="31" spans="1:1">
      <c r="A31">
        <v>504</v>
      </c>
    </row>
    <row r="32" spans="1:1">
      <c r="A32">
        <v>907.20000000000016</v>
      </c>
    </row>
    <row r="33" spans="1:1">
      <c r="A33">
        <v>604.79999999999984</v>
      </c>
    </row>
    <row r="34" spans="1:1">
      <c r="A34">
        <v>1814.4000000000003</v>
      </c>
    </row>
    <row r="35" spans="1:1">
      <c r="A35">
        <v>0</v>
      </c>
    </row>
    <row r="36" spans="1:1">
      <c r="A36">
        <v>2217.6</v>
      </c>
    </row>
    <row r="37" spans="1:1">
      <c r="A37">
        <v>0</v>
      </c>
    </row>
    <row r="38" spans="1:1">
      <c r="A38">
        <v>1500</v>
      </c>
    </row>
    <row r="39" spans="1:1">
      <c r="A39">
        <v>6500.0000000000009</v>
      </c>
    </row>
    <row r="40" spans="1:1">
      <c r="A40">
        <v>1250</v>
      </c>
    </row>
    <row r="41" spans="1:1">
      <c r="A41">
        <v>2000.0000000000002</v>
      </c>
    </row>
    <row r="42" spans="1:1">
      <c r="A42">
        <v>3750</v>
      </c>
    </row>
    <row r="43" spans="1:1">
      <c r="A43">
        <v>1250</v>
      </c>
    </row>
    <row r="44" spans="1:1">
      <c r="A44">
        <v>0</v>
      </c>
    </row>
    <row r="45" spans="1:1">
      <c r="A45">
        <v>4000.0000000000005</v>
      </c>
    </row>
    <row r="46" spans="1:1">
      <c r="A46">
        <v>4750</v>
      </c>
    </row>
    <row r="47" spans="1:1">
      <c r="A47">
        <v>700.00000000000011</v>
      </c>
    </row>
    <row r="48" spans="1:1">
      <c r="A48">
        <v>55500</v>
      </c>
    </row>
    <row r="49" spans="1:1">
      <c r="A49">
        <v>5760</v>
      </c>
    </row>
    <row r="50" spans="1:1">
      <c r="A50">
        <v>6399.9999999999991</v>
      </c>
    </row>
    <row r="51" spans="1:1">
      <c r="A51">
        <v>5760</v>
      </c>
    </row>
    <row r="52" spans="1:1">
      <c r="A52">
        <v>2560</v>
      </c>
    </row>
    <row r="53" spans="1:1">
      <c r="A53">
        <v>1380</v>
      </c>
    </row>
    <row r="54" spans="1:1">
      <c r="A54">
        <v>960</v>
      </c>
    </row>
    <row r="55" spans="1:1">
      <c r="A55">
        <v>799.99999999999989</v>
      </c>
    </row>
    <row r="56" spans="1:1">
      <c r="A56">
        <v>799.99999999999989</v>
      </c>
    </row>
    <row r="57" spans="1:1">
      <c r="A57">
        <v>1920</v>
      </c>
    </row>
    <row r="58" spans="1:1">
      <c r="A58">
        <v>5120</v>
      </c>
    </row>
    <row r="59" spans="1:1">
      <c r="A59">
        <v>1599.9999999999998</v>
      </c>
    </row>
    <row r="60" spans="1:1">
      <c r="A60">
        <v>24840</v>
      </c>
    </row>
    <row r="61" spans="1:1">
      <c r="A61">
        <v>69000</v>
      </c>
    </row>
    <row r="62" spans="1:1">
      <c r="A62">
        <v>6900</v>
      </c>
    </row>
    <row r="63" spans="1:1">
      <c r="A63">
        <v>8280</v>
      </c>
    </row>
    <row r="64" spans="1:1">
      <c r="A64">
        <v>22080</v>
      </c>
    </row>
    <row r="65" spans="1:1">
      <c r="A65">
        <v>6900</v>
      </c>
    </row>
    <row r="66" spans="1:1">
      <c r="A66">
        <v>48514.599999999984</v>
      </c>
    </row>
    <row r="67" spans="1:1">
      <c r="A67">
        <v>2553.4</v>
      </c>
    </row>
    <row r="68" spans="1:1">
      <c r="A68">
        <v>41254.858333333323</v>
      </c>
    </row>
    <row r="69" spans="1:1">
      <c r="A69">
        <v>2171.3083333333334</v>
      </c>
    </row>
    <row r="70" spans="1:1">
      <c r="A70">
        <v>3499.9999999999995</v>
      </c>
    </row>
    <row r="71" spans="1:1">
      <c r="A71">
        <v>0</v>
      </c>
    </row>
    <row r="72" spans="1:1">
      <c r="A72">
        <v>7800</v>
      </c>
    </row>
    <row r="73" spans="1:1">
      <c r="A73">
        <v>1560</v>
      </c>
    </row>
    <row r="74" spans="1:1">
      <c r="A74">
        <v>2640</v>
      </c>
    </row>
    <row r="75" spans="1:1">
      <c r="A75">
        <v>2664</v>
      </c>
    </row>
    <row r="76" spans="1:1">
      <c r="A76">
        <v>384000</v>
      </c>
    </row>
    <row r="77" spans="1:1">
      <c r="A77">
        <v>14000</v>
      </c>
    </row>
    <row r="78" spans="1:1">
      <c r="A78">
        <v>7200</v>
      </c>
    </row>
    <row r="79" spans="1:1">
      <c r="A79">
        <v>2000</v>
      </c>
    </row>
    <row r="80" spans="1:1">
      <c r="A80">
        <v>2700</v>
      </c>
    </row>
    <row r="81" spans="1:1">
      <c r="A81">
        <v>1440</v>
      </c>
    </row>
    <row r="82" spans="1:1">
      <c r="A82">
        <v>5000</v>
      </c>
    </row>
    <row r="83" spans="1:1">
      <c r="A83">
        <v>13200</v>
      </c>
    </row>
    <row r="84" spans="1:1">
      <c r="A84">
        <v>27600</v>
      </c>
    </row>
    <row r="85" spans="1:1">
      <c r="A85">
        <v>12000</v>
      </c>
    </row>
    <row r="86" spans="1:1">
      <c r="A86">
        <v>7910.3999999999987</v>
      </c>
    </row>
    <row r="87" spans="1:1">
      <c r="A87">
        <v>9256.7999999999993</v>
      </c>
    </row>
    <row r="88" spans="1:1">
      <c r="A88">
        <v>1318.4</v>
      </c>
    </row>
    <row r="89" spans="1:1">
      <c r="A89">
        <v>1542.7999999999997</v>
      </c>
    </row>
    <row r="90" spans="1:1">
      <c r="A90">
        <v>3955.1999999999994</v>
      </c>
    </row>
    <row r="91" spans="1:1">
      <c r="A91">
        <v>4628.3999999999996</v>
      </c>
    </row>
    <row r="92" spans="1:1">
      <c r="A92">
        <v>5000</v>
      </c>
    </row>
    <row r="93" spans="1:1">
      <c r="A93">
        <v>11253.810330578513</v>
      </c>
    </row>
    <row r="94" spans="1:1">
      <c r="A94">
        <v>17933.884297520657</v>
      </c>
    </row>
    <row r="95" spans="1:1">
      <c r="A95">
        <v>474.38016528925624</v>
      </c>
    </row>
    <row r="96" spans="1:1">
      <c r="A96">
        <v>4674.3801652892553</v>
      </c>
    </row>
    <row r="97" spans="1:1">
      <c r="A97">
        <v>4200</v>
      </c>
    </row>
    <row r="98" spans="1:1">
      <c r="A98">
        <v>5952</v>
      </c>
    </row>
    <row r="99" spans="1:1">
      <c r="A99">
        <v>600</v>
      </c>
    </row>
    <row r="100" spans="1:1">
      <c r="A100">
        <v>7440</v>
      </c>
    </row>
    <row r="101" spans="1:1">
      <c r="A101">
        <v>897.27272727272714</v>
      </c>
    </row>
    <row r="102" spans="1:1">
      <c r="A102">
        <v>4471.6115702479337</v>
      </c>
    </row>
    <row r="103" spans="1:1">
      <c r="A103">
        <v>300</v>
      </c>
    </row>
    <row r="104" spans="1:1">
      <c r="A104">
        <v>900</v>
      </c>
    </row>
    <row r="105" spans="1:1">
      <c r="A105">
        <v>2160</v>
      </c>
    </row>
    <row r="106" spans="1:1">
      <c r="A106">
        <v>14500.000000000002</v>
      </c>
    </row>
    <row r="107" spans="1:1">
      <c r="A107">
        <v>432</v>
      </c>
    </row>
    <row r="108" spans="1:1">
      <c r="A108">
        <v>4370</v>
      </c>
    </row>
    <row r="109" spans="1:1">
      <c r="A109" t="s">
        <v>364</v>
      </c>
    </row>
    <row r="110" spans="1:1">
      <c r="A110" t="s">
        <v>364</v>
      </c>
    </row>
    <row r="111" spans="1:1">
      <c r="A111" t="s">
        <v>364</v>
      </c>
    </row>
    <row r="112" spans="1:1">
      <c r="A112">
        <v>6420</v>
      </c>
    </row>
    <row r="113" spans="1:1">
      <c r="A113">
        <v>13444.999999999998</v>
      </c>
    </row>
    <row r="114" spans="1:1">
      <c r="A114" t="s">
        <v>364</v>
      </c>
    </row>
    <row r="115" spans="1:1">
      <c r="A115">
        <v>430</v>
      </c>
    </row>
    <row r="116" spans="1:1">
      <c r="A116" t="s">
        <v>364</v>
      </c>
    </row>
    <row r="117" spans="1:1">
      <c r="A117" t="s">
        <v>364</v>
      </c>
    </row>
    <row r="118" spans="1:1">
      <c r="A118">
        <v>3480</v>
      </c>
    </row>
    <row r="119" spans="1:1">
      <c r="A119">
        <v>5386.5289256198366</v>
      </c>
    </row>
    <row r="120" spans="1:1">
      <c r="A120">
        <v>137.39669421487602</v>
      </c>
    </row>
    <row r="121" spans="1:1">
      <c r="A121">
        <v>600</v>
      </c>
    </row>
    <row r="122" spans="1:1">
      <c r="A122">
        <v>897.27272727272714</v>
      </c>
    </row>
    <row r="123" spans="1:1">
      <c r="A123">
        <v>2500</v>
      </c>
    </row>
    <row r="124" spans="1:1">
      <c r="A124">
        <v>1800</v>
      </c>
    </row>
    <row r="125" spans="1:1">
      <c r="A125">
        <v>997.06611570247935</v>
      </c>
    </row>
    <row r="126" spans="1:1">
      <c r="A126">
        <v>2491.9421487603304</v>
      </c>
    </row>
    <row r="127" spans="1:1">
      <c r="A127">
        <v>7500</v>
      </c>
    </row>
    <row r="128" spans="1:1">
      <c r="A128">
        <v>600</v>
      </c>
    </row>
    <row r="129" spans="1:1">
      <c r="A129">
        <v>2400</v>
      </c>
    </row>
    <row r="130" spans="1:1">
      <c r="A130">
        <v>2400</v>
      </c>
    </row>
    <row r="131" spans="1:1">
      <c r="A131">
        <v>444</v>
      </c>
    </row>
    <row r="132" spans="1:1">
      <c r="A132">
        <v>4500</v>
      </c>
    </row>
    <row r="133" spans="1:1">
      <c r="A133">
        <v>5297.3450211263153</v>
      </c>
    </row>
    <row r="134" spans="1:1">
      <c r="A134">
        <v>11007.515166803305</v>
      </c>
    </row>
    <row r="135" spans="1:1">
      <c r="A135">
        <v>1861.6383931386774</v>
      </c>
    </row>
    <row r="136" spans="1:1">
      <c r="A136">
        <v>4389.2287317903765</v>
      </c>
    </row>
    <row r="137" spans="1:1">
      <c r="A137">
        <v>674.20672258308616</v>
      </c>
    </row>
    <row r="138" spans="1:1">
      <c r="A138">
        <v>916.37106640600393</v>
      </c>
    </row>
    <row r="139" spans="1:1">
      <c r="A139">
        <v>8536</v>
      </c>
    </row>
    <row r="140" spans="1:1">
      <c r="A140">
        <v>7296</v>
      </c>
    </row>
    <row r="141" spans="1:1">
      <c r="A141">
        <v>3600</v>
      </c>
    </row>
    <row r="142" spans="1:1">
      <c r="A142" t="s">
        <v>364</v>
      </c>
    </row>
    <row r="143" spans="1:1">
      <c r="A143">
        <v>1522</v>
      </c>
    </row>
    <row r="144" spans="1:1">
      <c r="A144">
        <v>1248</v>
      </c>
    </row>
    <row r="145" spans="1:1">
      <c r="A145">
        <v>178</v>
      </c>
    </row>
    <row r="146" spans="1:1">
      <c r="A146">
        <v>2443.4399999999996</v>
      </c>
    </row>
    <row r="147" spans="1:1">
      <c r="A147">
        <v>1392</v>
      </c>
    </row>
    <row r="148" spans="1:1">
      <c r="A148">
        <v>3768</v>
      </c>
    </row>
    <row r="149" spans="1:1">
      <c r="A149">
        <v>504</v>
      </c>
    </row>
    <row r="150" spans="1:1">
      <c r="A150">
        <v>240</v>
      </c>
    </row>
    <row r="151" spans="1:1">
      <c r="A151">
        <v>1841.4580311534339</v>
      </c>
    </row>
    <row r="152" spans="1:1">
      <c r="A152">
        <v>756.76357444661664</v>
      </c>
    </row>
    <row r="153" spans="1:1">
      <c r="A153">
        <v>756.76357444661664</v>
      </c>
    </row>
    <row r="154" spans="1:1">
      <c r="A154">
        <v>240</v>
      </c>
    </row>
    <row r="155" spans="1:1">
      <c r="A155">
        <v>2940</v>
      </c>
    </row>
    <row r="156" spans="1:1">
      <c r="A156">
        <v>960</v>
      </c>
    </row>
    <row r="157" spans="1:1">
      <c r="A157">
        <v>780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38A1-9754-4692-A72A-90A0560A36B7}">
  <sheetPr>
    <tabColor rgb="FF3A9335"/>
  </sheetPr>
  <dimension ref="A1:R534"/>
  <sheetViews>
    <sheetView zoomScale="80" zoomScaleNormal="80" workbookViewId="0">
      <pane xSplit="3" ySplit="4" topLeftCell="D9" activePane="bottomRight" state="frozen"/>
      <selection pane="bottomRight" activeCell="G11" sqref="G11"/>
      <selection pane="bottomLeft" activeCell="A6" sqref="A6"/>
      <selection pane="topRight" activeCell="D1" sqref="D1"/>
    </sheetView>
  </sheetViews>
  <sheetFormatPr defaultColWidth="8.88671875" defaultRowHeight="17.45" outlineLevelCol="1"/>
  <cols>
    <col min="1" max="1" width="15.77734375" customWidth="1"/>
    <col min="2" max="3" width="20.77734375" customWidth="1"/>
    <col min="4" max="4" width="25.77734375" customWidth="1" outlineLevel="1"/>
    <col min="5" max="5" width="25.88671875" bestFit="1" customWidth="1"/>
    <col min="6" max="17" width="7.77734375" bestFit="1" customWidth="1"/>
    <col min="18" max="18" width="7.6640625" bestFit="1" customWidth="1"/>
    <col min="19" max="19" width="13.21875" bestFit="1" customWidth="1"/>
  </cols>
  <sheetData>
    <row r="1" spans="1:18">
      <c r="A1" s="33" t="s">
        <v>59</v>
      </c>
      <c r="B1" t="s">
        <v>366</v>
      </c>
      <c r="R1" s="44">
        <f>Budget!BS1-GETPIVOTDATA("FY.2026",$A$4)</f>
        <v>179.69230094059867</v>
      </c>
    </row>
    <row r="2" spans="1:18">
      <c r="A2" s="33" t="s">
        <v>60</v>
      </c>
      <c r="B2" t="s">
        <v>366</v>
      </c>
    </row>
    <row r="3" spans="1:18">
      <c r="A3" s="33" t="s">
        <v>2</v>
      </c>
      <c r="B3" t="s">
        <v>366</v>
      </c>
    </row>
    <row r="5" spans="1:18">
      <c r="A5" s="33" t="s">
        <v>73</v>
      </c>
      <c r="B5" s="33" t="s">
        <v>68</v>
      </c>
      <c r="C5" s="33" t="s">
        <v>61</v>
      </c>
      <c r="D5" s="33" t="s">
        <v>63</v>
      </c>
      <c r="E5" s="33" t="s">
        <v>1</v>
      </c>
      <c r="F5" t="s">
        <v>367</v>
      </c>
      <c r="G5" t="s">
        <v>368</v>
      </c>
      <c r="H5" t="s">
        <v>369</v>
      </c>
      <c r="I5" t="s">
        <v>370</v>
      </c>
      <c r="J5" t="s">
        <v>371</v>
      </c>
      <c r="K5" t="s">
        <v>372</v>
      </c>
      <c r="L5" t="s">
        <v>373</v>
      </c>
      <c r="M5" t="s">
        <v>374</v>
      </c>
      <c r="N5" t="s">
        <v>375</v>
      </c>
      <c r="O5" t="s">
        <v>376</v>
      </c>
      <c r="P5" t="s">
        <v>377</v>
      </c>
      <c r="Q5" t="s">
        <v>378</v>
      </c>
      <c r="R5" t="s">
        <v>379</v>
      </c>
    </row>
    <row r="6" spans="1:18">
      <c r="A6" t="s">
        <v>364</v>
      </c>
      <c r="B6" t="s">
        <v>380</v>
      </c>
      <c r="F6" s="101">
        <v>0</v>
      </c>
      <c r="G6" s="101">
        <v>0</v>
      </c>
      <c r="H6" s="101">
        <v>0</v>
      </c>
      <c r="I6" s="101">
        <v>0</v>
      </c>
      <c r="J6" s="101">
        <v>0</v>
      </c>
      <c r="K6" s="101">
        <v>0</v>
      </c>
      <c r="L6" s="101">
        <v>0</v>
      </c>
      <c r="M6" s="101">
        <v>0</v>
      </c>
      <c r="N6" s="101">
        <v>0</v>
      </c>
      <c r="O6" s="101">
        <v>0</v>
      </c>
      <c r="P6" s="101">
        <v>0</v>
      </c>
      <c r="Q6" s="101">
        <v>0</v>
      </c>
      <c r="R6" s="101">
        <v>0</v>
      </c>
    </row>
    <row r="7" spans="1:18">
      <c r="B7" t="s">
        <v>106</v>
      </c>
      <c r="C7" t="s">
        <v>118</v>
      </c>
      <c r="D7" t="s">
        <v>314</v>
      </c>
      <c r="E7" t="s">
        <v>263</v>
      </c>
      <c r="F7" s="101">
        <v>0</v>
      </c>
      <c r="G7" s="101">
        <v>0</v>
      </c>
      <c r="H7" s="101">
        <v>0</v>
      </c>
      <c r="I7" s="101">
        <v>0</v>
      </c>
      <c r="J7" s="101">
        <v>0</v>
      </c>
      <c r="K7" s="101">
        <v>0</v>
      </c>
      <c r="L7" s="101">
        <v>0</v>
      </c>
      <c r="M7" s="101">
        <v>0</v>
      </c>
      <c r="N7" s="101">
        <v>0</v>
      </c>
      <c r="O7" s="101">
        <v>0</v>
      </c>
      <c r="P7" s="101">
        <v>0</v>
      </c>
      <c r="Q7" s="101">
        <v>0</v>
      </c>
      <c r="R7" s="101">
        <v>0</v>
      </c>
    </row>
    <row r="8" spans="1:18">
      <c r="C8" s="52" t="s">
        <v>381</v>
      </c>
      <c r="D8" s="52"/>
      <c r="E8" s="52"/>
      <c r="F8" s="102">
        <v>0</v>
      </c>
      <c r="G8" s="102">
        <v>0</v>
      </c>
      <c r="H8" s="102">
        <v>0</v>
      </c>
      <c r="I8" s="102">
        <v>0</v>
      </c>
      <c r="J8" s="102">
        <v>0</v>
      </c>
      <c r="K8" s="102">
        <v>0</v>
      </c>
      <c r="L8" s="102">
        <v>0</v>
      </c>
      <c r="M8" s="102">
        <v>0</v>
      </c>
      <c r="N8" s="102">
        <v>0</v>
      </c>
      <c r="O8" s="102">
        <v>0</v>
      </c>
      <c r="P8" s="102">
        <v>0</v>
      </c>
      <c r="Q8" s="102">
        <v>0</v>
      </c>
      <c r="R8" s="102">
        <v>0</v>
      </c>
    </row>
    <row r="9" spans="1:18">
      <c r="C9" t="s">
        <v>296</v>
      </c>
      <c r="D9" t="s">
        <v>297</v>
      </c>
      <c r="E9" t="s">
        <v>263</v>
      </c>
      <c r="F9" s="101">
        <v>7.4772727272727268E-2</v>
      </c>
      <c r="G9" s="101">
        <v>7.4772727272727268E-2</v>
      </c>
      <c r="H9" s="101">
        <v>7.4772727272727268E-2</v>
      </c>
      <c r="I9" s="101">
        <v>7.4772727272727268E-2</v>
      </c>
      <c r="J9" s="101">
        <v>7.4772727272727268E-2</v>
      </c>
      <c r="K9" s="101">
        <v>7.4772727272727268E-2</v>
      </c>
      <c r="L9" s="101">
        <v>7.4772727272727268E-2</v>
      </c>
      <c r="M9" s="101">
        <v>7.4772727272727268E-2</v>
      </c>
      <c r="N9" s="101">
        <v>7.4772727272727268E-2</v>
      </c>
      <c r="O9" s="101">
        <v>7.4772727272727268E-2</v>
      </c>
      <c r="P9" s="101">
        <v>7.4772727272727268E-2</v>
      </c>
      <c r="Q9" s="101">
        <v>7.4772727272727268E-2</v>
      </c>
      <c r="R9" s="101">
        <v>0.897272727272727</v>
      </c>
    </row>
    <row r="10" spans="1:18">
      <c r="E10" t="s">
        <v>274</v>
      </c>
      <c r="F10" s="101">
        <v>7.4772727272727268E-2</v>
      </c>
      <c r="G10" s="101">
        <v>7.4772727272727268E-2</v>
      </c>
      <c r="H10" s="101">
        <v>7.4772727272727268E-2</v>
      </c>
      <c r="I10" s="101">
        <v>7.4772727272727268E-2</v>
      </c>
      <c r="J10" s="101">
        <v>7.4772727272727268E-2</v>
      </c>
      <c r="K10" s="101">
        <v>7.4772727272727268E-2</v>
      </c>
      <c r="L10" s="101">
        <v>7.4772727272727268E-2</v>
      </c>
      <c r="M10" s="101">
        <v>7.4772727272727268E-2</v>
      </c>
      <c r="N10" s="101">
        <v>7.4772727272727268E-2</v>
      </c>
      <c r="O10" s="101">
        <v>7.4772727272727268E-2</v>
      </c>
      <c r="P10" s="101">
        <v>7.4772727272727268E-2</v>
      </c>
      <c r="Q10" s="101">
        <v>7.4772727272727268E-2</v>
      </c>
      <c r="R10" s="101">
        <v>0.897272727272727</v>
      </c>
    </row>
    <row r="11" spans="1:18">
      <c r="E11" t="s">
        <v>278</v>
      </c>
      <c r="F11" s="101">
        <v>8.308884297520662E-2</v>
      </c>
      <c r="G11" s="101">
        <v>8.308884297520662E-2</v>
      </c>
      <c r="H11" s="101">
        <v>8.308884297520662E-2</v>
      </c>
      <c r="I11" s="101">
        <v>8.308884297520662E-2</v>
      </c>
      <c r="J11" s="101">
        <v>8.308884297520662E-2</v>
      </c>
      <c r="K11" s="101">
        <v>8.308884297520662E-2</v>
      </c>
      <c r="L11" s="101">
        <v>8.308884297520662E-2</v>
      </c>
      <c r="M11" s="101">
        <v>8.308884297520662E-2</v>
      </c>
      <c r="N11" s="101">
        <v>8.308884297520662E-2</v>
      </c>
      <c r="O11" s="101">
        <v>8.308884297520662E-2</v>
      </c>
      <c r="P11" s="101">
        <v>8.308884297520662E-2</v>
      </c>
      <c r="Q11" s="101">
        <v>8.308884297520662E-2</v>
      </c>
      <c r="R11" s="101">
        <v>0.99706611570247927</v>
      </c>
    </row>
    <row r="12" spans="1:18">
      <c r="C12" s="52" t="s">
        <v>382</v>
      </c>
      <c r="D12" s="52"/>
      <c r="E12" s="52"/>
      <c r="F12" s="102">
        <v>0.23263429752066117</v>
      </c>
      <c r="G12" s="102">
        <v>0.23263429752066117</v>
      </c>
      <c r="H12" s="102">
        <v>0.23263429752066117</v>
      </c>
      <c r="I12" s="102">
        <v>0.23263429752066117</v>
      </c>
      <c r="J12" s="102">
        <v>0.23263429752066117</v>
      </c>
      <c r="K12" s="102">
        <v>0.23263429752066117</v>
      </c>
      <c r="L12" s="102">
        <v>0.23263429752066117</v>
      </c>
      <c r="M12" s="102">
        <v>0.23263429752066117</v>
      </c>
      <c r="N12" s="102">
        <v>0.23263429752066117</v>
      </c>
      <c r="O12" s="102">
        <v>0.23263429752066117</v>
      </c>
      <c r="P12" s="102">
        <v>0.23263429752066117</v>
      </c>
      <c r="Q12" s="102">
        <v>0.23263429752066117</v>
      </c>
      <c r="R12" s="102">
        <v>2.7916115702479334</v>
      </c>
    </row>
    <row r="13" spans="1:18">
      <c r="C13" t="s">
        <v>298</v>
      </c>
      <c r="D13" t="s">
        <v>299</v>
      </c>
      <c r="E13" t="s">
        <v>263</v>
      </c>
      <c r="F13" s="101">
        <v>0.37263429752066113</v>
      </c>
      <c r="G13" s="101">
        <v>0.37263429752066113</v>
      </c>
      <c r="H13" s="101">
        <v>0.37263429752066113</v>
      </c>
      <c r="I13" s="101">
        <v>0.37263429752066113</v>
      </c>
      <c r="J13" s="101">
        <v>0.37263429752066113</v>
      </c>
      <c r="K13" s="101">
        <v>0.37263429752066113</v>
      </c>
      <c r="L13" s="101">
        <v>0.37263429752066113</v>
      </c>
      <c r="M13" s="101">
        <v>0.37263429752066113</v>
      </c>
      <c r="N13" s="101">
        <v>0.37263429752066113</v>
      </c>
      <c r="O13" s="101">
        <v>0.37263429752066113</v>
      </c>
      <c r="P13" s="101">
        <v>0.37263429752066113</v>
      </c>
      <c r="Q13" s="101">
        <v>0.37263429752066113</v>
      </c>
      <c r="R13" s="101">
        <v>4.4716115702479335</v>
      </c>
    </row>
    <row r="14" spans="1:18">
      <c r="D14" t="s">
        <v>300</v>
      </c>
      <c r="E14" t="s">
        <v>263</v>
      </c>
      <c r="F14" s="101">
        <v>2.4999999999999998E-2</v>
      </c>
      <c r="G14" s="101">
        <v>2.4999999999999998E-2</v>
      </c>
      <c r="H14" s="101">
        <v>2.4999999999999998E-2</v>
      </c>
      <c r="I14" s="101">
        <v>2.4999999999999998E-2</v>
      </c>
      <c r="J14" s="101">
        <v>2.4999999999999998E-2</v>
      </c>
      <c r="K14" s="101">
        <v>2.4999999999999998E-2</v>
      </c>
      <c r="L14" s="101">
        <v>2.4999999999999998E-2</v>
      </c>
      <c r="M14" s="101">
        <v>2.4999999999999998E-2</v>
      </c>
      <c r="N14" s="101">
        <v>2.4999999999999998E-2</v>
      </c>
      <c r="O14" s="101">
        <v>2.4999999999999998E-2</v>
      </c>
      <c r="P14" s="101">
        <v>2.4999999999999998E-2</v>
      </c>
      <c r="Q14" s="101">
        <v>2.4999999999999998E-2</v>
      </c>
      <c r="R14" s="101">
        <v>0.3</v>
      </c>
    </row>
    <row r="15" spans="1:18">
      <c r="D15" t="s">
        <v>301</v>
      </c>
      <c r="E15" t="s">
        <v>263</v>
      </c>
      <c r="F15" s="101">
        <v>7.4999999999999997E-2</v>
      </c>
      <c r="G15" s="101">
        <v>7.4999999999999997E-2</v>
      </c>
      <c r="H15" s="101">
        <v>7.4999999999999997E-2</v>
      </c>
      <c r="I15" s="101">
        <v>7.4999999999999997E-2</v>
      </c>
      <c r="J15" s="101">
        <v>7.4999999999999997E-2</v>
      </c>
      <c r="K15" s="101">
        <v>7.4999999999999997E-2</v>
      </c>
      <c r="L15" s="101">
        <v>7.4999999999999997E-2</v>
      </c>
      <c r="M15" s="101">
        <v>7.4999999999999997E-2</v>
      </c>
      <c r="N15" s="101">
        <v>7.4999999999999997E-2</v>
      </c>
      <c r="O15" s="101">
        <v>7.4999999999999997E-2</v>
      </c>
      <c r="P15" s="101">
        <v>7.4999999999999997E-2</v>
      </c>
      <c r="Q15" s="101">
        <v>7.4999999999999997E-2</v>
      </c>
      <c r="R15" s="101">
        <v>0.8999999999999998</v>
      </c>
    </row>
    <row r="16" spans="1:18">
      <c r="C16" s="52" t="s">
        <v>383</v>
      </c>
      <c r="D16" s="52"/>
      <c r="E16" s="52"/>
      <c r="F16" s="102">
        <v>0.47263429752066116</v>
      </c>
      <c r="G16" s="102">
        <v>0.47263429752066116</v>
      </c>
      <c r="H16" s="102">
        <v>0.47263429752066116</v>
      </c>
      <c r="I16" s="102">
        <v>0.47263429752066116</v>
      </c>
      <c r="J16" s="102">
        <v>0.47263429752066116</v>
      </c>
      <c r="K16" s="102">
        <v>0.47263429752066116</v>
      </c>
      <c r="L16" s="102">
        <v>0.47263429752066116</v>
      </c>
      <c r="M16" s="102">
        <v>0.47263429752066116</v>
      </c>
      <c r="N16" s="102">
        <v>0.47263429752066116</v>
      </c>
      <c r="O16" s="102">
        <v>0.47263429752066116</v>
      </c>
      <c r="P16" s="102">
        <v>0.47263429752066116</v>
      </c>
      <c r="Q16" s="102">
        <v>0.47263429752066116</v>
      </c>
      <c r="R16" s="102">
        <v>5.6716115702479328</v>
      </c>
    </row>
    <row r="17" spans="2:18">
      <c r="C17" t="s">
        <v>302</v>
      </c>
      <c r="D17" t="s">
        <v>303</v>
      </c>
      <c r="E17" t="s">
        <v>263</v>
      </c>
      <c r="F17" s="101">
        <v>0.18</v>
      </c>
      <c r="G17" s="101">
        <v>0.18</v>
      </c>
      <c r="H17" s="101">
        <v>0.18</v>
      </c>
      <c r="I17" s="101">
        <v>0.18</v>
      </c>
      <c r="J17" s="101">
        <v>0.18</v>
      </c>
      <c r="K17" s="101">
        <v>0.18</v>
      </c>
      <c r="L17" s="101">
        <v>0.18</v>
      </c>
      <c r="M17" s="101">
        <v>0.18</v>
      </c>
      <c r="N17" s="101">
        <v>0.18</v>
      </c>
      <c r="O17" s="101">
        <v>0.18</v>
      </c>
      <c r="P17" s="101">
        <v>0.18</v>
      </c>
      <c r="Q17" s="101">
        <v>0.18</v>
      </c>
      <c r="R17" s="101">
        <v>2.1599999999999997</v>
      </c>
    </row>
    <row r="18" spans="2:18">
      <c r="C18" s="52" t="s">
        <v>384</v>
      </c>
      <c r="D18" s="52"/>
      <c r="E18" s="52"/>
      <c r="F18" s="102">
        <v>0.18</v>
      </c>
      <c r="G18" s="102">
        <v>0.18</v>
      </c>
      <c r="H18" s="102">
        <v>0.18</v>
      </c>
      <c r="I18" s="102">
        <v>0.18</v>
      </c>
      <c r="J18" s="102">
        <v>0.18</v>
      </c>
      <c r="K18" s="102">
        <v>0.18</v>
      </c>
      <c r="L18" s="102">
        <v>0.18</v>
      </c>
      <c r="M18" s="102">
        <v>0.18</v>
      </c>
      <c r="N18" s="102">
        <v>0.18</v>
      </c>
      <c r="O18" s="102">
        <v>0.18</v>
      </c>
      <c r="P18" s="102">
        <v>0.18</v>
      </c>
      <c r="Q18" s="102">
        <v>0.18</v>
      </c>
      <c r="R18" s="102">
        <v>2.1599999999999997</v>
      </c>
    </row>
    <row r="19" spans="2:18">
      <c r="C19" t="s">
        <v>161</v>
      </c>
      <c r="D19" t="s">
        <v>308</v>
      </c>
      <c r="E19" t="s">
        <v>263</v>
      </c>
      <c r="F19" s="101">
        <v>0</v>
      </c>
      <c r="G19" s="101">
        <v>0</v>
      </c>
      <c r="H19" s="101">
        <v>0</v>
      </c>
      <c r="I19" s="101">
        <v>0</v>
      </c>
      <c r="J19" s="101">
        <v>0</v>
      </c>
      <c r="K19" s="101">
        <v>0</v>
      </c>
      <c r="L19" s="101">
        <v>4.37</v>
      </c>
      <c r="M19" s="101">
        <v>0</v>
      </c>
      <c r="N19" s="101">
        <v>0</v>
      </c>
      <c r="O19" s="101">
        <v>0</v>
      </c>
      <c r="P19" s="101">
        <v>0</v>
      </c>
      <c r="Q19" s="101">
        <v>0</v>
      </c>
      <c r="R19" s="101">
        <v>4.37</v>
      </c>
    </row>
    <row r="20" spans="2:18">
      <c r="E20" t="s">
        <v>274</v>
      </c>
      <c r="F20" s="101">
        <v>0</v>
      </c>
      <c r="G20" s="101">
        <v>0</v>
      </c>
      <c r="H20" s="101">
        <v>0</v>
      </c>
      <c r="I20" s="101">
        <v>0</v>
      </c>
      <c r="J20" s="101">
        <v>0</v>
      </c>
      <c r="K20" s="101">
        <v>0</v>
      </c>
      <c r="L20" s="101">
        <v>0</v>
      </c>
      <c r="M20" s="101">
        <v>0</v>
      </c>
      <c r="N20" s="101">
        <v>0</v>
      </c>
      <c r="O20" s="101">
        <v>0</v>
      </c>
      <c r="P20" s="101">
        <v>0</v>
      </c>
      <c r="Q20" s="101">
        <v>0</v>
      </c>
      <c r="R20" s="101">
        <v>0</v>
      </c>
    </row>
    <row r="21" spans="2:18">
      <c r="E21" t="s">
        <v>278</v>
      </c>
      <c r="F21" s="101">
        <v>0</v>
      </c>
      <c r="G21" s="101">
        <v>0</v>
      </c>
      <c r="H21" s="101">
        <v>0</v>
      </c>
      <c r="I21" s="101">
        <v>0</v>
      </c>
      <c r="J21" s="101">
        <v>0</v>
      </c>
      <c r="K21" s="101">
        <v>0</v>
      </c>
      <c r="L21" s="101">
        <v>0</v>
      </c>
      <c r="M21" s="101">
        <v>0</v>
      </c>
      <c r="N21" s="101">
        <v>0</v>
      </c>
      <c r="O21" s="101">
        <v>0</v>
      </c>
      <c r="P21" s="101">
        <v>0</v>
      </c>
      <c r="Q21" s="101">
        <v>0</v>
      </c>
      <c r="R21" s="101">
        <v>0</v>
      </c>
    </row>
    <row r="22" spans="2:18">
      <c r="C22" s="52" t="s">
        <v>385</v>
      </c>
      <c r="D22" s="52"/>
      <c r="E22" s="52"/>
      <c r="F22" s="102">
        <v>0</v>
      </c>
      <c r="G22" s="102">
        <v>0</v>
      </c>
      <c r="H22" s="102">
        <v>0</v>
      </c>
      <c r="I22" s="102">
        <v>0</v>
      </c>
      <c r="J22" s="102">
        <v>0</v>
      </c>
      <c r="K22" s="102">
        <v>0</v>
      </c>
      <c r="L22" s="102">
        <v>4.37</v>
      </c>
      <c r="M22" s="102">
        <v>0</v>
      </c>
      <c r="N22" s="102">
        <v>0</v>
      </c>
      <c r="O22" s="102">
        <v>0</v>
      </c>
      <c r="P22" s="102">
        <v>0</v>
      </c>
      <c r="Q22" s="102">
        <v>0</v>
      </c>
      <c r="R22" s="102">
        <v>4.37</v>
      </c>
    </row>
    <row r="23" spans="2:18">
      <c r="C23" t="s">
        <v>309</v>
      </c>
      <c r="D23" t="s">
        <v>310</v>
      </c>
      <c r="E23" t="s">
        <v>263</v>
      </c>
      <c r="F23" s="101">
        <v>1.07</v>
      </c>
      <c r="G23" s="101">
        <v>1.07</v>
      </c>
      <c r="H23" s="101">
        <v>1.07</v>
      </c>
      <c r="I23" s="101">
        <v>1.07</v>
      </c>
      <c r="J23" s="101">
        <v>1.07</v>
      </c>
      <c r="K23" s="101">
        <v>1.07</v>
      </c>
      <c r="L23" s="101">
        <v>0</v>
      </c>
      <c r="M23" s="101">
        <v>0</v>
      </c>
      <c r="N23" s="101">
        <v>0</v>
      </c>
      <c r="O23" s="101">
        <v>0</v>
      </c>
      <c r="P23" s="101">
        <v>0</v>
      </c>
      <c r="Q23" s="101">
        <v>0</v>
      </c>
      <c r="R23" s="101">
        <v>6.4200000000000008</v>
      </c>
    </row>
    <row r="24" spans="2:18">
      <c r="C24" s="52" t="s">
        <v>386</v>
      </c>
      <c r="D24" s="52"/>
      <c r="E24" s="52"/>
      <c r="F24" s="102">
        <v>1.07</v>
      </c>
      <c r="G24" s="102">
        <v>1.07</v>
      </c>
      <c r="H24" s="102">
        <v>1.07</v>
      </c>
      <c r="I24" s="102">
        <v>1.07</v>
      </c>
      <c r="J24" s="102">
        <v>1.07</v>
      </c>
      <c r="K24" s="102">
        <v>1.07</v>
      </c>
      <c r="L24" s="102">
        <v>0</v>
      </c>
      <c r="M24" s="102">
        <v>0</v>
      </c>
      <c r="N24" s="102">
        <v>0</v>
      </c>
      <c r="O24" s="102">
        <v>0</v>
      </c>
      <c r="P24" s="102">
        <v>0</v>
      </c>
      <c r="Q24" s="102">
        <v>0</v>
      </c>
      <c r="R24" s="102">
        <v>6.4200000000000008</v>
      </c>
    </row>
    <row r="25" spans="2:18">
      <c r="C25" t="s">
        <v>322</v>
      </c>
      <c r="D25" t="s">
        <v>323</v>
      </c>
      <c r="E25" t="s">
        <v>278</v>
      </c>
      <c r="F25" s="101">
        <v>0.20766184573002758</v>
      </c>
      <c r="G25" s="101">
        <v>0.20766184573002758</v>
      </c>
      <c r="H25" s="101">
        <v>0.20766184573002758</v>
      </c>
      <c r="I25" s="101">
        <v>0.20766184573002758</v>
      </c>
      <c r="J25" s="101">
        <v>0.20766184573002758</v>
      </c>
      <c r="K25" s="101">
        <v>0.20766184573002758</v>
      </c>
      <c r="L25" s="101">
        <v>0.20766184573002758</v>
      </c>
      <c r="M25" s="101">
        <v>0.20766184573002758</v>
      </c>
      <c r="N25" s="101">
        <v>0.20766184573002758</v>
      </c>
      <c r="O25" s="101">
        <v>0.20766184573002758</v>
      </c>
      <c r="P25" s="101">
        <v>0.20766184573002758</v>
      </c>
      <c r="Q25" s="101">
        <v>0.20766184573002758</v>
      </c>
      <c r="R25" s="101">
        <v>2.4919421487603315</v>
      </c>
    </row>
    <row r="26" spans="2:18">
      <c r="C26" s="52" t="s">
        <v>387</v>
      </c>
      <c r="D26" s="52"/>
      <c r="E26" s="52"/>
      <c r="F26" s="102">
        <v>0.20766184573002758</v>
      </c>
      <c r="G26" s="102">
        <v>0.20766184573002758</v>
      </c>
      <c r="H26" s="102">
        <v>0.20766184573002758</v>
      </c>
      <c r="I26" s="102">
        <v>0.20766184573002758</v>
      </c>
      <c r="J26" s="102">
        <v>0.20766184573002758</v>
      </c>
      <c r="K26" s="102">
        <v>0.20766184573002758</v>
      </c>
      <c r="L26" s="102">
        <v>0.20766184573002758</v>
      </c>
      <c r="M26" s="102">
        <v>0.20766184573002758</v>
      </c>
      <c r="N26" s="102">
        <v>0.20766184573002758</v>
      </c>
      <c r="O26" s="102">
        <v>0.20766184573002758</v>
      </c>
      <c r="P26" s="102">
        <v>0.20766184573002758</v>
      </c>
      <c r="Q26" s="102">
        <v>0.20766184573002758</v>
      </c>
      <c r="R26" s="102">
        <v>2.4919421487603315</v>
      </c>
    </row>
    <row r="27" spans="2:18">
      <c r="B27" s="53" t="s">
        <v>388</v>
      </c>
      <c r="C27" s="53"/>
      <c r="D27" s="53"/>
      <c r="E27" s="53"/>
      <c r="F27" s="103">
        <v>2.1629304407713499</v>
      </c>
      <c r="G27" s="103">
        <v>2.1629304407713499</v>
      </c>
      <c r="H27" s="103">
        <v>2.1629304407713499</v>
      </c>
      <c r="I27" s="103">
        <v>2.1629304407713499</v>
      </c>
      <c r="J27" s="103">
        <v>2.1629304407713499</v>
      </c>
      <c r="K27" s="103">
        <v>2.1629304407713499</v>
      </c>
      <c r="L27" s="103">
        <v>5.4629304407713493</v>
      </c>
      <c r="M27" s="103">
        <v>1.09293044077135</v>
      </c>
      <c r="N27" s="103">
        <v>1.09293044077135</v>
      </c>
      <c r="O27" s="103">
        <v>1.09293044077135</v>
      </c>
      <c r="P27" s="103">
        <v>1.09293044077135</v>
      </c>
      <c r="Q27" s="103">
        <v>1.09293044077135</v>
      </c>
      <c r="R27" s="103">
        <v>23.9051652892562</v>
      </c>
    </row>
    <row r="28" spans="2:18">
      <c r="B28" t="s">
        <v>158</v>
      </c>
      <c r="C28" t="s">
        <v>294</v>
      </c>
      <c r="D28" t="s">
        <v>295</v>
      </c>
      <c r="E28" t="s">
        <v>263</v>
      </c>
      <c r="F28" s="101">
        <v>0.62</v>
      </c>
      <c r="G28" s="101">
        <v>0.62</v>
      </c>
      <c r="H28" s="101">
        <v>0.62</v>
      </c>
      <c r="I28" s="101">
        <v>0.62</v>
      </c>
      <c r="J28" s="101">
        <v>0.62</v>
      </c>
      <c r="K28" s="101">
        <v>0.62</v>
      </c>
      <c r="L28" s="101">
        <v>0.62</v>
      </c>
      <c r="M28" s="101">
        <v>0.62</v>
      </c>
      <c r="N28" s="101">
        <v>0.62</v>
      </c>
      <c r="O28" s="101">
        <v>0.62</v>
      </c>
      <c r="P28" s="101">
        <v>0.62</v>
      </c>
      <c r="Q28" s="101">
        <v>0.62</v>
      </c>
      <c r="R28" s="101">
        <v>7.44</v>
      </c>
    </row>
    <row r="29" spans="2:18">
      <c r="C29" s="52" t="s">
        <v>389</v>
      </c>
      <c r="D29" s="52"/>
      <c r="E29" s="52"/>
      <c r="F29" s="102">
        <v>0.62</v>
      </c>
      <c r="G29" s="102">
        <v>0.62</v>
      </c>
      <c r="H29" s="102">
        <v>0.62</v>
      </c>
      <c r="I29" s="102">
        <v>0.62</v>
      </c>
      <c r="J29" s="102">
        <v>0.62</v>
      </c>
      <c r="K29" s="102">
        <v>0.62</v>
      </c>
      <c r="L29" s="102">
        <v>0.62</v>
      </c>
      <c r="M29" s="102">
        <v>0.62</v>
      </c>
      <c r="N29" s="102">
        <v>0.62</v>
      </c>
      <c r="O29" s="102">
        <v>0.62</v>
      </c>
      <c r="P29" s="102">
        <v>0.62</v>
      </c>
      <c r="Q29" s="102">
        <v>0.62</v>
      </c>
      <c r="R29" s="102">
        <v>7.44</v>
      </c>
    </row>
    <row r="30" spans="2:18">
      <c r="B30" s="53" t="s">
        <v>390</v>
      </c>
      <c r="C30" s="53"/>
      <c r="D30" s="53"/>
      <c r="E30" s="53"/>
      <c r="F30" s="103">
        <v>0.62</v>
      </c>
      <c r="G30" s="103">
        <v>0.62</v>
      </c>
      <c r="H30" s="103">
        <v>0.62</v>
      </c>
      <c r="I30" s="103">
        <v>0.62</v>
      </c>
      <c r="J30" s="103">
        <v>0.62</v>
      </c>
      <c r="K30" s="103">
        <v>0.62</v>
      </c>
      <c r="L30" s="103">
        <v>0.62</v>
      </c>
      <c r="M30" s="103">
        <v>0.62</v>
      </c>
      <c r="N30" s="103">
        <v>0.62</v>
      </c>
      <c r="O30" s="103">
        <v>0.62</v>
      </c>
      <c r="P30" s="103">
        <v>0.62</v>
      </c>
      <c r="Q30" s="103">
        <v>0.62</v>
      </c>
      <c r="R30" s="103">
        <v>7.44</v>
      </c>
    </row>
    <row r="31" spans="2:18">
      <c r="B31" t="s">
        <v>80</v>
      </c>
      <c r="C31" t="s">
        <v>391</v>
      </c>
      <c r="D31" t="s">
        <v>277</v>
      </c>
      <c r="E31" t="s">
        <v>263</v>
      </c>
      <c r="F31" s="101">
        <v>0.68299999999999994</v>
      </c>
      <c r="G31" s="101">
        <v>0.68299999999999994</v>
      </c>
      <c r="H31" s="101">
        <v>0.68299999999999994</v>
      </c>
      <c r="I31" s="101">
        <v>0.68299999999999994</v>
      </c>
      <c r="J31" s="101">
        <v>0.68299999999999994</v>
      </c>
      <c r="K31" s="101">
        <v>0.68299999999999994</v>
      </c>
      <c r="L31" s="101">
        <v>0.85980000000000001</v>
      </c>
      <c r="M31" s="101">
        <v>0.85980000000000001</v>
      </c>
      <c r="N31" s="101">
        <v>0.85980000000000001</v>
      </c>
      <c r="O31" s="101">
        <v>0.85980000000000001</v>
      </c>
      <c r="P31" s="101">
        <v>0.85980000000000001</v>
      </c>
      <c r="Q31" s="101">
        <v>0.85980000000000001</v>
      </c>
      <c r="R31" s="101">
        <v>9.2568000000000001</v>
      </c>
    </row>
    <row r="32" spans="2:18">
      <c r="E32" t="s">
        <v>274</v>
      </c>
      <c r="F32" s="101">
        <v>0.11383333333333333</v>
      </c>
      <c r="G32" s="101">
        <v>0.11383333333333333</v>
      </c>
      <c r="H32" s="101">
        <v>0.11383333333333333</v>
      </c>
      <c r="I32" s="101">
        <v>0.11383333333333333</v>
      </c>
      <c r="J32" s="101">
        <v>0.11383333333333333</v>
      </c>
      <c r="K32" s="101">
        <v>0.11383333333333333</v>
      </c>
      <c r="L32" s="101">
        <v>0.14330000000000001</v>
      </c>
      <c r="M32" s="101">
        <v>0.14330000000000001</v>
      </c>
      <c r="N32" s="101">
        <v>0.14330000000000001</v>
      </c>
      <c r="O32" s="101">
        <v>0.14330000000000001</v>
      </c>
      <c r="P32" s="101">
        <v>0.14330000000000001</v>
      </c>
      <c r="Q32" s="101">
        <v>0.14330000000000001</v>
      </c>
      <c r="R32" s="101">
        <v>1.5427999999999999</v>
      </c>
    </row>
    <row r="33" spans="2:18">
      <c r="E33" t="s">
        <v>278</v>
      </c>
      <c r="F33" s="101">
        <v>0.34149999999999997</v>
      </c>
      <c r="G33" s="101">
        <v>0.34149999999999997</v>
      </c>
      <c r="H33" s="101">
        <v>0.34149999999999997</v>
      </c>
      <c r="I33" s="101">
        <v>0.34149999999999997</v>
      </c>
      <c r="J33" s="101">
        <v>0.34149999999999997</v>
      </c>
      <c r="K33" s="101">
        <v>0.34149999999999997</v>
      </c>
      <c r="L33" s="101">
        <v>0.4299</v>
      </c>
      <c r="M33" s="101">
        <v>0.4299</v>
      </c>
      <c r="N33" s="101">
        <v>0.4299</v>
      </c>
      <c r="O33" s="101">
        <v>0.4299</v>
      </c>
      <c r="P33" s="101">
        <v>0.4299</v>
      </c>
      <c r="Q33" s="101">
        <v>0.4299</v>
      </c>
      <c r="R33" s="101">
        <v>4.6284000000000001</v>
      </c>
    </row>
    <row r="34" spans="2:18">
      <c r="C34" s="52" t="s">
        <v>392</v>
      </c>
      <c r="D34" s="52"/>
      <c r="E34" s="52"/>
      <c r="F34" s="102">
        <v>1.1383333333333332</v>
      </c>
      <c r="G34" s="102">
        <v>1.1383333333333332</v>
      </c>
      <c r="H34" s="102">
        <v>1.1383333333333332</v>
      </c>
      <c r="I34" s="102">
        <v>1.1383333333333332</v>
      </c>
      <c r="J34" s="102">
        <v>1.1383333333333332</v>
      </c>
      <c r="K34" s="102">
        <v>1.1383333333333332</v>
      </c>
      <c r="L34" s="102">
        <v>1.4330000000000001</v>
      </c>
      <c r="M34" s="102">
        <v>1.4330000000000001</v>
      </c>
      <c r="N34" s="102">
        <v>1.4330000000000001</v>
      </c>
      <c r="O34" s="102">
        <v>1.4330000000000001</v>
      </c>
      <c r="P34" s="102">
        <v>1.4330000000000001</v>
      </c>
      <c r="Q34" s="102">
        <v>1.4330000000000001</v>
      </c>
      <c r="R34" s="102">
        <v>15.428000000000001</v>
      </c>
    </row>
    <row r="35" spans="2:18">
      <c r="B35" s="53" t="s">
        <v>393</v>
      </c>
      <c r="C35" s="53"/>
      <c r="D35" s="53"/>
      <c r="E35" s="53"/>
      <c r="F35" s="103">
        <v>1.1383333333333332</v>
      </c>
      <c r="G35" s="103">
        <v>1.1383333333333332</v>
      </c>
      <c r="H35" s="103">
        <v>1.1383333333333332</v>
      </c>
      <c r="I35" s="103">
        <v>1.1383333333333332</v>
      </c>
      <c r="J35" s="103">
        <v>1.1383333333333332</v>
      </c>
      <c r="K35" s="103">
        <v>1.1383333333333332</v>
      </c>
      <c r="L35" s="103">
        <v>1.4330000000000001</v>
      </c>
      <c r="M35" s="103">
        <v>1.4330000000000001</v>
      </c>
      <c r="N35" s="103">
        <v>1.4330000000000001</v>
      </c>
      <c r="O35" s="103">
        <v>1.4330000000000001</v>
      </c>
      <c r="P35" s="103">
        <v>1.4330000000000001</v>
      </c>
      <c r="Q35" s="103">
        <v>1.4330000000000001</v>
      </c>
      <c r="R35" s="103">
        <v>15.428000000000001</v>
      </c>
    </row>
    <row r="36" spans="2:18">
      <c r="B36" t="s">
        <v>91</v>
      </c>
      <c r="C36" t="s">
        <v>163</v>
      </c>
      <c r="D36" t="s">
        <v>264</v>
      </c>
      <c r="E36" t="s">
        <v>263</v>
      </c>
      <c r="F36" s="101">
        <v>0.93199999999999994</v>
      </c>
      <c r="G36" s="101">
        <v>0</v>
      </c>
      <c r="H36" s="101">
        <v>0</v>
      </c>
      <c r="I36" s="101">
        <v>0.93199999999999994</v>
      </c>
      <c r="J36" s="101">
        <v>0</v>
      </c>
      <c r="K36" s="101">
        <v>0</v>
      </c>
      <c r="L36" s="101">
        <v>0.93199999999999994</v>
      </c>
      <c r="M36" s="101">
        <v>0</v>
      </c>
      <c r="N36" s="101">
        <v>0</v>
      </c>
      <c r="O36" s="101">
        <v>0.93199999999999994</v>
      </c>
      <c r="P36" s="101">
        <v>0</v>
      </c>
      <c r="Q36" s="101">
        <v>0</v>
      </c>
      <c r="R36" s="101">
        <v>3.7279999999999998</v>
      </c>
    </row>
    <row r="37" spans="2:18">
      <c r="E37" t="s">
        <v>274</v>
      </c>
      <c r="F37" s="101">
        <v>0</v>
      </c>
      <c r="G37" s="101">
        <v>0</v>
      </c>
      <c r="H37" s="101">
        <v>0</v>
      </c>
      <c r="I37" s="101">
        <v>0</v>
      </c>
      <c r="J37" s="101">
        <v>0</v>
      </c>
      <c r="K37" s="101">
        <v>0</v>
      </c>
      <c r="L37" s="101">
        <v>0</v>
      </c>
      <c r="M37" s="101">
        <v>0</v>
      </c>
      <c r="N37" s="101">
        <v>0</v>
      </c>
      <c r="O37" s="101">
        <v>0</v>
      </c>
      <c r="P37" s="101">
        <v>0</v>
      </c>
      <c r="Q37" s="101">
        <v>0</v>
      </c>
      <c r="R37" s="101">
        <v>0</v>
      </c>
    </row>
    <row r="38" spans="2:18">
      <c r="C38" s="52" t="s">
        <v>394</v>
      </c>
      <c r="D38" s="52"/>
      <c r="E38" s="52"/>
      <c r="F38" s="102">
        <v>0.93199999999999994</v>
      </c>
      <c r="G38" s="102">
        <v>0</v>
      </c>
      <c r="H38" s="102">
        <v>0</v>
      </c>
      <c r="I38" s="102">
        <v>0.93199999999999994</v>
      </c>
      <c r="J38" s="102">
        <v>0</v>
      </c>
      <c r="K38" s="102">
        <v>0</v>
      </c>
      <c r="L38" s="102">
        <v>0.93199999999999994</v>
      </c>
      <c r="M38" s="102">
        <v>0</v>
      </c>
      <c r="N38" s="102">
        <v>0</v>
      </c>
      <c r="O38" s="102">
        <v>0.93199999999999994</v>
      </c>
      <c r="P38" s="102">
        <v>0</v>
      </c>
      <c r="Q38" s="102">
        <v>0</v>
      </c>
      <c r="R38" s="102">
        <v>3.7279999999999998</v>
      </c>
    </row>
    <row r="39" spans="2:18">
      <c r="C39" t="s">
        <v>265</v>
      </c>
      <c r="D39" t="s">
        <v>266</v>
      </c>
      <c r="E39" t="s">
        <v>263</v>
      </c>
      <c r="F39" s="101">
        <v>0</v>
      </c>
      <c r="G39" s="101">
        <v>0</v>
      </c>
      <c r="H39" s="101">
        <v>0</v>
      </c>
      <c r="I39" s="101">
        <v>0</v>
      </c>
      <c r="J39" s="101">
        <v>0</v>
      </c>
      <c r="K39" s="101">
        <v>0</v>
      </c>
      <c r="L39" s="101">
        <v>0</v>
      </c>
      <c r="M39" s="101">
        <v>0</v>
      </c>
      <c r="N39" s="101">
        <v>2</v>
      </c>
      <c r="O39" s="101">
        <v>0</v>
      </c>
      <c r="P39" s="101">
        <v>0</v>
      </c>
      <c r="Q39" s="101">
        <v>0</v>
      </c>
      <c r="R39" s="101">
        <v>2</v>
      </c>
    </row>
    <row r="40" spans="2:18">
      <c r="C40" s="52" t="s">
        <v>395</v>
      </c>
      <c r="D40" s="52"/>
      <c r="E40" s="52"/>
      <c r="F40" s="102">
        <v>0</v>
      </c>
      <c r="G40" s="102">
        <v>0</v>
      </c>
      <c r="H40" s="102">
        <v>0</v>
      </c>
      <c r="I40" s="102">
        <v>0</v>
      </c>
      <c r="J40" s="102">
        <v>0</v>
      </c>
      <c r="K40" s="102">
        <v>0</v>
      </c>
      <c r="L40" s="102">
        <v>0</v>
      </c>
      <c r="M40" s="102">
        <v>0</v>
      </c>
      <c r="N40" s="102">
        <v>2</v>
      </c>
      <c r="O40" s="102">
        <v>0</v>
      </c>
      <c r="P40" s="102">
        <v>0</v>
      </c>
      <c r="Q40" s="102">
        <v>0</v>
      </c>
      <c r="R40" s="102">
        <v>2</v>
      </c>
    </row>
    <row r="41" spans="2:18">
      <c r="C41" t="s">
        <v>99</v>
      </c>
      <c r="D41" t="s">
        <v>396</v>
      </c>
      <c r="E41" t="s">
        <v>263</v>
      </c>
      <c r="F41" s="101">
        <v>0.12000000000000001</v>
      </c>
      <c r="G41" s="101">
        <v>0.12000000000000001</v>
      </c>
      <c r="H41" s="101">
        <v>0.12000000000000001</v>
      </c>
      <c r="I41" s="101">
        <v>0.12000000000000001</v>
      </c>
      <c r="J41" s="101">
        <v>0.12000000000000001</v>
      </c>
      <c r="K41" s="101">
        <v>0.12000000000000001</v>
      </c>
      <c r="L41" s="101">
        <v>0.12000000000000001</v>
      </c>
      <c r="M41" s="101">
        <v>0.12000000000000001</v>
      </c>
      <c r="N41" s="101">
        <v>0.12000000000000001</v>
      </c>
      <c r="O41" s="101">
        <v>0.12000000000000001</v>
      </c>
      <c r="P41" s="101">
        <v>0.12000000000000001</v>
      </c>
      <c r="Q41" s="101">
        <v>0.12000000000000001</v>
      </c>
      <c r="R41" s="101">
        <v>1.4400000000000004</v>
      </c>
    </row>
    <row r="42" spans="2:18">
      <c r="C42" s="52" t="s">
        <v>397</v>
      </c>
      <c r="D42" s="52"/>
      <c r="E42" s="52"/>
      <c r="F42" s="102">
        <v>0.12000000000000001</v>
      </c>
      <c r="G42" s="102">
        <v>0.12000000000000001</v>
      </c>
      <c r="H42" s="102">
        <v>0.12000000000000001</v>
      </c>
      <c r="I42" s="102">
        <v>0.12000000000000001</v>
      </c>
      <c r="J42" s="102">
        <v>0.12000000000000001</v>
      </c>
      <c r="K42" s="102">
        <v>0.12000000000000001</v>
      </c>
      <c r="L42" s="102">
        <v>0.12000000000000001</v>
      </c>
      <c r="M42" s="102">
        <v>0.12000000000000001</v>
      </c>
      <c r="N42" s="102">
        <v>0.12000000000000001</v>
      </c>
      <c r="O42" s="102">
        <v>0.12000000000000001</v>
      </c>
      <c r="P42" s="102">
        <v>0.12000000000000001</v>
      </c>
      <c r="Q42" s="102">
        <v>0.12000000000000001</v>
      </c>
      <c r="R42" s="102">
        <v>1.4400000000000004</v>
      </c>
    </row>
    <row r="43" spans="2:18">
      <c r="C43" t="s">
        <v>391</v>
      </c>
      <c r="D43" t="s">
        <v>276</v>
      </c>
      <c r="E43" t="s">
        <v>263</v>
      </c>
      <c r="F43" s="101">
        <v>0.65920000000000001</v>
      </c>
      <c r="G43" s="101">
        <v>0.65920000000000001</v>
      </c>
      <c r="H43" s="101">
        <v>0.65920000000000001</v>
      </c>
      <c r="I43" s="101">
        <v>0.65920000000000001</v>
      </c>
      <c r="J43" s="101">
        <v>0.65920000000000001</v>
      </c>
      <c r="K43" s="101">
        <v>0.65920000000000001</v>
      </c>
      <c r="L43" s="101">
        <v>0.65920000000000001</v>
      </c>
      <c r="M43" s="101">
        <v>0.65920000000000001</v>
      </c>
      <c r="N43" s="101">
        <v>0.65920000000000001</v>
      </c>
      <c r="O43" s="101">
        <v>0.65920000000000001</v>
      </c>
      <c r="P43" s="101">
        <v>0.65920000000000001</v>
      </c>
      <c r="Q43" s="101">
        <v>0.65920000000000001</v>
      </c>
      <c r="R43" s="101">
        <v>7.9104000000000019</v>
      </c>
    </row>
    <row r="44" spans="2:18">
      <c r="E44" t="s">
        <v>274</v>
      </c>
      <c r="F44" s="101">
        <v>0.10986666666666667</v>
      </c>
      <c r="G44" s="101">
        <v>0.10986666666666667</v>
      </c>
      <c r="H44" s="101">
        <v>0.10986666666666667</v>
      </c>
      <c r="I44" s="101">
        <v>0.10986666666666667</v>
      </c>
      <c r="J44" s="101">
        <v>0.10986666666666667</v>
      </c>
      <c r="K44" s="101">
        <v>0.10986666666666667</v>
      </c>
      <c r="L44" s="101">
        <v>0.10986666666666667</v>
      </c>
      <c r="M44" s="101">
        <v>0.10986666666666667</v>
      </c>
      <c r="N44" s="101">
        <v>0.10986666666666667</v>
      </c>
      <c r="O44" s="101">
        <v>0.10986666666666667</v>
      </c>
      <c r="P44" s="101">
        <v>0.10986666666666667</v>
      </c>
      <c r="Q44" s="101">
        <v>0.10986666666666667</v>
      </c>
      <c r="R44" s="101">
        <v>1.3184</v>
      </c>
    </row>
    <row r="45" spans="2:18">
      <c r="E45" t="s">
        <v>278</v>
      </c>
      <c r="F45" s="101">
        <v>0.3296</v>
      </c>
      <c r="G45" s="101">
        <v>0.3296</v>
      </c>
      <c r="H45" s="101">
        <v>0.3296</v>
      </c>
      <c r="I45" s="101">
        <v>0.3296</v>
      </c>
      <c r="J45" s="101">
        <v>0.3296</v>
      </c>
      <c r="K45" s="101">
        <v>0.3296</v>
      </c>
      <c r="L45" s="101">
        <v>0.3296</v>
      </c>
      <c r="M45" s="101">
        <v>0.3296</v>
      </c>
      <c r="N45" s="101">
        <v>0.3296</v>
      </c>
      <c r="O45" s="101">
        <v>0.3296</v>
      </c>
      <c r="P45" s="101">
        <v>0.3296</v>
      </c>
      <c r="Q45" s="101">
        <v>0.3296</v>
      </c>
      <c r="R45" s="101">
        <v>3.9552000000000009</v>
      </c>
    </row>
    <row r="46" spans="2:18">
      <c r="C46" s="52" t="s">
        <v>392</v>
      </c>
      <c r="D46" s="52"/>
      <c r="E46" s="52"/>
      <c r="F46" s="102">
        <v>1.0986666666666667</v>
      </c>
      <c r="G46" s="102">
        <v>1.0986666666666667</v>
      </c>
      <c r="H46" s="102">
        <v>1.0986666666666667</v>
      </c>
      <c r="I46" s="102">
        <v>1.0986666666666667</v>
      </c>
      <c r="J46" s="102">
        <v>1.0986666666666667</v>
      </c>
      <c r="K46" s="102">
        <v>1.0986666666666667</v>
      </c>
      <c r="L46" s="102">
        <v>1.0986666666666667</v>
      </c>
      <c r="M46" s="102">
        <v>1.0986666666666667</v>
      </c>
      <c r="N46" s="102">
        <v>1.0986666666666667</v>
      </c>
      <c r="O46" s="102">
        <v>1.0986666666666667</v>
      </c>
      <c r="P46" s="102">
        <v>1.0986666666666667</v>
      </c>
      <c r="Q46" s="102">
        <v>1.0986666666666667</v>
      </c>
      <c r="R46" s="102">
        <v>13.184000000000003</v>
      </c>
    </row>
    <row r="47" spans="2:18">
      <c r="C47" t="s">
        <v>288</v>
      </c>
      <c r="D47" t="s">
        <v>289</v>
      </c>
      <c r="E47" t="s">
        <v>263</v>
      </c>
      <c r="F47" s="101">
        <v>0.35</v>
      </c>
      <c r="G47" s="101">
        <v>0.35</v>
      </c>
      <c r="H47" s="101">
        <v>0.35</v>
      </c>
      <c r="I47" s="101">
        <v>0.35</v>
      </c>
      <c r="J47" s="101">
        <v>0.35</v>
      </c>
      <c r="K47" s="101">
        <v>0.35</v>
      </c>
      <c r="L47" s="101">
        <v>0.35</v>
      </c>
      <c r="M47" s="101">
        <v>0.35</v>
      </c>
      <c r="N47" s="101">
        <v>0.35</v>
      </c>
      <c r="O47" s="101">
        <v>0.35</v>
      </c>
      <c r="P47" s="101">
        <v>0.35</v>
      </c>
      <c r="Q47" s="101">
        <v>0.35</v>
      </c>
      <c r="R47" s="101">
        <v>4.2</v>
      </c>
    </row>
    <row r="48" spans="2:18">
      <c r="E48" t="s">
        <v>274</v>
      </c>
      <c r="F48" s="101">
        <v>0.15</v>
      </c>
      <c r="G48" s="101">
        <v>0.15</v>
      </c>
      <c r="H48" s="101">
        <v>0.15</v>
      </c>
      <c r="I48" s="101">
        <v>0.15</v>
      </c>
      <c r="J48" s="101">
        <v>0.15</v>
      </c>
      <c r="K48" s="101">
        <v>0.15</v>
      </c>
      <c r="L48" s="101">
        <v>0.15</v>
      </c>
      <c r="M48" s="101">
        <v>0.15</v>
      </c>
      <c r="N48" s="101">
        <v>0.15</v>
      </c>
      <c r="O48" s="101">
        <v>0.15</v>
      </c>
      <c r="P48" s="101">
        <v>0.15</v>
      </c>
      <c r="Q48" s="101">
        <v>0.15</v>
      </c>
      <c r="R48" s="101">
        <v>1.7999999999999996</v>
      </c>
    </row>
    <row r="49" spans="2:18">
      <c r="D49" t="s">
        <v>316</v>
      </c>
      <c r="E49" t="s">
        <v>263</v>
      </c>
      <c r="F49" s="101">
        <v>0</v>
      </c>
      <c r="G49" s="101">
        <v>0</v>
      </c>
      <c r="H49" s="101">
        <v>0</v>
      </c>
      <c r="I49" s="101">
        <v>0</v>
      </c>
      <c r="J49" s="101">
        <v>0</v>
      </c>
      <c r="K49" s="101">
        <v>0</v>
      </c>
      <c r="L49" s="101">
        <v>0</v>
      </c>
      <c r="M49" s="101">
        <v>0</v>
      </c>
      <c r="N49" s="101">
        <v>0</v>
      </c>
      <c r="O49" s="101">
        <v>0</v>
      </c>
      <c r="P49" s="101">
        <v>0</v>
      </c>
      <c r="Q49" s="101">
        <v>0</v>
      </c>
      <c r="R49" s="101">
        <v>0</v>
      </c>
    </row>
    <row r="50" spans="2:18">
      <c r="C50" s="52" t="s">
        <v>398</v>
      </c>
      <c r="D50" s="52"/>
      <c r="E50" s="52"/>
      <c r="F50" s="102">
        <v>0.5</v>
      </c>
      <c r="G50" s="102">
        <v>0.5</v>
      </c>
      <c r="H50" s="102">
        <v>0.5</v>
      </c>
      <c r="I50" s="102">
        <v>0.5</v>
      </c>
      <c r="J50" s="102">
        <v>0.5</v>
      </c>
      <c r="K50" s="102">
        <v>0.5</v>
      </c>
      <c r="L50" s="102">
        <v>0.5</v>
      </c>
      <c r="M50" s="102">
        <v>0.5</v>
      </c>
      <c r="N50" s="102">
        <v>0.5</v>
      </c>
      <c r="O50" s="102">
        <v>0.5</v>
      </c>
      <c r="P50" s="102">
        <v>0.5</v>
      </c>
      <c r="Q50" s="102">
        <v>0.5</v>
      </c>
      <c r="R50" s="102">
        <v>6</v>
      </c>
    </row>
    <row r="51" spans="2:18">
      <c r="C51" t="s">
        <v>290</v>
      </c>
      <c r="D51" t="s">
        <v>291</v>
      </c>
      <c r="E51" t="s">
        <v>263</v>
      </c>
      <c r="F51" s="101">
        <v>0.496</v>
      </c>
      <c r="G51" s="101">
        <v>0.496</v>
      </c>
      <c r="H51" s="101">
        <v>0.496</v>
      </c>
      <c r="I51" s="101">
        <v>0.496</v>
      </c>
      <c r="J51" s="101">
        <v>0.496</v>
      </c>
      <c r="K51" s="101">
        <v>0.496</v>
      </c>
      <c r="L51" s="101">
        <v>0.496</v>
      </c>
      <c r="M51" s="101">
        <v>0.496</v>
      </c>
      <c r="N51" s="101">
        <v>0.496</v>
      </c>
      <c r="O51" s="101">
        <v>0.496</v>
      </c>
      <c r="P51" s="101">
        <v>0.496</v>
      </c>
      <c r="Q51" s="101">
        <v>0.496</v>
      </c>
      <c r="R51" s="101">
        <v>5.9520000000000017</v>
      </c>
    </row>
    <row r="52" spans="2:18">
      <c r="C52" s="52" t="s">
        <v>399</v>
      </c>
      <c r="D52" s="52"/>
      <c r="E52" s="52"/>
      <c r="F52" s="102">
        <v>0.496</v>
      </c>
      <c r="G52" s="102">
        <v>0.496</v>
      </c>
      <c r="H52" s="102">
        <v>0.496</v>
      </c>
      <c r="I52" s="102">
        <v>0.496</v>
      </c>
      <c r="J52" s="102">
        <v>0.496</v>
      </c>
      <c r="K52" s="102">
        <v>0.496</v>
      </c>
      <c r="L52" s="102">
        <v>0.496</v>
      </c>
      <c r="M52" s="102">
        <v>0.496</v>
      </c>
      <c r="N52" s="102">
        <v>0.496</v>
      </c>
      <c r="O52" s="102">
        <v>0.496</v>
      </c>
      <c r="P52" s="102">
        <v>0.496</v>
      </c>
      <c r="Q52" s="102">
        <v>0.496</v>
      </c>
      <c r="R52" s="102">
        <v>5.9520000000000017</v>
      </c>
    </row>
    <row r="53" spans="2:18">
      <c r="C53" t="s">
        <v>292</v>
      </c>
      <c r="D53" t="s">
        <v>293</v>
      </c>
      <c r="E53" t="s">
        <v>263</v>
      </c>
      <c r="F53" s="101">
        <v>4.9999999999999996E-2</v>
      </c>
      <c r="G53" s="101">
        <v>4.9999999999999996E-2</v>
      </c>
      <c r="H53" s="101">
        <v>4.9999999999999996E-2</v>
      </c>
      <c r="I53" s="101">
        <v>4.9999999999999996E-2</v>
      </c>
      <c r="J53" s="101">
        <v>4.9999999999999996E-2</v>
      </c>
      <c r="K53" s="101">
        <v>4.9999999999999996E-2</v>
      </c>
      <c r="L53" s="101">
        <v>4.9999999999999996E-2</v>
      </c>
      <c r="M53" s="101">
        <v>4.9999999999999996E-2</v>
      </c>
      <c r="N53" s="101">
        <v>4.9999999999999996E-2</v>
      </c>
      <c r="O53" s="101">
        <v>4.9999999999999996E-2</v>
      </c>
      <c r="P53" s="101">
        <v>4.9999999999999996E-2</v>
      </c>
      <c r="Q53" s="101">
        <v>4.9999999999999996E-2</v>
      </c>
      <c r="R53" s="101">
        <v>0.6</v>
      </c>
    </row>
    <row r="54" spans="2:18">
      <c r="E54" t="s">
        <v>274</v>
      </c>
      <c r="F54" s="101">
        <v>4.9999999999999996E-2</v>
      </c>
      <c r="G54" s="101">
        <v>4.9999999999999996E-2</v>
      </c>
      <c r="H54" s="101">
        <v>4.9999999999999996E-2</v>
      </c>
      <c r="I54" s="101">
        <v>4.9999999999999996E-2</v>
      </c>
      <c r="J54" s="101">
        <v>4.9999999999999996E-2</v>
      </c>
      <c r="K54" s="101">
        <v>4.9999999999999996E-2</v>
      </c>
      <c r="L54" s="101">
        <v>4.9999999999999996E-2</v>
      </c>
      <c r="M54" s="101">
        <v>4.9999999999999996E-2</v>
      </c>
      <c r="N54" s="101">
        <v>4.9999999999999996E-2</v>
      </c>
      <c r="O54" s="101">
        <v>4.9999999999999996E-2</v>
      </c>
      <c r="P54" s="101">
        <v>4.9999999999999996E-2</v>
      </c>
      <c r="Q54" s="101">
        <v>4.9999999999999996E-2</v>
      </c>
      <c r="R54" s="101">
        <v>0.6</v>
      </c>
    </row>
    <row r="55" spans="2:18">
      <c r="C55" s="52" t="s">
        <v>400</v>
      </c>
      <c r="D55" s="52"/>
      <c r="E55" s="52"/>
      <c r="F55" s="102">
        <v>9.9999999999999992E-2</v>
      </c>
      <c r="G55" s="102">
        <v>9.9999999999999992E-2</v>
      </c>
      <c r="H55" s="102">
        <v>9.9999999999999992E-2</v>
      </c>
      <c r="I55" s="102">
        <v>9.9999999999999992E-2</v>
      </c>
      <c r="J55" s="102">
        <v>9.9999999999999992E-2</v>
      </c>
      <c r="K55" s="102">
        <v>9.9999999999999992E-2</v>
      </c>
      <c r="L55" s="102">
        <v>9.9999999999999992E-2</v>
      </c>
      <c r="M55" s="102">
        <v>9.9999999999999992E-2</v>
      </c>
      <c r="N55" s="102">
        <v>9.9999999999999992E-2</v>
      </c>
      <c r="O55" s="102">
        <v>9.9999999999999992E-2</v>
      </c>
      <c r="P55" s="102">
        <v>9.9999999999999992E-2</v>
      </c>
      <c r="Q55" s="102">
        <v>9.9999999999999992E-2</v>
      </c>
      <c r="R55" s="102">
        <v>1.2</v>
      </c>
    </row>
    <row r="56" spans="2:18">
      <c r="C56" t="s">
        <v>317</v>
      </c>
      <c r="D56" t="s">
        <v>318</v>
      </c>
      <c r="E56" t="s">
        <v>263</v>
      </c>
      <c r="F56" s="101">
        <v>0.29000000000000004</v>
      </c>
      <c r="G56" s="101">
        <v>0.29000000000000004</v>
      </c>
      <c r="H56" s="101">
        <v>0.29000000000000004</v>
      </c>
      <c r="I56" s="101">
        <v>0.29000000000000004</v>
      </c>
      <c r="J56" s="101">
        <v>0.29000000000000004</v>
      </c>
      <c r="K56" s="101">
        <v>0.29000000000000004</v>
      </c>
      <c r="L56" s="101">
        <v>0.29000000000000004</v>
      </c>
      <c r="M56" s="101">
        <v>0.29000000000000004</v>
      </c>
      <c r="N56" s="101">
        <v>0.29000000000000004</v>
      </c>
      <c r="O56" s="101">
        <v>0.29000000000000004</v>
      </c>
      <c r="P56" s="101">
        <v>0.29000000000000004</v>
      </c>
      <c r="Q56" s="101">
        <v>0.29000000000000004</v>
      </c>
      <c r="R56" s="101">
        <v>3.4800000000000004</v>
      </c>
    </row>
    <row r="57" spans="2:18">
      <c r="C57" s="52" t="s">
        <v>401</v>
      </c>
      <c r="D57" s="52"/>
      <c r="E57" s="52"/>
      <c r="F57" s="102">
        <v>0.29000000000000004</v>
      </c>
      <c r="G57" s="102">
        <v>0.29000000000000004</v>
      </c>
      <c r="H57" s="102">
        <v>0.29000000000000004</v>
      </c>
      <c r="I57" s="102">
        <v>0.29000000000000004</v>
      </c>
      <c r="J57" s="102">
        <v>0.29000000000000004</v>
      </c>
      <c r="K57" s="102">
        <v>0.29000000000000004</v>
      </c>
      <c r="L57" s="102">
        <v>0.29000000000000004</v>
      </c>
      <c r="M57" s="102">
        <v>0.29000000000000004</v>
      </c>
      <c r="N57" s="102">
        <v>0.29000000000000004</v>
      </c>
      <c r="O57" s="102">
        <v>0.29000000000000004</v>
      </c>
      <c r="P57" s="102">
        <v>0.29000000000000004</v>
      </c>
      <c r="Q57" s="102">
        <v>0.29000000000000004</v>
      </c>
      <c r="R57" s="102">
        <v>3.4800000000000004</v>
      </c>
    </row>
    <row r="58" spans="2:18">
      <c r="B58" s="53" t="s">
        <v>402</v>
      </c>
      <c r="C58" s="53"/>
      <c r="D58" s="53"/>
      <c r="E58" s="53"/>
      <c r="F58" s="103">
        <v>3.5366666666666666</v>
      </c>
      <c r="G58" s="103">
        <v>2.6046666666666662</v>
      </c>
      <c r="H58" s="103">
        <v>2.6046666666666662</v>
      </c>
      <c r="I58" s="103">
        <v>3.5366666666666666</v>
      </c>
      <c r="J58" s="103">
        <v>2.6046666666666662</v>
      </c>
      <c r="K58" s="103">
        <v>2.6046666666666662</v>
      </c>
      <c r="L58" s="103">
        <v>3.5366666666666666</v>
      </c>
      <c r="M58" s="103">
        <v>2.6046666666666662</v>
      </c>
      <c r="N58" s="103">
        <v>4.6046666666666667</v>
      </c>
      <c r="O58" s="103">
        <v>3.5366666666666666</v>
      </c>
      <c r="P58" s="103">
        <v>2.6046666666666662</v>
      </c>
      <c r="Q58" s="103">
        <v>2.6046666666666662</v>
      </c>
      <c r="R58" s="103">
        <v>36.984000000000009</v>
      </c>
    </row>
    <row r="59" spans="2:18">
      <c r="B59" t="s">
        <v>87</v>
      </c>
      <c r="C59" t="s">
        <v>279</v>
      </c>
      <c r="D59" t="s">
        <v>280</v>
      </c>
      <c r="E59" t="s">
        <v>263</v>
      </c>
      <c r="F59" s="101">
        <v>0</v>
      </c>
      <c r="G59" s="101">
        <v>5</v>
      </c>
      <c r="H59" s="101">
        <v>0</v>
      </c>
      <c r="I59" s="101">
        <v>0</v>
      </c>
      <c r="J59" s="101">
        <v>0</v>
      </c>
      <c r="K59" s="101">
        <v>0</v>
      </c>
      <c r="L59" s="101">
        <v>0</v>
      </c>
      <c r="M59" s="101">
        <v>0</v>
      </c>
      <c r="N59" s="101">
        <v>0</v>
      </c>
      <c r="O59" s="101">
        <v>0</v>
      </c>
      <c r="P59" s="101">
        <v>0</v>
      </c>
      <c r="Q59" s="101">
        <v>0</v>
      </c>
      <c r="R59" s="101">
        <v>5</v>
      </c>
    </row>
    <row r="60" spans="2:18">
      <c r="C60" s="52" t="s">
        <v>403</v>
      </c>
      <c r="D60" s="52"/>
      <c r="E60" s="52"/>
      <c r="F60" s="102">
        <v>0</v>
      </c>
      <c r="G60" s="102">
        <v>5</v>
      </c>
      <c r="H60" s="102">
        <v>0</v>
      </c>
      <c r="I60" s="102">
        <v>0</v>
      </c>
      <c r="J60" s="102">
        <v>0</v>
      </c>
      <c r="K60" s="102">
        <v>0</v>
      </c>
      <c r="L60" s="102">
        <v>0</v>
      </c>
      <c r="M60" s="102">
        <v>0</v>
      </c>
      <c r="N60" s="102">
        <v>0</v>
      </c>
      <c r="O60" s="102">
        <v>0</v>
      </c>
      <c r="P60" s="102">
        <v>0</v>
      </c>
      <c r="Q60" s="102">
        <v>0</v>
      </c>
      <c r="R60" s="102">
        <v>5</v>
      </c>
    </row>
    <row r="61" spans="2:18">
      <c r="C61" t="s">
        <v>304</v>
      </c>
      <c r="D61" t="s">
        <v>305</v>
      </c>
      <c r="E61" t="s">
        <v>263</v>
      </c>
      <c r="F61" s="101">
        <v>1.208333333333333</v>
      </c>
      <c r="G61" s="101">
        <v>1.208333333333333</v>
      </c>
      <c r="H61" s="101">
        <v>1.208333333333333</v>
      </c>
      <c r="I61" s="101">
        <v>1.208333333333333</v>
      </c>
      <c r="J61" s="101">
        <v>1.208333333333333</v>
      </c>
      <c r="K61" s="101">
        <v>1.208333333333333</v>
      </c>
      <c r="L61" s="101">
        <v>1.208333333333333</v>
      </c>
      <c r="M61" s="101">
        <v>1.208333333333333</v>
      </c>
      <c r="N61" s="101">
        <v>1.208333333333333</v>
      </c>
      <c r="O61" s="101">
        <v>1.208333333333333</v>
      </c>
      <c r="P61" s="101">
        <v>1.208333333333333</v>
      </c>
      <c r="Q61" s="101">
        <v>1.208333333333333</v>
      </c>
      <c r="R61" s="101">
        <v>14.499999999999993</v>
      </c>
    </row>
    <row r="62" spans="2:18">
      <c r="D62" t="s">
        <v>321</v>
      </c>
      <c r="E62" t="s">
        <v>274</v>
      </c>
      <c r="F62" s="101">
        <v>0.20833333333333334</v>
      </c>
      <c r="G62" s="101">
        <v>0.20833333333333334</v>
      </c>
      <c r="H62" s="101">
        <v>0.20833333333333334</v>
      </c>
      <c r="I62" s="101">
        <v>0.20833333333333334</v>
      </c>
      <c r="J62" s="101">
        <v>0.20833333333333334</v>
      </c>
      <c r="K62" s="101">
        <v>0.20833333333333334</v>
      </c>
      <c r="L62" s="101">
        <v>0.20833333333333334</v>
      </c>
      <c r="M62" s="101">
        <v>0.20833333333333334</v>
      </c>
      <c r="N62" s="101">
        <v>0.20833333333333334</v>
      </c>
      <c r="O62" s="101">
        <v>0.20833333333333334</v>
      </c>
      <c r="P62" s="101">
        <v>0.20833333333333334</v>
      </c>
      <c r="Q62" s="101">
        <v>0.20833333333333334</v>
      </c>
      <c r="R62" s="101">
        <v>2.5</v>
      </c>
    </row>
    <row r="63" spans="2:18">
      <c r="D63" t="s">
        <v>324</v>
      </c>
      <c r="E63" t="s">
        <v>278</v>
      </c>
      <c r="F63" s="101">
        <v>0.625</v>
      </c>
      <c r="G63" s="101">
        <v>0.625</v>
      </c>
      <c r="H63" s="101">
        <v>0.625</v>
      </c>
      <c r="I63" s="101">
        <v>0.625</v>
      </c>
      <c r="J63" s="101">
        <v>0.625</v>
      </c>
      <c r="K63" s="101">
        <v>0.625</v>
      </c>
      <c r="L63" s="101">
        <v>0.625</v>
      </c>
      <c r="M63" s="101">
        <v>0.625</v>
      </c>
      <c r="N63" s="101">
        <v>0.625</v>
      </c>
      <c r="O63" s="101">
        <v>0.625</v>
      </c>
      <c r="P63" s="101">
        <v>0.625</v>
      </c>
      <c r="Q63" s="101">
        <v>0.625</v>
      </c>
      <c r="R63" s="101">
        <v>7.5</v>
      </c>
    </row>
    <row r="64" spans="2:18">
      <c r="C64" s="52" t="s">
        <v>404</v>
      </c>
      <c r="D64" s="52"/>
      <c r="E64" s="52"/>
      <c r="F64" s="102">
        <v>2.0416666666666661</v>
      </c>
      <c r="G64" s="102">
        <v>2.0416666666666661</v>
      </c>
      <c r="H64" s="102">
        <v>2.0416666666666661</v>
      </c>
      <c r="I64" s="102">
        <v>2.0416666666666661</v>
      </c>
      <c r="J64" s="102">
        <v>2.0416666666666661</v>
      </c>
      <c r="K64" s="102">
        <v>2.0416666666666661</v>
      </c>
      <c r="L64" s="102">
        <v>2.0416666666666661</v>
      </c>
      <c r="M64" s="102">
        <v>2.0416666666666661</v>
      </c>
      <c r="N64" s="102">
        <v>2.0416666666666661</v>
      </c>
      <c r="O64" s="102">
        <v>2.0416666666666661</v>
      </c>
      <c r="P64" s="102">
        <v>2.0416666666666661</v>
      </c>
      <c r="Q64" s="102">
        <v>2.0416666666666661</v>
      </c>
      <c r="R64" s="102">
        <v>24.499999999999993</v>
      </c>
    </row>
    <row r="65" spans="2:18">
      <c r="C65" t="s">
        <v>306</v>
      </c>
      <c r="D65" t="s">
        <v>307</v>
      </c>
      <c r="E65" t="s">
        <v>274</v>
      </c>
      <c r="F65" s="101">
        <v>0.43199999999999994</v>
      </c>
      <c r="G65" s="101">
        <v>0</v>
      </c>
      <c r="H65" s="101">
        <v>0</v>
      </c>
      <c r="I65" s="101">
        <v>0</v>
      </c>
      <c r="J65" s="101">
        <v>0</v>
      </c>
      <c r="K65" s="101">
        <v>0</v>
      </c>
      <c r="L65" s="101">
        <v>0</v>
      </c>
      <c r="M65" s="101">
        <v>0</v>
      </c>
      <c r="N65" s="101">
        <v>0</v>
      </c>
      <c r="O65" s="101">
        <v>0</v>
      </c>
      <c r="P65" s="101">
        <v>0</v>
      </c>
      <c r="Q65" s="101">
        <v>0</v>
      </c>
      <c r="R65" s="101">
        <v>0.43199999999999994</v>
      </c>
    </row>
    <row r="66" spans="2:18">
      <c r="C66" s="52" t="s">
        <v>405</v>
      </c>
      <c r="D66" s="52"/>
      <c r="E66" s="52"/>
      <c r="F66" s="102">
        <v>0.43199999999999994</v>
      </c>
      <c r="G66" s="102">
        <v>0</v>
      </c>
      <c r="H66" s="102">
        <v>0</v>
      </c>
      <c r="I66" s="102">
        <v>0</v>
      </c>
      <c r="J66" s="102">
        <v>0</v>
      </c>
      <c r="K66" s="102">
        <v>0</v>
      </c>
      <c r="L66" s="102">
        <v>0</v>
      </c>
      <c r="M66" s="102">
        <v>0</v>
      </c>
      <c r="N66" s="102">
        <v>0</v>
      </c>
      <c r="O66" s="102">
        <v>0</v>
      </c>
      <c r="P66" s="102">
        <v>0</v>
      </c>
      <c r="Q66" s="102">
        <v>0</v>
      </c>
      <c r="R66" s="102">
        <v>0.43199999999999994</v>
      </c>
    </row>
    <row r="67" spans="2:18">
      <c r="C67" t="s">
        <v>311</v>
      </c>
      <c r="D67" t="s">
        <v>312</v>
      </c>
      <c r="E67" t="s">
        <v>263</v>
      </c>
      <c r="F67" s="101">
        <v>1.1204166666666666</v>
      </c>
      <c r="G67" s="101">
        <v>1.1204166666666666</v>
      </c>
      <c r="H67" s="101">
        <v>1.1204166666666666</v>
      </c>
      <c r="I67" s="101">
        <v>1.1204166666666666</v>
      </c>
      <c r="J67" s="101">
        <v>1.1204166666666666</v>
      </c>
      <c r="K67" s="101">
        <v>1.1204166666666666</v>
      </c>
      <c r="L67" s="101">
        <v>1.1204166666666666</v>
      </c>
      <c r="M67" s="101">
        <v>1.1204166666666666</v>
      </c>
      <c r="N67" s="101">
        <v>1.1204166666666666</v>
      </c>
      <c r="O67" s="101">
        <v>1.1204166666666666</v>
      </c>
      <c r="P67" s="101">
        <v>1.1204166666666666</v>
      </c>
      <c r="Q67" s="101">
        <v>1.1204166666666666</v>
      </c>
      <c r="R67" s="101">
        <v>13.445000000000002</v>
      </c>
    </row>
    <row r="68" spans="2:18">
      <c r="C68" s="52" t="s">
        <v>406</v>
      </c>
      <c r="D68" s="52"/>
      <c r="E68" s="52"/>
      <c r="F68" s="102">
        <v>1.1204166666666666</v>
      </c>
      <c r="G68" s="102">
        <v>1.1204166666666666</v>
      </c>
      <c r="H68" s="102">
        <v>1.1204166666666666</v>
      </c>
      <c r="I68" s="102">
        <v>1.1204166666666666</v>
      </c>
      <c r="J68" s="102">
        <v>1.1204166666666666</v>
      </c>
      <c r="K68" s="102">
        <v>1.1204166666666666</v>
      </c>
      <c r="L68" s="102">
        <v>1.1204166666666666</v>
      </c>
      <c r="M68" s="102">
        <v>1.1204166666666666</v>
      </c>
      <c r="N68" s="102">
        <v>1.1204166666666666</v>
      </c>
      <c r="O68" s="102">
        <v>1.1204166666666666</v>
      </c>
      <c r="P68" s="102">
        <v>1.1204166666666666</v>
      </c>
      <c r="Q68" s="102">
        <v>1.1204166666666666</v>
      </c>
      <c r="R68" s="102">
        <v>13.445000000000002</v>
      </c>
    </row>
    <row r="69" spans="2:18">
      <c r="C69" t="s">
        <v>125</v>
      </c>
      <c r="D69" t="s">
        <v>127</v>
      </c>
      <c r="E69" t="s">
        <v>274</v>
      </c>
      <c r="F69" s="101">
        <v>0</v>
      </c>
      <c r="G69" s="101">
        <v>0</v>
      </c>
      <c r="H69" s="101">
        <v>0</v>
      </c>
      <c r="I69" s="101">
        <v>0</v>
      </c>
      <c r="J69" s="101">
        <v>0</v>
      </c>
      <c r="K69" s="101">
        <v>0</v>
      </c>
      <c r="L69" s="101">
        <v>0</v>
      </c>
      <c r="M69" s="101">
        <v>0.43</v>
      </c>
      <c r="N69" s="101">
        <v>0</v>
      </c>
      <c r="O69" s="101">
        <v>0</v>
      </c>
      <c r="P69" s="101">
        <v>0</v>
      </c>
      <c r="Q69" s="101">
        <v>0</v>
      </c>
      <c r="R69" s="101">
        <v>0.43</v>
      </c>
    </row>
    <row r="70" spans="2:18">
      <c r="D70" t="s">
        <v>267</v>
      </c>
      <c r="E70" t="s">
        <v>263</v>
      </c>
      <c r="F70" s="101">
        <v>0</v>
      </c>
      <c r="G70" s="101">
        <v>0</v>
      </c>
      <c r="H70" s="101">
        <v>0</v>
      </c>
      <c r="I70" s="101">
        <v>0</v>
      </c>
      <c r="J70" s="101">
        <v>0</v>
      </c>
      <c r="K70" s="101">
        <v>0</v>
      </c>
      <c r="L70" s="101">
        <v>0</v>
      </c>
      <c r="M70" s="101">
        <v>2.6999999999999997</v>
      </c>
      <c r="N70" s="101">
        <v>0</v>
      </c>
      <c r="O70" s="101">
        <v>0</v>
      </c>
      <c r="P70" s="101">
        <v>0</v>
      </c>
      <c r="Q70" s="101">
        <v>0</v>
      </c>
      <c r="R70" s="101">
        <v>2.6999999999999997</v>
      </c>
    </row>
    <row r="71" spans="2:18">
      <c r="D71" t="s">
        <v>315</v>
      </c>
      <c r="E71" t="s">
        <v>263</v>
      </c>
      <c r="F71" s="101">
        <v>0</v>
      </c>
      <c r="G71" s="101">
        <v>0</v>
      </c>
      <c r="H71" s="101">
        <v>0</v>
      </c>
      <c r="I71" s="101">
        <v>0</v>
      </c>
      <c r="J71" s="101">
        <v>0</v>
      </c>
      <c r="K71" s="101">
        <v>0</v>
      </c>
      <c r="L71" s="101">
        <v>0</v>
      </c>
      <c r="M71" s="101">
        <v>0</v>
      </c>
      <c r="N71" s="101">
        <v>0</v>
      </c>
      <c r="O71" s="101">
        <v>0</v>
      </c>
      <c r="P71" s="101">
        <v>0</v>
      </c>
      <c r="Q71" s="101">
        <v>0</v>
      </c>
      <c r="R71" s="101">
        <v>0</v>
      </c>
    </row>
    <row r="72" spans="2:18">
      <c r="C72" s="52" t="s">
        <v>407</v>
      </c>
      <c r="D72" s="52"/>
      <c r="E72" s="52"/>
      <c r="F72" s="102">
        <v>0</v>
      </c>
      <c r="G72" s="102">
        <v>0</v>
      </c>
      <c r="H72" s="102">
        <v>0</v>
      </c>
      <c r="I72" s="102">
        <v>0</v>
      </c>
      <c r="J72" s="102">
        <v>0</v>
      </c>
      <c r="K72" s="102">
        <v>0</v>
      </c>
      <c r="L72" s="102">
        <v>0</v>
      </c>
      <c r="M72" s="102">
        <v>3.13</v>
      </c>
      <c r="N72" s="102">
        <v>0</v>
      </c>
      <c r="O72" s="102">
        <v>0</v>
      </c>
      <c r="P72" s="102">
        <v>0</v>
      </c>
      <c r="Q72" s="102">
        <v>0</v>
      </c>
      <c r="R72" s="102">
        <v>3.13</v>
      </c>
    </row>
    <row r="73" spans="2:18">
      <c r="C73" t="s">
        <v>325</v>
      </c>
      <c r="D73" t="s">
        <v>326</v>
      </c>
      <c r="E73" t="s">
        <v>263</v>
      </c>
      <c r="F73" s="101">
        <v>0</v>
      </c>
      <c r="G73" s="101">
        <v>0.6</v>
      </c>
      <c r="H73" s="101">
        <v>0</v>
      </c>
      <c r="I73" s="101">
        <v>0</v>
      </c>
      <c r="J73" s="101">
        <v>0</v>
      </c>
      <c r="K73" s="101">
        <v>0</v>
      </c>
      <c r="L73" s="101">
        <v>0</v>
      </c>
      <c r="M73" s="101">
        <v>0</v>
      </c>
      <c r="N73" s="101">
        <v>0</v>
      </c>
      <c r="O73" s="101">
        <v>0</v>
      </c>
      <c r="P73" s="101">
        <v>0</v>
      </c>
      <c r="Q73" s="101">
        <v>0</v>
      </c>
      <c r="R73" s="101">
        <v>0.6</v>
      </c>
    </row>
    <row r="74" spans="2:18">
      <c r="C74" s="52" t="s">
        <v>408</v>
      </c>
      <c r="D74" s="52"/>
      <c r="E74" s="52"/>
      <c r="F74" s="102">
        <v>0</v>
      </c>
      <c r="G74" s="102">
        <v>0.6</v>
      </c>
      <c r="H74" s="102">
        <v>0</v>
      </c>
      <c r="I74" s="102">
        <v>0</v>
      </c>
      <c r="J74" s="102">
        <v>0</v>
      </c>
      <c r="K74" s="102">
        <v>0</v>
      </c>
      <c r="L74" s="102">
        <v>0</v>
      </c>
      <c r="M74" s="102">
        <v>0</v>
      </c>
      <c r="N74" s="102">
        <v>0</v>
      </c>
      <c r="O74" s="102">
        <v>0</v>
      </c>
      <c r="P74" s="102">
        <v>0</v>
      </c>
      <c r="Q74" s="102">
        <v>0</v>
      </c>
      <c r="R74" s="102">
        <v>0.6</v>
      </c>
    </row>
    <row r="75" spans="2:18">
      <c r="B75" s="53" t="s">
        <v>409</v>
      </c>
      <c r="C75" s="53"/>
      <c r="D75" s="53"/>
      <c r="E75" s="53"/>
      <c r="F75" s="103">
        <v>3.5940833333333329</v>
      </c>
      <c r="G75" s="103">
        <v>8.762083333333333</v>
      </c>
      <c r="H75" s="103">
        <v>3.1620833333333325</v>
      </c>
      <c r="I75" s="103">
        <v>3.1620833333333325</v>
      </c>
      <c r="J75" s="103">
        <v>3.1620833333333325</v>
      </c>
      <c r="K75" s="103">
        <v>3.1620833333333325</v>
      </c>
      <c r="L75" s="103">
        <v>3.1620833333333325</v>
      </c>
      <c r="M75" s="103">
        <v>6.2920833333333324</v>
      </c>
      <c r="N75" s="103">
        <v>3.1620833333333325</v>
      </c>
      <c r="O75" s="103">
        <v>3.1620833333333325</v>
      </c>
      <c r="P75" s="103">
        <v>3.1620833333333325</v>
      </c>
      <c r="Q75" s="103">
        <v>3.1620833333333325</v>
      </c>
      <c r="R75" s="103">
        <v>47.106999999999999</v>
      </c>
    </row>
    <row r="76" spans="2:18">
      <c r="B76" t="s">
        <v>101</v>
      </c>
      <c r="C76" t="s">
        <v>99</v>
      </c>
      <c r="D76" t="s">
        <v>270</v>
      </c>
      <c r="E76" t="s">
        <v>263</v>
      </c>
      <c r="F76" s="101">
        <v>1.2</v>
      </c>
      <c r="G76" s="101">
        <v>1.2</v>
      </c>
      <c r="H76" s="101">
        <v>1.2</v>
      </c>
      <c r="I76" s="101">
        <v>1.2</v>
      </c>
      <c r="J76" s="101">
        <v>1.2</v>
      </c>
      <c r="K76" s="101">
        <v>1.2</v>
      </c>
      <c r="L76" s="101">
        <v>1.2</v>
      </c>
      <c r="M76" s="101">
        <v>1.2</v>
      </c>
      <c r="N76" s="101">
        <v>1.2</v>
      </c>
      <c r="O76" s="101">
        <v>1.2</v>
      </c>
      <c r="P76" s="101">
        <v>1.2</v>
      </c>
      <c r="Q76" s="101">
        <v>1.2</v>
      </c>
      <c r="R76" s="101">
        <v>14.399999999999997</v>
      </c>
    </row>
    <row r="77" spans="2:18">
      <c r="D77" t="s">
        <v>272</v>
      </c>
      <c r="E77" t="s">
        <v>263</v>
      </c>
      <c r="F77" s="101">
        <v>0</v>
      </c>
      <c r="G77" s="101">
        <v>0</v>
      </c>
      <c r="H77" s="101">
        <v>0</v>
      </c>
      <c r="I77" s="101">
        <v>0</v>
      </c>
      <c r="J77" s="101">
        <v>0</v>
      </c>
      <c r="K77" s="101">
        <v>0</v>
      </c>
      <c r="L77" s="101">
        <v>0</v>
      </c>
      <c r="M77" s="101">
        <v>0</v>
      </c>
      <c r="N77" s="101">
        <v>0</v>
      </c>
      <c r="O77" s="101">
        <v>0</v>
      </c>
      <c r="P77" s="101">
        <v>0</v>
      </c>
      <c r="Q77" s="101">
        <v>27.6</v>
      </c>
      <c r="R77" s="101">
        <v>27.6</v>
      </c>
    </row>
    <row r="78" spans="2:18">
      <c r="D78" t="s">
        <v>275</v>
      </c>
      <c r="E78" t="s">
        <v>274</v>
      </c>
      <c r="F78" s="101">
        <v>0</v>
      </c>
      <c r="G78" s="101">
        <v>0</v>
      </c>
      <c r="H78" s="101">
        <v>0</v>
      </c>
      <c r="I78" s="101">
        <v>0</v>
      </c>
      <c r="J78" s="101">
        <v>0</v>
      </c>
      <c r="K78" s="101">
        <v>0</v>
      </c>
      <c r="L78" s="101">
        <v>0</v>
      </c>
      <c r="M78" s="101">
        <v>0</v>
      </c>
      <c r="N78" s="101">
        <v>0</v>
      </c>
      <c r="O78" s="101">
        <v>0</v>
      </c>
      <c r="P78" s="101">
        <v>0</v>
      </c>
      <c r="Q78" s="101">
        <v>12</v>
      </c>
      <c r="R78" s="101">
        <v>12</v>
      </c>
    </row>
    <row r="79" spans="2:18">
      <c r="C79" s="52" t="s">
        <v>397</v>
      </c>
      <c r="D79" s="52"/>
      <c r="E79" s="52"/>
      <c r="F79" s="102">
        <v>1.2</v>
      </c>
      <c r="G79" s="102">
        <v>1.2</v>
      </c>
      <c r="H79" s="102">
        <v>1.2</v>
      </c>
      <c r="I79" s="102">
        <v>1.2</v>
      </c>
      <c r="J79" s="102">
        <v>1.2</v>
      </c>
      <c r="K79" s="102">
        <v>1.2</v>
      </c>
      <c r="L79" s="102">
        <v>1.2</v>
      </c>
      <c r="M79" s="102">
        <v>1.2</v>
      </c>
      <c r="N79" s="102">
        <v>1.2</v>
      </c>
      <c r="O79" s="102">
        <v>1.2</v>
      </c>
      <c r="P79" s="102">
        <v>1.2</v>
      </c>
      <c r="Q79" s="102">
        <v>40.799999999999997</v>
      </c>
      <c r="R79" s="102">
        <v>54</v>
      </c>
    </row>
    <row r="80" spans="2:18">
      <c r="B80" s="53" t="s">
        <v>410</v>
      </c>
      <c r="C80" s="53"/>
      <c r="D80" s="53"/>
      <c r="E80" s="53"/>
      <c r="F80" s="103">
        <v>1.2</v>
      </c>
      <c r="G80" s="103">
        <v>1.2</v>
      </c>
      <c r="H80" s="103">
        <v>1.2</v>
      </c>
      <c r="I80" s="103">
        <v>1.2</v>
      </c>
      <c r="J80" s="103">
        <v>1.2</v>
      </c>
      <c r="K80" s="103">
        <v>1.2</v>
      </c>
      <c r="L80" s="103">
        <v>1.2</v>
      </c>
      <c r="M80" s="103">
        <v>1.2</v>
      </c>
      <c r="N80" s="103">
        <v>1.2</v>
      </c>
      <c r="O80" s="103">
        <v>1.2</v>
      </c>
      <c r="P80" s="103">
        <v>1.2</v>
      </c>
      <c r="Q80" s="103">
        <v>40.799999999999997</v>
      </c>
      <c r="R80" s="103">
        <v>54</v>
      </c>
    </row>
    <row r="81" spans="1:18">
      <c r="B81" t="s">
        <v>132</v>
      </c>
      <c r="C81" t="s">
        <v>281</v>
      </c>
      <c r="D81" t="s">
        <v>282</v>
      </c>
      <c r="E81" t="s">
        <v>263</v>
      </c>
      <c r="F81" s="101">
        <v>0.93781752754820935</v>
      </c>
      <c r="G81" s="101">
        <v>0.93781752754820935</v>
      </c>
      <c r="H81" s="101">
        <v>0.93781752754820935</v>
      </c>
      <c r="I81" s="101">
        <v>0.93781752754820935</v>
      </c>
      <c r="J81" s="101">
        <v>0.93781752754820935</v>
      </c>
      <c r="K81" s="101">
        <v>0.93781752754820935</v>
      </c>
      <c r="L81" s="101">
        <v>0.93781752754820935</v>
      </c>
      <c r="M81" s="101">
        <v>0.93781752754820935</v>
      </c>
      <c r="N81" s="101">
        <v>0.93781752754820935</v>
      </c>
      <c r="O81" s="101">
        <v>0.93781752754820935</v>
      </c>
      <c r="P81" s="101">
        <v>0.93781752754820935</v>
      </c>
      <c r="Q81" s="101">
        <v>0.93781752754820935</v>
      </c>
      <c r="R81" s="101">
        <v>11.25381033057851</v>
      </c>
    </row>
    <row r="82" spans="1:18">
      <c r="D82" t="s">
        <v>285</v>
      </c>
      <c r="E82" t="s">
        <v>263</v>
      </c>
      <c r="F82" s="101">
        <v>3.9531680440771343E-2</v>
      </c>
      <c r="G82" s="101">
        <v>3.9531680440771343E-2</v>
      </c>
      <c r="H82" s="101">
        <v>3.9531680440771343E-2</v>
      </c>
      <c r="I82" s="101">
        <v>3.9531680440771343E-2</v>
      </c>
      <c r="J82" s="101">
        <v>3.9531680440771343E-2</v>
      </c>
      <c r="K82" s="101">
        <v>3.9531680440771343E-2</v>
      </c>
      <c r="L82" s="101">
        <v>3.9531680440771343E-2</v>
      </c>
      <c r="M82" s="101">
        <v>3.9531680440771343E-2</v>
      </c>
      <c r="N82" s="101">
        <v>3.9531680440771343E-2</v>
      </c>
      <c r="O82" s="101">
        <v>3.9531680440771343E-2</v>
      </c>
      <c r="P82" s="101">
        <v>3.9531680440771343E-2</v>
      </c>
      <c r="Q82" s="101">
        <v>3.9531680440771343E-2</v>
      </c>
      <c r="R82" s="101">
        <v>0.47438016528925603</v>
      </c>
    </row>
    <row r="83" spans="1:18">
      <c r="D83" t="s">
        <v>319</v>
      </c>
      <c r="E83" t="s">
        <v>274</v>
      </c>
      <c r="F83" s="101">
        <v>0.44887741046831958</v>
      </c>
      <c r="G83" s="101">
        <v>0.44887741046831958</v>
      </c>
      <c r="H83" s="101">
        <v>0.44887741046831958</v>
      </c>
      <c r="I83" s="101">
        <v>0.44887741046831958</v>
      </c>
      <c r="J83" s="101">
        <v>0.44887741046831958</v>
      </c>
      <c r="K83" s="101">
        <v>0.44887741046831958</v>
      </c>
      <c r="L83" s="101">
        <v>0.44887741046831958</v>
      </c>
      <c r="M83" s="101">
        <v>0.44887741046831958</v>
      </c>
      <c r="N83" s="101">
        <v>0.44887741046831958</v>
      </c>
      <c r="O83" s="101">
        <v>0.44887741046831958</v>
      </c>
      <c r="P83" s="101">
        <v>0.44887741046831958</v>
      </c>
      <c r="Q83" s="101">
        <v>0.44887741046831958</v>
      </c>
      <c r="R83" s="101">
        <v>5.3865289256198343</v>
      </c>
    </row>
    <row r="84" spans="1:18">
      <c r="D84" t="s">
        <v>320</v>
      </c>
      <c r="E84" t="s">
        <v>274</v>
      </c>
      <c r="F84" s="101">
        <v>1.1449724517906337E-2</v>
      </c>
      <c r="G84" s="101">
        <v>1.1449724517906337E-2</v>
      </c>
      <c r="H84" s="101">
        <v>1.1449724517906337E-2</v>
      </c>
      <c r="I84" s="101">
        <v>1.1449724517906337E-2</v>
      </c>
      <c r="J84" s="101">
        <v>1.1449724517906337E-2</v>
      </c>
      <c r="K84" s="101">
        <v>1.1449724517906337E-2</v>
      </c>
      <c r="L84" s="101">
        <v>1.1449724517906337E-2</v>
      </c>
      <c r="M84" s="101">
        <v>1.1449724517906337E-2</v>
      </c>
      <c r="N84" s="101">
        <v>1.1449724517906337E-2</v>
      </c>
      <c r="O84" s="101">
        <v>1.1449724517906337E-2</v>
      </c>
      <c r="P84" s="101">
        <v>1.1449724517906337E-2</v>
      </c>
      <c r="Q84" s="101">
        <v>1.1449724517906337E-2</v>
      </c>
      <c r="R84" s="101">
        <v>0.13739669421487605</v>
      </c>
    </row>
    <row r="85" spans="1:18">
      <c r="C85" s="52" t="s">
        <v>411</v>
      </c>
      <c r="D85" s="52"/>
      <c r="E85" s="52"/>
      <c r="F85" s="102">
        <v>1.4376763429752066</v>
      </c>
      <c r="G85" s="102">
        <v>1.4376763429752066</v>
      </c>
      <c r="H85" s="102">
        <v>1.4376763429752066</v>
      </c>
      <c r="I85" s="102">
        <v>1.4376763429752066</v>
      </c>
      <c r="J85" s="102">
        <v>1.4376763429752066</v>
      </c>
      <c r="K85" s="102">
        <v>1.4376763429752066</v>
      </c>
      <c r="L85" s="102">
        <v>1.4376763429752066</v>
      </c>
      <c r="M85" s="102">
        <v>1.4376763429752066</v>
      </c>
      <c r="N85" s="102">
        <v>1.4376763429752066</v>
      </c>
      <c r="O85" s="102">
        <v>1.4376763429752066</v>
      </c>
      <c r="P85" s="102">
        <v>1.4376763429752066</v>
      </c>
      <c r="Q85" s="102">
        <v>1.4376763429752066</v>
      </c>
      <c r="R85" s="102">
        <v>17.252116115702474</v>
      </c>
    </row>
    <row r="86" spans="1:18">
      <c r="C86" t="s">
        <v>283</v>
      </c>
      <c r="D86" t="s">
        <v>284</v>
      </c>
      <c r="E86" t="s">
        <v>263</v>
      </c>
      <c r="F86" s="101">
        <v>1.4944903581267219</v>
      </c>
      <c r="G86" s="101">
        <v>1.4944903581267219</v>
      </c>
      <c r="H86" s="101">
        <v>1.4944903581267219</v>
      </c>
      <c r="I86" s="101">
        <v>1.4944903581267219</v>
      </c>
      <c r="J86" s="101">
        <v>1.4944903581267219</v>
      </c>
      <c r="K86" s="101">
        <v>1.4944903581267219</v>
      </c>
      <c r="L86" s="101">
        <v>1.4944903581267219</v>
      </c>
      <c r="M86" s="101">
        <v>1.4944903581267219</v>
      </c>
      <c r="N86" s="101">
        <v>1.4944903581267219</v>
      </c>
      <c r="O86" s="101">
        <v>1.4944903581267219</v>
      </c>
      <c r="P86" s="101">
        <v>1.4944903581267219</v>
      </c>
      <c r="Q86" s="101">
        <v>1.4944903581267219</v>
      </c>
      <c r="R86" s="101">
        <v>17.933884297520663</v>
      </c>
    </row>
    <row r="87" spans="1:18">
      <c r="C87" s="52" t="s">
        <v>412</v>
      </c>
      <c r="D87" s="52"/>
      <c r="E87" s="52"/>
      <c r="F87" s="102">
        <v>1.4944903581267219</v>
      </c>
      <c r="G87" s="102">
        <v>1.4944903581267219</v>
      </c>
      <c r="H87" s="102">
        <v>1.4944903581267219</v>
      </c>
      <c r="I87" s="102">
        <v>1.4944903581267219</v>
      </c>
      <c r="J87" s="102">
        <v>1.4944903581267219</v>
      </c>
      <c r="K87" s="102">
        <v>1.4944903581267219</v>
      </c>
      <c r="L87" s="102">
        <v>1.4944903581267219</v>
      </c>
      <c r="M87" s="102">
        <v>1.4944903581267219</v>
      </c>
      <c r="N87" s="102">
        <v>1.4944903581267219</v>
      </c>
      <c r="O87" s="102">
        <v>1.4944903581267219</v>
      </c>
      <c r="P87" s="102">
        <v>1.4944903581267219</v>
      </c>
      <c r="Q87" s="102">
        <v>1.4944903581267219</v>
      </c>
      <c r="R87" s="102">
        <v>17.933884297520663</v>
      </c>
    </row>
    <row r="88" spans="1:18">
      <c r="C88" t="s">
        <v>286</v>
      </c>
      <c r="D88" t="s">
        <v>287</v>
      </c>
      <c r="E88" t="s">
        <v>263</v>
      </c>
      <c r="F88" s="101">
        <v>0.38953168044077136</v>
      </c>
      <c r="G88" s="101">
        <v>0.38953168044077136</v>
      </c>
      <c r="H88" s="101">
        <v>0.38953168044077136</v>
      </c>
      <c r="I88" s="101">
        <v>0.38953168044077136</v>
      </c>
      <c r="J88" s="101">
        <v>0.38953168044077136</v>
      </c>
      <c r="K88" s="101">
        <v>0.38953168044077136</v>
      </c>
      <c r="L88" s="101">
        <v>0.38953168044077136</v>
      </c>
      <c r="M88" s="101">
        <v>0.38953168044077136</v>
      </c>
      <c r="N88" s="101">
        <v>0.38953168044077136</v>
      </c>
      <c r="O88" s="101">
        <v>0.38953168044077136</v>
      </c>
      <c r="P88" s="101">
        <v>0.38953168044077136</v>
      </c>
      <c r="Q88" s="101">
        <v>0.38953168044077136</v>
      </c>
      <c r="R88" s="101">
        <v>4.6743801652892554</v>
      </c>
    </row>
    <row r="89" spans="1:18">
      <c r="C89" s="52" t="s">
        <v>413</v>
      </c>
      <c r="D89" s="52"/>
      <c r="E89" s="52"/>
      <c r="F89" s="102">
        <v>0.38953168044077136</v>
      </c>
      <c r="G89" s="102">
        <v>0.38953168044077136</v>
      </c>
      <c r="H89" s="102">
        <v>0.38953168044077136</v>
      </c>
      <c r="I89" s="102">
        <v>0.38953168044077136</v>
      </c>
      <c r="J89" s="102">
        <v>0.38953168044077136</v>
      </c>
      <c r="K89" s="102">
        <v>0.38953168044077136</v>
      </c>
      <c r="L89" s="102">
        <v>0.38953168044077136</v>
      </c>
      <c r="M89" s="102">
        <v>0.38953168044077136</v>
      </c>
      <c r="N89" s="102">
        <v>0.38953168044077136</v>
      </c>
      <c r="O89" s="102">
        <v>0.38953168044077136</v>
      </c>
      <c r="P89" s="102">
        <v>0.38953168044077136</v>
      </c>
      <c r="Q89" s="102">
        <v>0.38953168044077136</v>
      </c>
      <c r="R89" s="102">
        <v>4.6743801652892554</v>
      </c>
    </row>
    <row r="90" spans="1:18">
      <c r="B90" s="53" t="s">
        <v>414</v>
      </c>
      <c r="C90" s="53"/>
      <c r="D90" s="53"/>
      <c r="E90" s="53"/>
      <c r="F90" s="103">
        <v>3.3216983815427001</v>
      </c>
      <c r="G90" s="103">
        <v>3.3216983815427001</v>
      </c>
      <c r="H90" s="103">
        <v>3.3216983815427001</v>
      </c>
      <c r="I90" s="103">
        <v>3.3216983815427001</v>
      </c>
      <c r="J90" s="103">
        <v>3.3216983815427001</v>
      </c>
      <c r="K90" s="103">
        <v>3.3216983815427001</v>
      </c>
      <c r="L90" s="103">
        <v>3.3216983815427001</v>
      </c>
      <c r="M90" s="103">
        <v>3.3216983815427001</v>
      </c>
      <c r="N90" s="103">
        <v>3.3216983815427001</v>
      </c>
      <c r="O90" s="103">
        <v>3.3216983815427001</v>
      </c>
      <c r="P90" s="103">
        <v>3.3216983815427001</v>
      </c>
      <c r="Q90" s="103">
        <v>3.3216983815427001</v>
      </c>
      <c r="R90" s="103">
        <v>39.860380578512398</v>
      </c>
    </row>
    <row r="91" spans="1:18">
      <c r="A91" t="s">
        <v>415</v>
      </c>
      <c r="F91" s="101">
        <v>15.573712155647383</v>
      </c>
      <c r="G91" s="101">
        <v>19.809712155647382</v>
      </c>
      <c r="H91" s="101">
        <v>14.209712155647381</v>
      </c>
      <c r="I91" s="101">
        <v>15.141712155647383</v>
      </c>
      <c r="J91" s="101">
        <v>14.209712155647381</v>
      </c>
      <c r="K91" s="101">
        <v>14.209712155647381</v>
      </c>
      <c r="L91" s="101">
        <v>18.736378822314052</v>
      </c>
      <c r="M91" s="101">
        <v>16.564378822314048</v>
      </c>
      <c r="N91" s="101">
        <v>15.43437882231405</v>
      </c>
      <c r="O91" s="101">
        <v>14.366378822314051</v>
      </c>
      <c r="P91" s="101">
        <v>13.434378822314049</v>
      </c>
      <c r="Q91" s="101">
        <v>53.034378822314054</v>
      </c>
      <c r="R91" s="101">
        <v>224.72454586776863</v>
      </c>
    </row>
    <row r="92" spans="1:18">
      <c r="A92" t="s">
        <v>416</v>
      </c>
      <c r="B92" t="s">
        <v>106</v>
      </c>
      <c r="C92" t="s">
        <v>109</v>
      </c>
      <c r="D92" t="s">
        <v>110</v>
      </c>
      <c r="E92" t="s">
        <v>417</v>
      </c>
      <c r="F92" s="101">
        <v>11.394557823129253</v>
      </c>
      <c r="G92" s="101">
        <v>11.394557823129253</v>
      </c>
      <c r="H92" s="101">
        <v>11.394557823129253</v>
      </c>
      <c r="I92" s="101">
        <v>11.394557823129253</v>
      </c>
      <c r="J92" s="101">
        <v>11.394557823129253</v>
      </c>
      <c r="K92" s="101">
        <v>11.394557823129253</v>
      </c>
      <c r="L92" s="101">
        <v>11.394557823129253</v>
      </c>
      <c r="M92" s="101">
        <v>11.394557823129253</v>
      </c>
      <c r="N92" s="101">
        <v>11.394557823129253</v>
      </c>
      <c r="O92" s="101">
        <v>11.394557823129253</v>
      </c>
      <c r="P92" s="101">
        <v>11.394557823129253</v>
      </c>
      <c r="Q92" s="101">
        <v>11.394557823129253</v>
      </c>
      <c r="R92" s="101">
        <v>136.734693877551</v>
      </c>
    </row>
    <row r="93" spans="1:18">
      <c r="C93" s="52" t="s">
        <v>418</v>
      </c>
      <c r="D93" s="52"/>
      <c r="E93" s="52"/>
      <c r="F93" s="102">
        <v>11.394557823129253</v>
      </c>
      <c r="G93" s="102">
        <v>11.394557823129253</v>
      </c>
      <c r="H93" s="102">
        <v>11.394557823129253</v>
      </c>
      <c r="I93" s="102">
        <v>11.394557823129253</v>
      </c>
      <c r="J93" s="102">
        <v>11.394557823129253</v>
      </c>
      <c r="K93" s="102">
        <v>11.394557823129253</v>
      </c>
      <c r="L93" s="102">
        <v>11.394557823129253</v>
      </c>
      <c r="M93" s="102">
        <v>11.394557823129253</v>
      </c>
      <c r="N93" s="102">
        <v>11.394557823129253</v>
      </c>
      <c r="O93" s="102">
        <v>11.394557823129253</v>
      </c>
      <c r="P93" s="102">
        <v>11.394557823129253</v>
      </c>
      <c r="Q93" s="102">
        <v>11.394557823129253</v>
      </c>
      <c r="R93" s="102">
        <v>136.734693877551</v>
      </c>
    </row>
    <row r="94" spans="1:18">
      <c r="C94" t="s">
        <v>114</v>
      </c>
      <c r="D94" t="s">
        <v>115</v>
      </c>
      <c r="E94" t="s">
        <v>26</v>
      </c>
      <c r="F94" s="101">
        <v>0.63775510204081631</v>
      </c>
      <c r="G94" s="101">
        <v>0.63775510204081631</v>
      </c>
      <c r="H94" s="101">
        <v>0.63775510204081631</v>
      </c>
      <c r="I94" s="101">
        <v>0.63775510204081631</v>
      </c>
      <c r="J94" s="101">
        <v>0.63775510204081631</v>
      </c>
      <c r="K94" s="101">
        <v>0.63775510204081631</v>
      </c>
      <c r="L94" s="101">
        <v>0.63775510204081631</v>
      </c>
      <c r="M94" s="101">
        <v>0.63775510204081631</v>
      </c>
      <c r="N94" s="101">
        <v>0.63775510204081631</v>
      </c>
      <c r="O94" s="101">
        <v>0.63775510204081631</v>
      </c>
      <c r="P94" s="101">
        <v>0.63775510204081631</v>
      </c>
      <c r="Q94" s="101">
        <v>0.63775510204081631</v>
      </c>
      <c r="R94" s="101">
        <v>7.653061224489794</v>
      </c>
    </row>
    <row r="95" spans="1:18">
      <c r="E95" t="s">
        <v>20</v>
      </c>
      <c r="F95" s="101">
        <v>0.21258503401360546</v>
      </c>
      <c r="G95" s="101">
        <v>0.21258503401360546</v>
      </c>
      <c r="H95" s="101">
        <v>0.21258503401360546</v>
      </c>
      <c r="I95" s="101">
        <v>0.21258503401360546</v>
      </c>
      <c r="J95" s="101">
        <v>0.21258503401360546</v>
      </c>
      <c r="K95" s="101">
        <v>0.21258503401360546</v>
      </c>
      <c r="L95" s="101">
        <v>0.21258503401360546</v>
      </c>
      <c r="M95" s="101">
        <v>0.21258503401360546</v>
      </c>
      <c r="N95" s="101">
        <v>0.21258503401360546</v>
      </c>
      <c r="O95" s="101">
        <v>0.21258503401360546</v>
      </c>
      <c r="P95" s="101">
        <v>0.21258503401360546</v>
      </c>
      <c r="Q95" s="101">
        <v>0.21258503401360546</v>
      </c>
      <c r="R95" s="101">
        <v>2.5510204081632657</v>
      </c>
    </row>
    <row r="96" spans="1:18">
      <c r="E96" t="s">
        <v>24</v>
      </c>
      <c r="F96" s="101">
        <v>0.3401360544217687</v>
      </c>
      <c r="G96" s="101">
        <v>0.3401360544217687</v>
      </c>
      <c r="H96" s="101">
        <v>0.3401360544217687</v>
      </c>
      <c r="I96" s="101">
        <v>0.3401360544217687</v>
      </c>
      <c r="J96" s="101">
        <v>0.3401360544217687</v>
      </c>
      <c r="K96" s="101">
        <v>0.3401360544217687</v>
      </c>
      <c r="L96" s="101">
        <v>0.3401360544217687</v>
      </c>
      <c r="M96" s="101">
        <v>0.3401360544217687</v>
      </c>
      <c r="N96" s="101">
        <v>0.3401360544217687</v>
      </c>
      <c r="O96" s="101">
        <v>0.3401360544217687</v>
      </c>
      <c r="P96" s="101">
        <v>0.3401360544217687</v>
      </c>
      <c r="Q96" s="101">
        <v>0.3401360544217687</v>
      </c>
      <c r="R96" s="101">
        <v>4.0816326530612246</v>
      </c>
    </row>
    <row r="97" spans="3:18">
      <c r="E97" t="s">
        <v>8</v>
      </c>
      <c r="F97" s="101">
        <v>1.3605442176870748</v>
      </c>
      <c r="G97" s="101">
        <v>1.3605442176870748</v>
      </c>
      <c r="H97" s="101">
        <v>1.3605442176870748</v>
      </c>
      <c r="I97" s="101">
        <v>1.3605442176870748</v>
      </c>
      <c r="J97" s="101">
        <v>1.3605442176870748</v>
      </c>
      <c r="K97" s="101">
        <v>1.3605442176870748</v>
      </c>
      <c r="L97" s="101">
        <v>1.3605442176870748</v>
      </c>
      <c r="M97" s="101">
        <v>1.3605442176870748</v>
      </c>
      <c r="N97" s="101">
        <v>1.3605442176870748</v>
      </c>
      <c r="O97" s="101">
        <v>1.3605442176870748</v>
      </c>
      <c r="P97" s="101">
        <v>1.3605442176870748</v>
      </c>
      <c r="Q97" s="101">
        <v>1.3605442176870748</v>
      </c>
      <c r="R97" s="101">
        <v>16.326530612244902</v>
      </c>
    </row>
    <row r="98" spans="3:18">
      <c r="E98" t="s">
        <v>30</v>
      </c>
      <c r="F98" s="101">
        <v>0.21258503401360546</v>
      </c>
      <c r="G98" s="101">
        <v>0.21258503401360546</v>
      </c>
      <c r="H98" s="101">
        <v>0.21258503401360546</v>
      </c>
      <c r="I98" s="101">
        <v>0.21258503401360546</v>
      </c>
      <c r="J98" s="101">
        <v>0.21258503401360546</v>
      </c>
      <c r="K98" s="101">
        <v>0.21258503401360546</v>
      </c>
      <c r="L98" s="101">
        <v>0.21258503401360546</v>
      </c>
      <c r="M98" s="101">
        <v>0.21258503401360546</v>
      </c>
      <c r="N98" s="101">
        <v>0.21258503401360546</v>
      </c>
      <c r="O98" s="101">
        <v>0.21258503401360546</v>
      </c>
      <c r="P98" s="101">
        <v>0.21258503401360546</v>
      </c>
      <c r="Q98" s="101">
        <v>0.21258503401360546</v>
      </c>
      <c r="R98" s="101">
        <v>2.5510204081632657</v>
      </c>
    </row>
    <row r="99" spans="3:18">
      <c r="E99" t="s">
        <v>42</v>
      </c>
      <c r="F99" s="101">
        <v>0.68027210884353739</v>
      </c>
      <c r="G99" s="101">
        <v>0.68027210884353739</v>
      </c>
      <c r="H99" s="101">
        <v>0.68027210884353739</v>
      </c>
      <c r="I99" s="101">
        <v>0.68027210884353739</v>
      </c>
      <c r="J99" s="101">
        <v>0.68027210884353739</v>
      </c>
      <c r="K99" s="101">
        <v>0.68027210884353739</v>
      </c>
      <c r="L99" s="101">
        <v>0.68027210884353739</v>
      </c>
      <c r="M99" s="101">
        <v>0.68027210884353739</v>
      </c>
      <c r="N99" s="101">
        <v>0.68027210884353739</v>
      </c>
      <c r="O99" s="101">
        <v>0.68027210884353739</v>
      </c>
      <c r="P99" s="101">
        <v>0.68027210884353739</v>
      </c>
      <c r="Q99" s="101">
        <v>0.68027210884353739</v>
      </c>
      <c r="R99" s="101">
        <v>8.1632653061224492</v>
      </c>
    </row>
    <row r="100" spans="3:18">
      <c r="E100" t="s">
        <v>40</v>
      </c>
      <c r="F100" s="101">
        <v>0</v>
      </c>
      <c r="G100" s="101">
        <v>0</v>
      </c>
      <c r="H100" s="101">
        <v>0</v>
      </c>
      <c r="I100" s="101">
        <v>0</v>
      </c>
      <c r="J100" s="101">
        <v>0</v>
      </c>
      <c r="K100" s="101">
        <v>0</v>
      </c>
      <c r="L100" s="101">
        <v>0</v>
      </c>
      <c r="M100" s="101">
        <v>0</v>
      </c>
      <c r="N100" s="101">
        <v>0</v>
      </c>
      <c r="O100" s="101">
        <v>0</v>
      </c>
      <c r="P100" s="101">
        <v>0</v>
      </c>
      <c r="Q100" s="101">
        <v>0</v>
      </c>
      <c r="R100" s="101">
        <v>0</v>
      </c>
    </row>
    <row r="101" spans="3:18">
      <c r="E101" t="s">
        <v>47</v>
      </c>
      <c r="F101" s="101">
        <v>0.80782312925170074</v>
      </c>
      <c r="G101" s="101">
        <v>0.80782312925170074</v>
      </c>
      <c r="H101" s="101">
        <v>0.80782312925170074</v>
      </c>
      <c r="I101" s="101">
        <v>0.80782312925170074</v>
      </c>
      <c r="J101" s="101">
        <v>0.80782312925170074</v>
      </c>
      <c r="K101" s="101">
        <v>0.80782312925170074</v>
      </c>
      <c r="L101" s="101">
        <v>0.80782312925170074</v>
      </c>
      <c r="M101" s="101">
        <v>0.80782312925170074</v>
      </c>
      <c r="N101" s="101">
        <v>0.80782312925170074</v>
      </c>
      <c r="O101" s="101">
        <v>0.80782312925170074</v>
      </c>
      <c r="P101" s="101">
        <v>0.80782312925170074</v>
      </c>
      <c r="Q101" s="101">
        <v>0.80782312925170074</v>
      </c>
      <c r="R101" s="101">
        <v>9.6938775510204067</v>
      </c>
    </row>
    <row r="102" spans="3:18">
      <c r="C102" s="52" t="s">
        <v>419</v>
      </c>
      <c r="D102" s="52"/>
      <c r="E102" s="52"/>
      <c r="F102" s="102">
        <v>4.2517006802721085</v>
      </c>
      <c r="G102" s="102">
        <v>4.2517006802721085</v>
      </c>
      <c r="H102" s="102">
        <v>4.2517006802721085</v>
      </c>
      <c r="I102" s="102">
        <v>4.2517006802721085</v>
      </c>
      <c r="J102" s="102">
        <v>4.2517006802721085</v>
      </c>
      <c r="K102" s="102">
        <v>4.2517006802721085</v>
      </c>
      <c r="L102" s="102">
        <v>4.2517006802721085</v>
      </c>
      <c r="M102" s="102">
        <v>4.2517006802721085</v>
      </c>
      <c r="N102" s="102">
        <v>4.2517006802721085</v>
      </c>
      <c r="O102" s="102">
        <v>4.2517006802721085</v>
      </c>
      <c r="P102" s="102">
        <v>4.2517006802721085</v>
      </c>
      <c r="Q102" s="102">
        <v>4.2517006802721085</v>
      </c>
      <c r="R102" s="102">
        <v>51.020408163265309</v>
      </c>
    </row>
    <row r="103" spans="3:18">
      <c r="C103" t="s">
        <v>169</v>
      </c>
      <c r="D103" t="s">
        <v>170</v>
      </c>
      <c r="E103" t="s">
        <v>417</v>
      </c>
      <c r="F103" s="101">
        <v>0.9522687074829933</v>
      </c>
      <c r="G103" s="101">
        <v>0.9522687074829933</v>
      </c>
      <c r="H103" s="101">
        <v>0.9522687074829933</v>
      </c>
      <c r="I103" s="101">
        <v>0.9522687074829933</v>
      </c>
      <c r="J103" s="101">
        <v>0.9522687074829933</v>
      </c>
      <c r="K103" s="101">
        <v>0.9522687074829933</v>
      </c>
      <c r="L103" s="101">
        <v>0.9522687074829933</v>
      </c>
      <c r="M103" s="101">
        <v>0.9522687074829933</v>
      </c>
      <c r="N103" s="101">
        <v>0.9522687074829933</v>
      </c>
      <c r="O103" s="101">
        <v>0.9522687074829933</v>
      </c>
      <c r="P103" s="101">
        <v>0.9522687074829933</v>
      </c>
      <c r="Q103" s="101">
        <v>0.9522687074829933</v>
      </c>
      <c r="R103" s="101">
        <v>11.427224489795918</v>
      </c>
    </row>
    <row r="104" spans="3:18">
      <c r="C104" s="52" t="s">
        <v>420</v>
      </c>
      <c r="D104" s="52"/>
      <c r="E104" s="52"/>
      <c r="F104" s="102">
        <v>0.9522687074829933</v>
      </c>
      <c r="G104" s="102">
        <v>0.9522687074829933</v>
      </c>
      <c r="H104" s="102">
        <v>0.9522687074829933</v>
      </c>
      <c r="I104" s="102">
        <v>0.9522687074829933</v>
      </c>
      <c r="J104" s="102">
        <v>0.9522687074829933</v>
      </c>
      <c r="K104" s="102">
        <v>0.9522687074829933</v>
      </c>
      <c r="L104" s="102">
        <v>0.9522687074829933</v>
      </c>
      <c r="M104" s="102">
        <v>0.9522687074829933</v>
      </c>
      <c r="N104" s="102">
        <v>0.9522687074829933</v>
      </c>
      <c r="O104" s="102">
        <v>0.9522687074829933</v>
      </c>
      <c r="P104" s="102">
        <v>0.9522687074829933</v>
      </c>
      <c r="Q104" s="102">
        <v>0.9522687074829933</v>
      </c>
      <c r="R104" s="102">
        <v>11.427224489795918</v>
      </c>
    </row>
    <row r="105" spans="3:18">
      <c r="C105" t="s">
        <v>200</v>
      </c>
      <c r="D105" t="s">
        <v>201</v>
      </c>
      <c r="E105" t="s">
        <v>417</v>
      </c>
      <c r="F105" s="101">
        <v>0.20408163265306123</v>
      </c>
      <c r="G105" s="101">
        <v>0.20408163265306123</v>
      </c>
      <c r="H105" s="101">
        <v>0.20408163265306123</v>
      </c>
      <c r="I105" s="101">
        <v>0.20408163265306123</v>
      </c>
      <c r="J105" s="101">
        <v>0.20408163265306123</v>
      </c>
      <c r="K105" s="101">
        <v>0.20408163265306123</v>
      </c>
      <c r="L105" s="101">
        <v>0.20408163265306123</v>
      </c>
      <c r="M105" s="101">
        <v>0.20408163265306123</v>
      </c>
      <c r="N105" s="101">
        <v>0.20408163265306123</v>
      </c>
      <c r="O105" s="101">
        <v>0.20408163265306123</v>
      </c>
      <c r="P105" s="101">
        <v>0.20408163265306123</v>
      </c>
      <c r="Q105" s="101">
        <v>0.20408163265306123</v>
      </c>
      <c r="R105" s="101">
        <v>2.4489795918367347</v>
      </c>
    </row>
    <row r="106" spans="3:18">
      <c r="C106" s="52" t="s">
        <v>421</v>
      </c>
      <c r="D106" s="52"/>
      <c r="E106" s="52"/>
      <c r="F106" s="102">
        <v>0.20408163265306123</v>
      </c>
      <c r="G106" s="102">
        <v>0.20408163265306123</v>
      </c>
      <c r="H106" s="102">
        <v>0.20408163265306123</v>
      </c>
      <c r="I106" s="102">
        <v>0.20408163265306123</v>
      </c>
      <c r="J106" s="102">
        <v>0.20408163265306123</v>
      </c>
      <c r="K106" s="102">
        <v>0.20408163265306123</v>
      </c>
      <c r="L106" s="102">
        <v>0.20408163265306123</v>
      </c>
      <c r="M106" s="102">
        <v>0.20408163265306123</v>
      </c>
      <c r="N106" s="102">
        <v>0.20408163265306123</v>
      </c>
      <c r="O106" s="102">
        <v>0.20408163265306123</v>
      </c>
      <c r="P106" s="102">
        <v>0.20408163265306123</v>
      </c>
      <c r="Q106" s="102">
        <v>0.20408163265306123</v>
      </c>
      <c r="R106" s="102">
        <v>2.4489795918367347</v>
      </c>
    </row>
    <row r="107" spans="3:18">
      <c r="C107" t="s">
        <v>202</v>
      </c>
      <c r="D107" t="s">
        <v>203</v>
      </c>
      <c r="E107" t="s">
        <v>417</v>
      </c>
      <c r="F107" s="101">
        <v>4.0816326530612242E-2</v>
      </c>
      <c r="G107" s="101">
        <v>4.0816326530612242E-2</v>
      </c>
      <c r="H107" s="101">
        <v>4.0816326530612242E-2</v>
      </c>
      <c r="I107" s="101">
        <v>4.0816326530612242E-2</v>
      </c>
      <c r="J107" s="101">
        <v>4.0816326530612242E-2</v>
      </c>
      <c r="K107" s="101">
        <v>4.0816326530612242E-2</v>
      </c>
      <c r="L107" s="101">
        <v>4.0816326530612242E-2</v>
      </c>
      <c r="M107" s="101">
        <v>4.0816326530612242E-2</v>
      </c>
      <c r="N107" s="101">
        <v>4.0816326530612242E-2</v>
      </c>
      <c r="O107" s="101">
        <v>4.0816326530612242E-2</v>
      </c>
      <c r="P107" s="101">
        <v>4.0816326530612242E-2</v>
      </c>
      <c r="Q107" s="101">
        <v>4.0816326530612242E-2</v>
      </c>
      <c r="R107" s="101">
        <v>0.48979591836734687</v>
      </c>
    </row>
    <row r="108" spans="3:18">
      <c r="C108" s="52" t="s">
        <v>422</v>
      </c>
      <c r="D108" s="52"/>
      <c r="E108" s="52"/>
      <c r="F108" s="102">
        <v>4.0816326530612242E-2</v>
      </c>
      <c r="G108" s="102">
        <v>4.0816326530612242E-2</v>
      </c>
      <c r="H108" s="102">
        <v>4.0816326530612242E-2</v>
      </c>
      <c r="I108" s="102">
        <v>4.0816326530612242E-2</v>
      </c>
      <c r="J108" s="102">
        <v>4.0816326530612242E-2</v>
      </c>
      <c r="K108" s="102">
        <v>4.0816326530612242E-2</v>
      </c>
      <c r="L108" s="102">
        <v>4.0816326530612242E-2</v>
      </c>
      <c r="M108" s="102">
        <v>4.0816326530612242E-2</v>
      </c>
      <c r="N108" s="102">
        <v>4.0816326530612242E-2</v>
      </c>
      <c r="O108" s="102">
        <v>4.0816326530612242E-2</v>
      </c>
      <c r="P108" s="102">
        <v>4.0816326530612242E-2</v>
      </c>
      <c r="Q108" s="102">
        <v>4.0816326530612242E-2</v>
      </c>
      <c r="R108" s="102">
        <v>0.48979591836734687</v>
      </c>
    </row>
    <row r="109" spans="3:18">
      <c r="C109" t="s">
        <v>171</v>
      </c>
      <c r="D109" t="s">
        <v>172</v>
      </c>
      <c r="E109" t="s">
        <v>26</v>
      </c>
      <c r="F109" s="101">
        <v>0.51020408163265307</v>
      </c>
      <c r="G109" s="101">
        <v>0.51020408163265307</v>
      </c>
      <c r="H109" s="101">
        <v>0.51020408163265307</v>
      </c>
      <c r="I109" s="101">
        <v>0.51020408163265307</v>
      </c>
      <c r="J109" s="101">
        <v>0.51020408163265307</v>
      </c>
      <c r="K109" s="101">
        <v>0.51020408163265307</v>
      </c>
      <c r="L109" s="101">
        <v>0.51020408163265307</v>
      </c>
      <c r="M109" s="101">
        <v>0.51020408163265307</v>
      </c>
      <c r="N109" s="101">
        <v>0.51020408163265307</v>
      </c>
      <c r="O109" s="101">
        <v>0.51020408163265307</v>
      </c>
      <c r="P109" s="101">
        <v>0.51020408163265307</v>
      </c>
      <c r="Q109" s="101">
        <v>0.51020408163265307</v>
      </c>
      <c r="R109" s="101">
        <v>6.1224489795918382</v>
      </c>
    </row>
    <row r="110" spans="3:18">
      <c r="E110" t="s">
        <v>20</v>
      </c>
      <c r="F110" s="101">
        <v>0.51020408163265307</v>
      </c>
      <c r="G110" s="101">
        <v>0.51020408163265307</v>
      </c>
      <c r="H110" s="101">
        <v>0.51020408163265307</v>
      </c>
      <c r="I110" s="101">
        <v>0.51020408163265307</v>
      </c>
      <c r="J110" s="101">
        <v>0.51020408163265307</v>
      </c>
      <c r="K110" s="101">
        <v>0.51020408163265307</v>
      </c>
      <c r="L110" s="101">
        <v>0.51020408163265307</v>
      </c>
      <c r="M110" s="101">
        <v>0.51020408163265307</v>
      </c>
      <c r="N110" s="101">
        <v>0.51020408163265307</v>
      </c>
      <c r="O110" s="101">
        <v>0.51020408163265307</v>
      </c>
      <c r="P110" s="101">
        <v>0.51020408163265307</v>
      </c>
      <c r="Q110" s="101">
        <v>0.51020408163265307</v>
      </c>
      <c r="R110" s="101">
        <v>6.1224489795918382</v>
      </c>
    </row>
    <row r="111" spans="3:18">
      <c r="E111" t="s">
        <v>8</v>
      </c>
      <c r="F111" s="101">
        <v>0.51020408163265307</v>
      </c>
      <c r="G111" s="101">
        <v>0.51020408163265307</v>
      </c>
      <c r="H111" s="101">
        <v>0.51020408163265307</v>
      </c>
      <c r="I111" s="101">
        <v>0.51020408163265307</v>
      </c>
      <c r="J111" s="101">
        <v>0.51020408163265307</v>
      </c>
      <c r="K111" s="101">
        <v>0.51020408163265307</v>
      </c>
      <c r="L111" s="101">
        <v>0.51020408163265307</v>
      </c>
      <c r="M111" s="101">
        <v>0.51020408163265307</v>
      </c>
      <c r="N111" s="101">
        <v>0.51020408163265307</v>
      </c>
      <c r="O111" s="101">
        <v>0.51020408163265307</v>
      </c>
      <c r="P111" s="101">
        <v>0.51020408163265307</v>
      </c>
      <c r="Q111" s="101">
        <v>0.51020408163265307</v>
      </c>
      <c r="R111" s="101">
        <v>6.1224489795918382</v>
      </c>
    </row>
    <row r="112" spans="3:18">
      <c r="E112" t="s">
        <v>30</v>
      </c>
      <c r="F112" s="101">
        <v>0.51020408163265307</v>
      </c>
      <c r="G112" s="101">
        <v>0.51020408163265307</v>
      </c>
      <c r="H112" s="101">
        <v>0.51020408163265307</v>
      </c>
      <c r="I112" s="101">
        <v>0.51020408163265307</v>
      </c>
      <c r="J112" s="101">
        <v>0.51020408163265307</v>
      </c>
      <c r="K112" s="101">
        <v>0.51020408163265307</v>
      </c>
      <c r="L112" s="101">
        <v>0.51020408163265307</v>
      </c>
      <c r="M112" s="101">
        <v>0.51020408163265307</v>
      </c>
      <c r="N112" s="101">
        <v>0.51020408163265307</v>
      </c>
      <c r="O112" s="101">
        <v>0.51020408163265307</v>
      </c>
      <c r="P112" s="101">
        <v>0.51020408163265307</v>
      </c>
      <c r="Q112" s="101">
        <v>0.51020408163265307</v>
      </c>
      <c r="R112" s="101">
        <v>6.1224489795918382</v>
      </c>
    </row>
    <row r="113" spans="2:18">
      <c r="E113" t="s">
        <v>42</v>
      </c>
      <c r="F113" s="101">
        <v>0.51020408163265307</v>
      </c>
      <c r="G113" s="101">
        <v>0.51020408163265307</v>
      </c>
      <c r="H113" s="101">
        <v>0.51020408163265307</v>
      </c>
      <c r="I113" s="101">
        <v>0.51020408163265307</v>
      </c>
      <c r="J113" s="101">
        <v>0.51020408163265307</v>
      </c>
      <c r="K113" s="101">
        <v>0.51020408163265307</v>
      </c>
      <c r="L113" s="101">
        <v>0.51020408163265307</v>
      </c>
      <c r="M113" s="101">
        <v>0.51020408163265307</v>
      </c>
      <c r="N113" s="101">
        <v>0.51020408163265307</v>
      </c>
      <c r="O113" s="101">
        <v>0.51020408163265307</v>
      </c>
      <c r="P113" s="101">
        <v>0.51020408163265307</v>
      </c>
      <c r="Q113" s="101">
        <v>0.51020408163265307</v>
      </c>
      <c r="R113" s="101">
        <v>6.1224489795918382</v>
      </c>
    </row>
    <row r="114" spans="2:18">
      <c r="E114" t="s">
        <v>40</v>
      </c>
      <c r="F114" s="101">
        <v>0</v>
      </c>
      <c r="G114" s="101">
        <v>0</v>
      </c>
      <c r="H114" s="101">
        <v>0</v>
      </c>
      <c r="I114" s="101">
        <v>0</v>
      </c>
      <c r="J114" s="101">
        <v>0</v>
      </c>
      <c r="K114" s="101">
        <v>0</v>
      </c>
      <c r="L114" s="101">
        <v>0</v>
      </c>
      <c r="M114" s="101">
        <v>0</v>
      </c>
      <c r="N114" s="101">
        <v>0</v>
      </c>
      <c r="O114" s="101">
        <v>0</v>
      </c>
      <c r="P114" s="101">
        <v>0</v>
      </c>
      <c r="Q114" s="101">
        <v>0</v>
      </c>
      <c r="R114" s="101">
        <v>0</v>
      </c>
    </row>
    <row r="115" spans="2:18">
      <c r="E115" t="s">
        <v>47</v>
      </c>
      <c r="F115" s="101">
        <v>0.51020408163265307</v>
      </c>
      <c r="G115" s="101">
        <v>0.51020408163265307</v>
      </c>
      <c r="H115" s="101">
        <v>0.51020408163265307</v>
      </c>
      <c r="I115" s="101">
        <v>0.51020408163265307</v>
      </c>
      <c r="J115" s="101">
        <v>0.51020408163265307</v>
      </c>
      <c r="K115" s="101">
        <v>0.51020408163265307</v>
      </c>
      <c r="L115" s="101">
        <v>0.51020408163265307</v>
      </c>
      <c r="M115" s="101">
        <v>0.51020408163265307</v>
      </c>
      <c r="N115" s="101">
        <v>0.51020408163265307</v>
      </c>
      <c r="O115" s="101">
        <v>0.51020408163265307</v>
      </c>
      <c r="P115" s="101">
        <v>0.51020408163265307</v>
      </c>
      <c r="Q115" s="101">
        <v>0.51020408163265307</v>
      </c>
      <c r="R115" s="101">
        <v>6.1224489795918382</v>
      </c>
    </row>
    <row r="116" spans="2:18">
      <c r="C116" s="52" t="s">
        <v>423</v>
      </c>
      <c r="D116" s="52"/>
      <c r="E116" s="52"/>
      <c r="F116" s="102">
        <v>3.0612244897959182</v>
      </c>
      <c r="G116" s="102">
        <v>3.0612244897959182</v>
      </c>
      <c r="H116" s="102">
        <v>3.0612244897959182</v>
      </c>
      <c r="I116" s="102">
        <v>3.0612244897959182</v>
      </c>
      <c r="J116" s="102">
        <v>3.0612244897959182</v>
      </c>
      <c r="K116" s="102">
        <v>3.0612244897959182</v>
      </c>
      <c r="L116" s="102">
        <v>3.0612244897959182</v>
      </c>
      <c r="M116" s="102">
        <v>3.0612244897959182</v>
      </c>
      <c r="N116" s="102">
        <v>3.0612244897959182</v>
      </c>
      <c r="O116" s="102">
        <v>3.0612244897959182</v>
      </c>
      <c r="P116" s="102">
        <v>3.0612244897959182</v>
      </c>
      <c r="Q116" s="102">
        <v>3.0612244897959182</v>
      </c>
      <c r="R116" s="102">
        <v>36.734693877551031</v>
      </c>
    </row>
    <row r="117" spans="2:18">
      <c r="C117" t="s">
        <v>112</v>
      </c>
      <c r="D117" t="s">
        <v>113</v>
      </c>
      <c r="E117" t="s">
        <v>8</v>
      </c>
      <c r="F117" s="101">
        <v>2.3809523809523809</v>
      </c>
      <c r="G117" s="101">
        <v>2.3809523809523809</v>
      </c>
      <c r="H117" s="101">
        <v>2.3809523809523809</v>
      </c>
      <c r="I117" s="101">
        <v>2.3809523809523809</v>
      </c>
      <c r="J117" s="101">
        <v>2.3809523809523809</v>
      </c>
      <c r="K117" s="101">
        <v>2.3809523809523809</v>
      </c>
      <c r="L117" s="101">
        <v>2.3809523809523809</v>
      </c>
      <c r="M117" s="101">
        <v>2.3809523809523809</v>
      </c>
      <c r="N117" s="101">
        <v>2.3809523809523809</v>
      </c>
      <c r="O117" s="101">
        <v>2.3809523809523809</v>
      </c>
      <c r="P117" s="101">
        <v>2.3809523809523809</v>
      </c>
      <c r="Q117" s="101">
        <v>2.3809523809523809</v>
      </c>
      <c r="R117" s="101">
        <v>28.571428571428566</v>
      </c>
    </row>
    <row r="118" spans="2:18">
      <c r="C118" s="52" t="s">
        <v>424</v>
      </c>
      <c r="D118" s="52"/>
      <c r="E118" s="52"/>
      <c r="F118" s="102">
        <v>2.3809523809523809</v>
      </c>
      <c r="G118" s="102">
        <v>2.3809523809523809</v>
      </c>
      <c r="H118" s="102">
        <v>2.3809523809523809</v>
      </c>
      <c r="I118" s="102">
        <v>2.3809523809523809</v>
      </c>
      <c r="J118" s="102">
        <v>2.3809523809523809</v>
      </c>
      <c r="K118" s="102">
        <v>2.3809523809523809</v>
      </c>
      <c r="L118" s="102">
        <v>2.3809523809523809</v>
      </c>
      <c r="M118" s="102">
        <v>2.3809523809523809</v>
      </c>
      <c r="N118" s="102">
        <v>2.3809523809523809</v>
      </c>
      <c r="O118" s="102">
        <v>2.3809523809523809</v>
      </c>
      <c r="P118" s="102">
        <v>2.3809523809523809</v>
      </c>
      <c r="Q118" s="102">
        <v>2.3809523809523809</v>
      </c>
      <c r="R118" s="102">
        <v>28.571428571428566</v>
      </c>
    </row>
    <row r="119" spans="2:18">
      <c r="B119" s="53" t="s">
        <v>388</v>
      </c>
      <c r="C119" s="53"/>
      <c r="D119" s="53"/>
      <c r="E119" s="53"/>
      <c r="F119" s="103">
        <v>22.285602040816336</v>
      </c>
      <c r="G119" s="103">
        <v>22.285602040816336</v>
      </c>
      <c r="H119" s="103">
        <v>22.285602040816336</v>
      </c>
      <c r="I119" s="103">
        <v>22.285602040816336</v>
      </c>
      <c r="J119" s="103">
        <v>22.285602040816336</v>
      </c>
      <c r="K119" s="103">
        <v>22.285602040816336</v>
      </c>
      <c r="L119" s="103">
        <v>22.285602040816336</v>
      </c>
      <c r="M119" s="103">
        <v>22.285602040816336</v>
      </c>
      <c r="N119" s="103">
        <v>22.285602040816336</v>
      </c>
      <c r="O119" s="103">
        <v>22.285602040816336</v>
      </c>
      <c r="P119" s="103">
        <v>22.285602040816336</v>
      </c>
      <c r="Q119" s="103">
        <v>22.285602040816336</v>
      </c>
      <c r="R119" s="103">
        <v>267.42722448979589</v>
      </c>
    </row>
    <row r="120" spans="2:18">
      <c r="B120" t="s">
        <v>158</v>
      </c>
      <c r="C120" t="s">
        <v>156</v>
      </c>
      <c r="D120" t="s">
        <v>157</v>
      </c>
      <c r="E120" t="s">
        <v>26</v>
      </c>
      <c r="F120" s="101">
        <v>0.98651580547965922</v>
      </c>
      <c r="G120" s="101">
        <v>0.98651580547965922</v>
      </c>
      <c r="H120" s="101">
        <v>0.98651580547965922</v>
      </c>
      <c r="I120" s="101">
        <v>0.98651580547965922</v>
      </c>
      <c r="J120" s="101">
        <v>0.98651580547965922</v>
      </c>
      <c r="K120" s="101">
        <v>0.98651580547965922</v>
      </c>
      <c r="L120" s="101">
        <v>0.98651580547965922</v>
      </c>
      <c r="M120" s="101">
        <v>0.98651580547965922</v>
      </c>
      <c r="N120" s="101">
        <v>0.98651580547965922</v>
      </c>
      <c r="O120" s="101">
        <v>0.98651580547965922</v>
      </c>
      <c r="P120" s="101">
        <v>0.98651580547965922</v>
      </c>
      <c r="Q120" s="101">
        <v>0.98651580547965922</v>
      </c>
      <c r="R120" s="101">
        <v>11.838189665755907</v>
      </c>
    </row>
    <row r="121" spans="2:18">
      <c r="E121" t="s">
        <v>20</v>
      </c>
      <c r="F121" s="101">
        <v>0.53809953026163226</v>
      </c>
      <c r="G121" s="101">
        <v>0.53809953026163226</v>
      </c>
      <c r="H121" s="101">
        <v>0.53809953026163226</v>
      </c>
      <c r="I121" s="101">
        <v>0.53809953026163226</v>
      </c>
      <c r="J121" s="101">
        <v>0.53809953026163226</v>
      </c>
      <c r="K121" s="101">
        <v>0.53809953026163226</v>
      </c>
      <c r="L121" s="101">
        <v>0.53809953026163226</v>
      </c>
      <c r="M121" s="101">
        <v>0.53809953026163226</v>
      </c>
      <c r="N121" s="101">
        <v>0.53809953026163226</v>
      </c>
      <c r="O121" s="101">
        <v>0.53809953026163226</v>
      </c>
      <c r="P121" s="101">
        <v>0.53809953026163226</v>
      </c>
      <c r="Q121" s="101">
        <v>0.53809953026163226</v>
      </c>
      <c r="R121" s="101">
        <v>6.4571943631395889</v>
      </c>
    </row>
    <row r="122" spans="2:18">
      <c r="E122" t="s">
        <v>24</v>
      </c>
      <c r="F122" s="101">
        <v>0.14349320806976862</v>
      </c>
      <c r="G122" s="101">
        <v>0.14349320806976862</v>
      </c>
      <c r="H122" s="101">
        <v>0.14349320806976862</v>
      </c>
      <c r="I122" s="101">
        <v>0.14349320806976862</v>
      </c>
      <c r="J122" s="101">
        <v>0.14349320806976862</v>
      </c>
      <c r="K122" s="101">
        <v>0.14349320806976862</v>
      </c>
      <c r="L122" s="101">
        <v>0.14349320806976862</v>
      </c>
      <c r="M122" s="101">
        <v>0.14349320806976862</v>
      </c>
      <c r="N122" s="101">
        <v>0.14349320806976862</v>
      </c>
      <c r="O122" s="101">
        <v>0.14349320806976862</v>
      </c>
      <c r="P122" s="101">
        <v>0.14349320806976862</v>
      </c>
      <c r="Q122" s="101">
        <v>0.14349320806976862</v>
      </c>
      <c r="R122" s="101">
        <v>1.7219184968372234</v>
      </c>
    </row>
    <row r="123" spans="2:18">
      <c r="E123" t="s">
        <v>8</v>
      </c>
      <c r="F123" s="101">
        <v>1.7936651008721076</v>
      </c>
      <c r="G123" s="101">
        <v>1.7936651008721076</v>
      </c>
      <c r="H123" s="101">
        <v>1.7936651008721076</v>
      </c>
      <c r="I123" s="101">
        <v>1.7936651008721076</v>
      </c>
      <c r="J123" s="101">
        <v>1.7936651008721076</v>
      </c>
      <c r="K123" s="101">
        <v>1.7936651008721076</v>
      </c>
      <c r="L123" s="101">
        <v>1.7936651008721076</v>
      </c>
      <c r="M123" s="101">
        <v>1.7936651008721076</v>
      </c>
      <c r="N123" s="101">
        <v>1.7936651008721076</v>
      </c>
      <c r="O123" s="101">
        <v>1.7936651008721076</v>
      </c>
      <c r="P123" s="101">
        <v>1.7936651008721076</v>
      </c>
      <c r="Q123" s="101">
        <v>1.7936651008721076</v>
      </c>
      <c r="R123" s="101">
        <v>21.523981210465291</v>
      </c>
    </row>
    <row r="124" spans="2:18">
      <c r="E124" t="s">
        <v>30</v>
      </c>
      <c r="F124" s="101">
        <v>0.39460632219186376</v>
      </c>
      <c r="G124" s="101">
        <v>0.39460632219186376</v>
      </c>
      <c r="H124" s="101">
        <v>0.39460632219186376</v>
      </c>
      <c r="I124" s="101">
        <v>0.39460632219186376</v>
      </c>
      <c r="J124" s="101">
        <v>0.39460632219186376</v>
      </c>
      <c r="K124" s="101">
        <v>0.39460632219186376</v>
      </c>
      <c r="L124" s="101">
        <v>0.39460632219186376</v>
      </c>
      <c r="M124" s="101">
        <v>0.39460632219186376</v>
      </c>
      <c r="N124" s="101">
        <v>0.39460632219186376</v>
      </c>
      <c r="O124" s="101">
        <v>0.39460632219186376</v>
      </c>
      <c r="P124" s="101">
        <v>0.39460632219186376</v>
      </c>
      <c r="Q124" s="101">
        <v>0.39460632219186376</v>
      </c>
      <c r="R124" s="101">
        <v>4.7352758663023655</v>
      </c>
    </row>
    <row r="125" spans="2:18">
      <c r="E125" t="s">
        <v>42</v>
      </c>
      <c r="F125" s="101">
        <v>0.44841627521802691</v>
      </c>
      <c r="G125" s="101">
        <v>0.44841627521802691</v>
      </c>
      <c r="H125" s="101">
        <v>0.44841627521802691</v>
      </c>
      <c r="I125" s="101">
        <v>0.44841627521802691</v>
      </c>
      <c r="J125" s="101">
        <v>0.44841627521802691</v>
      </c>
      <c r="K125" s="101">
        <v>0.44841627521802691</v>
      </c>
      <c r="L125" s="101">
        <v>0.44841627521802691</v>
      </c>
      <c r="M125" s="101">
        <v>0.44841627521802691</v>
      </c>
      <c r="N125" s="101">
        <v>0.44841627521802691</v>
      </c>
      <c r="O125" s="101">
        <v>0.44841627521802691</v>
      </c>
      <c r="P125" s="101">
        <v>0.44841627521802691</v>
      </c>
      <c r="Q125" s="101">
        <v>0.44841627521802691</v>
      </c>
      <c r="R125" s="101">
        <v>5.3809953026163226</v>
      </c>
    </row>
    <row r="126" spans="2:18">
      <c r="E126" t="s">
        <v>47</v>
      </c>
      <c r="F126" s="101">
        <v>0.26904976513081613</v>
      </c>
      <c r="G126" s="101">
        <v>0.26904976513081613</v>
      </c>
      <c r="H126" s="101">
        <v>0.26904976513081613</v>
      </c>
      <c r="I126" s="101">
        <v>0.26904976513081613</v>
      </c>
      <c r="J126" s="101">
        <v>0.26904976513081613</v>
      </c>
      <c r="K126" s="101">
        <v>0.26904976513081613</v>
      </c>
      <c r="L126" s="101">
        <v>0.26904976513081613</v>
      </c>
      <c r="M126" s="101">
        <v>0.26904976513081613</v>
      </c>
      <c r="N126" s="101">
        <v>0.26904976513081613</v>
      </c>
      <c r="O126" s="101">
        <v>0.26904976513081613</v>
      </c>
      <c r="P126" s="101">
        <v>0.26904976513081613</v>
      </c>
      <c r="Q126" s="101">
        <v>0.26904976513081613</v>
      </c>
      <c r="R126" s="101">
        <v>3.2285971815697945</v>
      </c>
    </row>
    <row r="127" spans="2:18">
      <c r="E127" t="s">
        <v>417</v>
      </c>
      <c r="F127" s="101">
        <v>1.4349320806976862</v>
      </c>
      <c r="G127" s="101">
        <v>1.4349320806976862</v>
      </c>
      <c r="H127" s="101">
        <v>1.4349320806976862</v>
      </c>
      <c r="I127" s="101">
        <v>1.4349320806976862</v>
      </c>
      <c r="J127" s="101">
        <v>1.4349320806976862</v>
      </c>
      <c r="K127" s="101">
        <v>1.4349320806976862</v>
      </c>
      <c r="L127" s="101">
        <v>1.4349320806976862</v>
      </c>
      <c r="M127" s="101">
        <v>1.4349320806976862</v>
      </c>
      <c r="N127" s="101">
        <v>1.4349320806976862</v>
      </c>
      <c r="O127" s="101">
        <v>1.4349320806976862</v>
      </c>
      <c r="P127" s="101">
        <v>1.4349320806976862</v>
      </c>
      <c r="Q127" s="101">
        <v>1.4349320806976862</v>
      </c>
      <c r="R127" s="101">
        <v>17.219184968372236</v>
      </c>
    </row>
    <row r="128" spans="2:18">
      <c r="C128" s="52" t="s">
        <v>425</v>
      </c>
      <c r="D128" s="52"/>
      <c r="E128" s="52"/>
      <c r="F128" s="102">
        <v>6.0087780879215611</v>
      </c>
      <c r="G128" s="102">
        <v>6.0087780879215611</v>
      </c>
      <c r="H128" s="102">
        <v>6.0087780879215611</v>
      </c>
      <c r="I128" s="102">
        <v>6.0087780879215611</v>
      </c>
      <c r="J128" s="102">
        <v>6.0087780879215611</v>
      </c>
      <c r="K128" s="102">
        <v>6.0087780879215611</v>
      </c>
      <c r="L128" s="102">
        <v>6.0087780879215611</v>
      </c>
      <c r="M128" s="102">
        <v>6.0087780879215611</v>
      </c>
      <c r="N128" s="102">
        <v>6.0087780879215611</v>
      </c>
      <c r="O128" s="102">
        <v>6.0087780879215611</v>
      </c>
      <c r="P128" s="102">
        <v>6.0087780879215611</v>
      </c>
      <c r="Q128" s="102">
        <v>6.0087780879215611</v>
      </c>
      <c r="R128" s="102">
        <v>72.105337055058726</v>
      </c>
    </row>
    <row r="129" spans="2:18">
      <c r="B129" s="53" t="s">
        <v>390</v>
      </c>
      <c r="C129" s="53"/>
      <c r="D129" s="53"/>
      <c r="E129" s="53"/>
      <c r="F129" s="103">
        <v>6.0087780879215611</v>
      </c>
      <c r="G129" s="103">
        <v>6.0087780879215611</v>
      </c>
      <c r="H129" s="103">
        <v>6.0087780879215611</v>
      </c>
      <c r="I129" s="103">
        <v>6.0087780879215611</v>
      </c>
      <c r="J129" s="103">
        <v>6.0087780879215611</v>
      </c>
      <c r="K129" s="103">
        <v>6.0087780879215611</v>
      </c>
      <c r="L129" s="103">
        <v>6.0087780879215611</v>
      </c>
      <c r="M129" s="103">
        <v>6.0087780879215611</v>
      </c>
      <c r="N129" s="103">
        <v>6.0087780879215611</v>
      </c>
      <c r="O129" s="103">
        <v>6.0087780879215611</v>
      </c>
      <c r="P129" s="103">
        <v>6.0087780879215611</v>
      </c>
      <c r="Q129" s="103">
        <v>6.0087780879215611</v>
      </c>
      <c r="R129" s="103">
        <v>72.105337055058726</v>
      </c>
    </row>
    <row r="130" spans="2:18">
      <c r="B130" t="s">
        <v>175</v>
      </c>
      <c r="C130" t="s">
        <v>173</v>
      </c>
      <c r="D130" t="s">
        <v>174</v>
      </c>
      <c r="E130" t="s">
        <v>26</v>
      </c>
      <c r="F130" s="101">
        <v>1.870748299319728</v>
      </c>
      <c r="G130" s="101">
        <v>1.870748299319728</v>
      </c>
      <c r="H130" s="101">
        <v>1.870748299319728</v>
      </c>
      <c r="I130" s="101">
        <v>1.870748299319728</v>
      </c>
      <c r="J130" s="101">
        <v>1.870748299319728</v>
      </c>
      <c r="K130" s="101">
        <v>1.870748299319728</v>
      </c>
      <c r="L130" s="101">
        <v>1.870748299319728</v>
      </c>
      <c r="M130" s="101">
        <v>1.870748299319728</v>
      </c>
      <c r="N130" s="101">
        <v>1.870748299319728</v>
      </c>
      <c r="O130" s="101">
        <v>1.870748299319728</v>
      </c>
      <c r="P130" s="101">
        <v>1.870748299319728</v>
      </c>
      <c r="Q130" s="101">
        <v>1.870748299319728</v>
      </c>
      <c r="R130" s="101">
        <v>22.448979591836743</v>
      </c>
    </row>
    <row r="131" spans="2:18">
      <c r="E131" t="s">
        <v>20</v>
      </c>
      <c r="F131" s="101">
        <v>1.7006802721088436</v>
      </c>
      <c r="G131" s="101">
        <v>1.7006802721088436</v>
      </c>
      <c r="H131" s="101">
        <v>1.7006802721088436</v>
      </c>
      <c r="I131" s="101">
        <v>1.7006802721088436</v>
      </c>
      <c r="J131" s="101">
        <v>1.7006802721088436</v>
      </c>
      <c r="K131" s="101">
        <v>1.7006802721088436</v>
      </c>
      <c r="L131" s="101">
        <v>1.7006802721088436</v>
      </c>
      <c r="M131" s="101">
        <v>1.7006802721088436</v>
      </c>
      <c r="N131" s="101">
        <v>1.7006802721088436</v>
      </c>
      <c r="O131" s="101">
        <v>1.7006802721088436</v>
      </c>
      <c r="P131" s="101">
        <v>1.7006802721088436</v>
      </c>
      <c r="Q131" s="101">
        <v>1.7006802721088436</v>
      </c>
      <c r="R131" s="101">
        <v>20.408163265306126</v>
      </c>
    </row>
    <row r="132" spans="2:18">
      <c r="E132" t="s">
        <v>8</v>
      </c>
      <c r="F132" s="101">
        <v>3.0612244897959182</v>
      </c>
      <c r="G132" s="101">
        <v>3.0612244897959182</v>
      </c>
      <c r="H132" s="101">
        <v>3.0612244897959182</v>
      </c>
      <c r="I132" s="101">
        <v>3.0612244897959182</v>
      </c>
      <c r="J132" s="101">
        <v>3.0612244897959182</v>
      </c>
      <c r="K132" s="101">
        <v>3.0612244897959182</v>
      </c>
      <c r="L132" s="101">
        <v>3.0612244897959182</v>
      </c>
      <c r="M132" s="101">
        <v>3.0612244897959182</v>
      </c>
      <c r="N132" s="101">
        <v>3.0612244897959182</v>
      </c>
      <c r="O132" s="101">
        <v>3.0612244897959182</v>
      </c>
      <c r="P132" s="101">
        <v>3.0612244897959182</v>
      </c>
      <c r="Q132" s="101">
        <v>3.0612244897959182</v>
      </c>
      <c r="R132" s="101">
        <v>36.734693877551017</v>
      </c>
    </row>
    <row r="133" spans="2:18">
      <c r="E133" t="s">
        <v>30</v>
      </c>
      <c r="F133" s="101">
        <v>2.0408163265306123</v>
      </c>
      <c r="G133" s="101">
        <v>2.0408163265306123</v>
      </c>
      <c r="H133" s="101">
        <v>2.0408163265306123</v>
      </c>
      <c r="I133" s="101">
        <v>2.0408163265306123</v>
      </c>
      <c r="J133" s="101">
        <v>2.0408163265306123</v>
      </c>
      <c r="K133" s="101">
        <v>2.0408163265306123</v>
      </c>
      <c r="L133" s="101">
        <v>2.0408163265306123</v>
      </c>
      <c r="M133" s="101">
        <v>2.0408163265306123</v>
      </c>
      <c r="N133" s="101">
        <v>2.0408163265306123</v>
      </c>
      <c r="O133" s="101">
        <v>2.0408163265306123</v>
      </c>
      <c r="P133" s="101">
        <v>2.0408163265306123</v>
      </c>
      <c r="Q133" s="101">
        <v>2.0408163265306123</v>
      </c>
      <c r="R133" s="101">
        <v>24.489795918367353</v>
      </c>
    </row>
    <row r="134" spans="2:18">
      <c r="E134" t="s">
        <v>42</v>
      </c>
      <c r="F134" s="101">
        <v>1.0204081632653061</v>
      </c>
      <c r="G134" s="101">
        <v>1.0204081632653061</v>
      </c>
      <c r="H134" s="101">
        <v>1.0204081632653061</v>
      </c>
      <c r="I134" s="101">
        <v>1.0204081632653061</v>
      </c>
      <c r="J134" s="101">
        <v>1.0204081632653061</v>
      </c>
      <c r="K134" s="101">
        <v>1.0204081632653061</v>
      </c>
      <c r="L134" s="101">
        <v>1.0204081632653061</v>
      </c>
      <c r="M134" s="101">
        <v>1.0204081632653061</v>
      </c>
      <c r="N134" s="101">
        <v>1.0204081632653061</v>
      </c>
      <c r="O134" s="101">
        <v>1.0204081632653061</v>
      </c>
      <c r="P134" s="101">
        <v>1.0204081632653061</v>
      </c>
      <c r="Q134" s="101">
        <v>1.0204081632653061</v>
      </c>
      <c r="R134" s="101">
        <v>12.244897959183676</v>
      </c>
    </row>
    <row r="135" spans="2:18">
      <c r="E135" t="s">
        <v>40</v>
      </c>
      <c r="F135" s="101">
        <v>1.0204081632653061</v>
      </c>
      <c r="G135" s="101">
        <v>1.0204081632653061</v>
      </c>
      <c r="H135" s="101">
        <v>1.0204081632653061</v>
      </c>
      <c r="I135" s="101">
        <v>1.0204081632653061</v>
      </c>
      <c r="J135" s="101">
        <v>1.0204081632653061</v>
      </c>
      <c r="K135" s="101">
        <v>1.0204081632653061</v>
      </c>
      <c r="L135" s="101">
        <v>1.0204081632653061</v>
      </c>
      <c r="M135" s="101">
        <v>1.0204081632653061</v>
      </c>
      <c r="N135" s="101">
        <v>1.0204081632653061</v>
      </c>
      <c r="O135" s="101">
        <v>1.0204081632653061</v>
      </c>
      <c r="P135" s="101">
        <v>1.0204081632653061</v>
      </c>
      <c r="Q135" s="101">
        <v>1.0204081632653061</v>
      </c>
      <c r="R135" s="101">
        <v>12.244897959183676</v>
      </c>
    </row>
    <row r="136" spans="2:18">
      <c r="E136" t="s">
        <v>47</v>
      </c>
      <c r="F136" s="101">
        <v>0</v>
      </c>
      <c r="G136" s="101">
        <v>0</v>
      </c>
      <c r="H136" s="101">
        <v>0</v>
      </c>
      <c r="I136" s="101">
        <v>0</v>
      </c>
      <c r="J136" s="101">
        <v>0</v>
      </c>
      <c r="K136" s="101">
        <v>0</v>
      </c>
      <c r="L136" s="101">
        <v>0</v>
      </c>
      <c r="M136" s="101">
        <v>0</v>
      </c>
      <c r="N136" s="101">
        <v>0</v>
      </c>
      <c r="O136" s="101">
        <v>0</v>
      </c>
      <c r="P136" s="101">
        <v>0</v>
      </c>
      <c r="Q136" s="101">
        <v>0</v>
      </c>
      <c r="R136" s="101">
        <v>0</v>
      </c>
    </row>
    <row r="137" spans="2:18">
      <c r="C137" s="52" t="s">
        <v>426</v>
      </c>
      <c r="D137" s="52"/>
      <c r="E137" s="52"/>
      <c r="F137" s="102">
        <v>10.714285714285715</v>
      </c>
      <c r="G137" s="102">
        <v>10.714285714285715</v>
      </c>
      <c r="H137" s="102">
        <v>10.714285714285715</v>
      </c>
      <c r="I137" s="102">
        <v>10.714285714285715</v>
      </c>
      <c r="J137" s="102">
        <v>10.714285714285715</v>
      </c>
      <c r="K137" s="102">
        <v>10.714285714285715</v>
      </c>
      <c r="L137" s="102">
        <v>10.714285714285715</v>
      </c>
      <c r="M137" s="102">
        <v>10.714285714285715</v>
      </c>
      <c r="N137" s="102">
        <v>10.714285714285715</v>
      </c>
      <c r="O137" s="102">
        <v>10.714285714285715</v>
      </c>
      <c r="P137" s="102">
        <v>10.714285714285715</v>
      </c>
      <c r="Q137" s="102">
        <v>10.714285714285715</v>
      </c>
      <c r="R137" s="102">
        <v>128.57142857142858</v>
      </c>
    </row>
    <row r="138" spans="2:18">
      <c r="B138" s="53" t="s">
        <v>427</v>
      </c>
      <c r="C138" s="53"/>
      <c r="D138" s="53"/>
      <c r="E138" s="53"/>
      <c r="F138" s="103">
        <v>10.714285714285715</v>
      </c>
      <c r="G138" s="103">
        <v>10.714285714285715</v>
      </c>
      <c r="H138" s="103">
        <v>10.714285714285715</v>
      </c>
      <c r="I138" s="103">
        <v>10.714285714285715</v>
      </c>
      <c r="J138" s="103">
        <v>10.714285714285715</v>
      </c>
      <c r="K138" s="103">
        <v>10.714285714285715</v>
      </c>
      <c r="L138" s="103">
        <v>10.714285714285715</v>
      </c>
      <c r="M138" s="103">
        <v>10.714285714285715</v>
      </c>
      <c r="N138" s="103">
        <v>10.714285714285715</v>
      </c>
      <c r="O138" s="103">
        <v>10.714285714285715</v>
      </c>
      <c r="P138" s="103">
        <v>10.714285714285715</v>
      </c>
      <c r="Q138" s="103">
        <v>10.714285714285715</v>
      </c>
      <c r="R138" s="103">
        <v>128.57142857142858</v>
      </c>
    </row>
    <row r="139" spans="2:18">
      <c r="B139" t="s">
        <v>91</v>
      </c>
      <c r="C139" t="s">
        <v>186</v>
      </c>
      <c r="D139" t="s">
        <v>187</v>
      </c>
      <c r="E139" t="s">
        <v>26</v>
      </c>
      <c r="F139" s="101">
        <v>0</v>
      </c>
      <c r="G139" s="101">
        <v>0</v>
      </c>
      <c r="H139" s="101">
        <v>0</v>
      </c>
      <c r="I139" s="101">
        <v>0</v>
      </c>
      <c r="J139" s="101">
        <v>0</v>
      </c>
      <c r="K139" s="101">
        <v>0</v>
      </c>
      <c r="L139" s="101">
        <v>0</v>
      </c>
      <c r="M139" s="101">
        <v>0</v>
      </c>
      <c r="N139" s="101">
        <v>0</v>
      </c>
      <c r="O139" s="101">
        <v>0</v>
      </c>
      <c r="P139" s="101">
        <v>0</v>
      </c>
      <c r="Q139" s="101">
        <v>0</v>
      </c>
      <c r="R139" s="101">
        <v>0</v>
      </c>
    </row>
    <row r="140" spans="2:18">
      <c r="E140" t="s">
        <v>20</v>
      </c>
      <c r="F140" s="101">
        <v>2.4149659863945575E-2</v>
      </c>
      <c r="G140" s="101">
        <v>2.4149659863945575E-2</v>
      </c>
      <c r="H140" s="101">
        <v>2.4149659863945575E-2</v>
      </c>
      <c r="I140" s="101">
        <v>2.4149659863945575E-2</v>
      </c>
      <c r="J140" s="101">
        <v>2.4149659863945575E-2</v>
      </c>
      <c r="K140" s="101">
        <v>2.4149659863945575E-2</v>
      </c>
      <c r="L140" s="101">
        <v>2.4149659863945575E-2</v>
      </c>
      <c r="M140" s="101">
        <v>2.4149659863945575E-2</v>
      </c>
      <c r="N140" s="101">
        <v>2.4149659863945575E-2</v>
      </c>
      <c r="O140" s="101">
        <v>2.4149659863945575E-2</v>
      </c>
      <c r="P140" s="101">
        <v>2.4149659863945575E-2</v>
      </c>
      <c r="Q140" s="101">
        <v>2.4149659863945575E-2</v>
      </c>
      <c r="R140" s="101">
        <v>0.28979591836734692</v>
      </c>
    </row>
    <row r="141" spans="2:18">
      <c r="E141" t="s">
        <v>8</v>
      </c>
      <c r="F141" s="101">
        <v>0</v>
      </c>
      <c r="G141" s="101">
        <v>0</v>
      </c>
      <c r="H141" s="101">
        <v>0</v>
      </c>
      <c r="I141" s="101">
        <v>0</v>
      </c>
      <c r="J141" s="101">
        <v>0</v>
      </c>
      <c r="K141" s="101">
        <v>0</v>
      </c>
      <c r="L141" s="101">
        <v>0</v>
      </c>
      <c r="M141" s="101">
        <v>0</v>
      </c>
      <c r="N141" s="101">
        <v>0</v>
      </c>
      <c r="O141" s="101">
        <v>0</v>
      </c>
      <c r="P141" s="101">
        <v>0</v>
      </c>
      <c r="Q141" s="101">
        <v>0</v>
      </c>
      <c r="R141" s="101">
        <v>0</v>
      </c>
    </row>
    <row r="142" spans="2:18">
      <c r="E142" t="s">
        <v>30</v>
      </c>
      <c r="F142" s="101">
        <v>0</v>
      </c>
      <c r="G142" s="101">
        <v>0</v>
      </c>
      <c r="H142" s="101">
        <v>0</v>
      </c>
      <c r="I142" s="101">
        <v>0</v>
      </c>
      <c r="J142" s="101">
        <v>0</v>
      </c>
      <c r="K142" s="101">
        <v>0</v>
      </c>
      <c r="L142" s="101">
        <v>0</v>
      </c>
      <c r="M142" s="101">
        <v>0</v>
      </c>
      <c r="N142" s="101">
        <v>0</v>
      </c>
      <c r="O142" s="101">
        <v>0</v>
      </c>
      <c r="P142" s="101">
        <v>0</v>
      </c>
      <c r="Q142" s="101">
        <v>0</v>
      </c>
      <c r="R142" s="101">
        <v>0</v>
      </c>
    </row>
    <row r="143" spans="2:18">
      <c r="E143" t="s">
        <v>42</v>
      </c>
      <c r="F143" s="101">
        <v>0</v>
      </c>
      <c r="G143" s="101">
        <v>0</v>
      </c>
      <c r="H143" s="101">
        <v>0</v>
      </c>
      <c r="I143" s="101">
        <v>0</v>
      </c>
      <c r="J143" s="101">
        <v>0</v>
      </c>
      <c r="K143" s="101">
        <v>0</v>
      </c>
      <c r="L143" s="101">
        <v>0</v>
      </c>
      <c r="M143" s="101">
        <v>0</v>
      </c>
      <c r="N143" s="101">
        <v>0</v>
      </c>
      <c r="O143" s="101">
        <v>0</v>
      </c>
      <c r="P143" s="101">
        <v>0</v>
      </c>
      <c r="Q143" s="101">
        <v>0</v>
      </c>
      <c r="R143" s="101">
        <v>0</v>
      </c>
    </row>
    <row r="144" spans="2:18">
      <c r="E144" t="s">
        <v>40</v>
      </c>
      <c r="F144" s="101">
        <v>0</v>
      </c>
      <c r="G144" s="101">
        <v>0</v>
      </c>
      <c r="H144" s="101">
        <v>0</v>
      </c>
      <c r="I144" s="101">
        <v>0</v>
      </c>
      <c r="J144" s="101">
        <v>0</v>
      </c>
      <c r="K144" s="101">
        <v>0</v>
      </c>
      <c r="L144" s="101">
        <v>0</v>
      </c>
      <c r="M144" s="101">
        <v>0</v>
      </c>
      <c r="N144" s="101">
        <v>0</v>
      </c>
      <c r="O144" s="101">
        <v>0</v>
      </c>
      <c r="P144" s="101">
        <v>0</v>
      </c>
      <c r="Q144" s="101">
        <v>0</v>
      </c>
      <c r="R144" s="101">
        <v>0</v>
      </c>
    </row>
    <row r="145" spans="3:18">
      <c r="E145" t="s">
        <v>47</v>
      </c>
      <c r="F145" s="101">
        <v>0</v>
      </c>
      <c r="G145" s="101">
        <v>0</v>
      </c>
      <c r="H145" s="101">
        <v>0</v>
      </c>
      <c r="I145" s="101">
        <v>0</v>
      </c>
      <c r="J145" s="101">
        <v>0</v>
      </c>
      <c r="K145" s="101">
        <v>0</v>
      </c>
      <c r="L145" s="101">
        <v>0</v>
      </c>
      <c r="M145" s="101">
        <v>0</v>
      </c>
      <c r="N145" s="101">
        <v>0</v>
      </c>
      <c r="O145" s="101">
        <v>0</v>
      </c>
      <c r="P145" s="101">
        <v>0</v>
      </c>
      <c r="Q145" s="101">
        <v>0</v>
      </c>
      <c r="R145" s="101">
        <v>0</v>
      </c>
    </row>
    <row r="146" spans="3:18">
      <c r="E146" t="s">
        <v>428</v>
      </c>
      <c r="F146" s="101">
        <v>0</v>
      </c>
      <c r="G146" s="101">
        <v>0</v>
      </c>
      <c r="H146" s="101">
        <v>0</v>
      </c>
      <c r="I146" s="101">
        <v>0</v>
      </c>
      <c r="J146" s="101">
        <v>0</v>
      </c>
      <c r="K146" s="101">
        <v>0</v>
      </c>
      <c r="L146" s="101">
        <v>0</v>
      </c>
      <c r="M146" s="101">
        <v>0</v>
      </c>
      <c r="N146" s="101">
        <v>0</v>
      </c>
      <c r="O146" s="101">
        <v>0</v>
      </c>
      <c r="P146" s="101">
        <v>0</v>
      </c>
      <c r="Q146" s="101">
        <v>0</v>
      </c>
      <c r="R146" s="101">
        <v>0</v>
      </c>
    </row>
    <row r="147" spans="3:18">
      <c r="C147" s="52" t="s">
        <v>429</v>
      </c>
      <c r="D147" s="52"/>
      <c r="E147" s="52"/>
      <c r="F147" s="102">
        <v>2.4149659863945575E-2</v>
      </c>
      <c r="G147" s="102">
        <v>2.4149659863945575E-2</v>
      </c>
      <c r="H147" s="102">
        <v>2.4149659863945575E-2</v>
      </c>
      <c r="I147" s="102">
        <v>2.4149659863945575E-2</v>
      </c>
      <c r="J147" s="102">
        <v>2.4149659863945575E-2</v>
      </c>
      <c r="K147" s="102">
        <v>2.4149659863945575E-2</v>
      </c>
      <c r="L147" s="102">
        <v>2.4149659863945575E-2</v>
      </c>
      <c r="M147" s="102">
        <v>2.4149659863945575E-2</v>
      </c>
      <c r="N147" s="102">
        <v>2.4149659863945575E-2</v>
      </c>
      <c r="O147" s="102">
        <v>2.4149659863945575E-2</v>
      </c>
      <c r="P147" s="102">
        <v>2.4149659863945575E-2</v>
      </c>
      <c r="Q147" s="102">
        <v>2.4149659863945575E-2</v>
      </c>
      <c r="R147" s="102">
        <v>0.28979591836734692</v>
      </c>
    </row>
    <row r="148" spans="3:18">
      <c r="C148" t="s">
        <v>198</v>
      </c>
      <c r="D148" t="s">
        <v>199</v>
      </c>
      <c r="E148" t="s">
        <v>417</v>
      </c>
      <c r="F148" s="101">
        <v>1.7006802721088436</v>
      </c>
      <c r="G148" s="101">
        <v>1.7006802721088436</v>
      </c>
      <c r="H148" s="101">
        <v>1.7006802721088436</v>
      </c>
      <c r="I148" s="101">
        <v>1.7006802721088436</v>
      </c>
      <c r="J148" s="101">
        <v>1.7006802721088436</v>
      </c>
      <c r="K148" s="101">
        <v>1.7006802721088436</v>
      </c>
      <c r="L148" s="101">
        <v>1.7006802721088436</v>
      </c>
      <c r="M148" s="101">
        <v>1.7006802721088436</v>
      </c>
      <c r="N148" s="101">
        <v>1.7006802721088436</v>
      </c>
      <c r="O148" s="101">
        <v>1.7006802721088436</v>
      </c>
      <c r="P148" s="101">
        <v>1.7006802721088436</v>
      </c>
      <c r="Q148" s="101">
        <v>1.7006802721088436</v>
      </c>
      <c r="R148" s="101">
        <v>20.408163265306126</v>
      </c>
    </row>
    <row r="149" spans="3:18">
      <c r="C149" s="52" t="s">
        <v>430</v>
      </c>
      <c r="D149" s="52"/>
      <c r="E149" s="52"/>
      <c r="F149" s="102">
        <v>1.7006802721088436</v>
      </c>
      <c r="G149" s="102">
        <v>1.7006802721088436</v>
      </c>
      <c r="H149" s="102">
        <v>1.7006802721088436</v>
      </c>
      <c r="I149" s="102">
        <v>1.7006802721088436</v>
      </c>
      <c r="J149" s="102">
        <v>1.7006802721088436</v>
      </c>
      <c r="K149" s="102">
        <v>1.7006802721088436</v>
      </c>
      <c r="L149" s="102">
        <v>1.7006802721088436</v>
      </c>
      <c r="M149" s="102">
        <v>1.7006802721088436</v>
      </c>
      <c r="N149" s="102">
        <v>1.7006802721088436</v>
      </c>
      <c r="O149" s="102">
        <v>1.7006802721088436</v>
      </c>
      <c r="P149" s="102">
        <v>1.7006802721088436</v>
      </c>
      <c r="Q149" s="102">
        <v>1.7006802721088436</v>
      </c>
      <c r="R149" s="102">
        <v>20.408163265306126</v>
      </c>
    </row>
    <row r="150" spans="3:18">
      <c r="C150" t="s">
        <v>431</v>
      </c>
      <c r="D150" t="s">
        <v>432</v>
      </c>
      <c r="E150" t="s">
        <v>417</v>
      </c>
      <c r="F150" s="101">
        <v>1.9730316109593184</v>
      </c>
      <c r="G150" s="101">
        <v>1.9730316109593184</v>
      </c>
      <c r="H150" s="101">
        <v>1.9730316109593184</v>
      </c>
      <c r="I150" s="101">
        <v>1.9730316109593184</v>
      </c>
      <c r="J150" s="101">
        <v>1.9730316109593184</v>
      </c>
      <c r="K150" s="101">
        <v>1.9730316109593184</v>
      </c>
      <c r="L150" s="101">
        <v>1.9730316109593184</v>
      </c>
      <c r="M150" s="101">
        <v>1.9730316109593184</v>
      </c>
      <c r="N150" s="101">
        <v>1.9730316109593184</v>
      </c>
      <c r="O150" s="101">
        <v>1.9730316109593184</v>
      </c>
      <c r="P150" s="101">
        <v>1.9730316109593184</v>
      </c>
      <c r="Q150" s="101">
        <v>1.9730316109593184</v>
      </c>
      <c r="R150" s="101">
        <v>23.676379331511814</v>
      </c>
    </row>
    <row r="151" spans="3:18">
      <c r="C151" s="52" t="s">
        <v>433</v>
      </c>
      <c r="D151" s="52"/>
      <c r="E151" s="52"/>
      <c r="F151" s="102">
        <v>1.9730316109593184</v>
      </c>
      <c r="G151" s="102">
        <v>1.9730316109593184</v>
      </c>
      <c r="H151" s="102">
        <v>1.9730316109593184</v>
      </c>
      <c r="I151" s="102">
        <v>1.9730316109593184</v>
      </c>
      <c r="J151" s="102">
        <v>1.9730316109593184</v>
      </c>
      <c r="K151" s="102">
        <v>1.9730316109593184</v>
      </c>
      <c r="L151" s="102">
        <v>1.9730316109593184</v>
      </c>
      <c r="M151" s="102">
        <v>1.9730316109593184</v>
      </c>
      <c r="N151" s="102">
        <v>1.9730316109593184</v>
      </c>
      <c r="O151" s="102">
        <v>1.9730316109593184</v>
      </c>
      <c r="P151" s="102">
        <v>1.9730316109593184</v>
      </c>
      <c r="Q151" s="102">
        <v>1.9730316109593184</v>
      </c>
      <c r="R151" s="102">
        <v>23.676379331511814</v>
      </c>
    </row>
    <row r="152" spans="3:18">
      <c r="C152" t="s">
        <v>204</v>
      </c>
      <c r="D152" t="s">
        <v>205</v>
      </c>
      <c r="E152" t="s">
        <v>417</v>
      </c>
      <c r="F152" s="101">
        <v>0.28698641613953724</v>
      </c>
      <c r="G152" s="101">
        <v>0.28698641613953724</v>
      </c>
      <c r="H152" s="101">
        <v>0.28698641613953724</v>
      </c>
      <c r="I152" s="101">
        <v>0.28698641613953724</v>
      </c>
      <c r="J152" s="101">
        <v>0.28698641613953724</v>
      </c>
      <c r="K152" s="101">
        <v>0.28698641613953724</v>
      </c>
      <c r="L152" s="101">
        <v>0.28698641613953724</v>
      </c>
      <c r="M152" s="101">
        <v>0.28698641613953724</v>
      </c>
      <c r="N152" s="101">
        <v>0.28698641613953724</v>
      </c>
      <c r="O152" s="101">
        <v>0.28698641613953724</v>
      </c>
      <c r="P152" s="101">
        <v>0.28698641613953724</v>
      </c>
      <c r="Q152" s="101">
        <v>0.28698641613953724</v>
      </c>
      <c r="R152" s="101">
        <v>3.4438369936744468</v>
      </c>
    </row>
    <row r="153" spans="3:18">
      <c r="C153" s="52" t="s">
        <v>434</v>
      </c>
      <c r="D153" s="52"/>
      <c r="E153" s="52"/>
      <c r="F153" s="102">
        <v>0.28698641613953724</v>
      </c>
      <c r="G153" s="102">
        <v>0.28698641613953724</v>
      </c>
      <c r="H153" s="102">
        <v>0.28698641613953724</v>
      </c>
      <c r="I153" s="102">
        <v>0.28698641613953724</v>
      </c>
      <c r="J153" s="102">
        <v>0.28698641613953724</v>
      </c>
      <c r="K153" s="102">
        <v>0.28698641613953724</v>
      </c>
      <c r="L153" s="102">
        <v>0.28698641613953724</v>
      </c>
      <c r="M153" s="102">
        <v>0.28698641613953724</v>
      </c>
      <c r="N153" s="102">
        <v>0.28698641613953724</v>
      </c>
      <c r="O153" s="102">
        <v>0.28698641613953724</v>
      </c>
      <c r="P153" s="102">
        <v>0.28698641613953724</v>
      </c>
      <c r="Q153" s="102">
        <v>0.28698641613953724</v>
      </c>
      <c r="R153" s="102">
        <v>3.4438369936744468</v>
      </c>
    </row>
    <row r="154" spans="3:18">
      <c r="C154" t="s">
        <v>206</v>
      </c>
      <c r="D154" t="s">
        <v>205</v>
      </c>
      <c r="E154" t="s">
        <v>417</v>
      </c>
      <c r="F154" s="101">
        <v>1.7936651008721076</v>
      </c>
      <c r="G154" s="101">
        <v>1.7936651008721076</v>
      </c>
      <c r="H154" s="101">
        <v>1.7936651008721076</v>
      </c>
      <c r="I154" s="101">
        <v>1.7936651008721076</v>
      </c>
      <c r="J154" s="101">
        <v>1.7936651008721076</v>
      </c>
      <c r="K154" s="101">
        <v>1.7936651008721076</v>
      </c>
      <c r="L154" s="101">
        <v>1.7936651008721076</v>
      </c>
      <c r="M154" s="101">
        <v>1.7936651008721076</v>
      </c>
      <c r="N154" s="101">
        <v>1.7936651008721076</v>
      </c>
      <c r="O154" s="101">
        <v>1.7936651008721076</v>
      </c>
      <c r="P154" s="101">
        <v>1.7936651008721076</v>
      </c>
      <c r="Q154" s="101">
        <v>1.7936651008721076</v>
      </c>
      <c r="R154" s="101">
        <v>21.523981210465291</v>
      </c>
    </row>
    <row r="155" spans="3:18">
      <c r="C155" s="52" t="s">
        <v>435</v>
      </c>
      <c r="D155" s="52"/>
      <c r="E155" s="52"/>
      <c r="F155" s="102">
        <v>1.7936651008721076</v>
      </c>
      <c r="G155" s="102">
        <v>1.7936651008721076</v>
      </c>
      <c r="H155" s="102">
        <v>1.7936651008721076</v>
      </c>
      <c r="I155" s="102">
        <v>1.7936651008721076</v>
      </c>
      <c r="J155" s="102">
        <v>1.7936651008721076</v>
      </c>
      <c r="K155" s="102">
        <v>1.7936651008721076</v>
      </c>
      <c r="L155" s="102">
        <v>1.7936651008721076</v>
      </c>
      <c r="M155" s="102">
        <v>1.7936651008721076</v>
      </c>
      <c r="N155" s="102">
        <v>1.7936651008721076</v>
      </c>
      <c r="O155" s="102">
        <v>1.7936651008721076</v>
      </c>
      <c r="P155" s="102">
        <v>1.7936651008721076</v>
      </c>
      <c r="Q155" s="102">
        <v>1.7936651008721076</v>
      </c>
      <c r="R155" s="102">
        <v>21.523981210465291</v>
      </c>
    </row>
    <row r="156" spans="3:18">
      <c r="C156" t="s">
        <v>211</v>
      </c>
      <c r="D156" t="s">
        <v>212</v>
      </c>
      <c r="E156" t="s">
        <v>8</v>
      </c>
      <c r="F156" s="101">
        <v>0.51020408163265307</v>
      </c>
      <c r="G156" s="101">
        <v>0.51020408163265307</v>
      </c>
      <c r="H156" s="101">
        <v>0.51020408163265307</v>
      </c>
      <c r="I156" s="101">
        <v>0.51020408163265307</v>
      </c>
      <c r="J156" s="101">
        <v>0.51020408163265307</v>
      </c>
      <c r="K156" s="101">
        <v>0.51020408163265307</v>
      </c>
      <c r="L156" s="101">
        <v>0.51020408163265307</v>
      </c>
      <c r="M156" s="101">
        <v>0.51020408163265307</v>
      </c>
      <c r="N156" s="101">
        <v>0.51020408163265307</v>
      </c>
      <c r="O156" s="101">
        <v>0.51020408163265307</v>
      </c>
      <c r="P156" s="101">
        <v>0.51020408163265307</v>
      </c>
      <c r="Q156" s="101">
        <v>0.51020408163265307</v>
      </c>
      <c r="R156" s="101">
        <v>6.1224489795918382</v>
      </c>
    </row>
    <row r="157" spans="3:18">
      <c r="C157" s="52" t="s">
        <v>436</v>
      </c>
      <c r="D157" s="52"/>
      <c r="E157" s="52"/>
      <c r="F157" s="102">
        <v>0.51020408163265307</v>
      </c>
      <c r="G157" s="102">
        <v>0.51020408163265307</v>
      </c>
      <c r="H157" s="102">
        <v>0.51020408163265307</v>
      </c>
      <c r="I157" s="102">
        <v>0.51020408163265307</v>
      </c>
      <c r="J157" s="102">
        <v>0.51020408163265307</v>
      </c>
      <c r="K157" s="102">
        <v>0.51020408163265307</v>
      </c>
      <c r="L157" s="102">
        <v>0.51020408163265307</v>
      </c>
      <c r="M157" s="102">
        <v>0.51020408163265307</v>
      </c>
      <c r="N157" s="102">
        <v>0.51020408163265307</v>
      </c>
      <c r="O157" s="102">
        <v>0.51020408163265307</v>
      </c>
      <c r="P157" s="102">
        <v>0.51020408163265307</v>
      </c>
      <c r="Q157" s="102">
        <v>0.51020408163265307</v>
      </c>
      <c r="R157" s="102">
        <v>6.1224489795918382</v>
      </c>
    </row>
    <row r="158" spans="3:18">
      <c r="C158" t="s">
        <v>221</v>
      </c>
      <c r="D158" t="s">
        <v>222</v>
      </c>
      <c r="E158" t="s">
        <v>26</v>
      </c>
      <c r="F158" s="101">
        <v>0.15306122448979592</v>
      </c>
      <c r="G158" s="101">
        <v>0.15306122448979592</v>
      </c>
      <c r="H158" s="101">
        <v>0.15306122448979592</v>
      </c>
      <c r="I158" s="101">
        <v>0.15306122448979592</v>
      </c>
      <c r="J158" s="101">
        <v>0.15306122448979592</v>
      </c>
      <c r="K158" s="101">
        <v>0.15306122448979592</v>
      </c>
      <c r="L158" s="101">
        <v>0.15306122448979592</v>
      </c>
      <c r="M158" s="101">
        <v>0.15306122448979592</v>
      </c>
      <c r="N158" s="101">
        <v>0.15306122448979592</v>
      </c>
      <c r="O158" s="101">
        <v>0.15306122448979592</v>
      </c>
      <c r="P158" s="101">
        <v>0.15306122448979592</v>
      </c>
      <c r="Q158" s="101">
        <v>0.15306122448979592</v>
      </c>
      <c r="R158" s="101">
        <v>1.8367346938775515</v>
      </c>
    </row>
    <row r="159" spans="3:18">
      <c r="E159" t="s">
        <v>20</v>
      </c>
      <c r="F159" s="101">
        <v>5.1020408163265307E-2</v>
      </c>
      <c r="G159" s="101">
        <v>5.1020408163265307E-2</v>
      </c>
      <c r="H159" s="101">
        <v>5.1020408163265307E-2</v>
      </c>
      <c r="I159" s="101">
        <v>5.1020408163265307E-2</v>
      </c>
      <c r="J159" s="101">
        <v>5.1020408163265307E-2</v>
      </c>
      <c r="K159" s="101">
        <v>5.1020408163265307E-2</v>
      </c>
      <c r="L159" s="101">
        <v>5.1020408163265307E-2</v>
      </c>
      <c r="M159" s="101">
        <v>5.1020408163265307E-2</v>
      </c>
      <c r="N159" s="101">
        <v>5.1020408163265307E-2</v>
      </c>
      <c r="O159" s="101">
        <v>5.1020408163265307E-2</v>
      </c>
      <c r="P159" s="101">
        <v>5.1020408163265307E-2</v>
      </c>
      <c r="Q159" s="101">
        <v>5.1020408163265307E-2</v>
      </c>
      <c r="R159" s="101">
        <v>0.61224489795918369</v>
      </c>
    </row>
    <row r="160" spans="3:18">
      <c r="E160" t="s">
        <v>8</v>
      </c>
      <c r="F160" s="101">
        <v>0.25510204081632654</v>
      </c>
      <c r="G160" s="101">
        <v>0.25510204081632654</v>
      </c>
      <c r="H160" s="101">
        <v>0.25510204081632654</v>
      </c>
      <c r="I160" s="101">
        <v>0.25510204081632654</v>
      </c>
      <c r="J160" s="101">
        <v>0.25510204081632654</v>
      </c>
      <c r="K160" s="101">
        <v>0.25510204081632654</v>
      </c>
      <c r="L160" s="101">
        <v>0.25510204081632654</v>
      </c>
      <c r="M160" s="101">
        <v>0.25510204081632654</v>
      </c>
      <c r="N160" s="101">
        <v>0.25510204081632654</v>
      </c>
      <c r="O160" s="101">
        <v>0.25510204081632654</v>
      </c>
      <c r="P160" s="101">
        <v>0.25510204081632654</v>
      </c>
      <c r="Q160" s="101">
        <v>0.25510204081632654</v>
      </c>
      <c r="R160" s="101">
        <v>3.0612244897959191</v>
      </c>
    </row>
    <row r="161" spans="3:18">
      <c r="E161" t="s">
        <v>30</v>
      </c>
      <c r="F161" s="101">
        <v>5.1020408163265307E-2</v>
      </c>
      <c r="G161" s="101">
        <v>5.1020408163265307E-2</v>
      </c>
      <c r="H161" s="101">
        <v>5.1020408163265307E-2</v>
      </c>
      <c r="I161" s="101">
        <v>5.1020408163265307E-2</v>
      </c>
      <c r="J161" s="101">
        <v>5.1020408163265307E-2</v>
      </c>
      <c r="K161" s="101">
        <v>5.1020408163265307E-2</v>
      </c>
      <c r="L161" s="101">
        <v>5.1020408163265307E-2</v>
      </c>
      <c r="M161" s="101">
        <v>5.1020408163265307E-2</v>
      </c>
      <c r="N161" s="101">
        <v>5.1020408163265307E-2</v>
      </c>
      <c r="O161" s="101">
        <v>5.1020408163265307E-2</v>
      </c>
      <c r="P161" s="101">
        <v>5.1020408163265307E-2</v>
      </c>
      <c r="Q161" s="101">
        <v>5.1020408163265307E-2</v>
      </c>
      <c r="R161" s="101">
        <v>0.61224489795918369</v>
      </c>
    </row>
    <row r="162" spans="3:18">
      <c r="E162" t="s">
        <v>42</v>
      </c>
      <c r="F162" s="101">
        <v>0.15306122448979592</v>
      </c>
      <c r="G162" s="101">
        <v>0.15306122448979592</v>
      </c>
      <c r="H162" s="101">
        <v>0.15306122448979592</v>
      </c>
      <c r="I162" s="101">
        <v>0.15306122448979592</v>
      </c>
      <c r="J162" s="101">
        <v>0.15306122448979592</v>
      </c>
      <c r="K162" s="101">
        <v>0.15306122448979592</v>
      </c>
      <c r="L162" s="101">
        <v>0.15306122448979592</v>
      </c>
      <c r="M162" s="101">
        <v>0.15306122448979592</v>
      </c>
      <c r="N162" s="101">
        <v>0.15306122448979592</v>
      </c>
      <c r="O162" s="101">
        <v>0.15306122448979592</v>
      </c>
      <c r="P162" s="101">
        <v>0.15306122448979592</v>
      </c>
      <c r="Q162" s="101">
        <v>0.15306122448979592</v>
      </c>
      <c r="R162" s="101">
        <v>1.8367346938775515</v>
      </c>
    </row>
    <row r="163" spans="3:18">
      <c r="E163" t="s">
        <v>40</v>
      </c>
      <c r="F163" s="101">
        <v>0</v>
      </c>
      <c r="G163" s="101">
        <v>0</v>
      </c>
      <c r="H163" s="101">
        <v>0</v>
      </c>
      <c r="I163" s="101">
        <v>0</v>
      </c>
      <c r="J163" s="101">
        <v>0</v>
      </c>
      <c r="K163" s="101">
        <v>0</v>
      </c>
      <c r="L163" s="101">
        <v>0</v>
      </c>
      <c r="M163" s="101">
        <v>0</v>
      </c>
      <c r="N163" s="101">
        <v>0</v>
      </c>
      <c r="O163" s="101">
        <v>0</v>
      </c>
      <c r="P163" s="101">
        <v>0</v>
      </c>
      <c r="Q163" s="101">
        <v>0</v>
      </c>
      <c r="R163" s="101">
        <v>0</v>
      </c>
    </row>
    <row r="164" spans="3:18">
      <c r="E164" t="s">
        <v>47</v>
      </c>
      <c r="F164" s="101">
        <v>0.1870748299319728</v>
      </c>
      <c r="G164" s="101">
        <v>0.1870748299319728</v>
      </c>
      <c r="H164" s="101">
        <v>0.1870748299319728</v>
      </c>
      <c r="I164" s="101">
        <v>0.1870748299319728</v>
      </c>
      <c r="J164" s="101">
        <v>0.1870748299319728</v>
      </c>
      <c r="K164" s="101">
        <v>0.1870748299319728</v>
      </c>
      <c r="L164" s="101">
        <v>0.1870748299319728</v>
      </c>
      <c r="M164" s="101">
        <v>0.1870748299319728</v>
      </c>
      <c r="N164" s="101">
        <v>0.1870748299319728</v>
      </c>
      <c r="O164" s="101">
        <v>0.1870748299319728</v>
      </c>
      <c r="P164" s="101">
        <v>0.1870748299319728</v>
      </c>
      <c r="Q164" s="101">
        <v>0.1870748299319728</v>
      </c>
      <c r="R164" s="101">
        <v>2.2448979591836742</v>
      </c>
    </row>
    <row r="165" spans="3:18">
      <c r="C165" s="52" t="s">
        <v>437</v>
      </c>
      <c r="D165" s="52"/>
      <c r="E165" s="52"/>
      <c r="F165" s="102">
        <v>0.85034013605442171</v>
      </c>
      <c r="G165" s="102">
        <v>0.85034013605442171</v>
      </c>
      <c r="H165" s="102">
        <v>0.85034013605442171</v>
      </c>
      <c r="I165" s="102">
        <v>0.85034013605442171</v>
      </c>
      <c r="J165" s="102">
        <v>0.85034013605442171</v>
      </c>
      <c r="K165" s="102">
        <v>0.85034013605442171</v>
      </c>
      <c r="L165" s="102">
        <v>0.85034013605442171</v>
      </c>
      <c r="M165" s="102">
        <v>0.85034013605442171</v>
      </c>
      <c r="N165" s="102">
        <v>0.85034013605442171</v>
      </c>
      <c r="O165" s="102">
        <v>0.85034013605442171</v>
      </c>
      <c r="P165" s="102">
        <v>0.85034013605442171</v>
      </c>
      <c r="Q165" s="102">
        <v>0.85034013605442171</v>
      </c>
      <c r="R165" s="102">
        <v>10.204081632653065</v>
      </c>
    </row>
    <row r="166" spans="3:18">
      <c r="C166" t="s">
        <v>236</v>
      </c>
      <c r="D166" t="s">
        <v>237</v>
      </c>
      <c r="E166" t="s">
        <v>8</v>
      </c>
      <c r="F166" s="101">
        <v>0.68027210884353739</v>
      </c>
      <c r="G166" s="101">
        <v>0.68027210884353739</v>
      </c>
      <c r="H166" s="101">
        <v>0.68027210884353739</v>
      </c>
      <c r="I166" s="101">
        <v>0.68027210884353739</v>
      </c>
      <c r="J166" s="101">
        <v>0.68027210884353739</v>
      </c>
      <c r="K166" s="101">
        <v>0.68027210884353739</v>
      </c>
      <c r="L166" s="101">
        <v>0.68027210884353739</v>
      </c>
      <c r="M166" s="101">
        <v>0.68027210884353739</v>
      </c>
      <c r="N166" s="101">
        <v>0.68027210884353739</v>
      </c>
      <c r="O166" s="101">
        <v>0.68027210884353739</v>
      </c>
      <c r="P166" s="101">
        <v>0.68027210884353739</v>
      </c>
      <c r="Q166" s="101">
        <v>0.68027210884353739</v>
      </c>
      <c r="R166" s="101">
        <v>8.1632653061224492</v>
      </c>
    </row>
    <row r="167" spans="3:18">
      <c r="C167" s="52" t="s">
        <v>438</v>
      </c>
      <c r="D167" s="52"/>
      <c r="E167" s="52"/>
      <c r="F167" s="102">
        <v>0.68027210884353739</v>
      </c>
      <c r="G167" s="102">
        <v>0.68027210884353739</v>
      </c>
      <c r="H167" s="102">
        <v>0.68027210884353739</v>
      </c>
      <c r="I167" s="102">
        <v>0.68027210884353739</v>
      </c>
      <c r="J167" s="102">
        <v>0.68027210884353739</v>
      </c>
      <c r="K167" s="102">
        <v>0.68027210884353739</v>
      </c>
      <c r="L167" s="102">
        <v>0.68027210884353739</v>
      </c>
      <c r="M167" s="102">
        <v>0.68027210884353739</v>
      </c>
      <c r="N167" s="102">
        <v>0.68027210884353739</v>
      </c>
      <c r="O167" s="102">
        <v>0.68027210884353739</v>
      </c>
      <c r="P167" s="102">
        <v>0.68027210884353739</v>
      </c>
      <c r="Q167" s="102">
        <v>0.68027210884353739</v>
      </c>
      <c r="R167" s="102">
        <v>8.1632653061224492</v>
      </c>
    </row>
    <row r="168" spans="3:18">
      <c r="C168" t="s">
        <v>179</v>
      </c>
      <c r="D168" t="s">
        <v>180</v>
      </c>
      <c r="E168" t="s">
        <v>26</v>
      </c>
      <c r="F168" s="101">
        <v>0</v>
      </c>
      <c r="G168" s="101">
        <v>0</v>
      </c>
      <c r="H168" s="101">
        <v>1.7006802721088436</v>
      </c>
      <c r="I168" s="101">
        <v>0</v>
      </c>
      <c r="J168" s="101">
        <v>0</v>
      </c>
      <c r="K168" s="101">
        <v>1.7006802721088436</v>
      </c>
      <c r="L168" s="101">
        <v>0</v>
      </c>
      <c r="M168" s="101">
        <v>0</v>
      </c>
      <c r="N168" s="101">
        <v>1.7006802721088436</v>
      </c>
      <c r="O168" s="101">
        <v>0</v>
      </c>
      <c r="P168" s="101">
        <v>0</v>
      </c>
      <c r="Q168" s="101">
        <v>1.7006802721088436</v>
      </c>
      <c r="R168" s="101">
        <v>6.8027210884353746</v>
      </c>
    </row>
    <row r="169" spans="3:18">
      <c r="E169" t="s">
        <v>20</v>
      </c>
      <c r="F169" s="101">
        <v>0</v>
      </c>
      <c r="G169" s="101">
        <v>0</v>
      </c>
      <c r="H169" s="101">
        <v>0.68027210884353739</v>
      </c>
      <c r="I169" s="101">
        <v>0</v>
      </c>
      <c r="J169" s="101">
        <v>0</v>
      </c>
      <c r="K169" s="101">
        <v>0.68027210884353739</v>
      </c>
      <c r="L169" s="101">
        <v>0</v>
      </c>
      <c r="M169" s="101">
        <v>0</v>
      </c>
      <c r="N169" s="101">
        <v>0.68027210884353739</v>
      </c>
      <c r="O169" s="101">
        <v>0</v>
      </c>
      <c r="P169" s="101">
        <v>0</v>
      </c>
      <c r="Q169" s="101">
        <v>0.68027210884353739</v>
      </c>
      <c r="R169" s="101">
        <v>2.7210884353741496</v>
      </c>
    </row>
    <row r="170" spans="3:18">
      <c r="E170" t="s">
        <v>24</v>
      </c>
      <c r="F170" s="101">
        <v>0</v>
      </c>
      <c r="G170" s="101">
        <v>0</v>
      </c>
      <c r="H170" s="101">
        <v>0.3401360544217687</v>
      </c>
      <c r="I170" s="101">
        <v>0</v>
      </c>
      <c r="J170" s="101">
        <v>0</v>
      </c>
      <c r="K170" s="101">
        <v>0.3401360544217687</v>
      </c>
      <c r="L170" s="101">
        <v>0</v>
      </c>
      <c r="M170" s="101">
        <v>0</v>
      </c>
      <c r="N170" s="101">
        <v>0.3401360544217687</v>
      </c>
      <c r="O170" s="101">
        <v>0</v>
      </c>
      <c r="P170" s="101">
        <v>0</v>
      </c>
      <c r="Q170" s="101">
        <v>0.3401360544217687</v>
      </c>
      <c r="R170" s="101">
        <v>1.3605442176870748</v>
      </c>
    </row>
    <row r="171" spans="3:18">
      <c r="E171" t="s">
        <v>8</v>
      </c>
      <c r="F171" s="101">
        <v>0</v>
      </c>
      <c r="G171" s="101">
        <v>0</v>
      </c>
      <c r="H171" s="101">
        <v>1.7006802721088436</v>
      </c>
      <c r="I171" s="101">
        <v>0</v>
      </c>
      <c r="J171" s="101">
        <v>0</v>
      </c>
      <c r="K171" s="101">
        <v>1.7006802721088436</v>
      </c>
      <c r="L171" s="101">
        <v>0</v>
      </c>
      <c r="M171" s="101">
        <v>0</v>
      </c>
      <c r="N171" s="101">
        <v>1.7006802721088436</v>
      </c>
      <c r="O171" s="101">
        <v>0</v>
      </c>
      <c r="P171" s="101">
        <v>0</v>
      </c>
      <c r="Q171" s="101">
        <v>1.7006802721088436</v>
      </c>
      <c r="R171" s="101">
        <v>6.8027210884353746</v>
      </c>
    </row>
    <row r="172" spans="3:18">
      <c r="E172" t="s">
        <v>30</v>
      </c>
      <c r="F172" s="101">
        <v>0</v>
      </c>
      <c r="G172" s="101">
        <v>0</v>
      </c>
      <c r="H172" s="101">
        <v>0</v>
      </c>
      <c r="I172" s="101">
        <v>0</v>
      </c>
      <c r="J172" s="101">
        <v>0</v>
      </c>
      <c r="K172" s="101">
        <v>0</v>
      </c>
      <c r="L172" s="101">
        <v>0</v>
      </c>
      <c r="M172" s="101">
        <v>0</v>
      </c>
      <c r="N172" s="101">
        <v>0</v>
      </c>
      <c r="O172" s="101">
        <v>0</v>
      </c>
      <c r="P172" s="101">
        <v>0</v>
      </c>
      <c r="Q172" s="101">
        <v>0</v>
      </c>
      <c r="R172" s="101">
        <v>0</v>
      </c>
    </row>
    <row r="173" spans="3:18">
      <c r="E173" t="s">
        <v>42</v>
      </c>
      <c r="F173" s="101">
        <v>0</v>
      </c>
      <c r="G173" s="101">
        <v>0</v>
      </c>
      <c r="H173" s="101">
        <v>0.59523809523809523</v>
      </c>
      <c r="I173" s="101">
        <v>0</v>
      </c>
      <c r="J173" s="101">
        <v>0</v>
      </c>
      <c r="K173" s="101">
        <v>0.59523809523809523</v>
      </c>
      <c r="L173" s="101">
        <v>0</v>
      </c>
      <c r="M173" s="101">
        <v>0</v>
      </c>
      <c r="N173" s="101">
        <v>0.59523809523809523</v>
      </c>
      <c r="O173" s="101">
        <v>0</v>
      </c>
      <c r="P173" s="101">
        <v>0</v>
      </c>
      <c r="Q173" s="101">
        <v>0.59523809523809523</v>
      </c>
      <c r="R173" s="101">
        <v>2.3809523809523809</v>
      </c>
    </row>
    <row r="174" spans="3:18">
      <c r="E174" t="s">
        <v>40</v>
      </c>
      <c r="F174" s="101">
        <v>0</v>
      </c>
      <c r="G174" s="101">
        <v>0</v>
      </c>
      <c r="H174" s="101">
        <v>0.59523809523809523</v>
      </c>
      <c r="I174" s="101">
        <v>0</v>
      </c>
      <c r="J174" s="101">
        <v>0</v>
      </c>
      <c r="K174" s="101">
        <v>0.59523809523809523</v>
      </c>
      <c r="L174" s="101">
        <v>0</v>
      </c>
      <c r="M174" s="101">
        <v>0</v>
      </c>
      <c r="N174" s="101">
        <v>0.59523809523809523</v>
      </c>
      <c r="O174" s="101">
        <v>0</v>
      </c>
      <c r="P174" s="101">
        <v>0</v>
      </c>
      <c r="Q174" s="101">
        <v>0.59523809523809523</v>
      </c>
      <c r="R174" s="101">
        <v>2.3809523809523809</v>
      </c>
    </row>
    <row r="175" spans="3:18">
      <c r="E175" t="s">
        <v>47</v>
      </c>
      <c r="F175" s="101">
        <v>0</v>
      </c>
      <c r="G175" s="101">
        <v>0</v>
      </c>
      <c r="H175" s="101">
        <v>0.3401360544217687</v>
      </c>
      <c r="I175" s="101">
        <v>0</v>
      </c>
      <c r="J175" s="101">
        <v>0</v>
      </c>
      <c r="K175" s="101">
        <v>0.3401360544217687</v>
      </c>
      <c r="L175" s="101">
        <v>0</v>
      </c>
      <c r="M175" s="101">
        <v>0</v>
      </c>
      <c r="N175" s="101">
        <v>0.3401360544217687</v>
      </c>
      <c r="O175" s="101">
        <v>0</v>
      </c>
      <c r="P175" s="101">
        <v>0</v>
      </c>
      <c r="Q175" s="101">
        <v>0.3401360544217687</v>
      </c>
      <c r="R175" s="101">
        <v>1.3605442176870748</v>
      </c>
    </row>
    <row r="176" spans="3:18">
      <c r="E176" t="s">
        <v>428</v>
      </c>
      <c r="F176" s="101">
        <v>0</v>
      </c>
      <c r="G176" s="101">
        <v>0</v>
      </c>
      <c r="H176" s="101">
        <v>1.0204081632653061</v>
      </c>
      <c r="I176" s="101">
        <v>0</v>
      </c>
      <c r="J176" s="101">
        <v>0</v>
      </c>
      <c r="K176" s="101">
        <v>1.0204081632653061</v>
      </c>
      <c r="L176" s="101">
        <v>0</v>
      </c>
      <c r="M176" s="101">
        <v>0</v>
      </c>
      <c r="N176" s="101">
        <v>1.0204081632653061</v>
      </c>
      <c r="O176" s="101">
        <v>0</v>
      </c>
      <c r="P176" s="101">
        <v>0</v>
      </c>
      <c r="Q176" s="101">
        <v>1.0204081632653061</v>
      </c>
      <c r="R176" s="101">
        <v>4.0816326530612246</v>
      </c>
    </row>
    <row r="177" spans="2:18">
      <c r="E177" t="s">
        <v>417</v>
      </c>
      <c r="F177" s="101">
        <v>0</v>
      </c>
      <c r="G177" s="101">
        <v>0</v>
      </c>
      <c r="H177" s="101">
        <v>1.3605442176870748</v>
      </c>
      <c r="I177" s="101">
        <v>0</v>
      </c>
      <c r="J177" s="101">
        <v>0</v>
      </c>
      <c r="K177" s="101">
        <v>1.3605442176870748</v>
      </c>
      <c r="L177" s="101">
        <v>0</v>
      </c>
      <c r="M177" s="101">
        <v>0</v>
      </c>
      <c r="N177" s="101">
        <v>1.3605442176870748</v>
      </c>
      <c r="O177" s="101">
        <v>0</v>
      </c>
      <c r="P177" s="101">
        <v>0</v>
      </c>
      <c r="Q177" s="101">
        <v>1.3605442176870748</v>
      </c>
      <c r="R177" s="101">
        <v>5.4421768707482991</v>
      </c>
    </row>
    <row r="178" spans="2:18">
      <c r="C178" s="52" t="s">
        <v>439</v>
      </c>
      <c r="D178" s="52"/>
      <c r="E178" s="52"/>
      <c r="F178" s="102">
        <v>0</v>
      </c>
      <c r="G178" s="102">
        <v>0</v>
      </c>
      <c r="H178" s="102">
        <v>8.3333333333333321</v>
      </c>
      <c r="I178" s="102">
        <v>0</v>
      </c>
      <c r="J178" s="102">
        <v>0</v>
      </c>
      <c r="K178" s="102">
        <v>8.3333333333333321</v>
      </c>
      <c r="L178" s="102">
        <v>0</v>
      </c>
      <c r="M178" s="102">
        <v>0</v>
      </c>
      <c r="N178" s="102">
        <v>8.3333333333333321</v>
      </c>
      <c r="O178" s="102">
        <v>0</v>
      </c>
      <c r="P178" s="102">
        <v>0</v>
      </c>
      <c r="Q178" s="102">
        <v>8.3333333333333321</v>
      </c>
      <c r="R178" s="102">
        <v>33.333333333333329</v>
      </c>
    </row>
    <row r="179" spans="2:18">
      <c r="B179" s="53" t="s">
        <v>402</v>
      </c>
      <c r="C179" s="53"/>
      <c r="D179" s="53"/>
      <c r="E179" s="53"/>
      <c r="F179" s="103">
        <v>7.8193293864743643</v>
      </c>
      <c r="G179" s="103">
        <v>7.8193293864743643</v>
      </c>
      <c r="H179" s="103">
        <v>16.152662719807701</v>
      </c>
      <c r="I179" s="103">
        <v>7.8193293864743643</v>
      </c>
      <c r="J179" s="103">
        <v>7.8193293864743643</v>
      </c>
      <c r="K179" s="103">
        <v>16.152662719807701</v>
      </c>
      <c r="L179" s="103">
        <v>7.8193293864743643</v>
      </c>
      <c r="M179" s="103">
        <v>7.8193293864743643</v>
      </c>
      <c r="N179" s="103">
        <v>16.152662719807701</v>
      </c>
      <c r="O179" s="103">
        <v>7.8193293864743643</v>
      </c>
      <c r="P179" s="103">
        <v>7.8193293864743643</v>
      </c>
      <c r="Q179" s="103">
        <v>16.152662719807701</v>
      </c>
      <c r="R179" s="103">
        <v>127.16528597102571</v>
      </c>
    </row>
    <row r="180" spans="2:18">
      <c r="B180" t="s">
        <v>87</v>
      </c>
      <c r="C180" t="s">
        <v>116</v>
      </c>
      <c r="D180" t="s">
        <v>117</v>
      </c>
      <c r="E180" t="s">
        <v>26</v>
      </c>
      <c r="F180" s="101">
        <v>0.32958596228524978</v>
      </c>
      <c r="G180" s="101">
        <v>0.32958596228524978</v>
      </c>
      <c r="H180" s="101">
        <v>0.32958596228524978</v>
      </c>
      <c r="I180" s="101">
        <v>0.32958596228524978</v>
      </c>
      <c r="J180" s="101">
        <v>0.32958596228524978</v>
      </c>
      <c r="K180" s="101">
        <v>0.32958596228524978</v>
      </c>
      <c r="L180" s="101">
        <v>0.32958596228524978</v>
      </c>
      <c r="M180" s="101">
        <v>0.32958596228524978</v>
      </c>
      <c r="N180" s="101">
        <v>0.32958596228524978</v>
      </c>
      <c r="O180" s="101">
        <v>0.32958596228524978</v>
      </c>
      <c r="P180" s="101">
        <v>0.32958596228524978</v>
      </c>
      <c r="Q180" s="101">
        <v>0.32958596228524978</v>
      </c>
      <c r="R180" s="101">
        <v>3.955031547422998</v>
      </c>
    </row>
    <row r="181" spans="2:18">
      <c r="E181" t="s">
        <v>20</v>
      </c>
      <c r="F181" s="101">
        <v>0.10986198742841659</v>
      </c>
      <c r="G181" s="101">
        <v>0.10986198742841659</v>
      </c>
      <c r="H181" s="101">
        <v>0.10986198742841659</v>
      </c>
      <c r="I181" s="101">
        <v>0.10986198742841659</v>
      </c>
      <c r="J181" s="101">
        <v>0.10986198742841659</v>
      </c>
      <c r="K181" s="101">
        <v>0.10986198742841659</v>
      </c>
      <c r="L181" s="101">
        <v>0.10986198742841659</v>
      </c>
      <c r="M181" s="101">
        <v>0.10986198742841659</v>
      </c>
      <c r="N181" s="101">
        <v>0.10986198742841659</v>
      </c>
      <c r="O181" s="101">
        <v>0.10986198742841659</v>
      </c>
      <c r="P181" s="101">
        <v>0.10986198742841659</v>
      </c>
      <c r="Q181" s="101">
        <v>0.10986198742841659</v>
      </c>
      <c r="R181" s="101">
        <v>1.3183438491409991</v>
      </c>
    </row>
    <row r="182" spans="2:18">
      <c r="E182" t="s">
        <v>24</v>
      </c>
      <c r="F182" s="101">
        <v>0.17577917988546651</v>
      </c>
      <c r="G182" s="101">
        <v>0.17577917988546651</v>
      </c>
      <c r="H182" s="101">
        <v>0.17577917988546651</v>
      </c>
      <c r="I182" s="101">
        <v>0.17577917988546651</v>
      </c>
      <c r="J182" s="101">
        <v>0.17577917988546651</v>
      </c>
      <c r="K182" s="101">
        <v>0.17577917988546651</v>
      </c>
      <c r="L182" s="101">
        <v>0.17577917988546651</v>
      </c>
      <c r="M182" s="101">
        <v>0.17577917988546651</v>
      </c>
      <c r="N182" s="101">
        <v>0.17577917988546651</v>
      </c>
      <c r="O182" s="101">
        <v>0.17577917988546651</v>
      </c>
      <c r="P182" s="101">
        <v>0.17577917988546651</v>
      </c>
      <c r="Q182" s="101">
        <v>0.17577917988546651</v>
      </c>
      <c r="R182" s="101">
        <v>2.1093501586255976</v>
      </c>
    </row>
    <row r="183" spans="2:18">
      <c r="E183" t="s">
        <v>8</v>
      </c>
      <c r="F183" s="101">
        <v>0.70311671954186616</v>
      </c>
      <c r="G183" s="101">
        <v>0.70311671954186616</v>
      </c>
      <c r="H183" s="101">
        <v>0.70311671954186616</v>
      </c>
      <c r="I183" s="101">
        <v>0.70311671954186616</v>
      </c>
      <c r="J183" s="101">
        <v>0.70311671954186616</v>
      </c>
      <c r="K183" s="101">
        <v>0.70311671954186616</v>
      </c>
      <c r="L183" s="101">
        <v>0.70311671954186616</v>
      </c>
      <c r="M183" s="101">
        <v>0.70311671954186616</v>
      </c>
      <c r="N183" s="101">
        <v>0.70311671954186616</v>
      </c>
      <c r="O183" s="101">
        <v>0.70311671954186616</v>
      </c>
      <c r="P183" s="101">
        <v>0.70311671954186616</v>
      </c>
      <c r="Q183" s="101">
        <v>0.70311671954186616</v>
      </c>
      <c r="R183" s="101">
        <v>8.4374006345023957</v>
      </c>
    </row>
    <row r="184" spans="2:18">
      <c r="E184" t="s">
        <v>30</v>
      </c>
      <c r="F184" s="101">
        <v>0.10986198742841659</v>
      </c>
      <c r="G184" s="101">
        <v>0.10986198742841659</v>
      </c>
      <c r="H184" s="101">
        <v>0.10986198742841659</v>
      </c>
      <c r="I184" s="101">
        <v>0.10986198742841659</v>
      </c>
      <c r="J184" s="101">
        <v>0.10986198742841659</v>
      </c>
      <c r="K184" s="101">
        <v>0.10986198742841659</v>
      </c>
      <c r="L184" s="101">
        <v>0.10986198742841659</v>
      </c>
      <c r="M184" s="101">
        <v>0.10986198742841659</v>
      </c>
      <c r="N184" s="101">
        <v>0.10986198742841659</v>
      </c>
      <c r="O184" s="101">
        <v>0.10986198742841659</v>
      </c>
      <c r="P184" s="101">
        <v>0.10986198742841659</v>
      </c>
      <c r="Q184" s="101">
        <v>0.10986198742841659</v>
      </c>
      <c r="R184" s="101">
        <v>1.3183438491409991</v>
      </c>
    </row>
    <row r="185" spans="2:18">
      <c r="E185" t="s">
        <v>42</v>
      </c>
      <c r="F185" s="101">
        <v>0.35155835977093303</v>
      </c>
      <c r="G185" s="101">
        <v>0.35155835977093303</v>
      </c>
      <c r="H185" s="101">
        <v>0.35155835977093303</v>
      </c>
      <c r="I185" s="101">
        <v>0.35155835977093303</v>
      </c>
      <c r="J185" s="101">
        <v>0.35155835977093303</v>
      </c>
      <c r="K185" s="101">
        <v>0.35155835977093303</v>
      </c>
      <c r="L185" s="101">
        <v>0.35155835977093303</v>
      </c>
      <c r="M185" s="101">
        <v>0.35155835977093303</v>
      </c>
      <c r="N185" s="101">
        <v>0.35155835977093303</v>
      </c>
      <c r="O185" s="101">
        <v>0.35155835977093303</v>
      </c>
      <c r="P185" s="101">
        <v>0.35155835977093303</v>
      </c>
      <c r="Q185" s="101">
        <v>0.35155835977093303</v>
      </c>
      <c r="R185" s="101">
        <v>4.2187003172511952</v>
      </c>
    </row>
    <row r="186" spans="2:18">
      <c r="E186" t="s">
        <v>40</v>
      </c>
      <c r="F186" s="101">
        <v>0</v>
      </c>
      <c r="G186" s="101">
        <v>0</v>
      </c>
      <c r="H186" s="101">
        <v>0</v>
      </c>
      <c r="I186" s="101">
        <v>0</v>
      </c>
      <c r="J186" s="101">
        <v>0</v>
      </c>
      <c r="K186" s="101">
        <v>0</v>
      </c>
      <c r="L186" s="101">
        <v>0</v>
      </c>
      <c r="M186" s="101">
        <v>0</v>
      </c>
      <c r="N186" s="101">
        <v>0</v>
      </c>
      <c r="O186" s="101">
        <v>0</v>
      </c>
      <c r="P186" s="101">
        <v>0</v>
      </c>
      <c r="Q186" s="101">
        <v>0</v>
      </c>
      <c r="R186" s="101">
        <v>0</v>
      </c>
    </row>
    <row r="187" spans="2:18">
      <c r="E187" t="s">
        <v>47</v>
      </c>
      <c r="F187" s="101">
        <v>0.41747555222798305</v>
      </c>
      <c r="G187" s="101">
        <v>0.41747555222798305</v>
      </c>
      <c r="H187" s="101">
        <v>0.41747555222798305</v>
      </c>
      <c r="I187" s="101">
        <v>0.41747555222798305</v>
      </c>
      <c r="J187" s="101">
        <v>0.41747555222798305</v>
      </c>
      <c r="K187" s="101">
        <v>0.41747555222798305</v>
      </c>
      <c r="L187" s="101">
        <v>0.41747555222798305</v>
      </c>
      <c r="M187" s="101">
        <v>0.41747555222798305</v>
      </c>
      <c r="N187" s="101">
        <v>0.41747555222798305</v>
      </c>
      <c r="O187" s="101">
        <v>0.41747555222798305</v>
      </c>
      <c r="P187" s="101">
        <v>0.41747555222798305</v>
      </c>
      <c r="Q187" s="101">
        <v>0.41747555222798305</v>
      </c>
      <c r="R187" s="101">
        <v>5.0097066267357961</v>
      </c>
    </row>
    <row r="188" spans="2:18">
      <c r="E188" t="s">
        <v>417</v>
      </c>
      <c r="F188" s="101">
        <v>0</v>
      </c>
      <c r="G188" s="101">
        <v>0</v>
      </c>
      <c r="H188" s="101">
        <v>0</v>
      </c>
      <c r="I188" s="101">
        <v>0</v>
      </c>
      <c r="J188" s="101">
        <v>0</v>
      </c>
      <c r="K188" s="101">
        <v>0</v>
      </c>
      <c r="L188" s="101">
        <v>0</v>
      </c>
      <c r="M188" s="101">
        <v>0</v>
      </c>
      <c r="N188" s="101">
        <v>0</v>
      </c>
      <c r="O188" s="101">
        <v>0</v>
      </c>
      <c r="P188" s="101">
        <v>0</v>
      </c>
      <c r="Q188" s="101">
        <v>0</v>
      </c>
      <c r="R188" s="101">
        <v>0</v>
      </c>
    </row>
    <row r="189" spans="2:18">
      <c r="C189" s="52" t="s">
        <v>440</v>
      </c>
      <c r="D189" s="52"/>
      <c r="E189" s="52"/>
      <c r="F189" s="102">
        <v>2.1972397485683315</v>
      </c>
      <c r="G189" s="102">
        <v>2.1972397485683315</v>
      </c>
      <c r="H189" s="102">
        <v>2.1972397485683315</v>
      </c>
      <c r="I189" s="102">
        <v>2.1972397485683315</v>
      </c>
      <c r="J189" s="102">
        <v>2.1972397485683315</v>
      </c>
      <c r="K189" s="102">
        <v>2.1972397485683315</v>
      </c>
      <c r="L189" s="102">
        <v>2.1972397485683315</v>
      </c>
      <c r="M189" s="102">
        <v>2.1972397485683315</v>
      </c>
      <c r="N189" s="102">
        <v>2.1972397485683315</v>
      </c>
      <c r="O189" s="102">
        <v>2.1972397485683315</v>
      </c>
      <c r="P189" s="102">
        <v>2.1972397485683315</v>
      </c>
      <c r="Q189" s="102">
        <v>2.1972397485683315</v>
      </c>
      <c r="R189" s="102">
        <v>26.366876982819978</v>
      </c>
    </row>
    <row r="190" spans="2:18">
      <c r="C190" t="s">
        <v>441</v>
      </c>
      <c r="D190" t="s">
        <v>102</v>
      </c>
      <c r="E190" t="s">
        <v>26</v>
      </c>
      <c r="F190" s="101">
        <v>4.2000000000000003E-2</v>
      </c>
      <c r="G190" s="101">
        <v>4.2000000000000003E-2</v>
      </c>
      <c r="H190" s="101">
        <v>4.2000000000000003E-2</v>
      </c>
      <c r="I190" s="101">
        <v>4.2000000000000003E-2</v>
      </c>
      <c r="J190" s="101">
        <v>4.2000000000000003E-2</v>
      </c>
      <c r="K190" s="101">
        <v>4.2000000000000003E-2</v>
      </c>
      <c r="L190" s="101">
        <v>4.2000000000000003E-2</v>
      </c>
      <c r="M190" s="101">
        <v>4.2000000000000003E-2</v>
      </c>
      <c r="N190" s="101">
        <v>4.2000000000000003E-2</v>
      </c>
      <c r="O190" s="101">
        <v>4.2000000000000003E-2</v>
      </c>
      <c r="P190" s="101">
        <v>4.2000000000000003E-2</v>
      </c>
      <c r="Q190" s="101">
        <v>4.2000000000000003E-2</v>
      </c>
      <c r="R190" s="101">
        <v>0.50399999999999989</v>
      </c>
    </row>
    <row r="191" spans="2:18">
      <c r="E191" t="s">
        <v>20</v>
      </c>
      <c r="F191" s="101">
        <v>4.2000000000000003E-2</v>
      </c>
      <c r="G191" s="101">
        <v>4.2000000000000003E-2</v>
      </c>
      <c r="H191" s="101">
        <v>4.2000000000000003E-2</v>
      </c>
      <c r="I191" s="101">
        <v>4.2000000000000003E-2</v>
      </c>
      <c r="J191" s="101">
        <v>4.2000000000000003E-2</v>
      </c>
      <c r="K191" s="101">
        <v>4.2000000000000003E-2</v>
      </c>
      <c r="L191" s="101">
        <v>4.2000000000000003E-2</v>
      </c>
      <c r="M191" s="101">
        <v>4.2000000000000003E-2</v>
      </c>
      <c r="N191" s="101">
        <v>4.2000000000000003E-2</v>
      </c>
      <c r="O191" s="101">
        <v>4.2000000000000003E-2</v>
      </c>
      <c r="P191" s="101">
        <v>4.2000000000000003E-2</v>
      </c>
      <c r="Q191" s="101">
        <v>4.2000000000000003E-2</v>
      </c>
      <c r="R191" s="101">
        <v>0.50399999999999989</v>
      </c>
    </row>
    <row r="192" spans="2:18">
      <c r="E192" t="s">
        <v>24</v>
      </c>
      <c r="F192" s="101">
        <v>7.5600000000000001E-2</v>
      </c>
      <c r="G192" s="101">
        <v>7.5600000000000001E-2</v>
      </c>
      <c r="H192" s="101">
        <v>7.5600000000000001E-2</v>
      </c>
      <c r="I192" s="101">
        <v>7.5600000000000001E-2</v>
      </c>
      <c r="J192" s="101">
        <v>7.5600000000000001E-2</v>
      </c>
      <c r="K192" s="101">
        <v>7.5600000000000001E-2</v>
      </c>
      <c r="L192" s="101">
        <v>7.5600000000000001E-2</v>
      </c>
      <c r="M192" s="101">
        <v>7.5600000000000001E-2</v>
      </c>
      <c r="N192" s="101">
        <v>7.5600000000000001E-2</v>
      </c>
      <c r="O192" s="101">
        <v>7.5600000000000001E-2</v>
      </c>
      <c r="P192" s="101">
        <v>7.5600000000000001E-2</v>
      </c>
      <c r="Q192" s="101">
        <v>7.5600000000000001E-2</v>
      </c>
      <c r="R192" s="101">
        <v>0.90720000000000001</v>
      </c>
    </row>
    <row r="193" spans="3:18">
      <c r="E193" t="s">
        <v>8</v>
      </c>
      <c r="F193" s="101">
        <v>0.29400000000000004</v>
      </c>
      <c r="G193" s="101">
        <v>0.29400000000000004</v>
      </c>
      <c r="H193" s="101">
        <v>0.29400000000000004</v>
      </c>
      <c r="I193" s="101">
        <v>0.29400000000000004</v>
      </c>
      <c r="J193" s="101">
        <v>0.29400000000000004</v>
      </c>
      <c r="K193" s="101">
        <v>0.29400000000000004</v>
      </c>
      <c r="L193" s="101">
        <v>0.29400000000000004</v>
      </c>
      <c r="M193" s="101">
        <v>0.29400000000000004</v>
      </c>
      <c r="N193" s="101">
        <v>0.29400000000000004</v>
      </c>
      <c r="O193" s="101">
        <v>0.29400000000000004</v>
      </c>
      <c r="P193" s="101">
        <v>0.29400000000000004</v>
      </c>
      <c r="Q193" s="101">
        <v>0.29400000000000004</v>
      </c>
      <c r="R193" s="101">
        <v>3.528</v>
      </c>
    </row>
    <row r="194" spans="3:18">
      <c r="E194" t="s">
        <v>30</v>
      </c>
      <c r="F194" s="101">
        <v>5.0399999999999993E-2</v>
      </c>
      <c r="G194" s="101">
        <v>5.0399999999999993E-2</v>
      </c>
      <c r="H194" s="101">
        <v>5.0399999999999993E-2</v>
      </c>
      <c r="I194" s="101">
        <v>5.0399999999999993E-2</v>
      </c>
      <c r="J194" s="101">
        <v>5.0399999999999993E-2</v>
      </c>
      <c r="K194" s="101">
        <v>5.0399999999999993E-2</v>
      </c>
      <c r="L194" s="101">
        <v>5.0399999999999993E-2</v>
      </c>
      <c r="M194" s="101">
        <v>5.0399999999999993E-2</v>
      </c>
      <c r="N194" s="101">
        <v>5.0399999999999993E-2</v>
      </c>
      <c r="O194" s="101">
        <v>5.0399999999999993E-2</v>
      </c>
      <c r="P194" s="101">
        <v>5.0399999999999993E-2</v>
      </c>
      <c r="Q194" s="101">
        <v>5.0399999999999993E-2</v>
      </c>
      <c r="R194" s="101">
        <v>0.60479999999999989</v>
      </c>
    </row>
    <row r="195" spans="3:18">
      <c r="E195" t="s">
        <v>42</v>
      </c>
      <c r="F195" s="101">
        <v>0.1512</v>
      </c>
      <c r="G195" s="101">
        <v>0.1512</v>
      </c>
      <c r="H195" s="101">
        <v>0.1512</v>
      </c>
      <c r="I195" s="101">
        <v>0.1512</v>
      </c>
      <c r="J195" s="101">
        <v>0.1512</v>
      </c>
      <c r="K195" s="101">
        <v>0.1512</v>
      </c>
      <c r="L195" s="101">
        <v>0.1512</v>
      </c>
      <c r="M195" s="101">
        <v>0.1512</v>
      </c>
      <c r="N195" s="101">
        <v>0.1512</v>
      </c>
      <c r="O195" s="101">
        <v>0.1512</v>
      </c>
      <c r="P195" s="101">
        <v>0.1512</v>
      </c>
      <c r="Q195" s="101">
        <v>0.1512</v>
      </c>
      <c r="R195" s="101">
        <v>1.8144</v>
      </c>
    </row>
    <row r="196" spans="3:18">
      <c r="E196" t="s">
        <v>40</v>
      </c>
      <c r="F196" s="101">
        <v>0</v>
      </c>
      <c r="G196" s="101">
        <v>0</v>
      </c>
      <c r="H196" s="101">
        <v>0</v>
      </c>
      <c r="I196" s="101">
        <v>0</v>
      </c>
      <c r="J196" s="101">
        <v>0</v>
      </c>
      <c r="K196" s="101">
        <v>0</v>
      </c>
      <c r="L196" s="101">
        <v>0</v>
      </c>
      <c r="M196" s="101">
        <v>0</v>
      </c>
      <c r="N196" s="101">
        <v>0</v>
      </c>
      <c r="O196" s="101">
        <v>0</v>
      </c>
      <c r="P196" s="101">
        <v>0</v>
      </c>
      <c r="Q196" s="101">
        <v>0</v>
      </c>
      <c r="R196" s="101">
        <v>0</v>
      </c>
    </row>
    <row r="197" spans="3:18">
      <c r="E197" t="s">
        <v>47</v>
      </c>
      <c r="F197" s="101">
        <v>0.18479999999999996</v>
      </c>
      <c r="G197" s="101">
        <v>0.18479999999999996</v>
      </c>
      <c r="H197" s="101">
        <v>0.18479999999999996</v>
      </c>
      <c r="I197" s="101">
        <v>0.18479999999999996</v>
      </c>
      <c r="J197" s="101">
        <v>0.18479999999999996</v>
      </c>
      <c r="K197" s="101">
        <v>0.18479999999999996</v>
      </c>
      <c r="L197" s="101">
        <v>0.18479999999999996</v>
      </c>
      <c r="M197" s="101">
        <v>0.18479999999999996</v>
      </c>
      <c r="N197" s="101">
        <v>0.18479999999999996</v>
      </c>
      <c r="O197" s="101">
        <v>0.18479999999999996</v>
      </c>
      <c r="P197" s="101">
        <v>0.18479999999999996</v>
      </c>
      <c r="Q197" s="101">
        <v>0.18479999999999996</v>
      </c>
      <c r="R197" s="101">
        <v>2.2176</v>
      </c>
    </row>
    <row r="198" spans="3:18">
      <c r="C198" s="52" t="s">
        <v>442</v>
      </c>
      <c r="D198" s="52"/>
      <c r="E198" s="52"/>
      <c r="F198" s="102">
        <v>0.84</v>
      </c>
      <c r="G198" s="102">
        <v>0.84</v>
      </c>
      <c r="H198" s="102">
        <v>0.84</v>
      </c>
      <c r="I198" s="102">
        <v>0.84</v>
      </c>
      <c r="J198" s="102">
        <v>0.84</v>
      </c>
      <c r="K198" s="102">
        <v>0.84</v>
      </c>
      <c r="L198" s="102">
        <v>0.84</v>
      </c>
      <c r="M198" s="102">
        <v>0.84</v>
      </c>
      <c r="N198" s="102">
        <v>0.84</v>
      </c>
      <c r="O198" s="102">
        <v>0.84</v>
      </c>
      <c r="P198" s="102">
        <v>0.84</v>
      </c>
      <c r="Q198" s="102">
        <v>0.84</v>
      </c>
      <c r="R198" s="102">
        <v>10.08</v>
      </c>
    </row>
    <row r="199" spans="3:18">
      <c r="C199" t="s">
        <v>190</v>
      </c>
      <c r="D199" t="s">
        <v>191</v>
      </c>
      <c r="E199" t="s">
        <v>417</v>
      </c>
      <c r="F199" s="101">
        <v>0.51020408163265307</v>
      </c>
      <c r="G199" s="101">
        <v>0.51020408163265307</v>
      </c>
      <c r="H199" s="101">
        <v>0.51020408163265307</v>
      </c>
      <c r="I199" s="101">
        <v>0.51020408163265307</v>
      </c>
      <c r="J199" s="101">
        <v>0.51020408163265307</v>
      </c>
      <c r="K199" s="101">
        <v>0.51020408163265307</v>
      </c>
      <c r="L199" s="101">
        <v>0.51020408163265307</v>
      </c>
      <c r="M199" s="101">
        <v>0.51020408163265307</v>
      </c>
      <c r="N199" s="101">
        <v>0.51020408163265307</v>
      </c>
      <c r="O199" s="101">
        <v>0.51020408163265307</v>
      </c>
      <c r="P199" s="101">
        <v>0.51020408163265307</v>
      </c>
      <c r="Q199" s="101">
        <v>0.51020408163265307</v>
      </c>
      <c r="R199" s="101">
        <v>6.1224489795918382</v>
      </c>
    </row>
    <row r="200" spans="3:18">
      <c r="C200" s="52" t="s">
        <v>443</v>
      </c>
      <c r="D200" s="52"/>
      <c r="E200" s="52"/>
      <c r="F200" s="102">
        <v>0.51020408163265307</v>
      </c>
      <c r="G200" s="102">
        <v>0.51020408163265307</v>
      </c>
      <c r="H200" s="102">
        <v>0.51020408163265307</v>
      </c>
      <c r="I200" s="102">
        <v>0.51020408163265307</v>
      </c>
      <c r="J200" s="102">
        <v>0.51020408163265307</v>
      </c>
      <c r="K200" s="102">
        <v>0.51020408163265307</v>
      </c>
      <c r="L200" s="102">
        <v>0.51020408163265307</v>
      </c>
      <c r="M200" s="102">
        <v>0.51020408163265307</v>
      </c>
      <c r="N200" s="102">
        <v>0.51020408163265307</v>
      </c>
      <c r="O200" s="102">
        <v>0.51020408163265307</v>
      </c>
      <c r="P200" s="102">
        <v>0.51020408163265307</v>
      </c>
      <c r="Q200" s="102">
        <v>0.51020408163265307</v>
      </c>
      <c r="R200" s="102">
        <v>6.1224489795918382</v>
      </c>
    </row>
    <row r="201" spans="3:18">
      <c r="C201" t="s">
        <v>192</v>
      </c>
      <c r="D201" t="s">
        <v>193</v>
      </c>
      <c r="E201" t="s">
        <v>417</v>
      </c>
      <c r="F201" s="101">
        <v>0.62925170068027214</v>
      </c>
      <c r="G201" s="101">
        <v>0.62925170068027214</v>
      </c>
      <c r="H201" s="101">
        <v>0.62925170068027214</v>
      </c>
      <c r="I201" s="101">
        <v>0.62925170068027214</v>
      </c>
      <c r="J201" s="101">
        <v>0.62925170068027214</v>
      </c>
      <c r="K201" s="101">
        <v>0.62925170068027214</v>
      </c>
      <c r="L201" s="101">
        <v>0.62925170068027214</v>
      </c>
      <c r="M201" s="101">
        <v>0.62925170068027214</v>
      </c>
      <c r="N201" s="101">
        <v>0.62925170068027214</v>
      </c>
      <c r="O201" s="101">
        <v>0.62925170068027214</v>
      </c>
      <c r="P201" s="101">
        <v>0.62925170068027214</v>
      </c>
      <c r="Q201" s="101">
        <v>0.62925170068027214</v>
      </c>
      <c r="R201" s="101">
        <v>7.5510204081632653</v>
      </c>
    </row>
    <row r="202" spans="3:18">
      <c r="C202" s="52" t="s">
        <v>444</v>
      </c>
      <c r="D202" s="52"/>
      <c r="E202" s="52"/>
      <c r="F202" s="102">
        <v>0.62925170068027214</v>
      </c>
      <c r="G202" s="102">
        <v>0.62925170068027214</v>
      </c>
      <c r="H202" s="102">
        <v>0.62925170068027214</v>
      </c>
      <c r="I202" s="102">
        <v>0.62925170068027214</v>
      </c>
      <c r="J202" s="102">
        <v>0.62925170068027214</v>
      </c>
      <c r="K202" s="102">
        <v>0.62925170068027214</v>
      </c>
      <c r="L202" s="102">
        <v>0.62925170068027214</v>
      </c>
      <c r="M202" s="102">
        <v>0.62925170068027214</v>
      </c>
      <c r="N202" s="102">
        <v>0.62925170068027214</v>
      </c>
      <c r="O202" s="102">
        <v>0.62925170068027214</v>
      </c>
      <c r="P202" s="102">
        <v>0.62925170068027214</v>
      </c>
      <c r="Q202" s="102">
        <v>0.62925170068027214</v>
      </c>
      <c r="R202" s="102">
        <v>7.5510204081632653</v>
      </c>
    </row>
    <row r="203" spans="3:18">
      <c r="C203" t="s">
        <v>194</v>
      </c>
      <c r="D203" t="s">
        <v>195</v>
      </c>
      <c r="E203" t="s">
        <v>417</v>
      </c>
      <c r="F203" s="101">
        <v>0.25510204081632654</v>
      </c>
      <c r="G203" s="101">
        <v>0.25510204081632654</v>
      </c>
      <c r="H203" s="101">
        <v>0.25510204081632654</v>
      </c>
      <c r="I203" s="101">
        <v>0.25510204081632654</v>
      </c>
      <c r="J203" s="101">
        <v>0.25510204081632654</v>
      </c>
      <c r="K203" s="101">
        <v>0.25510204081632654</v>
      </c>
      <c r="L203" s="101">
        <v>0.25510204081632654</v>
      </c>
      <c r="M203" s="101">
        <v>0.25510204081632654</v>
      </c>
      <c r="N203" s="101">
        <v>0.25510204081632654</v>
      </c>
      <c r="O203" s="101">
        <v>0.25510204081632654</v>
      </c>
      <c r="P203" s="101">
        <v>0.25510204081632654</v>
      </c>
      <c r="Q203" s="101">
        <v>0.25510204081632654</v>
      </c>
      <c r="R203" s="101">
        <v>3.0612244897959191</v>
      </c>
    </row>
    <row r="204" spans="3:18">
      <c r="C204" s="52" t="s">
        <v>445</v>
      </c>
      <c r="D204" s="52"/>
      <c r="E204" s="52"/>
      <c r="F204" s="102">
        <v>0.25510204081632654</v>
      </c>
      <c r="G204" s="102">
        <v>0.25510204081632654</v>
      </c>
      <c r="H204" s="102">
        <v>0.25510204081632654</v>
      </c>
      <c r="I204" s="102">
        <v>0.25510204081632654</v>
      </c>
      <c r="J204" s="102">
        <v>0.25510204081632654</v>
      </c>
      <c r="K204" s="102">
        <v>0.25510204081632654</v>
      </c>
      <c r="L204" s="102">
        <v>0.25510204081632654</v>
      </c>
      <c r="M204" s="102">
        <v>0.25510204081632654</v>
      </c>
      <c r="N204" s="102">
        <v>0.25510204081632654</v>
      </c>
      <c r="O204" s="102">
        <v>0.25510204081632654</v>
      </c>
      <c r="P204" s="102">
        <v>0.25510204081632654</v>
      </c>
      <c r="Q204" s="102">
        <v>0.25510204081632654</v>
      </c>
      <c r="R204" s="102">
        <v>3.0612244897959191</v>
      </c>
    </row>
    <row r="205" spans="3:18">
      <c r="C205" t="s">
        <v>196</v>
      </c>
      <c r="D205" t="s">
        <v>197</v>
      </c>
      <c r="E205" t="s">
        <v>417</v>
      </c>
      <c r="F205" s="101">
        <v>2.5510204081632654E-2</v>
      </c>
      <c r="G205" s="101">
        <v>2.5510204081632654E-2</v>
      </c>
      <c r="H205" s="101">
        <v>2.5510204081632654E-2</v>
      </c>
      <c r="I205" s="101">
        <v>2.5510204081632654E-2</v>
      </c>
      <c r="J205" s="101">
        <v>2.5510204081632654E-2</v>
      </c>
      <c r="K205" s="101">
        <v>2.5510204081632654E-2</v>
      </c>
      <c r="L205" s="101">
        <v>2.5510204081632654E-2</v>
      </c>
      <c r="M205" s="101">
        <v>2.5510204081632654E-2</v>
      </c>
      <c r="N205" s="101">
        <v>2.5510204081632654E-2</v>
      </c>
      <c r="O205" s="101">
        <v>2.5510204081632654E-2</v>
      </c>
      <c r="P205" s="101">
        <v>2.5510204081632654E-2</v>
      </c>
      <c r="Q205" s="101">
        <v>2.5510204081632654E-2</v>
      </c>
      <c r="R205" s="101">
        <v>0.30612244897959184</v>
      </c>
    </row>
    <row r="206" spans="3:18">
      <c r="C206" s="52" t="s">
        <v>446</v>
      </c>
      <c r="D206" s="52"/>
      <c r="E206" s="52"/>
      <c r="F206" s="102">
        <v>2.5510204081632654E-2</v>
      </c>
      <c r="G206" s="102">
        <v>2.5510204081632654E-2</v>
      </c>
      <c r="H206" s="102">
        <v>2.5510204081632654E-2</v>
      </c>
      <c r="I206" s="102">
        <v>2.5510204081632654E-2</v>
      </c>
      <c r="J206" s="102">
        <v>2.5510204081632654E-2</v>
      </c>
      <c r="K206" s="102">
        <v>2.5510204081632654E-2</v>
      </c>
      <c r="L206" s="102">
        <v>2.5510204081632654E-2</v>
      </c>
      <c r="M206" s="102">
        <v>2.5510204081632654E-2</v>
      </c>
      <c r="N206" s="102">
        <v>2.5510204081632654E-2</v>
      </c>
      <c r="O206" s="102">
        <v>2.5510204081632654E-2</v>
      </c>
      <c r="P206" s="102">
        <v>2.5510204081632654E-2</v>
      </c>
      <c r="Q206" s="102">
        <v>2.5510204081632654E-2</v>
      </c>
      <c r="R206" s="102">
        <v>0.30612244897959184</v>
      </c>
    </row>
    <row r="207" spans="3:18">
      <c r="C207" t="s">
        <v>125</v>
      </c>
      <c r="D207" t="s">
        <v>127</v>
      </c>
      <c r="E207" t="s">
        <v>26</v>
      </c>
      <c r="F207" s="101">
        <v>0.48000000000000004</v>
      </c>
      <c r="G207" s="101">
        <v>0.48000000000000004</v>
      </c>
      <c r="H207" s="101">
        <v>0.48000000000000004</v>
      </c>
      <c r="I207" s="101">
        <v>0.48000000000000004</v>
      </c>
      <c r="J207" s="101">
        <v>0.48000000000000004</v>
      </c>
      <c r="K207" s="101">
        <v>0.48000000000000004</v>
      </c>
      <c r="L207" s="101">
        <v>0.48000000000000004</v>
      </c>
      <c r="M207" s="101">
        <v>0.48000000000000004</v>
      </c>
      <c r="N207" s="101">
        <v>0.48000000000000004</v>
      </c>
      <c r="O207" s="101">
        <v>0.48000000000000004</v>
      </c>
      <c r="P207" s="101">
        <v>0.48000000000000004</v>
      </c>
      <c r="Q207" s="101">
        <v>0.48000000000000004</v>
      </c>
      <c r="R207" s="101">
        <v>5.7600000000000016</v>
      </c>
    </row>
    <row r="208" spans="3:18">
      <c r="E208" t="s">
        <v>20</v>
      </c>
      <c r="F208" s="101">
        <v>0.21333333333333337</v>
      </c>
      <c r="G208" s="101">
        <v>0.21333333333333337</v>
      </c>
      <c r="H208" s="101">
        <v>0.21333333333333337</v>
      </c>
      <c r="I208" s="101">
        <v>0.21333333333333337</v>
      </c>
      <c r="J208" s="101">
        <v>0.21333333333333337</v>
      </c>
      <c r="K208" s="101">
        <v>0.21333333333333337</v>
      </c>
      <c r="L208" s="101">
        <v>0.21333333333333337</v>
      </c>
      <c r="M208" s="101">
        <v>0.21333333333333337</v>
      </c>
      <c r="N208" s="101">
        <v>0.21333333333333337</v>
      </c>
      <c r="O208" s="101">
        <v>0.21333333333333337</v>
      </c>
      <c r="P208" s="101">
        <v>0.21333333333333337</v>
      </c>
      <c r="Q208" s="101">
        <v>0.21333333333333337</v>
      </c>
      <c r="R208" s="101">
        <v>2.5600000000000005</v>
      </c>
    </row>
    <row r="209" spans="2:18">
      <c r="E209" t="s">
        <v>24</v>
      </c>
      <c r="F209" s="101">
        <v>0.11499999999999999</v>
      </c>
      <c r="G209" s="101">
        <v>0.11499999999999999</v>
      </c>
      <c r="H209" s="101">
        <v>0.11499999999999999</v>
      </c>
      <c r="I209" s="101">
        <v>0.11499999999999999</v>
      </c>
      <c r="J209" s="101">
        <v>0.11499999999999999</v>
      </c>
      <c r="K209" s="101">
        <v>0.11499999999999999</v>
      </c>
      <c r="L209" s="101">
        <v>0.11499999999999999</v>
      </c>
      <c r="M209" s="101">
        <v>0.11499999999999999</v>
      </c>
      <c r="N209" s="101">
        <v>0.11499999999999999</v>
      </c>
      <c r="O209" s="101">
        <v>0.11499999999999999</v>
      </c>
      <c r="P209" s="101">
        <v>0.11499999999999999</v>
      </c>
      <c r="Q209" s="101">
        <v>0.11499999999999999</v>
      </c>
      <c r="R209" s="101">
        <v>1.38</v>
      </c>
    </row>
    <row r="210" spans="2:18">
      <c r="E210" t="s">
        <v>8</v>
      </c>
      <c r="F210" s="101">
        <v>0.53333333333333333</v>
      </c>
      <c r="G210" s="101">
        <v>0.53333333333333333</v>
      </c>
      <c r="H210" s="101">
        <v>0.53333333333333333</v>
      </c>
      <c r="I210" s="101">
        <v>0.53333333333333333</v>
      </c>
      <c r="J210" s="101">
        <v>0.53333333333333333</v>
      </c>
      <c r="K210" s="101">
        <v>0.53333333333333333</v>
      </c>
      <c r="L210" s="101">
        <v>0.53333333333333333</v>
      </c>
      <c r="M210" s="101">
        <v>0.53333333333333333</v>
      </c>
      <c r="N210" s="101">
        <v>0.53333333333333333</v>
      </c>
      <c r="O210" s="101">
        <v>0.53333333333333333</v>
      </c>
      <c r="P210" s="101">
        <v>0.53333333333333333</v>
      </c>
      <c r="Q210" s="101">
        <v>0.53333333333333333</v>
      </c>
      <c r="R210" s="101">
        <v>6.3999999999999995</v>
      </c>
    </row>
    <row r="211" spans="2:18">
      <c r="E211" t="s">
        <v>30</v>
      </c>
      <c r="F211" s="101">
        <v>0.08</v>
      </c>
      <c r="G211" s="101">
        <v>0.08</v>
      </c>
      <c r="H211" s="101">
        <v>0.08</v>
      </c>
      <c r="I211" s="101">
        <v>0.08</v>
      </c>
      <c r="J211" s="101">
        <v>0.08</v>
      </c>
      <c r="K211" s="101">
        <v>0.08</v>
      </c>
      <c r="L211" s="101">
        <v>0.08</v>
      </c>
      <c r="M211" s="101">
        <v>0.08</v>
      </c>
      <c r="N211" s="101">
        <v>0.08</v>
      </c>
      <c r="O211" s="101">
        <v>0.08</v>
      </c>
      <c r="P211" s="101">
        <v>0.08</v>
      </c>
      <c r="Q211" s="101">
        <v>0.08</v>
      </c>
      <c r="R211" s="101">
        <v>0.95999999999999985</v>
      </c>
    </row>
    <row r="212" spans="2:18">
      <c r="E212" t="s">
        <v>42</v>
      </c>
      <c r="F212" s="101">
        <v>6.6666666666666666E-2</v>
      </c>
      <c r="G212" s="101">
        <v>6.6666666666666666E-2</v>
      </c>
      <c r="H212" s="101">
        <v>6.6666666666666666E-2</v>
      </c>
      <c r="I212" s="101">
        <v>6.6666666666666666E-2</v>
      </c>
      <c r="J212" s="101">
        <v>6.6666666666666666E-2</v>
      </c>
      <c r="K212" s="101">
        <v>6.6666666666666666E-2</v>
      </c>
      <c r="L212" s="101">
        <v>6.6666666666666666E-2</v>
      </c>
      <c r="M212" s="101">
        <v>6.6666666666666666E-2</v>
      </c>
      <c r="N212" s="101">
        <v>6.6666666666666666E-2</v>
      </c>
      <c r="O212" s="101">
        <v>6.6666666666666666E-2</v>
      </c>
      <c r="P212" s="101">
        <v>6.6666666666666666E-2</v>
      </c>
      <c r="Q212" s="101">
        <v>6.6666666666666666E-2</v>
      </c>
      <c r="R212" s="101">
        <v>0.79999999999999993</v>
      </c>
    </row>
    <row r="213" spans="2:18">
      <c r="E213" t="s">
        <v>40</v>
      </c>
      <c r="F213" s="101">
        <v>6.6666666666666666E-2</v>
      </c>
      <c r="G213" s="101">
        <v>6.6666666666666666E-2</v>
      </c>
      <c r="H213" s="101">
        <v>6.6666666666666666E-2</v>
      </c>
      <c r="I213" s="101">
        <v>6.6666666666666666E-2</v>
      </c>
      <c r="J213" s="101">
        <v>6.6666666666666666E-2</v>
      </c>
      <c r="K213" s="101">
        <v>6.6666666666666666E-2</v>
      </c>
      <c r="L213" s="101">
        <v>6.6666666666666666E-2</v>
      </c>
      <c r="M213" s="101">
        <v>6.6666666666666666E-2</v>
      </c>
      <c r="N213" s="101">
        <v>6.6666666666666666E-2</v>
      </c>
      <c r="O213" s="101">
        <v>6.6666666666666666E-2</v>
      </c>
      <c r="P213" s="101">
        <v>6.6666666666666666E-2</v>
      </c>
      <c r="Q213" s="101">
        <v>6.6666666666666666E-2</v>
      </c>
      <c r="R213" s="101">
        <v>0.79999999999999993</v>
      </c>
    </row>
    <row r="214" spans="2:18">
      <c r="E214" t="s">
        <v>47</v>
      </c>
      <c r="F214" s="101">
        <v>0.16</v>
      </c>
      <c r="G214" s="101">
        <v>0.16</v>
      </c>
      <c r="H214" s="101">
        <v>0.16</v>
      </c>
      <c r="I214" s="101">
        <v>0.16</v>
      </c>
      <c r="J214" s="101">
        <v>0.16</v>
      </c>
      <c r="K214" s="101">
        <v>0.16</v>
      </c>
      <c r="L214" s="101">
        <v>0.16</v>
      </c>
      <c r="M214" s="101">
        <v>0.16</v>
      </c>
      <c r="N214" s="101">
        <v>0.16</v>
      </c>
      <c r="O214" s="101">
        <v>0.16</v>
      </c>
      <c r="P214" s="101">
        <v>0.16</v>
      </c>
      <c r="Q214" s="101">
        <v>0.16</v>
      </c>
      <c r="R214" s="101">
        <v>1.9199999999999997</v>
      </c>
    </row>
    <row r="215" spans="2:18">
      <c r="E215" t="s">
        <v>417</v>
      </c>
      <c r="F215" s="101">
        <v>0.48000000000000004</v>
      </c>
      <c r="G215" s="101">
        <v>0.48000000000000004</v>
      </c>
      <c r="H215" s="101">
        <v>0.48000000000000004</v>
      </c>
      <c r="I215" s="101">
        <v>0.48000000000000004</v>
      </c>
      <c r="J215" s="101">
        <v>0.48000000000000004</v>
      </c>
      <c r="K215" s="101">
        <v>0.48000000000000004</v>
      </c>
      <c r="L215" s="101">
        <v>0.48000000000000004</v>
      </c>
      <c r="M215" s="101">
        <v>0.48000000000000004</v>
      </c>
      <c r="N215" s="101">
        <v>0.48000000000000004</v>
      </c>
      <c r="O215" s="101">
        <v>0.48000000000000004</v>
      </c>
      <c r="P215" s="101">
        <v>0.48000000000000004</v>
      </c>
      <c r="Q215" s="101">
        <v>0.48000000000000004</v>
      </c>
      <c r="R215" s="101">
        <v>5.7600000000000016</v>
      </c>
    </row>
    <row r="216" spans="2:18">
      <c r="C216" s="52" t="s">
        <v>407</v>
      </c>
      <c r="D216" s="52"/>
      <c r="E216" s="52"/>
      <c r="F216" s="102">
        <v>2.1950000000000003</v>
      </c>
      <c r="G216" s="102">
        <v>2.1950000000000003</v>
      </c>
      <c r="H216" s="102">
        <v>2.1950000000000003</v>
      </c>
      <c r="I216" s="102">
        <v>2.1950000000000003</v>
      </c>
      <c r="J216" s="102">
        <v>2.1950000000000003</v>
      </c>
      <c r="K216" s="102">
        <v>2.1950000000000003</v>
      </c>
      <c r="L216" s="102">
        <v>2.1950000000000003</v>
      </c>
      <c r="M216" s="102">
        <v>2.1950000000000003</v>
      </c>
      <c r="N216" s="102">
        <v>2.1950000000000003</v>
      </c>
      <c r="O216" s="102">
        <v>2.1950000000000003</v>
      </c>
      <c r="P216" s="102">
        <v>2.1950000000000003</v>
      </c>
      <c r="Q216" s="102">
        <v>2.1950000000000003</v>
      </c>
      <c r="R216" s="102">
        <v>26.340000000000003</v>
      </c>
    </row>
    <row r="217" spans="2:18">
      <c r="B217" s="53" t="s">
        <v>409</v>
      </c>
      <c r="C217" s="53"/>
      <c r="D217" s="53"/>
      <c r="E217" s="53"/>
      <c r="F217" s="103">
        <v>6.6523077757792173</v>
      </c>
      <c r="G217" s="103">
        <v>6.6523077757792173</v>
      </c>
      <c r="H217" s="103">
        <v>6.6523077757792173</v>
      </c>
      <c r="I217" s="103">
        <v>6.6523077757792173</v>
      </c>
      <c r="J217" s="103">
        <v>6.6523077757792173</v>
      </c>
      <c r="K217" s="103">
        <v>6.6523077757792173</v>
      </c>
      <c r="L217" s="103">
        <v>6.6523077757792173</v>
      </c>
      <c r="M217" s="103">
        <v>6.6523077757792173</v>
      </c>
      <c r="N217" s="103">
        <v>6.6523077757792173</v>
      </c>
      <c r="O217" s="103">
        <v>6.6523077757792173</v>
      </c>
      <c r="P217" s="103">
        <v>6.6523077757792173</v>
      </c>
      <c r="Q217" s="103">
        <v>6.6523077757792173</v>
      </c>
      <c r="R217" s="103">
        <v>79.827693309350593</v>
      </c>
    </row>
    <row r="218" spans="2:18">
      <c r="B218" t="s">
        <v>101</v>
      </c>
      <c r="C218" t="s">
        <v>441</v>
      </c>
      <c r="D218" t="s">
        <v>100</v>
      </c>
      <c r="E218" t="s">
        <v>26</v>
      </c>
      <c r="F218" s="101">
        <v>0.23005833333333339</v>
      </c>
      <c r="G218" s="101">
        <v>0.23005833333333339</v>
      </c>
      <c r="H218" s="101">
        <v>0.23005833333333339</v>
      </c>
      <c r="I218" s="101">
        <v>0.23005833333333339</v>
      </c>
      <c r="J218" s="101">
        <v>0.23005833333333339</v>
      </c>
      <c r="K218" s="101">
        <v>0.23005833333333339</v>
      </c>
      <c r="L218" s="101">
        <v>0.23005833333333339</v>
      </c>
      <c r="M218" s="101">
        <v>0.23005833333333339</v>
      </c>
      <c r="N218" s="101">
        <v>0.23005833333333339</v>
      </c>
      <c r="O218" s="101">
        <v>0.23005833333333339</v>
      </c>
      <c r="P218" s="101">
        <v>0.23005833333333339</v>
      </c>
      <c r="Q218" s="101">
        <v>0.23005833333333339</v>
      </c>
      <c r="R218" s="101">
        <v>2.7607000000000013</v>
      </c>
    </row>
    <row r="219" spans="2:18">
      <c r="E219" t="s">
        <v>20</v>
      </c>
      <c r="F219" s="101">
        <v>0.23005833333333339</v>
      </c>
      <c r="G219" s="101">
        <v>0.23005833333333339</v>
      </c>
      <c r="H219" s="101">
        <v>0.23005833333333339</v>
      </c>
      <c r="I219" s="101">
        <v>0.23005833333333339</v>
      </c>
      <c r="J219" s="101">
        <v>0.23005833333333339</v>
      </c>
      <c r="K219" s="101">
        <v>0.23005833333333339</v>
      </c>
      <c r="L219" s="101">
        <v>0.23005833333333339</v>
      </c>
      <c r="M219" s="101">
        <v>0.23005833333333339</v>
      </c>
      <c r="N219" s="101">
        <v>0.23005833333333339</v>
      </c>
      <c r="O219" s="101">
        <v>0.23005833333333339</v>
      </c>
      <c r="P219" s="101">
        <v>0.23005833333333339</v>
      </c>
      <c r="Q219" s="101">
        <v>0.23005833333333339</v>
      </c>
      <c r="R219" s="101">
        <v>2.7607000000000013</v>
      </c>
    </row>
    <row r="220" spans="2:18">
      <c r="E220" t="s">
        <v>24</v>
      </c>
      <c r="F220" s="101">
        <v>0.41410500000000006</v>
      </c>
      <c r="G220" s="101">
        <v>0.41410500000000006</v>
      </c>
      <c r="H220" s="101">
        <v>0.41410500000000006</v>
      </c>
      <c r="I220" s="101">
        <v>0.41410500000000006</v>
      </c>
      <c r="J220" s="101">
        <v>0.41410500000000006</v>
      </c>
      <c r="K220" s="101">
        <v>0.41410500000000006</v>
      </c>
      <c r="L220" s="101">
        <v>0.41410500000000006</v>
      </c>
      <c r="M220" s="101">
        <v>0.41410500000000006</v>
      </c>
      <c r="N220" s="101">
        <v>0.41410500000000006</v>
      </c>
      <c r="O220" s="101">
        <v>0.41410500000000006</v>
      </c>
      <c r="P220" s="101">
        <v>0.41410500000000006</v>
      </c>
      <c r="Q220" s="101">
        <v>0.41410500000000006</v>
      </c>
      <c r="R220" s="101">
        <v>4.9692600000000011</v>
      </c>
    </row>
    <row r="221" spans="2:18">
      <c r="E221" t="s">
        <v>8</v>
      </c>
      <c r="F221" s="101">
        <v>1.6104083333333334</v>
      </c>
      <c r="G221" s="101">
        <v>1.6104083333333334</v>
      </c>
      <c r="H221" s="101">
        <v>1.6104083333333334</v>
      </c>
      <c r="I221" s="101">
        <v>1.6104083333333334</v>
      </c>
      <c r="J221" s="101">
        <v>1.6104083333333334</v>
      </c>
      <c r="K221" s="101">
        <v>1.6104083333333334</v>
      </c>
      <c r="L221" s="101">
        <v>1.6104083333333334</v>
      </c>
      <c r="M221" s="101">
        <v>1.6104083333333334</v>
      </c>
      <c r="N221" s="101">
        <v>1.6104083333333334</v>
      </c>
      <c r="O221" s="101">
        <v>1.6104083333333334</v>
      </c>
      <c r="P221" s="101">
        <v>1.6104083333333334</v>
      </c>
      <c r="Q221" s="101">
        <v>1.6104083333333334</v>
      </c>
      <c r="R221" s="101">
        <v>19.3249</v>
      </c>
    </row>
    <row r="222" spans="2:18">
      <c r="E222" t="s">
        <v>30</v>
      </c>
      <c r="F222" s="101">
        <v>0.27606999999999998</v>
      </c>
      <c r="G222" s="101">
        <v>0.27606999999999998</v>
      </c>
      <c r="H222" s="101">
        <v>0.27606999999999998</v>
      </c>
      <c r="I222" s="101">
        <v>0.27606999999999998</v>
      </c>
      <c r="J222" s="101">
        <v>0.27606999999999998</v>
      </c>
      <c r="K222" s="101">
        <v>0.27606999999999998</v>
      </c>
      <c r="L222" s="101">
        <v>0.27606999999999998</v>
      </c>
      <c r="M222" s="101">
        <v>0.27606999999999998</v>
      </c>
      <c r="N222" s="101">
        <v>0.27606999999999998</v>
      </c>
      <c r="O222" s="101">
        <v>0.27606999999999998</v>
      </c>
      <c r="P222" s="101">
        <v>0.27606999999999998</v>
      </c>
      <c r="Q222" s="101">
        <v>0.27606999999999998</v>
      </c>
      <c r="R222" s="101">
        <v>3.3128399999999991</v>
      </c>
    </row>
    <row r="223" spans="2:18">
      <c r="E223" t="s">
        <v>42</v>
      </c>
      <c r="F223" s="101">
        <v>0.82821000000000011</v>
      </c>
      <c r="G223" s="101">
        <v>0.82821000000000011</v>
      </c>
      <c r="H223" s="101">
        <v>0.82821000000000011</v>
      </c>
      <c r="I223" s="101">
        <v>0.82821000000000011</v>
      </c>
      <c r="J223" s="101">
        <v>0.82821000000000011</v>
      </c>
      <c r="K223" s="101">
        <v>0.82821000000000011</v>
      </c>
      <c r="L223" s="101">
        <v>0.82821000000000011</v>
      </c>
      <c r="M223" s="101">
        <v>0.82821000000000011</v>
      </c>
      <c r="N223" s="101">
        <v>0.82821000000000011</v>
      </c>
      <c r="O223" s="101">
        <v>0.82821000000000011</v>
      </c>
      <c r="P223" s="101">
        <v>0.82821000000000011</v>
      </c>
      <c r="Q223" s="101">
        <v>0.82821000000000011</v>
      </c>
      <c r="R223" s="101">
        <v>9.9385200000000022</v>
      </c>
    </row>
    <row r="224" spans="2:18">
      <c r="E224" t="s">
        <v>40</v>
      </c>
      <c r="F224" s="101">
        <v>0</v>
      </c>
      <c r="G224" s="101">
        <v>0</v>
      </c>
      <c r="H224" s="101">
        <v>0</v>
      </c>
      <c r="I224" s="101">
        <v>0</v>
      </c>
      <c r="J224" s="101">
        <v>0</v>
      </c>
      <c r="K224" s="101">
        <v>0</v>
      </c>
      <c r="L224" s="101">
        <v>0</v>
      </c>
      <c r="M224" s="101">
        <v>0</v>
      </c>
      <c r="N224" s="101">
        <v>0</v>
      </c>
      <c r="O224" s="101">
        <v>0</v>
      </c>
      <c r="P224" s="101">
        <v>0</v>
      </c>
      <c r="Q224" s="101">
        <v>0</v>
      </c>
      <c r="R224" s="101">
        <v>0</v>
      </c>
    </row>
    <row r="225" spans="2:18">
      <c r="E225" t="s">
        <v>47</v>
      </c>
      <c r="F225" s="101">
        <v>1.0122566666666666</v>
      </c>
      <c r="G225" s="101">
        <v>1.0122566666666666</v>
      </c>
      <c r="H225" s="101">
        <v>1.0122566666666666</v>
      </c>
      <c r="I225" s="101">
        <v>1.0122566666666666</v>
      </c>
      <c r="J225" s="101">
        <v>1.0122566666666666</v>
      </c>
      <c r="K225" s="101">
        <v>1.0122566666666666</v>
      </c>
      <c r="L225" s="101">
        <v>1.0122566666666666</v>
      </c>
      <c r="M225" s="101">
        <v>1.0122566666666666</v>
      </c>
      <c r="N225" s="101">
        <v>1.0122566666666666</v>
      </c>
      <c r="O225" s="101">
        <v>1.0122566666666666</v>
      </c>
      <c r="P225" s="101">
        <v>1.0122566666666666</v>
      </c>
      <c r="Q225" s="101">
        <v>1.0122566666666666</v>
      </c>
      <c r="R225" s="101">
        <v>12.147079999999995</v>
      </c>
    </row>
    <row r="226" spans="2:18">
      <c r="C226" s="52" t="s">
        <v>442</v>
      </c>
      <c r="D226" s="52"/>
      <c r="E226" s="52"/>
      <c r="F226" s="102">
        <v>4.6011666666666668</v>
      </c>
      <c r="G226" s="102">
        <v>4.6011666666666668</v>
      </c>
      <c r="H226" s="102">
        <v>4.6011666666666668</v>
      </c>
      <c r="I226" s="102">
        <v>4.6011666666666668</v>
      </c>
      <c r="J226" s="102">
        <v>4.6011666666666668</v>
      </c>
      <c r="K226" s="102">
        <v>4.6011666666666668</v>
      </c>
      <c r="L226" s="102">
        <v>4.6011666666666668</v>
      </c>
      <c r="M226" s="102">
        <v>4.6011666666666668</v>
      </c>
      <c r="N226" s="102">
        <v>4.6011666666666668</v>
      </c>
      <c r="O226" s="102">
        <v>4.6011666666666668</v>
      </c>
      <c r="P226" s="102">
        <v>4.6011666666666668</v>
      </c>
      <c r="Q226" s="102">
        <v>4.6011666666666668</v>
      </c>
      <c r="R226" s="102">
        <v>55.214000000000006</v>
      </c>
    </row>
    <row r="227" spans="2:18">
      <c r="C227" t="s">
        <v>107</v>
      </c>
      <c r="D227" t="s">
        <v>108</v>
      </c>
      <c r="E227" t="s">
        <v>26</v>
      </c>
      <c r="F227" s="101">
        <v>0.60799319727891166</v>
      </c>
      <c r="G227" s="101">
        <v>0.60799319727891166</v>
      </c>
      <c r="H227" s="101">
        <v>0.60799319727891166</v>
      </c>
      <c r="I227" s="101">
        <v>0.60799319727891166</v>
      </c>
      <c r="J227" s="101">
        <v>0.60799319727891166</v>
      </c>
      <c r="K227" s="101">
        <v>0.60799319727891166</v>
      </c>
      <c r="L227" s="101">
        <v>0.60799319727891166</v>
      </c>
      <c r="M227" s="101">
        <v>0.60799319727891166</v>
      </c>
      <c r="N227" s="101">
        <v>0.60799319727891166</v>
      </c>
      <c r="O227" s="101">
        <v>0.60799319727891166</v>
      </c>
      <c r="P227" s="101">
        <v>0.60799319727891166</v>
      </c>
      <c r="Q227" s="101">
        <v>0.60799319727891166</v>
      </c>
      <c r="R227" s="101">
        <v>7.2959183673469417</v>
      </c>
    </row>
    <row r="228" spans="2:18">
      <c r="E228" t="s">
        <v>20</v>
      </c>
      <c r="F228" s="101">
        <v>0.233843537414966</v>
      </c>
      <c r="G228" s="101">
        <v>0.233843537414966</v>
      </c>
      <c r="H228" s="101">
        <v>0.233843537414966</v>
      </c>
      <c r="I228" s="101">
        <v>0.233843537414966</v>
      </c>
      <c r="J228" s="101">
        <v>0.233843537414966</v>
      </c>
      <c r="K228" s="101">
        <v>0.233843537414966</v>
      </c>
      <c r="L228" s="101">
        <v>0.233843537414966</v>
      </c>
      <c r="M228" s="101">
        <v>0.233843537414966</v>
      </c>
      <c r="N228" s="101">
        <v>0.233843537414966</v>
      </c>
      <c r="O228" s="101">
        <v>0.233843537414966</v>
      </c>
      <c r="P228" s="101">
        <v>0.233843537414966</v>
      </c>
      <c r="Q228" s="101">
        <v>0.233843537414966</v>
      </c>
      <c r="R228" s="101">
        <v>2.8061224489795928</v>
      </c>
    </row>
    <row r="229" spans="2:18">
      <c r="E229" t="s">
        <v>8</v>
      </c>
      <c r="F229" s="101">
        <v>3.8350340136054424</v>
      </c>
      <c r="G229" s="101">
        <v>3.8350340136054424</v>
      </c>
      <c r="H229" s="101">
        <v>3.8350340136054424</v>
      </c>
      <c r="I229" s="101">
        <v>3.8350340136054424</v>
      </c>
      <c r="J229" s="101">
        <v>3.8350340136054424</v>
      </c>
      <c r="K229" s="101">
        <v>3.8350340136054424</v>
      </c>
      <c r="L229" s="101">
        <v>3.8350340136054424</v>
      </c>
      <c r="M229" s="101">
        <v>3.8350340136054424</v>
      </c>
      <c r="N229" s="101">
        <v>3.8350340136054424</v>
      </c>
      <c r="O229" s="101">
        <v>3.8350340136054424</v>
      </c>
      <c r="P229" s="101">
        <v>3.8350340136054424</v>
      </c>
      <c r="Q229" s="101">
        <v>3.8350340136054424</v>
      </c>
      <c r="R229" s="101">
        <v>46.020408163265323</v>
      </c>
    </row>
    <row r="230" spans="2:18">
      <c r="C230" s="52" t="s">
        <v>447</v>
      </c>
      <c r="D230" s="52"/>
      <c r="E230" s="52"/>
      <c r="F230" s="102">
        <v>4.6768707482993204</v>
      </c>
      <c r="G230" s="102">
        <v>4.6768707482993204</v>
      </c>
      <c r="H230" s="102">
        <v>4.6768707482993204</v>
      </c>
      <c r="I230" s="102">
        <v>4.6768707482993204</v>
      </c>
      <c r="J230" s="102">
        <v>4.6768707482993204</v>
      </c>
      <c r="K230" s="102">
        <v>4.6768707482993204</v>
      </c>
      <c r="L230" s="102">
        <v>4.6768707482993204</v>
      </c>
      <c r="M230" s="102">
        <v>4.6768707482993204</v>
      </c>
      <c r="N230" s="102">
        <v>4.6768707482993204</v>
      </c>
      <c r="O230" s="102">
        <v>4.6768707482993204</v>
      </c>
      <c r="P230" s="102">
        <v>4.6768707482993204</v>
      </c>
      <c r="Q230" s="102">
        <v>4.6768707482993204</v>
      </c>
      <c r="R230" s="102">
        <v>56.122448979591859</v>
      </c>
    </row>
    <row r="231" spans="2:18">
      <c r="B231" s="53" t="s">
        <v>410</v>
      </c>
      <c r="C231" s="53"/>
      <c r="D231" s="53"/>
      <c r="E231" s="53"/>
      <c r="F231" s="103">
        <v>9.2780374149659863</v>
      </c>
      <c r="G231" s="103">
        <v>9.2780374149659863</v>
      </c>
      <c r="H231" s="103">
        <v>9.2780374149659863</v>
      </c>
      <c r="I231" s="103">
        <v>9.2780374149659863</v>
      </c>
      <c r="J231" s="103">
        <v>9.2780374149659863</v>
      </c>
      <c r="K231" s="103">
        <v>9.2780374149659863</v>
      </c>
      <c r="L231" s="103">
        <v>9.2780374149659863</v>
      </c>
      <c r="M231" s="103">
        <v>9.2780374149659863</v>
      </c>
      <c r="N231" s="103">
        <v>9.2780374149659863</v>
      </c>
      <c r="O231" s="103">
        <v>9.2780374149659863</v>
      </c>
      <c r="P231" s="103">
        <v>9.2780374149659863</v>
      </c>
      <c r="Q231" s="103">
        <v>9.2780374149659863</v>
      </c>
      <c r="R231" s="103">
        <v>111.33644897959186</v>
      </c>
    </row>
    <row r="232" spans="2:18">
      <c r="B232" t="s">
        <v>132</v>
      </c>
      <c r="C232" t="s">
        <v>130</v>
      </c>
      <c r="D232" t="s">
        <v>131</v>
      </c>
      <c r="E232" t="s">
        <v>20</v>
      </c>
      <c r="F232" s="101">
        <v>0.3401360544217687</v>
      </c>
      <c r="G232" s="101">
        <v>0.3401360544217687</v>
      </c>
      <c r="H232" s="101">
        <v>0.3401360544217687</v>
      </c>
      <c r="I232" s="101">
        <v>0.3401360544217687</v>
      </c>
      <c r="J232" s="101">
        <v>0.3401360544217687</v>
      </c>
      <c r="K232" s="101">
        <v>0.3401360544217687</v>
      </c>
      <c r="L232" s="101">
        <v>0.3401360544217687</v>
      </c>
      <c r="M232" s="101">
        <v>0.3401360544217687</v>
      </c>
      <c r="N232" s="101">
        <v>0.3401360544217687</v>
      </c>
      <c r="O232" s="101">
        <v>0.3401360544217687</v>
      </c>
      <c r="P232" s="101">
        <v>0.3401360544217687</v>
      </c>
      <c r="Q232" s="101">
        <v>0.3401360544217687</v>
      </c>
      <c r="R232" s="101">
        <v>4.0816326530612246</v>
      </c>
    </row>
    <row r="233" spans="2:18">
      <c r="C233" s="52" t="s">
        <v>448</v>
      </c>
      <c r="D233" s="52"/>
      <c r="E233" s="52"/>
      <c r="F233" s="102">
        <v>0.3401360544217687</v>
      </c>
      <c r="G233" s="102">
        <v>0.3401360544217687</v>
      </c>
      <c r="H233" s="102">
        <v>0.3401360544217687</v>
      </c>
      <c r="I233" s="102">
        <v>0.3401360544217687</v>
      </c>
      <c r="J233" s="102">
        <v>0.3401360544217687</v>
      </c>
      <c r="K233" s="102">
        <v>0.3401360544217687</v>
      </c>
      <c r="L233" s="102">
        <v>0.3401360544217687</v>
      </c>
      <c r="M233" s="102">
        <v>0.3401360544217687</v>
      </c>
      <c r="N233" s="102">
        <v>0.3401360544217687</v>
      </c>
      <c r="O233" s="102">
        <v>0.3401360544217687</v>
      </c>
      <c r="P233" s="102">
        <v>0.3401360544217687</v>
      </c>
      <c r="Q233" s="102">
        <v>0.3401360544217687</v>
      </c>
      <c r="R233" s="102">
        <v>4.0816326530612246</v>
      </c>
    </row>
    <row r="234" spans="2:18">
      <c r="C234" t="s">
        <v>133</v>
      </c>
      <c r="D234" t="s">
        <v>131</v>
      </c>
      <c r="E234" t="s">
        <v>26</v>
      </c>
      <c r="F234" s="101">
        <v>0.25510204081632654</v>
      </c>
      <c r="G234" s="101">
        <v>0.25510204081632654</v>
      </c>
      <c r="H234" s="101">
        <v>0.25510204081632654</v>
      </c>
      <c r="I234" s="101">
        <v>0.25510204081632654</v>
      </c>
      <c r="J234" s="101">
        <v>0.25510204081632654</v>
      </c>
      <c r="K234" s="101">
        <v>0.25510204081632654</v>
      </c>
      <c r="L234" s="101">
        <v>0.25510204081632654</v>
      </c>
      <c r="M234" s="101">
        <v>0.25510204081632654</v>
      </c>
      <c r="N234" s="101">
        <v>0.25510204081632654</v>
      </c>
      <c r="O234" s="101">
        <v>0.25510204081632654</v>
      </c>
      <c r="P234" s="101">
        <v>0.25510204081632654</v>
      </c>
      <c r="Q234" s="101">
        <v>0.25510204081632654</v>
      </c>
      <c r="R234" s="101">
        <v>3.0612244897959191</v>
      </c>
    </row>
    <row r="235" spans="2:18">
      <c r="E235" t="s">
        <v>8</v>
      </c>
      <c r="F235" s="101">
        <v>0.25510204081632654</v>
      </c>
      <c r="G235" s="101">
        <v>0.25510204081632654</v>
      </c>
      <c r="H235" s="101">
        <v>0.25510204081632654</v>
      </c>
      <c r="I235" s="101">
        <v>0.25510204081632654</v>
      </c>
      <c r="J235" s="101">
        <v>0.25510204081632654</v>
      </c>
      <c r="K235" s="101">
        <v>0.25510204081632654</v>
      </c>
      <c r="L235" s="101">
        <v>0.25510204081632654</v>
      </c>
      <c r="M235" s="101">
        <v>0.25510204081632654</v>
      </c>
      <c r="N235" s="101">
        <v>0.25510204081632654</v>
      </c>
      <c r="O235" s="101">
        <v>0.25510204081632654</v>
      </c>
      <c r="P235" s="101">
        <v>0.25510204081632654</v>
      </c>
      <c r="Q235" s="101">
        <v>0.25510204081632654</v>
      </c>
      <c r="R235" s="101">
        <v>3.0612244897959191</v>
      </c>
    </row>
    <row r="236" spans="2:18">
      <c r="E236" t="s">
        <v>30</v>
      </c>
      <c r="F236" s="101">
        <v>0</v>
      </c>
      <c r="G236" s="101">
        <v>0</v>
      </c>
      <c r="H236" s="101">
        <v>0</v>
      </c>
      <c r="I236" s="101">
        <v>0</v>
      </c>
      <c r="J236" s="101">
        <v>0</v>
      </c>
      <c r="K236" s="101">
        <v>0</v>
      </c>
      <c r="L236" s="101">
        <v>0</v>
      </c>
      <c r="M236" s="101">
        <v>0</v>
      </c>
      <c r="N236" s="101">
        <v>0</v>
      </c>
      <c r="O236" s="101">
        <v>0</v>
      </c>
      <c r="P236" s="101">
        <v>0</v>
      </c>
      <c r="Q236" s="101">
        <v>0</v>
      </c>
      <c r="R236" s="101">
        <v>0</v>
      </c>
    </row>
    <row r="237" spans="2:18">
      <c r="E237" t="s">
        <v>42</v>
      </c>
      <c r="F237" s="101">
        <v>0</v>
      </c>
      <c r="G237" s="101">
        <v>0</v>
      </c>
      <c r="H237" s="101">
        <v>0</v>
      </c>
      <c r="I237" s="101">
        <v>0</v>
      </c>
      <c r="J237" s="101">
        <v>0</v>
      </c>
      <c r="K237" s="101">
        <v>0</v>
      </c>
      <c r="L237" s="101">
        <v>0</v>
      </c>
      <c r="M237" s="101">
        <v>0</v>
      </c>
      <c r="N237" s="101">
        <v>0</v>
      </c>
      <c r="O237" s="101">
        <v>0</v>
      </c>
      <c r="P237" s="101">
        <v>0</v>
      </c>
      <c r="Q237" s="101">
        <v>0</v>
      </c>
      <c r="R237" s="101">
        <v>0</v>
      </c>
    </row>
    <row r="238" spans="2:18">
      <c r="C238" s="52" t="s">
        <v>449</v>
      </c>
      <c r="D238" s="52"/>
      <c r="E238" s="52"/>
      <c r="F238" s="102">
        <v>0.51020408163265307</v>
      </c>
      <c r="G238" s="102">
        <v>0.51020408163265307</v>
      </c>
      <c r="H238" s="102">
        <v>0.51020408163265307</v>
      </c>
      <c r="I238" s="102">
        <v>0.51020408163265307</v>
      </c>
      <c r="J238" s="102">
        <v>0.51020408163265307</v>
      </c>
      <c r="K238" s="102">
        <v>0.51020408163265307</v>
      </c>
      <c r="L238" s="102">
        <v>0.51020408163265307</v>
      </c>
      <c r="M238" s="102">
        <v>0.51020408163265307</v>
      </c>
      <c r="N238" s="102">
        <v>0.51020408163265307</v>
      </c>
      <c r="O238" s="102">
        <v>0.51020408163265307</v>
      </c>
      <c r="P238" s="102">
        <v>0.51020408163265307</v>
      </c>
      <c r="Q238" s="102">
        <v>0.51020408163265307</v>
      </c>
      <c r="R238" s="102">
        <v>6.1224489795918382</v>
      </c>
    </row>
    <row r="239" spans="2:18">
      <c r="C239" t="s">
        <v>134</v>
      </c>
      <c r="D239" t="s">
        <v>135</v>
      </c>
      <c r="E239" t="s">
        <v>26</v>
      </c>
      <c r="F239" s="101">
        <v>1.6322352417936183</v>
      </c>
      <c r="G239" s="101">
        <v>1.6322352417936183</v>
      </c>
      <c r="H239" s="101">
        <v>1.6322352417936183</v>
      </c>
      <c r="I239" s="101">
        <v>1.6322352417936183</v>
      </c>
      <c r="J239" s="101">
        <v>1.6322352417936183</v>
      </c>
      <c r="K239" s="101">
        <v>1.6322352417936183</v>
      </c>
      <c r="L239" s="101">
        <v>1.6322352417936183</v>
      </c>
      <c r="M239" s="101">
        <v>1.6322352417936183</v>
      </c>
      <c r="N239" s="101">
        <v>1.6322352417936183</v>
      </c>
      <c r="O239" s="101">
        <v>1.6322352417936183</v>
      </c>
      <c r="P239" s="101">
        <v>1.6322352417936183</v>
      </c>
      <c r="Q239" s="101">
        <v>1.6322352417936183</v>
      </c>
      <c r="R239" s="101">
        <v>19.586822901523419</v>
      </c>
    </row>
    <row r="240" spans="2:18">
      <c r="E240" t="s">
        <v>20</v>
      </c>
      <c r="F240" s="101">
        <v>1.0492940840101828</v>
      </c>
      <c r="G240" s="101">
        <v>1.0492940840101828</v>
      </c>
      <c r="H240" s="101">
        <v>1.0492940840101828</v>
      </c>
      <c r="I240" s="101">
        <v>1.0492940840101828</v>
      </c>
      <c r="J240" s="101">
        <v>1.0492940840101828</v>
      </c>
      <c r="K240" s="101">
        <v>1.0492940840101828</v>
      </c>
      <c r="L240" s="101">
        <v>1.0492940840101828</v>
      </c>
      <c r="M240" s="101">
        <v>1.0492940840101828</v>
      </c>
      <c r="N240" s="101">
        <v>1.0492940840101828</v>
      </c>
      <c r="O240" s="101">
        <v>1.0492940840101828</v>
      </c>
      <c r="P240" s="101">
        <v>1.0492940840101828</v>
      </c>
      <c r="Q240" s="101">
        <v>1.0492940840101828</v>
      </c>
      <c r="R240" s="101">
        <v>12.591529008122196</v>
      </c>
    </row>
    <row r="241" spans="3:18">
      <c r="E241" t="s">
        <v>24</v>
      </c>
      <c r="F241" s="101">
        <v>0.58294115778343492</v>
      </c>
      <c r="G241" s="101">
        <v>0.58294115778343492</v>
      </c>
      <c r="H241" s="101">
        <v>0.58294115778343492</v>
      </c>
      <c r="I241" s="101">
        <v>0.58294115778343492</v>
      </c>
      <c r="J241" s="101">
        <v>0.58294115778343492</v>
      </c>
      <c r="K241" s="101">
        <v>0.58294115778343492</v>
      </c>
      <c r="L241" s="101">
        <v>0.58294115778343492</v>
      </c>
      <c r="M241" s="101">
        <v>0.58294115778343492</v>
      </c>
      <c r="N241" s="101">
        <v>0.58294115778343492</v>
      </c>
      <c r="O241" s="101">
        <v>0.58294115778343492</v>
      </c>
      <c r="P241" s="101">
        <v>0.58294115778343492</v>
      </c>
      <c r="Q241" s="101">
        <v>0.58294115778343492</v>
      </c>
      <c r="R241" s="101">
        <v>6.9952938934012208</v>
      </c>
    </row>
    <row r="242" spans="3:18">
      <c r="E242" t="s">
        <v>8</v>
      </c>
      <c r="F242" s="101">
        <v>3.2644704835872353</v>
      </c>
      <c r="G242" s="101">
        <v>3.2644704835872353</v>
      </c>
      <c r="H242" s="101">
        <v>3.2644704835872353</v>
      </c>
      <c r="I242" s="101">
        <v>3.2644704835872353</v>
      </c>
      <c r="J242" s="101">
        <v>3.2644704835872353</v>
      </c>
      <c r="K242" s="101">
        <v>3.2644704835872353</v>
      </c>
      <c r="L242" s="101">
        <v>3.2644704835872353</v>
      </c>
      <c r="M242" s="101">
        <v>3.2644704835872353</v>
      </c>
      <c r="N242" s="101">
        <v>3.2644704835872353</v>
      </c>
      <c r="O242" s="101">
        <v>3.2644704835872353</v>
      </c>
      <c r="P242" s="101">
        <v>3.2644704835872353</v>
      </c>
      <c r="Q242" s="101">
        <v>3.2644704835872353</v>
      </c>
      <c r="R242" s="101">
        <v>39.173645803046824</v>
      </c>
    </row>
    <row r="243" spans="3:18">
      <c r="E243" t="s">
        <v>30</v>
      </c>
      <c r="F243" s="101">
        <v>0.58294115778343492</v>
      </c>
      <c r="G243" s="101">
        <v>0.58294115778343492</v>
      </c>
      <c r="H243" s="101">
        <v>0.58294115778343492</v>
      </c>
      <c r="I243" s="101">
        <v>0.58294115778343492</v>
      </c>
      <c r="J243" s="101">
        <v>0.58294115778343492</v>
      </c>
      <c r="K243" s="101">
        <v>0.58294115778343492</v>
      </c>
      <c r="L243" s="101">
        <v>0.58294115778343492</v>
      </c>
      <c r="M243" s="101">
        <v>0.58294115778343492</v>
      </c>
      <c r="N243" s="101">
        <v>0.58294115778343492</v>
      </c>
      <c r="O243" s="101">
        <v>0.58294115778343492</v>
      </c>
      <c r="P243" s="101">
        <v>0.58294115778343492</v>
      </c>
      <c r="Q243" s="101">
        <v>0.58294115778343492</v>
      </c>
      <c r="R243" s="101">
        <v>6.9952938934012208</v>
      </c>
    </row>
    <row r="244" spans="3:18">
      <c r="E244" t="s">
        <v>42</v>
      </c>
      <c r="F244" s="101">
        <v>1.748823473350305</v>
      </c>
      <c r="G244" s="101">
        <v>1.748823473350305</v>
      </c>
      <c r="H244" s="101">
        <v>1.748823473350305</v>
      </c>
      <c r="I244" s="101">
        <v>1.748823473350305</v>
      </c>
      <c r="J244" s="101">
        <v>1.748823473350305</v>
      </c>
      <c r="K244" s="101">
        <v>1.748823473350305</v>
      </c>
      <c r="L244" s="101">
        <v>1.748823473350305</v>
      </c>
      <c r="M244" s="101">
        <v>1.748823473350305</v>
      </c>
      <c r="N244" s="101">
        <v>1.748823473350305</v>
      </c>
      <c r="O244" s="101">
        <v>1.748823473350305</v>
      </c>
      <c r="P244" s="101">
        <v>1.748823473350305</v>
      </c>
      <c r="Q244" s="101">
        <v>1.748823473350305</v>
      </c>
      <c r="R244" s="101">
        <v>20.985881680203661</v>
      </c>
    </row>
    <row r="245" spans="3:18">
      <c r="E245" t="s">
        <v>40</v>
      </c>
      <c r="F245" s="101">
        <v>0</v>
      </c>
      <c r="G245" s="101">
        <v>0</v>
      </c>
      <c r="H245" s="101">
        <v>0</v>
      </c>
      <c r="I245" s="101">
        <v>0</v>
      </c>
      <c r="J245" s="101">
        <v>0</v>
      </c>
      <c r="K245" s="101">
        <v>0</v>
      </c>
      <c r="L245" s="101">
        <v>0</v>
      </c>
      <c r="M245" s="101">
        <v>0</v>
      </c>
      <c r="N245" s="101">
        <v>0</v>
      </c>
      <c r="O245" s="101">
        <v>0</v>
      </c>
      <c r="P245" s="101">
        <v>0</v>
      </c>
      <c r="Q245" s="101">
        <v>0</v>
      </c>
      <c r="R245" s="101">
        <v>0</v>
      </c>
    </row>
    <row r="246" spans="3:18">
      <c r="E246" t="s">
        <v>47</v>
      </c>
      <c r="F246" s="101">
        <v>1.865411704906992</v>
      </c>
      <c r="G246" s="101">
        <v>1.865411704906992</v>
      </c>
      <c r="H246" s="101">
        <v>1.865411704906992</v>
      </c>
      <c r="I246" s="101">
        <v>1.865411704906992</v>
      </c>
      <c r="J246" s="101">
        <v>1.865411704906992</v>
      </c>
      <c r="K246" s="101">
        <v>1.865411704906992</v>
      </c>
      <c r="L246" s="101">
        <v>1.865411704906992</v>
      </c>
      <c r="M246" s="101">
        <v>1.865411704906992</v>
      </c>
      <c r="N246" s="101">
        <v>1.865411704906992</v>
      </c>
      <c r="O246" s="101">
        <v>1.865411704906992</v>
      </c>
      <c r="P246" s="101">
        <v>1.865411704906992</v>
      </c>
      <c r="Q246" s="101">
        <v>1.865411704906992</v>
      </c>
      <c r="R246" s="101">
        <v>22.384940458883907</v>
      </c>
    </row>
    <row r="247" spans="3:18">
      <c r="C247" s="52" t="s">
        <v>450</v>
      </c>
      <c r="D247" s="52"/>
      <c r="E247" s="52"/>
      <c r="F247" s="102">
        <v>10.726117303215203</v>
      </c>
      <c r="G247" s="102">
        <v>10.726117303215203</v>
      </c>
      <c r="H247" s="102">
        <v>10.726117303215203</v>
      </c>
      <c r="I247" s="102">
        <v>10.726117303215203</v>
      </c>
      <c r="J247" s="102">
        <v>10.726117303215203</v>
      </c>
      <c r="K247" s="102">
        <v>10.726117303215203</v>
      </c>
      <c r="L247" s="102">
        <v>10.726117303215203</v>
      </c>
      <c r="M247" s="102">
        <v>10.726117303215203</v>
      </c>
      <c r="N247" s="102">
        <v>10.726117303215203</v>
      </c>
      <c r="O247" s="102">
        <v>10.726117303215203</v>
      </c>
      <c r="P247" s="102">
        <v>10.726117303215203</v>
      </c>
      <c r="Q247" s="102">
        <v>10.726117303215203</v>
      </c>
      <c r="R247" s="102">
        <v>128.71340763858245</v>
      </c>
    </row>
    <row r="248" spans="3:18">
      <c r="C248" t="s">
        <v>242</v>
      </c>
      <c r="D248" t="s">
        <v>231</v>
      </c>
      <c r="E248" t="s">
        <v>26</v>
      </c>
      <c r="F248" s="101">
        <v>0.66326530612244894</v>
      </c>
      <c r="G248" s="101">
        <v>0.66326530612244894</v>
      </c>
      <c r="H248" s="101">
        <v>0.66326530612244894</v>
      </c>
      <c r="I248" s="101">
        <v>0.66326530612244894</v>
      </c>
      <c r="J248" s="101">
        <v>0.66326530612244894</v>
      </c>
      <c r="K248" s="101">
        <v>0.66326530612244894</v>
      </c>
      <c r="L248" s="101">
        <v>0.66326530612244894</v>
      </c>
      <c r="M248" s="101">
        <v>0.66326530612244894</v>
      </c>
      <c r="N248" s="101">
        <v>0.66326530612244894</v>
      </c>
      <c r="O248" s="101">
        <v>0.66326530612244894</v>
      </c>
      <c r="P248" s="101">
        <v>0.66326530612244894</v>
      </c>
      <c r="Q248" s="101">
        <v>0.66326530612244894</v>
      </c>
      <c r="R248" s="101">
        <v>7.959183673469389</v>
      </c>
    </row>
    <row r="249" spans="3:18">
      <c r="E249" t="s">
        <v>417</v>
      </c>
      <c r="F249" s="101">
        <v>1.5476190476190477</v>
      </c>
      <c r="G249" s="101">
        <v>1.5476190476190477</v>
      </c>
      <c r="H249" s="101">
        <v>1.5476190476190477</v>
      </c>
      <c r="I249" s="101">
        <v>1.5476190476190477</v>
      </c>
      <c r="J249" s="101">
        <v>1.5476190476190477</v>
      </c>
      <c r="K249" s="101">
        <v>1.5476190476190477</v>
      </c>
      <c r="L249" s="101">
        <v>1.5476190476190477</v>
      </c>
      <c r="M249" s="101">
        <v>1.5476190476190477</v>
      </c>
      <c r="N249" s="101">
        <v>1.5476190476190477</v>
      </c>
      <c r="O249" s="101">
        <v>1.5476190476190477</v>
      </c>
      <c r="P249" s="101">
        <v>1.5476190476190477</v>
      </c>
      <c r="Q249" s="101">
        <v>1.5476190476190477</v>
      </c>
      <c r="R249" s="101">
        <v>18.571428571428573</v>
      </c>
    </row>
    <row r="250" spans="3:18">
      <c r="C250" s="52" t="s">
        <v>451</v>
      </c>
      <c r="D250" s="52"/>
      <c r="E250" s="52"/>
      <c r="F250" s="102">
        <v>2.2108843537414966</v>
      </c>
      <c r="G250" s="102">
        <v>2.2108843537414966</v>
      </c>
      <c r="H250" s="102">
        <v>2.2108843537414966</v>
      </c>
      <c r="I250" s="102">
        <v>2.2108843537414966</v>
      </c>
      <c r="J250" s="102">
        <v>2.2108843537414966</v>
      </c>
      <c r="K250" s="102">
        <v>2.2108843537414966</v>
      </c>
      <c r="L250" s="102">
        <v>2.2108843537414966</v>
      </c>
      <c r="M250" s="102">
        <v>2.2108843537414966</v>
      </c>
      <c r="N250" s="102">
        <v>2.2108843537414966</v>
      </c>
      <c r="O250" s="102">
        <v>2.2108843537414966</v>
      </c>
      <c r="P250" s="102">
        <v>2.2108843537414966</v>
      </c>
      <c r="Q250" s="102">
        <v>2.2108843537414966</v>
      </c>
      <c r="R250" s="102">
        <v>26.530612244897963</v>
      </c>
    </row>
    <row r="251" spans="3:18">
      <c r="C251" t="s">
        <v>261</v>
      </c>
      <c r="D251" t="s">
        <v>135</v>
      </c>
      <c r="E251" t="s">
        <v>26</v>
      </c>
      <c r="F251" s="101">
        <v>0.51020408163265307</v>
      </c>
      <c r="G251" s="101">
        <v>0.51020408163265307</v>
      </c>
      <c r="H251" s="101">
        <v>0.51020408163265307</v>
      </c>
      <c r="I251" s="101">
        <v>0.51020408163265307</v>
      </c>
      <c r="J251" s="101">
        <v>0.51020408163265307</v>
      </c>
      <c r="K251" s="101">
        <v>0.51020408163265307</v>
      </c>
      <c r="L251" s="101">
        <v>0.51020408163265307</v>
      </c>
      <c r="M251" s="101">
        <v>0.51020408163265307</v>
      </c>
      <c r="N251" s="101">
        <v>0.51020408163265307</v>
      </c>
      <c r="O251" s="101">
        <v>0.51020408163265307</v>
      </c>
      <c r="P251" s="101">
        <v>0.51020408163265307</v>
      </c>
      <c r="Q251" s="101">
        <v>0.51020408163265307</v>
      </c>
      <c r="R251" s="101">
        <v>6.1224489795918382</v>
      </c>
    </row>
    <row r="252" spans="3:18">
      <c r="E252" t="s">
        <v>20</v>
      </c>
      <c r="F252" s="101">
        <v>0.25510204081632654</v>
      </c>
      <c r="G252" s="101">
        <v>0.25510204081632654</v>
      </c>
      <c r="H252" s="101">
        <v>0.25510204081632654</v>
      </c>
      <c r="I252" s="101">
        <v>0.25510204081632654</v>
      </c>
      <c r="J252" s="101">
        <v>0.25510204081632654</v>
      </c>
      <c r="K252" s="101">
        <v>0.25510204081632654</v>
      </c>
      <c r="L252" s="101">
        <v>0.25510204081632654</v>
      </c>
      <c r="M252" s="101">
        <v>0.25510204081632654</v>
      </c>
      <c r="N252" s="101">
        <v>0.25510204081632654</v>
      </c>
      <c r="O252" s="101">
        <v>0.25510204081632654</v>
      </c>
      <c r="P252" s="101">
        <v>0.25510204081632654</v>
      </c>
      <c r="Q252" s="101">
        <v>0.25510204081632654</v>
      </c>
      <c r="R252" s="101">
        <v>3.0612244897959191</v>
      </c>
    </row>
    <row r="253" spans="3:18">
      <c r="E253" t="s">
        <v>24</v>
      </c>
      <c r="F253" s="101">
        <v>0.25510204081632654</v>
      </c>
      <c r="G253" s="101">
        <v>0.25510204081632654</v>
      </c>
      <c r="H253" s="101">
        <v>0.25510204081632654</v>
      </c>
      <c r="I253" s="101">
        <v>0.25510204081632654</v>
      </c>
      <c r="J253" s="101">
        <v>0.25510204081632654</v>
      </c>
      <c r="K253" s="101">
        <v>0.25510204081632654</v>
      </c>
      <c r="L253" s="101">
        <v>0.25510204081632654</v>
      </c>
      <c r="M253" s="101">
        <v>0.25510204081632654</v>
      </c>
      <c r="N253" s="101">
        <v>0.25510204081632654</v>
      </c>
      <c r="O253" s="101">
        <v>0.25510204081632654</v>
      </c>
      <c r="P253" s="101">
        <v>0.25510204081632654</v>
      </c>
      <c r="Q253" s="101">
        <v>0.25510204081632654</v>
      </c>
      <c r="R253" s="101">
        <v>3.0612244897959191</v>
      </c>
    </row>
    <row r="254" spans="3:18">
      <c r="E254" t="s">
        <v>8</v>
      </c>
      <c r="F254" s="101">
        <v>0.85034013605442182</v>
      </c>
      <c r="G254" s="101">
        <v>0.85034013605442182</v>
      </c>
      <c r="H254" s="101">
        <v>0.85034013605442182</v>
      </c>
      <c r="I254" s="101">
        <v>0.85034013605442182</v>
      </c>
      <c r="J254" s="101">
        <v>0.85034013605442182</v>
      </c>
      <c r="K254" s="101">
        <v>0.85034013605442182</v>
      </c>
      <c r="L254" s="101">
        <v>0.85034013605442182</v>
      </c>
      <c r="M254" s="101">
        <v>0.85034013605442182</v>
      </c>
      <c r="N254" s="101">
        <v>0.85034013605442182</v>
      </c>
      <c r="O254" s="101">
        <v>0.85034013605442182</v>
      </c>
      <c r="P254" s="101">
        <v>0.85034013605442182</v>
      </c>
      <c r="Q254" s="101">
        <v>0.85034013605442182</v>
      </c>
      <c r="R254" s="101">
        <v>10.204081632653063</v>
      </c>
    </row>
    <row r="255" spans="3:18">
      <c r="E255" t="s">
        <v>42</v>
      </c>
      <c r="F255" s="101">
        <v>0.3401360544217687</v>
      </c>
      <c r="G255" s="101">
        <v>0.3401360544217687</v>
      </c>
      <c r="H255" s="101">
        <v>0.3401360544217687</v>
      </c>
      <c r="I255" s="101">
        <v>0.3401360544217687</v>
      </c>
      <c r="J255" s="101">
        <v>0.3401360544217687</v>
      </c>
      <c r="K255" s="101">
        <v>0.3401360544217687</v>
      </c>
      <c r="L255" s="101">
        <v>0.3401360544217687</v>
      </c>
      <c r="M255" s="101">
        <v>0.3401360544217687</v>
      </c>
      <c r="N255" s="101">
        <v>0.3401360544217687</v>
      </c>
      <c r="O255" s="101">
        <v>0.3401360544217687</v>
      </c>
      <c r="P255" s="101">
        <v>0.3401360544217687</v>
      </c>
      <c r="Q255" s="101">
        <v>0.3401360544217687</v>
      </c>
      <c r="R255" s="101">
        <v>4.0816326530612246</v>
      </c>
    </row>
    <row r="256" spans="3:18">
      <c r="C256" s="52" t="s">
        <v>452</v>
      </c>
      <c r="D256" s="52"/>
      <c r="E256" s="52"/>
      <c r="F256" s="102">
        <v>2.2108843537414966</v>
      </c>
      <c r="G256" s="102">
        <v>2.2108843537414966</v>
      </c>
      <c r="H256" s="102">
        <v>2.2108843537414966</v>
      </c>
      <c r="I256" s="102">
        <v>2.2108843537414966</v>
      </c>
      <c r="J256" s="102">
        <v>2.2108843537414966</v>
      </c>
      <c r="K256" s="102">
        <v>2.2108843537414966</v>
      </c>
      <c r="L256" s="102">
        <v>2.2108843537414966</v>
      </c>
      <c r="M256" s="102">
        <v>2.2108843537414966</v>
      </c>
      <c r="N256" s="102">
        <v>2.2108843537414966</v>
      </c>
      <c r="O256" s="102">
        <v>2.2108843537414966</v>
      </c>
      <c r="P256" s="102">
        <v>2.2108843537414966</v>
      </c>
      <c r="Q256" s="102">
        <v>2.2108843537414966</v>
      </c>
      <c r="R256" s="102">
        <v>26.530612244897963</v>
      </c>
    </row>
    <row r="257" spans="1:18">
      <c r="B257" s="53" t="s">
        <v>414</v>
      </c>
      <c r="C257" s="53"/>
      <c r="D257" s="53"/>
      <c r="E257" s="53"/>
      <c r="F257" s="103">
        <v>15.99822614675262</v>
      </c>
      <c r="G257" s="103">
        <v>15.99822614675262</v>
      </c>
      <c r="H257" s="103">
        <v>15.99822614675262</v>
      </c>
      <c r="I257" s="103">
        <v>15.99822614675262</v>
      </c>
      <c r="J257" s="103">
        <v>15.99822614675262</v>
      </c>
      <c r="K257" s="103">
        <v>15.99822614675262</v>
      </c>
      <c r="L257" s="103">
        <v>15.99822614675262</v>
      </c>
      <c r="M257" s="103">
        <v>15.99822614675262</v>
      </c>
      <c r="N257" s="103">
        <v>15.99822614675262</v>
      </c>
      <c r="O257" s="103">
        <v>15.99822614675262</v>
      </c>
      <c r="P257" s="103">
        <v>15.99822614675262</v>
      </c>
      <c r="Q257" s="103">
        <v>15.99822614675262</v>
      </c>
      <c r="R257" s="103">
        <v>191.97871376103151</v>
      </c>
    </row>
    <row r="258" spans="1:18">
      <c r="A258" t="s">
        <v>453</v>
      </c>
      <c r="F258" s="101">
        <v>78.756566566995772</v>
      </c>
      <c r="G258" s="101">
        <v>78.756566566995772</v>
      </c>
      <c r="H258" s="101">
        <v>87.089899900329129</v>
      </c>
      <c r="I258" s="101">
        <v>78.756566566995772</v>
      </c>
      <c r="J258" s="101">
        <v>78.756566566995772</v>
      </c>
      <c r="K258" s="101">
        <v>87.089899900329129</v>
      </c>
      <c r="L258" s="101">
        <v>78.756566566995772</v>
      </c>
      <c r="M258" s="101">
        <v>78.756566566995772</v>
      </c>
      <c r="N258" s="101">
        <v>87.089899900329129</v>
      </c>
      <c r="O258" s="101">
        <v>78.756566566995772</v>
      </c>
      <c r="P258" s="101">
        <v>78.756566566995772</v>
      </c>
      <c r="Q258" s="101">
        <v>87.089899900329129</v>
      </c>
      <c r="R258" s="101">
        <v>978.4121321372827</v>
      </c>
    </row>
    <row r="259" spans="1:18">
      <c r="A259" t="s">
        <v>454</v>
      </c>
      <c r="B259" t="s">
        <v>106</v>
      </c>
      <c r="C259" t="s">
        <v>217</v>
      </c>
      <c r="D259" t="s">
        <v>218</v>
      </c>
      <c r="E259" t="s">
        <v>32</v>
      </c>
      <c r="F259" s="101">
        <v>2.4319727891156466</v>
      </c>
      <c r="G259" s="101">
        <v>2.4319727891156466</v>
      </c>
      <c r="H259" s="101">
        <v>2.4319727891156466</v>
      </c>
      <c r="I259" s="101">
        <v>2.4319727891156466</v>
      </c>
      <c r="J259" s="101">
        <v>2.4319727891156466</v>
      </c>
      <c r="K259" s="101">
        <v>2.4319727891156466</v>
      </c>
      <c r="L259" s="101">
        <v>2.4319727891156466</v>
      </c>
      <c r="M259" s="101">
        <v>2.4319727891156466</v>
      </c>
      <c r="N259" s="101">
        <v>2.4319727891156466</v>
      </c>
      <c r="O259" s="101">
        <v>2.4319727891156466</v>
      </c>
      <c r="P259" s="101">
        <v>2.4319727891156466</v>
      </c>
      <c r="Q259" s="101">
        <v>2.4319727891156466</v>
      </c>
      <c r="R259" s="101">
        <v>29.183673469387767</v>
      </c>
    </row>
    <row r="260" spans="1:18">
      <c r="E260" t="s">
        <v>44</v>
      </c>
      <c r="F260" s="101">
        <v>0.48639455782312924</v>
      </c>
      <c r="G260" s="101">
        <v>0.48639455782312924</v>
      </c>
      <c r="H260" s="101">
        <v>0.48639455782312924</v>
      </c>
      <c r="I260" s="101">
        <v>0.48639455782312924</v>
      </c>
      <c r="J260" s="101">
        <v>0.48639455782312924</v>
      </c>
      <c r="K260" s="101">
        <v>0.48639455782312924</v>
      </c>
      <c r="L260" s="101">
        <v>0.48639455782312924</v>
      </c>
      <c r="M260" s="101">
        <v>0.48639455782312924</v>
      </c>
      <c r="N260" s="101">
        <v>0.48639455782312924</v>
      </c>
      <c r="O260" s="101">
        <v>0.48639455782312924</v>
      </c>
      <c r="P260" s="101">
        <v>0.48639455782312924</v>
      </c>
      <c r="Q260" s="101">
        <v>0.48639455782312924</v>
      </c>
      <c r="R260" s="101">
        <v>5.8367346938775491</v>
      </c>
    </row>
    <row r="261" spans="1:18">
      <c r="E261" t="s">
        <v>49</v>
      </c>
      <c r="F261" s="101">
        <v>0.8231292517006803</v>
      </c>
      <c r="G261" s="101">
        <v>0.8231292517006803</v>
      </c>
      <c r="H261" s="101">
        <v>0.8231292517006803</v>
      </c>
      <c r="I261" s="101">
        <v>0.8231292517006803</v>
      </c>
      <c r="J261" s="101">
        <v>0.8231292517006803</v>
      </c>
      <c r="K261" s="101">
        <v>0.8231292517006803</v>
      </c>
      <c r="L261" s="101">
        <v>0.8231292517006803</v>
      </c>
      <c r="M261" s="101">
        <v>0.8231292517006803</v>
      </c>
      <c r="N261" s="101">
        <v>0.8231292517006803</v>
      </c>
      <c r="O261" s="101">
        <v>0.8231292517006803</v>
      </c>
      <c r="P261" s="101">
        <v>0.8231292517006803</v>
      </c>
      <c r="Q261" s="101">
        <v>0.8231292517006803</v>
      </c>
      <c r="R261" s="101">
        <v>9.8775510204081627</v>
      </c>
    </row>
    <row r="262" spans="1:18">
      <c r="C262" s="52" t="s">
        <v>455</v>
      </c>
      <c r="D262" s="52"/>
      <c r="E262" s="52"/>
      <c r="F262" s="102">
        <v>3.7414965986394559</v>
      </c>
      <c r="G262" s="102">
        <v>3.7414965986394559</v>
      </c>
      <c r="H262" s="102">
        <v>3.7414965986394559</v>
      </c>
      <c r="I262" s="102">
        <v>3.7414965986394559</v>
      </c>
      <c r="J262" s="102">
        <v>3.7414965986394559</v>
      </c>
      <c r="K262" s="102">
        <v>3.7414965986394559</v>
      </c>
      <c r="L262" s="102">
        <v>3.7414965986394559</v>
      </c>
      <c r="M262" s="102">
        <v>3.7414965986394559</v>
      </c>
      <c r="N262" s="102">
        <v>3.7414965986394559</v>
      </c>
      <c r="O262" s="102">
        <v>3.7414965986394559</v>
      </c>
      <c r="P262" s="102">
        <v>3.7414965986394559</v>
      </c>
      <c r="Q262" s="102">
        <v>3.7414965986394559</v>
      </c>
      <c r="R262" s="102">
        <v>44.897959183673478</v>
      </c>
    </row>
    <row r="263" spans="1:18">
      <c r="B263" s="53" t="s">
        <v>388</v>
      </c>
      <c r="C263" s="53"/>
      <c r="D263" s="53"/>
      <c r="E263" s="53"/>
      <c r="F263" s="103">
        <v>3.7414965986394559</v>
      </c>
      <c r="G263" s="103">
        <v>3.7414965986394559</v>
      </c>
      <c r="H263" s="103">
        <v>3.7414965986394559</v>
      </c>
      <c r="I263" s="103">
        <v>3.7414965986394559</v>
      </c>
      <c r="J263" s="103">
        <v>3.7414965986394559</v>
      </c>
      <c r="K263" s="103">
        <v>3.7414965986394559</v>
      </c>
      <c r="L263" s="103">
        <v>3.7414965986394559</v>
      </c>
      <c r="M263" s="103">
        <v>3.7414965986394559</v>
      </c>
      <c r="N263" s="103">
        <v>3.7414965986394559</v>
      </c>
      <c r="O263" s="103">
        <v>3.7414965986394559</v>
      </c>
      <c r="P263" s="103">
        <v>3.7414965986394559</v>
      </c>
      <c r="Q263" s="103">
        <v>3.7414965986394559</v>
      </c>
      <c r="R263" s="103">
        <v>44.897959183673478</v>
      </c>
    </row>
    <row r="264" spans="1:18">
      <c r="B264" t="s">
        <v>80</v>
      </c>
      <c r="C264" t="s">
        <v>74</v>
      </c>
      <c r="D264" t="s">
        <v>76</v>
      </c>
      <c r="E264" t="s">
        <v>32</v>
      </c>
      <c r="F264" s="101">
        <v>9.7156859630572487</v>
      </c>
      <c r="G264" s="101">
        <v>9.7156859630572487</v>
      </c>
      <c r="H264" s="101">
        <v>9.7156859630572487</v>
      </c>
      <c r="I264" s="101">
        <v>9.7156859630572487</v>
      </c>
      <c r="J264" s="101">
        <v>9.7156859630572487</v>
      </c>
      <c r="K264" s="101">
        <v>9.7156859630572487</v>
      </c>
      <c r="L264" s="101">
        <v>9.7156859630572487</v>
      </c>
      <c r="M264" s="101">
        <v>9.7156859630572487</v>
      </c>
      <c r="N264" s="101">
        <v>9.7156859630572487</v>
      </c>
      <c r="O264" s="101">
        <v>9.7156859630572487</v>
      </c>
      <c r="P264" s="101">
        <v>9.7156859630572487</v>
      </c>
      <c r="Q264" s="101">
        <v>9.7156859630572487</v>
      </c>
      <c r="R264" s="101">
        <v>116.58823155668701</v>
      </c>
    </row>
    <row r="265" spans="1:18">
      <c r="E265" t="s">
        <v>37</v>
      </c>
      <c r="F265" s="101">
        <v>0</v>
      </c>
      <c r="G265" s="101">
        <v>0</v>
      </c>
      <c r="H265" s="101">
        <v>0</v>
      </c>
      <c r="I265" s="101">
        <v>0</v>
      </c>
      <c r="J265" s="101">
        <v>0</v>
      </c>
      <c r="K265" s="101">
        <v>0</v>
      </c>
      <c r="L265" s="101">
        <v>0</v>
      </c>
      <c r="M265" s="101">
        <v>0</v>
      </c>
      <c r="N265" s="101">
        <v>0</v>
      </c>
      <c r="O265" s="101">
        <v>0</v>
      </c>
      <c r="P265" s="101">
        <v>0</v>
      </c>
      <c r="Q265" s="101">
        <v>0</v>
      </c>
      <c r="R265" s="101">
        <v>0</v>
      </c>
    </row>
    <row r="266" spans="1:18">
      <c r="C266" s="52" t="s">
        <v>456</v>
      </c>
      <c r="D266" s="52"/>
      <c r="E266" s="52"/>
      <c r="F266" s="102">
        <v>9.7156859630572487</v>
      </c>
      <c r="G266" s="102">
        <v>9.7156859630572487</v>
      </c>
      <c r="H266" s="102">
        <v>9.7156859630572487</v>
      </c>
      <c r="I266" s="102">
        <v>9.7156859630572487</v>
      </c>
      <c r="J266" s="102">
        <v>9.7156859630572487</v>
      </c>
      <c r="K266" s="102">
        <v>9.7156859630572487</v>
      </c>
      <c r="L266" s="102">
        <v>9.7156859630572487</v>
      </c>
      <c r="M266" s="102">
        <v>9.7156859630572487</v>
      </c>
      <c r="N266" s="102">
        <v>9.7156859630572487</v>
      </c>
      <c r="O266" s="102">
        <v>9.7156859630572487</v>
      </c>
      <c r="P266" s="102">
        <v>9.7156859630572487</v>
      </c>
      <c r="Q266" s="102">
        <v>9.7156859630572487</v>
      </c>
      <c r="R266" s="102">
        <v>116.58823155668701</v>
      </c>
    </row>
    <row r="267" spans="1:18">
      <c r="C267" t="s">
        <v>92</v>
      </c>
      <c r="D267" t="s">
        <v>93</v>
      </c>
      <c r="E267" t="s">
        <v>32</v>
      </c>
      <c r="F267" s="101">
        <v>5.61104</v>
      </c>
      <c r="G267" s="101">
        <v>5.61104</v>
      </c>
      <c r="H267" s="101">
        <v>5.61104</v>
      </c>
      <c r="I267" s="101">
        <v>5.61104</v>
      </c>
      <c r="J267" s="101">
        <v>5.61104</v>
      </c>
      <c r="K267" s="101">
        <v>5.61104</v>
      </c>
      <c r="L267" s="101">
        <v>5.61104</v>
      </c>
      <c r="M267" s="101">
        <v>5.61104</v>
      </c>
      <c r="N267" s="101">
        <v>5.61104</v>
      </c>
      <c r="O267" s="101">
        <v>5.61104</v>
      </c>
      <c r="P267" s="101">
        <v>5.61104</v>
      </c>
      <c r="Q267" s="101">
        <v>5.61104</v>
      </c>
      <c r="R267" s="101">
        <v>67.332480000000018</v>
      </c>
    </row>
    <row r="268" spans="1:18">
      <c r="E268" t="s">
        <v>37</v>
      </c>
      <c r="F268" s="101">
        <v>2.1041400000000001</v>
      </c>
      <c r="G268" s="101">
        <v>2.1041400000000001</v>
      </c>
      <c r="H268" s="101">
        <v>2.1041400000000001</v>
      </c>
      <c r="I268" s="101">
        <v>2.1041400000000001</v>
      </c>
      <c r="J268" s="101">
        <v>2.1041400000000001</v>
      </c>
      <c r="K268" s="101">
        <v>2.1041400000000001</v>
      </c>
      <c r="L268" s="101">
        <v>2.1041400000000001</v>
      </c>
      <c r="M268" s="101">
        <v>2.1041400000000001</v>
      </c>
      <c r="N268" s="101">
        <v>2.1041400000000001</v>
      </c>
      <c r="O268" s="101">
        <v>2.1041400000000001</v>
      </c>
      <c r="P268" s="101">
        <v>2.1041400000000001</v>
      </c>
      <c r="Q268" s="101">
        <v>2.1041400000000001</v>
      </c>
      <c r="R268" s="101">
        <v>25.249680000000009</v>
      </c>
    </row>
    <row r="269" spans="1:18">
      <c r="E269" t="s">
        <v>44</v>
      </c>
      <c r="F269" s="101">
        <v>0.58448333333333335</v>
      </c>
      <c r="G269" s="101">
        <v>0.58448333333333335</v>
      </c>
      <c r="H269" s="101">
        <v>0.58448333333333335</v>
      </c>
      <c r="I269" s="101">
        <v>0.58448333333333335</v>
      </c>
      <c r="J269" s="101">
        <v>0.58448333333333335</v>
      </c>
      <c r="K269" s="101">
        <v>0.58448333333333335</v>
      </c>
      <c r="L269" s="101">
        <v>0.58448333333333335</v>
      </c>
      <c r="M269" s="101">
        <v>0.58448333333333335</v>
      </c>
      <c r="N269" s="101">
        <v>0.58448333333333335</v>
      </c>
      <c r="O269" s="101">
        <v>0.58448333333333335</v>
      </c>
      <c r="P269" s="101">
        <v>0.58448333333333335</v>
      </c>
      <c r="Q269" s="101">
        <v>0.58448333333333335</v>
      </c>
      <c r="R269" s="101">
        <v>7.0137999999999989</v>
      </c>
    </row>
    <row r="270" spans="1:18">
      <c r="E270" t="s">
        <v>49</v>
      </c>
      <c r="F270" s="101">
        <v>0.70138</v>
      </c>
      <c r="G270" s="101">
        <v>0.70138</v>
      </c>
      <c r="H270" s="101">
        <v>0.70138</v>
      </c>
      <c r="I270" s="101">
        <v>0.70138</v>
      </c>
      <c r="J270" s="101">
        <v>0.70138</v>
      </c>
      <c r="K270" s="101">
        <v>0.70138</v>
      </c>
      <c r="L270" s="101">
        <v>0.70138</v>
      </c>
      <c r="M270" s="101">
        <v>0.70138</v>
      </c>
      <c r="N270" s="101">
        <v>0.70138</v>
      </c>
      <c r="O270" s="101">
        <v>0.70138</v>
      </c>
      <c r="P270" s="101">
        <v>0.70138</v>
      </c>
      <c r="Q270" s="101">
        <v>0.70138</v>
      </c>
      <c r="R270" s="101">
        <v>8.4165600000000023</v>
      </c>
    </row>
    <row r="271" spans="1:18">
      <c r="E271" t="s">
        <v>457</v>
      </c>
      <c r="F271" s="101">
        <v>0.23379333333333333</v>
      </c>
      <c r="G271" s="101">
        <v>0.23379333333333333</v>
      </c>
      <c r="H271" s="101">
        <v>0.23379333333333333</v>
      </c>
      <c r="I271" s="101">
        <v>0.23379333333333333</v>
      </c>
      <c r="J271" s="101">
        <v>0.23379333333333333</v>
      </c>
      <c r="K271" s="101">
        <v>0.23379333333333333</v>
      </c>
      <c r="L271" s="101">
        <v>0.23379333333333333</v>
      </c>
      <c r="M271" s="101">
        <v>0.23379333333333333</v>
      </c>
      <c r="N271" s="101">
        <v>0.23379333333333333</v>
      </c>
      <c r="O271" s="101">
        <v>0.23379333333333333</v>
      </c>
      <c r="P271" s="101">
        <v>0.23379333333333333</v>
      </c>
      <c r="Q271" s="101">
        <v>0.23379333333333333</v>
      </c>
      <c r="R271" s="101">
        <v>2.80552</v>
      </c>
    </row>
    <row r="272" spans="1:18">
      <c r="C272" s="52" t="s">
        <v>458</v>
      </c>
      <c r="D272" s="52"/>
      <c r="E272" s="52"/>
      <c r="F272" s="102">
        <v>9.2348366666666664</v>
      </c>
      <c r="G272" s="102">
        <v>9.2348366666666664</v>
      </c>
      <c r="H272" s="102">
        <v>9.2348366666666664</v>
      </c>
      <c r="I272" s="102">
        <v>9.2348366666666664</v>
      </c>
      <c r="J272" s="102">
        <v>9.2348366666666664</v>
      </c>
      <c r="K272" s="102">
        <v>9.2348366666666664</v>
      </c>
      <c r="L272" s="102">
        <v>9.2348366666666664</v>
      </c>
      <c r="M272" s="102">
        <v>9.2348366666666664</v>
      </c>
      <c r="N272" s="102">
        <v>9.2348366666666664</v>
      </c>
      <c r="O272" s="102">
        <v>9.2348366666666664</v>
      </c>
      <c r="P272" s="102">
        <v>9.2348366666666664</v>
      </c>
      <c r="Q272" s="102">
        <v>9.2348366666666664</v>
      </c>
      <c r="R272" s="102">
        <v>110.81804000000004</v>
      </c>
    </row>
    <row r="273" spans="2:18">
      <c r="B273" s="53" t="s">
        <v>393</v>
      </c>
      <c r="C273" s="53"/>
      <c r="D273" s="53"/>
      <c r="E273" s="53"/>
      <c r="F273" s="103">
        <v>18.95052262972392</v>
      </c>
      <c r="G273" s="103">
        <v>18.95052262972392</v>
      </c>
      <c r="H273" s="103">
        <v>18.95052262972392</v>
      </c>
      <c r="I273" s="103">
        <v>18.95052262972392</v>
      </c>
      <c r="J273" s="103">
        <v>18.95052262972392</v>
      </c>
      <c r="K273" s="103">
        <v>18.95052262972392</v>
      </c>
      <c r="L273" s="103">
        <v>18.95052262972392</v>
      </c>
      <c r="M273" s="103">
        <v>18.95052262972392</v>
      </c>
      <c r="N273" s="103">
        <v>18.95052262972392</v>
      </c>
      <c r="O273" s="103">
        <v>18.95052262972392</v>
      </c>
      <c r="P273" s="103">
        <v>18.95052262972392</v>
      </c>
      <c r="Q273" s="103">
        <v>18.95052262972392</v>
      </c>
      <c r="R273" s="103">
        <v>227.40627155668705</v>
      </c>
    </row>
    <row r="274" spans="2:18">
      <c r="B274" t="s">
        <v>91</v>
      </c>
      <c r="C274" t="s">
        <v>89</v>
      </c>
      <c r="D274" t="s">
        <v>90</v>
      </c>
      <c r="E274" t="s">
        <v>32</v>
      </c>
      <c r="F274" s="101">
        <v>5.9523809523809526</v>
      </c>
      <c r="G274" s="101">
        <v>5.9523809523809526</v>
      </c>
      <c r="H274" s="101">
        <v>5.9523809523809526</v>
      </c>
      <c r="I274" s="101">
        <v>0</v>
      </c>
      <c r="J274" s="101">
        <v>0</v>
      </c>
      <c r="K274" s="101">
        <v>0</v>
      </c>
      <c r="L274" s="101">
        <v>0</v>
      </c>
      <c r="M274" s="101">
        <v>0</v>
      </c>
      <c r="N274" s="101">
        <v>0</v>
      </c>
      <c r="O274" s="101">
        <v>0</v>
      </c>
      <c r="P274" s="101">
        <v>0</v>
      </c>
      <c r="Q274" s="101">
        <v>0</v>
      </c>
      <c r="R274" s="101">
        <v>17.857142857142858</v>
      </c>
    </row>
    <row r="275" spans="2:18">
      <c r="E275" t="s">
        <v>37</v>
      </c>
      <c r="F275" s="101">
        <v>0</v>
      </c>
      <c r="G275" s="101">
        <v>0</v>
      </c>
      <c r="H275" s="101">
        <v>0</v>
      </c>
      <c r="I275" s="101">
        <v>0</v>
      </c>
      <c r="J275" s="101">
        <v>0</v>
      </c>
      <c r="K275" s="101">
        <v>0</v>
      </c>
      <c r="L275" s="101">
        <v>0</v>
      </c>
      <c r="M275" s="101">
        <v>0</v>
      </c>
      <c r="N275" s="101">
        <v>0</v>
      </c>
      <c r="O275" s="101">
        <v>0</v>
      </c>
      <c r="P275" s="101">
        <v>0</v>
      </c>
      <c r="Q275" s="101">
        <v>0</v>
      </c>
      <c r="R275" s="101">
        <v>0</v>
      </c>
    </row>
    <row r="276" spans="2:18">
      <c r="C276" s="52" t="s">
        <v>459</v>
      </c>
      <c r="D276" s="52"/>
      <c r="E276" s="52"/>
      <c r="F276" s="102">
        <v>5.9523809523809526</v>
      </c>
      <c r="G276" s="102">
        <v>5.9523809523809526</v>
      </c>
      <c r="H276" s="102">
        <v>5.9523809523809526</v>
      </c>
      <c r="I276" s="102">
        <v>0</v>
      </c>
      <c r="J276" s="102">
        <v>0</v>
      </c>
      <c r="K276" s="102">
        <v>0</v>
      </c>
      <c r="L276" s="102">
        <v>0</v>
      </c>
      <c r="M276" s="102">
        <v>0</v>
      </c>
      <c r="N276" s="102">
        <v>0</v>
      </c>
      <c r="O276" s="102">
        <v>0</v>
      </c>
      <c r="P276" s="102">
        <v>0</v>
      </c>
      <c r="Q276" s="102">
        <v>0</v>
      </c>
      <c r="R276" s="102">
        <v>17.857142857142858</v>
      </c>
    </row>
    <row r="277" spans="2:18">
      <c r="C277" t="s">
        <v>92</v>
      </c>
      <c r="D277" t="s">
        <v>97</v>
      </c>
      <c r="E277" t="s">
        <v>32</v>
      </c>
      <c r="F277" s="101">
        <v>7.486320000000001</v>
      </c>
      <c r="G277" s="101">
        <v>7.486320000000001</v>
      </c>
      <c r="H277" s="101">
        <v>7.486320000000001</v>
      </c>
      <c r="I277" s="101">
        <v>7.486320000000001</v>
      </c>
      <c r="J277" s="101">
        <v>7.486320000000001</v>
      </c>
      <c r="K277" s="101">
        <v>7.486320000000001</v>
      </c>
      <c r="L277" s="101">
        <v>7.486320000000001</v>
      </c>
      <c r="M277" s="101">
        <v>7.486320000000001</v>
      </c>
      <c r="N277" s="101">
        <v>7.486320000000001</v>
      </c>
      <c r="O277" s="101">
        <v>7.486320000000001</v>
      </c>
      <c r="P277" s="101">
        <v>7.486320000000001</v>
      </c>
      <c r="Q277" s="101">
        <v>7.486320000000001</v>
      </c>
      <c r="R277" s="101">
        <v>89.835840000000019</v>
      </c>
    </row>
    <row r="278" spans="2:18">
      <c r="E278" t="s">
        <v>37</v>
      </c>
      <c r="F278" s="101">
        <v>2.8073700000000001</v>
      </c>
      <c r="G278" s="101">
        <v>2.8073700000000001</v>
      </c>
      <c r="H278" s="101">
        <v>2.8073700000000001</v>
      </c>
      <c r="I278" s="101">
        <v>2.8073700000000001</v>
      </c>
      <c r="J278" s="101">
        <v>2.8073700000000001</v>
      </c>
      <c r="K278" s="101">
        <v>2.8073700000000001</v>
      </c>
      <c r="L278" s="101">
        <v>2.8073700000000001</v>
      </c>
      <c r="M278" s="101">
        <v>2.8073700000000001</v>
      </c>
      <c r="N278" s="101">
        <v>2.8073700000000001</v>
      </c>
      <c r="O278" s="101">
        <v>2.8073700000000001</v>
      </c>
      <c r="P278" s="101">
        <v>2.8073700000000001</v>
      </c>
      <c r="Q278" s="101">
        <v>2.8073700000000001</v>
      </c>
      <c r="R278" s="101">
        <v>33.688439999999993</v>
      </c>
    </row>
    <row r="279" spans="2:18">
      <c r="E279" t="s">
        <v>44</v>
      </c>
      <c r="F279" s="101">
        <v>0.77982499999999988</v>
      </c>
      <c r="G279" s="101">
        <v>0.77982499999999988</v>
      </c>
      <c r="H279" s="101">
        <v>0.77982499999999988</v>
      </c>
      <c r="I279" s="101">
        <v>0.77982499999999988</v>
      </c>
      <c r="J279" s="101">
        <v>0.77982499999999988</v>
      </c>
      <c r="K279" s="101">
        <v>0.77982499999999988</v>
      </c>
      <c r="L279" s="101">
        <v>0.77982499999999988</v>
      </c>
      <c r="M279" s="101">
        <v>0.77982499999999988</v>
      </c>
      <c r="N279" s="101">
        <v>0.77982499999999988</v>
      </c>
      <c r="O279" s="101">
        <v>0.77982499999999988</v>
      </c>
      <c r="P279" s="101">
        <v>0.77982499999999988</v>
      </c>
      <c r="Q279" s="101">
        <v>0.77982499999999988</v>
      </c>
      <c r="R279" s="101">
        <v>9.357899999999999</v>
      </c>
    </row>
    <row r="280" spans="2:18">
      <c r="E280" t="s">
        <v>49</v>
      </c>
      <c r="F280" s="101">
        <v>0.93579000000000012</v>
      </c>
      <c r="G280" s="101">
        <v>0.93579000000000012</v>
      </c>
      <c r="H280" s="101">
        <v>0.93579000000000012</v>
      </c>
      <c r="I280" s="101">
        <v>0.93579000000000012</v>
      </c>
      <c r="J280" s="101">
        <v>0.93579000000000012</v>
      </c>
      <c r="K280" s="101">
        <v>0.93579000000000012</v>
      </c>
      <c r="L280" s="101">
        <v>0.93579000000000012</v>
      </c>
      <c r="M280" s="101">
        <v>0.93579000000000012</v>
      </c>
      <c r="N280" s="101">
        <v>0.93579000000000012</v>
      </c>
      <c r="O280" s="101">
        <v>0.93579000000000012</v>
      </c>
      <c r="P280" s="101">
        <v>0.93579000000000012</v>
      </c>
      <c r="Q280" s="101">
        <v>0.93579000000000012</v>
      </c>
      <c r="R280" s="101">
        <v>11.229480000000002</v>
      </c>
    </row>
    <row r="281" spans="2:18">
      <c r="E281" t="s">
        <v>457</v>
      </c>
      <c r="F281" s="101">
        <v>0.31193000000000004</v>
      </c>
      <c r="G281" s="101">
        <v>0.31193000000000004</v>
      </c>
      <c r="H281" s="101">
        <v>0.31193000000000004</v>
      </c>
      <c r="I281" s="101">
        <v>0.31193000000000004</v>
      </c>
      <c r="J281" s="101">
        <v>0.31193000000000004</v>
      </c>
      <c r="K281" s="101">
        <v>0.31193000000000004</v>
      </c>
      <c r="L281" s="101">
        <v>0.31193000000000004</v>
      </c>
      <c r="M281" s="101">
        <v>0.31193000000000004</v>
      </c>
      <c r="N281" s="101">
        <v>0.31193000000000004</v>
      </c>
      <c r="O281" s="101">
        <v>0.31193000000000004</v>
      </c>
      <c r="P281" s="101">
        <v>0.31193000000000004</v>
      </c>
      <c r="Q281" s="101">
        <v>0.31193000000000004</v>
      </c>
      <c r="R281" s="101">
        <v>3.7431600000000014</v>
      </c>
    </row>
    <row r="282" spans="2:18">
      <c r="D282" t="s">
        <v>98</v>
      </c>
      <c r="E282" t="s">
        <v>32</v>
      </c>
      <c r="F282" s="101">
        <v>0.39999999999999997</v>
      </c>
      <c r="G282" s="101">
        <v>0.39999999999999997</v>
      </c>
      <c r="H282" s="101">
        <v>0.39999999999999997</v>
      </c>
      <c r="I282" s="101">
        <v>0.39999999999999997</v>
      </c>
      <c r="J282" s="101">
        <v>0.39999999999999997</v>
      </c>
      <c r="K282" s="101">
        <v>0.39999999999999997</v>
      </c>
      <c r="L282" s="101">
        <v>0.39999999999999997</v>
      </c>
      <c r="M282" s="101">
        <v>0.39999999999999997</v>
      </c>
      <c r="N282" s="101">
        <v>0.39999999999999997</v>
      </c>
      <c r="O282" s="101">
        <v>0.39999999999999997</v>
      </c>
      <c r="P282" s="101">
        <v>0.39999999999999997</v>
      </c>
      <c r="Q282" s="101">
        <v>0.39999999999999997</v>
      </c>
      <c r="R282" s="101">
        <v>4.8</v>
      </c>
    </row>
    <row r="283" spans="2:18">
      <c r="E283" t="s">
        <v>44</v>
      </c>
      <c r="F283" s="101">
        <v>9.9999999999999992E-2</v>
      </c>
      <c r="G283" s="101">
        <v>9.9999999999999992E-2</v>
      </c>
      <c r="H283" s="101">
        <v>9.9999999999999992E-2</v>
      </c>
      <c r="I283" s="101">
        <v>9.9999999999999992E-2</v>
      </c>
      <c r="J283" s="101">
        <v>9.9999999999999992E-2</v>
      </c>
      <c r="K283" s="101">
        <v>9.9999999999999992E-2</v>
      </c>
      <c r="L283" s="101">
        <v>9.9999999999999992E-2</v>
      </c>
      <c r="M283" s="101">
        <v>9.9999999999999992E-2</v>
      </c>
      <c r="N283" s="101">
        <v>9.9999999999999992E-2</v>
      </c>
      <c r="O283" s="101">
        <v>9.9999999999999992E-2</v>
      </c>
      <c r="P283" s="101">
        <v>9.9999999999999992E-2</v>
      </c>
      <c r="Q283" s="101">
        <v>9.9999999999999992E-2</v>
      </c>
      <c r="R283" s="101">
        <v>1.2</v>
      </c>
    </row>
    <row r="284" spans="2:18">
      <c r="E284" t="s">
        <v>49</v>
      </c>
      <c r="F284" s="101">
        <v>9.9999999999999992E-2</v>
      </c>
      <c r="G284" s="101">
        <v>9.9999999999999992E-2</v>
      </c>
      <c r="H284" s="101">
        <v>9.9999999999999992E-2</v>
      </c>
      <c r="I284" s="101">
        <v>9.9999999999999992E-2</v>
      </c>
      <c r="J284" s="101">
        <v>9.9999999999999992E-2</v>
      </c>
      <c r="K284" s="101">
        <v>9.9999999999999992E-2</v>
      </c>
      <c r="L284" s="101">
        <v>9.9999999999999992E-2</v>
      </c>
      <c r="M284" s="101">
        <v>9.9999999999999992E-2</v>
      </c>
      <c r="N284" s="101">
        <v>9.9999999999999992E-2</v>
      </c>
      <c r="O284" s="101">
        <v>9.9999999999999992E-2</v>
      </c>
      <c r="P284" s="101">
        <v>9.9999999999999992E-2</v>
      </c>
      <c r="Q284" s="101">
        <v>9.9999999999999992E-2</v>
      </c>
      <c r="R284" s="101">
        <v>1.2</v>
      </c>
    </row>
    <row r="285" spans="2:18">
      <c r="C285" s="52" t="s">
        <v>458</v>
      </c>
      <c r="D285" s="52"/>
      <c r="E285" s="52"/>
      <c r="F285" s="102">
        <v>12.921235000000003</v>
      </c>
      <c r="G285" s="102">
        <v>12.921235000000003</v>
      </c>
      <c r="H285" s="102">
        <v>12.921235000000003</v>
      </c>
      <c r="I285" s="102">
        <v>12.921235000000003</v>
      </c>
      <c r="J285" s="102">
        <v>12.921235000000003</v>
      </c>
      <c r="K285" s="102">
        <v>12.921235000000003</v>
      </c>
      <c r="L285" s="102">
        <v>12.921235000000003</v>
      </c>
      <c r="M285" s="102">
        <v>12.921235000000003</v>
      </c>
      <c r="N285" s="102">
        <v>12.921235000000003</v>
      </c>
      <c r="O285" s="102">
        <v>12.921235000000003</v>
      </c>
      <c r="P285" s="102">
        <v>12.921235000000003</v>
      </c>
      <c r="Q285" s="102">
        <v>12.921235000000003</v>
      </c>
      <c r="R285" s="102">
        <v>155.05481999999998</v>
      </c>
    </row>
    <row r="286" spans="2:18">
      <c r="C286" t="s">
        <v>165</v>
      </c>
      <c r="D286" t="s">
        <v>166</v>
      </c>
      <c r="E286" t="s">
        <v>32</v>
      </c>
      <c r="F286" s="101">
        <v>8.1632653061224492</v>
      </c>
      <c r="G286" s="101">
        <v>8.1632653061224492</v>
      </c>
      <c r="H286" s="101">
        <v>8.1632653061224492</v>
      </c>
      <c r="I286" s="101">
        <v>8.1632653061224492</v>
      </c>
      <c r="J286" s="101">
        <v>8.1632653061224492</v>
      </c>
      <c r="K286" s="101">
        <v>8.5073821057159194</v>
      </c>
      <c r="L286" s="101">
        <v>8.5073821057159194</v>
      </c>
      <c r="M286" s="101">
        <v>8.5073821057159194</v>
      </c>
      <c r="N286" s="101">
        <v>8.5073821057159194</v>
      </c>
      <c r="O286" s="101">
        <v>8.5073821057159194</v>
      </c>
      <c r="P286" s="101">
        <v>8.5073821057159194</v>
      </c>
      <c r="Q286" s="101">
        <v>8.5073821057159194</v>
      </c>
      <c r="R286" s="101">
        <v>100.36800127062368</v>
      </c>
    </row>
    <row r="287" spans="2:18">
      <c r="E287" t="s">
        <v>37</v>
      </c>
      <c r="F287" s="101">
        <v>2.9387755102040818</v>
      </c>
      <c r="G287" s="101">
        <v>2.9387755102040818</v>
      </c>
      <c r="H287" s="101">
        <v>2.9387755102040818</v>
      </c>
      <c r="I287" s="101">
        <v>2.9387755102040818</v>
      </c>
      <c r="J287" s="101">
        <v>2.9387755102040818</v>
      </c>
      <c r="K287" s="101">
        <v>3.0626575580577318</v>
      </c>
      <c r="L287" s="101">
        <v>3.0626575580577318</v>
      </c>
      <c r="M287" s="101">
        <v>3.0626575580577318</v>
      </c>
      <c r="N287" s="101">
        <v>3.0626575580577318</v>
      </c>
      <c r="O287" s="101">
        <v>3.0626575580577318</v>
      </c>
      <c r="P287" s="101">
        <v>3.0626575580577318</v>
      </c>
      <c r="Q287" s="101">
        <v>3.0626575580577318</v>
      </c>
      <c r="R287" s="101">
        <v>36.132480457424535</v>
      </c>
    </row>
    <row r="288" spans="2:18">
      <c r="E288" t="s">
        <v>44</v>
      </c>
      <c r="F288" s="101">
        <v>0.81632653061224492</v>
      </c>
      <c r="G288" s="101">
        <v>0.81632653061224492</v>
      </c>
      <c r="H288" s="101">
        <v>0.81632653061224492</v>
      </c>
      <c r="I288" s="101">
        <v>0.81632653061224492</v>
      </c>
      <c r="J288" s="101">
        <v>0.81632653061224492</v>
      </c>
      <c r="K288" s="101">
        <v>0.85073821057159205</v>
      </c>
      <c r="L288" s="101">
        <v>0.85073821057159205</v>
      </c>
      <c r="M288" s="101">
        <v>0.85073821057159205</v>
      </c>
      <c r="N288" s="101">
        <v>0.85073821057159205</v>
      </c>
      <c r="O288" s="101">
        <v>0.85073821057159205</v>
      </c>
      <c r="P288" s="101">
        <v>0.85073821057159205</v>
      </c>
      <c r="Q288" s="101">
        <v>0.85073821057159205</v>
      </c>
      <c r="R288" s="101">
        <v>10.036800127062369</v>
      </c>
    </row>
    <row r="289" spans="2:18">
      <c r="E289" t="s">
        <v>49</v>
      </c>
      <c r="F289" s="101">
        <v>0.97959183673469385</v>
      </c>
      <c r="G289" s="101">
        <v>0.97959183673469385</v>
      </c>
      <c r="H289" s="101">
        <v>0.97959183673469385</v>
      </c>
      <c r="I289" s="101">
        <v>0.97959183673469385</v>
      </c>
      <c r="J289" s="101">
        <v>0.97959183673469385</v>
      </c>
      <c r="K289" s="101">
        <v>1.0208858526859106</v>
      </c>
      <c r="L289" s="101">
        <v>1.0208858526859106</v>
      </c>
      <c r="M289" s="101">
        <v>1.0208858526859106</v>
      </c>
      <c r="N289" s="101">
        <v>1.0208858526859106</v>
      </c>
      <c r="O289" s="101">
        <v>1.0208858526859106</v>
      </c>
      <c r="P289" s="101">
        <v>1.0208858526859106</v>
      </c>
      <c r="Q289" s="101">
        <v>1.0208858526859106</v>
      </c>
      <c r="R289" s="101">
        <v>12.044160152474847</v>
      </c>
    </row>
    <row r="290" spans="2:18">
      <c r="C290" s="52" t="s">
        <v>460</v>
      </c>
      <c r="D290" s="52"/>
      <c r="E290" s="52"/>
      <c r="F290" s="102">
        <v>12.897959183673469</v>
      </c>
      <c r="G290" s="102">
        <v>12.897959183673469</v>
      </c>
      <c r="H290" s="102">
        <v>12.897959183673469</v>
      </c>
      <c r="I290" s="102">
        <v>12.897959183673469</v>
      </c>
      <c r="J290" s="102">
        <v>12.897959183673469</v>
      </c>
      <c r="K290" s="102">
        <v>13.441663727031154</v>
      </c>
      <c r="L290" s="102">
        <v>13.441663727031154</v>
      </c>
      <c r="M290" s="102">
        <v>13.441663727031154</v>
      </c>
      <c r="N290" s="102">
        <v>13.441663727031154</v>
      </c>
      <c r="O290" s="102">
        <v>13.441663727031154</v>
      </c>
      <c r="P290" s="102">
        <v>13.441663727031154</v>
      </c>
      <c r="Q290" s="102">
        <v>13.441663727031154</v>
      </c>
      <c r="R290" s="102">
        <v>158.58144200758545</v>
      </c>
    </row>
    <row r="291" spans="2:18">
      <c r="C291" t="s">
        <v>223</v>
      </c>
      <c r="D291" t="s">
        <v>225</v>
      </c>
      <c r="E291" t="s">
        <v>32</v>
      </c>
      <c r="F291" s="101">
        <v>0.65</v>
      </c>
      <c r="G291" s="101">
        <v>0.65</v>
      </c>
      <c r="H291" s="101">
        <v>0.65</v>
      </c>
      <c r="I291" s="101">
        <v>0.65</v>
      </c>
      <c r="J291" s="101">
        <v>0.65</v>
      </c>
      <c r="K291" s="101">
        <v>0.65</v>
      </c>
      <c r="L291" s="101">
        <v>0.65</v>
      </c>
      <c r="M291" s="101">
        <v>0.65</v>
      </c>
      <c r="N291" s="101">
        <v>0.65</v>
      </c>
      <c r="O291" s="101">
        <v>0.65</v>
      </c>
      <c r="P291" s="101">
        <v>0.65</v>
      </c>
      <c r="Q291" s="101">
        <v>0.65</v>
      </c>
      <c r="R291" s="101">
        <v>7.8000000000000016</v>
      </c>
    </row>
    <row r="292" spans="2:18">
      <c r="E292" t="s">
        <v>37</v>
      </c>
      <c r="F292" s="101">
        <v>0</v>
      </c>
      <c r="G292" s="101">
        <v>0</v>
      </c>
      <c r="H292" s="101">
        <v>0</v>
      </c>
      <c r="I292" s="101">
        <v>0</v>
      </c>
      <c r="J292" s="101">
        <v>0</v>
      </c>
      <c r="K292" s="101">
        <v>0</v>
      </c>
      <c r="L292" s="101">
        <v>0</v>
      </c>
      <c r="M292" s="101">
        <v>0</v>
      </c>
      <c r="N292" s="101">
        <v>0</v>
      </c>
      <c r="O292" s="101">
        <v>0</v>
      </c>
      <c r="P292" s="101">
        <v>0</v>
      </c>
      <c r="Q292" s="101">
        <v>0</v>
      </c>
      <c r="R292" s="101">
        <v>0</v>
      </c>
    </row>
    <row r="293" spans="2:18">
      <c r="E293" t="s">
        <v>44</v>
      </c>
      <c r="F293" s="101">
        <v>0.13</v>
      </c>
      <c r="G293" s="101">
        <v>0.13</v>
      </c>
      <c r="H293" s="101">
        <v>0.13</v>
      </c>
      <c r="I293" s="101">
        <v>0.13</v>
      </c>
      <c r="J293" s="101">
        <v>0.13</v>
      </c>
      <c r="K293" s="101">
        <v>0.13</v>
      </c>
      <c r="L293" s="101">
        <v>0.13</v>
      </c>
      <c r="M293" s="101">
        <v>0.13</v>
      </c>
      <c r="N293" s="101">
        <v>0.13</v>
      </c>
      <c r="O293" s="101">
        <v>0.13</v>
      </c>
      <c r="P293" s="101">
        <v>0.13</v>
      </c>
      <c r="Q293" s="101">
        <v>0.13</v>
      </c>
      <c r="R293" s="101">
        <v>1.5599999999999996</v>
      </c>
    </row>
    <row r="294" spans="2:18">
      <c r="E294" t="s">
        <v>49</v>
      </c>
      <c r="F294" s="101">
        <v>0.21999999999999997</v>
      </c>
      <c r="G294" s="101">
        <v>0.21999999999999997</v>
      </c>
      <c r="H294" s="101">
        <v>0.21999999999999997</v>
      </c>
      <c r="I294" s="101">
        <v>0.21999999999999997</v>
      </c>
      <c r="J294" s="101">
        <v>0.21999999999999997</v>
      </c>
      <c r="K294" s="101">
        <v>0.21999999999999997</v>
      </c>
      <c r="L294" s="101">
        <v>0.21999999999999997</v>
      </c>
      <c r="M294" s="101">
        <v>0.21999999999999997</v>
      </c>
      <c r="N294" s="101">
        <v>0.21999999999999997</v>
      </c>
      <c r="O294" s="101">
        <v>0.21999999999999997</v>
      </c>
      <c r="P294" s="101">
        <v>0.21999999999999997</v>
      </c>
      <c r="Q294" s="101">
        <v>0.21999999999999997</v>
      </c>
      <c r="R294" s="101">
        <v>2.6399999999999997</v>
      </c>
    </row>
    <row r="295" spans="2:18">
      <c r="C295" s="52" t="s">
        <v>461</v>
      </c>
      <c r="D295" s="52"/>
      <c r="E295" s="52"/>
      <c r="F295" s="102">
        <v>1</v>
      </c>
      <c r="G295" s="102">
        <v>1</v>
      </c>
      <c r="H295" s="102">
        <v>1</v>
      </c>
      <c r="I295" s="102">
        <v>1</v>
      </c>
      <c r="J295" s="102">
        <v>1</v>
      </c>
      <c r="K295" s="102">
        <v>1</v>
      </c>
      <c r="L295" s="102">
        <v>1</v>
      </c>
      <c r="M295" s="102">
        <v>1</v>
      </c>
      <c r="N295" s="102">
        <v>1</v>
      </c>
      <c r="O295" s="102">
        <v>1</v>
      </c>
      <c r="P295" s="102">
        <v>1</v>
      </c>
      <c r="Q295" s="102">
        <v>1</v>
      </c>
      <c r="R295" s="102">
        <v>12</v>
      </c>
    </row>
    <row r="296" spans="2:18">
      <c r="C296" t="s">
        <v>238</v>
      </c>
      <c r="D296" t="s">
        <v>239</v>
      </c>
      <c r="E296" t="s">
        <v>37</v>
      </c>
      <c r="F296" s="101">
        <v>0.85034013605442182</v>
      </c>
      <c r="G296" s="101">
        <v>0.85034013605442182</v>
      </c>
      <c r="H296" s="101">
        <v>0.85034013605442182</v>
      </c>
      <c r="I296" s="101">
        <v>0.85034013605442182</v>
      </c>
      <c r="J296" s="101">
        <v>0.85034013605442182</v>
      </c>
      <c r="K296" s="101">
        <v>0.85034013605442182</v>
      </c>
      <c r="L296" s="101">
        <v>0.85034013605442182</v>
      </c>
      <c r="M296" s="101">
        <v>0.85034013605442182</v>
      </c>
      <c r="N296" s="101">
        <v>0.85034013605442182</v>
      </c>
      <c r="O296" s="101">
        <v>0.85034013605442182</v>
      </c>
      <c r="P296" s="101">
        <v>0.85034013605442182</v>
      </c>
      <c r="Q296" s="101">
        <v>0.85034013605442182</v>
      </c>
      <c r="R296" s="101">
        <v>10.204081632653063</v>
      </c>
    </row>
    <row r="297" spans="2:18">
      <c r="C297" s="52" t="s">
        <v>462</v>
      </c>
      <c r="D297" s="52"/>
      <c r="E297" s="52"/>
      <c r="F297" s="102">
        <v>0.85034013605442182</v>
      </c>
      <c r="G297" s="102">
        <v>0.85034013605442182</v>
      </c>
      <c r="H297" s="102">
        <v>0.85034013605442182</v>
      </c>
      <c r="I297" s="102">
        <v>0.85034013605442182</v>
      </c>
      <c r="J297" s="102">
        <v>0.85034013605442182</v>
      </c>
      <c r="K297" s="102">
        <v>0.85034013605442182</v>
      </c>
      <c r="L297" s="102">
        <v>0.85034013605442182</v>
      </c>
      <c r="M297" s="102">
        <v>0.85034013605442182</v>
      </c>
      <c r="N297" s="102">
        <v>0.85034013605442182</v>
      </c>
      <c r="O297" s="102">
        <v>0.85034013605442182</v>
      </c>
      <c r="P297" s="102">
        <v>0.85034013605442182</v>
      </c>
      <c r="Q297" s="102">
        <v>0.85034013605442182</v>
      </c>
      <c r="R297" s="102">
        <v>10.204081632653063</v>
      </c>
    </row>
    <row r="298" spans="2:18">
      <c r="C298" t="s">
        <v>179</v>
      </c>
      <c r="D298" t="s">
        <v>185</v>
      </c>
      <c r="E298" t="s">
        <v>32</v>
      </c>
      <c r="F298" s="101">
        <v>1.6156462585034015</v>
      </c>
      <c r="G298" s="101">
        <v>1.6156462585034015</v>
      </c>
      <c r="H298" s="101">
        <v>1.6156462585034015</v>
      </c>
      <c r="I298" s="101">
        <v>1.6156462585034015</v>
      </c>
      <c r="J298" s="101">
        <v>1.6156462585034015</v>
      </c>
      <c r="K298" s="101">
        <v>1.6156462585034015</v>
      </c>
      <c r="L298" s="101">
        <v>1.6156462585034015</v>
      </c>
      <c r="M298" s="101">
        <v>1.6156462585034015</v>
      </c>
      <c r="N298" s="101">
        <v>1.6156462585034015</v>
      </c>
      <c r="O298" s="101">
        <v>1.6156462585034015</v>
      </c>
      <c r="P298" s="101">
        <v>1.6156462585034015</v>
      </c>
      <c r="Q298" s="101">
        <v>1.6156462585034015</v>
      </c>
      <c r="R298" s="101">
        <v>19.387755102040813</v>
      </c>
    </row>
    <row r="299" spans="2:18">
      <c r="E299" t="s">
        <v>37</v>
      </c>
      <c r="F299" s="101">
        <v>0.58163265306122447</v>
      </c>
      <c r="G299" s="101">
        <v>0.58163265306122447</v>
      </c>
      <c r="H299" s="101">
        <v>0.58163265306122447</v>
      </c>
      <c r="I299" s="101">
        <v>0.58163265306122447</v>
      </c>
      <c r="J299" s="101">
        <v>0.58163265306122447</v>
      </c>
      <c r="K299" s="101">
        <v>0.58163265306122447</v>
      </c>
      <c r="L299" s="101">
        <v>0.58163265306122447</v>
      </c>
      <c r="M299" s="101">
        <v>0.58163265306122447</v>
      </c>
      <c r="N299" s="101">
        <v>0.58163265306122447</v>
      </c>
      <c r="O299" s="101">
        <v>0.58163265306122447</v>
      </c>
      <c r="P299" s="101">
        <v>0.58163265306122447</v>
      </c>
      <c r="Q299" s="101">
        <v>0.58163265306122447</v>
      </c>
      <c r="R299" s="101">
        <v>6.9795918367346941</v>
      </c>
    </row>
    <row r="300" spans="2:18">
      <c r="E300" t="s">
        <v>44</v>
      </c>
      <c r="F300" s="101">
        <v>0.16156462585034012</v>
      </c>
      <c r="G300" s="101">
        <v>0.16156462585034012</v>
      </c>
      <c r="H300" s="101">
        <v>0.16156462585034012</v>
      </c>
      <c r="I300" s="101">
        <v>0.16156462585034012</v>
      </c>
      <c r="J300" s="101">
        <v>0.16156462585034012</v>
      </c>
      <c r="K300" s="101">
        <v>0.16156462585034012</v>
      </c>
      <c r="L300" s="101">
        <v>0.16156462585034012</v>
      </c>
      <c r="M300" s="101">
        <v>0.16156462585034012</v>
      </c>
      <c r="N300" s="101">
        <v>0.16156462585034012</v>
      </c>
      <c r="O300" s="101">
        <v>0.16156462585034012</v>
      </c>
      <c r="P300" s="101">
        <v>0.16156462585034012</v>
      </c>
      <c r="Q300" s="101">
        <v>0.16156462585034012</v>
      </c>
      <c r="R300" s="101">
        <v>1.9387755102040811</v>
      </c>
    </row>
    <row r="301" spans="2:18">
      <c r="E301" t="s">
        <v>49</v>
      </c>
      <c r="F301" s="101">
        <v>0.19387755102040816</v>
      </c>
      <c r="G301" s="101">
        <v>0.19387755102040816</v>
      </c>
      <c r="H301" s="101">
        <v>0.19387755102040816</v>
      </c>
      <c r="I301" s="101">
        <v>0.19387755102040816</v>
      </c>
      <c r="J301" s="101">
        <v>0.19387755102040816</v>
      </c>
      <c r="K301" s="101">
        <v>0.19387755102040816</v>
      </c>
      <c r="L301" s="101">
        <v>0.19387755102040816</v>
      </c>
      <c r="M301" s="101">
        <v>0.19387755102040816</v>
      </c>
      <c r="N301" s="101">
        <v>0.19387755102040816</v>
      </c>
      <c r="O301" s="101">
        <v>0.19387755102040816</v>
      </c>
      <c r="P301" s="101">
        <v>0.19387755102040816</v>
      </c>
      <c r="Q301" s="101">
        <v>0.19387755102040816</v>
      </c>
      <c r="R301" s="101">
        <v>2.3265306122448974</v>
      </c>
    </row>
    <row r="302" spans="2:18">
      <c r="C302" s="52" t="s">
        <v>439</v>
      </c>
      <c r="D302" s="52"/>
      <c r="E302" s="52"/>
      <c r="F302" s="102">
        <v>2.5527210884353742</v>
      </c>
      <c r="G302" s="102">
        <v>2.5527210884353742</v>
      </c>
      <c r="H302" s="102">
        <v>2.5527210884353742</v>
      </c>
      <c r="I302" s="102">
        <v>2.5527210884353742</v>
      </c>
      <c r="J302" s="102">
        <v>2.5527210884353742</v>
      </c>
      <c r="K302" s="102">
        <v>2.5527210884353742</v>
      </c>
      <c r="L302" s="102">
        <v>2.5527210884353742</v>
      </c>
      <c r="M302" s="102">
        <v>2.5527210884353742</v>
      </c>
      <c r="N302" s="102">
        <v>2.5527210884353742</v>
      </c>
      <c r="O302" s="102">
        <v>2.5527210884353742</v>
      </c>
      <c r="P302" s="102">
        <v>2.5527210884353742</v>
      </c>
      <c r="Q302" s="102">
        <v>2.5527210884353742</v>
      </c>
      <c r="R302" s="102">
        <v>30.632653061224488</v>
      </c>
    </row>
    <row r="303" spans="2:18">
      <c r="B303" s="53" t="s">
        <v>402</v>
      </c>
      <c r="C303" s="53"/>
      <c r="D303" s="53"/>
      <c r="E303" s="53"/>
      <c r="F303" s="103">
        <v>36.174636360544227</v>
      </c>
      <c r="G303" s="103">
        <v>36.174636360544227</v>
      </c>
      <c r="H303" s="103">
        <v>36.174636360544227</v>
      </c>
      <c r="I303" s="103">
        <v>30.222255408163257</v>
      </c>
      <c r="J303" s="103">
        <v>30.222255408163257</v>
      </c>
      <c r="K303" s="103">
        <v>30.765959951520944</v>
      </c>
      <c r="L303" s="103">
        <v>30.765959951520944</v>
      </c>
      <c r="M303" s="103">
        <v>30.765959951520944</v>
      </c>
      <c r="N303" s="103">
        <v>30.765959951520944</v>
      </c>
      <c r="O303" s="103">
        <v>30.765959951520944</v>
      </c>
      <c r="P303" s="103">
        <v>30.765959951520944</v>
      </c>
      <c r="Q303" s="103">
        <v>30.765959951520944</v>
      </c>
      <c r="R303" s="103">
        <v>384.33013955860582</v>
      </c>
    </row>
    <row r="304" spans="2:18">
      <c r="B304" t="s">
        <v>87</v>
      </c>
      <c r="C304" t="s">
        <v>159</v>
      </c>
      <c r="D304" t="s">
        <v>160</v>
      </c>
      <c r="E304" t="s">
        <v>32</v>
      </c>
      <c r="F304" s="101">
        <v>5.7500000000000009</v>
      </c>
      <c r="G304" s="101">
        <v>5.7500000000000009</v>
      </c>
      <c r="H304" s="101">
        <v>5.7500000000000009</v>
      </c>
      <c r="I304" s="101">
        <v>5.7500000000000009</v>
      </c>
      <c r="J304" s="101">
        <v>5.7500000000000009</v>
      </c>
      <c r="K304" s="101">
        <v>5.7500000000000009</v>
      </c>
      <c r="L304" s="101">
        <v>5.7500000000000009</v>
      </c>
      <c r="M304" s="101">
        <v>5.7500000000000009</v>
      </c>
      <c r="N304" s="101">
        <v>5.7500000000000009</v>
      </c>
      <c r="O304" s="101">
        <v>5.7500000000000009</v>
      </c>
      <c r="P304" s="101">
        <v>5.7500000000000009</v>
      </c>
      <c r="Q304" s="101">
        <v>5.7500000000000009</v>
      </c>
      <c r="R304" s="101">
        <v>69.000000000000014</v>
      </c>
    </row>
    <row r="305" spans="3:18">
      <c r="E305" t="s">
        <v>37</v>
      </c>
      <c r="F305" s="101">
        <v>2.0699999999999998</v>
      </c>
      <c r="G305" s="101">
        <v>2.0699999999999998</v>
      </c>
      <c r="H305" s="101">
        <v>2.0699999999999998</v>
      </c>
      <c r="I305" s="101">
        <v>2.0699999999999998</v>
      </c>
      <c r="J305" s="101">
        <v>2.0699999999999998</v>
      </c>
      <c r="K305" s="101">
        <v>2.0699999999999998</v>
      </c>
      <c r="L305" s="101">
        <v>2.0699999999999998</v>
      </c>
      <c r="M305" s="101">
        <v>2.0699999999999998</v>
      </c>
      <c r="N305" s="101">
        <v>2.0699999999999998</v>
      </c>
      <c r="O305" s="101">
        <v>2.0699999999999998</v>
      </c>
      <c r="P305" s="101">
        <v>2.0699999999999998</v>
      </c>
      <c r="Q305" s="101">
        <v>2.0699999999999998</v>
      </c>
      <c r="R305" s="101">
        <v>24.84</v>
      </c>
    </row>
    <row r="306" spans="3:18">
      <c r="E306" t="s">
        <v>44</v>
      </c>
      <c r="F306" s="101">
        <v>0.57499999999999996</v>
      </c>
      <c r="G306" s="101">
        <v>0.57499999999999996</v>
      </c>
      <c r="H306" s="101">
        <v>0.57499999999999996</v>
      </c>
      <c r="I306" s="101">
        <v>0.57499999999999996</v>
      </c>
      <c r="J306" s="101">
        <v>0.57499999999999996</v>
      </c>
      <c r="K306" s="101">
        <v>0.57499999999999996</v>
      </c>
      <c r="L306" s="101">
        <v>0.57499999999999996</v>
      </c>
      <c r="M306" s="101">
        <v>0.57499999999999996</v>
      </c>
      <c r="N306" s="101">
        <v>0.57499999999999996</v>
      </c>
      <c r="O306" s="101">
        <v>0.57499999999999996</v>
      </c>
      <c r="P306" s="101">
        <v>0.57499999999999996</v>
      </c>
      <c r="Q306" s="101">
        <v>0.57499999999999996</v>
      </c>
      <c r="R306" s="101">
        <v>6.9000000000000012</v>
      </c>
    </row>
    <row r="307" spans="3:18">
      <c r="E307" t="s">
        <v>49</v>
      </c>
      <c r="F307" s="101">
        <v>0.69</v>
      </c>
      <c r="G307" s="101">
        <v>0.69</v>
      </c>
      <c r="H307" s="101">
        <v>0.69</v>
      </c>
      <c r="I307" s="101">
        <v>0.69</v>
      </c>
      <c r="J307" s="101">
        <v>0.69</v>
      </c>
      <c r="K307" s="101">
        <v>0.69</v>
      </c>
      <c r="L307" s="101">
        <v>0.69</v>
      </c>
      <c r="M307" s="101">
        <v>0.69</v>
      </c>
      <c r="N307" s="101">
        <v>0.69</v>
      </c>
      <c r="O307" s="101">
        <v>0.69</v>
      </c>
      <c r="P307" s="101">
        <v>0.69</v>
      </c>
      <c r="Q307" s="101">
        <v>0.69</v>
      </c>
      <c r="R307" s="101">
        <v>8.2799999999999976</v>
      </c>
    </row>
    <row r="308" spans="3:18">
      <c r="C308" s="52" t="s">
        <v>463</v>
      </c>
      <c r="D308" s="52"/>
      <c r="E308" s="52"/>
      <c r="F308" s="102">
        <v>9.0849999999999991</v>
      </c>
      <c r="G308" s="102">
        <v>9.0849999999999991</v>
      </c>
      <c r="H308" s="102">
        <v>9.0849999999999991</v>
      </c>
      <c r="I308" s="102">
        <v>9.0849999999999991</v>
      </c>
      <c r="J308" s="102">
        <v>9.0849999999999991</v>
      </c>
      <c r="K308" s="102">
        <v>9.0849999999999991</v>
      </c>
      <c r="L308" s="102">
        <v>9.0849999999999991</v>
      </c>
      <c r="M308" s="102">
        <v>9.0849999999999991</v>
      </c>
      <c r="N308" s="102">
        <v>9.0849999999999991</v>
      </c>
      <c r="O308" s="102">
        <v>9.0849999999999991</v>
      </c>
      <c r="P308" s="102">
        <v>9.0849999999999991</v>
      </c>
      <c r="Q308" s="102">
        <v>9.0849999999999991</v>
      </c>
      <c r="R308" s="102">
        <v>109.02000000000002</v>
      </c>
    </row>
    <row r="309" spans="3:18">
      <c r="C309" t="s">
        <v>118</v>
      </c>
      <c r="D309" t="s">
        <v>119</v>
      </c>
      <c r="E309" t="s">
        <v>49</v>
      </c>
      <c r="F309" s="101">
        <v>5.8333333333333341E-2</v>
      </c>
      <c r="G309" s="101">
        <v>5.8333333333333341E-2</v>
      </c>
      <c r="H309" s="101">
        <v>5.8333333333333341E-2</v>
      </c>
      <c r="I309" s="101">
        <v>5.8333333333333341E-2</v>
      </c>
      <c r="J309" s="101">
        <v>5.8333333333333341E-2</v>
      </c>
      <c r="K309" s="101">
        <v>5.8333333333333341E-2</v>
      </c>
      <c r="L309" s="101">
        <v>5.8333333333333341E-2</v>
      </c>
      <c r="M309" s="101">
        <v>5.8333333333333341E-2</v>
      </c>
      <c r="N309" s="101">
        <v>5.8333333333333341E-2</v>
      </c>
      <c r="O309" s="101">
        <v>5.8333333333333341E-2</v>
      </c>
      <c r="P309" s="101">
        <v>5.8333333333333341E-2</v>
      </c>
      <c r="Q309" s="101">
        <v>5.8333333333333341E-2</v>
      </c>
      <c r="R309" s="101">
        <v>0.70000000000000007</v>
      </c>
    </row>
    <row r="310" spans="3:18">
      <c r="C310" s="52" t="s">
        <v>381</v>
      </c>
      <c r="D310" s="52"/>
      <c r="E310" s="52"/>
      <c r="F310" s="102">
        <v>5.8333333333333341E-2</v>
      </c>
      <c r="G310" s="102">
        <v>5.8333333333333341E-2</v>
      </c>
      <c r="H310" s="102">
        <v>5.8333333333333341E-2</v>
      </c>
      <c r="I310" s="102">
        <v>5.8333333333333341E-2</v>
      </c>
      <c r="J310" s="102">
        <v>5.8333333333333341E-2</v>
      </c>
      <c r="K310" s="102">
        <v>5.8333333333333341E-2</v>
      </c>
      <c r="L310" s="102">
        <v>5.8333333333333341E-2</v>
      </c>
      <c r="M310" s="102">
        <v>5.8333333333333341E-2</v>
      </c>
      <c r="N310" s="102">
        <v>5.8333333333333341E-2</v>
      </c>
      <c r="O310" s="102">
        <v>5.8333333333333341E-2</v>
      </c>
      <c r="P310" s="102">
        <v>5.8333333333333341E-2</v>
      </c>
      <c r="Q310" s="102">
        <v>5.8333333333333341E-2</v>
      </c>
      <c r="R310" s="102">
        <v>0.70000000000000007</v>
      </c>
    </row>
    <row r="311" spans="3:18">
      <c r="C311" t="s">
        <v>122</v>
      </c>
      <c r="D311" t="s">
        <v>124</v>
      </c>
      <c r="E311" t="s">
        <v>49</v>
      </c>
      <c r="F311" s="101">
        <v>4.5</v>
      </c>
      <c r="G311" s="101">
        <v>4.5</v>
      </c>
      <c r="H311" s="101">
        <v>4.5</v>
      </c>
      <c r="I311" s="101">
        <v>4.5</v>
      </c>
      <c r="J311" s="101">
        <v>4.5</v>
      </c>
      <c r="K311" s="101">
        <v>4.5</v>
      </c>
      <c r="L311" s="101">
        <v>4.5</v>
      </c>
      <c r="M311" s="101">
        <v>4.5</v>
      </c>
      <c r="N311" s="101">
        <v>4.5</v>
      </c>
      <c r="O311" s="101">
        <v>5</v>
      </c>
      <c r="P311" s="101">
        <v>5</v>
      </c>
      <c r="Q311" s="101">
        <v>5</v>
      </c>
      <c r="R311" s="101">
        <v>55.5</v>
      </c>
    </row>
    <row r="312" spans="3:18">
      <c r="C312" s="52" t="s">
        <v>464</v>
      </c>
      <c r="D312" s="52"/>
      <c r="E312" s="52"/>
      <c r="F312" s="102">
        <v>4.5</v>
      </c>
      <c r="G312" s="102">
        <v>4.5</v>
      </c>
      <c r="H312" s="102">
        <v>4.5</v>
      </c>
      <c r="I312" s="102">
        <v>4.5</v>
      </c>
      <c r="J312" s="102">
        <v>4.5</v>
      </c>
      <c r="K312" s="102">
        <v>4.5</v>
      </c>
      <c r="L312" s="102">
        <v>4.5</v>
      </c>
      <c r="M312" s="102">
        <v>4.5</v>
      </c>
      <c r="N312" s="102">
        <v>4.5</v>
      </c>
      <c r="O312" s="102">
        <v>5</v>
      </c>
      <c r="P312" s="102">
        <v>5</v>
      </c>
      <c r="Q312" s="102">
        <v>5</v>
      </c>
      <c r="R312" s="102">
        <v>55.5</v>
      </c>
    </row>
    <row r="313" spans="3:18">
      <c r="C313" t="s">
        <v>128</v>
      </c>
      <c r="D313" t="s">
        <v>129</v>
      </c>
      <c r="E313" t="s">
        <v>32</v>
      </c>
      <c r="F313" s="101">
        <v>3.231292517006803</v>
      </c>
      <c r="G313" s="101">
        <v>3.231292517006803</v>
      </c>
      <c r="H313" s="101">
        <v>3.231292517006803</v>
      </c>
      <c r="I313" s="101">
        <v>3.231292517006803</v>
      </c>
      <c r="J313" s="101">
        <v>3.231292517006803</v>
      </c>
      <c r="K313" s="101">
        <v>3.231292517006803</v>
      </c>
      <c r="L313" s="101">
        <v>3.231292517006803</v>
      </c>
      <c r="M313" s="101">
        <v>3.231292517006803</v>
      </c>
      <c r="N313" s="101">
        <v>3.231292517006803</v>
      </c>
      <c r="O313" s="101">
        <v>3.231292517006803</v>
      </c>
      <c r="P313" s="101">
        <v>3.231292517006803</v>
      </c>
      <c r="Q313" s="101">
        <v>3.231292517006803</v>
      </c>
      <c r="R313" s="101">
        <v>38.775510204081627</v>
      </c>
    </row>
    <row r="314" spans="3:18">
      <c r="E314" t="s">
        <v>37</v>
      </c>
      <c r="F314" s="101">
        <v>1.1632653061224489</v>
      </c>
      <c r="G314" s="101">
        <v>1.1632653061224489</v>
      </c>
      <c r="H314" s="101">
        <v>1.1632653061224489</v>
      </c>
      <c r="I314" s="101">
        <v>1.1632653061224489</v>
      </c>
      <c r="J314" s="101">
        <v>1.1632653061224489</v>
      </c>
      <c r="K314" s="101">
        <v>1.1632653061224489</v>
      </c>
      <c r="L314" s="101">
        <v>1.1632653061224489</v>
      </c>
      <c r="M314" s="101">
        <v>1.1632653061224489</v>
      </c>
      <c r="N314" s="101">
        <v>1.1632653061224489</v>
      </c>
      <c r="O314" s="101">
        <v>1.1632653061224489</v>
      </c>
      <c r="P314" s="101">
        <v>1.1632653061224489</v>
      </c>
      <c r="Q314" s="101">
        <v>1.1632653061224489</v>
      </c>
      <c r="R314" s="101">
        <v>13.959183673469388</v>
      </c>
    </row>
    <row r="315" spans="3:18">
      <c r="E315" t="s">
        <v>44</v>
      </c>
      <c r="F315" s="101">
        <v>0.32312925170068024</v>
      </c>
      <c r="G315" s="101">
        <v>0.32312925170068024</v>
      </c>
      <c r="H315" s="101">
        <v>0.32312925170068024</v>
      </c>
      <c r="I315" s="101">
        <v>0.32312925170068024</v>
      </c>
      <c r="J315" s="101">
        <v>0.32312925170068024</v>
      </c>
      <c r="K315" s="101">
        <v>0.32312925170068024</v>
      </c>
      <c r="L315" s="101">
        <v>0.32312925170068024</v>
      </c>
      <c r="M315" s="101">
        <v>0.32312925170068024</v>
      </c>
      <c r="N315" s="101">
        <v>0.32312925170068024</v>
      </c>
      <c r="O315" s="101">
        <v>0.32312925170068024</v>
      </c>
      <c r="P315" s="101">
        <v>0.32312925170068024</v>
      </c>
      <c r="Q315" s="101">
        <v>0.32312925170068024</v>
      </c>
      <c r="R315" s="101">
        <v>3.8775510204081622</v>
      </c>
    </row>
    <row r="316" spans="3:18">
      <c r="E316" t="s">
        <v>49</v>
      </c>
      <c r="F316" s="101">
        <v>0.38775510204081631</v>
      </c>
      <c r="G316" s="101">
        <v>0.38775510204081631</v>
      </c>
      <c r="H316" s="101">
        <v>0.38775510204081631</v>
      </c>
      <c r="I316" s="101">
        <v>0.38775510204081631</v>
      </c>
      <c r="J316" s="101">
        <v>0.38775510204081631</v>
      </c>
      <c r="K316" s="101">
        <v>0.38775510204081631</v>
      </c>
      <c r="L316" s="101">
        <v>0.38775510204081631</v>
      </c>
      <c r="M316" s="101">
        <v>0.38775510204081631</v>
      </c>
      <c r="N316" s="101">
        <v>0.38775510204081631</v>
      </c>
      <c r="O316" s="101">
        <v>0.38775510204081631</v>
      </c>
      <c r="P316" s="101">
        <v>0.38775510204081631</v>
      </c>
      <c r="Q316" s="101">
        <v>0.38775510204081631</v>
      </c>
      <c r="R316" s="101">
        <v>4.6530612244897949</v>
      </c>
    </row>
    <row r="317" spans="3:18">
      <c r="C317" s="52" t="s">
        <v>465</v>
      </c>
      <c r="D317" s="52"/>
      <c r="E317" s="52"/>
      <c r="F317" s="102">
        <v>5.1054421768707483</v>
      </c>
      <c r="G317" s="102">
        <v>5.1054421768707483</v>
      </c>
      <c r="H317" s="102">
        <v>5.1054421768707483</v>
      </c>
      <c r="I317" s="102">
        <v>5.1054421768707483</v>
      </c>
      <c r="J317" s="102">
        <v>5.1054421768707483</v>
      </c>
      <c r="K317" s="102">
        <v>5.1054421768707483</v>
      </c>
      <c r="L317" s="102">
        <v>5.1054421768707483</v>
      </c>
      <c r="M317" s="102">
        <v>5.1054421768707483</v>
      </c>
      <c r="N317" s="102">
        <v>5.1054421768707483</v>
      </c>
      <c r="O317" s="102">
        <v>5.1054421768707483</v>
      </c>
      <c r="P317" s="102">
        <v>5.1054421768707483</v>
      </c>
      <c r="Q317" s="102">
        <v>5.1054421768707483</v>
      </c>
      <c r="R317" s="102">
        <v>61.265306122448976</v>
      </c>
    </row>
    <row r="318" spans="3:18">
      <c r="C318" t="s">
        <v>183</v>
      </c>
      <c r="D318" t="s">
        <v>184</v>
      </c>
      <c r="E318" t="s">
        <v>32</v>
      </c>
      <c r="F318" s="101">
        <v>0.3401360544217687</v>
      </c>
      <c r="G318" s="101">
        <v>0.3401360544217687</v>
      </c>
      <c r="H318" s="101">
        <v>0.3401360544217687</v>
      </c>
      <c r="I318" s="101">
        <v>0.3401360544217687</v>
      </c>
      <c r="J318" s="101">
        <v>0.3401360544217687</v>
      </c>
      <c r="K318" s="101">
        <v>0.3401360544217687</v>
      </c>
      <c r="L318" s="101">
        <v>0.3401360544217687</v>
      </c>
      <c r="M318" s="101">
        <v>0.3401360544217687</v>
      </c>
      <c r="N318" s="101">
        <v>0.3401360544217687</v>
      </c>
      <c r="O318" s="101">
        <v>0.3401360544217687</v>
      </c>
      <c r="P318" s="101">
        <v>0.3401360544217687</v>
      </c>
      <c r="Q318" s="101">
        <v>0.3401360544217687</v>
      </c>
      <c r="R318" s="101">
        <v>4.0816326530612246</v>
      </c>
    </row>
    <row r="319" spans="3:18">
      <c r="E319" t="s">
        <v>37</v>
      </c>
      <c r="F319" s="101">
        <v>0</v>
      </c>
      <c r="G319" s="101">
        <v>0</v>
      </c>
      <c r="H319" s="101">
        <v>0</v>
      </c>
      <c r="I319" s="101">
        <v>0</v>
      </c>
      <c r="J319" s="101">
        <v>0</v>
      </c>
      <c r="K319" s="101">
        <v>0</v>
      </c>
      <c r="L319" s="101">
        <v>0</v>
      </c>
      <c r="M319" s="101">
        <v>0</v>
      </c>
      <c r="N319" s="101">
        <v>0</v>
      </c>
      <c r="O319" s="101">
        <v>0</v>
      </c>
      <c r="P319" s="101">
        <v>0</v>
      </c>
      <c r="Q319" s="101">
        <v>0</v>
      </c>
      <c r="R319" s="101">
        <v>0</v>
      </c>
    </row>
    <row r="320" spans="3:18">
      <c r="C320" s="52" t="s">
        <v>466</v>
      </c>
      <c r="D320" s="52"/>
      <c r="E320" s="52"/>
      <c r="F320" s="102">
        <v>0.3401360544217687</v>
      </c>
      <c r="G320" s="102">
        <v>0.3401360544217687</v>
      </c>
      <c r="H320" s="102">
        <v>0.3401360544217687</v>
      </c>
      <c r="I320" s="102">
        <v>0.3401360544217687</v>
      </c>
      <c r="J320" s="102">
        <v>0.3401360544217687</v>
      </c>
      <c r="K320" s="102">
        <v>0.3401360544217687</v>
      </c>
      <c r="L320" s="102">
        <v>0.3401360544217687</v>
      </c>
      <c r="M320" s="102">
        <v>0.3401360544217687</v>
      </c>
      <c r="N320" s="102">
        <v>0.3401360544217687</v>
      </c>
      <c r="O320" s="102">
        <v>0.3401360544217687</v>
      </c>
      <c r="P320" s="102">
        <v>0.3401360544217687</v>
      </c>
      <c r="Q320" s="102">
        <v>0.3401360544217687</v>
      </c>
      <c r="R320" s="102">
        <v>4.0816326530612246</v>
      </c>
    </row>
    <row r="321" spans="3:18">
      <c r="C321" t="s">
        <v>188</v>
      </c>
      <c r="D321" t="s">
        <v>189</v>
      </c>
      <c r="E321" t="s">
        <v>37</v>
      </c>
      <c r="F321" s="101">
        <v>6.6326530612244902E-2</v>
      </c>
      <c r="G321" s="101">
        <v>6.6326530612244902E-2</v>
      </c>
      <c r="H321" s="101">
        <v>6.6326530612244902E-2</v>
      </c>
      <c r="I321" s="101">
        <v>6.6326530612244902E-2</v>
      </c>
      <c r="J321" s="101">
        <v>6.6326530612244902E-2</v>
      </c>
      <c r="K321" s="101">
        <v>6.6326530612244902E-2</v>
      </c>
      <c r="L321" s="101">
        <v>6.6326530612244902E-2</v>
      </c>
      <c r="M321" s="101">
        <v>6.6326530612244902E-2</v>
      </c>
      <c r="N321" s="101">
        <v>6.6326530612244902E-2</v>
      </c>
      <c r="O321" s="101">
        <v>6.6326530612244902E-2</v>
      </c>
      <c r="P321" s="101">
        <v>6.6326530612244902E-2</v>
      </c>
      <c r="Q321" s="101">
        <v>6.6326530612244902E-2</v>
      </c>
      <c r="R321" s="101">
        <v>0.79591836734693888</v>
      </c>
    </row>
    <row r="322" spans="3:18">
      <c r="C322" s="52" t="s">
        <v>467</v>
      </c>
      <c r="D322" s="52"/>
      <c r="E322" s="52"/>
      <c r="F322" s="102">
        <v>6.6326530612244902E-2</v>
      </c>
      <c r="G322" s="102">
        <v>6.6326530612244902E-2</v>
      </c>
      <c r="H322" s="102">
        <v>6.6326530612244902E-2</v>
      </c>
      <c r="I322" s="102">
        <v>6.6326530612244902E-2</v>
      </c>
      <c r="J322" s="102">
        <v>6.6326530612244902E-2</v>
      </c>
      <c r="K322" s="102">
        <v>6.6326530612244902E-2</v>
      </c>
      <c r="L322" s="102">
        <v>6.6326530612244902E-2</v>
      </c>
      <c r="M322" s="102">
        <v>6.6326530612244902E-2</v>
      </c>
      <c r="N322" s="102">
        <v>6.6326530612244902E-2</v>
      </c>
      <c r="O322" s="102">
        <v>6.6326530612244902E-2</v>
      </c>
      <c r="P322" s="102">
        <v>6.6326530612244902E-2</v>
      </c>
      <c r="Q322" s="102">
        <v>6.6326530612244902E-2</v>
      </c>
      <c r="R322" s="102">
        <v>0.79591836734693888</v>
      </c>
    </row>
    <row r="323" spans="3:18">
      <c r="C323" t="s">
        <v>207</v>
      </c>
      <c r="D323" t="s">
        <v>208</v>
      </c>
      <c r="E323" t="s">
        <v>32</v>
      </c>
      <c r="F323" s="101">
        <v>0.33163265306122447</v>
      </c>
      <c r="G323" s="101">
        <v>0.33163265306122447</v>
      </c>
      <c r="H323" s="101">
        <v>0.33163265306122447</v>
      </c>
      <c r="I323" s="101">
        <v>0.33163265306122447</v>
      </c>
      <c r="J323" s="101">
        <v>0.33163265306122447</v>
      </c>
      <c r="K323" s="101">
        <v>0.33163265306122447</v>
      </c>
      <c r="L323" s="101">
        <v>0.33163265306122447</v>
      </c>
      <c r="M323" s="101">
        <v>0.33163265306122447</v>
      </c>
      <c r="N323" s="101">
        <v>0.33163265306122447</v>
      </c>
      <c r="O323" s="101">
        <v>0.33163265306122447</v>
      </c>
      <c r="P323" s="101">
        <v>0.33163265306122447</v>
      </c>
      <c r="Q323" s="101">
        <v>0.33163265306122447</v>
      </c>
      <c r="R323" s="101">
        <v>3.9795918367346945</v>
      </c>
    </row>
    <row r="324" spans="3:18">
      <c r="E324" t="s">
        <v>37</v>
      </c>
      <c r="F324" s="101">
        <v>0</v>
      </c>
      <c r="G324" s="101">
        <v>0</v>
      </c>
      <c r="H324" s="101">
        <v>0</v>
      </c>
      <c r="I324" s="101">
        <v>0</v>
      </c>
      <c r="J324" s="101">
        <v>0</v>
      </c>
      <c r="K324" s="101">
        <v>0</v>
      </c>
      <c r="L324" s="101">
        <v>0</v>
      </c>
      <c r="M324" s="101">
        <v>0</v>
      </c>
      <c r="N324" s="101">
        <v>0</v>
      </c>
      <c r="O324" s="101">
        <v>0</v>
      </c>
      <c r="P324" s="101">
        <v>0</v>
      </c>
      <c r="Q324" s="101">
        <v>0</v>
      </c>
      <c r="R324" s="101">
        <v>0</v>
      </c>
    </row>
    <row r="325" spans="3:18">
      <c r="E325" t="s">
        <v>44</v>
      </c>
      <c r="F325" s="101">
        <v>6.6326530612244902E-2</v>
      </c>
      <c r="G325" s="101">
        <v>6.6326530612244902E-2</v>
      </c>
      <c r="H325" s="101">
        <v>6.6326530612244902E-2</v>
      </c>
      <c r="I325" s="101">
        <v>6.6326530612244902E-2</v>
      </c>
      <c r="J325" s="101">
        <v>6.6326530612244902E-2</v>
      </c>
      <c r="K325" s="101">
        <v>6.6326530612244902E-2</v>
      </c>
      <c r="L325" s="101">
        <v>6.6326530612244902E-2</v>
      </c>
      <c r="M325" s="101">
        <v>6.6326530612244902E-2</v>
      </c>
      <c r="N325" s="101">
        <v>6.6326530612244902E-2</v>
      </c>
      <c r="O325" s="101">
        <v>6.6326530612244902E-2</v>
      </c>
      <c r="P325" s="101">
        <v>6.6326530612244902E-2</v>
      </c>
      <c r="Q325" s="101">
        <v>6.6326530612244902E-2</v>
      </c>
      <c r="R325" s="101">
        <v>0.79591836734693888</v>
      </c>
    </row>
    <row r="326" spans="3:18">
      <c r="E326" t="s">
        <v>49</v>
      </c>
      <c r="F326" s="101">
        <v>0.11224489795918369</v>
      </c>
      <c r="G326" s="101">
        <v>0.11224489795918369</v>
      </c>
      <c r="H326" s="101">
        <v>0.11224489795918369</v>
      </c>
      <c r="I326" s="101">
        <v>0.11224489795918369</v>
      </c>
      <c r="J326" s="101">
        <v>0.11224489795918369</v>
      </c>
      <c r="K326" s="101">
        <v>0.11224489795918369</v>
      </c>
      <c r="L326" s="101">
        <v>0.11224489795918369</v>
      </c>
      <c r="M326" s="101">
        <v>0.11224489795918369</v>
      </c>
      <c r="N326" s="101">
        <v>0.11224489795918369</v>
      </c>
      <c r="O326" s="101">
        <v>0.11224489795918369</v>
      </c>
      <c r="P326" s="101">
        <v>0.11224489795918369</v>
      </c>
      <c r="Q326" s="101">
        <v>0.11224489795918369</v>
      </c>
      <c r="R326" s="101">
        <v>1.3469387755102042</v>
      </c>
    </row>
    <row r="327" spans="3:18">
      <c r="C327" s="52" t="s">
        <v>468</v>
      </c>
      <c r="D327" s="52"/>
      <c r="E327" s="52"/>
      <c r="F327" s="102">
        <v>0.51020408163265307</v>
      </c>
      <c r="G327" s="102">
        <v>0.51020408163265307</v>
      </c>
      <c r="H327" s="102">
        <v>0.51020408163265307</v>
      </c>
      <c r="I327" s="102">
        <v>0.51020408163265307</v>
      </c>
      <c r="J327" s="102">
        <v>0.51020408163265307</v>
      </c>
      <c r="K327" s="102">
        <v>0.51020408163265307</v>
      </c>
      <c r="L327" s="102">
        <v>0.51020408163265307</v>
      </c>
      <c r="M327" s="102">
        <v>0.51020408163265307</v>
      </c>
      <c r="N327" s="102">
        <v>0.51020408163265307</v>
      </c>
      <c r="O327" s="102">
        <v>0.51020408163265307</v>
      </c>
      <c r="P327" s="102">
        <v>0.51020408163265307</v>
      </c>
      <c r="Q327" s="102">
        <v>0.51020408163265307</v>
      </c>
      <c r="R327" s="102">
        <v>6.1224489795918373</v>
      </c>
    </row>
    <row r="328" spans="3:18">
      <c r="C328" t="s">
        <v>209</v>
      </c>
      <c r="D328" t="s">
        <v>210</v>
      </c>
      <c r="E328" t="s">
        <v>32</v>
      </c>
      <c r="F328" s="101">
        <v>4.4217687074829932E-2</v>
      </c>
      <c r="G328" s="101">
        <v>4.4217687074829932E-2</v>
      </c>
      <c r="H328" s="101">
        <v>4.4217687074829932E-2</v>
      </c>
      <c r="I328" s="101">
        <v>4.4217687074829932E-2</v>
      </c>
      <c r="J328" s="101">
        <v>4.4217687074829932E-2</v>
      </c>
      <c r="K328" s="101">
        <v>4.4217687074829932E-2</v>
      </c>
      <c r="L328" s="101">
        <v>4.4217687074829932E-2</v>
      </c>
      <c r="M328" s="101">
        <v>4.4217687074829932E-2</v>
      </c>
      <c r="N328" s="101">
        <v>4.4217687074829932E-2</v>
      </c>
      <c r="O328" s="101">
        <v>4.4217687074829932E-2</v>
      </c>
      <c r="P328" s="101">
        <v>4.4217687074829932E-2</v>
      </c>
      <c r="Q328" s="101">
        <v>4.4217687074829932E-2</v>
      </c>
      <c r="R328" s="101">
        <v>0.53061224489795922</v>
      </c>
    </row>
    <row r="329" spans="3:18">
      <c r="E329" t="s">
        <v>44</v>
      </c>
      <c r="F329" s="101">
        <v>8.8435374149659855E-3</v>
      </c>
      <c r="G329" s="101">
        <v>8.8435374149659855E-3</v>
      </c>
      <c r="H329" s="101">
        <v>8.8435374149659855E-3</v>
      </c>
      <c r="I329" s="101">
        <v>8.8435374149659855E-3</v>
      </c>
      <c r="J329" s="101">
        <v>8.8435374149659855E-3</v>
      </c>
      <c r="K329" s="101">
        <v>8.8435374149659855E-3</v>
      </c>
      <c r="L329" s="101">
        <v>8.8435374149659855E-3</v>
      </c>
      <c r="M329" s="101">
        <v>8.8435374149659855E-3</v>
      </c>
      <c r="N329" s="101">
        <v>8.8435374149659855E-3</v>
      </c>
      <c r="O329" s="101">
        <v>8.8435374149659855E-3</v>
      </c>
      <c r="P329" s="101">
        <v>8.8435374149659855E-3</v>
      </c>
      <c r="Q329" s="101">
        <v>8.8435374149659855E-3</v>
      </c>
      <c r="R329" s="101">
        <v>0.10612244897959185</v>
      </c>
    </row>
    <row r="330" spans="3:18">
      <c r="E330" t="s">
        <v>49</v>
      </c>
      <c r="F330" s="101">
        <v>1.4965986394557823E-2</v>
      </c>
      <c r="G330" s="101">
        <v>1.4965986394557823E-2</v>
      </c>
      <c r="H330" s="101">
        <v>1.4965986394557823E-2</v>
      </c>
      <c r="I330" s="101">
        <v>1.4965986394557823E-2</v>
      </c>
      <c r="J330" s="101">
        <v>1.4965986394557823E-2</v>
      </c>
      <c r="K330" s="101">
        <v>1.4965986394557823E-2</v>
      </c>
      <c r="L330" s="101">
        <v>1.4965986394557823E-2</v>
      </c>
      <c r="M330" s="101">
        <v>1.4965986394557823E-2</v>
      </c>
      <c r="N330" s="101">
        <v>1.4965986394557823E-2</v>
      </c>
      <c r="O330" s="101">
        <v>1.4965986394557823E-2</v>
      </c>
      <c r="P330" s="101">
        <v>1.4965986394557823E-2</v>
      </c>
      <c r="Q330" s="101">
        <v>1.4965986394557823E-2</v>
      </c>
      <c r="R330" s="101">
        <v>0.17959183673469384</v>
      </c>
    </row>
    <row r="331" spans="3:18">
      <c r="C331" s="52" t="s">
        <v>469</v>
      </c>
      <c r="D331" s="52"/>
      <c r="E331" s="52"/>
      <c r="F331" s="102">
        <v>6.8027210884353734E-2</v>
      </c>
      <c r="G331" s="102">
        <v>6.8027210884353734E-2</v>
      </c>
      <c r="H331" s="102">
        <v>6.8027210884353734E-2</v>
      </c>
      <c r="I331" s="102">
        <v>6.8027210884353734E-2</v>
      </c>
      <c r="J331" s="102">
        <v>6.8027210884353734E-2</v>
      </c>
      <c r="K331" s="102">
        <v>6.8027210884353734E-2</v>
      </c>
      <c r="L331" s="102">
        <v>6.8027210884353734E-2</v>
      </c>
      <c r="M331" s="102">
        <v>6.8027210884353734E-2</v>
      </c>
      <c r="N331" s="102">
        <v>6.8027210884353734E-2</v>
      </c>
      <c r="O331" s="102">
        <v>6.8027210884353734E-2</v>
      </c>
      <c r="P331" s="102">
        <v>6.8027210884353734E-2</v>
      </c>
      <c r="Q331" s="102">
        <v>6.8027210884353734E-2</v>
      </c>
      <c r="R331" s="102">
        <v>0.81632653061224492</v>
      </c>
    </row>
    <row r="332" spans="3:18">
      <c r="C332" t="s">
        <v>215</v>
      </c>
      <c r="D332" t="s">
        <v>216</v>
      </c>
      <c r="E332" t="s">
        <v>32</v>
      </c>
      <c r="F332" s="101">
        <v>0.22108843537414968</v>
      </c>
      <c r="G332" s="101">
        <v>0.22108843537414968</v>
      </c>
      <c r="H332" s="101">
        <v>0.22108843537414968</v>
      </c>
      <c r="I332" s="101">
        <v>0.22108843537414968</v>
      </c>
      <c r="J332" s="101">
        <v>0.22108843537414968</v>
      </c>
      <c r="K332" s="101">
        <v>0.22108843537414968</v>
      </c>
      <c r="L332" s="101">
        <v>0.22108843537414968</v>
      </c>
      <c r="M332" s="101">
        <v>0.22108843537414968</v>
      </c>
      <c r="N332" s="101">
        <v>0.22108843537414968</v>
      </c>
      <c r="O332" s="101">
        <v>0.22108843537414968</v>
      </c>
      <c r="P332" s="101">
        <v>0.22108843537414968</v>
      </c>
      <c r="Q332" s="101">
        <v>0.22108843537414968</v>
      </c>
      <c r="R332" s="101">
        <v>2.6530612244897953</v>
      </c>
    </row>
    <row r="333" spans="3:18">
      <c r="E333" t="s">
        <v>44</v>
      </c>
      <c r="F333" s="101">
        <v>4.4217687074829932E-2</v>
      </c>
      <c r="G333" s="101">
        <v>4.4217687074829932E-2</v>
      </c>
      <c r="H333" s="101">
        <v>4.4217687074829932E-2</v>
      </c>
      <c r="I333" s="101">
        <v>4.4217687074829932E-2</v>
      </c>
      <c r="J333" s="101">
        <v>4.4217687074829932E-2</v>
      </c>
      <c r="K333" s="101">
        <v>4.4217687074829932E-2</v>
      </c>
      <c r="L333" s="101">
        <v>4.4217687074829932E-2</v>
      </c>
      <c r="M333" s="101">
        <v>4.4217687074829932E-2</v>
      </c>
      <c r="N333" s="101">
        <v>4.4217687074829932E-2</v>
      </c>
      <c r="O333" s="101">
        <v>4.4217687074829932E-2</v>
      </c>
      <c r="P333" s="101">
        <v>4.4217687074829932E-2</v>
      </c>
      <c r="Q333" s="101">
        <v>4.4217687074829932E-2</v>
      </c>
      <c r="R333" s="101">
        <v>0.53061224489795922</v>
      </c>
    </row>
    <row r="334" spans="3:18">
      <c r="E334" t="s">
        <v>49</v>
      </c>
      <c r="F334" s="101">
        <v>7.4829931972789115E-2</v>
      </c>
      <c r="G334" s="101">
        <v>7.4829931972789115E-2</v>
      </c>
      <c r="H334" s="101">
        <v>7.4829931972789115E-2</v>
      </c>
      <c r="I334" s="101">
        <v>7.4829931972789115E-2</v>
      </c>
      <c r="J334" s="101">
        <v>7.4829931972789115E-2</v>
      </c>
      <c r="K334" s="101">
        <v>7.4829931972789115E-2</v>
      </c>
      <c r="L334" s="101">
        <v>7.4829931972789115E-2</v>
      </c>
      <c r="M334" s="101">
        <v>7.4829931972789115E-2</v>
      </c>
      <c r="N334" s="101">
        <v>7.4829931972789115E-2</v>
      </c>
      <c r="O334" s="101">
        <v>7.4829931972789115E-2</v>
      </c>
      <c r="P334" s="101">
        <v>7.4829931972789115E-2</v>
      </c>
      <c r="Q334" s="101">
        <v>7.4829931972789115E-2</v>
      </c>
      <c r="R334" s="101">
        <v>0.89795918367346916</v>
      </c>
    </row>
    <row r="335" spans="3:18">
      <c r="C335" s="52" t="s">
        <v>470</v>
      </c>
      <c r="D335" s="52"/>
      <c r="E335" s="52"/>
      <c r="F335" s="102">
        <v>0.34013605442176875</v>
      </c>
      <c r="G335" s="102">
        <v>0.34013605442176875</v>
      </c>
      <c r="H335" s="102">
        <v>0.34013605442176875</v>
      </c>
      <c r="I335" s="102">
        <v>0.34013605442176875</v>
      </c>
      <c r="J335" s="102">
        <v>0.34013605442176875</v>
      </c>
      <c r="K335" s="102">
        <v>0.34013605442176875</v>
      </c>
      <c r="L335" s="102">
        <v>0.34013605442176875</v>
      </c>
      <c r="M335" s="102">
        <v>0.34013605442176875</v>
      </c>
      <c r="N335" s="102">
        <v>0.34013605442176875</v>
      </c>
      <c r="O335" s="102">
        <v>0.34013605442176875</v>
      </c>
      <c r="P335" s="102">
        <v>0.34013605442176875</v>
      </c>
      <c r="Q335" s="102">
        <v>0.34013605442176875</v>
      </c>
      <c r="R335" s="102">
        <v>4.0816326530612237</v>
      </c>
    </row>
    <row r="336" spans="3:18">
      <c r="C336" t="s">
        <v>226</v>
      </c>
      <c r="D336" t="s">
        <v>227</v>
      </c>
      <c r="E336" t="s">
        <v>32</v>
      </c>
      <c r="F336" s="101">
        <v>0.22199999999999998</v>
      </c>
      <c r="G336" s="101">
        <v>0.22199999999999998</v>
      </c>
      <c r="H336" s="101">
        <v>0.22199999999999998</v>
      </c>
      <c r="I336" s="101">
        <v>0.22199999999999998</v>
      </c>
      <c r="J336" s="101">
        <v>0.22199999999999998</v>
      </c>
      <c r="K336" s="101">
        <v>0.22199999999999998</v>
      </c>
      <c r="L336" s="101">
        <v>0.22199999999999998</v>
      </c>
      <c r="M336" s="101">
        <v>0.22199999999999998</v>
      </c>
      <c r="N336" s="101">
        <v>0.22199999999999998</v>
      </c>
      <c r="O336" s="101">
        <v>0.22199999999999998</v>
      </c>
      <c r="P336" s="101">
        <v>0.22199999999999998</v>
      </c>
      <c r="Q336" s="101">
        <v>0.22199999999999998</v>
      </c>
      <c r="R336" s="101">
        <v>2.6639999999999997</v>
      </c>
    </row>
    <row r="337" spans="2:18">
      <c r="E337" t="s">
        <v>44</v>
      </c>
      <c r="F337" s="101">
        <v>0</v>
      </c>
      <c r="G337" s="101">
        <v>0</v>
      </c>
      <c r="H337" s="101">
        <v>0</v>
      </c>
      <c r="I337" s="101">
        <v>0</v>
      </c>
      <c r="J337" s="101">
        <v>0</v>
      </c>
      <c r="K337" s="101">
        <v>0</v>
      </c>
      <c r="L337" s="101">
        <v>0</v>
      </c>
      <c r="M337" s="101">
        <v>0</v>
      </c>
      <c r="N337" s="101">
        <v>0</v>
      </c>
      <c r="O337" s="101">
        <v>0</v>
      </c>
      <c r="P337" s="101">
        <v>0</v>
      </c>
      <c r="Q337" s="101">
        <v>0</v>
      </c>
      <c r="R337" s="101">
        <v>0</v>
      </c>
    </row>
    <row r="338" spans="2:18">
      <c r="E338" t="s">
        <v>49</v>
      </c>
      <c r="F338" s="101">
        <v>0</v>
      </c>
      <c r="G338" s="101">
        <v>0</v>
      </c>
      <c r="H338" s="101">
        <v>0</v>
      </c>
      <c r="I338" s="101">
        <v>0</v>
      </c>
      <c r="J338" s="101">
        <v>0</v>
      </c>
      <c r="K338" s="101">
        <v>0</v>
      </c>
      <c r="L338" s="101">
        <v>0</v>
      </c>
      <c r="M338" s="101">
        <v>0</v>
      </c>
      <c r="N338" s="101">
        <v>0</v>
      </c>
      <c r="O338" s="101">
        <v>0</v>
      </c>
      <c r="P338" s="101">
        <v>0</v>
      </c>
      <c r="Q338" s="101">
        <v>0</v>
      </c>
      <c r="R338" s="101">
        <v>0</v>
      </c>
    </row>
    <row r="339" spans="2:18">
      <c r="C339" s="52" t="s">
        <v>471</v>
      </c>
      <c r="D339" s="52"/>
      <c r="E339" s="52"/>
      <c r="F339" s="102">
        <v>0.22199999999999998</v>
      </c>
      <c r="G339" s="102">
        <v>0.22199999999999998</v>
      </c>
      <c r="H339" s="102">
        <v>0.22199999999999998</v>
      </c>
      <c r="I339" s="102">
        <v>0.22199999999999998</v>
      </c>
      <c r="J339" s="102">
        <v>0.22199999999999998</v>
      </c>
      <c r="K339" s="102">
        <v>0.22199999999999998</v>
      </c>
      <c r="L339" s="102">
        <v>0.22199999999999998</v>
      </c>
      <c r="M339" s="102">
        <v>0.22199999999999998</v>
      </c>
      <c r="N339" s="102">
        <v>0.22199999999999998</v>
      </c>
      <c r="O339" s="102">
        <v>0.22199999999999998</v>
      </c>
      <c r="P339" s="102">
        <v>0.22199999999999998</v>
      </c>
      <c r="Q339" s="102">
        <v>0.22199999999999998</v>
      </c>
      <c r="R339" s="102">
        <v>2.6639999999999997</v>
      </c>
    </row>
    <row r="340" spans="2:18">
      <c r="B340" s="53" t="s">
        <v>409</v>
      </c>
      <c r="C340" s="53"/>
      <c r="D340" s="53"/>
      <c r="E340" s="53"/>
      <c r="F340" s="103">
        <v>20.295605442176868</v>
      </c>
      <c r="G340" s="103">
        <v>20.295605442176868</v>
      </c>
      <c r="H340" s="103">
        <v>20.295605442176868</v>
      </c>
      <c r="I340" s="103">
        <v>20.295605442176868</v>
      </c>
      <c r="J340" s="103">
        <v>20.295605442176868</v>
      </c>
      <c r="K340" s="103">
        <v>20.295605442176868</v>
      </c>
      <c r="L340" s="103">
        <v>20.295605442176868</v>
      </c>
      <c r="M340" s="103">
        <v>20.295605442176868</v>
      </c>
      <c r="N340" s="103">
        <v>20.295605442176868</v>
      </c>
      <c r="O340" s="103">
        <v>20.795605442176868</v>
      </c>
      <c r="P340" s="103">
        <v>20.795605442176868</v>
      </c>
      <c r="Q340" s="103">
        <v>20.795605442176868</v>
      </c>
      <c r="R340" s="103">
        <v>245.04726530612243</v>
      </c>
    </row>
    <row r="341" spans="2:18">
      <c r="B341" t="s">
        <v>132</v>
      </c>
      <c r="C341" t="s">
        <v>136</v>
      </c>
      <c r="D341" t="s">
        <v>137</v>
      </c>
      <c r="E341" t="s">
        <v>37</v>
      </c>
      <c r="F341" s="101">
        <v>7.1746604034884309E-2</v>
      </c>
      <c r="G341" s="101">
        <v>7.1746604034884309E-2</v>
      </c>
      <c r="H341" s="101">
        <v>7.1746604034884309E-2</v>
      </c>
      <c r="I341" s="101">
        <v>7.1746604034884309E-2</v>
      </c>
      <c r="J341" s="101">
        <v>7.1746604034884309E-2</v>
      </c>
      <c r="K341" s="101">
        <v>7.1746604034884309E-2</v>
      </c>
      <c r="L341" s="101">
        <v>7.1746604034884309E-2</v>
      </c>
      <c r="M341" s="101">
        <v>7.1746604034884309E-2</v>
      </c>
      <c r="N341" s="101">
        <v>7.1746604034884309E-2</v>
      </c>
      <c r="O341" s="101">
        <v>7.1746604034884309E-2</v>
      </c>
      <c r="P341" s="101">
        <v>7.1746604034884309E-2</v>
      </c>
      <c r="Q341" s="101">
        <v>7.1746604034884309E-2</v>
      </c>
      <c r="R341" s="101">
        <v>0.86095924841861171</v>
      </c>
    </row>
    <row r="342" spans="2:18">
      <c r="C342" s="52" t="s">
        <v>472</v>
      </c>
      <c r="D342" s="52"/>
      <c r="E342" s="52"/>
      <c r="F342" s="102">
        <v>7.1746604034884309E-2</v>
      </c>
      <c r="G342" s="102">
        <v>7.1746604034884309E-2</v>
      </c>
      <c r="H342" s="102">
        <v>7.1746604034884309E-2</v>
      </c>
      <c r="I342" s="102">
        <v>7.1746604034884309E-2</v>
      </c>
      <c r="J342" s="102">
        <v>7.1746604034884309E-2</v>
      </c>
      <c r="K342" s="102">
        <v>7.1746604034884309E-2</v>
      </c>
      <c r="L342" s="102">
        <v>7.1746604034884309E-2</v>
      </c>
      <c r="M342" s="102">
        <v>7.1746604034884309E-2</v>
      </c>
      <c r="N342" s="102">
        <v>7.1746604034884309E-2</v>
      </c>
      <c r="O342" s="102">
        <v>7.1746604034884309E-2</v>
      </c>
      <c r="P342" s="102">
        <v>7.1746604034884309E-2</v>
      </c>
      <c r="Q342" s="102">
        <v>7.1746604034884309E-2</v>
      </c>
      <c r="R342" s="102">
        <v>0.86095924841861171</v>
      </c>
    </row>
    <row r="343" spans="2:18">
      <c r="C343" t="s">
        <v>138</v>
      </c>
      <c r="D343" t="s">
        <v>139</v>
      </c>
      <c r="E343" t="s">
        <v>37</v>
      </c>
      <c r="F343" s="101">
        <v>7.1746604034884309E-2</v>
      </c>
      <c r="G343" s="101">
        <v>7.1746604034884309E-2</v>
      </c>
      <c r="H343" s="101">
        <v>7.1746604034884309E-2</v>
      </c>
      <c r="I343" s="101">
        <v>7.1746604034884309E-2</v>
      </c>
      <c r="J343" s="101">
        <v>7.1746604034884309E-2</v>
      </c>
      <c r="K343" s="101">
        <v>7.1746604034884309E-2</v>
      </c>
      <c r="L343" s="101">
        <v>7.1746604034884309E-2</v>
      </c>
      <c r="M343" s="101">
        <v>7.1746604034884309E-2</v>
      </c>
      <c r="N343" s="101">
        <v>7.1746604034884309E-2</v>
      </c>
      <c r="O343" s="101">
        <v>7.1746604034884309E-2</v>
      </c>
      <c r="P343" s="101">
        <v>7.1746604034884309E-2</v>
      </c>
      <c r="Q343" s="101">
        <v>7.1746604034884309E-2</v>
      </c>
      <c r="R343" s="101">
        <v>0.86095924841861171</v>
      </c>
    </row>
    <row r="344" spans="2:18">
      <c r="C344" s="52" t="s">
        <v>473</v>
      </c>
      <c r="D344" s="52"/>
      <c r="E344" s="52"/>
      <c r="F344" s="102">
        <v>7.1746604034884309E-2</v>
      </c>
      <c r="G344" s="102">
        <v>7.1746604034884309E-2</v>
      </c>
      <c r="H344" s="102">
        <v>7.1746604034884309E-2</v>
      </c>
      <c r="I344" s="102">
        <v>7.1746604034884309E-2</v>
      </c>
      <c r="J344" s="102">
        <v>7.1746604034884309E-2</v>
      </c>
      <c r="K344" s="102">
        <v>7.1746604034884309E-2</v>
      </c>
      <c r="L344" s="102">
        <v>7.1746604034884309E-2</v>
      </c>
      <c r="M344" s="102">
        <v>7.1746604034884309E-2</v>
      </c>
      <c r="N344" s="102">
        <v>7.1746604034884309E-2</v>
      </c>
      <c r="O344" s="102">
        <v>7.1746604034884309E-2</v>
      </c>
      <c r="P344" s="102">
        <v>7.1746604034884309E-2</v>
      </c>
      <c r="Q344" s="102">
        <v>7.1746604034884309E-2</v>
      </c>
      <c r="R344" s="102">
        <v>0.86095924841861171</v>
      </c>
    </row>
    <row r="345" spans="2:18">
      <c r="C345" t="s">
        <v>140</v>
      </c>
      <c r="D345" t="s">
        <v>141</v>
      </c>
      <c r="E345" t="s">
        <v>37</v>
      </c>
      <c r="F345" s="101">
        <v>7.1746604034884309E-2</v>
      </c>
      <c r="G345" s="101">
        <v>7.1746604034884309E-2</v>
      </c>
      <c r="H345" s="101">
        <v>7.1746604034884309E-2</v>
      </c>
      <c r="I345" s="101">
        <v>7.1746604034884309E-2</v>
      </c>
      <c r="J345" s="101">
        <v>7.1746604034884309E-2</v>
      </c>
      <c r="K345" s="101">
        <v>7.1746604034884309E-2</v>
      </c>
      <c r="L345" s="101">
        <v>7.1746604034884309E-2</v>
      </c>
      <c r="M345" s="101">
        <v>7.1746604034884309E-2</v>
      </c>
      <c r="N345" s="101">
        <v>7.1746604034884309E-2</v>
      </c>
      <c r="O345" s="101">
        <v>7.1746604034884309E-2</v>
      </c>
      <c r="P345" s="101">
        <v>7.1746604034884309E-2</v>
      </c>
      <c r="Q345" s="101">
        <v>7.1746604034884309E-2</v>
      </c>
      <c r="R345" s="101">
        <v>0.86095924841861171</v>
      </c>
    </row>
    <row r="346" spans="2:18">
      <c r="C346" s="52" t="s">
        <v>474</v>
      </c>
      <c r="D346" s="52"/>
      <c r="E346" s="52"/>
      <c r="F346" s="102">
        <v>7.1746604034884309E-2</v>
      </c>
      <c r="G346" s="102">
        <v>7.1746604034884309E-2</v>
      </c>
      <c r="H346" s="102">
        <v>7.1746604034884309E-2</v>
      </c>
      <c r="I346" s="102">
        <v>7.1746604034884309E-2</v>
      </c>
      <c r="J346" s="102">
        <v>7.1746604034884309E-2</v>
      </c>
      <c r="K346" s="102">
        <v>7.1746604034884309E-2</v>
      </c>
      <c r="L346" s="102">
        <v>7.1746604034884309E-2</v>
      </c>
      <c r="M346" s="102">
        <v>7.1746604034884309E-2</v>
      </c>
      <c r="N346" s="102">
        <v>7.1746604034884309E-2</v>
      </c>
      <c r="O346" s="102">
        <v>7.1746604034884309E-2</v>
      </c>
      <c r="P346" s="102">
        <v>7.1746604034884309E-2</v>
      </c>
      <c r="Q346" s="102">
        <v>7.1746604034884309E-2</v>
      </c>
      <c r="R346" s="102">
        <v>0.86095924841861171</v>
      </c>
    </row>
    <row r="347" spans="2:18">
      <c r="C347" t="s">
        <v>142</v>
      </c>
      <c r="D347" t="s">
        <v>143</v>
      </c>
      <c r="E347" t="s">
        <v>37</v>
      </c>
      <c r="F347" s="101">
        <v>7.1746604034884309E-2</v>
      </c>
      <c r="G347" s="101">
        <v>7.1746604034884309E-2</v>
      </c>
      <c r="H347" s="101">
        <v>7.1746604034884309E-2</v>
      </c>
      <c r="I347" s="101">
        <v>7.1746604034884309E-2</v>
      </c>
      <c r="J347" s="101">
        <v>7.1746604034884309E-2</v>
      </c>
      <c r="K347" s="101">
        <v>7.1746604034884309E-2</v>
      </c>
      <c r="L347" s="101">
        <v>7.1746604034884309E-2</v>
      </c>
      <c r="M347" s="101">
        <v>7.1746604034884309E-2</v>
      </c>
      <c r="N347" s="101">
        <v>7.1746604034884309E-2</v>
      </c>
      <c r="O347" s="101">
        <v>7.1746604034884309E-2</v>
      </c>
      <c r="P347" s="101">
        <v>7.1746604034884309E-2</v>
      </c>
      <c r="Q347" s="101">
        <v>7.1746604034884309E-2</v>
      </c>
      <c r="R347" s="101">
        <v>0.86095924841861171</v>
      </c>
    </row>
    <row r="348" spans="2:18">
      <c r="C348" s="52" t="s">
        <v>475</v>
      </c>
      <c r="D348" s="52"/>
      <c r="E348" s="52"/>
      <c r="F348" s="102">
        <v>7.1746604034884309E-2</v>
      </c>
      <c r="G348" s="102">
        <v>7.1746604034884309E-2</v>
      </c>
      <c r="H348" s="102">
        <v>7.1746604034884309E-2</v>
      </c>
      <c r="I348" s="102">
        <v>7.1746604034884309E-2</v>
      </c>
      <c r="J348" s="102">
        <v>7.1746604034884309E-2</v>
      </c>
      <c r="K348" s="102">
        <v>7.1746604034884309E-2</v>
      </c>
      <c r="L348" s="102">
        <v>7.1746604034884309E-2</v>
      </c>
      <c r="M348" s="102">
        <v>7.1746604034884309E-2</v>
      </c>
      <c r="N348" s="102">
        <v>7.1746604034884309E-2</v>
      </c>
      <c r="O348" s="102">
        <v>7.1746604034884309E-2</v>
      </c>
      <c r="P348" s="102">
        <v>7.1746604034884309E-2</v>
      </c>
      <c r="Q348" s="102">
        <v>7.1746604034884309E-2</v>
      </c>
      <c r="R348" s="102">
        <v>0.86095924841861171</v>
      </c>
    </row>
    <row r="349" spans="2:18">
      <c r="C349" t="s">
        <v>144</v>
      </c>
      <c r="D349" t="s">
        <v>145</v>
      </c>
      <c r="E349" t="s">
        <v>37</v>
      </c>
      <c r="F349" s="101">
        <v>7.1746604034884309E-2</v>
      </c>
      <c r="G349" s="101">
        <v>7.1746604034884309E-2</v>
      </c>
      <c r="H349" s="101">
        <v>7.1746604034884309E-2</v>
      </c>
      <c r="I349" s="101">
        <v>7.1746604034884309E-2</v>
      </c>
      <c r="J349" s="101">
        <v>7.1746604034884309E-2</v>
      </c>
      <c r="K349" s="101">
        <v>7.1746604034884309E-2</v>
      </c>
      <c r="L349" s="101">
        <v>7.1746604034884309E-2</v>
      </c>
      <c r="M349" s="101">
        <v>7.1746604034884309E-2</v>
      </c>
      <c r="N349" s="101">
        <v>7.1746604034884309E-2</v>
      </c>
      <c r="O349" s="101">
        <v>7.1746604034884309E-2</v>
      </c>
      <c r="P349" s="101">
        <v>7.1746604034884309E-2</v>
      </c>
      <c r="Q349" s="101">
        <v>7.1746604034884309E-2</v>
      </c>
      <c r="R349" s="101">
        <v>0.86095924841861171</v>
      </c>
    </row>
    <row r="350" spans="2:18">
      <c r="C350" s="52" t="s">
        <v>476</v>
      </c>
      <c r="D350" s="52"/>
      <c r="E350" s="52"/>
      <c r="F350" s="102">
        <v>7.1746604034884309E-2</v>
      </c>
      <c r="G350" s="102">
        <v>7.1746604034884309E-2</v>
      </c>
      <c r="H350" s="102">
        <v>7.1746604034884309E-2</v>
      </c>
      <c r="I350" s="102">
        <v>7.1746604034884309E-2</v>
      </c>
      <c r="J350" s="102">
        <v>7.1746604034884309E-2</v>
      </c>
      <c r="K350" s="102">
        <v>7.1746604034884309E-2</v>
      </c>
      <c r="L350" s="102">
        <v>7.1746604034884309E-2</v>
      </c>
      <c r="M350" s="102">
        <v>7.1746604034884309E-2</v>
      </c>
      <c r="N350" s="102">
        <v>7.1746604034884309E-2</v>
      </c>
      <c r="O350" s="102">
        <v>7.1746604034884309E-2</v>
      </c>
      <c r="P350" s="102">
        <v>7.1746604034884309E-2</v>
      </c>
      <c r="Q350" s="102">
        <v>7.1746604034884309E-2</v>
      </c>
      <c r="R350" s="102">
        <v>0.86095924841861171</v>
      </c>
    </row>
    <row r="351" spans="2:18">
      <c r="C351" t="s">
        <v>146</v>
      </c>
      <c r="D351" t="s">
        <v>147</v>
      </c>
      <c r="E351" t="s">
        <v>37</v>
      </c>
      <c r="F351" s="101">
        <v>7.1746604034884309E-2</v>
      </c>
      <c r="G351" s="101">
        <v>7.1746604034884309E-2</v>
      </c>
      <c r="H351" s="101">
        <v>7.1746604034884309E-2</v>
      </c>
      <c r="I351" s="101">
        <v>7.1746604034884309E-2</v>
      </c>
      <c r="J351" s="101">
        <v>7.1746604034884309E-2</v>
      </c>
      <c r="K351" s="101">
        <v>7.1746604034884309E-2</v>
      </c>
      <c r="L351" s="101">
        <v>7.1746604034884309E-2</v>
      </c>
      <c r="M351" s="101">
        <v>7.1746604034884309E-2</v>
      </c>
      <c r="N351" s="101">
        <v>7.1746604034884309E-2</v>
      </c>
      <c r="O351" s="101">
        <v>7.1746604034884309E-2</v>
      </c>
      <c r="P351" s="101">
        <v>7.1746604034884309E-2</v>
      </c>
      <c r="Q351" s="101">
        <v>7.1746604034884309E-2</v>
      </c>
      <c r="R351" s="101">
        <v>0.86095924841861171</v>
      </c>
    </row>
    <row r="352" spans="2:18">
      <c r="C352" s="52" t="s">
        <v>477</v>
      </c>
      <c r="D352" s="52"/>
      <c r="E352" s="52"/>
      <c r="F352" s="102">
        <v>7.1746604034884309E-2</v>
      </c>
      <c r="G352" s="102">
        <v>7.1746604034884309E-2</v>
      </c>
      <c r="H352" s="102">
        <v>7.1746604034884309E-2</v>
      </c>
      <c r="I352" s="102">
        <v>7.1746604034884309E-2</v>
      </c>
      <c r="J352" s="102">
        <v>7.1746604034884309E-2</v>
      </c>
      <c r="K352" s="102">
        <v>7.1746604034884309E-2</v>
      </c>
      <c r="L352" s="102">
        <v>7.1746604034884309E-2</v>
      </c>
      <c r="M352" s="102">
        <v>7.1746604034884309E-2</v>
      </c>
      <c r="N352" s="102">
        <v>7.1746604034884309E-2</v>
      </c>
      <c r="O352" s="102">
        <v>7.1746604034884309E-2</v>
      </c>
      <c r="P352" s="102">
        <v>7.1746604034884309E-2</v>
      </c>
      <c r="Q352" s="102">
        <v>7.1746604034884309E-2</v>
      </c>
      <c r="R352" s="102">
        <v>0.86095924841861171</v>
      </c>
    </row>
    <row r="353" spans="3:18">
      <c r="C353" t="s">
        <v>148</v>
      </c>
      <c r="D353" t="s">
        <v>149</v>
      </c>
      <c r="E353" t="s">
        <v>37</v>
      </c>
      <c r="F353" s="101">
        <v>7.1746604034884309E-2</v>
      </c>
      <c r="G353" s="101">
        <v>7.1746604034884309E-2</v>
      </c>
      <c r="H353" s="101">
        <v>7.1746604034884309E-2</v>
      </c>
      <c r="I353" s="101">
        <v>7.1746604034884309E-2</v>
      </c>
      <c r="J353" s="101">
        <v>7.1746604034884309E-2</v>
      </c>
      <c r="K353" s="101">
        <v>7.1746604034884309E-2</v>
      </c>
      <c r="L353" s="101">
        <v>7.1746604034884309E-2</v>
      </c>
      <c r="M353" s="101">
        <v>7.1746604034884309E-2</v>
      </c>
      <c r="N353" s="101">
        <v>7.1746604034884309E-2</v>
      </c>
      <c r="O353" s="101">
        <v>7.1746604034884309E-2</v>
      </c>
      <c r="P353" s="101">
        <v>7.1746604034884309E-2</v>
      </c>
      <c r="Q353" s="101">
        <v>7.1746604034884309E-2</v>
      </c>
      <c r="R353" s="101">
        <v>0.86095924841861171</v>
      </c>
    </row>
    <row r="354" spans="3:18">
      <c r="C354" s="52" t="s">
        <v>478</v>
      </c>
      <c r="D354" s="52"/>
      <c r="E354" s="52"/>
      <c r="F354" s="102">
        <v>7.1746604034884309E-2</v>
      </c>
      <c r="G354" s="102">
        <v>7.1746604034884309E-2</v>
      </c>
      <c r="H354" s="102">
        <v>7.1746604034884309E-2</v>
      </c>
      <c r="I354" s="102">
        <v>7.1746604034884309E-2</v>
      </c>
      <c r="J354" s="102">
        <v>7.1746604034884309E-2</v>
      </c>
      <c r="K354" s="102">
        <v>7.1746604034884309E-2</v>
      </c>
      <c r="L354" s="102">
        <v>7.1746604034884309E-2</v>
      </c>
      <c r="M354" s="102">
        <v>7.1746604034884309E-2</v>
      </c>
      <c r="N354" s="102">
        <v>7.1746604034884309E-2</v>
      </c>
      <c r="O354" s="102">
        <v>7.1746604034884309E-2</v>
      </c>
      <c r="P354" s="102">
        <v>7.1746604034884309E-2</v>
      </c>
      <c r="Q354" s="102">
        <v>7.1746604034884309E-2</v>
      </c>
      <c r="R354" s="102">
        <v>0.86095924841861171</v>
      </c>
    </row>
    <row r="355" spans="3:18">
      <c r="C355" t="s">
        <v>150</v>
      </c>
      <c r="D355" t="s">
        <v>151</v>
      </c>
      <c r="E355" t="s">
        <v>37</v>
      </c>
      <c r="F355" s="101">
        <v>7.1746604034884309E-2</v>
      </c>
      <c r="G355" s="101">
        <v>7.1746604034884309E-2</v>
      </c>
      <c r="H355" s="101">
        <v>7.1746604034884309E-2</v>
      </c>
      <c r="I355" s="101">
        <v>7.1746604034884309E-2</v>
      </c>
      <c r="J355" s="101">
        <v>7.1746604034884309E-2</v>
      </c>
      <c r="K355" s="101">
        <v>7.1746604034884309E-2</v>
      </c>
      <c r="L355" s="101">
        <v>7.1746604034884309E-2</v>
      </c>
      <c r="M355" s="101">
        <v>7.1746604034884309E-2</v>
      </c>
      <c r="N355" s="101">
        <v>7.1746604034884309E-2</v>
      </c>
      <c r="O355" s="101">
        <v>7.1746604034884309E-2</v>
      </c>
      <c r="P355" s="101">
        <v>7.1746604034884309E-2</v>
      </c>
      <c r="Q355" s="101">
        <v>7.1746604034884309E-2</v>
      </c>
      <c r="R355" s="101">
        <v>0.86095924841861171</v>
      </c>
    </row>
    <row r="356" spans="3:18">
      <c r="C356" s="52" t="s">
        <v>479</v>
      </c>
      <c r="D356" s="52"/>
      <c r="E356" s="52"/>
      <c r="F356" s="102">
        <v>7.1746604034884309E-2</v>
      </c>
      <c r="G356" s="102">
        <v>7.1746604034884309E-2</v>
      </c>
      <c r="H356" s="102">
        <v>7.1746604034884309E-2</v>
      </c>
      <c r="I356" s="102">
        <v>7.1746604034884309E-2</v>
      </c>
      <c r="J356" s="102">
        <v>7.1746604034884309E-2</v>
      </c>
      <c r="K356" s="102">
        <v>7.1746604034884309E-2</v>
      </c>
      <c r="L356" s="102">
        <v>7.1746604034884309E-2</v>
      </c>
      <c r="M356" s="102">
        <v>7.1746604034884309E-2</v>
      </c>
      <c r="N356" s="102">
        <v>7.1746604034884309E-2</v>
      </c>
      <c r="O356" s="102">
        <v>7.1746604034884309E-2</v>
      </c>
      <c r="P356" s="102">
        <v>7.1746604034884309E-2</v>
      </c>
      <c r="Q356" s="102">
        <v>7.1746604034884309E-2</v>
      </c>
      <c r="R356" s="102">
        <v>0.86095924841861171</v>
      </c>
    </row>
    <row r="357" spans="3:18">
      <c r="C357" t="s">
        <v>152</v>
      </c>
      <c r="D357" t="s">
        <v>153</v>
      </c>
      <c r="E357" t="s">
        <v>37</v>
      </c>
      <c r="F357" s="101">
        <v>2.6904976513081613E-2</v>
      </c>
      <c r="G357" s="101">
        <v>2.6904976513081613E-2</v>
      </c>
      <c r="H357" s="101">
        <v>2.6904976513081613E-2</v>
      </c>
      <c r="I357" s="101">
        <v>2.6904976513081613E-2</v>
      </c>
      <c r="J357" s="101">
        <v>2.6904976513081613E-2</v>
      </c>
      <c r="K357" s="101">
        <v>2.6904976513081613E-2</v>
      </c>
      <c r="L357" s="101">
        <v>2.6904976513081613E-2</v>
      </c>
      <c r="M357" s="101">
        <v>2.6904976513081613E-2</v>
      </c>
      <c r="N357" s="101">
        <v>2.6904976513081613E-2</v>
      </c>
      <c r="O357" s="101">
        <v>2.6904976513081613E-2</v>
      </c>
      <c r="P357" s="101">
        <v>2.6904976513081613E-2</v>
      </c>
      <c r="Q357" s="101">
        <v>2.6904976513081613E-2</v>
      </c>
      <c r="R357" s="101">
        <v>0.32285971815697928</v>
      </c>
    </row>
    <row r="358" spans="3:18">
      <c r="C358" s="52" t="s">
        <v>480</v>
      </c>
      <c r="D358" s="52"/>
      <c r="E358" s="52"/>
      <c r="F358" s="102">
        <v>2.6904976513081613E-2</v>
      </c>
      <c r="G358" s="102">
        <v>2.6904976513081613E-2</v>
      </c>
      <c r="H358" s="102">
        <v>2.6904976513081613E-2</v>
      </c>
      <c r="I358" s="102">
        <v>2.6904976513081613E-2</v>
      </c>
      <c r="J358" s="102">
        <v>2.6904976513081613E-2</v>
      </c>
      <c r="K358" s="102">
        <v>2.6904976513081613E-2</v>
      </c>
      <c r="L358" s="102">
        <v>2.6904976513081613E-2</v>
      </c>
      <c r="M358" s="102">
        <v>2.6904976513081613E-2</v>
      </c>
      <c r="N358" s="102">
        <v>2.6904976513081613E-2</v>
      </c>
      <c r="O358" s="102">
        <v>2.6904976513081613E-2</v>
      </c>
      <c r="P358" s="102">
        <v>2.6904976513081613E-2</v>
      </c>
      <c r="Q358" s="102">
        <v>2.6904976513081613E-2</v>
      </c>
      <c r="R358" s="102">
        <v>0.32285971815697928</v>
      </c>
    </row>
    <row r="359" spans="3:18">
      <c r="C359" t="s">
        <v>154</v>
      </c>
      <c r="D359" t="s">
        <v>155</v>
      </c>
      <c r="E359" t="s">
        <v>37</v>
      </c>
      <c r="F359" s="101">
        <v>0.1686045194819781</v>
      </c>
      <c r="G359" s="101">
        <v>0.1686045194819781</v>
      </c>
      <c r="H359" s="101">
        <v>0.1686045194819781</v>
      </c>
      <c r="I359" s="101">
        <v>0.1686045194819781</v>
      </c>
      <c r="J359" s="101">
        <v>0.1686045194819781</v>
      </c>
      <c r="K359" s="101">
        <v>0.1686045194819781</v>
      </c>
      <c r="L359" s="101">
        <v>0.1686045194819781</v>
      </c>
      <c r="M359" s="101">
        <v>0.1686045194819781</v>
      </c>
      <c r="N359" s="101">
        <v>0.1686045194819781</v>
      </c>
      <c r="O359" s="101">
        <v>0.1686045194819781</v>
      </c>
      <c r="P359" s="101">
        <v>0.1686045194819781</v>
      </c>
      <c r="Q359" s="101">
        <v>0.1686045194819781</v>
      </c>
      <c r="R359" s="101">
        <v>2.0232542337837374</v>
      </c>
    </row>
    <row r="360" spans="3:18">
      <c r="C360" s="52" t="s">
        <v>481</v>
      </c>
      <c r="D360" s="52"/>
      <c r="E360" s="52"/>
      <c r="F360" s="102">
        <v>0.1686045194819781</v>
      </c>
      <c r="G360" s="102">
        <v>0.1686045194819781</v>
      </c>
      <c r="H360" s="102">
        <v>0.1686045194819781</v>
      </c>
      <c r="I360" s="102">
        <v>0.1686045194819781</v>
      </c>
      <c r="J360" s="102">
        <v>0.1686045194819781</v>
      </c>
      <c r="K360" s="102">
        <v>0.1686045194819781</v>
      </c>
      <c r="L360" s="102">
        <v>0.1686045194819781</v>
      </c>
      <c r="M360" s="102">
        <v>0.1686045194819781</v>
      </c>
      <c r="N360" s="102">
        <v>0.1686045194819781</v>
      </c>
      <c r="O360" s="102">
        <v>0.1686045194819781</v>
      </c>
      <c r="P360" s="102">
        <v>0.1686045194819781</v>
      </c>
      <c r="Q360" s="102">
        <v>0.1686045194819781</v>
      </c>
      <c r="R360" s="102">
        <v>2.0232542337837374</v>
      </c>
    </row>
    <row r="361" spans="3:18">
      <c r="C361" t="s">
        <v>219</v>
      </c>
      <c r="D361" t="s">
        <v>220</v>
      </c>
      <c r="E361" t="s">
        <v>32</v>
      </c>
      <c r="F361" s="101">
        <v>0.22108843537414968</v>
      </c>
      <c r="G361" s="101">
        <v>0.22108843537414968</v>
      </c>
      <c r="H361" s="101">
        <v>0.22108843537414968</v>
      </c>
      <c r="I361" s="101">
        <v>0.22108843537414968</v>
      </c>
      <c r="J361" s="101">
        <v>0.22108843537414968</v>
      </c>
      <c r="K361" s="101">
        <v>0.22108843537414968</v>
      </c>
      <c r="L361" s="101">
        <v>0.22108843537414968</v>
      </c>
      <c r="M361" s="101">
        <v>0.22108843537414968</v>
      </c>
      <c r="N361" s="101">
        <v>0.22108843537414968</v>
      </c>
      <c r="O361" s="101">
        <v>0.22108843537414968</v>
      </c>
      <c r="P361" s="101">
        <v>0.22108843537414968</v>
      </c>
      <c r="Q361" s="101">
        <v>0.22108843537414968</v>
      </c>
      <c r="R361" s="101">
        <v>2.6530612244897953</v>
      </c>
    </row>
    <row r="362" spans="3:18">
      <c r="E362" t="s">
        <v>44</v>
      </c>
      <c r="F362" s="101">
        <v>4.4217687074829932E-2</v>
      </c>
      <c r="G362" s="101">
        <v>4.4217687074829932E-2</v>
      </c>
      <c r="H362" s="101">
        <v>4.4217687074829932E-2</v>
      </c>
      <c r="I362" s="101">
        <v>4.4217687074829932E-2</v>
      </c>
      <c r="J362" s="101">
        <v>4.4217687074829932E-2</v>
      </c>
      <c r="K362" s="101">
        <v>4.4217687074829932E-2</v>
      </c>
      <c r="L362" s="101">
        <v>4.4217687074829932E-2</v>
      </c>
      <c r="M362" s="101">
        <v>4.4217687074829932E-2</v>
      </c>
      <c r="N362" s="101">
        <v>4.4217687074829932E-2</v>
      </c>
      <c r="O362" s="101">
        <v>4.4217687074829932E-2</v>
      </c>
      <c r="P362" s="101">
        <v>4.4217687074829932E-2</v>
      </c>
      <c r="Q362" s="101">
        <v>4.4217687074829932E-2</v>
      </c>
      <c r="R362" s="101">
        <v>0.53061224489795922</v>
      </c>
    </row>
    <row r="363" spans="3:18">
      <c r="E363" t="s">
        <v>49</v>
      </c>
      <c r="F363" s="101">
        <v>7.4829931972789115E-2</v>
      </c>
      <c r="G363" s="101">
        <v>7.4829931972789115E-2</v>
      </c>
      <c r="H363" s="101">
        <v>7.4829931972789115E-2</v>
      </c>
      <c r="I363" s="101">
        <v>7.4829931972789115E-2</v>
      </c>
      <c r="J363" s="101">
        <v>7.4829931972789115E-2</v>
      </c>
      <c r="K363" s="101">
        <v>7.4829931972789115E-2</v>
      </c>
      <c r="L363" s="101">
        <v>7.4829931972789115E-2</v>
      </c>
      <c r="M363" s="101">
        <v>7.4829931972789115E-2</v>
      </c>
      <c r="N363" s="101">
        <v>7.4829931972789115E-2</v>
      </c>
      <c r="O363" s="101">
        <v>7.4829931972789115E-2</v>
      </c>
      <c r="P363" s="101">
        <v>7.4829931972789115E-2</v>
      </c>
      <c r="Q363" s="101">
        <v>7.4829931972789115E-2</v>
      </c>
      <c r="R363" s="101">
        <v>0.89795918367346916</v>
      </c>
    </row>
    <row r="364" spans="3:18">
      <c r="C364" s="52" t="s">
        <v>482</v>
      </c>
      <c r="D364" s="52"/>
      <c r="E364" s="52"/>
      <c r="F364" s="102">
        <v>0.34013605442176875</v>
      </c>
      <c r="G364" s="102">
        <v>0.34013605442176875</v>
      </c>
      <c r="H364" s="102">
        <v>0.34013605442176875</v>
      </c>
      <c r="I364" s="102">
        <v>0.34013605442176875</v>
      </c>
      <c r="J364" s="102">
        <v>0.34013605442176875</v>
      </c>
      <c r="K364" s="102">
        <v>0.34013605442176875</v>
      </c>
      <c r="L364" s="102">
        <v>0.34013605442176875</v>
      </c>
      <c r="M364" s="102">
        <v>0.34013605442176875</v>
      </c>
      <c r="N364" s="102">
        <v>0.34013605442176875</v>
      </c>
      <c r="O364" s="102">
        <v>0.34013605442176875</v>
      </c>
      <c r="P364" s="102">
        <v>0.34013605442176875</v>
      </c>
      <c r="Q364" s="102">
        <v>0.34013605442176875</v>
      </c>
      <c r="R364" s="102">
        <v>4.0816326530612237</v>
      </c>
    </row>
    <row r="365" spans="3:18">
      <c r="C365" t="s">
        <v>230</v>
      </c>
      <c r="D365" t="s">
        <v>231</v>
      </c>
      <c r="E365" t="s">
        <v>32</v>
      </c>
      <c r="F365" s="101">
        <v>5.4421768707482991</v>
      </c>
      <c r="G365" s="101">
        <v>5.4421768707482991</v>
      </c>
      <c r="H365" s="101">
        <v>5.4421768707482991</v>
      </c>
      <c r="I365" s="101">
        <v>5.4421768707482991</v>
      </c>
      <c r="J365" s="101">
        <v>5.4421768707482991</v>
      </c>
      <c r="K365" s="101">
        <v>5.4421768707482991</v>
      </c>
      <c r="L365" s="101">
        <v>5.4421768707482991</v>
      </c>
      <c r="M365" s="101">
        <v>5.6658601870972678</v>
      </c>
      <c r="N365" s="101">
        <v>5.6658601870972678</v>
      </c>
      <c r="O365" s="101">
        <v>5.6658601870972678</v>
      </c>
      <c r="P365" s="101">
        <v>5.6658601870972678</v>
      </c>
      <c r="Q365" s="101">
        <v>5.6658601870972678</v>
      </c>
      <c r="R365" s="101">
        <v>66.424539030724432</v>
      </c>
    </row>
    <row r="366" spans="3:18">
      <c r="E366" t="s">
        <v>37</v>
      </c>
      <c r="F366" s="101">
        <v>0</v>
      </c>
      <c r="G366" s="101">
        <v>0</v>
      </c>
      <c r="H366" s="101">
        <v>0</v>
      </c>
      <c r="I366" s="101">
        <v>0</v>
      </c>
      <c r="J366" s="101">
        <v>0</v>
      </c>
      <c r="K366" s="101">
        <v>0</v>
      </c>
      <c r="L366" s="101">
        <v>0</v>
      </c>
      <c r="M366" s="101">
        <v>0</v>
      </c>
      <c r="N366" s="101">
        <v>0</v>
      </c>
      <c r="O366" s="101">
        <v>0</v>
      </c>
      <c r="P366" s="101">
        <v>0</v>
      </c>
      <c r="Q366" s="101">
        <v>0</v>
      </c>
      <c r="R366" s="101">
        <v>0</v>
      </c>
    </row>
    <row r="367" spans="3:18">
      <c r="E367" t="s">
        <v>44</v>
      </c>
      <c r="F367" s="101">
        <v>0</v>
      </c>
      <c r="G367" s="101">
        <v>0</v>
      </c>
      <c r="H367" s="101">
        <v>0</v>
      </c>
      <c r="I367" s="101">
        <v>0</v>
      </c>
      <c r="J367" s="101">
        <v>0</v>
      </c>
      <c r="K367" s="101">
        <v>0</v>
      </c>
      <c r="L367" s="101">
        <v>0</v>
      </c>
      <c r="M367" s="101">
        <v>0</v>
      </c>
      <c r="N367" s="101">
        <v>0</v>
      </c>
      <c r="O367" s="101">
        <v>0</v>
      </c>
      <c r="P367" s="101">
        <v>0</v>
      </c>
      <c r="Q367" s="101">
        <v>0</v>
      </c>
      <c r="R367" s="101">
        <v>0</v>
      </c>
    </row>
    <row r="368" spans="3:18">
      <c r="E368" t="s">
        <v>49</v>
      </c>
      <c r="F368" s="101">
        <v>0</v>
      </c>
      <c r="G368" s="101">
        <v>0</v>
      </c>
      <c r="H368" s="101">
        <v>0</v>
      </c>
      <c r="I368" s="101">
        <v>0</v>
      </c>
      <c r="J368" s="101">
        <v>0</v>
      </c>
      <c r="K368" s="101">
        <v>0</v>
      </c>
      <c r="L368" s="101">
        <v>0</v>
      </c>
      <c r="M368" s="101">
        <v>0</v>
      </c>
      <c r="N368" s="101">
        <v>0</v>
      </c>
      <c r="O368" s="101">
        <v>0</v>
      </c>
      <c r="P368" s="101">
        <v>0</v>
      </c>
      <c r="Q368" s="101">
        <v>0</v>
      </c>
      <c r="R368" s="101">
        <v>0</v>
      </c>
    </row>
    <row r="369" spans="1:18">
      <c r="C369" s="52" t="s">
        <v>483</v>
      </c>
      <c r="D369" s="52"/>
      <c r="E369" s="52"/>
      <c r="F369" s="102">
        <v>5.4421768707482991</v>
      </c>
      <c r="G369" s="102">
        <v>5.4421768707482991</v>
      </c>
      <c r="H369" s="102">
        <v>5.4421768707482991</v>
      </c>
      <c r="I369" s="102">
        <v>5.4421768707482991</v>
      </c>
      <c r="J369" s="102">
        <v>5.4421768707482991</v>
      </c>
      <c r="K369" s="102">
        <v>5.4421768707482991</v>
      </c>
      <c r="L369" s="102">
        <v>5.4421768707482991</v>
      </c>
      <c r="M369" s="102">
        <v>5.6658601870972678</v>
      </c>
      <c r="N369" s="102">
        <v>5.6658601870972678</v>
      </c>
      <c r="O369" s="102">
        <v>5.6658601870972678</v>
      </c>
      <c r="P369" s="102">
        <v>5.6658601870972678</v>
      </c>
      <c r="Q369" s="102">
        <v>5.6658601870972678</v>
      </c>
      <c r="R369" s="102">
        <v>66.424539030724432</v>
      </c>
    </row>
    <row r="370" spans="1:18">
      <c r="B370" s="53" t="s">
        <v>414</v>
      </c>
      <c r="C370" s="53"/>
      <c r="D370" s="53"/>
      <c r="E370" s="53"/>
      <c r="F370" s="103">
        <v>6.5517952534442019</v>
      </c>
      <c r="G370" s="103">
        <v>6.5517952534442019</v>
      </c>
      <c r="H370" s="103">
        <v>6.5517952534442019</v>
      </c>
      <c r="I370" s="103">
        <v>6.5517952534442019</v>
      </c>
      <c r="J370" s="103">
        <v>6.5517952534442019</v>
      </c>
      <c r="K370" s="103">
        <v>6.5517952534442019</v>
      </c>
      <c r="L370" s="103">
        <v>6.5517952534442019</v>
      </c>
      <c r="M370" s="103">
        <v>6.7754785697931705</v>
      </c>
      <c r="N370" s="103">
        <v>6.7754785697931705</v>
      </c>
      <c r="O370" s="103">
        <v>6.7754785697931705</v>
      </c>
      <c r="P370" s="103">
        <v>6.7754785697931705</v>
      </c>
      <c r="Q370" s="103">
        <v>6.7754785697931705</v>
      </c>
      <c r="R370" s="103">
        <v>79.739959623075265</v>
      </c>
    </row>
    <row r="371" spans="1:18">
      <c r="A371" t="s">
        <v>484</v>
      </c>
      <c r="F371" s="101">
        <v>85.714056284528667</v>
      </c>
      <c r="G371" s="101">
        <v>85.714056284528667</v>
      </c>
      <c r="H371" s="101">
        <v>85.714056284528667</v>
      </c>
      <c r="I371" s="101">
        <v>79.761675332147703</v>
      </c>
      <c r="J371" s="101">
        <v>79.761675332147703</v>
      </c>
      <c r="K371" s="101">
        <v>80.305379875505395</v>
      </c>
      <c r="L371" s="101">
        <v>80.305379875505395</v>
      </c>
      <c r="M371" s="101">
        <v>80.529063191854362</v>
      </c>
      <c r="N371" s="101">
        <v>80.529063191854362</v>
      </c>
      <c r="O371" s="101">
        <v>81.029063191854362</v>
      </c>
      <c r="P371" s="101">
        <v>81.029063191854362</v>
      </c>
      <c r="Q371" s="101">
        <v>81.029063191854362</v>
      </c>
      <c r="R371" s="101">
        <v>981.42159522816394</v>
      </c>
    </row>
    <row r="372" spans="1:18">
      <c r="A372" t="s">
        <v>485</v>
      </c>
      <c r="B372" t="s">
        <v>178</v>
      </c>
      <c r="C372" t="s">
        <v>176</v>
      </c>
      <c r="D372" t="s">
        <v>177</v>
      </c>
      <c r="E372" t="s">
        <v>52</v>
      </c>
      <c r="F372" s="101">
        <v>5.1020408163265305</v>
      </c>
      <c r="G372" s="101">
        <v>5.1020408163265305</v>
      </c>
      <c r="H372" s="101">
        <v>5.1020408163265305</v>
      </c>
      <c r="I372" s="101">
        <v>5.1020408163265305</v>
      </c>
      <c r="J372" s="101">
        <v>5.1020408163265305</v>
      </c>
      <c r="K372" s="101">
        <v>5.1020408163265305</v>
      </c>
      <c r="L372" s="101">
        <v>5.1020408163265305</v>
      </c>
      <c r="M372" s="101">
        <v>5.1020408163265305</v>
      </c>
      <c r="N372" s="101">
        <v>5.1020408163265305</v>
      </c>
      <c r="O372" s="101">
        <v>5.1020408163265305</v>
      </c>
      <c r="P372" s="101">
        <v>5.1020408163265305</v>
      </c>
      <c r="Q372" s="101">
        <v>5.1020408163265305</v>
      </c>
      <c r="R372" s="101">
        <v>61.224489795918352</v>
      </c>
    </row>
    <row r="373" spans="1:18">
      <c r="C373" s="52" t="s">
        <v>486</v>
      </c>
      <c r="D373" s="52"/>
      <c r="E373" s="52"/>
      <c r="F373" s="102">
        <v>5.1020408163265305</v>
      </c>
      <c r="G373" s="102">
        <v>5.1020408163265305</v>
      </c>
      <c r="H373" s="102">
        <v>5.1020408163265305</v>
      </c>
      <c r="I373" s="102">
        <v>5.1020408163265305</v>
      </c>
      <c r="J373" s="102">
        <v>5.1020408163265305</v>
      </c>
      <c r="K373" s="102">
        <v>5.1020408163265305</v>
      </c>
      <c r="L373" s="102">
        <v>5.1020408163265305</v>
      </c>
      <c r="M373" s="102">
        <v>5.1020408163265305</v>
      </c>
      <c r="N373" s="102">
        <v>5.1020408163265305</v>
      </c>
      <c r="O373" s="102">
        <v>5.1020408163265305</v>
      </c>
      <c r="P373" s="102">
        <v>5.1020408163265305</v>
      </c>
      <c r="Q373" s="102">
        <v>5.1020408163265305</v>
      </c>
      <c r="R373" s="102">
        <v>61.224489795918352</v>
      </c>
    </row>
    <row r="374" spans="1:18">
      <c r="B374" s="53" t="s">
        <v>487</v>
      </c>
      <c r="C374" s="53"/>
      <c r="D374" s="53"/>
      <c r="E374" s="53"/>
      <c r="F374" s="103">
        <v>5.1020408163265305</v>
      </c>
      <c r="G374" s="103">
        <v>5.1020408163265305</v>
      </c>
      <c r="H374" s="103">
        <v>5.1020408163265305</v>
      </c>
      <c r="I374" s="103">
        <v>5.1020408163265305</v>
      </c>
      <c r="J374" s="103">
        <v>5.1020408163265305</v>
      </c>
      <c r="K374" s="103">
        <v>5.1020408163265305</v>
      </c>
      <c r="L374" s="103">
        <v>5.1020408163265305</v>
      </c>
      <c r="M374" s="103">
        <v>5.1020408163265305</v>
      </c>
      <c r="N374" s="103">
        <v>5.1020408163265305</v>
      </c>
      <c r="O374" s="103">
        <v>5.1020408163265305</v>
      </c>
      <c r="P374" s="103">
        <v>5.1020408163265305</v>
      </c>
      <c r="Q374" s="103">
        <v>5.1020408163265305</v>
      </c>
      <c r="R374" s="103">
        <v>61.224489795918352</v>
      </c>
    </row>
    <row r="375" spans="1:18">
      <c r="B375" t="s">
        <v>235</v>
      </c>
      <c r="C375" t="s">
        <v>232</v>
      </c>
      <c r="D375" t="s">
        <v>234</v>
      </c>
      <c r="E375" t="s">
        <v>52</v>
      </c>
      <c r="F375" s="101">
        <v>0.20408163265306123</v>
      </c>
      <c r="G375" s="101">
        <v>0.20408163265306123</v>
      </c>
      <c r="H375" s="101">
        <v>0.20408163265306123</v>
      </c>
      <c r="I375" s="101">
        <v>0.20408163265306123</v>
      </c>
      <c r="J375" s="101">
        <v>0.20408163265306123</v>
      </c>
      <c r="K375" s="101">
        <v>0.20408163265306123</v>
      </c>
      <c r="L375" s="101">
        <v>0.20408163265306123</v>
      </c>
      <c r="M375" s="101">
        <v>0.20408163265306123</v>
      </c>
      <c r="N375" s="101">
        <v>0.20408163265306123</v>
      </c>
      <c r="O375" s="101">
        <v>0.20408163265306123</v>
      </c>
      <c r="P375" s="101">
        <v>0.20408163265306123</v>
      </c>
      <c r="Q375" s="101">
        <v>0.20408163265306123</v>
      </c>
      <c r="R375" s="101">
        <v>2.4489795918367347</v>
      </c>
    </row>
    <row r="376" spans="1:18">
      <c r="C376" s="52" t="s">
        <v>488</v>
      </c>
      <c r="D376" s="52"/>
      <c r="E376" s="52"/>
      <c r="F376" s="102">
        <v>0.20408163265306123</v>
      </c>
      <c r="G376" s="102">
        <v>0.20408163265306123</v>
      </c>
      <c r="H376" s="102">
        <v>0.20408163265306123</v>
      </c>
      <c r="I376" s="102">
        <v>0.20408163265306123</v>
      </c>
      <c r="J376" s="102">
        <v>0.20408163265306123</v>
      </c>
      <c r="K376" s="102">
        <v>0.20408163265306123</v>
      </c>
      <c r="L376" s="102">
        <v>0.20408163265306123</v>
      </c>
      <c r="M376" s="102">
        <v>0.20408163265306123</v>
      </c>
      <c r="N376" s="102">
        <v>0.20408163265306123</v>
      </c>
      <c r="O376" s="102">
        <v>0.20408163265306123</v>
      </c>
      <c r="P376" s="102">
        <v>0.20408163265306123</v>
      </c>
      <c r="Q376" s="102">
        <v>0.20408163265306123</v>
      </c>
      <c r="R376" s="102">
        <v>2.4489795918367347</v>
      </c>
    </row>
    <row r="377" spans="1:18">
      <c r="B377" s="53" t="s">
        <v>489</v>
      </c>
      <c r="C377" s="53"/>
      <c r="D377" s="53"/>
      <c r="E377" s="53"/>
      <c r="F377" s="103">
        <v>0.20408163265306123</v>
      </c>
      <c r="G377" s="103">
        <v>0.20408163265306123</v>
      </c>
      <c r="H377" s="103">
        <v>0.20408163265306123</v>
      </c>
      <c r="I377" s="103">
        <v>0.20408163265306123</v>
      </c>
      <c r="J377" s="103">
        <v>0.20408163265306123</v>
      </c>
      <c r="K377" s="103">
        <v>0.20408163265306123</v>
      </c>
      <c r="L377" s="103">
        <v>0.20408163265306123</v>
      </c>
      <c r="M377" s="103">
        <v>0.20408163265306123</v>
      </c>
      <c r="N377" s="103">
        <v>0.20408163265306123</v>
      </c>
      <c r="O377" s="103">
        <v>0.20408163265306123</v>
      </c>
      <c r="P377" s="103">
        <v>0.20408163265306123</v>
      </c>
      <c r="Q377" s="103">
        <v>0.20408163265306123</v>
      </c>
      <c r="R377" s="103">
        <v>2.4489795918367347</v>
      </c>
    </row>
    <row r="378" spans="1:18">
      <c r="B378" t="s">
        <v>158</v>
      </c>
      <c r="C378" t="s">
        <v>156</v>
      </c>
      <c r="D378" t="s">
        <v>157</v>
      </c>
      <c r="E378" t="s">
        <v>52</v>
      </c>
      <c r="F378" s="101">
        <v>4.4841627521802693E-2</v>
      </c>
      <c r="G378" s="101">
        <v>4.4841627521802693E-2</v>
      </c>
      <c r="H378" s="101">
        <v>4.4841627521802693E-2</v>
      </c>
      <c r="I378" s="101">
        <v>4.4841627521802693E-2</v>
      </c>
      <c r="J378" s="101">
        <v>4.4841627521802693E-2</v>
      </c>
      <c r="K378" s="101">
        <v>4.4841627521802693E-2</v>
      </c>
      <c r="L378" s="101">
        <v>4.4841627521802693E-2</v>
      </c>
      <c r="M378" s="101">
        <v>4.4841627521802693E-2</v>
      </c>
      <c r="N378" s="101">
        <v>4.4841627521802693E-2</v>
      </c>
      <c r="O378" s="101">
        <v>4.4841627521802693E-2</v>
      </c>
      <c r="P378" s="101">
        <v>4.4841627521802693E-2</v>
      </c>
      <c r="Q378" s="101">
        <v>4.4841627521802693E-2</v>
      </c>
      <c r="R378" s="101">
        <v>0.53809953026163237</v>
      </c>
    </row>
    <row r="379" spans="1:18">
      <c r="C379" s="52" t="s">
        <v>425</v>
      </c>
      <c r="D379" s="52"/>
      <c r="E379" s="52"/>
      <c r="F379" s="102">
        <v>4.4841627521802693E-2</v>
      </c>
      <c r="G379" s="102">
        <v>4.4841627521802693E-2</v>
      </c>
      <c r="H379" s="102">
        <v>4.4841627521802693E-2</v>
      </c>
      <c r="I379" s="102">
        <v>4.4841627521802693E-2</v>
      </c>
      <c r="J379" s="102">
        <v>4.4841627521802693E-2</v>
      </c>
      <c r="K379" s="102">
        <v>4.4841627521802693E-2</v>
      </c>
      <c r="L379" s="102">
        <v>4.4841627521802693E-2</v>
      </c>
      <c r="M379" s="102">
        <v>4.4841627521802693E-2</v>
      </c>
      <c r="N379" s="102">
        <v>4.4841627521802693E-2</v>
      </c>
      <c r="O379" s="102">
        <v>4.4841627521802693E-2</v>
      </c>
      <c r="P379" s="102">
        <v>4.4841627521802693E-2</v>
      </c>
      <c r="Q379" s="102">
        <v>4.4841627521802693E-2</v>
      </c>
      <c r="R379" s="102">
        <v>0.53809953026163237</v>
      </c>
    </row>
    <row r="380" spans="1:18">
      <c r="B380" s="53" t="s">
        <v>390</v>
      </c>
      <c r="C380" s="53"/>
      <c r="D380" s="53"/>
      <c r="E380" s="53"/>
      <c r="F380" s="103">
        <v>4.4841627521802693E-2</v>
      </c>
      <c r="G380" s="103">
        <v>4.4841627521802693E-2</v>
      </c>
      <c r="H380" s="103">
        <v>4.4841627521802693E-2</v>
      </c>
      <c r="I380" s="103">
        <v>4.4841627521802693E-2</v>
      </c>
      <c r="J380" s="103">
        <v>4.4841627521802693E-2</v>
      </c>
      <c r="K380" s="103">
        <v>4.4841627521802693E-2</v>
      </c>
      <c r="L380" s="103">
        <v>4.4841627521802693E-2</v>
      </c>
      <c r="M380" s="103">
        <v>4.4841627521802693E-2</v>
      </c>
      <c r="N380" s="103">
        <v>4.4841627521802693E-2</v>
      </c>
      <c r="O380" s="103">
        <v>4.4841627521802693E-2</v>
      </c>
      <c r="P380" s="103">
        <v>4.4841627521802693E-2</v>
      </c>
      <c r="Q380" s="103">
        <v>4.4841627521802693E-2</v>
      </c>
      <c r="R380" s="103">
        <v>0.53809953026163237</v>
      </c>
    </row>
    <row r="381" spans="1:18">
      <c r="B381" t="s">
        <v>245</v>
      </c>
      <c r="C381" t="s">
        <v>252</v>
      </c>
      <c r="D381" t="s">
        <v>253</v>
      </c>
      <c r="E381" t="s">
        <v>52</v>
      </c>
      <c r="F381" s="101">
        <v>0</v>
      </c>
      <c r="G381" s="101">
        <v>0.59523809523809523</v>
      </c>
      <c r="H381" s="101">
        <v>0</v>
      </c>
      <c r="I381" s="101">
        <v>0</v>
      </c>
      <c r="J381" s="101">
        <v>0.59523809523809523</v>
      </c>
      <c r="K381" s="101">
        <v>0</v>
      </c>
      <c r="L381" s="101">
        <v>0</v>
      </c>
      <c r="M381" s="101">
        <v>0.59523809523809523</v>
      </c>
      <c r="N381" s="101">
        <v>0</v>
      </c>
      <c r="O381" s="101">
        <v>0</v>
      </c>
      <c r="P381" s="101">
        <v>0.59523809523809523</v>
      </c>
      <c r="Q381" s="101">
        <v>0</v>
      </c>
      <c r="R381" s="101">
        <v>2.3809523809523809</v>
      </c>
    </row>
    <row r="382" spans="1:18">
      <c r="D382" t="s">
        <v>255</v>
      </c>
      <c r="E382" t="s">
        <v>52</v>
      </c>
      <c r="F382" s="101">
        <v>0</v>
      </c>
      <c r="G382" s="101">
        <v>0.59523809523809523</v>
      </c>
      <c r="H382" s="101">
        <v>0</v>
      </c>
      <c r="I382" s="101">
        <v>0</v>
      </c>
      <c r="J382" s="101">
        <v>0.59523809523809523</v>
      </c>
      <c r="K382" s="101">
        <v>0</v>
      </c>
      <c r="L382" s="101">
        <v>0</v>
      </c>
      <c r="M382" s="101">
        <v>0.59523809523809523</v>
      </c>
      <c r="N382" s="101">
        <v>0</v>
      </c>
      <c r="O382" s="101">
        <v>0</v>
      </c>
      <c r="P382" s="101">
        <v>0.59523809523809523</v>
      </c>
      <c r="Q382" s="101">
        <v>0</v>
      </c>
      <c r="R382" s="101">
        <v>2.3809523809523809</v>
      </c>
    </row>
    <row r="383" spans="1:18">
      <c r="C383" s="52" t="s">
        <v>490</v>
      </c>
      <c r="D383" s="52"/>
      <c r="E383" s="52"/>
      <c r="F383" s="102">
        <v>0</v>
      </c>
      <c r="G383" s="102">
        <v>1.1904761904761905</v>
      </c>
      <c r="H383" s="102">
        <v>0</v>
      </c>
      <c r="I383" s="102">
        <v>0</v>
      </c>
      <c r="J383" s="102">
        <v>1.1904761904761905</v>
      </c>
      <c r="K383" s="102">
        <v>0</v>
      </c>
      <c r="L383" s="102">
        <v>0</v>
      </c>
      <c r="M383" s="102">
        <v>1.1904761904761905</v>
      </c>
      <c r="N383" s="102">
        <v>0</v>
      </c>
      <c r="O383" s="102">
        <v>0</v>
      </c>
      <c r="P383" s="102">
        <v>1.1904761904761905</v>
      </c>
      <c r="Q383" s="102">
        <v>0</v>
      </c>
      <c r="R383" s="102">
        <v>4.7619047619047619</v>
      </c>
    </row>
    <row r="384" spans="1:18">
      <c r="C384" t="s">
        <v>243</v>
      </c>
      <c r="D384" t="s">
        <v>244</v>
      </c>
      <c r="E384" t="s">
        <v>52</v>
      </c>
      <c r="F384" s="101">
        <v>0.20408163265306123</v>
      </c>
      <c r="G384" s="101">
        <v>0.20408163265306123</v>
      </c>
      <c r="H384" s="101">
        <v>0.20408163265306123</v>
      </c>
      <c r="I384" s="101">
        <v>0.20408163265306123</v>
      </c>
      <c r="J384" s="101">
        <v>0.20408163265306123</v>
      </c>
      <c r="K384" s="101">
        <v>0.20408163265306123</v>
      </c>
      <c r="L384" s="101">
        <v>0.20408163265306123</v>
      </c>
      <c r="M384" s="101">
        <v>0.20408163265306123</v>
      </c>
      <c r="N384" s="101">
        <v>0.20408163265306123</v>
      </c>
      <c r="O384" s="101">
        <v>0.20408163265306123</v>
      </c>
      <c r="P384" s="101">
        <v>0.20408163265306123</v>
      </c>
      <c r="Q384" s="101">
        <v>0.20408163265306123</v>
      </c>
      <c r="R384" s="101">
        <v>2.4489795918367347</v>
      </c>
    </row>
    <row r="385" spans="3:18">
      <c r="D385" t="s">
        <v>249</v>
      </c>
      <c r="E385" t="s">
        <v>52</v>
      </c>
      <c r="F385" s="101">
        <v>0.20408163265306123</v>
      </c>
      <c r="G385" s="101">
        <v>0.20408163265306123</v>
      </c>
      <c r="H385" s="101">
        <v>0.20408163265306123</v>
      </c>
      <c r="I385" s="101">
        <v>0.20408163265306123</v>
      </c>
      <c r="J385" s="101">
        <v>0.20408163265306123</v>
      </c>
      <c r="K385" s="101">
        <v>0.20408163265306123</v>
      </c>
      <c r="L385" s="101">
        <v>0.20408163265306123</v>
      </c>
      <c r="M385" s="101">
        <v>0.20408163265306123</v>
      </c>
      <c r="N385" s="101">
        <v>0.20408163265306123</v>
      </c>
      <c r="O385" s="101">
        <v>0.20408163265306123</v>
      </c>
      <c r="P385" s="101">
        <v>0.20408163265306123</v>
      </c>
      <c r="Q385" s="101">
        <v>0.20408163265306123</v>
      </c>
      <c r="R385" s="101">
        <v>2.4489795918367347</v>
      </c>
    </row>
    <row r="386" spans="3:18">
      <c r="D386" t="s">
        <v>250</v>
      </c>
      <c r="E386" t="s">
        <v>52</v>
      </c>
      <c r="F386" s="101">
        <v>0.20408163265306123</v>
      </c>
      <c r="G386" s="101">
        <v>0.20408163265306123</v>
      </c>
      <c r="H386" s="101">
        <v>0.20408163265306123</v>
      </c>
      <c r="I386" s="101">
        <v>0.20408163265306123</v>
      </c>
      <c r="J386" s="101">
        <v>0.20408163265306123</v>
      </c>
      <c r="K386" s="101">
        <v>0.20408163265306123</v>
      </c>
      <c r="L386" s="101">
        <v>0.20408163265306123</v>
      </c>
      <c r="M386" s="101">
        <v>0.20408163265306123</v>
      </c>
      <c r="N386" s="101">
        <v>0.20408163265306123</v>
      </c>
      <c r="O386" s="101">
        <v>0.20408163265306123</v>
      </c>
      <c r="P386" s="101">
        <v>0.20408163265306123</v>
      </c>
      <c r="Q386" s="101">
        <v>0.20408163265306123</v>
      </c>
      <c r="R386" s="101">
        <v>2.4489795918367347</v>
      </c>
    </row>
    <row r="387" spans="3:18">
      <c r="D387" t="s">
        <v>251</v>
      </c>
      <c r="E387" t="s">
        <v>52</v>
      </c>
      <c r="F387" s="101">
        <v>0.68027210884353739</v>
      </c>
      <c r="G387" s="101">
        <v>0</v>
      </c>
      <c r="H387" s="101">
        <v>0.68027210884353739</v>
      </c>
      <c r="I387" s="101">
        <v>0</v>
      </c>
      <c r="J387" s="101">
        <v>0.68027210884353739</v>
      </c>
      <c r="K387" s="101">
        <v>0</v>
      </c>
      <c r="L387" s="101">
        <v>0.68027210884353739</v>
      </c>
      <c r="M387" s="101">
        <v>0</v>
      </c>
      <c r="N387" s="101">
        <v>0.68027210884353739</v>
      </c>
      <c r="O387" s="101">
        <v>0</v>
      </c>
      <c r="P387" s="101">
        <v>0.68027210884353739</v>
      </c>
      <c r="Q387" s="101">
        <v>0</v>
      </c>
      <c r="R387" s="101">
        <v>4.0816326530612246</v>
      </c>
    </row>
    <row r="388" spans="3:18">
      <c r="D388" t="s">
        <v>257</v>
      </c>
      <c r="E388" t="s">
        <v>52</v>
      </c>
      <c r="F388" s="101">
        <v>0.20408163265306123</v>
      </c>
      <c r="G388" s="101">
        <v>0</v>
      </c>
      <c r="H388" s="101">
        <v>0.20408163265306123</v>
      </c>
      <c r="I388" s="101">
        <v>0</v>
      </c>
      <c r="J388" s="101">
        <v>0.20408163265306123</v>
      </c>
      <c r="K388" s="101">
        <v>0</v>
      </c>
      <c r="L388" s="101">
        <v>0.20408163265306123</v>
      </c>
      <c r="M388" s="101">
        <v>0</v>
      </c>
      <c r="N388" s="101">
        <v>0.20408163265306123</v>
      </c>
      <c r="O388" s="101">
        <v>0</v>
      </c>
      <c r="P388" s="101">
        <v>0.20408163265306123</v>
      </c>
      <c r="Q388" s="101">
        <v>0</v>
      </c>
      <c r="R388" s="101">
        <v>1.2244897959183674</v>
      </c>
    </row>
    <row r="389" spans="3:18">
      <c r="C389" s="52" t="s">
        <v>491</v>
      </c>
      <c r="D389" s="52"/>
      <c r="E389" s="52"/>
      <c r="F389" s="102">
        <v>1.4965986394557824</v>
      </c>
      <c r="G389" s="102">
        <v>0.61224489795918369</v>
      </c>
      <c r="H389" s="102">
        <v>1.4965986394557824</v>
      </c>
      <c r="I389" s="102">
        <v>0.61224489795918369</v>
      </c>
      <c r="J389" s="102">
        <v>1.4965986394557824</v>
      </c>
      <c r="K389" s="102">
        <v>0.61224489795918369</v>
      </c>
      <c r="L389" s="102">
        <v>1.4965986394557824</v>
      </c>
      <c r="M389" s="102">
        <v>0.61224489795918369</v>
      </c>
      <c r="N389" s="102">
        <v>1.4965986394557824</v>
      </c>
      <c r="O389" s="102">
        <v>0.61224489795918369</v>
      </c>
      <c r="P389" s="102">
        <v>1.4965986394557824</v>
      </c>
      <c r="Q389" s="102">
        <v>0.61224489795918369</v>
      </c>
      <c r="R389" s="102">
        <v>12.653061224489797</v>
      </c>
    </row>
    <row r="390" spans="3:18">
      <c r="C390" t="s">
        <v>246</v>
      </c>
      <c r="D390" t="s">
        <v>244</v>
      </c>
      <c r="E390" t="s">
        <v>52</v>
      </c>
      <c r="F390" s="101">
        <v>0.27210884353741499</v>
      </c>
      <c r="G390" s="101">
        <v>0.27210884353741499</v>
      </c>
      <c r="H390" s="101">
        <v>0.27210884353741499</v>
      </c>
      <c r="I390" s="101">
        <v>0.27210884353741499</v>
      </c>
      <c r="J390" s="101">
        <v>0.27210884353741499</v>
      </c>
      <c r="K390" s="101">
        <v>0.27210884353741499</v>
      </c>
      <c r="L390" s="101">
        <v>0.27210884353741499</v>
      </c>
      <c r="M390" s="101">
        <v>0.27210884353741499</v>
      </c>
      <c r="N390" s="101">
        <v>0.27210884353741499</v>
      </c>
      <c r="O390" s="101">
        <v>0.27210884353741499</v>
      </c>
      <c r="P390" s="101">
        <v>0.27210884353741499</v>
      </c>
      <c r="Q390" s="101">
        <v>0.27210884353741499</v>
      </c>
      <c r="R390" s="101">
        <v>3.2653061224489792</v>
      </c>
    </row>
    <row r="391" spans="3:18">
      <c r="D391" t="s">
        <v>249</v>
      </c>
      <c r="E391" t="s">
        <v>52</v>
      </c>
      <c r="F391" s="101">
        <v>0.27210884353741499</v>
      </c>
      <c r="G391" s="101">
        <v>0.27210884353741499</v>
      </c>
      <c r="H391" s="101">
        <v>0.27210884353741499</v>
      </c>
      <c r="I391" s="101">
        <v>0.27210884353741499</v>
      </c>
      <c r="J391" s="101">
        <v>0.27210884353741499</v>
      </c>
      <c r="K391" s="101">
        <v>0.27210884353741499</v>
      </c>
      <c r="L391" s="101">
        <v>0.27210884353741499</v>
      </c>
      <c r="M391" s="101">
        <v>0.27210884353741499</v>
      </c>
      <c r="N391" s="101">
        <v>0.27210884353741499</v>
      </c>
      <c r="O391" s="101">
        <v>0.27210884353741499</v>
      </c>
      <c r="P391" s="101">
        <v>0.27210884353741499</v>
      </c>
      <c r="Q391" s="101">
        <v>0.27210884353741499</v>
      </c>
      <c r="R391" s="101">
        <v>3.2653061224489792</v>
      </c>
    </row>
    <row r="392" spans="3:18">
      <c r="D392" t="s">
        <v>250</v>
      </c>
      <c r="E392" t="s">
        <v>52</v>
      </c>
      <c r="F392" s="101">
        <v>0.27210884353741499</v>
      </c>
      <c r="G392" s="101">
        <v>0.27210884353741499</v>
      </c>
      <c r="H392" s="101">
        <v>0.27210884353741499</v>
      </c>
      <c r="I392" s="101">
        <v>0.27210884353741499</v>
      </c>
      <c r="J392" s="101">
        <v>0.27210884353741499</v>
      </c>
      <c r="K392" s="101">
        <v>0.27210884353741499</v>
      </c>
      <c r="L392" s="101">
        <v>0.27210884353741499</v>
      </c>
      <c r="M392" s="101">
        <v>0.27210884353741499</v>
      </c>
      <c r="N392" s="101">
        <v>0.27210884353741499</v>
      </c>
      <c r="O392" s="101">
        <v>0.27210884353741499</v>
      </c>
      <c r="P392" s="101">
        <v>0.27210884353741499</v>
      </c>
      <c r="Q392" s="101">
        <v>0.27210884353741499</v>
      </c>
      <c r="R392" s="101">
        <v>3.2653061224489792</v>
      </c>
    </row>
    <row r="393" spans="3:18">
      <c r="D393" t="s">
        <v>251</v>
      </c>
      <c r="E393" t="s">
        <v>52</v>
      </c>
      <c r="F393" s="101">
        <v>0.1360544217687075</v>
      </c>
      <c r="G393" s="101">
        <v>0</v>
      </c>
      <c r="H393" s="101">
        <v>0.1360544217687075</v>
      </c>
      <c r="I393" s="101">
        <v>0</v>
      </c>
      <c r="J393" s="101">
        <v>0.1360544217687075</v>
      </c>
      <c r="K393" s="101">
        <v>0</v>
      </c>
      <c r="L393" s="101">
        <v>0.1360544217687075</v>
      </c>
      <c r="M393" s="101">
        <v>0</v>
      </c>
      <c r="N393" s="101">
        <v>0.1360544217687075</v>
      </c>
      <c r="O393" s="101">
        <v>0</v>
      </c>
      <c r="P393" s="101">
        <v>0.1360544217687075</v>
      </c>
      <c r="Q393" s="101">
        <v>0</v>
      </c>
      <c r="R393" s="101">
        <v>0.81632653061224503</v>
      </c>
    </row>
    <row r="394" spans="3:18">
      <c r="D394" t="s">
        <v>257</v>
      </c>
      <c r="E394" t="s">
        <v>52</v>
      </c>
      <c r="F394" s="101">
        <v>0.1360544217687075</v>
      </c>
      <c r="G394" s="101">
        <v>0</v>
      </c>
      <c r="H394" s="101">
        <v>0.1360544217687075</v>
      </c>
      <c r="I394" s="101">
        <v>0</v>
      </c>
      <c r="J394" s="101">
        <v>0.1360544217687075</v>
      </c>
      <c r="K394" s="101">
        <v>0</v>
      </c>
      <c r="L394" s="101">
        <v>0.1360544217687075</v>
      </c>
      <c r="M394" s="101">
        <v>0</v>
      </c>
      <c r="N394" s="101">
        <v>0.1360544217687075</v>
      </c>
      <c r="O394" s="101">
        <v>0</v>
      </c>
      <c r="P394" s="101">
        <v>0.1360544217687075</v>
      </c>
      <c r="Q394" s="101">
        <v>0</v>
      </c>
      <c r="R394" s="101">
        <v>0.81632653061224503</v>
      </c>
    </row>
    <row r="395" spans="3:18">
      <c r="C395" s="52" t="s">
        <v>492</v>
      </c>
      <c r="D395" s="52"/>
      <c r="E395" s="52"/>
      <c r="F395" s="102">
        <v>1.08843537414966</v>
      </c>
      <c r="G395" s="102">
        <v>0.81632653061224492</v>
      </c>
      <c r="H395" s="102">
        <v>1.08843537414966</v>
      </c>
      <c r="I395" s="102">
        <v>0.81632653061224492</v>
      </c>
      <c r="J395" s="102">
        <v>1.08843537414966</v>
      </c>
      <c r="K395" s="102">
        <v>0.81632653061224492</v>
      </c>
      <c r="L395" s="102">
        <v>1.08843537414966</v>
      </c>
      <c r="M395" s="102">
        <v>0.81632653061224492</v>
      </c>
      <c r="N395" s="102">
        <v>1.08843537414966</v>
      </c>
      <c r="O395" s="102">
        <v>0.81632653061224492</v>
      </c>
      <c r="P395" s="102">
        <v>1.08843537414966</v>
      </c>
      <c r="Q395" s="102">
        <v>0.81632653061224492</v>
      </c>
      <c r="R395" s="102">
        <v>11.428571428571429</v>
      </c>
    </row>
    <row r="396" spans="3:18">
      <c r="C396" t="s">
        <v>258</v>
      </c>
      <c r="D396" t="s">
        <v>257</v>
      </c>
      <c r="E396" t="s">
        <v>52</v>
      </c>
      <c r="F396" s="101">
        <v>7.6530612244897961E-2</v>
      </c>
      <c r="G396" s="101">
        <v>0</v>
      </c>
      <c r="H396" s="101">
        <v>7.6530612244897961E-2</v>
      </c>
      <c r="I396" s="101">
        <v>0</v>
      </c>
      <c r="J396" s="101">
        <v>7.6530612244897961E-2</v>
      </c>
      <c r="K396" s="101">
        <v>0</v>
      </c>
      <c r="L396" s="101">
        <v>7.6530612244897961E-2</v>
      </c>
      <c r="M396" s="101">
        <v>0</v>
      </c>
      <c r="N396" s="101">
        <v>7.6530612244897961E-2</v>
      </c>
      <c r="O396" s="101">
        <v>0</v>
      </c>
      <c r="P396" s="101">
        <v>7.6530612244897961E-2</v>
      </c>
      <c r="Q396" s="101">
        <v>0</v>
      </c>
      <c r="R396" s="101">
        <v>0.45918367346938782</v>
      </c>
    </row>
    <row r="397" spans="3:18">
      <c r="C397" s="52" t="s">
        <v>493</v>
      </c>
      <c r="D397" s="52"/>
      <c r="E397" s="52"/>
      <c r="F397" s="102">
        <v>7.6530612244897961E-2</v>
      </c>
      <c r="G397" s="102">
        <v>0</v>
      </c>
      <c r="H397" s="102">
        <v>7.6530612244897961E-2</v>
      </c>
      <c r="I397" s="102">
        <v>0</v>
      </c>
      <c r="J397" s="102">
        <v>7.6530612244897961E-2</v>
      </c>
      <c r="K397" s="102">
        <v>0</v>
      </c>
      <c r="L397" s="102">
        <v>7.6530612244897961E-2</v>
      </c>
      <c r="M397" s="102">
        <v>0</v>
      </c>
      <c r="N397" s="102">
        <v>7.6530612244897961E-2</v>
      </c>
      <c r="O397" s="102">
        <v>0</v>
      </c>
      <c r="P397" s="102">
        <v>7.6530612244897961E-2</v>
      </c>
      <c r="Q397" s="102">
        <v>0</v>
      </c>
      <c r="R397" s="102">
        <v>0.45918367346938782</v>
      </c>
    </row>
    <row r="398" spans="3:18">
      <c r="C398" t="s">
        <v>248</v>
      </c>
      <c r="D398" t="s">
        <v>244</v>
      </c>
      <c r="E398" t="s">
        <v>52</v>
      </c>
      <c r="F398" s="101">
        <v>0.3401360544217687</v>
      </c>
      <c r="G398" s="101">
        <v>0.3401360544217687</v>
      </c>
      <c r="H398" s="101">
        <v>0.3401360544217687</v>
      </c>
      <c r="I398" s="101">
        <v>0.3401360544217687</v>
      </c>
      <c r="J398" s="101">
        <v>0.3401360544217687</v>
      </c>
      <c r="K398" s="101">
        <v>0.3401360544217687</v>
      </c>
      <c r="L398" s="101">
        <v>0.3401360544217687</v>
      </c>
      <c r="M398" s="101">
        <v>0.3401360544217687</v>
      </c>
      <c r="N398" s="101">
        <v>0.3401360544217687</v>
      </c>
      <c r="O398" s="101">
        <v>0.3401360544217687</v>
      </c>
      <c r="P398" s="101">
        <v>0.3401360544217687</v>
      </c>
      <c r="Q398" s="101">
        <v>0.3401360544217687</v>
      </c>
      <c r="R398" s="101">
        <v>4.0816326530612246</v>
      </c>
    </row>
    <row r="399" spans="3:18">
      <c r="D399" t="s">
        <v>249</v>
      </c>
      <c r="E399" t="s">
        <v>52</v>
      </c>
      <c r="F399" s="101">
        <v>0.3401360544217687</v>
      </c>
      <c r="G399" s="101">
        <v>0.3401360544217687</v>
      </c>
      <c r="H399" s="101">
        <v>0.3401360544217687</v>
      </c>
      <c r="I399" s="101">
        <v>0.3401360544217687</v>
      </c>
      <c r="J399" s="101">
        <v>0.3401360544217687</v>
      </c>
      <c r="K399" s="101">
        <v>0.3401360544217687</v>
      </c>
      <c r="L399" s="101">
        <v>0.3401360544217687</v>
      </c>
      <c r="M399" s="101">
        <v>0.3401360544217687</v>
      </c>
      <c r="N399" s="101">
        <v>0.3401360544217687</v>
      </c>
      <c r="O399" s="101">
        <v>0.3401360544217687</v>
      </c>
      <c r="P399" s="101">
        <v>0.3401360544217687</v>
      </c>
      <c r="Q399" s="101">
        <v>0.3401360544217687</v>
      </c>
      <c r="R399" s="101">
        <v>4.0816326530612246</v>
      </c>
    </row>
    <row r="400" spans="3:18">
      <c r="D400" t="s">
        <v>250</v>
      </c>
      <c r="E400" t="s">
        <v>52</v>
      </c>
      <c r="F400" s="101">
        <v>0.3401360544217687</v>
      </c>
      <c r="G400" s="101">
        <v>0.3401360544217687</v>
      </c>
      <c r="H400" s="101">
        <v>0.3401360544217687</v>
      </c>
      <c r="I400" s="101">
        <v>0.3401360544217687</v>
      </c>
      <c r="J400" s="101">
        <v>0.3401360544217687</v>
      </c>
      <c r="K400" s="101">
        <v>0.3401360544217687</v>
      </c>
      <c r="L400" s="101">
        <v>0.3401360544217687</v>
      </c>
      <c r="M400" s="101">
        <v>0.3401360544217687</v>
      </c>
      <c r="N400" s="101">
        <v>0.3401360544217687</v>
      </c>
      <c r="O400" s="101">
        <v>0.3401360544217687</v>
      </c>
      <c r="P400" s="101">
        <v>0.3401360544217687</v>
      </c>
      <c r="Q400" s="101">
        <v>0.3401360544217687</v>
      </c>
      <c r="R400" s="101">
        <v>4.0816326530612246</v>
      </c>
    </row>
    <row r="401" spans="2:18">
      <c r="D401" t="s">
        <v>251</v>
      </c>
      <c r="E401" t="s">
        <v>52</v>
      </c>
      <c r="F401" s="101">
        <v>0.20408163265306123</v>
      </c>
      <c r="G401" s="101">
        <v>0</v>
      </c>
      <c r="H401" s="101">
        <v>0.20408163265306123</v>
      </c>
      <c r="I401" s="101">
        <v>0</v>
      </c>
      <c r="J401" s="101">
        <v>0.20408163265306123</v>
      </c>
      <c r="K401" s="101">
        <v>0</v>
      </c>
      <c r="L401" s="101">
        <v>0.20408163265306123</v>
      </c>
      <c r="M401" s="101">
        <v>0</v>
      </c>
      <c r="N401" s="101">
        <v>0.20408163265306123</v>
      </c>
      <c r="O401" s="101">
        <v>0</v>
      </c>
      <c r="P401" s="101">
        <v>0.20408163265306123</v>
      </c>
      <c r="Q401" s="101">
        <v>0</v>
      </c>
      <c r="R401" s="101">
        <v>1.2244897959183674</v>
      </c>
    </row>
    <row r="402" spans="2:18">
      <c r="D402" t="s">
        <v>254</v>
      </c>
      <c r="E402" t="s">
        <v>52</v>
      </c>
      <c r="F402" s="101">
        <v>0</v>
      </c>
      <c r="G402" s="101">
        <v>0.15</v>
      </c>
      <c r="H402" s="101">
        <v>0</v>
      </c>
      <c r="I402" s="101">
        <v>0</v>
      </c>
      <c r="J402" s="101">
        <v>0.15</v>
      </c>
      <c r="K402" s="101">
        <v>0</v>
      </c>
      <c r="L402" s="101">
        <v>0</v>
      </c>
      <c r="M402" s="101">
        <v>0.15</v>
      </c>
      <c r="N402" s="101">
        <v>0</v>
      </c>
      <c r="O402" s="101">
        <v>0</v>
      </c>
      <c r="P402" s="101">
        <v>0.15</v>
      </c>
      <c r="Q402" s="101">
        <v>0</v>
      </c>
      <c r="R402" s="101">
        <v>0.6</v>
      </c>
    </row>
    <row r="403" spans="2:18">
      <c r="D403" t="s">
        <v>257</v>
      </c>
      <c r="E403" t="s">
        <v>52</v>
      </c>
      <c r="F403" s="101">
        <v>0.20408163265306123</v>
      </c>
      <c r="G403" s="101">
        <v>0</v>
      </c>
      <c r="H403" s="101">
        <v>0.20408163265306123</v>
      </c>
      <c r="I403" s="101">
        <v>0</v>
      </c>
      <c r="J403" s="101">
        <v>0.20408163265306123</v>
      </c>
      <c r="K403" s="101">
        <v>0</v>
      </c>
      <c r="L403" s="101">
        <v>0.20408163265306123</v>
      </c>
      <c r="M403" s="101">
        <v>0</v>
      </c>
      <c r="N403" s="101">
        <v>0.20408163265306123</v>
      </c>
      <c r="O403" s="101">
        <v>0</v>
      </c>
      <c r="P403" s="101">
        <v>0.20408163265306123</v>
      </c>
      <c r="Q403" s="101">
        <v>0</v>
      </c>
      <c r="R403" s="101">
        <v>1.2244897959183674</v>
      </c>
    </row>
    <row r="404" spans="2:18">
      <c r="D404" t="s">
        <v>256</v>
      </c>
      <c r="E404" t="s">
        <v>52</v>
      </c>
      <c r="F404" s="101">
        <v>0</v>
      </c>
      <c r="G404" s="101">
        <v>0.15</v>
      </c>
      <c r="H404" s="101">
        <v>0</v>
      </c>
      <c r="I404" s="101">
        <v>0</v>
      </c>
      <c r="J404" s="101">
        <v>0.15</v>
      </c>
      <c r="K404" s="101">
        <v>0</v>
      </c>
      <c r="L404" s="101">
        <v>0</v>
      </c>
      <c r="M404" s="101">
        <v>0.15</v>
      </c>
      <c r="N404" s="101">
        <v>0</v>
      </c>
      <c r="O404" s="101">
        <v>0</v>
      </c>
      <c r="P404" s="101">
        <v>0.15</v>
      </c>
      <c r="Q404" s="101">
        <v>0</v>
      </c>
      <c r="R404" s="101">
        <v>0.6</v>
      </c>
    </row>
    <row r="405" spans="2:18">
      <c r="C405" s="52" t="s">
        <v>494</v>
      </c>
      <c r="D405" s="52"/>
      <c r="E405" s="52"/>
      <c r="F405" s="102">
        <v>1.4285714285714286</v>
      </c>
      <c r="G405" s="102">
        <v>1.320408163265306</v>
      </c>
      <c r="H405" s="102">
        <v>1.4285714285714286</v>
      </c>
      <c r="I405" s="102">
        <v>1.0204081632653061</v>
      </c>
      <c r="J405" s="102">
        <v>1.7285714285714284</v>
      </c>
      <c r="K405" s="102">
        <v>1.0204081632653061</v>
      </c>
      <c r="L405" s="102">
        <v>1.4285714285714286</v>
      </c>
      <c r="M405" s="102">
        <v>1.320408163265306</v>
      </c>
      <c r="N405" s="102">
        <v>1.4285714285714286</v>
      </c>
      <c r="O405" s="102">
        <v>1.0204081632653061</v>
      </c>
      <c r="P405" s="102">
        <v>1.7285714285714284</v>
      </c>
      <c r="Q405" s="102">
        <v>1.0204081632653061</v>
      </c>
      <c r="R405" s="102">
        <v>15.89387755102041</v>
      </c>
    </row>
    <row r="406" spans="2:18">
      <c r="C406" t="s">
        <v>259</v>
      </c>
      <c r="D406" t="s">
        <v>260</v>
      </c>
      <c r="E406" t="s">
        <v>52</v>
      </c>
      <c r="F406" s="101">
        <v>0.51020408163265307</v>
      </c>
      <c r="G406" s="101">
        <v>0.51020408163265307</v>
      </c>
      <c r="H406" s="101">
        <v>0.51020408163265307</v>
      </c>
      <c r="I406" s="101">
        <v>0.51020408163265307</v>
      </c>
      <c r="J406" s="101">
        <v>0.51020408163265307</v>
      </c>
      <c r="K406" s="101">
        <v>0.51020408163265307</v>
      </c>
      <c r="L406" s="101">
        <v>0.51020408163265307</v>
      </c>
      <c r="M406" s="101">
        <v>0.51020408163265307</v>
      </c>
      <c r="N406" s="101">
        <v>0.51020408163265307</v>
      </c>
      <c r="O406" s="101">
        <v>0.51020408163265307</v>
      </c>
      <c r="P406" s="101">
        <v>0.51020408163265307</v>
      </c>
      <c r="Q406" s="101">
        <v>0.51020408163265307</v>
      </c>
      <c r="R406" s="101">
        <v>6.1224489795918382</v>
      </c>
    </row>
    <row r="407" spans="2:18">
      <c r="C407" s="52" t="s">
        <v>495</v>
      </c>
      <c r="D407" s="52"/>
      <c r="E407" s="52"/>
      <c r="F407" s="102">
        <v>0.51020408163265307</v>
      </c>
      <c r="G407" s="102">
        <v>0.51020408163265307</v>
      </c>
      <c r="H407" s="102">
        <v>0.51020408163265307</v>
      </c>
      <c r="I407" s="102">
        <v>0.51020408163265307</v>
      </c>
      <c r="J407" s="102">
        <v>0.51020408163265307</v>
      </c>
      <c r="K407" s="102">
        <v>0.51020408163265307</v>
      </c>
      <c r="L407" s="102">
        <v>0.51020408163265307</v>
      </c>
      <c r="M407" s="102">
        <v>0.51020408163265307</v>
      </c>
      <c r="N407" s="102">
        <v>0.51020408163265307</v>
      </c>
      <c r="O407" s="102">
        <v>0.51020408163265307</v>
      </c>
      <c r="P407" s="102">
        <v>0.51020408163265307</v>
      </c>
      <c r="Q407" s="102">
        <v>0.51020408163265307</v>
      </c>
      <c r="R407" s="102">
        <v>6.1224489795918382</v>
      </c>
    </row>
    <row r="408" spans="2:18">
      <c r="C408" t="s">
        <v>247</v>
      </c>
      <c r="D408" t="s">
        <v>244</v>
      </c>
      <c r="E408" t="s">
        <v>52</v>
      </c>
      <c r="F408" s="101">
        <v>0.12755102040816327</v>
      </c>
      <c r="G408" s="101">
        <v>0.12755102040816327</v>
      </c>
      <c r="H408" s="101">
        <v>0.12755102040816327</v>
      </c>
      <c r="I408" s="101">
        <v>0.12755102040816327</v>
      </c>
      <c r="J408" s="101">
        <v>0.12755102040816327</v>
      </c>
      <c r="K408" s="101">
        <v>0.12755102040816327</v>
      </c>
      <c r="L408" s="101">
        <v>0.12755102040816327</v>
      </c>
      <c r="M408" s="101">
        <v>0.12755102040816327</v>
      </c>
      <c r="N408" s="101">
        <v>0.12755102040816327</v>
      </c>
      <c r="O408" s="101">
        <v>0.12755102040816327</v>
      </c>
      <c r="P408" s="101">
        <v>0.12755102040816327</v>
      </c>
      <c r="Q408" s="101">
        <v>0.12755102040816327</v>
      </c>
      <c r="R408" s="101">
        <v>1.5306122448979596</v>
      </c>
    </row>
    <row r="409" spans="2:18">
      <c r="D409" t="s">
        <v>249</v>
      </c>
      <c r="E409" t="s">
        <v>52</v>
      </c>
      <c r="F409" s="101">
        <v>0.12755102040816327</v>
      </c>
      <c r="G409" s="101">
        <v>0.12755102040816327</v>
      </c>
      <c r="H409" s="101">
        <v>0.12755102040816327</v>
      </c>
      <c r="I409" s="101">
        <v>0.12755102040816327</v>
      </c>
      <c r="J409" s="101">
        <v>0.12755102040816327</v>
      </c>
      <c r="K409" s="101">
        <v>0.12755102040816327</v>
      </c>
      <c r="L409" s="101">
        <v>0.12755102040816327</v>
      </c>
      <c r="M409" s="101">
        <v>0.12755102040816327</v>
      </c>
      <c r="N409" s="101">
        <v>0.12755102040816327</v>
      </c>
      <c r="O409" s="101">
        <v>0.12755102040816327</v>
      </c>
      <c r="P409" s="101">
        <v>0.12755102040816327</v>
      </c>
      <c r="Q409" s="101">
        <v>0.12755102040816327</v>
      </c>
      <c r="R409" s="101">
        <v>1.5306122448979596</v>
      </c>
    </row>
    <row r="410" spans="2:18">
      <c r="D410" t="s">
        <v>250</v>
      </c>
      <c r="E410" t="s">
        <v>52</v>
      </c>
      <c r="F410" s="101">
        <v>0.12755102040816327</v>
      </c>
      <c r="G410" s="101">
        <v>0.12755102040816327</v>
      </c>
      <c r="H410" s="101">
        <v>0.12755102040816327</v>
      </c>
      <c r="I410" s="101">
        <v>0.12755102040816327</v>
      </c>
      <c r="J410" s="101">
        <v>0.12755102040816327</v>
      </c>
      <c r="K410" s="101">
        <v>0.12755102040816327</v>
      </c>
      <c r="L410" s="101">
        <v>0.12755102040816327</v>
      </c>
      <c r="M410" s="101">
        <v>0.12755102040816327</v>
      </c>
      <c r="N410" s="101">
        <v>0.12755102040816327</v>
      </c>
      <c r="O410" s="101">
        <v>0.12755102040816327</v>
      </c>
      <c r="P410" s="101">
        <v>0.12755102040816327</v>
      </c>
      <c r="Q410" s="101">
        <v>0.12755102040816327</v>
      </c>
      <c r="R410" s="101">
        <v>1.5306122448979596</v>
      </c>
    </row>
    <row r="411" spans="2:18">
      <c r="D411" t="s">
        <v>251</v>
      </c>
      <c r="E411" t="s">
        <v>52</v>
      </c>
      <c r="F411" s="101">
        <v>7.6530612244897961E-2</v>
      </c>
      <c r="G411" s="101">
        <v>0</v>
      </c>
      <c r="H411" s="101">
        <v>7.6530612244897961E-2</v>
      </c>
      <c r="I411" s="101">
        <v>0</v>
      </c>
      <c r="J411" s="101">
        <v>7.6530612244897961E-2</v>
      </c>
      <c r="K411" s="101">
        <v>0</v>
      </c>
      <c r="L411" s="101">
        <v>7.6530612244897961E-2</v>
      </c>
      <c r="M411" s="101">
        <v>0</v>
      </c>
      <c r="N411" s="101">
        <v>7.6530612244897961E-2</v>
      </c>
      <c r="O411" s="101">
        <v>0</v>
      </c>
      <c r="P411" s="101">
        <v>7.6530612244897961E-2</v>
      </c>
      <c r="Q411" s="101">
        <v>0</v>
      </c>
      <c r="R411" s="101">
        <v>0.45918367346938782</v>
      </c>
    </row>
    <row r="412" spans="2:18">
      <c r="C412" s="52" t="s">
        <v>496</v>
      </c>
      <c r="D412" s="52"/>
      <c r="E412" s="52"/>
      <c r="F412" s="102">
        <v>0.45918367346938782</v>
      </c>
      <c r="G412" s="102">
        <v>0.38265306122448983</v>
      </c>
      <c r="H412" s="102">
        <v>0.45918367346938782</v>
      </c>
      <c r="I412" s="102">
        <v>0.38265306122448983</v>
      </c>
      <c r="J412" s="102">
        <v>0.45918367346938782</v>
      </c>
      <c r="K412" s="102">
        <v>0.38265306122448983</v>
      </c>
      <c r="L412" s="102">
        <v>0.45918367346938782</v>
      </c>
      <c r="M412" s="102">
        <v>0.38265306122448983</v>
      </c>
      <c r="N412" s="102">
        <v>0.45918367346938782</v>
      </c>
      <c r="O412" s="102">
        <v>0.38265306122448983</v>
      </c>
      <c r="P412" s="102">
        <v>0.45918367346938782</v>
      </c>
      <c r="Q412" s="102">
        <v>0.38265306122448983</v>
      </c>
      <c r="R412" s="102">
        <v>5.051020408163267</v>
      </c>
    </row>
    <row r="413" spans="2:18">
      <c r="B413" s="53" t="s">
        <v>497</v>
      </c>
      <c r="C413" s="53"/>
      <c r="D413" s="53"/>
      <c r="E413" s="53"/>
      <c r="F413" s="103">
        <v>5.0595238095238111</v>
      </c>
      <c r="G413" s="103">
        <v>4.8323129251700685</v>
      </c>
      <c r="H413" s="103">
        <v>5.0595238095238111</v>
      </c>
      <c r="I413" s="103">
        <v>3.3418367346938771</v>
      </c>
      <c r="J413" s="103">
        <v>6.5500000000000016</v>
      </c>
      <c r="K413" s="103">
        <v>3.3418367346938771</v>
      </c>
      <c r="L413" s="103">
        <v>5.0595238095238111</v>
      </c>
      <c r="M413" s="103">
        <v>4.8323129251700685</v>
      </c>
      <c r="N413" s="103">
        <v>5.0595238095238111</v>
      </c>
      <c r="O413" s="103">
        <v>3.3418367346938771</v>
      </c>
      <c r="P413" s="103">
        <v>6.5500000000000016</v>
      </c>
      <c r="Q413" s="103">
        <v>3.3418367346938771</v>
      </c>
      <c r="R413" s="103">
        <v>56.370068027210891</v>
      </c>
    </row>
    <row r="414" spans="2:18">
      <c r="B414" t="s">
        <v>80</v>
      </c>
      <c r="C414" t="s">
        <v>92</v>
      </c>
      <c r="D414" t="s">
        <v>93</v>
      </c>
      <c r="E414" t="s">
        <v>52</v>
      </c>
      <c r="F414" s="101">
        <v>1.8703466666666666</v>
      </c>
      <c r="G414" s="101">
        <v>1.8703466666666666</v>
      </c>
      <c r="H414" s="101">
        <v>1.8703466666666666</v>
      </c>
      <c r="I414" s="101">
        <v>1.8703466666666666</v>
      </c>
      <c r="J414" s="101">
        <v>1.8703466666666666</v>
      </c>
      <c r="K414" s="101">
        <v>1.8703466666666666</v>
      </c>
      <c r="L414" s="101">
        <v>1.8703466666666666</v>
      </c>
      <c r="M414" s="101">
        <v>1.8703466666666666</v>
      </c>
      <c r="N414" s="101">
        <v>1.8703466666666666</v>
      </c>
      <c r="O414" s="101">
        <v>1.8703466666666666</v>
      </c>
      <c r="P414" s="101">
        <v>1.8703466666666666</v>
      </c>
      <c r="Q414" s="101">
        <v>1.8703466666666666</v>
      </c>
      <c r="R414" s="101">
        <v>22.44416</v>
      </c>
    </row>
    <row r="415" spans="2:18">
      <c r="C415" s="52" t="s">
        <v>458</v>
      </c>
      <c r="D415" s="52"/>
      <c r="E415" s="52"/>
      <c r="F415" s="102">
        <v>1.8703466666666666</v>
      </c>
      <c r="G415" s="102">
        <v>1.8703466666666666</v>
      </c>
      <c r="H415" s="102">
        <v>1.8703466666666666</v>
      </c>
      <c r="I415" s="102">
        <v>1.8703466666666666</v>
      </c>
      <c r="J415" s="102">
        <v>1.8703466666666666</v>
      </c>
      <c r="K415" s="102">
        <v>1.8703466666666666</v>
      </c>
      <c r="L415" s="102">
        <v>1.8703466666666666</v>
      </c>
      <c r="M415" s="102">
        <v>1.8703466666666666</v>
      </c>
      <c r="N415" s="102">
        <v>1.8703466666666666</v>
      </c>
      <c r="O415" s="102">
        <v>1.8703466666666666</v>
      </c>
      <c r="P415" s="102">
        <v>1.8703466666666666</v>
      </c>
      <c r="Q415" s="102">
        <v>1.8703466666666666</v>
      </c>
      <c r="R415" s="102">
        <v>22.44416</v>
      </c>
    </row>
    <row r="416" spans="2:18">
      <c r="B416" s="53" t="s">
        <v>393</v>
      </c>
      <c r="C416" s="53"/>
      <c r="D416" s="53"/>
      <c r="E416" s="53"/>
      <c r="F416" s="103">
        <v>1.8703466666666666</v>
      </c>
      <c r="G416" s="103">
        <v>1.8703466666666666</v>
      </c>
      <c r="H416" s="103">
        <v>1.8703466666666666</v>
      </c>
      <c r="I416" s="103">
        <v>1.8703466666666666</v>
      </c>
      <c r="J416" s="103">
        <v>1.8703466666666666</v>
      </c>
      <c r="K416" s="103">
        <v>1.8703466666666666</v>
      </c>
      <c r="L416" s="103">
        <v>1.8703466666666666</v>
      </c>
      <c r="M416" s="103">
        <v>1.8703466666666666</v>
      </c>
      <c r="N416" s="103">
        <v>1.8703466666666666</v>
      </c>
      <c r="O416" s="103">
        <v>1.8703466666666666</v>
      </c>
      <c r="P416" s="103">
        <v>1.8703466666666666</v>
      </c>
      <c r="Q416" s="103">
        <v>1.8703466666666666</v>
      </c>
      <c r="R416" s="103">
        <v>22.44416</v>
      </c>
    </row>
    <row r="417" spans="2:18">
      <c r="B417" t="s">
        <v>91</v>
      </c>
      <c r="C417" t="s">
        <v>92</v>
      </c>
      <c r="D417" t="s">
        <v>97</v>
      </c>
      <c r="E417" t="s">
        <v>52</v>
      </c>
      <c r="F417" s="101">
        <v>2.4954400000000003</v>
      </c>
      <c r="G417" s="101">
        <v>2.4954400000000003</v>
      </c>
      <c r="H417" s="101">
        <v>2.4954400000000003</v>
      </c>
      <c r="I417" s="101">
        <v>2.4954400000000003</v>
      </c>
      <c r="J417" s="101">
        <v>2.4954400000000003</v>
      </c>
      <c r="K417" s="101">
        <v>2.4954400000000003</v>
      </c>
      <c r="L417" s="101">
        <v>2.4954400000000003</v>
      </c>
      <c r="M417" s="101">
        <v>2.4954400000000003</v>
      </c>
      <c r="N417" s="101">
        <v>2.4954400000000003</v>
      </c>
      <c r="O417" s="101">
        <v>2.4954400000000003</v>
      </c>
      <c r="P417" s="101">
        <v>2.4954400000000003</v>
      </c>
      <c r="Q417" s="101">
        <v>2.4954400000000003</v>
      </c>
      <c r="R417" s="101">
        <v>29.945280000000011</v>
      </c>
    </row>
    <row r="418" spans="2:18">
      <c r="C418" s="52" t="s">
        <v>458</v>
      </c>
      <c r="D418" s="52"/>
      <c r="E418" s="52"/>
      <c r="F418" s="102">
        <v>2.4954400000000003</v>
      </c>
      <c r="G418" s="102">
        <v>2.4954400000000003</v>
      </c>
      <c r="H418" s="102">
        <v>2.4954400000000003</v>
      </c>
      <c r="I418" s="102">
        <v>2.4954400000000003</v>
      </c>
      <c r="J418" s="102">
        <v>2.4954400000000003</v>
      </c>
      <c r="K418" s="102">
        <v>2.4954400000000003</v>
      </c>
      <c r="L418" s="102">
        <v>2.4954400000000003</v>
      </c>
      <c r="M418" s="102">
        <v>2.4954400000000003</v>
      </c>
      <c r="N418" s="102">
        <v>2.4954400000000003</v>
      </c>
      <c r="O418" s="102">
        <v>2.4954400000000003</v>
      </c>
      <c r="P418" s="102">
        <v>2.4954400000000003</v>
      </c>
      <c r="Q418" s="102">
        <v>2.4954400000000003</v>
      </c>
      <c r="R418" s="102">
        <v>29.945280000000011</v>
      </c>
    </row>
    <row r="419" spans="2:18">
      <c r="C419" t="s">
        <v>165</v>
      </c>
      <c r="D419" t="s">
        <v>166</v>
      </c>
      <c r="E419" t="s">
        <v>52</v>
      </c>
      <c r="F419" s="101">
        <v>2.6122448979591835</v>
      </c>
      <c r="G419" s="101">
        <v>2.6122448979591835</v>
      </c>
      <c r="H419" s="101">
        <v>2.6122448979591835</v>
      </c>
      <c r="I419" s="101">
        <v>2.6122448979591835</v>
      </c>
      <c r="J419" s="101">
        <v>2.6122448979591835</v>
      </c>
      <c r="K419" s="101">
        <v>2.7223622738290949</v>
      </c>
      <c r="L419" s="101">
        <v>2.7223622738290949</v>
      </c>
      <c r="M419" s="101">
        <v>2.7223622738290949</v>
      </c>
      <c r="N419" s="101">
        <v>2.7223622738290949</v>
      </c>
      <c r="O419" s="101">
        <v>2.7223622738290949</v>
      </c>
      <c r="P419" s="101">
        <v>2.7223622738290949</v>
      </c>
      <c r="Q419" s="101">
        <v>2.7223622738290949</v>
      </c>
      <c r="R419" s="101">
        <v>32.117760406599587</v>
      </c>
    </row>
    <row r="420" spans="2:18">
      <c r="C420" s="52" t="s">
        <v>460</v>
      </c>
      <c r="D420" s="52"/>
      <c r="E420" s="52"/>
      <c r="F420" s="102">
        <v>2.6122448979591835</v>
      </c>
      <c r="G420" s="102">
        <v>2.6122448979591835</v>
      </c>
      <c r="H420" s="102">
        <v>2.6122448979591835</v>
      </c>
      <c r="I420" s="102">
        <v>2.6122448979591835</v>
      </c>
      <c r="J420" s="102">
        <v>2.6122448979591835</v>
      </c>
      <c r="K420" s="102">
        <v>2.7223622738290949</v>
      </c>
      <c r="L420" s="102">
        <v>2.7223622738290949</v>
      </c>
      <c r="M420" s="102">
        <v>2.7223622738290949</v>
      </c>
      <c r="N420" s="102">
        <v>2.7223622738290949</v>
      </c>
      <c r="O420" s="102">
        <v>2.7223622738290949</v>
      </c>
      <c r="P420" s="102">
        <v>2.7223622738290949</v>
      </c>
      <c r="Q420" s="102">
        <v>2.7223622738290949</v>
      </c>
      <c r="R420" s="102">
        <v>32.117760406599587</v>
      </c>
    </row>
    <row r="421" spans="2:18">
      <c r="C421" t="s">
        <v>213</v>
      </c>
      <c r="D421" t="s">
        <v>214</v>
      </c>
      <c r="E421" t="s">
        <v>52</v>
      </c>
      <c r="F421" s="101">
        <v>0.29166666666666669</v>
      </c>
      <c r="G421" s="101">
        <v>0.29166666666666669</v>
      </c>
      <c r="H421" s="101">
        <v>0.29166666666666669</v>
      </c>
      <c r="I421" s="101">
        <v>0.29166666666666669</v>
      </c>
      <c r="J421" s="101">
        <v>0.29166666666666669</v>
      </c>
      <c r="K421" s="101">
        <v>0.29166666666666669</v>
      </c>
      <c r="L421" s="101">
        <v>0.29166666666666669</v>
      </c>
      <c r="M421" s="101">
        <v>0.29166666666666669</v>
      </c>
      <c r="N421" s="101">
        <v>0.29166666666666669</v>
      </c>
      <c r="O421" s="101">
        <v>0.29166666666666669</v>
      </c>
      <c r="P421" s="101">
        <v>0.29166666666666669</v>
      </c>
      <c r="Q421" s="101">
        <v>0.29166666666666669</v>
      </c>
      <c r="R421" s="101">
        <v>3.4999999999999996</v>
      </c>
    </row>
    <row r="422" spans="2:18">
      <c r="C422" s="52" t="s">
        <v>498</v>
      </c>
      <c r="D422" s="52"/>
      <c r="E422" s="52"/>
      <c r="F422" s="102">
        <v>0.29166666666666669</v>
      </c>
      <c r="G422" s="102">
        <v>0.29166666666666669</v>
      </c>
      <c r="H422" s="102">
        <v>0.29166666666666669</v>
      </c>
      <c r="I422" s="102">
        <v>0.29166666666666669</v>
      </c>
      <c r="J422" s="102">
        <v>0.29166666666666669</v>
      </c>
      <c r="K422" s="102">
        <v>0.29166666666666669</v>
      </c>
      <c r="L422" s="102">
        <v>0.29166666666666669</v>
      </c>
      <c r="M422" s="102">
        <v>0.29166666666666669</v>
      </c>
      <c r="N422" s="102">
        <v>0.29166666666666669</v>
      </c>
      <c r="O422" s="102">
        <v>0.29166666666666669</v>
      </c>
      <c r="P422" s="102">
        <v>0.29166666666666669</v>
      </c>
      <c r="Q422" s="102">
        <v>0.29166666666666669</v>
      </c>
      <c r="R422" s="102">
        <v>3.4999999999999996</v>
      </c>
    </row>
    <row r="423" spans="2:18">
      <c r="C423" t="s">
        <v>179</v>
      </c>
      <c r="D423" t="s">
        <v>180</v>
      </c>
      <c r="E423" t="s">
        <v>52</v>
      </c>
      <c r="F423" s="101">
        <v>0</v>
      </c>
      <c r="G423" s="101">
        <v>0</v>
      </c>
      <c r="H423" s="101">
        <v>1.3605442176870748</v>
      </c>
      <c r="I423" s="101">
        <v>0</v>
      </c>
      <c r="J423" s="101">
        <v>0</v>
      </c>
      <c r="K423" s="101">
        <v>1.3605442176870748</v>
      </c>
      <c r="L423" s="101">
        <v>0</v>
      </c>
      <c r="M423" s="101">
        <v>0</v>
      </c>
      <c r="N423" s="101">
        <v>1.3605442176870748</v>
      </c>
      <c r="O423" s="101">
        <v>0</v>
      </c>
      <c r="P423" s="101">
        <v>0</v>
      </c>
      <c r="Q423" s="101">
        <v>1.3605442176870748</v>
      </c>
      <c r="R423" s="101">
        <v>5.4421768707482991</v>
      </c>
    </row>
    <row r="424" spans="2:18">
      <c r="D424" t="s">
        <v>185</v>
      </c>
      <c r="E424" t="s">
        <v>52</v>
      </c>
      <c r="F424" s="101">
        <v>0.51700680272108845</v>
      </c>
      <c r="G424" s="101">
        <v>0.51700680272108845</v>
      </c>
      <c r="H424" s="101">
        <v>0.51700680272108845</v>
      </c>
      <c r="I424" s="101">
        <v>0.51700680272108845</v>
      </c>
      <c r="J424" s="101">
        <v>0.51700680272108845</v>
      </c>
      <c r="K424" s="101">
        <v>0.51700680272108845</v>
      </c>
      <c r="L424" s="101">
        <v>0.51700680272108845</v>
      </c>
      <c r="M424" s="101">
        <v>0.51700680272108845</v>
      </c>
      <c r="N424" s="101">
        <v>0.51700680272108845</v>
      </c>
      <c r="O424" s="101">
        <v>0.51700680272108845</v>
      </c>
      <c r="P424" s="101">
        <v>0.51700680272108845</v>
      </c>
      <c r="Q424" s="101">
        <v>0.51700680272108845</v>
      </c>
      <c r="R424" s="101">
        <v>6.2040816326530601</v>
      </c>
    </row>
    <row r="425" spans="2:18">
      <c r="C425" s="52" t="s">
        <v>439</v>
      </c>
      <c r="D425" s="52"/>
      <c r="E425" s="52"/>
      <c r="F425" s="102">
        <v>0.51700680272108845</v>
      </c>
      <c r="G425" s="102">
        <v>0.51700680272108845</v>
      </c>
      <c r="H425" s="102">
        <v>1.8775510204081631</v>
      </c>
      <c r="I425" s="102">
        <v>0.51700680272108845</v>
      </c>
      <c r="J425" s="102">
        <v>0.51700680272108845</v>
      </c>
      <c r="K425" s="102">
        <v>1.8775510204081631</v>
      </c>
      <c r="L425" s="102">
        <v>0.51700680272108845</v>
      </c>
      <c r="M425" s="102">
        <v>0.51700680272108845</v>
      </c>
      <c r="N425" s="102">
        <v>1.8775510204081631</v>
      </c>
      <c r="O425" s="102">
        <v>0.51700680272108845</v>
      </c>
      <c r="P425" s="102">
        <v>0.51700680272108845</v>
      </c>
      <c r="Q425" s="102">
        <v>1.8775510204081631</v>
      </c>
      <c r="R425" s="102">
        <v>11.646258503401359</v>
      </c>
    </row>
    <row r="426" spans="2:18">
      <c r="B426" s="53" t="s">
        <v>402</v>
      </c>
      <c r="C426" s="53"/>
      <c r="D426" s="53"/>
      <c r="E426" s="53"/>
      <c r="F426" s="103">
        <v>5.9163583673469384</v>
      </c>
      <c r="G426" s="103">
        <v>5.9163583673469384</v>
      </c>
      <c r="H426" s="103">
        <v>7.276902585034013</v>
      </c>
      <c r="I426" s="103">
        <v>5.9163583673469384</v>
      </c>
      <c r="J426" s="103">
        <v>5.9163583673469384</v>
      </c>
      <c r="K426" s="103">
        <v>7.3870199609039249</v>
      </c>
      <c r="L426" s="103">
        <v>6.0264757432168503</v>
      </c>
      <c r="M426" s="103">
        <v>6.0264757432168503</v>
      </c>
      <c r="N426" s="103">
        <v>7.3870199609039249</v>
      </c>
      <c r="O426" s="103">
        <v>6.0264757432168503</v>
      </c>
      <c r="P426" s="103">
        <v>6.0264757432168503</v>
      </c>
      <c r="Q426" s="103">
        <v>7.3870199609039249</v>
      </c>
      <c r="R426" s="103">
        <v>77.209298910000953</v>
      </c>
    </row>
    <row r="427" spans="2:18">
      <c r="B427" t="s">
        <v>87</v>
      </c>
      <c r="C427" t="s">
        <v>159</v>
      </c>
      <c r="D427" t="s">
        <v>160</v>
      </c>
      <c r="E427" t="s">
        <v>52</v>
      </c>
      <c r="F427" s="101">
        <v>1.8399999999999999</v>
      </c>
      <c r="G427" s="101">
        <v>1.8399999999999999</v>
      </c>
      <c r="H427" s="101">
        <v>1.8399999999999999</v>
      </c>
      <c r="I427" s="101">
        <v>1.8399999999999999</v>
      </c>
      <c r="J427" s="101">
        <v>1.8399999999999999</v>
      </c>
      <c r="K427" s="101">
        <v>1.8399999999999999</v>
      </c>
      <c r="L427" s="101">
        <v>1.8399999999999999</v>
      </c>
      <c r="M427" s="101">
        <v>1.8399999999999999</v>
      </c>
      <c r="N427" s="101">
        <v>1.8399999999999999</v>
      </c>
      <c r="O427" s="101">
        <v>1.8399999999999999</v>
      </c>
      <c r="P427" s="101">
        <v>1.8399999999999999</v>
      </c>
      <c r="Q427" s="101">
        <v>1.8399999999999999</v>
      </c>
      <c r="R427" s="101">
        <v>22.08</v>
      </c>
    </row>
    <row r="428" spans="2:18">
      <c r="C428" s="52" t="s">
        <v>463</v>
      </c>
      <c r="D428" s="52"/>
      <c r="E428" s="52"/>
      <c r="F428" s="102">
        <v>1.8399999999999999</v>
      </c>
      <c r="G428" s="102">
        <v>1.8399999999999999</v>
      </c>
      <c r="H428" s="102">
        <v>1.8399999999999999</v>
      </c>
      <c r="I428" s="102">
        <v>1.8399999999999999</v>
      </c>
      <c r="J428" s="102">
        <v>1.8399999999999999</v>
      </c>
      <c r="K428" s="102">
        <v>1.8399999999999999</v>
      </c>
      <c r="L428" s="102">
        <v>1.8399999999999999</v>
      </c>
      <c r="M428" s="102">
        <v>1.8399999999999999</v>
      </c>
      <c r="N428" s="102">
        <v>1.8399999999999999</v>
      </c>
      <c r="O428" s="102">
        <v>1.8399999999999999</v>
      </c>
      <c r="P428" s="102">
        <v>1.8399999999999999</v>
      </c>
      <c r="Q428" s="102">
        <v>1.8399999999999999</v>
      </c>
      <c r="R428" s="102">
        <v>22.08</v>
      </c>
    </row>
    <row r="429" spans="2:18">
      <c r="C429" t="s">
        <v>128</v>
      </c>
      <c r="D429" t="s">
        <v>129</v>
      </c>
      <c r="E429" t="s">
        <v>52</v>
      </c>
      <c r="F429" s="101">
        <v>1.0340136054421769</v>
      </c>
      <c r="G429" s="101">
        <v>1.0340136054421769</v>
      </c>
      <c r="H429" s="101">
        <v>1.0340136054421769</v>
      </c>
      <c r="I429" s="101">
        <v>1.0340136054421769</v>
      </c>
      <c r="J429" s="101">
        <v>1.0340136054421769</v>
      </c>
      <c r="K429" s="101">
        <v>1.0340136054421769</v>
      </c>
      <c r="L429" s="101">
        <v>1.0340136054421769</v>
      </c>
      <c r="M429" s="101">
        <v>1.0340136054421769</v>
      </c>
      <c r="N429" s="101">
        <v>1.0340136054421769</v>
      </c>
      <c r="O429" s="101">
        <v>1.0340136054421769</v>
      </c>
      <c r="P429" s="101">
        <v>1.0340136054421769</v>
      </c>
      <c r="Q429" s="101">
        <v>1.0340136054421769</v>
      </c>
      <c r="R429" s="101">
        <v>12.40816326530612</v>
      </c>
    </row>
    <row r="430" spans="2:18">
      <c r="C430" s="52" t="s">
        <v>465</v>
      </c>
      <c r="D430" s="52"/>
      <c r="E430" s="52"/>
      <c r="F430" s="102">
        <v>1.0340136054421769</v>
      </c>
      <c r="G430" s="102">
        <v>1.0340136054421769</v>
      </c>
      <c r="H430" s="102">
        <v>1.0340136054421769</v>
      </c>
      <c r="I430" s="102">
        <v>1.0340136054421769</v>
      </c>
      <c r="J430" s="102">
        <v>1.0340136054421769</v>
      </c>
      <c r="K430" s="102">
        <v>1.0340136054421769</v>
      </c>
      <c r="L430" s="102">
        <v>1.0340136054421769</v>
      </c>
      <c r="M430" s="102">
        <v>1.0340136054421769</v>
      </c>
      <c r="N430" s="102">
        <v>1.0340136054421769</v>
      </c>
      <c r="O430" s="102">
        <v>1.0340136054421769</v>
      </c>
      <c r="P430" s="102">
        <v>1.0340136054421769</v>
      </c>
      <c r="Q430" s="102">
        <v>1.0340136054421769</v>
      </c>
      <c r="R430" s="102">
        <v>12.40816326530612</v>
      </c>
    </row>
    <row r="431" spans="2:18">
      <c r="C431" t="s">
        <v>228</v>
      </c>
      <c r="D431" t="s">
        <v>229</v>
      </c>
      <c r="E431" t="s">
        <v>52</v>
      </c>
      <c r="F431" s="101">
        <v>0</v>
      </c>
      <c r="G431" s="101">
        <v>0</v>
      </c>
      <c r="H431" s="101">
        <v>0</v>
      </c>
      <c r="I431" s="101">
        <v>0</v>
      </c>
      <c r="J431" s="101">
        <v>0</v>
      </c>
      <c r="K431" s="101">
        <v>0</v>
      </c>
      <c r="L431" s="101">
        <v>0</v>
      </c>
      <c r="M431" s="101">
        <v>0</v>
      </c>
      <c r="N431" s="101">
        <v>0</v>
      </c>
      <c r="O431" s="101">
        <v>0</v>
      </c>
      <c r="P431" s="101">
        <v>0</v>
      </c>
      <c r="Q431" s="101">
        <v>0</v>
      </c>
      <c r="R431" s="101">
        <v>0</v>
      </c>
    </row>
    <row r="432" spans="2:18">
      <c r="C432" s="52" t="s">
        <v>499</v>
      </c>
      <c r="D432" s="52"/>
      <c r="E432" s="52"/>
      <c r="F432" s="102">
        <v>0</v>
      </c>
      <c r="G432" s="102">
        <v>0</v>
      </c>
      <c r="H432" s="102">
        <v>0</v>
      </c>
      <c r="I432" s="102">
        <v>0</v>
      </c>
      <c r="J432" s="102">
        <v>0</v>
      </c>
      <c r="K432" s="102">
        <v>0</v>
      </c>
      <c r="L432" s="102">
        <v>0</v>
      </c>
      <c r="M432" s="102">
        <v>0</v>
      </c>
      <c r="N432" s="102">
        <v>0</v>
      </c>
      <c r="O432" s="102">
        <v>0</v>
      </c>
      <c r="P432" s="102">
        <v>0</v>
      </c>
      <c r="Q432" s="102">
        <v>0</v>
      </c>
      <c r="R432" s="102">
        <v>0</v>
      </c>
    </row>
    <row r="433" spans="2:18">
      <c r="C433" t="s">
        <v>240</v>
      </c>
      <c r="D433" t="s">
        <v>241</v>
      </c>
      <c r="E433" t="s">
        <v>52</v>
      </c>
      <c r="F433" s="101">
        <v>0.22420813760901345</v>
      </c>
      <c r="G433" s="101">
        <v>0.22201569889515338</v>
      </c>
      <c r="H433" s="101">
        <v>0.22148435231901531</v>
      </c>
      <c r="I433" s="101">
        <v>0.22124028812058691</v>
      </c>
      <c r="J433" s="101">
        <v>0.22137121263465218</v>
      </c>
      <c r="K433" s="101">
        <v>0.22154640900301878</v>
      </c>
      <c r="L433" s="101">
        <v>0.22143450802069237</v>
      </c>
      <c r="M433" s="101">
        <v>0.22132266355848701</v>
      </c>
      <c r="N433" s="101">
        <v>0.22121087558785485</v>
      </c>
      <c r="O433" s="101">
        <v>0.22109914408026254</v>
      </c>
      <c r="P433" s="101">
        <v>0.2209874690071911</v>
      </c>
      <c r="Q433" s="101">
        <v>0.22087585034013629</v>
      </c>
      <c r="R433" s="101">
        <v>2.6587966091760644</v>
      </c>
    </row>
    <row r="434" spans="2:18">
      <c r="C434" s="52" t="s">
        <v>500</v>
      </c>
      <c r="D434" s="52"/>
      <c r="E434" s="52"/>
      <c r="F434" s="102">
        <v>0.22420813760901345</v>
      </c>
      <c r="G434" s="102">
        <v>0.22201569889515338</v>
      </c>
      <c r="H434" s="102">
        <v>0.22148435231901531</v>
      </c>
      <c r="I434" s="102">
        <v>0.22124028812058691</v>
      </c>
      <c r="J434" s="102">
        <v>0.22137121263465218</v>
      </c>
      <c r="K434" s="102">
        <v>0.22154640900301878</v>
      </c>
      <c r="L434" s="102">
        <v>0.22143450802069237</v>
      </c>
      <c r="M434" s="102">
        <v>0.22132266355848701</v>
      </c>
      <c r="N434" s="102">
        <v>0.22121087558785485</v>
      </c>
      <c r="O434" s="102">
        <v>0.22109914408026254</v>
      </c>
      <c r="P434" s="102">
        <v>0.2209874690071911</v>
      </c>
      <c r="Q434" s="102">
        <v>0.22087585034013629</v>
      </c>
      <c r="R434" s="102">
        <v>2.6587966091760644</v>
      </c>
    </row>
    <row r="435" spans="2:18">
      <c r="C435" t="s">
        <v>167</v>
      </c>
      <c r="D435" t="s">
        <v>168</v>
      </c>
      <c r="E435" t="s">
        <v>52</v>
      </c>
      <c r="F435" s="101">
        <v>0.12755102040816327</v>
      </c>
      <c r="G435" s="101">
        <v>0.12755102040816327</v>
      </c>
      <c r="H435" s="101">
        <v>0.12755102040816327</v>
      </c>
      <c r="I435" s="101">
        <v>0.12755102040816327</v>
      </c>
      <c r="J435" s="101">
        <v>0.12755102040816327</v>
      </c>
      <c r="K435" s="101">
        <v>0.12755102040816327</v>
      </c>
      <c r="L435" s="101">
        <v>0.12755102040816327</v>
      </c>
      <c r="M435" s="101">
        <v>0.12755102040816327</v>
      </c>
      <c r="N435" s="101">
        <v>0.12755102040816327</v>
      </c>
      <c r="O435" s="101">
        <v>0.12755102040816327</v>
      </c>
      <c r="P435" s="101">
        <v>0.12755102040816327</v>
      </c>
      <c r="Q435" s="101">
        <v>0.12755102040816327</v>
      </c>
      <c r="R435" s="101">
        <v>1.5306122448979596</v>
      </c>
    </row>
    <row r="436" spans="2:18">
      <c r="C436" s="52" t="s">
        <v>501</v>
      </c>
      <c r="D436" s="52"/>
      <c r="E436" s="52"/>
      <c r="F436" s="102">
        <v>0.12755102040816327</v>
      </c>
      <c r="G436" s="102">
        <v>0.12755102040816327</v>
      </c>
      <c r="H436" s="102">
        <v>0.12755102040816327</v>
      </c>
      <c r="I436" s="102">
        <v>0.12755102040816327</v>
      </c>
      <c r="J436" s="102">
        <v>0.12755102040816327</v>
      </c>
      <c r="K436" s="102">
        <v>0.12755102040816327</v>
      </c>
      <c r="L436" s="102">
        <v>0.12755102040816327</v>
      </c>
      <c r="M436" s="102">
        <v>0.12755102040816327</v>
      </c>
      <c r="N436" s="102">
        <v>0.12755102040816327</v>
      </c>
      <c r="O436" s="102">
        <v>0.12755102040816327</v>
      </c>
      <c r="P436" s="102">
        <v>0.12755102040816327</v>
      </c>
      <c r="Q436" s="102">
        <v>0.12755102040816327</v>
      </c>
      <c r="R436" s="102">
        <v>1.5306122448979596</v>
      </c>
    </row>
    <row r="437" spans="2:18">
      <c r="C437" t="s">
        <v>163</v>
      </c>
      <c r="D437" t="s">
        <v>164</v>
      </c>
      <c r="E437" t="s">
        <v>52</v>
      </c>
      <c r="F437" s="101">
        <v>3.3143916666666668</v>
      </c>
      <c r="G437" s="101">
        <v>3.4491333333333332</v>
      </c>
      <c r="H437" s="101">
        <v>3.4491333333333332</v>
      </c>
      <c r="I437" s="101">
        <v>3.4491333333333332</v>
      </c>
      <c r="J437" s="101">
        <v>3.4491333333333332</v>
      </c>
      <c r="K437" s="101">
        <v>3.4491333333333332</v>
      </c>
      <c r="L437" s="101">
        <v>3.4491333333333332</v>
      </c>
      <c r="M437" s="101">
        <v>3.4491333333333332</v>
      </c>
      <c r="N437" s="101">
        <v>3.4491333333333332</v>
      </c>
      <c r="O437" s="101">
        <v>3.4491333333333332</v>
      </c>
      <c r="P437" s="101">
        <v>3.4491333333333332</v>
      </c>
      <c r="Q437" s="101">
        <v>3.4491333333333332</v>
      </c>
      <c r="R437" s="101">
        <v>41.254858333333331</v>
      </c>
    </row>
    <row r="438" spans="2:18">
      <c r="C438" s="52" t="s">
        <v>394</v>
      </c>
      <c r="D438" s="52"/>
      <c r="E438" s="52"/>
      <c r="F438" s="102">
        <v>3.3143916666666668</v>
      </c>
      <c r="G438" s="102">
        <v>3.4491333333333332</v>
      </c>
      <c r="H438" s="102">
        <v>3.4491333333333332</v>
      </c>
      <c r="I438" s="102">
        <v>3.4491333333333332</v>
      </c>
      <c r="J438" s="102">
        <v>3.4491333333333332</v>
      </c>
      <c r="K438" s="102">
        <v>3.4491333333333332</v>
      </c>
      <c r="L438" s="102">
        <v>3.4491333333333332</v>
      </c>
      <c r="M438" s="102">
        <v>3.4491333333333332</v>
      </c>
      <c r="N438" s="102">
        <v>3.4491333333333332</v>
      </c>
      <c r="O438" s="102">
        <v>3.4491333333333332</v>
      </c>
      <c r="P438" s="102">
        <v>3.4491333333333332</v>
      </c>
      <c r="Q438" s="102">
        <v>3.4491333333333332</v>
      </c>
      <c r="R438" s="102">
        <v>41.254858333333331</v>
      </c>
    </row>
    <row r="439" spans="2:18">
      <c r="C439" t="s">
        <v>161</v>
      </c>
      <c r="D439" t="s">
        <v>162</v>
      </c>
      <c r="E439" t="s">
        <v>52</v>
      </c>
      <c r="F439" s="101">
        <v>4.0428833333333332</v>
      </c>
      <c r="G439" s="101">
        <v>4.0428833333333332</v>
      </c>
      <c r="H439" s="101">
        <v>4.0428833333333332</v>
      </c>
      <c r="I439" s="101">
        <v>4.0428833333333332</v>
      </c>
      <c r="J439" s="101">
        <v>4.0428833333333332</v>
      </c>
      <c r="K439" s="101">
        <v>4.0428833333333332</v>
      </c>
      <c r="L439" s="101">
        <v>4.0428833333333332</v>
      </c>
      <c r="M439" s="101">
        <v>4.0428833333333332</v>
      </c>
      <c r="N439" s="101">
        <v>4.0428833333333332</v>
      </c>
      <c r="O439" s="101">
        <v>4.0428833333333332</v>
      </c>
      <c r="P439" s="101">
        <v>4.0428833333333332</v>
      </c>
      <c r="Q439" s="101">
        <v>4.0428833333333332</v>
      </c>
      <c r="R439" s="101">
        <v>48.514600000000009</v>
      </c>
    </row>
    <row r="440" spans="2:18">
      <c r="C440" s="52" t="s">
        <v>385</v>
      </c>
      <c r="D440" s="52"/>
      <c r="E440" s="52"/>
      <c r="F440" s="102">
        <v>4.0428833333333332</v>
      </c>
      <c r="G440" s="102">
        <v>4.0428833333333332</v>
      </c>
      <c r="H440" s="102">
        <v>4.0428833333333332</v>
      </c>
      <c r="I440" s="102">
        <v>4.0428833333333332</v>
      </c>
      <c r="J440" s="102">
        <v>4.0428833333333332</v>
      </c>
      <c r="K440" s="102">
        <v>4.0428833333333332</v>
      </c>
      <c r="L440" s="102">
        <v>4.0428833333333332</v>
      </c>
      <c r="M440" s="102">
        <v>4.0428833333333332</v>
      </c>
      <c r="N440" s="102">
        <v>4.0428833333333332</v>
      </c>
      <c r="O440" s="102">
        <v>4.0428833333333332</v>
      </c>
      <c r="P440" s="102">
        <v>4.0428833333333332</v>
      </c>
      <c r="Q440" s="102">
        <v>4.0428833333333332</v>
      </c>
      <c r="R440" s="102">
        <v>48.514600000000009</v>
      </c>
    </row>
    <row r="441" spans="2:18">
      <c r="C441" t="s">
        <v>125</v>
      </c>
      <c r="D441" t="s">
        <v>127</v>
      </c>
      <c r="E441" t="s">
        <v>52</v>
      </c>
      <c r="F441" s="101">
        <v>0.42666666666666675</v>
      </c>
      <c r="G441" s="101">
        <v>0.42666666666666675</v>
      </c>
      <c r="H441" s="101">
        <v>0.42666666666666675</v>
      </c>
      <c r="I441" s="101">
        <v>0.42666666666666675</v>
      </c>
      <c r="J441" s="101">
        <v>0.42666666666666675</v>
      </c>
      <c r="K441" s="101">
        <v>0.42666666666666675</v>
      </c>
      <c r="L441" s="101">
        <v>0.42666666666666675</v>
      </c>
      <c r="M441" s="101">
        <v>0.42666666666666675</v>
      </c>
      <c r="N441" s="101">
        <v>0.42666666666666675</v>
      </c>
      <c r="O441" s="101">
        <v>0.42666666666666675</v>
      </c>
      <c r="P441" s="101">
        <v>0.42666666666666675</v>
      </c>
      <c r="Q441" s="101">
        <v>0.42666666666666675</v>
      </c>
      <c r="R441" s="101">
        <v>5.120000000000001</v>
      </c>
    </row>
    <row r="442" spans="2:18">
      <c r="C442" s="52" t="s">
        <v>407</v>
      </c>
      <c r="D442" s="52"/>
      <c r="E442" s="52"/>
      <c r="F442" s="102">
        <v>0.42666666666666675</v>
      </c>
      <c r="G442" s="102">
        <v>0.42666666666666675</v>
      </c>
      <c r="H442" s="102">
        <v>0.42666666666666675</v>
      </c>
      <c r="I442" s="102">
        <v>0.42666666666666675</v>
      </c>
      <c r="J442" s="102">
        <v>0.42666666666666675</v>
      </c>
      <c r="K442" s="102">
        <v>0.42666666666666675</v>
      </c>
      <c r="L442" s="102">
        <v>0.42666666666666675</v>
      </c>
      <c r="M442" s="102">
        <v>0.42666666666666675</v>
      </c>
      <c r="N442" s="102">
        <v>0.42666666666666675</v>
      </c>
      <c r="O442" s="102">
        <v>0.42666666666666675</v>
      </c>
      <c r="P442" s="102">
        <v>0.42666666666666675</v>
      </c>
      <c r="Q442" s="102">
        <v>0.42666666666666675</v>
      </c>
      <c r="R442" s="102">
        <v>5.120000000000001</v>
      </c>
    </row>
    <row r="443" spans="2:18">
      <c r="B443" s="53" t="s">
        <v>409</v>
      </c>
      <c r="C443" s="53"/>
      <c r="D443" s="53"/>
      <c r="E443" s="53"/>
      <c r="F443" s="103">
        <v>11.009714430126021</v>
      </c>
      <c r="G443" s="103">
        <v>11.142263658078825</v>
      </c>
      <c r="H443" s="103">
        <v>11.141732311502686</v>
      </c>
      <c r="I443" s="103">
        <v>11.14148824730426</v>
      </c>
      <c r="J443" s="103">
        <v>11.141619171818324</v>
      </c>
      <c r="K443" s="103">
        <v>11.141794368186691</v>
      </c>
      <c r="L443" s="103">
        <v>11.141682467204365</v>
      </c>
      <c r="M443" s="103">
        <v>11.141570622742158</v>
      </c>
      <c r="N443" s="103">
        <v>11.141458834771527</v>
      </c>
      <c r="O443" s="103">
        <v>11.141347103263936</v>
      </c>
      <c r="P443" s="103">
        <v>11.141235428190864</v>
      </c>
      <c r="Q443" s="103">
        <v>11.141123809523808</v>
      </c>
      <c r="R443" s="103">
        <v>133.56703045271348</v>
      </c>
    </row>
    <row r="444" spans="2:18">
      <c r="B444" t="s">
        <v>132</v>
      </c>
      <c r="C444" t="s">
        <v>134</v>
      </c>
      <c r="D444" t="s">
        <v>135</v>
      </c>
      <c r="E444" t="s">
        <v>52</v>
      </c>
      <c r="F444" s="101">
        <v>0.46635292622674801</v>
      </c>
      <c r="G444" s="101">
        <v>0.46635292622674801</v>
      </c>
      <c r="H444" s="101">
        <v>0.46635292622674801</v>
      </c>
      <c r="I444" s="101">
        <v>0.46635292622674801</v>
      </c>
      <c r="J444" s="101">
        <v>0.46635292622674801</v>
      </c>
      <c r="K444" s="101">
        <v>0.46635292622674801</v>
      </c>
      <c r="L444" s="101">
        <v>0.46635292622674801</v>
      </c>
      <c r="M444" s="101">
        <v>0.46635292622674801</v>
      </c>
      <c r="N444" s="101">
        <v>0.46635292622674801</v>
      </c>
      <c r="O444" s="101">
        <v>0.46635292622674801</v>
      </c>
      <c r="P444" s="101">
        <v>0.46635292622674801</v>
      </c>
      <c r="Q444" s="101">
        <v>0.46635292622674801</v>
      </c>
      <c r="R444" s="101">
        <v>5.5962351147209768</v>
      </c>
    </row>
    <row r="445" spans="2:18">
      <c r="C445" s="52" t="s">
        <v>450</v>
      </c>
      <c r="D445" s="52"/>
      <c r="E445" s="52"/>
      <c r="F445" s="102">
        <v>0.46635292622674801</v>
      </c>
      <c r="G445" s="102">
        <v>0.46635292622674801</v>
      </c>
      <c r="H445" s="102">
        <v>0.46635292622674801</v>
      </c>
      <c r="I445" s="102">
        <v>0.46635292622674801</v>
      </c>
      <c r="J445" s="102">
        <v>0.46635292622674801</v>
      </c>
      <c r="K445" s="102">
        <v>0.46635292622674801</v>
      </c>
      <c r="L445" s="102">
        <v>0.46635292622674801</v>
      </c>
      <c r="M445" s="102">
        <v>0.46635292622674801</v>
      </c>
      <c r="N445" s="102">
        <v>0.46635292622674801</v>
      </c>
      <c r="O445" s="102">
        <v>0.46635292622674801</v>
      </c>
      <c r="P445" s="102">
        <v>0.46635292622674801</v>
      </c>
      <c r="Q445" s="102">
        <v>0.46635292622674801</v>
      </c>
      <c r="R445" s="102">
        <v>5.5962351147209768</v>
      </c>
    </row>
    <row r="446" spans="2:18">
      <c r="C446" t="s">
        <v>230</v>
      </c>
      <c r="D446" t="s">
        <v>231</v>
      </c>
      <c r="E446" t="s">
        <v>52</v>
      </c>
      <c r="F446" s="101">
        <v>0</v>
      </c>
      <c r="G446" s="101">
        <v>0</v>
      </c>
      <c r="H446" s="101">
        <v>0</v>
      </c>
      <c r="I446" s="101">
        <v>0</v>
      </c>
      <c r="J446" s="101">
        <v>0</v>
      </c>
      <c r="K446" s="101">
        <v>0</v>
      </c>
      <c r="L446" s="101">
        <v>0</v>
      </c>
      <c r="M446" s="101">
        <v>0</v>
      </c>
      <c r="N446" s="101">
        <v>0</v>
      </c>
      <c r="O446" s="101">
        <v>0</v>
      </c>
      <c r="P446" s="101">
        <v>0</v>
      </c>
      <c r="Q446" s="101">
        <v>0</v>
      </c>
      <c r="R446" s="101">
        <v>0</v>
      </c>
    </row>
    <row r="447" spans="2:18">
      <c r="C447" s="52" t="s">
        <v>483</v>
      </c>
      <c r="D447" s="52"/>
      <c r="E447" s="52"/>
      <c r="F447" s="102">
        <v>0</v>
      </c>
      <c r="G447" s="102">
        <v>0</v>
      </c>
      <c r="H447" s="102">
        <v>0</v>
      </c>
      <c r="I447" s="102">
        <v>0</v>
      </c>
      <c r="J447" s="102">
        <v>0</v>
      </c>
      <c r="K447" s="102">
        <v>0</v>
      </c>
      <c r="L447" s="102">
        <v>0</v>
      </c>
      <c r="M447" s="102">
        <v>0</v>
      </c>
      <c r="N447" s="102">
        <v>0</v>
      </c>
      <c r="O447" s="102">
        <v>0</v>
      </c>
      <c r="P447" s="102">
        <v>0</v>
      </c>
      <c r="Q447" s="102">
        <v>0</v>
      </c>
      <c r="R447" s="102">
        <v>0</v>
      </c>
    </row>
    <row r="448" spans="2:18">
      <c r="B448" s="53" t="s">
        <v>414</v>
      </c>
      <c r="C448" s="53"/>
      <c r="D448" s="53"/>
      <c r="E448" s="53"/>
      <c r="F448" s="103">
        <v>0.46635292622674801</v>
      </c>
      <c r="G448" s="103">
        <v>0.46635292622674801</v>
      </c>
      <c r="H448" s="103">
        <v>0.46635292622674801</v>
      </c>
      <c r="I448" s="103">
        <v>0.46635292622674801</v>
      </c>
      <c r="J448" s="103">
        <v>0.46635292622674801</v>
      </c>
      <c r="K448" s="103">
        <v>0.46635292622674801</v>
      </c>
      <c r="L448" s="103">
        <v>0.46635292622674801</v>
      </c>
      <c r="M448" s="103">
        <v>0.46635292622674801</v>
      </c>
      <c r="N448" s="103">
        <v>0.46635292622674801</v>
      </c>
      <c r="O448" s="103">
        <v>0.46635292622674801</v>
      </c>
      <c r="P448" s="103">
        <v>0.46635292622674801</v>
      </c>
      <c r="Q448" s="103">
        <v>0.46635292622674801</v>
      </c>
      <c r="R448" s="103">
        <v>5.5962351147209768</v>
      </c>
    </row>
    <row r="449" spans="1:18">
      <c r="A449" t="s">
        <v>502</v>
      </c>
      <c r="F449" s="101">
        <v>29.673260276391574</v>
      </c>
      <c r="G449" s="101">
        <v>29.578598619990636</v>
      </c>
      <c r="H449" s="101">
        <v>31.165822375455317</v>
      </c>
      <c r="I449" s="101">
        <v>28.087347018739877</v>
      </c>
      <c r="J449" s="101">
        <v>31.295641208560067</v>
      </c>
      <c r="K449" s="101">
        <v>29.558314733179294</v>
      </c>
      <c r="L449" s="101">
        <v>29.91534568933983</v>
      </c>
      <c r="M449" s="101">
        <v>29.688022960523881</v>
      </c>
      <c r="N449" s="101">
        <v>31.275666274594066</v>
      </c>
      <c r="O449" s="101">
        <v>28.197323250569465</v>
      </c>
      <c r="P449" s="101">
        <v>31.405374840802519</v>
      </c>
      <c r="Q449" s="101">
        <v>29.557644174516412</v>
      </c>
      <c r="R449" s="101">
        <v>359.39836142266302</v>
      </c>
    </row>
    <row r="450" spans="1:18">
      <c r="A450" t="s">
        <v>503</v>
      </c>
      <c r="B450" t="s">
        <v>106</v>
      </c>
      <c r="C450" t="s">
        <v>128</v>
      </c>
      <c r="D450" t="s">
        <v>129</v>
      </c>
      <c r="E450" t="s">
        <v>504</v>
      </c>
      <c r="F450" s="101">
        <v>0.32312925170068024</v>
      </c>
      <c r="G450" s="101">
        <v>0.32312925170068024</v>
      </c>
      <c r="H450" s="101">
        <v>0.32312925170068024</v>
      </c>
      <c r="I450" s="101">
        <v>0.32312925170068024</v>
      </c>
      <c r="J450" s="101">
        <v>0.32312925170068024</v>
      </c>
      <c r="K450" s="101">
        <v>0.32312925170068024</v>
      </c>
      <c r="L450" s="101">
        <v>0.32312925170068024</v>
      </c>
      <c r="M450" s="101">
        <v>0.32312925170068024</v>
      </c>
      <c r="N450" s="101">
        <v>0.32312925170068024</v>
      </c>
      <c r="O450" s="101">
        <v>0.32312925170068024</v>
      </c>
      <c r="P450" s="101">
        <v>0.32312925170068024</v>
      </c>
      <c r="Q450" s="101">
        <v>0.32312925170068024</v>
      </c>
      <c r="R450" s="101">
        <v>3.8775510204081622</v>
      </c>
    </row>
    <row r="451" spans="1:18">
      <c r="C451" s="52" t="s">
        <v>465</v>
      </c>
      <c r="D451" s="52"/>
      <c r="E451" s="52"/>
      <c r="F451" s="102">
        <v>0.32312925170068024</v>
      </c>
      <c r="G451" s="102">
        <v>0.32312925170068024</v>
      </c>
      <c r="H451" s="102">
        <v>0.32312925170068024</v>
      </c>
      <c r="I451" s="102">
        <v>0.32312925170068024</v>
      </c>
      <c r="J451" s="102">
        <v>0.32312925170068024</v>
      </c>
      <c r="K451" s="102">
        <v>0.32312925170068024</v>
      </c>
      <c r="L451" s="102">
        <v>0.32312925170068024</v>
      </c>
      <c r="M451" s="102">
        <v>0.32312925170068024</v>
      </c>
      <c r="N451" s="102">
        <v>0.32312925170068024</v>
      </c>
      <c r="O451" s="102">
        <v>0.32312925170068024</v>
      </c>
      <c r="P451" s="102">
        <v>0.32312925170068024</v>
      </c>
      <c r="Q451" s="102">
        <v>0.32312925170068024</v>
      </c>
      <c r="R451" s="102">
        <v>3.8775510204081622</v>
      </c>
    </row>
    <row r="452" spans="1:18">
      <c r="B452" s="53" t="s">
        <v>388</v>
      </c>
      <c r="C452" s="53"/>
      <c r="D452" s="53"/>
      <c r="E452" s="53"/>
      <c r="F452" s="103">
        <v>0.32312925170068024</v>
      </c>
      <c r="G452" s="103">
        <v>0.32312925170068024</v>
      </c>
      <c r="H452" s="103">
        <v>0.32312925170068024</v>
      </c>
      <c r="I452" s="103">
        <v>0.32312925170068024</v>
      </c>
      <c r="J452" s="103">
        <v>0.32312925170068024</v>
      </c>
      <c r="K452" s="103">
        <v>0.32312925170068024</v>
      </c>
      <c r="L452" s="103">
        <v>0.32312925170068024</v>
      </c>
      <c r="M452" s="103">
        <v>0.32312925170068024</v>
      </c>
      <c r="N452" s="103">
        <v>0.32312925170068024</v>
      </c>
      <c r="O452" s="103">
        <v>0.32312925170068024</v>
      </c>
      <c r="P452" s="103">
        <v>0.32312925170068024</v>
      </c>
      <c r="Q452" s="103">
        <v>0.32312925170068024</v>
      </c>
      <c r="R452" s="103">
        <v>3.8775510204081622</v>
      </c>
    </row>
    <row r="453" spans="1:18">
      <c r="B453" t="s">
        <v>158</v>
      </c>
      <c r="C453" t="s">
        <v>156</v>
      </c>
      <c r="D453" t="s">
        <v>157</v>
      </c>
      <c r="E453" t="s">
        <v>504</v>
      </c>
      <c r="F453" s="101">
        <v>4.4841627521802693E-2</v>
      </c>
      <c r="G453" s="101">
        <v>4.4841627521802693E-2</v>
      </c>
      <c r="H453" s="101">
        <v>4.4841627521802693E-2</v>
      </c>
      <c r="I453" s="101">
        <v>4.4841627521802693E-2</v>
      </c>
      <c r="J453" s="101">
        <v>4.4841627521802693E-2</v>
      </c>
      <c r="K453" s="101">
        <v>4.4841627521802693E-2</v>
      </c>
      <c r="L453" s="101">
        <v>4.4841627521802693E-2</v>
      </c>
      <c r="M453" s="101">
        <v>4.4841627521802693E-2</v>
      </c>
      <c r="N453" s="101">
        <v>4.4841627521802693E-2</v>
      </c>
      <c r="O453" s="101">
        <v>4.4841627521802693E-2</v>
      </c>
      <c r="P453" s="101">
        <v>4.4841627521802693E-2</v>
      </c>
      <c r="Q453" s="101">
        <v>4.4841627521802693E-2</v>
      </c>
      <c r="R453" s="101">
        <v>0.53809953026163237</v>
      </c>
    </row>
    <row r="454" spans="1:18">
      <c r="C454" s="52" t="s">
        <v>425</v>
      </c>
      <c r="D454" s="52"/>
      <c r="E454" s="52"/>
      <c r="F454" s="102">
        <v>4.4841627521802693E-2</v>
      </c>
      <c r="G454" s="102">
        <v>4.4841627521802693E-2</v>
      </c>
      <c r="H454" s="102">
        <v>4.4841627521802693E-2</v>
      </c>
      <c r="I454" s="102">
        <v>4.4841627521802693E-2</v>
      </c>
      <c r="J454" s="102">
        <v>4.4841627521802693E-2</v>
      </c>
      <c r="K454" s="102">
        <v>4.4841627521802693E-2</v>
      </c>
      <c r="L454" s="102">
        <v>4.4841627521802693E-2</v>
      </c>
      <c r="M454" s="102">
        <v>4.4841627521802693E-2</v>
      </c>
      <c r="N454" s="102">
        <v>4.4841627521802693E-2</v>
      </c>
      <c r="O454" s="102">
        <v>4.4841627521802693E-2</v>
      </c>
      <c r="P454" s="102">
        <v>4.4841627521802693E-2</v>
      </c>
      <c r="Q454" s="102">
        <v>4.4841627521802693E-2</v>
      </c>
      <c r="R454" s="102">
        <v>0.53809953026163237</v>
      </c>
    </row>
    <row r="455" spans="1:18">
      <c r="B455" s="53" t="s">
        <v>390</v>
      </c>
      <c r="C455" s="53"/>
      <c r="D455" s="53"/>
      <c r="E455" s="53"/>
      <c r="F455" s="103">
        <v>4.4841627521802693E-2</v>
      </c>
      <c r="G455" s="103">
        <v>4.4841627521802693E-2</v>
      </c>
      <c r="H455" s="103">
        <v>4.4841627521802693E-2</v>
      </c>
      <c r="I455" s="103">
        <v>4.4841627521802693E-2</v>
      </c>
      <c r="J455" s="103">
        <v>4.4841627521802693E-2</v>
      </c>
      <c r="K455" s="103">
        <v>4.4841627521802693E-2</v>
      </c>
      <c r="L455" s="103">
        <v>4.4841627521802693E-2</v>
      </c>
      <c r="M455" s="103">
        <v>4.4841627521802693E-2</v>
      </c>
      <c r="N455" s="103">
        <v>4.4841627521802693E-2</v>
      </c>
      <c r="O455" s="103">
        <v>4.4841627521802693E-2</v>
      </c>
      <c r="P455" s="103">
        <v>4.4841627521802693E-2</v>
      </c>
      <c r="Q455" s="103">
        <v>4.4841627521802693E-2</v>
      </c>
      <c r="R455" s="103">
        <v>0.53809953026163237</v>
      </c>
    </row>
    <row r="456" spans="1:18">
      <c r="B456" t="s">
        <v>80</v>
      </c>
      <c r="C456" t="s">
        <v>92</v>
      </c>
      <c r="D456" t="s">
        <v>93</v>
      </c>
      <c r="E456" t="s">
        <v>504</v>
      </c>
      <c r="F456" s="101">
        <v>0.58448333333333335</v>
      </c>
      <c r="G456" s="101">
        <v>0.58448333333333335</v>
      </c>
      <c r="H456" s="101">
        <v>0.58448333333333335</v>
      </c>
      <c r="I456" s="101">
        <v>0.58448333333333335</v>
      </c>
      <c r="J456" s="101">
        <v>0.58448333333333335</v>
      </c>
      <c r="K456" s="101">
        <v>0.58448333333333335</v>
      </c>
      <c r="L456" s="101">
        <v>0.58448333333333335</v>
      </c>
      <c r="M456" s="101">
        <v>0.58448333333333335</v>
      </c>
      <c r="N456" s="101">
        <v>0.58448333333333335</v>
      </c>
      <c r="O456" s="101">
        <v>0.58448333333333335</v>
      </c>
      <c r="P456" s="101">
        <v>0.58448333333333335</v>
      </c>
      <c r="Q456" s="101">
        <v>0.58448333333333335</v>
      </c>
      <c r="R456" s="101">
        <v>7.0137999999999989</v>
      </c>
    </row>
    <row r="457" spans="1:18">
      <c r="C457" s="52" t="s">
        <v>458</v>
      </c>
      <c r="D457" s="52"/>
      <c r="E457" s="52"/>
      <c r="F457" s="102">
        <v>0.58448333333333335</v>
      </c>
      <c r="G457" s="102">
        <v>0.58448333333333335</v>
      </c>
      <c r="H457" s="102">
        <v>0.58448333333333335</v>
      </c>
      <c r="I457" s="102">
        <v>0.58448333333333335</v>
      </c>
      <c r="J457" s="102">
        <v>0.58448333333333335</v>
      </c>
      <c r="K457" s="102">
        <v>0.58448333333333335</v>
      </c>
      <c r="L457" s="102">
        <v>0.58448333333333335</v>
      </c>
      <c r="M457" s="102">
        <v>0.58448333333333335</v>
      </c>
      <c r="N457" s="102">
        <v>0.58448333333333335</v>
      </c>
      <c r="O457" s="102">
        <v>0.58448333333333335</v>
      </c>
      <c r="P457" s="102">
        <v>0.58448333333333335</v>
      </c>
      <c r="Q457" s="102">
        <v>0.58448333333333335</v>
      </c>
      <c r="R457" s="102">
        <v>7.0137999999999989</v>
      </c>
    </row>
    <row r="458" spans="1:18">
      <c r="B458" s="53" t="s">
        <v>393</v>
      </c>
      <c r="C458" s="53"/>
      <c r="D458" s="53"/>
      <c r="E458" s="53"/>
      <c r="F458" s="103">
        <v>0.58448333333333335</v>
      </c>
      <c r="G458" s="103">
        <v>0.58448333333333335</v>
      </c>
      <c r="H458" s="103">
        <v>0.58448333333333335</v>
      </c>
      <c r="I458" s="103">
        <v>0.58448333333333335</v>
      </c>
      <c r="J458" s="103">
        <v>0.58448333333333335</v>
      </c>
      <c r="K458" s="103">
        <v>0.58448333333333335</v>
      </c>
      <c r="L458" s="103">
        <v>0.58448333333333335</v>
      </c>
      <c r="M458" s="103">
        <v>0.58448333333333335</v>
      </c>
      <c r="N458" s="103">
        <v>0.58448333333333335</v>
      </c>
      <c r="O458" s="103">
        <v>0.58448333333333335</v>
      </c>
      <c r="P458" s="103">
        <v>0.58448333333333335</v>
      </c>
      <c r="Q458" s="103">
        <v>0.58448333333333335</v>
      </c>
      <c r="R458" s="103">
        <v>7.0137999999999989</v>
      </c>
    </row>
    <row r="459" spans="1:18">
      <c r="B459" t="s">
        <v>91</v>
      </c>
      <c r="C459" t="s">
        <v>92</v>
      </c>
      <c r="D459" t="s">
        <v>97</v>
      </c>
      <c r="E459" t="s">
        <v>504</v>
      </c>
      <c r="F459" s="101">
        <v>0.77982499999999988</v>
      </c>
      <c r="G459" s="101">
        <v>0.77982499999999988</v>
      </c>
      <c r="H459" s="101">
        <v>0.77982499999999988</v>
      </c>
      <c r="I459" s="101">
        <v>0.77982499999999988</v>
      </c>
      <c r="J459" s="101">
        <v>0.77982499999999988</v>
      </c>
      <c r="K459" s="101">
        <v>0.77982499999999988</v>
      </c>
      <c r="L459" s="101">
        <v>0.77982499999999988</v>
      </c>
      <c r="M459" s="101">
        <v>0.77982499999999988</v>
      </c>
      <c r="N459" s="101">
        <v>0.77982499999999988</v>
      </c>
      <c r="O459" s="101">
        <v>0.77982499999999988</v>
      </c>
      <c r="P459" s="101">
        <v>0.77982499999999988</v>
      </c>
      <c r="Q459" s="101">
        <v>0.77982499999999988</v>
      </c>
      <c r="R459" s="101">
        <v>9.357899999999999</v>
      </c>
    </row>
    <row r="460" spans="1:18">
      <c r="C460" s="52" t="s">
        <v>458</v>
      </c>
      <c r="D460" s="52"/>
      <c r="E460" s="52"/>
      <c r="F460" s="102">
        <v>0.77982499999999988</v>
      </c>
      <c r="G460" s="102">
        <v>0.77982499999999988</v>
      </c>
      <c r="H460" s="102">
        <v>0.77982499999999988</v>
      </c>
      <c r="I460" s="102">
        <v>0.77982499999999988</v>
      </c>
      <c r="J460" s="102">
        <v>0.77982499999999988</v>
      </c>
      <c r="K460" s="102">
        <v>0.77982499999999988</v>
      </c>
      <c r="L460" s="102">
        <v>0.77982499999999988</v>
      </c>
      <c r="M460" s="102">
        <v>0.77982499999999988</v>
      </c>
      <c r="N460" s="102">
        <v>0.77982499999999988</v>
      </c>
      <c r="O460" s="102">
        <v>0.77982499999999988</v>
      </c>
      <c r="P460" s="102">
        <v>0.77982499999999988</v>
      </c>
      <c r="Q460" s="102">
        <v>0.77982499999999988</v>
      </c>
      <c r="R460" s="102">
        <v>9.357899999999999</v>
      </c>
    </row>
    <row r="461" spans="1:18">
      <c r="C461" t="s">
        <v>165</v>
      </c>
      <c r="D461" t="s">
        <v>166</v>
      </c>
      <c r="E461" t="s">
        <v>504</v>
      </c>
      <c r="F461" s="101">
        <v>0.81632653061224492</v>
      </c>
      <c r="G461" s="101">
        <v>0.81632653061224492</v>
      </c>
      <c r="H461" s="101">
        <v>0.81632653061224492</v>
      </c>
      <c r="I461" s="101">
        <v>0.81632653061224492</v>
      </c>
      <c r="J461" s="101">
        <v>0.81632653061224492</v>
      </c>
      <c r="K461" s="101">
        <v>0.85073821057159205</v>
      </c>
      <c r="L461" s="101">
        <v>0.85073821057159205</v>
      </c>
      <c r="M461" s="101">
        <v>0.85073821057159205</v>
      </c>
      <c r="N461" s="101">
        <v>0.85073821057159205</v>
      </c>
      <c r="O461" s="101">
        <v>0.85073821057159205</v>
      </c>
      <c r="P461" s="101">
        <v>0.85073821057159205</v>
      </c>
      <c r="Q461" s="101">
        <v>0.85073821057159205</v>
      </c>
      <c r="R461" s="101">
        <v>10.036800127062369</v>
      </c>
    </row>
    <row r="462" spans="1:18">
      <c r="C462" s="52" t="s">
        <v>460</v>
      </c>
      <c r="D462" s="52"/>
      <c r="E462" s="52"/>
      <c r="F462" s="102">
        <v>0.81632653061224492</v>
      </c>
      <c r="G462" s="102">
        <v>0.81632653061224492</v>
      </c>
      <c r="H462" s="102">
        <v>0.81632653061224492</v>
      </c>
      <c r="I462" s="102">
        <v>0.81632653061224492</v>
      </c>
      <c r="J462" s="102">
        <v>0.81632653061224492</v>
      </c>
      <c r="K462" s="102">
        <v>0.85073821057159205</v>
      </c>
      <c r="L462" s="102">
        <v>0.85073821057159205</v>
      </c>
      <c r="M462" s="102">
        <v>0.85073821057159205</v>
      </c>
      <c r="N462" s="102">
        <v>0.85073821057159205</v>
      </c>
      <c r="O462" s="102">
        <v>0.85073821057159205</v>
      </c>
      <c r="P462" s="102">
        <v>0.85073821057159205</v>
      </c>
      <c r="Q462" s="102">
        <v>0.85073821057159205</v>
      </c>
      <c r="R462" s="102">
        <v>10.036800127062369</v>
      </c>
    </row>
    <row r="463" spans="1:18">
      <c r="C463" t="s">
        <v>179</v>
      </c>
      <c r="D463" t="s">
        <v>180</v>
      </c>
      <c r="E463" t="s">
        <v>504</v>
      </c>
      <c r="F463" s="101">
        <v>0</v>
      </c>
      <c r="G463" s="101">
        <v>0</v>
      </c>
      <c r="H463" s="101">
        <v>0.3401360544217687</v>
      </c>
      <c r="I463" s="101">
        <v>0</v>
      </c>
      <c r="J463" s="101">
        <v>0</v>
      </c>
      <c r="K463" s="101">
        <v>0.3401360544217687</v>
      </c>
      <c r="L463" s="101">
        <v>0</v>
      </c>
      <c r="M463" s="101">
        <v>0</v>
      </c>
      <c r="N463" s="101">
        <v>0.3401360544217687</v>
      </c>
      <c r="O463" s="101">
        <v>0</v>
      </c>
      <c r="P463" s="101">
        <v>0</v>
      </c>
      <c r="Q463" s="101">
        <v>0.3401360544217687</v>
      </c>
      <c r="R463" s="101">
        <v>1.3605442176870748</v>
      </c>
    </row>
    <row r="464" spans="1:18">
      <c r="D464" t="s">
        <v>185</v>
      </c>
      <c r="E464" t="s">
        <v>504</v>
      </c>
      <c r="F464" s="101">
        <v>0.16156462585034012</v>
      </c>
      <c r="G464" s="101">
        <v>0.16156462585034012</v>
      </c>
      <c r="H464" s="101">
        <v>0.16156462585034012</v>
      </c>
      <c r="I464" s="101">
        <v>0.16156462585034012</v>
      </c>
      <c r="J464" s="101">
        <v>0.16156462585034012</v>
      </c>
      <c r="K464" s="101">
        <v>0.16156462585034012</v>
      </c>
      <c r="L464" s="101">
        <v>0.16156462585034012</v>
      </c>
      <c r="M464" s="101">
        <v>0.16156462585034012</v>
      </c>
      <c r="N464" s="101">
        <v>0.16156462585034012</v>
      </c>
      <c r="O464" s="101">
        <v>0.16156462585034012</v>
      </c>
      <c r="P464" s="101">
        <v>0.16156462585034012</v>
      </c>
      <c r="Q464" s="101">
        <v>0.16156462585034012</v>
      </c>
      <c r="R464" s="101">
        <v>1.9387755102040811</v>
      </c>
    </row>
    <row r="465" spans="2:18">
      <c r="C465" s="52" t="s">
        <v>439</v>
      </c>
      <c r="D465" s="52"/>
      <c r="E465" s="52"/>
      <c r="F465" s="102">
        <v>0.16156462585034012</v>
      </c>
      <c r="G465" s="102">
        <v>0.16156462585034012</v>
      </c>
      <c r="H465" s="102">
        <v>0.50170068027210879</v>
      </c>
      <c r="I465" s="102">
        <v>0.16156462585034012</v>
      </c>
      <c r="J465" s="102">
        <v>0.16156462585034012</v>
      </c>
      <c r="K465" s="102">
        <v>0.50170068027210879</v>
      </c>
      <c r="L465" s="102">
        <v>0.16156462585034012</v>
      </c>
      <c r="M465" s="102">
        <v>0.16156462585034012</v>
      </c>
      <c r="N465" s="102">
        <v>0.50170068027210879</v>
      </c>
      <c r="O465" s="102">
        <v>0.16156462585034012</v>
      </c>
      <c r="P465" s="102">
        <v>0.16156462585034012</v>
      </c>
      <c r="Q465" s="102">
        <v>0.50170068027210879</v>
      </c>
      <c r="R465" s="102">
        <v>3.2993197278911559</v>
      </c>
    </row>
    <row r="466" spans="2:18">
      <c r="B466" s="53" t="s">
        <v>402</v>
      </c>
      <c r="C466" s="53"/>
      <c r="D466" s="53"/>
      <c r="E466" s="53"/>
      <c r="F466" s="103">
        <v>1.7577161564625847</v>
      </c>
      <c r="G466" s="103">
        <v>1.7577161564625847</v>
      </c>
      <c r="H466" s="103">
        <v>2.0978522108843536</v>
      </c>
      <c r="I466" s="103">
        <v>1.7577161564625847</v>
      </c>
      <c r="J466" s="103">
        <v>1.7577161564625847</v>
      </c>
      <c r="K466" s="103">
        <v>2.1322638908437006</v>
      </c>
      <c r="L466" s="103">
        <v>1.792127836421932</v>
      </c>
      <c r="M466" s="103">
        <v>1.792127836421932</v>
      </c>
      <c r="N466" s="103">
        <v>2.1322638908437006</v>
      </c>
      <c r="O466" s="103">
        <v>1.792127836421932</v>
      </c>
      <c r="P466" s="103">
        <v>1.792127836421932</v>
      </c>
      <c r="Q466" s="103">
        <v>2.1322638908437006</v>
      </c>
      <c r="R466" s="103">
        <v>22.694019854953524</v>
      </c>
    </row>
    <row r="467" spans="2:18">
      <c r="B467" t="s">
        <v>87</v>
      </c>
      <c r="C467" t="s">
        <v>159</v>
      </c>
      <c r="D467" t="s">
        <v>160</v>
      </c>
      <c r="E467" t="s">
        <v>504</v>
      </c>
      <c r="F467" s="101">
        <v>0.57499999999999996</v>
      </c>
      <c r="G467" s="101">
        <v>0.57499999999999996</v>
      </c>
      <c r="H467" s="101">
        <v>0.57499999999999996</v>
      </c>
      <c r="I467" s="101">
        <v>0.57499999999999996</v>
      </c>
      <c r="J467" s="101">
        <v>0.57499999999999996</v>
      </c>
      <c r="K467" s="101">
        <v>0.57499999999999996</v>
      </c>
      <c r="L467" s="101">
        <v>0.57499999999999996</v>
      </c>
      <c r="M467" s="101">
        <v>0.57499999999999996</v>
      </c>
      <c r="N467" s="101">
        <v>0.57499999999999996</v>
      </c>
      <c r="O467" s="101">
        <v>0.57499999999999996</v>
      </c>
      <c r="P467" s="101">
        <v>0.57499999999999996</v>
      </c>
      <c r="Q467" s="101">
        <v>0.57499999999999996</v>
      </c>
      <c r="R467" s="101">
        <v>6.9000000000000012</v>
      </c>
    </row>
    <row r="468" spans="2:18">
      <c r="C468" s="52" t="s">
        <v>463</v>
      </c>
      <c r="D468" s="52"/>
      <c r="E468" s="52"/>
      <c r="F468" s="102">
        <v>0.57499999999999996</v>
      </c>
      <c r="G468" s="102">
        <v>0.57499999999999996</v>
      </c>
      <c r="H468" s="102">
        <v>0.57499999999999996</v>
      </c>
      <c r="I468" s="102">
        <v>0.57499999999999996</v>
      </c>
      <c r="J468" s="102">
        <v>0.57499999999999996</v>
      </c>
      <c r="K468" s="102">
        <v>0.57499999999999996</v>
      </c>
      <c r="L468" s="102">
        <v>0.57499999999999996</v>
      </c>
      <c r="M468" s="102">
        <v>0.57499999999999996</v>
      </c>
      <c r="N468" s="102">
        <v>0.57499999999999996</v>
      </c>
      <c r="O468" s="102">
        <v>0.57499999999999996</v>
      </c>
      <c r="P468" s="102">
        <v>0.57499999999999996</v>
      </c>
      <c r="Q468" s="102">
        <v>0.57499999999999996</v>
      </c>
      <c r="R468" s="102">
        <v>6.9000000000000012</v>
      </c>
    </row>
    <row r="469" spans="2:18">
      <c r="C469" t="s">
        <v>167</v>
      </c>
      <c r="D469" t="s">
        <v>168</v>
      </c>
      <c r="E469" t="s">
        <v>504</v>
      </c>
      <c r="F469" s="101">
        <v>0.29761904761904762</v>
      </c>
      <c r="G469" s="101">
        <v>0.29761904761904762</v>
      </c>
      <c r="H469" s="101">
        <v>0.29761904761904762</v>
      </c>
      <c r="I469" s="101">
        <v>0.29761904761904762</v>
      </c>
      <c r="J469" s="101">
        <v>0.29761904761904762</v>
      </c>
      <c r="K469" s="101">
        <v>0.29761904761904762</v>
      </c>
      <c r="L469" s="101">
        <v>0.29761904761904762</v>
      </c>
      <c r="M469" s="101">
        <v>0.29761904761904762</v>
      </c>
      <c r="N469" s="101">
        <v>0.29761904761904762</v>
      </c>
      <c r="O469" s="101">
        <v>0.29761904761904762</v>
      </c>
      <c r="P469" s="101">
        <v>0.29761904761904762</v>
      </c>
      <c r="Q469" s="101">
        <v>0.29761904761904762</v>
      </c>
      <c r="R469" s="101">
        <v>3.5714285714285707</v>
      </c>
    </row>
    <row r="470" spans="2:18">
      <c r="C470" s="52" t="s">
        <v>501</v>
      </c>
      <c r="D470" s="52"/>
      <c r="E470" s="52"/>
      <c r="F470" s="102">
        <v>0.29761904761904762</v>
      </c>
      <c r="G470" s="102">
        <v>0.29761904761904762</v>
      </c>
      <c r="H470" s="102">
        <v>0.29761904761904762</v>
      </c>
      <c r="I470" s="102">
        <v>0.29761904761904762</v>
      </c>
      <c r="J470" s="102">
        <v>0.29761904761904762</v>
      </c>
      <c r="K470" s="102">
        <v>0.29761904761904762</v>
      </c>
      <c r="L470" s="102">
        <v>0.29761904761904762</v>
      </c>
      <c r="M470" s="102">
        <v>0.29761904761904762</v>
      </c>
      <c r="N470" s="102">
        <v>0.29761904761904762</v>
      </c>
      <c r="O470" s="102">
        <v>0.29761904761904762</v>
      </c>
      <c r="P470" s="102">
        <v>0.29761904761904762</v>
      </c>
      <c r="Q470" s="102">
        <v>0.29761904761904762</v>
      </c>
      <c r="R470" s="102">
        <v>3.5714285714285707</v>
      </c>
    </row>
    <row r="471" spans="2:18">
      <c r="C471" t="s">
        <v>163</v>
      </c>
      <c r="D471" t="s">
        <v>164</v>
      </c>
      <c r="E471" t="s">
        <v>504</v>
      </c>
      <c r="F471" s="101">
        <v>0.17444166666666666</v>
      </c>
      <c r="G471" s="101">
        <v>0.18153333333333332</v>
      </c>
      <c r="H471" s="101">
        <v>0.18153333333333332</v>
      </c>
      <c r="I471" s="101">
        <v>0.18153333333333332</v>
      </c>
      <c r="J471" s="101">
        <v>0.18153333333333332</v>
      </c>
      <c r="K471" s="101">
        <v>0.18153333333333332</v>
      </c>
      <c r="L471" s="101">
        <v>0.18153333333333332</v>
      </c>
      <c r="M471" s="101">
        <v>0.18153333333333332</v>
      </c>
      <c r="N471" s="101">
        <v>0.18153333333333332</v>
      </c>
      <c r="O471" s="101">
        <v>0.18153333333333332</v>
      </c>
      <c r="P471" s="101">
        <v>0.18153333333333332</v>
      </c>
      <c r="Q471" s="101">
        <v>0.18153333333333332</v>
      </c>
      <c r="R471" s="101">
        <v>2.1713083333333332</v>
      </c>
    </row>
    <row r="472" spans="2:18">
      <c r="C472" s="52" t="s">
        <v>394</v>
      </c>
      <c r="D472" s="52"/>
      <c r="E472" s="52"/>
      <c r="F472" s="102">
        <v>0.17444166666666666</v>
      </c>
      <c r="G472" s="102">
        <v>0.18153333333333332</v>
      </c>
      <c r="H472" s="102">
        <v>0.18153333333333332</v>
      </c>
      <c r="I472" s="102">
        <v>0.18153333333333332</v>
      </c>
      <c r="J472" s="102">
        <v>0.18153333333333332</v>
      </c>
      <c r="K472" s="102">
        <v>0.18153333333333332</v>
      </c>
      <c r="L472" s="102">
        <v>0.18153333333333332</v>
      </c>
      <c r="M472" s="102">
        <v>0.18153333333333332</v>
      </c>
      <c r="N472" s="102">
        <v>0.18153333333333332</v>
      </c>
      <c r="O472" s="102">
        <v>0.18153333333333332</v>
      </c>
      <c r="P472" s="102">
        <v>0.18153333333333332</v>
      </c>
      <c r="Q472" s="102">
        <v>0.18153333333333332</v>
      </c>
      <c r="R472" s="102">
        <v>2.1713083333333332</v>
      </c>
    </row>
    <row r="473" spans="2:18">
      <c r="C473" t="s">
        <v>161</v>
      </c>
      <c r="D473" t="s">
        <v>162</v>
      </c>
      <c r="E473" t="s">
        <v>504</v>
      </c>
      <c r="F473" s="101">
        <v>0.21278333333333332</v>
      </c>
      <c r="G473" s="101">
        <v>0.21278333333333332</v>
      </c>
      <c r="H473" s="101">
        <v>0.21278333333333332</v>
      </c>
      <c r="I473" s="101">
        <v>0.21278333333333332</v>
      </c>
      <c r="J473" s="101">
        <v>0.21278333333333332</v>
      </c>
      <c r="K473" s="101">
        <v>0.21278333333333332</v>
      </c>
      <c r="L473" s="101">
        <v>0.21278333333333332</v>
      </c>
      <c r="M473" s="101">
        <v>0.21278333333333332</v>
      </c>
      <c r="N473" s="101">
        <v>0.21278333333333332</v>
      </c>
      <c r="O473" s="101">
        <v>0.21278333333333332</v>
      </c>
      <c r="P473" s="101">
        <v>0.21278333333333332</v>
      </c>
      <c r="Q473" s="101">
        <v>0.21278333333333332</v>
      </c>
      <c r="R473" s="101">
        <v>2.5533999999999999</v>
      </c>
    </row>
    <row r="474" spans="2:18">
      <c r="C474" s="52" t="s">
        <v>385</v>
      </c>
      <c r="D474" s="52"/>
      <c r="E474" s="52"/>
      <c r="F474" s="102">
        <v>0.21278333333333332</v>
      </c>
      <c r="G474" s="102">
        <v>0.21278333333333332</v>
      </c>
      <c r="H474" s="102">
        <v>0.21278333333333332</v>
      </c>
      <c r="I474" s="102">
        <v>0.21278333333333332</v>
      </c>
      <c r="J474" s="102">
        <v>0.21278333333333332</v>
      </c>
      <c r="K474" s="102">
        <v>0.21278333333333332</v>
      </c>
      <c r="L474" s="102">
        <v>0.21278333333333332</v>
      </c>
      <c r="M474" s="102">
        <v>0.21278333333333332</v>
      </c>
      <c r="N474" s="102">
        <v>0.21278333333333332</v>
      </c>
      <c r="O474" s="102">
        <v>0.21278333333333332</v>
      </c>
      <c r="P474" s="102">
        <v>0.21278333333333332</v>
      </c>
      <c r="Q474" s="102">
        <v>0.21278333333333332</v>
      </c>
      <c r="R474" s="102">
        <v>2.5533999999999999</v>
      </c>
    </row>
    <row r="475" spans="2:18">
      <c r="C475" t="s">
        <v>125</v>
      </c>
      <c r="D475" t="s">
        <v>127</v>
      </c>
      <c r="E475" t="s">
        <v>504</v>
      </c>
      <c r="F475" s="101">
        <v>0.13333333333333333</v>
      </c>
      <c r="G475" s="101">
        <v>0.13333333333333333</v>
      </c>
      <c r="H475" s="101">
        <v>0.13333333333333333</v>
      </c>
      <c r="I475" s="101">
        <v>0.13333333333333333</v>
      </c>
      <c r="J475" s="101">
        <v>0.13333333333333333</v>
      </c>
      <c r="K475" s="101">
        <v>0.13333333333333333</v>
      </c>
      <c r="L475" s="101">
        <v>0.13333333333333333</v>
      </c>
      <c r="M475" s="101">
        <v>0.13333333333333333</v>
      </c>
      <c r="N475" s="101">
        <v>0.13333333333333333</v>
      </c>
      <c r="O475" s="101">
        <v>0.13333333333333333</v>
      </c>
      <c r="P475" s="101">
        <v>0.13333333333333333</v>
      </c>
      <c r="Q475" s="101">
        <v>0.13333333333333333</v>
      </c>
      <c r="R475" s="101">
        <v>1.5999999999999999</v>
      </c>
    </row>
    <row r="476" spans="2:18">
      <c r="C476" s="52" t="s">
        <v>407</v>
      </c>
      <c r="D476" s="52"/>
      <c r="E476" s="52"/>
      <c r="F476" s="102">
        <v>0.13333333333333333</v>
      </c>
      <c r="G476" s="102">
        <v>0.13333333333333333</v>
      </c>
      <c r="H476" s="102">
        <v>0.13333333333333333</v>
      </c>
      <c r="I476" s="102">
        <v>0.13333333333333333</v>
      </c>
      <c r="J476" s="102">
        <v>0.13333333333333333</v>
      </c>
      <c r="K476" s="102">
        <v>0.13333333333333333</v>
      </c>
      <c r="L476" s="102">
        <v>0.13333333333333333</v>
      </c>
      <c r="M476" s="102">
        <v>0.13333333333333333</v>
      </c>
      <c r="N476" s="102">
        <v>0.13333333333333333</v>
      </c>
      <c r="O476" s="102">
        <v>0.13333333333333333</v>
      </c>
      <c r="P476" s="102">
        <v>0.13333333333333333</v>
      </c>
      <c r="Q476" s="102">
        <v>0.13333333333333333</v>
      </c>
      <c r="R476" s="102">
        <v>1.5999999999999999</v>
      </c>
    </row>
    <row r="477" spans="2:18">
      <c r="B477" s="53" t="s">
        <v>409</v>
      </c>
      <c r="C477" s="53"/>
      <c r="D477" s="53"/>
      <c r="E477" s="53"/>
      <c r="F477" s="103">
        <v>1.3931773809523809</v>
      </c>
      <c r="G477" s="103">
        <v>1.4002690476190476</v>
      </c>
      <c r="H477" s="103">
        <v>1.4002690476190476</v>
      </c>
      <c r="I477" s="103">
        <v>1.4002690476190476</v>
      </c>
      <c r="J477" s="103">
        <v>1.4002690476190476</v>
      </c>
      <c r="K477" s="103">
        <v>1.4002690476190476</v>
      </c>
      <c r="L477" s="103">
        <v>1.4002690476190476</v>
      </c>
      <c r="M477" s="103">
        <v>1.4002690476190476</v>
      </c>
      <c r="N477" s="103">
        <v>1.4002690476190476</v>
      </c>
      <c r="O477" s="103">
        <v>1.4002690476190476</v>
      </c>
      <c r="P477" s="103">
        <v>1.4002690476190476</v>
      </c>
      <c r="Q477" s="103">
        <v>1.4002690476190476</v>
      </c>
      <c r="R477" s="103">
        <v>16.796136904761905</v>
      </c>
    </row>
    <row r="478" spans="2:18">
      <c r="B478" t="s">
        <v>132</v>
      </c>
      <c r="C478" t="s">
        <v>134</v>
      </c>
      <c r="D478" t="s">
        <v>135</v>
      </c>
      <c r="E478" t="s">
        <v>504</v>
      </c>
      <c r="F478" s="101">
        <v>0.46635292622674801</v>
      </c>
      <c r="G478" s="101">
        <v>0.46635292622674801</v>
      </c>
      <c r="H478" s="101">
        <v>0.46635292622674801</v>
      </c>
      <c r="I478" s="101">
        <v>0.46635292622674801</v>
      </c>
      <c r="J478" s="101">
        <v>0.46635292622674801</v>
      </c>
      <c r="K478" s="101">
        <v>0.46635292622674801</v>
      </c>
      <c r="L478" s="101">
        <v>0.46635292622674801</v>
      </c>
      <c r="M478" s="101">
        <v>0.46635292622674801</v>
      </c>
      <c r="N478" s="101">
        <v>0.46635292622674801</v>
      </c>
      <c r="O478" s="101">
        <v>0.46635292622674801</v>
      </c>
      <c r="P478" s="101">
        <v>0.46635292622674801</v>
      </c>
      <c r="Q478" s="101">
        <v>0.46635292622674801</v>
      </c>
      <c r="R478" s="101">
        <v>5.5962351147209768</v>
      </c>
    </row>
    <row r="479" spans="2:18">
      <c r="C479" s="52" t="s">
        <v>450</v>
      </c>
      <c r="D479" s="52"/>
      <c r="E479" s="52"/>
      <c r="F479" s="102">
        <v>0.46635292622674801</v>
      </c>
      <c r="G479" s="102">
        <v>0.46635292622674801</v>
      </c>
      <c r="H479" s="102">
        <v>0.46635292622674801</v>
      </c>
      <c r="I479" s="102">
        <v>0.46635292622674801</v>
      </c>
      <c r="J479" s="102">
        <v>0.46635292622674801</v>
      </c>
      <c r="K479" s="102">
        <v>0.46635292622674801</v>
      </c>
      <c r="L479" s="102">
        <v>0.46635292622674801</v>
      </c>
      <c r="M479" s="102">
        <v>0.46635292622674801</v>
      </c>
      <c r="N479" s="102">
        <v>0.46635292622674801</v>
      </c>
      <c r="O479" s="102">
        <v>0.46635292622674801</v>
      </c>
      <c r="P479" s="102">
        <v>0.46635292622674801</v>
      </c>
      <c r="Q479" s="102">
        <v>0.46635292622674801</v>
      </c>
      <c r="R479" s="102">
        <v>5.5962351147209768</v>
      </c>
    </row>
    <row r="480" spans="2:18">
      <c r="C480" t="s">
        <v>230</v>
      </c>
      <c r="D480" t="s">
        <v>231</v>
      </c>
      <c r="E480" t="s">
        <v>504</v>
      </c>
      <c r="F480" s="101">
        <v>0</v>
      </c>
      <c r="G480" s="101">
        <v>0</v>
      </c>
      <c r="H480" s="101">
        <v>0</v>
      </c>
      <c r="I480" s="101">
        <v>0</v>
      </c>
      <c r="J480" s="101">
        <v>0</v>
      </c>
      <c r="K480" s="101">
        <v>0</v>
      </c>
      <c r="L480" s="101">
        <v>0</v>
      </c>
      <c r="M480" s="101">
        <v>0</v>
      </c>
      <c r="N480" s="101">
        <v>0</v>
      </c>
      <c r="O480" s="101">
        <v>0</v>
      </c>
      <c r="P480" s="101">
        <v>0</v>
      </c>
      <c r="Q480" s="101">
        <v>0</v>
      </c>
      <c r="R480" s="101">
        <v>0</v>
      </c>
    </row>
    <row r="481" spans="1:18">
      <c r="C481" s="52" t="s">
        <v>483</v>
      </c>
      <c r="D481" s="52"/>
      <c r="E481" s="52"/>
      <c r="F481" s="102">
        <v>0</v>
      </c>
      <c r="G481" s="102">
        <v>0</v>
      </c>
      <c r="H481" s="102">
        <v>0</v>
      </c>
      <c r="I481" s="102">
        <v>0</v>
      </c>
      <c r="J481" s="102">
        <v>0</v>
      </c>
      <c r="K481" s="102">
        <v>0</v>
      </c>
      <c r="L481" s="102">
        <v>0</v>
      </c>
      <c r="M481" s="102">
        <v>0</v>
      </c>
      <c r="N481" s="102">
        <v>0</v>
      </c>
      <c r="O481" s="102">
        <v>0</v>
      </c>
      <c r="P481" s="102">
        <v>0</v>
      </c>
      <c r="Q481" s="102">
        <v>0</v>
      </c>
      <c r="R481" s="102">
        <v>0</v>
      </c>
    </row>
    <row r="482" spans="1:18">
      <c r="B482" s="53" t="s">
        <v>414</v>
      </c>
      <c r="C482" s="53"/>
      <c r="D482" s="53"/>
      <c r="E482" s="53"/>
      <c r="F482" s="103">
        <v>0.46635292622674801</v>
      </c>
      <c r="G482" s="103">
        <v>0.46635292622674801</v>
      </c>
      <c r="H482" s="103">
        <v>0.46635292622674801</v>
      </c>
      <c r="I482" s="103">
        <v>0.46635292622674801</v>
      </c>
      <c r="J482" s="103">
        <v>0.46635292622674801</v>
      </c>
      <c r="K482" s="103">
        <v>0.46635292622674801</v>
      </c>
      <c r="L482" s="103">
        <v>0.46635292622674801</v>
      </c>
      <c r="M482" s="103">
        <v>0.46635292622674801</v>
      </c>
      <c r="N482" s="103">
        <v>0.46635292622674801</v>
      </c>
      <c r="O482" s="103">
        <v>0.46635292622674801</v>
      </c>
      <c r="P482" s="103">
        <v>0.46635292622674801</v>
      </c>
      <c r="Q482" s="103">
        <v>0.46635292622674801</v>
      </c>
      <c r="R482" s="103">
        <v>5.5962351147209768</v>
      </c>
    </row>
    <row r="483" spans="1:18">
      <c r="A483" t="s">
        <v>505</v>
      </c>
      <c r="F483" s="101">
        <v>4.569700676197531</v>
      </c>
      <c r="G483" s="101">
        <v>4.5767923428641977</v>
      </c>
      <c r="H483" s="101">
        <v>4.9169283972859663</v>
      </c>
      <c r="I483" s="101">
        <v>4.5767923428641977</v>
      </c>
      <c r="J483" s="101">
        <v>4.5767923428641977</v>
      </c>
      <c r="K483" s="101">
        <v>4.9513400772453133</v>
      </c>
      <c r="L483" s="101">
        <v>4.6112040228235447</v>
      </c>
      <c r="M483" s="101">
        <v>4.6112040228235447</v>
      </c>
      <c r="N483" s="101">
        <v>4.9513400772453133</v>
      </c>
      <c r="O483" s="101">
        <v>4.6112040228235447</v>
      </c>
      <c r="P483" s="101">
        <v>4.6112040228235447</v>
      </c>
      <c r="Q483" s="101">
        <v>4.9513400772453133</v>
      </c>
      <c r="R483" s="101">
        <v>56.5158424251062</v>
      </c>
    </row>
    <row r="484" spans="1:18">
      <c r="A484" t="s">
        <v>380</v>
      </c>
      <c r="B484" t="s">
        <v>106</v>
      </c>
      <c r="C484" t="s">
        <v>161</v>
      </c>
      <c r="D484" t="s">
        <v>308</v>
      </c>
      <c r="E484" t="s">
        <v>337</v>
      </c>
      <c r="F484" s="101">
        <v>0</v>
      </c>
      <c r="G484" s="101">
        <v>0</v>
      </c>
      <c r="H484" s="101">
        <v>0</v>
      </c>
      <c r="I484" s="101">
        <v>0</v>
      </c>
      <c r="J484" s="101">
        <v>0</v>
      </c>
      <c r="K484" s="101">
        <v>0</v>
      </c>
      <c r="L484" s="101">
        <v>1.522</v>
      </c>
      <c r="M484" s="101">
        <v>0</v>
      </c>
      <c r="N484" s="101">
        <v>0</v>
      </c>
      <c r="O484" s="101">
        <v>0</v>
      </c>
      <c r="P484" s="101">
        <v>0</v>
      </c>
      <c r="Q484" s="101">
        <v>0</v>
      </c>
      <c r="R484" s="101">
        <v>1.522</v>
      </c>
    </row>
    <row r="485" spans="1:18">
      <c r="C485" s="52" t="s">
        <v>385</v>
      </c>
      <c r="D485" s="52"/>
      <c r="E485" s="52"/>
      <c r="F485" s="102">
        <v>0</v>
      </c>
      <c r="G485" s="102">
        <v>0</v>
      </c>
      <c r="H485" s="102">
        <v>0</v>
      </c>
      <c r="I485" s="102">
        <v>0</v>
      </c>
      <c r="J485" s="102">
        <v>0</v>
      </c>
      <c r="K485" s="102">
        <v>0</v>
      </c>
      <c r="L485" s="102">
        <v>1.522</v>
      </c>
      <c r="M485" s="102">
        <v>0</v>
      </c>
      <c r="N485" s="102">
        <v>0</v>
      </c>
      <c r="O485" s="102">
        <v>0</v>
      </c>
      <c r="P485" s="102">
        <v>0</v>
      </c>
      <c r="Q485" s="102">
        <v>0</v>
      </c>
      <c r="R485" s="102">
        <v>1.522</v>
      </c>
    </row>
    <row r="486" spans="1:18">
      <c r="C486" t="s">
        <v>342</v>
      </c>
      <c r="D486" t="s">
        <v>343</v>
      </c>
      <c r="E486" t="s">
        <v>337</v>
      </c>
      <c r="F486" s="101">
        <v>0.15513653276155642</v>
      </c>
      <c r="G486" s="101">
        <v>0.15513653276155642</v>
      </c>
      <c r="H486" s="101">
        <v>0.15513653276155642</v>
      </c>
      <c r="I486" s="101">
        <v>0.15513653276155642</v>
      </c>
      <c r="J486" s="101">
        <v>0.15513653276155642</v>
      </c>
      <c r="K486" s="101">
        <v>0.15513653276155642</v>
      </c>
      <c r="L486" s="101">
        <v>0.15513653276155642</v>
      </c>
      <c r="M486" s="101">
        <v>0.15513653276155642</v>
      </c>
      <c r="N486" s="101">
        <v>0.15513653276155642</v>
      </c>
      <c r="O486" s="101">
        <v>0.15513653276155642</v>
      </c>
      <c r="P486" s="101">
        <v>0.15513653276155642</v>
      </c>
      <c r="Q486" s="101">
        <v>0.15513653276155642</v>
      </c>
      <c r="R486" s="101">
        <v>1.8616383931386766</v>
      </c>
    </row>
    <row r="487" spans="1:18">
      <c r="C487" s="52" t="s">
        <v>506</v>
      </c>
      <c r="D487" s="52"/>
      <c r="E487" s="52"/>
      <c r="F487" s="102">
        <v>0.15513653276155642</v>
      </c>
      <c r="G487" s="102">
        <v>0.15513653276155642</v>
      </c>
      <c r="H487" s="102">
        <v>0.15513653276155642</v>
      </c>
      <c r="I487" s="102">
        <v>0.15513653276155642</v>
      </c>
      <c r="J487" s="102">
        <v>0.15513653276155642</v>
      </c>
      <c r="K487" s="102">
        <v>0.15513653276155642</v>
      </c>
      <c r="L487" s="102">
        <v>0.15513653276155642</v>
      </c>
      <c r="M487" s="102">
        <v>0.15513653276155642</v>
      </c>
      <c r="N487" s="102">
        <v>0.15513653276155642</v>
      </c>
      <c r="O487" s="102">
        <v>0.15513653276155642</v>
      </c>
      <c r="P487" s="102">
        <v>0.15513653276155642</v>
      </c>
      <c r="Q487" s="102">
        <v>0.15513653276155642</v>
      </c>
      <c r="R487" s="102">
        <v>1.8616383931386766</v>
      </c>
    </row>
    <row r="488" spans="1:18">
      <c r="C488" t="s">
        <v>507</v>
      </c>
      <c r="D488" t="s">
        <v>353</v>
      </c>
      <c r="E488" t="s">
        <v>337</v>
      </c>
      <c r="F488" s="101">
        <v>0.63361999999999996</v>
      </c>
      <c r="G488" s="101">
        <v>0.63361999999999996</v>
      </c>
      <c r="H488" s="101">
        <v>0.63361999999999996</v>
      </c>
      <c r="I488" s="101">
        <v>0.63361999999999996</v>
      </c>
      <c r="J488" s="101">
        <v>0.63361999999999996</v>
      </c>
      <c r="K488" s="101">
        <v>0.63361999999999996</v>
      </c>
      <c r="L488" s="101">
        <v>0.63361999999999996</v>
      </c>
      <c r="M488" s="101">
        <v>0.63361999999999996</v>
      </c>
      <c r="N488" s="101">
        <v>0.63361999999999996</v>
      </c>
      <c r="O488" s="101">
        <v>0.63361999999999996</v>
      </c>
      <c r="P488" s="101">
        <v>0.63361999999999996</v>
      </c>
      <c r="Q488" s="101">
        <v>0.63361999999999996</v>
      </c>
      <c r="R488" s="101">
        <v>7.60344</v>
      </c>
    </row>
    <row r="489" spans="1:18">
      <c r="C489" s="52" t="s">
        <v>508</v>
      </c>
      <c r="D489" s="52"/>
      <c r="E489" s="52"/>
      <c r="F489" s="102">
        <v>0.63361999999999996</v>
      </c>
      <c r="G489" s="102">
        <v>0.63361999999999996</v>
      </c>
      <c r="H489" s="102">
        <v>0.63361999999999996</v>
      </c>
      <c r="I489" s="102">
        <v>0.63361999999999996</v>
      </c>
      <c r="J489" s="102">
        <v>0.63361999999999996</v>
      </c>
      <c r="K489" s="102">
        <v>0.63361999999999996</v>
      </c>
      <c r="L489" s="102">
        <v>0.63361999999999996</v>
      </c>
      <c r="M489" s="102">
        <v>0.63361999999999996</v>
      </c>
      <c r="N489" s="102">
        <v>0.63361999999999996</v>
      </c>
      <c r="O489" s="102">
        <v>0.63361999999999996</v>
      </c>
      <c r="P489" s="102">
        <v>0.63361999999999996</v>
      </c>
      <c r="Q489" s="102">
        <v>0.63361999999999996</v>
      </c>
      <c r="R489" s="102">
        <v>7.60344</v>
      </c>
    </row>
    <row r="490" spans="1:18">
      <c r="B490" s="53" t="s">
        <v>388</v>
      </c>
      <c r="C490" s="53"/>
      <c r="D490" s="53"/>
      <c r="E490" s="53"/>
      <c r="F490" s="103">
        <v>0.78875653276155644</v>
      </c>
      <c r="G490" s="103">
        <v>0.78875653276155644</v>
      </c>
      <c r="H490" s="103">
        <v>0.78875653276155644</v>
      </c>
      <c r="I490" s="103">
        <v>0.78875653276155644</v>
      </c>
      <c r="J490" s="103">
        <v>0.78875653276155644</v>
      </c>
      <c r="K490" s="103">
        <v>0.78875653276155644</v>
      </c>
      <c r="L490" s="103">
        <v>2.3107565327615562</v>
      </c>
      <c r="M490" s="103">
        <v>0.78875653276155644</v>
      </c>
      <c r="N490" s="103">
        <v>0.78875653276155644</v>
      </c>
      <c r="O490" s="103">
        <v>0.78875653276155644</v>
      </c>
      <c r="P490" s="103">
        <v>0.78875653276155644</v>
      </c>
      <c r="Q490" s="103">
        <v>0.78875653276155644</v>
      </c>
      <c r="R490" s="103">
        <v>10.987078393138678</v>
      </c>
    </row>
    <row r="491" spans="1:18">
      <c r="B491" t="s">
        <v>178</v>
      </c>
      <c r="C491" t="s">
        <v>338</v>
      </c>
      <c r="D491" t="s">
        <v>340</v>
      </c>
      <c r="E491" t="s">
        <v>337</v>
      </c>
      <c r="F491" s="101">
        <v>0.44144541842719298</v>
      </c>
      <c r="G491" s="101">
        <v>0.44144541842719298</v>
      </c>
      <c r="H491" s="101">
        <v>0.44144541842719298</v>
      </c>
      <c r="I491" s="101">
        <v>0.44144541842719298</v>
      </c>
      <c r="J491" s="101">
        <v>0.44144541842719298</v>
      </c>
      <c r="K491" s="101">
        <v>0.44144541842719298</v>
      </c>
      <c r="L491" s="101">
        <v>0.44144541842719298</v>
      </c>
      <c r="M491" s="101">
        <v>0.44144541842719298</v>
      </c>
      <c r="N491" s="101">
        <v>0.44144541842719298</v>
      </c>
      <c r="O491" s="101">
        <v>0.44144541842719298</v>
      </c>
      <c r="P491" s="101">
        <v>0.44144541842719298</v>
      </c>
      <c r="Q491" s="101">
        <v>0.44144541842719298</v>
      </c>
      <c r="R491" s="101">
        <v>5.2973450211263176</v>
      </c>
    </row>
    <row r="492" spans="1:18">
      <c r="D492" t="s">
        <v>341</v>
      </c>
      <c r="E492" t="s">
        <v>337</v>
      </c>
      <c r="F492" s="101">
        <v>0.91729293056694194</v>
      </c>
      <c r="G492" s="101">
        <v>0.91729293056694194</v>
      </c>
      <c r="H492" s="101">
        <v>0.91729293056694194</v>
      </c>
      <c r="I492" s="101">
        <v>0.91729293056694194</v>
      </c>
      <c r="J492" s="101">
        <v>0.91729293056694194</v>
      </c>
      <c r="K492" s="101">
        <v>0.91729293056694194</v>
      </c>
      <c r="L492" s="101">
        <v>0.91729293056694194</v>
      </c>
      <c r="M492" s="101">
        <v>0.91729293056694194</v>
      </c>
      <c r="N492" s="101">
        <v>0.91729293056694194</v>
      </c>
      <c r="O492" s="101">
        <v>0.91729293056694194</v>
      </c>
      <c r="P492" s="101">
        <v>0.91729293056694194</v>
      </c>
      <c r="Q492" s="101">
        <v>0.91729293056694194</v>
      </c>
      <c r="R492" s="101">
        <v>11.007515166803307</v>
      </c>
    </row>
    <row r="493" spans="1:18">
      <c r="C493" s="52" t="s">
        <v>509</v>
      </c>
      <c r="D493" s="52"/>
      <c r="E493" s="52"/>
      <c r="F493" s="102">
        <v>1.3587383489941349</v>
      </c>
      <c r="G493" s="102">
        <v>1.3587383489941349</v>
      </c>
      <c r="H493" s="102">
        <v>1.3587383489941349</v>
      </c>
      <c r="I493" s="102">
        <v>1.3587383489941349</v>
      </c>
      <c r="J493" s="102">
        <v>1.3587383489941349</v>
      </c>
      <c r="K493" s="102">
        <v>1.3587383489941349</v>
      </c>
      <c r="L493" s="102">
        <v>1.3587383489941349</v>
      </c>
      <c r="M493" s="102">
        <v>1.3587383489941349</v>
      </c>
      <c r="N493" s="102">
        <v>1.3587383489941349</v>
      </c>
      <c r="O493" s="102">
        <v>1.3587383489941349</v>
      </c>
      <c r="P493" s="102">
        <v>1.3587383489941349</v>
      </c>
      <c r="Q493" s="102">
        <v>1.3587383489941349</v>
      </c>
      <c r="R493" s="102">
        <v>16.304860187929624</v>
      </c>
    </row>
    <row r="494" spans="1:18">
      <c r="C494" t="s">
        <v>510</v>
      </c>
      <c r="D494" t="s">
        <v>355</v>
      </c>
      <c r="E494" t="s">
        <v>337</v>
      </c>
      <c r="F494" s="101">
        <v>0</v>
      </c>
      <c r="G494" s="101">
        <v>0</v>
      </c>
      <c r="H494" s="101">
        <v>0</v>
      </c>
      <c r="I494" s="101">
        <v>0</v>
      </c>
      <c r="J494" s="101">
        <v>0</v>
      </c>
      <c r="K494" s="101">
        <v>0</v>
      </c>
      <c r="L494" s="101">
        <v>0</v>
      </c>
      <c r="M494" s="101">
        <v>1.8414580311534339</v>
      </c>
      <c r="N494" s="101">
        <v>0</v>
      </c>
      <c r="O494" s="101">
        <v>0</v>
      </c>
      <c r="P494" s="101">
        <v>0</v>
      </c>
      <c r="Q494" s="101">
        <v>0</v>
      </c>
      <c r="R494" s="101">
        <v>1.8414580311534339</v>
      </c>
    </row>
    <row r="495" spans="1:18">
      <c r="C495" s="52" t="s">
        <v>511</v>
      </c>
      <c r="D495" s="52"/>
      <c r="E495" s="52"/>
      <c r="F495" s="102">
        <v>0</v>
      </c>
      <c r="G495" s="102">
        <v>0</v>
      </c>
      <c r="H495" s="102">
        <v>0</v>
      </c>
      <c r="I495" s="102">
        <v>0</v>
      </c>
      <c r="J495" s="102">
        <v>0</v>
      </c>
      <c r="K495" s="102">
        <v>0</v>
      </c>
      <c r="L495" s="102">
        <v>0</v>
      </c>
      <c r="M495" s="102">
        <v>1.8414580311534339</v>
      </c>
      <c r="N495" s="102">
        <v>0</v>
      </c>
      <c r="O495" s="102">
        <v>0</v>
      </c>
      <c r="P495" s="102">
        <v>0</v>
      </c>
      <c r="Q495" s="102">
        <v>0</v>
      </c>
      <c r="R495" s="102">
        <v>1.8414580311534339</v>
      </c>
    </row>
    <row r="496" spans="1:18">
      <c r="B496" s="53" t="s">
        <v>487</v>
      </c>
      <c r="C496" s="53"/>
      <c r="D496" s="53"/>
      <c r="E496" s="53"/>
      <c r="F496" s="103">
        <v>1.3587383489941349</v>
      </c>
      <c r="G496" s="103">
        <v>1.3587383489941349</v>
      </c>
      <c r="H496" s="103">
        <v>1.3587383489941349</v>
      </c>
      <c r="I496" s="103">
        <v>1.3587383489941349</v>
      </c>
      <c r="J496" s="103">
        <v>1.3587383489941349</v>
      </c>
      <c r="K496" s="103">
        <v>1.3587383489941349</v>
      </c>
      <c r="L496" s="103">
        <v>1.3587383489941349</v>
      </c>
      <c r="M496" s="103">
        <v>3.2001963801475686</v>
      </c>
      <c r="N496" s="103">
        <v>1.3587383489941349</v>
      </c>
      <c r="O496" s="103">
        <v>1.3587383489941349</v>
      </c>
      <c r="P496" s="103">
        <v>1.3587383489941349</v>
      </c>
      <c r="Q496" s="103">
        <v>1.3587383489941349</v>
      </c>
      <c r="R496" s="103">
        <v>18.146318219083057</v>
      </c>
    </row>
    <row r="497" spans="2:18">
      <c r="B497" t="s">
        <v>335</v>
      </c>
      <c r="C497" t="s">
        <v>333</v>
      </c>
      <c r="D497" t="s">
        <v>334</v>
      </c>
      <c r="E497" t="s">
        <v>263</v>
      </c>
      <c r="F497" s="101">
        <v>1.5</v>
      </c>
      <c r="G497" s="101">
        <v>0</v>
      </c>
      <c r="H497" s="101">
        <v>0</v>
      </c>
      <c r="I497" s="101">
        <v>0</v>
      </c>
      <c r="J497" s="101">
        <v>0</v>
      </c>
      <c r="K497" s="101">
        <v>1.5</v>
      </c>
      <c r="L497" s="101">
        <v>0</v>
      </c>
      <c r="M497" s="101">
        <v>0</v>
      </c>
      <c r="N497" s="101">
        <v>0</v>
      </c>
      <c r="O497" s="101">
        <v>1.5</v>
      </c>
      <c r="P497" s="101">
        <v>0</v>
      </c>
      <c r="Q497" s="101">
        <v>0</v>
      </c>
      <c r="R497" s="101">
        <v>4.5</v>
      </c>
    </row>
    <row r="498" spans="2:18">
      <c r="C498" s="52" t="s">
        <v>512</v>
      </c>
      <c r="D498" s="52"/>
      <c r="E498" s="52"/>
      <c r="F498" s="102">
        <v>1.5</v>
      </c>
      <c r="G498" s="102">
        <v>0</v>
      </c>
      <c r="H498" s="102">
        <v>0</v>
      </c>
      <c r="I498" s="102">
        <v>0</v>
      </c>
      <c r="J498" s="102">
        <v>0</v>
      </c>
      <c r="K498" s="102">
        <v>1.5</v>
      </c>
      <c r="L498" s="102">
        <v>0</v>
      </c>
      <c r="M498" s="102">
        <v>0</v>
      </c>
      <c r="N498" s="102">
        <v>0</v>
      </c>
      <c r="O498" s="102">
        <v>1.5</v>
      </c>
      <c r="P498" s="102">
        <v>0</v>
      </c>
      <c r="Q498" s="102">
        <v>0</v>
      </c>
      <c r="R498" s="102">
        <v>4.5</v>
      </c>
    </row>
    <row r="499" spans="2:18">
      <c r="B499" s="53" t="s">
        <v>513</v>
      </c>
      <c r="C499" s="53"/>
      <c r="D499" s="53"/>
      <c r="E499" s="53"/>
      <c r="F499" s="103">
        <v>1.5</v>
      </c>
      <c r="G499" s="103">
        <v>0</v>
      </c>
      <c r="H499" s="103">
        <v>0</v>
      </c>
      <c r="I499" s="103">
        <v>0</v>
      </c>
      <c r="J499" s="103">
        <v>0</v>
      </c>
      <c r="K499" s="103">
        <v>1.5</v>
      </c>
      <c r="L499" s="103">
        <v>0</v>
      </c>
      <c r="M499" s="103">
        <v>0</v>
      </c>
      <c r="N499" s="103">
        <v>0</v>
      </c>
      <c r="O499" s="103">
        <v>1.5</v>
      </c>
      <c r="P499" s="103">
        <v>0</v>
      </c>
      <c r="Q499" s="103">
        <v>0</v>
      </c>
      <c r="R499" s="103">
        <v>4.5</v>
      </c>
    </row>
    <row r="500" spans="2:18">
      <c r="B500" t="s">
        <v>80</v>
      </c>
      <c r="C500" t="s">
        <v>514</v>
      </c>
      <c r="D500" t="s">
        <v>349</v>
      </c>
      <c r="E500" t="s">
        <v>337</v>
      </c>
      <c r="F500" s="101">
        <v>1.889</v>
      </c>
      <c r="G500" s="101">
        <v>0</v>
      </c>
      <c r="H500" s="101">
        <v>0</v>
      </c>
      <c r="I500" s="101">
        <v>1.889</v>
      </c>
      <c r="J500" s="101">
        <v>0</v>
      </c>
      <c r="K500" s="101">
        <v>0</v>
      </c>
      <c r="L500" s="101">
        <v>2.3790000000000004</v>
      </c>
      <c r="M500" s="101">
        <v>0</v>
      </c>
      <c r="N500" s="101">
        <v>0</v>
      </c>
      <c r="O500" s="101">
        <v>2.3790000000000004</v>
      </c>
      <c r="P500" s="101">
        <v>0</v>
      </c>
      <c r="Q500" s="101">
        <v>0</v>
      </c>
      <c r="R500" s="101">
        <v>8.5360000000000014</v>
      </c>
    </row>
    <row r="501" spans="2:18">
      <c r="C501" s="52" t="s">
        <v>515</v>
      </c>
      <c r="D501" s="52"/>
      <c r="E501" s="52"/>
      <c r="F501" s="102">
        <v>1.889</v>
      </c>
      <c r="G501" s="102">
        <v>0</v>
      </c>
      <c r="H501" s="102">
        <v>0</v>
      </c>
      <c r="I501" s="102">
        <v>1.889</v>
      </c>
      <c r="J501" s="102">
        <v>0</v>
      </c>
      <c r="K501" s="102">
        <v>0</v>
      </c>
      <c r="L501" s="102">
        <v>2.3790000000000004</v>
      </c>
      <c r="M501" s="102">
        <v>0</v>
      </c>
      <c r="N501" s="102">
        <v>0</v>
      </c>
      <c r="O501" s="102">
        <v>2.3790000000000004</v>
      </c>
      <c r="P501" s="102">
        <v>0</v>
      </c>
      <c r="Q501" s="102">
        <v>0</v>
      </c>
      <c r="R501" s="102">
        <v>8.5360000000000014</v>
      </c>
    </row>
    <row r="502" spans="2:18">
      <c r="B502" s="53" t="s">
        <v>393</v>
      </c>
      <c r="C502" s="53"/>
      <c r="D502" s="53"/>
      <c r="E502" s="53"/>
      <c r="F502" s="103">
        <v>1.889</v>
      </c>
      <c r="G502" s="103">
        <v>0</v>
      </c>
      <c r="H502" s="103">
        <v>0</v>
      </c>
      <c r="I502" s="103">
        <v>1.889</v>
      </c>
      <c r="J502" s="103">
        <v>0</v>
      </c>
      <c r="K502" s="103">
        <v>0</v>
      </c>
      <c r="L502" s="103">
        <v>2.3790000000000004</v>
      </c>
      <c r="M502" s="103">
        <v>0</v>
      </c>
      <c r="N502" s="103">
        <v>0</v>
      </c>
      <c r="O502" s="103">
        <v>2.3790000000000004</v>
      </c>
      <c r="P502" s="103">
        <v>0</v>
      </c>
      <c r="Q502" s="103">
        <v>0</v>
      </c>
      <c r="R502" s="103">
        <v>8.5360000000000014</v>
      </c>
    </row>
    <row r="503" spans="2:18">
      <c r="B503" t="s">
        <v>91</v>
      </c>
      <c r="C503" t="s">
        <v>163</v>
      </c>
      <c r="D503" t="s">
        <v>264</v>
      </c>
      <c r="E503" t="s">
        <v>278</v>
      </c>
      <c r="F503" s="101">
        <v>0</v>
      </c>
      <c r="G503" s="101">
        <v>0</v>
      </c>
      <c r="H503" s="101">
        <v>0</v>
      </c>
      <c r="I503" s="101">
        <v>0</v>
      </c>
      <c r="J503" s="101">
        <v>0</v>
      </c>
      <c r="K503" s="101">
        <v>0</v>
      </c>
      <c r="L503" s="101">
        <v>0</v>
      </c>
      <c r="M503" s="101">
        <v>0</v>
      </c>
      <c r="N503" s="101">
        <v>0</v>
      </c>
      <c r="O503" s="101">
        <v>0</v>
      </c>
      <c r="P503" s="101">
        <v>0</v>
      </c>
      <c r="Q503" s="101">
        <v>0</v>
      </c>
      <c r="R503" s="101">
        <v>0</v>
      </c>
    </row>
    <row r="504" spans="2:18">
      <c r="E504" t="s">
        <v>337</v>
      </c>
      <c r="F504" s="101">
        <v>0.312</v>
      </c>
      <c r="G504" s="101">
        <v>0</v>
      </c>
      <c r="H504" s="101">
        <v>0</v>
      </c>
      <c r="I504" s="101">
        <v>0.312</v>
      </c>
      <c r="J504" s="101">
        <v>0</v>
      </c>
      <c r="K504" s="101">
        <v>0</v>
      </c>
      <c r="L504" s="101">
        <v>0.312</v>
      </c>
      <c r="M504" s="101">
        <v>0</v>
      </c>
      <c r="N504" s="101">
        <v>0</v>
      </c>
      <c r="O504" s="101">
        <v>0.312</v>
      </c>
      <c r="P504" s="101">
        <v>0</v>
      </c>
      <c r="Q504" s="101">
        <v>0</v>
      </c>
      <c r="R504" s="101">
        <v>1.248</v>
      </c>
    </row>
    <row r="505" spans="2:18">
      <c r="C505" s="52" t="s">
        <v>394</v>
      </c>
      <c r="D505" s="52"/>
      <c r="E505" s="52"/>
      <c r="F505" s="102">
        <v>0.312</v>
      </c>
      <c r="G505" s="102">
        <v>0</v>
      </c>
      <c r="H505" s="102">
        <v>0</v>
      </c>
      <c r="I505" s="102">
        <v>0.312</v>
      </c>
      <c r="J505" s="102">
        <v>0</v>
      </c>
      <c r="K505" s="102">
        <v>0</v>
      </c>
      <c r="L505" s="102">
        <v>0.312</v>
      </c>
      <c r="M505" s="102">
        <v>0</v>
      </c>
      <c r="N505" s="102">
        <v>0</v>
      </c>
      <c r="O505" s="102">
        <v>0.312</v>
      </c>
      <c r="P505" s="102">
        <v>0</v>
      </c>
      <c r="Q505" s="102">
        <v>0</v>
      </c>
      <c r="R505" s="102">
        <v>1.248</v>
      </c>
    </row>
    <row r="506" spans="2:18">
      <c r="C506" t="s">
        <v>327</v>
      </c>
      <c r="D506" t="s">
        <v>328</v>
      </c>
      <c r="E506" t="s">
        <v>263</v>
      </c>
      <c r="F506" s="101">
        <v>0.19999999999999998</v>
      </c>
      <c r="G506" s="101">
        <v>0.19999999999999998</v>
      </c>
      <c r="H506" s="101">
        <v>0.19999999999999998</v>
      </c>
      <c r="I506" s="101">
        <v>0.19999999999999998</v>
      </c>
      <c r="J506" s="101">
        <v>0.19999999999999998</v>
      </c>
      <c r="K506" s="101">
        <v>0.19999999999999998</v>
      </c>
      <c r="L506" s="101">
        <v>0.19999999999999998</v>
      </c>
      <c r="M506" s="101">
        <v>0.19999999999999998</v>
      </c>
      <c r="N506" s="101">
        <v>0.19999999999999998</v>
      </c>
      <c r="O506" s="101">
        <v>0.19999999999999998</v>
      </c>
      <c r="P506" s="101">
        <v>0.19999999999999998</v>
      </c>
      <c r="Q506" s="101">
        <v>0.19999999999999998</v>
      </c>
      <c r="R506" s="101">
        <v>2.4</v>
      </c>
    </row>
    <row r="507" spans="2:18">
      <c r="C507" s="52" t="s">
        <v>516</v>
      </c>
      <c r="D507" s="52"/>
      <c r="E507" s="52"/>
      <c r="F507" s="102">
        <v>0.19999999999999998</v>
      </c>
      <c r="G507" s="102">
        <v>0.19999999999999998</v>
      </c>
      <c r="H507" s="102">
        <v>0.19999999999999998</v>
      </c>
      <c r="I507" s="102">
        <v>0.19999999999999998</v>
      </c>
      <c r="J507" s="102">
        <v>0.19999999999999998</v>
      </c>
      <c r="K507" s="102">
        <v>0.19999999999999998</v>
      </c>
      <c r="L507" s="102">
        <v>0.19999999999999998</v>
      </c>
      <c r="M507" s="102">
        <v>0.19999999999999998</v>
      </c>
      <c r="N507" s="102">
        <v>0.19999999999999998</v>
      </c>
      <c r="O507" s="102">
        <v>0.19999999999999998</v>
      </c>
      <c r="P507" s="102">
        <v>0.19999999999999998</v>
      </c>
      <c r="Q507" s="102">
        <v>0.19999999999999998</v>
      </c>
      <c r="R507" s="102">
        <v>2.4</v>
      </c>
    </row>
    <row r="508" spans="2:18">
      <c r="C508" t="s">
        <v>517</v>
      </c>
      <c r="D508" t="s">
        <v>276</v>
      </c>
      <c r="E508" t="s">
        <v>337</v>
      </c>
      <c r="F508" s="101">
        <v>1.8239999999999998</v>
      </c>
      <c r="G508" s="101">
        <v>0</v>
      </c>
      <c r="H508" s="101">
        <v>0</v>
      </c>
      <c r="I508" s="101">
        <v>1.8239999999999998</v>
      </c>
      <c r="J508" s="101">
        <v>0</v>
      </c>
      <c r="K508" s="101">
        <v>0</v>
      </c>
      <c r="L508" s="101">
        <v>1.8239999999999998</v>
      </c>
      <c r="M508" s="101">
        <v>0</v>
      </c>
      <c r="N508" s="101">
        <v>0</v>
      </c>
      <c r="O508" s="101">
        <v>1.8239999999999998</v>
      </c>
      <c r="P508" s="101">
        <v>0</v>
      </c>
      <c r="Q508" s="101">
        <v>0</v>
      </c>
      <c r="R508" s="101">
        <v>7.2959999999999994</v>
      </c>
    </row>
    <row r="509" spans="2:18">
      <c r="C509" s="52" t="s">
        <v>518</v>
      </c>
      <c r="D509" s="52"/>
      <c r="E509" s="52"/>
      <c r="F509" s="102">
        <v>1.8239999999999998</v>
      </c>
      <c r="G509" s="102">
        <v>0</v>
      </c>
      <c r="H509" s="102">
        <v>0</v>
      </c>
      <c r="I509" s="102">
        <v>1.8239999999999998</v>
      </c>
      <c r="J509" s="102">
        <v>0</v>
      </c>
      <c r="K509" s="102">
        <v>0</v>
      </c>
      <c r="L509" s="102">
        <v>1.8239999999999998</v>
      </c>
      <c r="M509" s="102">
        <v>0</v>
      </c>
      <c r="N509" s="102">
        <v>0</v>
      </c>
      <c r="O509" s="102">
        <v>1.8239999999999998</v>
      </c>
      <c r="P509" s="102">
        <v>0</v>
      </c>
      <c r="Q509" s="102">
        <v>0</v>
      </c>
      <c r="R509" s="102">
        <v>7.2959999999999994</v>
      </c>
    </row>
    <row r="510" spans="2:18">
      <c r="B510" s="53" t="s">
        <v>402</v>
      </c>
      <c r="C510" s="53"/>
      <c r="D510" s="53"/>
      <c r="E510" s="53"/>
      <c r="F510" s="103">
        <v>2.3359999999999999</v>
      </c>
      <c r="G510" s="103">
        <v>0.19999999999999998</v>
      </c>
      <c r="H510" s="103">
        <v>0.19999999999999998</v>
      </c>
      <c r="I510" s="103">
        <v>2.3359999999999999</v>
      </c>
      <c r="J510" s="103">
        <v>0.19999999999999998</v>
      </c>
      <c r="K510" s="103">
        <v>0.19999999999999998</v>
      </c>
      <c r="L510" s="103">
        <v>2.3359999999999999</v>
      </c>
      <c r="M510" s="103">
        <v>0.19999999999999998</v>
      </c>
      <c r="N510" s="103">
        <v>0.19999999999999998</v>
      </c>
      <c r="O510" s="103">
        <v>2.3359999999999999</v>
      </c>
      <c r="P510" s="103">
        <v>0.19999999999999998</v>
      </c>
      <c r="Q510" s="103">
        <v>0.19999999999999998</v>
      </c>
      <c r="R510" s="103">
        <v>10.943999999999999</v>
      </c>
    </row>
    <row r="511" spans="2:18">
      <c r="B511" t="s">
        <v>87</v>
      </c>
      <c r="C511" t="s">
        <v>226</v>
      </c>
      <c r="D511" t="s">
        <v>332</v>
      </c>
      <c r="E511" t="s">
        <v>263</v>
      </c>
      <c r="F511" s="101"/>
      <c r="G511" s="101"/>
      <c r="H511" s="101"/>
      <c r="I511" s="101"/>
      <c r="J511" s="101"/>
      <c r="K511" s="101"/>
      <c r="L511" s="101"/>
      <c r="M511" s="101"/>
      <c r="N511" s="101"/>
      <c r="O511" s="101"/>
      <c r="P511" s="101"/>
      <c r="Q511" s="101"/>
      <c r="R511" s="101"/>
    </row>
    <row r="512" spans="2:18">
      <c r="E512" t="s">
        <v>337</v>
      </c>
      <c r="F512" s="101">
        <v>4.4499999999999991E-2</v>
      </c>
      <c r="G512" s="101">
        <v>0</v>
      </c>
      <c r="H512" s="101">
        <v>0</v>
      </c>
      <c r="I512" s="101">
        <v>4.4499999999999991E-2</v>
      </c>
      <c r="J512" s="101">
        <v>0</v>
      </c>
      <c r="K512" s="101">
        <v>0</v>
      </c>
      <c r="L512" s="101">
        <v>4.4499999999999991E-2</v>
      </c>
      <c r="M512" s="101">
        <v>0</v>
      </c>
      <c r="N512" s="101">
        <v>0</v>
      </c>
      <c r="O512" s="101">
        <v>4.4499999999999991E-2</v>
      </c>
      <c r="P512" s="101">
        <v>0</v>
      </c>
      <c r="Q512" s="101">
        <v>0</v>
      </c>
      <c r="R512" s="101">
        <v>0.17799999999999996</v>
      </c>
    </row>
    <row r="513" spans="2:18">
      <c r="C513" s="52" t="s">
        <v>471</v>
      </c>
      <c r="D513" s="52"/>
      <c r="E513" s="52"/>
      <c r="F513" s="102">
        <v>4.4499999999999991E-2</v>
      </c>
      <c r="G513" s="102">
        <v>0</v>
      </c>
      <c r="H513" s="102">
        <v>0</v>
      </c>
      <c r="I513" s="102">
        <v>4.4499999999999991E-2</v>
      </c>
      <c r="J513" s="102">
        <v>0</v>
      </c>
      <c r="K513" s="102">
        <v>0</v>
      </c>
      <c r="L513" s="102">
        <v>4.4499999999999991E-2</v>
      </c>
      <c r="M513" s="102">
        <v>0</v>
      </c>
      <c r="N513" s="102">
        <v>0</v>
      </c>
      <c r="O513" s="102">
        <v>4.4499999999999991E-2</v>
      </c>
      <c r="P513" s="102">
        <v>0</v>
      </c>
      <c r="Q513" s="102">
        <v>0</v>
      </c>
      <c r="R513" s="102">
        <v>0.17799999999999996</v>
      </c>
    </row>
    <row r="514" spans="2:18">
      <c r="C514" t="s">
        <v>125</v>
      </c>
      <c r="D514" t="s">
        <v>127</v>
      </c>
      <c r="E514" t="s">
        <v>337</v>
      </c>
      <c r="F514" s="101">
        <v>4.2000000000000003E-2</v>
      </c>
      <c r="G514" s="101">
        <v>4.2000000000000003E-2</v>
      </c>
      <c r="H514" s="101">
        <v>4.2000000000000003E-2</v>
      </c>
      <c r="I514" s="101">
        <v>4.2000000000000003E-2</v>
      </c>
      <c r="J514" s="101">
        <v>4.2000000000000003E-2</v>
      </c>
      <c r="K514" s="101">
        <v>4.2000000000000003E-2</v>
      </c>
      <c r="L514" s="101">
        <v>4.2000000000000003E-2</v>
      </c>
      <c r="M514" s="101">
        <v>4.2000000000000003E-2</v>
      </c>
      <c r="N514" s="101">
        <v>4.2000000000000003E-2</v>
      </c>
      <c r="O514" s="101">
        <v>4.2000000000000003E-2</v>
      </c>
      <c r="P514" s="101">
        <v>4.2000000000000003E-2</v>
      </c>
      <c r="Q514" s="101">
        <v>4.2000000000000003E-2</v>
      </c>
      <c r="R514" s="101">
        <v>0.50399999999999989</v>
      </c>
    </row>
    <row r="515" spans="2:18">
      <c r="C515" s="52" t="s">
        <v>407</v>
      </c>
      <c r="D515" s="52"/>
      <c r="E515" s="52"/>
      <c r="F515" s="102">
        <v>4.2000000000000003E-2</v>
      </c>
      <c r="G515" s="102">
        <v>4.2000000000000003E-2</v>
      </c>
      <c r="H515" s="102">
        <v>4.2000000000000003E-2</v>
      </c>
      <c r="I515" s="102">
        <v>4.2000000000000003E-2</v>
      </c>
      <c r="J515" s="102">
        <v>4.2000000000000003E-2</v>
      </c>
      <c r="K515" s="102">
        <v>4.2000000000000003E-2</v>
      </c>
      <c r="L515" s="102">
        <v>4.2000000000000003E-2</v>
      </c>
      <c r="M515" s="102">
        <v>4.2000000000000003E-2</v>
      </c>
      <c r="N515" s="102">
        <v>4.2000000000000003E-2</v>
      </c>
      <c r="O515" s="102">
        <v>4.2000000000000003E-2</v>
      </c>
      <c r="P515" s="102">
        <v>4.2000000000000003E-2</v>
      </c>
      <c r="Q515" s="102">
        <v>4.2000000000000003E-2</v>
      </c>
      <c r="R515" s="102">
        <v>0.50399999999999989</v>
      </c>
    </row>
    <row r="516" spans="2:18">
      <c r="C516" t="s">
        <v>519</v>
      </c>
      <c r="D516" t="s">
        <v>354</v>
      </c>
      <c r="E516" t="s">
        <v>337</v>
      </c>
      <c r="F516" s="101">
        <v>0.02</v>
      </c>
      <c r="G516" s="101">
        <v>0.02</v>
      </c>
      <c r="H516" s="101">
        <v>0.02</v>
      </c>
      <c r="I516" s="101">
        <v>0.02</v>
      </c>
      <c r="J516" s="101">
        <v>0.02</v>
      </c>
      <c r="K516" s="101">
        <v>0.02</v>
      </c>
      <c r="L516" s="101">
        <v>0.02</v>
      </c>
      <c r="M516" s="101">
        <v>0.02</v>
      </c>
      <c r="N516" s="101">
        <v>0.02</v>
      </c>
      <c r="O516" s="101">
        <v>0.02</v>
      </c>
      <c r="P516" s="101">
        <v>0.02</v>
      </c>
      <c r="Q516" s="101">
        <v>0.02</v>
      </c>
      <c r="R516" s="101">
        <v>0.23999999999999996</v>
      </c>
    </row>
    <row r="517" spans="2:18">
      <c r="C517" s="52" t="s">
        <v>520</v>
      </c>
      <c r="D517" s="52"/>
      <c r="E517" s="52"/>
      <c r="F517" s="102">
        <v>0.02</v>
      </c>
      <c r="G517" s="102">
        <v>0.02</v>
      </c>
      <c r="H517" s="102">
        <v>0.02</v>
      </c>
      <c r="I517" s="102">
        <v>0.02</v>
      </c>
      <c r="J517" s="102">
        <v>0.02</v>
      </c>
      <c r="K517" s="102">
        <v>0.02</v>
      </c>
      <c r="L517" s="102">
        <v>0.02</v>
      </c>
      <c r="M517" s="102">
        <v>0.02</v>
      </c>
      <c r="N517" s="102">
        <v>0.02</v>
      </c>
      <c r="O517" s="102">
        <v>0.02</v>
      </c>
      <c r="P517" s="102">
        <v>0.02</v>
      </c>
      <c r="Q517" s="102">
        <v>0.02</v>
      </c>
      <c r="R517" s="102">
        <v>0.23999999999999996</v>
      </c>
    </row>
    <row r="518" spans="2:18">
      <c r="B518" s="53" t="s">
        <v>409</v>
      </c>
      <c r="C518" s="53"/>
      <c r="D518" s="53"/>
      <c r="E518" s="53"/>
      <c r="F518" s="103">
        <v>0.1065</v>
      </c>
      <c r="G518" s="103">
        <v>6.2E-2</v>
      </c>
      <c r="H518" s="103">
        <v>6.2E-2</v>
      </c>
      <c r="I518" s="103">
        <v>0.1065</v>
      </c>
      <c r="J518" s="103">
        <v>6.2E-2</v>
      </c>
      <c r="K518" s="103">
        <v>6.2E-2</v>
      </c>
      <c r="L518" s="103">
        <v>0.1065</v>
      </c>
      <c r="M518" s="103">
        <v>6.2E-2</v>
      </c>
      <c r="N518" s="103">
        <v>6.2E-2</v>
      </c>
      <c r="O518" s="103">
        <v>0.1065</v>
      </c>
      <c r="P518" s="103">
        <v>6.2E-2</v>
      </c>
      <c r="Q518" s="103">
        <v>6.2E-2</v>
      </c>
      <c r="R518" s="103">
        <v>0.92199999999999982</v>
      </c>
    </row>
    <row r="519" spans="2:18">
      <c r="B519" t="s">
        <v>101</v>
      </c>
      <c r="C519" t="s">
        <v>521</v>
      </c>
      <c r="D519" t="s">
        <v>351</v>
      </c>
      <c r="E519" t="s">
        <v>337</v>
      </c>
      <c r="F519" s="101">
        <v>0.9</v>
      </c>
      <c r="G519" s="101">
        <v>0</v>
      </c>
      <c r="H519" s="101">
        <v>0</v>
      </c>
      <c r="I519" s="101">
        <v>0.9</v>
      </c>
      <c r="J519" s="101">
        <v>0</v>
      </c>
      <c r="K519" s="101">
        <v>0</v>
      </c>
      <c r="L519" s="101">
        <v>0.9</v>
      </c>
      <c r="M519" s="101">
        <v>0</v>
      </c>
      <c r="N519" s="101">
        <v>0</v>
      </c>
      <c r="O519" s="101">
        <v>0.9</v>
      </c>
      <c r="P519" s="101">
        <v>0</v>
      </c>
      <c r="Q519" s="101">
        <v>0</v>
      </c>
      <c r="R519" s="101">
        <v>3.6</v>
      </c>
    </row>
    <row r="520" spans="2:18">
      <c r="C520" s="52" t="s">
        <v>522</v>
      </c>
      <c r="D520" s="52"/>
      <c r="E520" s="52"/>
      <c r="F520" s="102">
        <v>0.9</v>
      </c>
      <c r="G520" s="102">
        <v>0</v>
      </c>
      <c r="H520" s="102">
        <v>0</v>
      </c>
      <c r="I520" s="102">
        <v>0.9</v>
      </c>
      <c r="J520" s="102">
        <v>0</v>
      </c>
      <c r="K520" s="102">
        <v>0</v>
      </c>
      <c r="L520" s="102">
        <v>0.9</v>
      </c>
      <c r="M520" s="102">
        <v>0</v>
      </c>
      <c r="N520" s="102">
        <v>0</v>
      </c>
      <c r="O520" s="102">
        <v>0.9</v>
      </c>
      <c r="P520" s="102">
        <v>0</v>
      </c>
      <c r="Q520" s="102">
        <v>0</v>
      </c>
      <c r="R520" s="102">
        <v>3.6</v>
      </c>
    </row>
    <row r="521" spans="2:18">
      <c r="B521" s="53" t="s">
        <v>410</v>
      </c>
      <c r="C521" s="53"/>
      <c r="D521" s="53"/>
      <c r="E521" s="53"/>
      <c r="F521" s="103">
        <v>0.9</v>
      </c>
      <c r="G521" s="103">
        <v>0</v>
      </c>
      <c r="H521" s="103">
        <v>0</v>
      </c>
      <c r="I521" s="103">
        <v>0.9</v>
      </c>
      <c r="J521" s="103">
        <v>0</v>
      </c>
      <c r="K521" s="103">
        <v>0</v>
      </c>
      <c r="L521" s="103">
        <v>0.9</v>
      </c>
      <c r="M521" s="103">
        <v>0</v>
      </c>
      <c r="N521" s="103">
        <v>0</v>
      </c>
      <c r="O521" s="103">
        <v>0.9</v>
      </c>
      <c r="P521" s="103">
        <v>0</v>
      </c>
      <c r="Q521" s="103">
        <v>0</v>
      </c>
      <c r="R521" s="103">
        <v>3.6</v>
      </c>
    </row>
    <row r="522" spans="2:18">
      <c r="B522" t="s">
        <v>132</v>
      </c>
      <c r="C522" t="s">
        <v>344</v>
      </c>
      <c r="D522" t="s">
        <v>345</v>
      </c>
      <c r="E522" t="s">
        <v>337</v>
      </c>
      <c r="F522" s="101">
        <v>0.36576906098253142</v>
      </c>
      <c r="G522" s="101">
        <v>0.36576906098253142</v>
      </c>
      <c r="H522" s="101">
        <v>0.36576906098253142</v>
      </c>
      <c r="I522" s="101">
        <v>0.36576906098253142</v>
      </c>
      <c r="J522" s="101">
        <v>0.36576906098253142</v>
      </c>
      <c r="K522" s="101">
        <v>0.36576906098253142</v>
      </c>
      <c r="L522" s="101">
        <v>0.36576906098253142</v>
      </c>
      <c r="M522" s="101">
        <v>0.36576906098253142</v>
      </c>
      <c r="N522" s="101">
        <v>0.36576906098253142</v>
      </c>
      <c r="O522" s="101">
        <v>0.36576906098253142</v>
      </c>
      <c r="P522" s="101">
        <v>0.36576906098253142</v>
      </c>
      <c r="Q522" s="101">
        <v>0.36576906098253142</v>
      </c>
      <c r="R522" s="101">
        <v>4.389228731790376</v>
      </c>
    </row>
    <row r="523" spans="2:18">
      <c r="C523" s="52" t="s">
        <v>523</v>
      </c>
      <c r="D523" s="52"/>
      <c r="E523" s="52"/>
      <c r="F523" s="102">
        <v>0.36576906098253142</v>
      </c>
      <c r="G523" s="102">
        <v>0.36576906098253142</v>
      </c>
      <c r="H523" s="102">
        <v>0.36576906098253142</v>
      </c>
      <c r="I523" s="102">
        <v>0.36576906098253142</v>
      </c>
      <c r="J523" s="102">
        <v>0.36576906098253142</v>
      </c>
      <c r="K523" s="102">
        <v>0.36576906098253142</v>
      </c>
      <c r="L523" s="102">
        <v>0.36576906098253142</v>
      </c>
      <c r="M523" s="102">
        <v>0.36576906098253142</v>
      </c>
      <c r="N523" s="102">
        <v>0.36576906098253142</v>
      </c>
      <c r="O523" s="102">
        <v>0.36576906098253142</v>
      </c>
      <c r="P523" s="102">
        <v>0.36576906098253142</v>
      </c>
      <c r="Q523" s="102">
        <v>0.36576906098253142</v>
      </c>
      <c r="R523" s="102">
        <v>4.389228731790376</v>
      </c>
    </row>
    <row r="524" spans="2:18">
      <c r="C524" t="s">
        <v>346</v>
      </c>
      <c r="D524" t="s">
        <v>345</v>
      </c>
      <c r="E524" t="s">
        <v>337</v>
      </c>
      <c r="F524" s="101">
        <v>5.618389354859054E-2</v>
      </c>
      <c r="G524" s="101">
        <v>5.618389354859054E-2</v>
      </c>
      <c r="H524" s="101">
        <v>5.618389354859054E-2</v>
      </c>
      <c r="I524" s="101">
        <v>5.618389354859054E-2</v>
      </c>
      <c r="J524" s="101">
        <v>5.618389354859054E-2</v>
      </c>
      <c r="K524" s="101">
        <v>5.618389354859054E-2</v>
      </c>
      <c r="L524" s="101">
        <v>5.618389354859054E-2</v>
      </c>
      <c r="M524" s="101">
        <v>5.618389354859054E-2</v>
      </c>
      <c r="N524" s="101">
        <v>5.618389354859054E-2</v>
      </c>
      <c r="O524" s="101">
        <v>5.618389354859054E-2</v>
      </c>
      <c r="P524" s="101">
        <v>5.618389354859054E-2</v>
      </c>
      <c r="Q524" s="101">
        <v>5.618389354859054E-2</v>
      </c>
      <c r="R524" s="101">
        <v>0.67420672258308645</v>
      </c>
    </row>
    <row r="525" spans="2:18">
      <c r="C525" s="52" t="s">
        <v>524</v>
      </c>
      <c r="D525" s="52"/>
      <c r="E525" s="52"/>
      <c r="F525" s="102">
        <v>5.618389354859054E-2</v>
      </c>
      <c r="G525" s="102">
        <v>5.618389354859054E-2</v>
      </c>
      <c r="H525" s="102">
        <v>5.618389354859054E-2</v>
      </c>
      <c r="I525" s="102">
        <v>5.618389354859054E-2</v>
      </c>
      <c r="J525" s="102">
        <v>5.618389354859054E-2</v>
      </c>
      <c r="K525" s="102">
        <v>5.618389354859054E-2</v>
      </c>
      <c r="L525" s="102">
        <v>5.618389354859054E-2</v>
      </c>
      <c r="M525" s="102">
        <v>5.618389354859054E-2</v>
      </c>
      <c r="N525" s="102">
        <v>5.618389354859054E-2</v>
      </c>
      <c r="O525" s="102">
        <v>5.618389354859054E-2</v>
      </c>
      <c r="P525" s="102">
        <v>5.618389354859054E-2</v>
      </c>
      <c r="Q525" s="102">
        <v>5.618389354859054E-2</v>
      </c>
      <c r="R525" s="102">
        <v>0.67420672258308645</v>
      </c>
    </row>
    <row r="526" spans="2:18">
      <c r="C526" t="s">
        <v>347</v>
      </c>
      <c r="D526" t="s">
        <v>348</v>
      </c>
      <c r="E526" t="s">
        <v>337</v>
      </c>
      <c r="F526" s="101">
        <v>7.6364255533833636E-2</v>
      </c>
      <c r="G526" s="101">
        <v>7.6364255533833636E-2</v>
      </c>
      <c r="H526" s="101">
        <v>7.6364255533833636E-2</v>
      </c>
      <c r="I526" s="101">
        <v>7.6364255533833636E-2</v>
      </c>
      <c r="J526" s="101">
        <v>7.6364255533833636E-2</v>
      </c>
      <c r="K526" s="101">
        <v>7.6364255533833636E-2</v>
      </c>
      <c r="L526" s="101">
        <v>7.6364255533833636E-2</v>
      </c>
      <c r="M526" s="101">
        <v>7.6364255533833636E-2</v>
      </c>
      <c r="N526" s="101">
        <v>7.6364255533833636E-2</v>
      </c>
      <c r="O526" s="101">
        <v>7.6364255533833636E-2</v>
      </c>
      <c r="P526" s="101">
        <v>7.6364255533833636E-2</v>
      </c>
      <c r="Q526" s="101">
        <v>7.6364255533833636E-2</v>
      </c>
      <c r="R526" s="101">
        <v>0.91637106640600363</v>
      </c>
    </row>
    <row r="527" spans="2:18">
      <c r="C527" s="52" t="s">
        <v>525</v>
      </c>
      <c r="D527" s="52"/>
      <c r="E527" s="52"/>
      <c r="F527" s="102">
        <v>7.6364255533833636E-2</v>
      </c>
      <c r="G527" s="102">
        <v>7.6364255533833636E-2</v>
      </c>
      <c r="H527" s="102">
        <v>7.6364255533833636E-2</v>
      </c>
      <c r="I527" s="102">
        <v>7.6364255533833636E-2</v>
      </c>
      <c r="J527" s="102">
        <v>7.6364255533833636E-2</v>
      </c>
      <c r="K527" s="102">
        <v>7.6364255533833636E-2</v>
      </c>
      <c r="L527" s="102">
        <v>7.6364255533833636E-2</v>
      </c>
      <c r="M527" s="102">
        <v>7.6364255533833636E-2</v>
      </c>
      <c r="N527" s="102">
        <v>7.6364255533833636E-2</v>
      </c>
      <c r="O527" s="102">
        <v>7.6364255533833636E-2</v>
      </c>
      <c r="P527" s="102">
        <v>7.6364255533833636E-2</v>
      </c>
      <c r="Q527" s="102">
        <v>7.6364255533833636E-2</v>
      </c>
      <c r="R527" s="102">
        <v>0.91637106640600363</v>
      </c>
    </row>
    <row r="528" spans="2:18">
      <c r="B528" s="53" t="s">
        <v>414</v>
      </c>
      <c r="C528" s="53"/>
      <c r="D528" s="53"/>
      <c r="E528" s="53"/>
      <c r="F528" s="103">
        <v>0.49831721006495561</v>
      </c>
      <c r="G528" s="103">
        <v>0.49831721006495561</v>
      </c>
      <c r="H528" s="103">
        <v>0.49831721006495561</v>
      </c>
      <c r="I528" s="103">
        <v>0.49831721006495561</v>
      </c>
      <c r="J528" s="103">
        <v>0.49831721006495561</v>
      </c>
      <c r="K528" s="103">
        <v>0.49831721006495561</v>
      </c>
      <c r="L528" s="103">
        <v>0.49831721006495561</v>
      </c>
      <c r="M528" s="103">
        <v>0.49831721006495561</v>
      </c>
      <c r="N528" s="103">
        <v>0.49831721006495561</v>
      </c>
      <c r="O528" s="103">
        <v>0.49831721006495561</v>
      </c>
      <c r="P528" s="103">
        <v>0.49831721006495561</v>
      </c>
      <c r="Q528" s="103">
        <v>0.49831721006495561</v>
      </c>
      <c r="R528" s="103">
        <v>5.9798065207794657</v>
      </c>
    </row>
    <row r="529" spans="1:18">
      <c r="B529" t="s">
        <v>331</v>
      </c>
      <c r="C529" t="s">
        <v>329</v>
      </c>
      <c r="D529" t="s">
        <v>330</v>
      </c>
      <c r="E529" t="s">
        <v>263</v>
      </c>
      <c r="F529" s="101">
        <v>0.19999999999999998</v>
      </c>
      <c r="G529" s="101">
        <v>0.19999999999999998</v>
      </c>
      <c r="H529" s="101">
        <v>0.19999999999999998</v>
      </c>
      <c r="I529" s="101">
        <v>0.19999999999999998</v>
      </c>
      <c r="J529" s="101">
        <v>0.19999999999999998</v>
      </c>
      <c r="K529" s="101">
        <v>0.19999999999999998</v>
      </c>
      <c r="L529" s="101">
        <v>0.19999999999999998</v>
      </c>
      <c r="M529" s="101">
        <v>0.19999999999999998</v>
      </c>
      <c r="N529" s="101">
        <v>0.19999999999999998</v>
      </c>
      <c r="O529" s="101">
        <v>0.19999999999999998</v>
      </c>
      <c r="P529" s="101">
        <v>0.19999999999999998</v>
      </c>
      <c r="Q529" s="101">
        <v>0.19999999999999998</v>
      </c>
      <c r="R529" s="101">
        <v>2.4</v>
      </c>
    </row>
    <row r="530" spans="1:18">
      <c r="D530" t="s">
        <v>356</v>
      </c>
      <c r="E530" t="s">
        <v>337</v>
      </c>
      <c r="F530" s="101">
        <v>6.3063631203884724E-2</v>
      </c>
      <c r="G530" s="101">
        <v>6.3063631203884724E-2</v>
      </c>
      <c r="H530" s="101">
        <v>6.3063631203884724E-2</v>
      </c>
      <c r="I530" s="101">
        <v>6.3063631203884724E-2</v>
      </c>
      <c r="J530" s="101">
        <v>6.3063631203884724E-2</v>
      </c>
      <c r="K530" s="101">
        <v>6.3063631203884724E-2</v>
      </c>
      <c r="L530" s="101">
        <v>6.3063631203884724E-2</v>
      </c>
      <c r="M530" s="101">
        <v>6.3063631203884724E-2</v>
      </c>
      <c r="N530" s="101">
        <v>6.3063631203884724E-2</v>
      </c>
      <c r="O530" s="101">
        <v>6.3063631203884724E-2</v>
      </c>
      <c r="P530" s="101">
        <v>6.3063631203884724E-2</v>
      </c>
      <c r="Q530" s="101">
        <v>6.3063631203884724E-2</v>
      </c>
      <c r="R530" s="101">
        <v>0.75676357444661646</v>
      </c>
    </row>
    <row r="531" spans="1:18">
      <c r="C531" s="52" t="s">
        <v>526</v>
      </c>
      <c r="D531" s="52"/>
      <c r="E531" s="52"/>
      <c r="F531" s="102">
        <v>0.26306363120388471</v>
      </c>
      <c r="G531" s="102">
        <v>0.26306363120388471</v>
      </c>
      <c r="H531" s="102">
        <v>0.26306363120388471</v>
      </c>
      <c r="I531" s="102">
        <v>0.26306363120388471</v>
      </c>
      <c r="J531" s="102">
        <v>0.26306363120388471</v>
      </c>
      <c r="K531" s="102">
        <v>0.26306363120388471</v>
      </c>
      <c r="L531" s="102">
        <v>0.26306363120388471</v>
      </c>
      <c r="M531" s="102">
        <v>0.26306363120388471</v>
      </c>
      <c r="N531" s="102">
        <v>0.26306363120388471</v>
      </c>
      <c r="O531" s="102">
        <v>0.26306363120388471</v>
      </c>
      <c r="P531" s="102">
        <v>0.26306363120388471</v>
      </c>
      <c r="Q531" s="102">
        <v>0.26306363120388471</v>
      </c>
      <c r="R531" s="102">
        <v>3.1567635744466163</v>
      </c>
    </row>
    <row r="532" spans="1:18">
      <c r="B532" s="53" t="s">
        <v>527</v>
      </c>
      <c r="C532" s="53"/>
      <c r="D532" s="53"/>
      <c r="E532" s="53"/>
      <c r="F532" s="103">
        <v>0.26306363120388471</v>
      </c>
      <c r="G532" s="103">
        <v>0.26306363120388471</v>
      </c>
      <c r="H532" s="103">
        <v>0.26306363120388471</v>
      </c>
      <c r="I532" s="103">
        <v>0.26306363120388471</v>
      </c>
      <c r="J532" s="103">
        <v>0.26306363120388471</v>
      </c>
      <c r="K532" s="103">
        <v>0.26306363120388471</v>
      </c>
      <c r="L532" s="103">
        <v>0.26306363120388471</v>
      </c>
      <c r="M532" s="103">
        <v>0.26306363120388471</v>
      </c>
      <c r="N532" s="103">
        <v>0.26306363120388471</v>
      </c>
      <c r="O532" s="103">
        <v>0.26306363120388471</v>
      </c>
      <c r="P532" s="103">
        <v>0.26306363120388471</v>
      </c>
      <c r="Q532" s="103">
        <v>0.26306363120388471</v>
      </c>
      <c r="R532" s="103">
        <v>3.1567635744466163</v>
      </c>
    </row>
    <row r="533" spans="1:18">
      <c r="A533" t="s">
        <v>528</v>
      </c>
      <c r="F533" s="101">
        <v>9.6403757230245315</v>
      </c>
      <c r="G533" s="101">
        <v>3.1708757230245319</v>
      </c>
      <c r="H533" s="101">
        <v>3.1708757230245319</v>
      </c>
      <c r="I533" s="101">
        <v>8.1403757230245333</v>
      </c>
      <c r="J533" s="101">
        <v>3.1708757230245319</v>
      </c>
      <c r="K533" s="101">
        <v>4.6708757230245324</v>
      </c>
      <c r="L533" s="101">
        <v>10.152375723024532</v>
      </c>
      <c r="M533" s="101">
        <v>5.0123337541779653</v>
      </c>
      <c r="N533" s="101">
        <v>3.1708757230245319</v>
      </c>
      <c r="O533" s="101">
        <v>10.130375723024532</v>
      </c>
      <c r="P533" s="101">
        <v>3.1708757230245319</v>
      </c>
      <c r="Q533" s="101">
        <v>3.1708757230245319</v>
      </c>
      <c r="R533" s="101">
        <v>66.771966707447817</v>
      </c>
    </row>
    <row r="534" spans="1:18">
      <c r="A534" t="s">
        <v>529</v>
      </c>
      <c r="F534" s="101">
        <v>223.92767168278559</v>
      </c>
      <c r="G534" s="101">
        <v>221.60660169305123</v>
      </c>
      <c r="H534" s="101">
        <v>226.26729483627108</v>
      </c>
      <c r="I534" s="101">
        <v>214.46446913941961</v>
      </c>
      <c r="J534" s="101">
        <v>211.77126332923984</v>
      </c>
      <c r="K534" s="101">
        <v>220.78552246493109</v>
      </c>
      <c r="L534" s="101">
        <v>222.4772507000032</v>
      </c>
      <c r="M534" s="101">
        <v>215.16156931868963</v>
      </c>
      <c r="N534" s="101">
        <v>222.45122398936149</v>
      </c>
      <c r="O534" s="101">
        <v>217.09091157758183</v>
      </c>
      <c r="P534" s="101">
        <v>212.40746316781494</v>
      </c>
      <c r="Q534" s="101">
        <v>258.83320188928371</v>
      </c>
      <c r="R534" s="101">
        <v>2667.2444437884283</v>
      </c>
    </row>
  </sheetData>
  <sheetProtection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6E47-55EF-4A37-AFAF-CB74D2F7FDAD}">
  <sheetPr>
    <tabColor rgb="FFC7D0EB"/>
  </sheetPr>
  <dimension ref="A1:C41"/>
  <sheetViews>
    <sheetView zoomScaleNormal="100" workbookViewId="0">
      <pane xSplit="1" ySplit="1" topLeftCell="B2" activePane="bottomRight" state="frozen"/>
      <selection pane="bottomRight" activeCell="A6" sqref="A6"/>
      <selection pane="bottomLeft" activeCell="A3" sqref="A3"/>
      <selection pane="topRight" activeCell="A3" sqref="A3"/>
    </sheetView>
  </sheetViews>
  <sheetFormatPr defaultColWidth="0" defaultRowHeight="18.600000000000001"/>
  <cols>
    <col min="1" max="2" width="31.6640625" style="4" customWidth="1"/>
    <col min="3" max="3" width="0" hidden="1" customWidth="1"/>
    <col min="4" max="16384" width="8.88671875" hidden="1"/>
  </cols>
  <sheetData>
    <row r="1" spans="1:2">
      <c r="A1" s="3" t="s">
        <v>530</v>
      </c>
      <c r="B1" s="3" t="s">
        <v>531</v>
      </c>
    </row>
    <row r="2" spans="1:2">
      <c r="A2" s="13" t="s">
        <v>532</v>
      </c>
      <c r="B2" s="13" t="s">
        <v>533</v>
      </c>
    </row>
    <row r="3" spans="1:2">
      <c r="A3" s="13" t="s">
        <v>534</v>
      </c>
      <c r="B3" s="13" t="s">
        <v>535</v>
      </c>
    </row>
    <row r="4" spans="1:2">
      <c r="A4" s="15" t="s">
        <v>536</v>
      </c>
      <c r="B4" s="13" t="s">
        <v>535</v>
      </c>
    </row>
    <row r="5" spans="1:2">
      <c r="A5" s="15" t="s">
        <v>537</v>
      </c>
      <c r="B5" s="13" t="s">
        <v>535</v>
      </c>
    </row>
    <row r="6" spans="1:2">
      <c r="A6" s="13" t="s">
        <v>538</v>
      </c>
      <c r="B6" s="13" t="s">
        <v>539</v>
      </c>
    </row>
    <row r="7" spans="1:2">
      <c r="A7" s="13" t="s">
        <v>158</v>
      </c>
      <c r="B7" s="13" t="s">
        <v>539</v>
      </c>
    </row>
    <row r="8" spans="1:2">
      <c r="A8" s="13" t="s">
        <v>540</v>
      </c>
      <c r="B8" s="13" t="s">
        <v>539</v>
      </c>
    </row>
    <row r="9" spans="1:2">
      <c r="A9" s="13" t="s">
        <v>541</v>
      </c>
      <c r="B9" s="13" t="s">
        <v>539</v>
      </c>
    </row>
    <row r="10" spans="1:2">
      <c r="A10" s="13" t="s">
        <v>542</v>
      </c>
      <c r="B10" s="13" t="s">
        <v>543</v>
      </c>
    </row>
    <row r="11" spans="1:2">
      <c r="A11" s="13" t="s">
        <v>544</v>
      </c>
      <c r="B11" s="13" t="s">
        <v>543</v>
      </c>
    </row>
    <row r="12" spans="1:2">
      <c r="A12" s="15" t="s">
        <v>545</v>
      </c>
      <c r="B12" s="13" t="s">
        <v>543</v>
      </c>
    </row>
    <row r="13" spans="1:2">
      <c r="A13" s="15" t="s">
        <v>546</v>
      </c>
      <c r="B13" s="13" t="s">
        <v>543</v>
      </c>
    </row>
    <row r="14" spans="1:2">
      <c r="A14" s="15" t="s">
        <v>547</v>
      </c>
      <c r="B14" s="13" t="s">
        <v>543</v>
      </c>
    </row>
    <row r="15" spans="1:2">
      <c r="A15" s="15" t="s">
        <v>548</v>
      </c>
      <c r="B15" s="13" t="s">
        <v>543</v>
      </c>
    </row>
    <row r="16" spans="1:2">
      <c r="A16" s="13" t="s">
        <v>549</v>
      </c>
      <c r="B16" s="13" t="s">
        <v>550</v>
      </c>
    </row>
    <row r="17" spans="1:2">
      <c r="A17" s="13" t="s">
        <v>551</v>
      </c>
      <c r="B17" s="13" t="s">
        <v>550</v>
      </c>
    </row>
    <row r="18" spans="1:2">
      <c r="A18" s="13" t="s">
        <v>552</v>
      </c>
      <c r="B18" s="13" t="s">
        <v>550</v>
      </c>
    </row>
    <row r="19" spans="1:2">
      <c r="A19" s="15" t="s">
        <v>553</v>
      </c>
      <c r="B19" s="13" t="s">
        <v>554</v>
      </c>
    </row>
    <row r="20" spans="1:2">
      <c r="A20" s="13" t="s">
        <v>555</v>
      </c>
      <c r="B20" s="13" t="s">
        <v>554</v>
      </c>
    </row>
    <row r="21" spans="1:2">
      <c r="A21" s="13" t="s">
        <v>556</v>
      </c>
      <c r="B21" s="13" t="s">
        <v>557</v>
      </c>
    </row>
    <row r="22" spans="1:2">
      <c r="A22" s="13" t="s">
        <v>178</v>
      </c>
      <c r="B22" s="13" t="s">
        <v>557</v>
      </c>
    </row>
    <row r="23" spans="1:2">
      <c r="A23" s="13" t="s">
        <v>558</v>
      </c>
      <c r="B23" s="13" t="s">
        <v>557</v>
      </c>
    </row>
    <row r="24" spans="1:2">
      <c r="A24" s="15" t="s">
        <v>175</v>
      </c>
      <c r="B24" s="13" t="s">
        <v>557</v>
      </c>
    </row>
    <row r="25" spans="1:2">
      <c r="A25" s="15" t="s">
        <v>335</v>
      </c>
      <c r="B25" s="13" t="s">
        <v>557</v>
      </c>
    </row>
    <row r="26" spans="1:2">
      <c r="A26" s="15" t="s">
        <v>235</v>
      </c>
      <c r="B26" s="13" t="s">
        <v>557</v>
      </c>
    </row>
    <row r="27" spans="1:2">
      <c r="A27" s="13" t="s">
        <v>132</v>
      </c>
      <c r="B27" s="13" t="s">
        <v>559</v>
      </c>
    </row>
    <row r="28" spans="1:2">
      <c r="A28" s="13" t="s">
        <v>80</v>
      </c>
      <c r="B28" s="13" t="s">
        <v>559</v>
      </c>
    </row>
    <row r="29" spans="1:2">
      <c r="A29" s="13" t="s">
        <v>101</v>
      </c>
      <c r="B29" s="13" t="s">
        <v>559</v>
      </c>
    </row>
    <row r="30" spans="1:2">
      <c r="A30" s="13" t="s">
        <v>87</v>
      </c>
      <c r="B30" s="13" t="s">
        <v>559</v>
      </c>
    </row>
    <row r="31" spans="1:2">
      <c r="A31" s="13" t="s">
        <v>106</v>
      </c>
      <c r="B31" s="13" t="s">
        <v>559</v>
      </c>
    </row>
    <row r="32" spans="1:2">
      <c r="A32" s="13" t="s">
        <v>91</v>
      </c>
      <c r="B32" s="13" t="s">
        <v>559</v>
      </c>
    </row>
    <row r="33" spans="1:2">
      <c r="A33" s="13" t="s">
        <v>560</v>
      </c>
      <c r="B33" s="13" t="s">
        <v>561</v>
      </c>
    </row>
    <row r="34" spans="1:2">
      <c r="A34" s="13" t="s">
        <v>562</v>
      </c>
      <c r="B34" s="13" t="s">
        <v>561</v>
      </c>
    </row>
    <row r="35" spans="1:2">
      <c r="A35" s="13" t="s">
        <v>563</v>
      </c>
      <c r="B35" s="13" t="s">
        <v>561</v>
      </c>
    </row>
    <row r="36" spans="1:2">
      <c r="A36" s="13" t="s">
        <v>331</v>
      </c>
      <c r="B36" s="13" t="s">
        <v>561</v>
      </c>
    </row>
    <row r="37" spans="1:2">
      <c r="A37" s="13" t="s">
        <v>564</v>
      </c>
      <c r="B37" s="13" t="s">
        <v>565</v>
      </c>
    </row>
    <row r="38" spans="1:2">
      <c r="A38" s="13" t="s">
        <v>566</v>
      </c>
      <c r="B38" s="13" t="s">
        <v>565</v>
      </c>
    </row>
    <row r="39" spans="1:2">
      <c r="A39" s="13" t="s">
        <v>567</v>
      </c>
      <c r="B39" s="13" t="s">
        <v>565</v>
      </c>
    </row>
    <row r="40" spans="1:2">
      <c r="A40" s="13" t="s">
        <v>568</v>
      </c>
      <c r="B40" s="13" t="s">
        <v>565</v>
      </c>
    </row>
    <row r="41" spans="1:2">
      <c r="A41" s="14" t="s">
        <v>245</v>
      </c>
      <c r="B41" s="14" t="s">
        <v>245</v>
      </c>
    </row>
  </sheetData>
  <sheetProtection algorithmName="SHA-512" hashValue="nk2gddhESixq11mAqnti3qScus9Wpd2cCSCKjiVcfKheJedjIRMisVx/Aekt7eKK58OxvlOWVpp9RZW9nCdltQ==" saltValue="xkl3VulyqajvepNPpQmc7Q==" spinCount="100000" sheet="1" objects="1" scenarios="1" autoFilter="0"/>
  <autoFilter ref="A1:B1" xr:uid="{B2D96E47-55EF-4A37-AFAF-CB74D2F7FDAD}"/>
  <sortState xmlns:xlrd2="http://schemas.microsoft.com/office/spreadsheetml/2017/richdata2" ref="A2:A41">
    <sortCondition ref="A2:A4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4DBC-1BE3-4C5C-8D13-1620E8794357}">
  <sheetPr>
    <tabColor rgb="FFC7D0EB"/>
  </sheetPr>
  <dimension ref="A1:J352"/>
  <sheetViews>
    <sheetView showGridLines="0" zoomScale="90" zoomScaleNormal="90" workbookViewId="0">
      <pane ySplit="1" topLeftCell="A187" activePane="bottomLeft" state="frozen"/>
      <selection pane="bottomLeft" activeCell="F187" sqref="F187"/>
      <selection activeCell="A3" sqref="A3"/>
    </sheetView>
  </sheetViews>
  <sheetFormatPr defaultColWidth="8.88671875" defaultRowHeight="18.600000000000001" zeroHeight="1"/>
  <cols>
    <col min="1" max="1" width="39.5546875" style="1" bestFit="1" customWidth="1"/>
    <col min="2" max="2" width="14.33203125" style="1" bestFit="1" customWidth="1"/>
    <col min="3" max="3" width="15.109375" style="1" bestFit="1" customWidth="1"/>
    <col min="4" max="4" width="18.33203125" style="1" bestFit="1" customWidth="1"/>
    <col min="5" max="5" width="14.33203125" style="1" bestFit="1" customWidth="1"/>
    <col min="6" max="6" width="18.5546875" style="1" bestFit="1" customWidth="1"/>
    <col min="7" max="7" width="12.33203125" style="1" bestFit="1" customWidth="1"/>
    <col min="8" max="8" width="10.44140625" style="1" bestFit="1" customWidth="1"/>
    <col min="9" max="9" width="14.33203125" style="1" bestFit="1" customWidth="1"/>
    <col min="10" max="10" width="27.44140625" style="1" bestFit="1" customWidth="1"/>
    <col min="11" max="16384" width="8.88671875" style="1"/>
  </cols>
  <sheetData>
    <row r="1" spans="1:10">
      <c r="A1" s="2" t="s">
        <v>5</v>
      </c>
      <c r="B1" s="2" t="s">
        <v>3</v>
      </c>
      <c r="C1" s="2" t="s">
        <v>4</v>
      </c>
      <c r="D1" s="2" t="s">
        <v>6</v>
      </c>
      <c r="E1" s="2" t="s">
        <v>73</v>
      </c>
      <c r="F1" s="2" t="s">
        <v>0</v>
      </c>
      <c r="G1" s="2" t="s">
        <v>1</v>
      </c>
      <c r="H1" s="2" t="s">
        <v>2</v>
      </c>
      <c r="I1" s="2" t="s">
        <v>569</v>
      </c>
      <c r="J1" s="50" t="s">
        <v>570</v>
      </c>
    </row>
    <row r="2" spans="1:10">
      <c r="A2" s="5" t="s">
        <v>571</v>
      </c>
      <c r="B2" s="1" t="s">
        <v>258</v>
      </c>
      <c r="C2" s="1" t="s">
        <v>572</v>
      </c>
      <c r="D2" s="1" t="s">
        <v>573</v>
      </c>
      <c r="E2" s="1" t="s">
        <v>416</v>
      </c>
      <c r="F2" s="1" t="s">
        <v>7</v>
      </c>
      <c r="G2" s="1" t="s">
        <v>428</v>
      </c>
      <c r="H2" s="1" t="s">
        <v>258</v>
      </c>
      <c r="I2" s="1" t="s">
        <v>574</v>
      </c>
      <c r="J2" s="51" t="str">
        <f>B2&amp;C2</f>
        <v>LocaçãoReal Estate</v>
      </c>
    </row>
    <row r="3" spans="1:10">
      <c r="A3" s="5" t="s">
        <v>575</v>
      </c>
      <c r="B3" s="1" t="s">
        <v>258</v>
      </c>
      <c r="C3" s="1" t="s">
        <v>535</v>
      </c>
      <c r="D3" s="1" t="s">
        <v>576</v>
      </c>
      <c r="E3" s="1" t="s">
        <v>416</v>
      </c>
      <c r="F3" s="1" t="s">
        <v>7</v>
      </c>
      <c r="G3" s="1" t="s">
        <v>428</v>
      </c>
      <c r="H3" s="1" t="s">
        <v>258</v>
      </c>
      <c r="I3" s="1" t="s">
        <v>577</v>
      </c>
      <c r="J3" s="51" t="str">
        <f t="shared" ref="J3:J42" si="0">B3&amp;C3</f>
        <v>LocaçãoManutenção</v>
      </c>
    </row>
    <row r="4" spans="1:10">
      <c r="A4" s="5" t="s">
        <v>578</v>
      </c>
      <c r="B4" s="1" t="s">
        <v>258</v>
      </c>
      <c r="C4" s="1" t="s">
        <v>579</v>
      </c>
      <c r="D4" s="1" t="s">
        <v>573</v>
      </c>
      <c r="E4" s="1" t="s">
        <v>416</v>
      </c>
      <c r="F4" s="1" t="s">
        <v>7</v>
      </c>
      <c r="G4" s="1" t="s">
        <v>428</v>
      </c>
      <c r="H4" s="1" t="s">
        <v>258</v>
      </c>
      <c r="I4" s="1" t="s">
        <v>577</v>
      </c>
      <c r="J4" s="51" t="str">
        <f t="shared" si="0"/>
        <v>LocaçãoADM &amp; Facilities</v>
      </c>
    </row>
    <row r="5" spans="1:10">
      <c r="A5" s="5" t="s">
        <v>580</v>
      </c>
      <c r="B5" s="1" t="s">
        <v>258</v>
      </c>
      <c r="C5" s="1" t="s">
        <v>581</v>
      </c>
      <c r="D5" s="1" t="s">
        <v>582</v>
      </c>
      <c r="E5" s="1" t="s">
        <v>416</v>
      </c>
      <c r="F5" s="1" t="s">
        <v>7</v>
      </c>
      <c r="G5" s="1" t="s">
        <v>428</v>
      </c>
      <c r="H5" s="1" t="s">
        <v>258</v>
      </c>
      <c r="I5" s="1" t="s">
        <v>574</v>
      </c>
      <c r="J5" s="51" t="str">
        <f t="shared" si="0"/>
        <v>LocaçãoJurídico</v>
      </c>
    </row>
    <row r="6" spans="1:10">
      <c r="A6" s="5" t="s">
        <v>583</v>
      </c>
      <c r="B6" s="1" t="s">
        <v>258</v>
      </c>
      <c r="C6" s="1" t="s">
        <v>543</v>
      </c>
      <c r="D6" s="1" t="s">
        <v>584</v>
      </c>
      <c r="E6" s="1" t="s">
        <v>416</v>
      </c>
      <c r="F6" s="1" t="s">
        <v>7</v>
      </c>
      <c r="G6" s="1" t="s">
        <v>428</v>
      </c>
      <c r="H6" s="1" t="s">
        <v>258</v>
      </c>
      <c r="I6" s="1" t="s">
        <v>574</v>
      </c>
      <c r="J6" s="51" t="str">
        <f t="shared" ref="J6" si="1">B6&amp;C6</f>
        <v>LocaçãoSeguros</v>
      </c>
    </row>
    <row r="7" spans="1:10">
      <c r="A7" s="5" t="s">
        <v>182</v>
      </c>
      <c r="B7" s="1" t="s">
        <v>258</v>
      </c>
      <c r="C7" s="1" t="s">
        <v>11</v>
      </c>
      <c r="D7" s="1" t="s">
        <v>13</v>
      </c>
      <c r="E7" s="1" t="s">
        <v>416</v>
      </c>
      <c r="F7" s="1" t="s">
        <v>7</v>
      </c>
      <c r="G7" s="1" t="s">
        <v>428</v>
      </c>
      <c r="H7" s="1" t="s">
        <v>258</v>
      </c>
      <c r="I7" s="1" t="s">
        <v>574</v>
      </c>
      <c r="J7" s="51" t="str">
        <f t="shared" si="0"/>
        <v>LocaçãoTI</v>
      </c>
    </row>
    <row r="8" spans="1:10">
      <c r="A8" s="5" t="s">
        <v>585</v>
      </c>
      <c r="B8" s="1" t="s">
        <v>258</v>
      </c>
      <c r="C8" s="1" t="s">
        <v>572</v>
      </c>
      <c r="D8" s="1" t="s">
        <v>573</v>
      </c>
      <c r="E8" s="1" t="s">
        <v>416</v>
      </c>
      <c r="F8" s="1" t="s">
        <v>7</v>
      </c>
      <c r="G8" s="1" t="s">
        <v>30</v>
      </c>
      <c r="H8" s="1" t="s">
        <v>258</v>
      </c>
      <c r="I8" s="1" t="s">
        <v>574</v>
      </c>
      <c r="J8" s="51" t="str">
        <f t="shared" si="0"/>
        <v>LocaçãoReal Estate</v>
      </c>
    </row>
    <row r="9" spans="1:10">
      <c r="A9" s="5" t="s">
        <v>586</v>
      </c>
      <c r="B9" s="1" t="s">
        <v>258</v>
      </c>
      <c r="C9" s="1" t="s">
        <v>535</v>
      </c>
      <c r="D9" s="1" t="s">
        <v>576</v>
      </c>
      <c r="E9" s="1" t="s">
        <v>416</v>
      </c>
      <c r="F9" s="1" t="s">
        <v>7</v>
      </c>
      <c r="G9" s="1" t="s">
        <v>30</v>
      </c>
      <c r="H9" s="1" t="s">
        <v>258</v>
      </c>
      <c r="I9" s="1" t="s">
        <v>577</v>
      </c>
      <c r="J9" s="51" t="str">
        <f t="shared" si="0"/>
        <v>LocaçãoManutenção</v>
      </c>
    </row>
    <row r="10" spans="1:10">
      <c r="A10" s="5" t="s">
        <v>587</v>
      </c>
      <c r="B10" s="1" t="s">
        <v>258</v>
      </c>
      <c r="C10" s="1" t="s">
        <v>579</v>
      </c>
      <c r="D10" s="1" t="s">
        <v>573</v>
      </c>
      <c r="E10" s="1" t="s">
        <v>416</v>
      </c>
      <c r="F10" s="1" t="s">
        <v>7</v>
      </c>
      <c r="G10" s="1" t="s">
        <v>30</v>
      </c>
      <c r="H10" s="1" t="s">
        <v>258</v>
      </c>
      <c r="I10" s="1" t="s">
        <v>577</v>
      </c>
      <c r="J10" s="51" t="str">
        <f t="shared" si="0"/>
        <v>LocaçãoADM &amp; Facilities</v>
      </c>
    </row>
    <row r="11" spans="1:10">
      <c r="A11" s="5" t="s">
        <v>588</v>
      </c>
      <c r="B11" s="1" t="s">
        <v>258</v>
      </c>
      <c r="C11" s="1" t="s">
        <v>581</v>
      </c>
      <c r="D11" s="1" t="s">
        <v>582</v>
      </c>
      <c r="E11" s="1" t="s">
        <v>416</v>
      </c>
      <c r="F11" s="1" t="s">
        <v>7</v>
      </c>
      <c r="G11" s="1" t="s">
        <v>30</v>
      </c>
      <c r="H11" s="1" t="s">
        <v>258</v>
      </c>
      <c r="I11" s="1" t="s">
        <v>574</v>
      </c>
      <c r="J11" s="51" t="str">
        <f t="shared" si="0"/>
        <v>LocaçãoJurídico</v>
      </c>
    </row>
    <row r="12" spans="1:10">
      <c r="A12" s="5" t="s">
        <v>589</v>
      </c>
      <c r="B12" s="1" t="s">
        <v>258</v>
      </c>
      <c r="C12" s="1" t="s">
        <v>543</v>
      </c>
      <c r="D12" s="1" t="s">
        <v>584</v>
      </c>
      <c r="E12" s="1" t="s">
        <v>416</v>
      </c>
      <c r="F12" s="1" t="s">
        <v>7</v>
      </c>
      <c r="G12" s="1" t="s">
        <v>30</v>
      </c>
      <c r="H12" s="1" t="s">
        <v>258</v>
      </c>
      <c r="I12" s="1" t="s">
        <v>574</v>
      </c>
      <c r="J12" s="51" t="str">
        <f t="shared" si="0"/>
        <v>LocaçãoSeguros</v>
      </c>
    </row>
    <row r="13" spans="1:10">
      <c r="A13" s="5" t="s">
        <v>590</v>
      </c>
      <c r="B13" s="1" t="s">
        <v>258</v>
      </c>
      <c r="C13" s="1" t="s">
        <v>572</v>
      </c>
      <c r="D13" s="1" t="s">
        <v>573</v>
      </c>
      <c r="E13" s="1" t="s">
        <v>416</v>
      </c>
      <c r="F13" s="1" t="s">
        <v>7</v>
      </c>
      <c r="G13" s="1" t="s">
        <v>591</v>
      </c>
      <c r="H13" s="1" t="s">
        <v>258</v>
      </c>
      <c r="I13" s="1" t="s">
        <v>574</v>
      </c>
      <c r="J13" s="51" t="str">
        <f t="shared" si="0"/>
        <v>LocaçãoReal Estate</v>
      </c>
    </row>
    <row r="14" spans="1:10">
      <c r="A14" s="5" t="s">
        <v>592</v>
      </c>
      <c r="B14" s="1" t="s">
        <v>258</v>
      </c>
      <c r="C14" s="1" t="s">
        <v>535</v>
      </c>
      <c r="D14" s="1" t="s">
        <v>576</v>
      </c>
      <c r="E14" s="1" t="s">
        <v>416</v>
      </c>
      <c r="F14" s="1" t="s">
        <v>7</v>
      </c>
      <c r="G14" s="1" t="s">
        <v>591</v>
      </c>
      <c r="H14" s="1" t="s">
        <v>258</v>
      </c>
      <c r="I14" s="1" t="s">
        <v>577</v>
      </c>
      <c r="J14" s="51" t="str">
        <f t="shared" si="0"/>
        <v>LocaçãoManutenção</v>
      </c>
    </row>
    <row r="15" spans="1:10">
      <c r="A15" s="5" t="s">
        <v>593</v>
      </c>
      <c r="B15" s="1" t="s">
        <v>258</v>
      </c>
      <c r="C15" s="1" t="s">
        <v>579</v>
      </c>
      <c r="D15" s="1" t="s">
        <v>573</v>
      </c>
      <c r="E15" s="1" t="s">
        <v>416</v>
      </c>
      <c r="F15" s="1" t="s">
        <v>7</v>
      </c>
      <c r="G15" s="1" t="s">
        <v>591</v>
      </c>
      <c r="H15" s="1" t="s">
        <v>258</v>
      </c>
      <c r="I15" s="1" t="s">
        <v>577</v>
      </c>
      <c r="J15" s="51" t="str">
        <f t="shared" si="0"/>
        <v>LocaçãoADM &amp; Facilities</v>
      </c>
    </row>
    <row r="16" spans="1:10">
      <c r="A16" s="5" t="s">
        <v>594</v>
      </c>
      <c r="B16" s="1" t="s">
        <v>258</v>
      </c>
      <c r="C16" s="1" t="s">
        <v>581</v>
      </c>
      <c r="D16" s="1" t="s">
        <v>582</v>
      </c>
      <c r="E16" s="1" t="s">
        <v>416</v>
      </c>
      <c r="F16" s="1" t="s">
        <v>7</v>
      </c>
      <c r="G16" s="1" t="s">
        <v>591</v>
      </c>
      <c r="H16" s="1" t="s">
        <v>258</v>
      </c>
      <c r="I16" s="1" t="s">
        <v>574</v>
      </c>
      <c r="J16" s="51" t="str">
        <f t="shared" si="0"/>
        <v>LocaçãoJurídico</v>
      </c>
    </row>
    <row r="17" spans="1:10">
      <c r="A17" s="5" t="s">
        <v>595</v>
      </c>
      <c r="B17" s="1" t="s">
        <v>258</v>
      </c>
      <c r="C17" s="1" t="s">
        <v>543</v>
      </c>
      <c r="D17" s="1" t="s">
        <v>584</v>
      </c>
      <c r="E17" s="1" t="s">
        <v>416</v>
      </c>
      <c r="F17" s="1" t="s">
        <v>7</v>
      </c>
      <c r="G17" s="1" t="s">
        <v>591</v>
      </c>
      <c r="H17" s="1" t="s">
        <v>258</v>
      </c>
      <c r="I17" s="1" t="s">
        <v>574</v>
      </c>
      <c r="J17" s="51" t="str">
        <f t="shared" si="0"/>
        <v>LocaçãoSeguros</v>
      </c>
    </row>
    <row r="18" spans="1:10">
      <c r="A18" s="5" t="s">
        <v>596</v>
      </c>
      <c r="B18" s="1" t="s">
        <v>10</v>
      </c>
      <c r="C18" s="1" t="s">
        <v>597</v>
      </c>
      <c r="D18" s="1" t="s">
        <v>598</v>
      </c>
      <c r="E18" s="1" t="s">
        <v>416</v>
      </c>
      <c r="F18" s="1" t="s">
        <v>7</v>
      </c>
      <c r="G18" s="1" t="s">
        <v>30</v>
      </c>
      <c r="H18" s="1" t="s">
        <v>14</v>
      </c>
      <c r="I18" s="1" t="s">
        <v>577</v>
      </c>
      <c r="J18" s="51" t="str">
        <f t="shared" si="0"/>
        <v>OperaçãoOperação Frio</v>
      </c>
    </row>
    <row r="19" spans="1:10">
      <c r="A19" s="5" t="s">
        <v>599</v>
      </c>
      <c r="B19" s="1" t="s">
        <v>10</v>
      </c>
      <c r="C19" s="1" t="s">
        <v>597</v>
      </c>
      <c r="D19" s="1" t="s">
        <v>598</v>
      </c>
      <c r="E19" s="1" t="s">
        <v>416</v>
      </c>
      <c r="F19" s="1" t="s">
        <v>7</v>
      </c>
      <c r="G19" s="1" t="s">
        <v>30</v>
      </c>
      <c r="H19" s="1" t="s">
        <v>14</v>
      </c>
      <c r="I19" s="1" t="s">
        <v>577</v>
      </c>
      <c r="J19" s="51" t="str">
        <f t="shared" si="0"/>
        <v>OperaçãoOperação Frio</v>
      </c>
    </row>
    <row r="20" spans="1:10">
      <c r="A20" s="5" t="s">
        <v>600</v>
      </c>
      <c r="B20" s="1" t="s">
        <v>10</v>
      </c>
      <c r="C20" s="1" t="s">
        <v>535</v>
      </c>
      <c r="D20" s="1" t="s">
        <v>576</v>
      </c>
      <c r="E20" s="1" t="s">
        <v>416</v>
      </c>
      <c r="F20" s="1" t="s">
        <v>7</v>
      </c>
      <c r="G20" s="1" t="s">
        <v>30</v>
      </c>
      <c r="H20" s="1" t="s">
        <v>14</v>
      </c>
      <c r="I20" s="1" t="s">
        <v>577</v>
      </c>
      <c r="J20" s="51" t="str">
        <f t="shared" si="0"/>
        <v>OperaçãoManutenção</v>
      </c>
    </row>
    <row r="21" spans="1:10">
      <c r="A21" s="5" t="s">
        <v>601</v>
      </c>
      <c r="B21" s="1" t="s">
        <v>10</v>
      </c>
      <c r="C21" s="1" t="s">
        <v>602</v>
      </c>
      <c r="D21" s="1" t="s">
        <v>603</v>
      </c>
      <c r="E21" s="1" t="s">
        <v>416</v>
      </c>
      <c r="F21" s="1" t="s">
        <v>7</v>
      </c>
      <c r="G21" s="1" t="s">
        <v>30</v>
      </c>
      <c r="H21" s="1" t="s">
        <v>14</v>
      </c>
      <c r="I21" s="1" t="s">
        <v>574</v>
      </c>
      <c r="J21" s="51" t="str">
        <f t="shared" si="0"/>
        <v>OperaçãoQualidade</v>
      </c>
    </row>
    <row r="22" spans="1:10">
      <c r="A22" s="5" t="s">
        <v>604</v>
      </c>
      <c r="B22" s="1" t="s">
        <v>10</v>
      </c>
      <c r="C22" s="1" t="s">
        <v>602</v>
      </c>
      <c r="D22" s="1" t="s">
        <v>603</v>
      </c>
      <c r="E22" s="1" t="s">
        <v>416</v>
      </c>
      <c r="F22" s="1" t="s">
        <v>7</v>
      </c>
      <c r="G22" s="1" t="s">
        <v>30</v>
      </c>
      <c r="H22" s="1" t="s">
        <v>14</v>
      </c>
      <c r="I22" s="1" t="s">
        <v>574</v>
      </c>
      <c r="J22" s="51" t="str">
        <f t="shared" si="0"/>
        <v>OperaçãoQualidade</v>
      </c>
    </row>
    <row r="23" spans="1:10">
      <c r="A23" s="5" t="s">
        <v>605</v>
      </c>
      <c r="B23" s="1" t="s">
        <v>10</v>
      </c>
      <c r="C23" s="1" t="s">
        <v>579</v>
      </c>
      <c r="D23" s="1" t="s">
        <v>598</v>
      </c>
      <c r="E23" s="1" t="s">
        <v>416</v>
      </c>
      <c r="F23" s="1" t="s">
        <v>7</v>
      </c>
      <c r="G23" s="1" t="s">
        <v>30</v>
      </c>
      <c r="H23" s="1" t="s">
        <v>14</v>
      </c>
      <c r="I23" s="1" t="s">
        <v>574</v>
      </c>
      <c r="J23" s="51" t="str">
        <f t="shared" si="0"/>
        <v>OperaçãoADM &amp; Facilities</v>
      </c>
    </row>
    <row r="24" spans="1:10">
      <c r="A24" s="5" t="s">
        <v>606</v>
      </c>
      <c r="B24" s="1" t="s">
        <v>10</v>
      </c>
      <c r="C24" s="1" t="s">
        <v>543</v>
      </c>
      <c r="D24" s="1" t="s">
        <v>584</v>
      </c>
      <c r="E24" s="1" t="s">
        <v>416</v>
      </c>
      <c r="F24" s="1" t="s">
        <v>7</v>
      </c>
      <c r="G24" s="1" t="s">
        <v>30</v>
      </c>
      <c r="H24" s="1" t="s">
        <v>14</v>
      </c>
      <c r="I24" s="1" t="s">
        <v>574</v>
      </c>
      <c r="J24" s="51" t="str">
        <f t="shared" si="0"/>
        <v>OperaçãoSeguros</v>
      </c>
    </row>
    <row r="25" spans="1:10">
      <c r="A25" s="5" t="s">
        <v>607</v>
      </c>
      <c r="B25" s="1" t="s">
        <v>10</v>
      </c>
      <c r="C25" s="1" t="s">
        <v>581</v>
      </c>
      <c r="D25" s="1" t="s">
        <v>582</v>
      </c>
      <c r="E25" s="1" t="s">
        <v>416</v>
      </c>
      <c r="F25" s="1" t="s">
        <v>7</v>
      </c>
      <c r="G25" s="1" t="s">
        <v>30</v>
      </c>
      <c r="H25" s="1" t="s">
        <v>14</v>
      </c>
      <c r="I25" s="1" t="s">
        <v>574</v>
      </c>
      <c r="J25" s="51" t="str">
        <f t="shared" si="0"/>
        <v>OperaçãoJurídico</v>
      </c>
    </row>
    <row r="26" spans="1:10">
      <c r="A26" s="5" t="s">
        <v>31</v>
      </c>
      <c r="B26" s="1" t="s">
        <v>10</v>
      </c>
      <c r="C26" s="1" t="s">
        <v>11</v>
      </c>
      <c r="D26" s="1" t="s">
        <v>13</v>
      </c>
      <c r="E26" s="1" t="s">
        <v>416</v>
      </c>
      <c r="F26" s="1" t="s">
        <v>7</v>
      </c>
      <c r="G26" s="1" t="s">
        <v>30</v>
      </c>
      <c r="H26" s="1" t="s">
        <v>14</v>
      </c>
      <c r="I26" s="1" t="s">
        <v>574</v>
      </c>
      <c r="J26" s="51" t="str">
        <f t="shared" si="0"/>
        <v>OperaçãoTI</v>
      </c>
    </row>
    <row r="27" spans="1:10">
      <c r="A27" s="5" t="s">
        <v>608</v>
      </c>
      <c r="B27" s="1" t="s">
        <v>10</v>
      </c>
      <c r="C27" s="1" t="s">
        <v>609</v>
      </c>
      <c r="D27" s="1" t="s">
        <v>610</v>
      </c>
      <c r="E27" s="1" t="s">
        <v>416</v>
      </c>
      <c r="F27" s="1" t="s">
        <v>7</v>
      </c>
      <c r="G27" s="1" t="s">
        <v>30</v>
      </c>
      <c r="H27" s="1" t="s">
        <v>14</v>
      </c>
      <c r="I27" s="1" t="s">
        <v>574</v>
      </c>
      <c r="J27" s="51" t="str">
        <f t="shared" si="0"/>
        <v>OperaçãoRecursos Humanos</v>
      </c>
    </row>
    <row r="28" spans="1:10">
      <c r="A28" s="5" t="s">
        <v>611</v>
      </c>
      <c r="B28" s="1" t="s">
        <v>10</v>
      </c>
      <c r="C28" s="1" t="s">
        <v>612</v>
      </c>
      <c r="D28" s="1" t="s">
        <v>613</v>
      </c>
      <c r="E28" s="1" t="s">
        <v>416</v>
      </c>
      <c r="F28" s="1" t="s">
        <v>7</v>
      </c>
      <c r="G28" s="1" t="s">
        <v>24</v>
      </c>
      <c r="H28" s="1" t="s">
        <v>9</v>
      </c>
      <c r="I28" s="1" t="s">
        <v>577</v>
      </c>
      <c r="J28" s="51" t="str">
        <f t="shared" si="0"/>
        <v>OperaçãoOperação Seco</v>
      </c>
    </row>
    <row r="29" spans="1:10">
      <c r="A29" s="5" t="s">
        <v>614</v>
      </c>
      <c r="B29" s="1" t="s">
        <v>10</v>
      </c>
      <c r="C29" s="1" t="s">
        <v>612</v>
      </c>
      <c r="D29" s="1" t="s">
        <v>613</v>
      </c>
      <c r="E29" s="1" t="s">
        <v>416</v>
      </c>
      <c r="F29" s="1" t="s">
        <v>7</v>
      </c>
      <c r="G29" s="1" t="s">
        <v>24</v>
      </c>
      <c r="H29" s="1" t="s">
        <v>9</v>
      </c>
      <c r="I29" s="1" t="s">
        <v>577</v>
      </c>
      <c r="J29" s="51" t="str">
        <f t="shared" si="0"/>
        <v>OperaçãoOperação Seco</v>
      </c>
    </row>
    <row r="30" spans="1:10">
      <c r="A30" s="5" t="s">
        <v>615</v>
      </c>
      <c r="B30" s="1" t="s">
        <v>10</v>
      </c>
      <c r="C30" s="1" t="s">
        <v>535</v>
      </c>
      <c r="D30" s="1" t="s">
        <v>576</v>
      </c>
      <c r="E30" s="1" t="s">
        <v>416</v>
      </c>
      <c r="F30" s="1" t="s">
        <v>7</v>
      </c>
      <c r="G30" s="1" t="s">
        <v>24</v>
      </c>
      <c r="H30" s="1" t="s">
        <v>9</v>
      </c>
      <c r="I30" s="1" t="s">
        <v>574</v>
      </c>
      <c r="J30" s="51" t="str">
        <f t="shared" si="0"/>
        <v>OperaçãoManutenção</v>
      </c>
    </row>
    <row r="31" spans="1:10">
      <c r="A31" s="5" t="s">
        <v>616</v>
      </c>
      <c r="B31" s="1" t="s">
        <v>10</v>
      </c>
      <c r="C31" s="1" t="s">
        <v>602</v>
      </c>
      <c r="D31" s="1" t="s">
        <v>603</v>
      </c>
      <c r="E31" s="1" t="s">
        <v>416</v>
      </c>
      <c r="F31" s="1" t="s">
        <v>7</v>
      </c>
      <c r="G31" s="1" t="s">
        <v>24</v>
      </c>
      <c r="H31" s="1" t="s">
        <v>9</v>
      </c>
      <c r="I31" s="1" t="s">
        <v>574</v>
      </c>
      <c r="J31" s="51" t="str">
        <f t="shared" si="0"/>
        <v>OperaçãoQualidade</v>
      </c>
    </row>
    <row r="32" spans="1:10">
      <c r="A32" s="5" t="s">
        <v>617</v>
      </c>
      <c r="B32" s="1" t="s">
        <v>10</v>
      </c>
      <c r="C32" s="1" t="s">
        <v>602</v>
      </c>
      <c r="D32" s="1" t="s">
        <v>603</v>
      </c>
      <c r="E32" s="1" t="s">
        <v>416</v>
      </c>
      <c r="F32" s="1" t="s">
        <v>7</v>
      </c>
      <c r="G32" s="1" t="s">
        <v>24</v>
      </c>
      <c r="H32" s="1" t="s">
        <v>9</v>
      </c>
      <c r="I32" s="1" t="s">
        <v>574</v>
      </c>
      <c r="J32" s="51" t="str">
        <f t="shared" si="0"/>
        <v>OperaçãoQualidade</v>
      </c>
    </row>
    <row r="33" spans="1:10">
      <c r="A33" s="5" t="s">
        <v>618</v>
      </c>
      <c r="B33" s="1" t="s">
        <v>10</v>
      </c>
      <c r="C33" s="1" t="s">
        <v>579</v>
      </c>
      <c r="D33" s="1" t="s">
        <v>613</v>
      </c>
      <c r="E33" s="1" t="s">
        <v>416</v>
      </c>
      <c r="F33" s="1" t="s">
        <v>7</v>
      </c>
      <c r="G33" s="1" t="s">
        <v>24</v>
      </c>
      <c r="H33" s="1" t="s">
        <v>9</v>
      </c>
      <c r="I33" s="1" t="s">
        <v>574</v>
      </c>
      <c r="J33" s="51" t="str">
        <f t="shared" si="0"/>
        <v>OperaçãoADM &amp; Facilities</v>
      </c>
    </row>
    <row r="34" spans="1:10">
      <c r="A34" s="5" t="s">
        <v>619</v>
      </c>
      <c r="B34" s="1" t="s">
        <v>10</v>
      </c>
      <c r="C34" s="1" t="s">
        <v>543</v>
      </c>
      <c r="D34" s="1" t="s">
        <v>584</v>
      </c>
      <c r="E34" s="1" t="s">
        <v>416</v>
      </c>
      <c r="F34" s="1" t="s">
        <v>7</v>
      </c>
      <c r="G34" s="1" t="s">
        <v>24</v>
      </c>
      <c r="H34" s="1" t="s">
        <v>9</v>
      </c>
      <c r="I34" s="1" t="s">
        <v>574</v>
      </c>
      <c r="J34" s="51" t="str">
        <f t="shared" si="0"/>
        <v>OperaçãoSeguros</v>
      </c>
    </row>
    <row r="35" spans="1:10">
      <c r="A35" s="5" t="s">
        <v>620</v>
      </c>
      <c r="B35" s="1" t="s">
        <v>10</v>
      </c>
      <c r="C35" s="1" t="s">
        <v>581</v>
      </c>
      <c r="D35" s="1" t="s">
        <v>582</v>
      </c>
      <c r="E35" s="1" t="s">
        <v>416</v>
      </c>
      <c r="F35" s="1" t="s">
        <v>7</v>
      </c>
      <c r="G35" s="1" t="s">
        <v>24</v>
      </c>
      <c r="H35" s="1" t="s">
        <v>9</v>
      </c>
      <c r="I35" s="1" t="s">
        <v>574</v>
      </c>
      <c r="J35" s="51" t="str">
        <f t="shared" si="0"/>
        <v>OperaçãoJurídico</v>
      </c>
    </row>
    <row r="36" spans="1:10">
      <c r="A36" s="5" t="s">
        <v>25</v>
      </c>
      <c r="B36" s="1" t="s">
        <v>10</v>
      </c>
      <c r="C36" s="1" t="s">
        <v>11</v>
      </c>
      <c r="D36" s="1" t="s">
        <v>13</v>
      </c>
      <c r="E36" s="1" t="s">
        <v>416</v>
      </c>
      <c r="F36" s="1" t="s">
        <v>7</v>
      </c>
      <c r="G36" s="1" t="s">
        <v>24</v>
      </c>
      <c r="H36" s="1" t="s">
        <v>9</v>
      </c>
      <c r="I36" s="1" t="s">
        <v>574</v>
      </c>
      <c r="J36" s="51" t="str">
        <f t="shared" si="0"/>
        <v>OperaçãoTI</v>
      </c>
    </row>
    <row r="37" spans="1:10">
      <c r="A37" s="5" t="s">
        <v>621</v>
      </c>
      <c r="B37" s="1" t="s">
        <v>10</v>
      </c>
      <c r="C37" s="1" t="s">
        <v>609</v>
      </c>
      <c r="D37" s="1" t="s">
        <v>610</v>
      </c>
      <c r="E37" s="1" t="s">
        <v>416</v>
      </c>
      <c r="F37" s="1" t="s">
        <v>7</v>
      </c>
      <c r="G37" s="1" t="s">
        <v>24</v>
      </c>
      <c r="H37" s="1" t="s">
        <v>9</v>
      </c>
      <c r="I37" s="1" t="s">
        <v>574</v>
      </c>
      <c r="J37" s="51" t="str">
        <f t="shared" si="0"/>
        <v>OperaçãoRecursos Humanos</v>
      </c>
    </row>
    <row r="38" spans="1:10">
      <c r="A38" s="5" t="s">
        <v>622</v>
      </c>
      <c r="B38" s="1" t="s">
        <v>10</v>
      </c>
      <c r="C38" s="1" t="s">
        <v>612</v>
      </c>
      <c r="D38" s="1" t="s">
        <v>623</v>
      </c>
      <c r="E38" s="1" t="s">
        <v>416</v>
      </c>
      <c r="F38" s="1" t="s">
        <v>7</v>
      </c>
      <c r="G38" s="1" t="s">
        <v>8</v>
      </c>
      <c r="H38" s="1" t="s">
        <v>9</v>
      </c>
      <c r="I38" s="1" t="s">
        <v>577</v>
      </c>
      <c r="J38" s="51" t="str">
        <f t="shared" si="0"/>
        <v>OperaçãoOperação Seco</v>
      </c>
    </row>
    <row r="39" spans="1:10">
      <c r="A39" s="5" t="s">
        <v>624</v>
      </c>
      <c r="B39" s="1" t="s">
        <v>10</v>
      </c>
      <c r="C39" s="1" t="s">
        <v>612</v>
      </c>
      <c r="D39" s="1" t="s">
        <v>623</v>
      </c>
      <c r="E39" s="1" t="s">
        <v>416</v>
      </c>
      <c r="F39" s="1" t="s">
        <v>7</v>
      </c>
      <c r="G39" s="1" t="s">
        <v>8</v>
      </c>
      <c r="H39" s="1" t="s">
        <v>9</v>
      </c>
      <c r="I39" s="1" t="s">
        <v>577</v>
      </c>
      <c r="J39" s="51" t="str">
        <f t="shared" si="0"/>
        <v>OperaçãoOperação Seco</v>
      </c>
    </row>
    <row r="40" spans="1:10">
      <c r="A40" s="5" t="s">
        <v>625</v>
      </c>
      <c r="B40" s="1" t="s">
        <v>10</v>
      </c>
      <c r="C40" s="1" t="s">
        <v>535</v>
      </c>
      <c r="D40" s="1" t="s">
        <v>576</v>
      </c>
      <c r="E40" s="1" t="s">
        <v>416</v>
      </c>
      <c r="F40" s="1" t="s">
        <v>7</v>
      </c>
      <c r="G40" s="1" t="s">
        <v>8</v>
      </c>
      <c r="H40" s="1" t="s">
        <v>9</v>
      </c>
      <c r="I40" s="1" t="s">
        <v>577</v>
      </c>
      <c r="J40" s="51" t="str">
        <f t="shared" si="0"/>
        <v>OperaçãoManutenção</v>
      </c>
    </row>
    <row r="41" spans="1:10">
      <c r="A41" s="5" t="s">
        <v>626</v>
      </c>
      <c r="B41" s="1" t="s">
        <v>10</v>
      </c>
      <c r="C41" s="1" t="s">
        <v>602</v>
      </c>
      <c r="D41" s="1" t="s">
        <v>603</v>
      </c>
      <c r="E41" s="1" t="s">
        <v>416</v>
      </c>
      <c r="F41" s="1" t="s">
        <v>7</v>
      </c>
      <c r="G41" s="1" t="s">
        <v>8</v>
      </c>
      <c r="H41" s="1" t="s">
        <v>9</v>
      </c>
      <c r="I41" s="1" t="s">
        <v>574</v>
      </c>
      <c r="J41" s="51" t="str">
        <f t="shared" si="0"/>
        <v>OperaçãoQualidade</v>
      </c>
    </row>
    <row r="42" spans="1:10">
      <c r="A42" s="5" t="s">
        <v>627</v>
      </c>
      <c r="B42" s="1" t="s">
        <v>10</v>
      </c>
      <c r="C42" s="1" t="s">
        <v>602</v>
      </c>
      <c r="D42" s="1" t="s">
        <v>603</v>
      </c>
      <c r="E42" s="1" t="s">
        <v>416</v>
      </c>
      <c r="F42" s="1" t="s">
        <v>7</v>
      </c>
      <c r="G42" s="1" t="s">
        <v>8</v>
      </c>
      <c r="H42" s="1" t="s">
        <v>9</v>
      </c>
      <c r="I42" s="1" t="s">
        <v>574</v>
      </c>
      <c r="J42" s="51" t="str">
        <f t="shared" si="0"/>
        <v>OperaçãoQualidade</v>
      </c>
    </row>
    <row r="43" spans="1:10">
      <c r="A43" s="5" t="s">
        <v>628</v>
      </c>
      <c r="B43" s="1" t="s">
        <v>10</v>
      </c>
      <c r="C43" s="1" t="s">
        <v>579</v>
      </c>
      <c r="D43" s="1" t="s">
        <v>623</v>
      </c>
      <c r="E43" s="1" t="s">
        <v>416</v>
      </c>
      <c r="F43" s="1" t="s">
        <v>7</v>
      </c>
      <c r="G43" s="1" t="s">
        <v>8</v>
      </c>
      <c r="H43" s="1" t="s">
        <v>9</v>
      </c>
      <c r="I43" s="1" t="s">
        <v>574</v>
      </c>
      <c r="J43" s="51" t="str">
        <f t="shared" ref="J43:J106" si="2">B43&amp;C43</f>
        <v>OperaçãoADM &amp; Facilities</v>
      </c>
    </row>
    <row r="44" spans="1:10">
      <c r="A44" s="5" t="s">
        <v>629</v>
      </c>
      <c r="B44" s="1" t="s">
        <v>10</v>
      </c>
      <c r="C44" s="1" t="s">
        <v>543</v>
      </c>
      <c r="D44" s="1" t="s">
        <v>584</v>
      </c>
      <c r="E44" s="1" t="s">
        <v>416</v>
      </c>
      <c r="F44" s="1" t="s">
        <v>7</v>
      </c>
      <c r="G44" s="1" t="s">
        <v>8</v>
      </c>
      <c r="H44" s="1" t="s">
        <v>9</v>
      </c>
      <c r="I44" s="1" t="s">
        <v>574</v>
      </c>
      <c r="J44" s="51" t="str">
        <f t="shared" si="2"/>
        <v>OperaçãoSeguros</v>
      </c>
    </row>
    <row r="45" spans="1:10">
      <c r="A45" s="5" t="s">
        <v>630</v>
      </c>
      <c r="B45" s="1" t="s">
        <v>10</v>
      </c>
      <c r="C45" s="1" t="s">
        <v>581</v>
      </c>
      <c r="D45" s="1" t="s">
        <v>582</v>
      </c>
      <c r="E45" s="1" t="s">
        <v>416</v>
      </c>
      <c r="F45" s="1" t="s">
        <v>7</v>
      </c>
      <c r="G45" s="1" t="s">
        <v>8</v>
      </c>
      <c r="H45" s="1" t="s">
        <v>9</v>
      </c>
      <c r="I45" s="1" t="s">
        <v>574</v>
      </c>
      <c r="J45" s="51" t="str">
        <f t="shared" si="2"/>
        <v>OperaçãoJurídico</v>
      </c>
    </row>
    <row r="46" spans="1:10">
      <c r="A46" s="5" t="s">
        <v>12</v>
      </c>
      <c r="B46" s="1" t="s">
        <v>10</v>
      </c>
      <c r="C46" s="1" t="s">
        <v>11</v>
      </c>
      <c r="D46" s="1" t="s">
        <v>13</v>
      </c>
      <c r="E46" s="1" t="s">
        <v>416</v>
      </c>
      <c r="F46" s="1" t="s">
        <v>7</v>
      </c>
      <c r="G46" s="1" t="s">
        <v>8</v>
      </c>
      <c r="H46" s="1" t="s">
        <v>9</v>
      </c>
      <c r="I46" s="1" t="s">
        <v>574</v>
      </c>
      <c r="J46" s="51" t="str">
        <f t="shared" si="2"/>
        <v>OperaçãoTI</v>
      </c>
    </row>
    <row r="47" spans="1:10">
      <c r="A47" s="5" t="s">
        <v>631</v>
      </c>
      <c r="B47" s="1" t="s">
        <v>10</v>
      </c>
      <c r="C47" s="1" t="s">
        <v>609</v>
      </c>
      <c r="D47" s="1" t="s">
        <v>610</v>
      </c>
      <c r="E47" s="1" t="s">
        <v>416</v>
      </c>
      <c r="F47" s="1" t="s">
        <v>7</v>
      </c>
      <c r="G47" s="1" t="s">
        <v>8</v>
      </c>
      <c r="H47" s="1" t="s">
        <v>9</v>
      </c>
      <c r="I47" s="1" t="s">
        <v>574</v>
      </c>
      <c r="J47" s="51" t="str">
        <f t="shared" si="2"/>
        <v>OperaçãoRecursos Humanos</v>
      </c>
    </row>
    <row r="48" spans="1:10">
      <c r="A48" s="5" t="s">
        <v>632</v>
      </c>
      <c r="B48" s="1" t="s">
        <v>10</v>
      </c>
      <c r="C48" s="1" t="s">
        <v>597</v>
      </c>
      <c r="D48" s="1" t="s">
        <v>623</v>
      </c>
      <c r="E48" s="1" t="s">
        <v>416</v>
      </c>
      <c r="F48" s="1" t="s">
        <v>7</v>
      </c>
      <c r="G48" s="1" t="s">
        <v>8</v>
      </c>
      <c r="H48" s="1" t="s">
        <v>14</v>
      </c>
      <c r="I48" s="1" t="s">
        <v>577</v>
      </c>
      <c r="J48" s="51" t="str">
        <f t="shared" si="2"/>
        <v>OperaçãoOperação Frio</v>
      </c>
    </row>
    <row r="49" spans="1:10">
      <c r="A49" s="5" t="s">
        <v>633</v>
      </c>
      <c r="B49" s="1" t="s">
        <v>10</v>
      </c>
      <c r="C49" s="1" t="s">
        <v>597</v>
      </c>
      <c r="D49" s="1" t="s">
        <v>623</v>
      </c>
      <c r="E49" s="1" t="s">
        <v>416</v>
      </c>
      <c r="F49" s="1" t="s">
        <v>7</v>
      </c>
      <c r="G49" s="1" t="s">
        <v>8</v>
      </c>
      <c r="H49" s="1" t="s">
        <v>14</v>
      </c>
      <c r="I49" s="1" t="s">
        <v>577</v>
      </c>
      <c r="J49" s="51" t="str">
        <f t="shared" si="2"/>
        <v>OperaçãoOperação Frio</v>
      </c>
    </row>
    <row r="50" spans="1:10">
      <c r="A50" s="5" t="s">
        <v>634</v>
      </c>
      <c r="B50" s="1" t="s">
        <v>10</v>
      </c>
      <c r="C50" s="1" t="s">
        <v>535</v>
      </c>
      <c r="D50" s="1" t="s">
        <v>576</v>
      </c>
      <c r="E50" s="1" t="s">
        <v>416</v>
      </c>
      <c r="F50" s="1" t="s">
        <v>7</v>
      </c>
      <c r="G50" s="1" t="s">
        <v>8</v>
      </c>
      <c r="H50" s="1" t="s">
        <v>14</v>
      </c>
      <c r="I50" s="1" t="s">
        <v>577</v>
      </c>
      <c r="J50" s="51" t="str">
        <f t="shared" si="2"/>
        <v>OperaçãoManutenção</v>
      </c>
    </row>
    <row r="51" spans="1:10">
      <c r="A51" s="5" t="s">
        <v>635</v>
      </c>
      <c r="B51" s="1" t="s">
        <v>10</v>
      </c>
      <c r="C51" s="1" t="s">
        <v>602</v>
      </c>
      <c r="D51" s="1" t="s">
        <v>603</v>
      </c>
      <c r="E51" s="1" t="s">
        <v>416</v>
      </c>
      <c r="F51" s="1" t="s">
        <v>7</v>
      </c>
      <c r="G51" s="1" t="s">
        <v>8</v>
      </c>
      <c r="H51" s="1" t="s">
        <v>14</v>
      </c>
      <c r="I51" s="1" t="s">
        <v>574</v>
      </c>
      <c r="J51" s="51" t="str">
        <f t="shared" si="2"/>
        <v>OperaçãoQualidade</v>
      </c>
    </row>
    <row r="52" spans="1:10">
      <c r="A52" s="5" t="s">
        <v>636</v>
      </c>
      <c r="B52" s="1" t="s">
        <v>10</v>
      </c>
      <c r="C52" s="1" t="s">
        <v>602</v>
      </c>
      <c r="D52" s="1" t="s">
        <v>603</v>
      </c>
      <c r="E52" s="1" t="s">
        <v>416</v>
      </c>
      <c r="F52" s="1" t="s">
        <v>7</v>
      </c>
      <c r="G52" s="1" t="s">
        <v>8</v>
      </c>
      <c r="H52" s="1" t="s">
        <v>14</v>
      </c>
      <c r="I52" s="1" t="s">
        <v>574</v>
      </c>
      <c r="J52" s="51" t="str">
        <f t="shared" si="2"/>
        <v>OperaçãoQualidade</v>
      </c>
    </row>
    <row r="53" spans="1:10">
      <c r="A53" s="5" t="s">
        <v>637</v>
      </c>
      <c r="B53" s="1" t="s">
        <v>10</v>
      </c>
      <c r="C53" s="1" t="s">
        <v>579</v>
      </c>
      <c r="D53" s="1" t="s">
        <v>623</v>
      </c>
      <c r="E53" s="1" t="s">
        <v>416</v>
      </c>
      <c r="F53" s="1" t="s">
        <v>7</v>
      </c>
      <c r="G53" s="1" t="s">
        <v>8</v>
      </c>
      <c r="H53" s="1" t="s">
        <v>14</v>
      </c>
      <c r="I53" s="1" t="s">
        <v>574</v>
      </c>
      <c r="J53" s="51" t="str">
        <f t="shared" si="2"/>
        <v>OperaçãoADM &amp; Facilities</v>
      </c>
    </row>
    <row r="54" spans="1:10">
      <c r="A54" s="5" t="s">
        <v>638</v>
      </c>
      <c r="B54" s="1" t="s">
        <v>10</v>
      </c>
      <c r="C54" s="1" t="s">
        <v>543</v>
      </c>
      <c r="D54" s="1" t="s">
        <v>584</v>
      </c>
      <c r="E54" s="1" t="s">
        <v>416</v>
      </c>
      <c r="F54" s="1" t="s">
        <v>7</v>
      </c>
      <c r="G54" s="1" t="s">
        <v>8</v>
      </c>
      <c r="H54" s="1" t="s">
        <v>14</v>
      </c>
      <c r="I54" s="1" t="s">
        <v>574</v>
      </c>
      <c r="J54" s="51" t="str">
        <f t="shared" si="2"/>
        <v>OperaçãoSeguros</v>
      </c>
    </row>
    <row r="55" spans="1:10">
      <c r="A55" s="5" t="s">
        <v>639</v>
      </c>
      <c r="B55" s="1" t="s">
        <v>10</v>
      </c>
      <c r="C55" s="1" t="s">
        <v>581</v>
      </c>
      <c r="D55" s="1" t="s">
        <v>582</v>
      </c>
      <c r="E55" s="1" t="s">
        <v>416</v>
      </c>
      <c r="F55" s="1" t="s">
        <v>7</v>
      </c>
      <c r="G55" s="1" t="s">
        <v>8</v>
      </c>
      <c r="H55" s="1" t="s">
        <v>14</v>
      </c>
      <c r="I55" s="1" t="s">
        <v>574</v>
      </c>
      <c r="J55" s="51" t="str">
        <f t="shared" si="2"/>
        <v>OperaçãoJurídico</v>
      </c>
    </row>
    <row r="56" spans="1:10">
      <c r="A56" s="5" t="s">
        <v>15</v>
      </c>
      <c r="B56" s="1" t="s">
        <v>10</v>
      </c>
      <c r="C56" s="1" t="s">
        <v>11</v>
      </c>
      <c r="D56" s="1" t="s">
        <v>13</v>
      </c>
      <c r="E56" s="1" t="s">
        <v>416</v>
      </c>
      <c r="F56" s="1" t="s">
        <v>7</v>
      </c>
      <c r="G56" s="1" t="s">
        <v>8</v>
      </c>
      <c r="H56" s="1" t="s">
        <v>14</v>
      </c>
      <c r="I56" s="1" t="s">
        <v>574</v>
      </c>
      <c r="J56" s="51" t="str">
        <f t="shared" si="2"/>
        <v>OperaçãoTI</v>
      </c>
    </row>
    <row r="57" spans="1:10">
      <c r="A57" s="5" t="s">
        <v>640</v>
      </c>
      <c r="B57" s="1" t="s">
        <v>10</v>
      </c>
      <c r="C57" s="1" t="s">
        <v>609</v>
      </c>
      <c r="D57" s="1" t="s">
        <v>610</v>
      </c>
      <c r="E57" s="1" t="s">
        <v>416</v>
      </c>
      <c r="F57" s="1" t="s">
        <v>7</v>
      </c>
      <c r="G57" s="1" t="s">
        <v>8</v>
      </c>
      <c r="H57" s="1" t="s">
        <v>14</v>
      </c>
      <c r="I57" s="1" t="s">
        <v>574</v>
      </c>
      <c r="J57" s="51" t="str">
        <f t="shared" si="2"/>
        <v>OperaçãoRecursos Humanos</v>
      </c>
    </row>
    <row r="58" spans="1:10">
      <c r="A58" s="5" t="s">
        <v>641</v>
      </c>
      <c r="B58" s="1" t="s">
        <v>10</v>
      </c>
      <c r="C58" s="1" t="s">
        <v>642</v>
      </c>
      <c r="D58" s="1" t="s">
        <v>623</v>
      </c>
      <c r="E58" s="1" t="s">
        <v>416</v>
      </c>
      <c r="F58" s="1" t="s">
        <v>7</v>
      </c>
      <c r="G58" s="1" t="s">
        <v>8</v>
      </c>
      <c r="H58" s="1" t="s">
        <v>16</v>
      </c>
      <c r="I58" s="1" t="s">
        <v>577</v>
      </c>
      <c r="J58" s="51" t="str">
        <f t="shared" si="2"/>
        <v>OperaçãoOperação Pátio</v>
      </c>
    </row>
    <row r="59" spans="1:10">
      <c r="A59" s="5" t="s">
        <v>643</v>
      </c>
      <c r="B59" s="1" t="s">
        <v>10</v>
      </c>
      <c r="C59" s="1" t="s">
        <v>642</v>
      </c>
      <c r="D59" s="1" t="s">
        <v>623</v>
      </c>
      <c r="E59" s="1" t="s">
        <v>416</v>
      </c>
      <c r="F59" s="1" t="s">
        <v>7</v>
      </c>
      <c r="G59" s="1" t="s">
        <v>8</v>
      </c>
      <c r="H59" s="1" t="s">
        <v>16</v>
      </c>
      <c r="I59" s="1" t="s">
        <v>577</v>
      </c>
      <c r="J59" s="51" t="str">
        <f t="shared" si="2"/>
        <v>OperaçãoOperação Pátio</v>
      </c>
    </row>
    <row r="60" spans="1:10">
      <c r="A60" s="5" t="s">
        <v>644</v>
      </c>
      <c r="B60" s="1" t="s">
        <v>10</v>
      </c>
      <c r="C60" s="1" t="s">
        <v>535</v>
      </c>
      <c r="D60" s="1" t="s">
        <v>576</v>
      </c>
      <c r="E60" s="1" t="s">
        <v>416</v>
      </c>
      <c r="F60" s="1" t="s">
        <v>7</v>
      </c>
      <c r="G60" s="1" t="s">
        <v>8</v>
      </c>
      <c r="H60" s="1" t="s">
        <v>16</v>
      </c>
      <c r="I60" s="1" t="s">
        <v>577</v>
      </c>
      <c r="J60" s="51" t="str">
        <f t="shared" si="2"/>
        <v>OperaçãoManutenção</v>
      </c>
    </row>
    <row r="61" spans="1:10">
      <c r="A61" s="5" t="s">
        <v>645</v>
      </c>
      <c r="B61" s="1" t="s">
        <v>10</v>
      </c>
      <c r="C61" s="1" t="s">
        <v>602</v>
      </c>
      <c r="D61" s="1" t="s">
        <v>603</v>
      </c>
      <c r="E61" s="1" t="s">
        <v>416</v>
      </c>
      <c r="F61" s="1" t="s">
        <v>7</v>
      </c>
      <c r="G61" s="1" t="s">
        <v>8</v>
      </c>
      <c r="H61" s="1" t="s">
        <v>16</v>
      </c>
      <c r="I61" s="1" t="s">
        <v>574</v>
      </c>
      <c r="J61" s="51" t="str">
        <f t="shared" si="2"/>
        <v>OperaçãoQualidade</v>
      </c>
    </row>
    <row r="62" spans="1:10">
      <c r="A62" s="5" t="s">
        <v>646</v>
      </c>
      <c r="B62" s="1" t="s">
        <v>10</v>
      </c>
      <c r="C62" s="1" t="s">
        <v>602</v>
      </c>
      <c r="D62" s="1" t="s">
        <v>603</v>
      </c>
      <c r="E62" s="1" t="s">
        <v>416</v>
      </c>
      <c r="F62" s="1" t="s">
        <v>7</v>
      </c>
      <c r="G62" s="1" t="s">
        <v>8</v>
      </c>
      <c r="H62" s="1" t="s">
        <v>16</v>
      </c>
      <c r="I62" s="1" t="s">
        <v>574</v>
      </c>
      <c r="J62" s="51" t="str">
        <f t="shared" si="2"/>
        <v>OperaçãoQualidade</v>
      </c>
    </row>
    <row r="63" spans="1:10">
      <c r="A63" s="5" t="s">
        <v>647</v>
      </c>
      <c r="B63" s="1" t="s">
        <v>10</v>
      </c>
      <c r="C63" s="1" t="s">
        <v>579</v>
      </c>
      <c r="D63" s="1" t="s">
        <v>623</v>
      </c>
      <c r="E63" s="1" t="s">
        <v>416</v>
      </c>
      <c r="F63" s="1" t="s">
        <v>7</v>
      </c>
      <c r="G63" s="1" t="s">
        <v>8</v>
      </c>
      <c r="H63" s="1" t="s">
        <v>16</v>
      </c>
      <c r="I63" s="1" t="s">
        <v>574</v>
      </c>
      <c r="J63" s="51" t="str">
        <f t="shared" si="2"/>
        <v>OperaçãoADM &amp; Facilities</v>
      </c>
    </row>
    <row r="64" spans="1:10">
      <c r="A64" s="5" t="s">
        <v>648</v>
      </c>
      <c r="B64" s="1" t="s">
        <v>10</v>
      </c>
      <c r="C64" s="1" t="s">
        <v>543</v>
      </c>
      <c r="D64" s="1" t="s">
        <v>584</v>
      </c>
      <c r="E64" s="1" t="s">
        <v>416</v>
      </c>
      <c r="F64" s="1" t="s">
        <v>7</v>
      </c>
      <c r="G64" s="1" t="s">
        <v>8</v>
      </c>
      <c r="H64" s="1" t="s">
        <v>16</v>
      </c>
      <c r="I64" s="1" t="s">
        <v>574</v>
      </c>
      <c r="J64" s="51" t="str">
        <f t="shared" si="2"/>
        <v>OperaçãoSeguros</v>
      </c>
    </row>
    <row r="65" spans="1:10">
      <c r="A65" s="5" t="s">
        <v>649</v>
      </c>
      <c r="B65" s="1" t="s">
        <v>10</v>
      </c>
      <c r="C65" s="1" t="s">
        <v>581</v>
      </c>
      <c r="D65" s="1" t="s">
        <v>582</v>
      </c>
      <c r="E65" s="1" t="s">
        <v>416</v>
      </c>
      <c r="F65" s="1" t="s">
        <v>7</v>
      </c>
      <c r="G65" s="1" t="s">
        <v>8</v>
      </c>
      <c r="H65" s="1" t="s">
        <v>16</v>
      </c>
      <c r="I65" s="1" t="s">
        <v>574</v>
      </c>
      <c r="J65" s="51" t="str">
        <f t="shared" si="2"/>
        <v>OperaçãoJurídico</v>
      </c>
    </row>
    <row r="66" spans="1:10">
      <c r="A66" s="5" t="s">
        <v>17</v>
      </c>
      <c r="B66" s="1" t="s">
        <v>10</v>
      </c>
      <c r="C66" s="1" t="s">
        <v>11</v>
      </c>
      <c r="D66" s="1" t="s">
        <v>13</v>
      </c>
      <c r="E66" s="1" t="s">
        <v>416</v>
      </c>
      <c r="F66" s="1" t="s">
        <v>7</v>
      </c>
      <c r="G66" s="1" t="s">
        <v>8</v>
      </c>
      <c r="H66" s="1" t="s">
        <v>16</v>
      </c>
      <c r="I66" s="1" t="s">
        <v>574</v>
      </c>
      <c r="J66" s="51" t="str">
        <f t="shared" si="2"/>
        <v>OperaçãoTI</v>
      </c>
    </row>
    <row r="67" spans="1:10">
      <c r="A67" s="5" t="s">
        <v>650</v>
      </c>
      <c r="B67" s="1" t="s">
        <v>10</v>
      </c>
      <c r="C67" s="1" t="s">
        <v>609</v>
      </c>
      <c r="D67" s="1" t="s">
        <v>610</v>
      </c>
      <c r="E67" s="1" t="s">
        <v>416</v>
      </c>
      <c r="F67" s="1" t="s">
        <v>7</v>
      </c>
      <c r="G67" s="1" t="s">
        <v>8</v>
      </c>
      <c r="H67" s="1" t="s">
        <v>16</v>
      </c>
      <c r="I67" s="1" t="s">
        <v>574</v>
      </c>
      <c r="J67" s="51" t="str">
        <f t="shared" si="2"/>
        <v>OperaçãoRecursos Humanos</v>
      </c>
    </row>
    <row r="68" spans="1:10">
      <c r="A68" s="32" t="s">
        <v>651</v>
      </c>
      <c r="B68" s="31" t="s">
        <v>10</v>
      </c>
      <c r="C68" s="31" t="s">
        <v>535</v>
      </c>
      <c r="D68" s="31" t="s">
        <v>576</v>
      </c>
      <c r="E68" s="31" t="s">
        <v>416</v>
      </c>
      <c r="F68" s="31" t="s">
        <v>7</v>
      </c>
      <c r="G68" s="31" t="s">
        <v>8</v>
      </c>
      <c r="H68" s="31" t="s">
        <v>18</v>
      </c>
      <c r="I68" s="31" t="s">
        <v>574</v>
      </c>
      <c r="J68" s="51" t="str">
        <f t="shared" si="2"/>
        <v>OperaçãoManutenção</v>
      </c>
    </row>
    <row r="69" spans="1:10">
      <c r="A69" s="32" t="s">
        <v>652</v>
      </c>
      <c r="B69" s="31" t="s">
        <v>10</v>
      </c>
      <c r="C69" s="31" t="s">
        <v>602</v>
      </c>
      <c r="D69" s="31" t="s">
        <v>603</v>
      </c>
      <c r="E69" s="31" t="s">
        <v>416</v>
      </c>
      <c r="F69" s="31" t="s">
        <v>7</v>
      </c>
      <c r="G69" s="31" t="s">
        <v>8</v>
      </c>
      <c r="H69" s="31" t="s">
        <v>18</v>
      </c>
      <c r="I69" s="31" t="s">
        <v>574</v>
      </c>
      <c r="J69" s="51" t="str">
        <f t="shared" si="2"/>
        <v>OperaçãoQualidade</v>
      </c>
    </row>
    <row r="70" spans="1:10">
      <c r="A70" s="32" t="s">
        <v>653</v>
      </c>
      <c r="B70" s="31" t="s">
        <v>10</v>
      </c>
      <c r="C70" s="31" t="s">
        <v>602</v>
      </c>
      <c r="D70" s="31" t="s">
        <v>603</v>
      </c>
      <c r="E70" s="31" t="s">
        <v>416</v>
      </c>
      <c r="F70" s="31" t="s">
        <v>7</v>
      </c>
      <c r="G70" s="31" t="s">
        <v>8</v>
      </c>
      <c r="H70" s="31" t="s">
        <v>18</v>
      </c>
      <c r="I70" s="31" t="s">
        <v>574</v>
      </c>
      <c r="J70" s="51" t="str">
        <f t="shared" si="2"/>
        <v>OperaçãoQualidade</v>
      </c>
    </row>
    <row r="71" spans="1:10">
      <c r="A71" s="32" t="s">
        <v>654</v>
      </c>
      <c r="B71" s="31" t="s">
        <v>10</v>
      </c>
      <c r="C71" s="31" t="s">
        <v>579</v>
      </c>
      <c r="D71" s="31" t="s">
        <v>623</v>
      </c>
      <c r="E71" s="31" t="s">
        <v>416</v>
      </c>
      <c r="F71" s="31" t="s">
        <v>7</v>
      </c>
      <c r="G71" s="31" t="s">
        <v>8</v>
      </c>
      <c r="H71" s="31" t="s">
        <v>18</v>
      </c>
      <c r="I71" s="31" t="s">
        <v>574</v>
      </c>
      <c r="J71" s="51" t="str">
        <f t="shared" si="2"/>
        <v>OperaçãoADM &amp; Facilities</v>
      </c>
    </row>
    <row r="72" spans="1:10">
      <c r="A72" s="32" t="s">
        <v>655</v>
      </c>
      <c r="B72" s="31" t="s">
        <v>10</v>
      </c>
      <c r="C72" s="31" t="s">
        <v>543</v>
      </c>
      <c r="D72" s="31" t="s">
        <v>584</v>
      </c>
      <c r="E72" s="31" t="s">
        <v>416</v>
      </c>
      <c r="F72" s="31" t="s">
        <v>7</v>
      </c>
      <c r="G72" s="31" t="s">
        <v>8</v>
      </c>
      <c r="H72" s="31" t="s">
        <v>18</v>
      </c>
      <c r="I72" s="31" t="s">
        <v>574</v>
      </c>
      <c r="J72" s="51" t="str">
        <f t="shared" si="2"/>
        <v>OperaçãoSeguros</v>
      </c>
    </row>
    <row r="73" spans="1:10">
      <c r="A73" s="32" t="s">
        <v>656</v>
      </c>
      <c r="B73" s="31" t="s">
        <v>10</v>
      </c>
      <c r="C73" s="31" t="s">
        <v>581</v>
      </c>
      <c r="D73" s="31" t="s">
        <v>582</v>
      </c>
      <c r="E73" s="31" t="s">
        <v>416</v>
      </c>
      <c r="F73" s="31" t="s">
        <v>7</v>
      </c>
      <c r="G73" s="31" t="s">
        <v>8</v>
      </c>
      <c r="H73" s="31" t="s">
        <v>18</v>
      </c>
      <c r="I73" s="31" t="s">
        <v>574</v>
      </c>
      <c r="J73" s="51" t="str">
        <f t="shared" si="2"/>
        <v>OperaçãoJurídico</v>
      </c>
    </row>
    <row r="74" spans="1:10">
      <c r="A74" s="32" t="s">
        <v>19</v>
      </c>
      <c r="B74" s="31" t="s">
        <v>10</v>
      </c>
      <c r="C74" s="31" t="s">
        <v>11</v>
      </c>
      <c r="D74" s="31" t="s">
        <v>13</v>
      </c>
      <c r="E74" s="31" t="s">
        <v>416</v>
      </c>
      <c r="F74" s="31" t="s">
        <v>7</v>
      </c>
      <c r="G74" s="31" t="s">
        <v>8</v>
      </c>
      <c r="H74" s="31" t="s">
        <v>18</v>
      </c>
      <c r="I74" s="31" t="s">
        <v>574</v>
      </c>
      <c r="J74" s="51" t="str">
        <f t="shared" si="2"/>
        <v>OperaçãoTI</v>
      </c>
    </row>
    <row r="75" spans="1:10">
      <c r="A75" s="32" t="s">
        <v>657</v>
      </c>
      <c r="B75" s="31" t="s">
        <v>10</v>
      </c>
      <c r="C75" s="31" t="s">
        <v>609</v>
      </c>
      <c r="D75" s="31" t="s">
        <v>610</v>
      </c>
      <c r="E75" s="31" t="s">
        <v>416</v>
      </c>
      <c r="F75" s="31" t="s">
        <v>7</v>
      </c>
      <c r="G75" s="31" t="s">
        <v>8</v>
      </c>
      <c r="H75" s="31" t="s">
        <v>18</v>
      </c>
      <c r="I75" s="31" t="s">
        <v>574</v>
      </c>
      <c r="J75" s="51" t="str">
        <f t="shared" si="2"/>
        <v>OperaçãoRecursos Humanos</v>
      </c>
    </row>
    <row r="76" spans="1:10">
      <c r="A76" s="5" t="s">
        <v>658</v>
      </c>
      <c r="B76" s="1" t="s">
        <v>10</v>
      </c>
      <c r="C76" s="1" t="s">
        <v>597</v>
      </c>
      <c r="D76" s="1" t="s">
        <v>659</v>
      </c>
      <c r="E76" s="1" t="s">
        <v>416</v>
      </c>
      <c r="F76" s="1" t="s">
        <v>7</v>
      </c>
      <c r="G76" s="1" t="s">
        <v>26</v>
      </c>
      <c r="H76" s="1" t="s">
        <v>14</v>
      </c>
      <c r="I76" s="1" t="s">
        <v>577</v>
      </c>
      <c r="J76" s="51" t="str">
        <f t="shared" si="2"/>
        <v>OperaçãoOperação Frio</v>
      </c>
    </row>
    <row r="77" spans="1:10">
      <c r="A77" s="5" t="s">
        <v>660</v>
      </c>
      <c r="B77" s="1" t="s">
        <v>10</v>
      </c>
      <c r="C77" s="1" t="s">
        <v>597</v>
      </c>
      <c r="D77" s="1" t="s">
        <v>659</v>
      </c>
      <c r="E77" s="1" t="s">
        <v>416</v>
      </c>
      <c r="F77" s="1" t="s">
        <v>7</v>
      </c>
      <c r="G77" s="1" t="s">
        <v>26</v>
      </c>
      <c r="H77" s="1" t="s">
        <v>14</v>
      </c>
      <c r="I77" s="1" t="s">
        <v>577</v>
      </c>
      <c r="J77" s="51" t="str">
        <f t="shared" si="2"/>
        <v>OperaçãoOperação Frio</v>
      </c>
    </row>
    <row r="78" spans="1:10">
      <c r="A78" s="5" t="s">
        <v>661</v>
      </c>
      <c r="B78" s="1" t="s">
        <v>10</v>
      </c>
      <c r="C78" s="1" t="s">
        <v>535</v>
      </c>
      <c r="D78" s="1" t="s">
        <v>576</v>
      </c>
      <c r="E78" s="1" t="s">
        <v>416</v>
      </c>
      <c r="F78" s="1" t="s">
        <v>7</v>
      </c>
      <c r="G78" s="1" t="s">
        <v>26</v>
      </c>
      <c r="H78" s="1" t="s">
        <v>14</v>
      </c>
      <c r="I78" s="1" t="s">
        <v>577</v>
      </c>
      <c r="J78" s="51" t="str">
        <f t="shared" si="2"/>
        <v>OperaçãoManutenção</v>
      </c>
    </row>
    <row r="79" spans="1:10">
      <c r="A79" s="5" t="s">
        <v>662</v>
      </c>
      <c r="B79" s="1" t="s">
        <v>10</v>
      </c>
      <c r="C79" s="1" t="s">
        <v>602</v>
      </c>
      <c r="D79" s="1" t="s">
        <v>603</v>
      </c>
      <c r="E79" s="1" t="s">
        <v>416</v>
      </c>
      <c r="F79" s="1" t="s">
        <v>7</v>
      </c>
      <c r="G79" s="1" t="s">
        <v>26</v>
      </c>
      <c r="H79" s="1" t="s">
        <v>14</v>
      </c>
      <c r="I79" s="1" t="s">
        <v>574</v>
      </c>
      <c r="J79" s="51" t="str">
        <f t="shared" si="2"/>
        <v>OperaçãoQualidade</v>
      </c>
    </row>
    <row r="80" spans="1:10">
      <c r="A80" s="5" t="s">
        <v>663</v>
      </c>
      <c r="B80" s="1" t="s">
        <v>10</v>
      </c>
      <c r="C80" s="1" t="s">
        <v>602</v>
      </c>
      <c r="D80" s="1" t="s">
        <v>603</v>
      </c>
      <c r="E80" s="1" t="s">
        <v>416</v>
      </c>
      <c r="F80" s="1" t="s">
        <v>7</v>
      </c>
      <c r="G80" s="1" t="s">
        <v>26</v>
      </c>
      <c r="H80" s="1" t="s">
        <v>14</v>
      </c>
      <c r="I80" s="1" t="s">
        <v>574</v>
      </c>
      <c r="J80" s="51" t="str">
        <f t="shared" si="2"/>
        <v>OperaçãoQualidade</v>
      </c>
    </row>
    <row r="81" spans="1:10">
      <c r="A81" s="5" t="s">
        <v>664</v>
      </c>
      <c r="B81" s="1" t="s">
        <v>10</v>
      </c>
      <c r="C81" s="1" t="s">
        <v>579</v>
      </c>
      <c r="D81" s="1" t="s">
        <v>659</v>
      </c>
      <c r="E81" s="1" t="s">
        <v>416</v>
      </c>
      <c r="F81" s="1" t="s">
        <v>7</v>
      </c>
      <c r="G81" s="1" t="s">
        <v>26</v>
      </c>
      <c r="H81" s="1" t="s">
        <v>14</v>
      </c>
      <c r="I81" s="1" t="s">
        <v>574</v>
      </c>
      <c r="J81" s="51" t="str">
        <f t="shared" si="2"/>
        <v>OperaçãoADM &amp; Facilities</v>
      </c>
    </row>
    <row r="82" spans="1:10">
      <c r="A82" s="5" t="s">
        <v>665</v>
      </c>
      <c r="B82" s="1" t="s">
        <v>10</v>
      </c>
      <c r="C82" s="1" t="s">
        <v>543</v>
      </c>
      <c r="D82" s="1" t="s">
        <v>584</v>
      </c>
      <c r="E82" s="1" t="s">
        <v>416</v>
      </c>
      <c r="F82" s="1" t="s">
        <v>7</v>
      </c>
      <c r="G82" s="1" t="s">
        <v>26</v>
      </c>
      <c r="H82" s="1" t="s">
        <v>14</v>
      </c>
      <c r="I82" s="1" t="s">
        <v>574</v>
      </c>
      <c r="J82" s="51" t="str">
        <f t="shared" si="2"/>
        <v>OperaçãoSeguros</v>
      </c>
    </row>
    <row r="83" spans="1:10">
      <c r="A83" s="5" t="s">
        <v>666</v>
      </c>
      <c r="B83" s="1" t="s">
        <v>10</v>
      </c>
      <c r="C83" s="1" t="s">
        <v>581</v>
      </c>
      <c r="D83" s="1" t="s">
        <v>582</v>
      </c>
      <c r="E83" s="1" t="s">
        <v>416</v>
      </c>
      <c r="F83" s="1" t="s">
        <v>7</v>
      </c>
      <c r="G83" s="1" t="s">
        <v>26</v>
      </c>
      <c r="H83" s="1" t="s">
        <v>14</v>
      </c>
      <c r="I83" s="1" t="s">
        <v>574</v>
      </c>
      <c r="J83" s="51" t="str">
        <f t="shared" si="2"/>
        <v>OperaçãoJurídico</v>
      </c>
    </row>
    <row r="84" spans="1:10">
      <c r="A84" s="5" t="s">
        <v>27</v>
      </c>
      <c r="B84" s="1" t="s">
        <v>10</v>
      </c>
      <c r="C84" s="1" t="s">
        <v>11</v>
      </c>
      <c r="D84" s="1" t="s">
        <v>13</v>
      </c>
      <c r="E84" s="1" t="s">
        <v>416</v>
      </c>
      <c r="F84" s="1" t="s">
        <v>7</v>
      </c>
      <c r="G84" s="1" t="s">
        <v>26</v>
      </c>
      <c r="H84" s="1" t="s">
        <v>14</v>
      </c>
      <c r="I84" s="1" t="s">
        <v>574</v>
      </c>
      <c r="J84" s="51" t="str">
        <f t="shared" si="2"/>
        <v>OperaçãoTI</v>
      </c>
    </row>
    <row r="85" spans="1:10">
      <c r="A85" s="5" t="s">
        <v>667</v>
      </c>
      <c r="B85" s="1" t="s">
        <v>10</v>
      </c>
      <c r="C85" s="1" t="s">
        <v>609</v>
      </c>
      <c r="D85" s="1" t="s">
        <v>610</v>
      </c>
      <c r="E85" s="1" t="s">
        <v>416</v>
      </c>
      <c r="F85" s="1" t="s">
        <v>7</v>
      </c>
      <c r="G85" s="1" t="s">
        <v>26</v>
      </c>
      <c r="H85" s="1" t="s">
        <v>14</v>
      </c>
      <c r="I85" s="1" t="s">
        <v>574</v>
      </c>
      <c r="J85" s="51" t="str">
        <f t="shared" si="2"/>
        <v>OperaçãoRecursos Humanos</v>
      </c>
    </row>
    <row r="86" spans="1:10">
      <c r="A86" s="5" t="s">
        <v>668</v>
      </c>
      <c r="B86" s="1" t="s">
        <v>10</v>
      </c>
      <c r="C86" s="1" t="s">
        <v>642</v>
      </c>
      <c r="D86" s="1" t="s">
        <v>659</v>
      </c>
      <c r="E86" s="1" t="s">
        <v>416</v>
      </c>
      <c r="F86" s="1" t="s">
        <v>7</v>
      </c>
      <c r="G86" s="1" t="s">
        <v>26</v>
      </c>
      <c r="H86" s="1" t="s">
        <v>16</v>
      </c>
      <c r="I86" s="1" t="s">
        <v>577</v>
      </c>
      <c r="J86" s="51" t="str">
        <f t="shared" si="2"/>
        <v>OperaçãoOperação Pátio</v>
      </c>
    </row>
    <row r="87" spans="1:10">
      <c r="A87" s="5" t="s">
        <v>669</v>
      </c>
      <c r="B87" s="1" t="s">
        <v>10</v>
      </c>
      <c r="C87" s="1" t="s">
        <v>642</v>
      </c>
      <c r="D87" s="1" t="s">
        <v>659</v>
      </c>
      <c r="E87" s="1" t="s">
        <v>416</v>
      </c>
      <c r="F87" s="1" t="s">
        <v>7</v>
      </c>
      <c r="G87" s="1" t="s">
        <v>26</v>
      </c>
      <c r="H87" s="1" t="s">
        <v>16</v>
      </c>
      <c r="I87" s="1" t="s">
        <v>577</v>
      </c>
      <c r="J87" s="51" t="str">
        <f t="shared" si="2"/>
        <v>OperaçãoOperação Pátio</v>
      </c>
    </row>
    <row r="88" spans="1:10">
      <c r="A88" s="5" t="s">
        <v>670</v>
      </c>
      <c r="B88" s="1" t="s">
        <v>10</v>
      </c>
      <c r="C88" s="1" t="s">
        <v>535</v>
      </c>
      <c r="D88" s="1" t="s">
        <v>576</v>
      </c>
      <c r="E88" s="1" t="s">
        <v>416</v>
      </c>
      <c r="F88" s="1" t="s">
        <v>7</v>
      </c>
      <c r="G88" s="1" t="s">
        <v>26</v>
      </c>
      <c r="H88" s="1" t="s">
        <v>16</v>
      </c>
      <c r="I88" s="1" t="s">
        <v>577</v>
      </c>
      <c r="J88" s="51" t="str">
        <f t="shared" si="2"/>
        <v>OperaçãoManutenção</v>
      </c>
    </row>
    <row r="89" spans="1:10">
      <c r="A89" s="5" t="s">
        <v>671</v>
      </c>
      <c r="B89" s="1" t="s">
        <v>10</v>
      </c>
      <c r="C89" s="1" t="s">
        <v>602</v>
      </c>
      <c r="D89" s="1" t="s">
        <v>603</v>
      </c>
      <c r="E89" s="1" t="s">
        <v>416</v>
      </c>
      <c r="F89" s="1" t="s">
        <v>7</v>
      </c>
      <c r="G89" s="1" t="s">
        <v>26</v>
      </c>
      <c r="H89" s="1" t="s">
        <v>16</v>
      </c>
      <c r="I89" s="1" t="s">
        <v>574</v>
      </c>
      <c r="J89" s="51" t="str">
        <f t="shared" si="2"/>
        <v>OperaçãoQualidade</v>
      </c>
    </row>
    <row r="90" spans="1:10">
      <c r="A90" s="5" t="s">
        <v>672</v>
      </c>
      <c r="B90" s="1" t="s">
        <v>10</v>
      </c>
      <c r="C90" s="1" t="s">
        <v>602</v>
      </c>
      <c r="D90" s="1" t="s">
        <v>603</v>
      </c>
      <c r="E90" s="1" t="s">
        <v>416</v>
      </c>
      <c r="F90" s="1" t="s">
        <v>7</v>
      </c>
      <c r="G90" s="1" t="s">
        <v>26</v>
      </c>
      <c r="H90" s="1" t="s">
        <v>16</v>
      </c>
      <c r="I90" s="1" t="s">
        <v>574</v>
      </c>
      <c r="J90" s="51" t="str">
        <f t="shared" si="2"/>
        <v>OperaçãoQualidade</v>
      </c>
    </row>
    <row r="91" spans="1:10">
      <c r="A91" s="5" t="s">
        <v>673</v>
      </c>
      <c r="B91" s="1" t="s">
        <v>10</v>
      </c>
      <c r="C91" s="1" t="s">
        <v>579</v>
      </c>
      <c r="D91" s="1" t="s">
        <v>659</v>
      </c>
      <c r="E91" s="1" t="s">
        <v>416</v>
      </c>
      <c r="F91" s="1" t="s">
        <v>7</v>
      </c>
      <c r="G91" s="1" t="s">
        <v>26</v>
      </c>
      <c r="H91" s="1" t="s">
        <v>16</v>
      </c>
      <c r="I91" s="1" t="s">
        <v>574</v>
      </c>
      <c r="J91" s="51" t="str">
        <f t="shared" si="2"/>
        <v>OperaçãoADM &amp; Facilities</v>
      </c>
    </row>
    <row r="92" spans="1:10">
      <c r="A92" s="5" t="s">
        <v>674</v>
      </c>
      <c r="B92" s="1" t="s">
        <v>10</v>
      </c>
      <c r="C92" s="1" t="s">
        <v>543</v>
      </c>
      <c r="D92" s="1" t="s">
        <v>584</v>
      </c>
      <c r="E92" s="1" t="s">
        <v>416</v>
      </c>
      <c r="F92" s="1" t="s">
        <v>7</v>
      </c>
      <c r="G92" s="1" t="s">
        <v>26</v>
      </c>
      <c r="H92" s="1" t="s">
        <v>16</v>
      </c>
      <c r="I92" s="1" t="s">
        <v>574</v>
      </c>
      <c r="J92" s="51" t="str">
        <f t="shared" si="2"/>
        <v>OperaçãoSeguros</v>
      </c>
    </row>
    <row r="93" spans="1:10">
      <c r="A93" s="5" t="s">
        <v>675</v>
      </c>
      <c r="B93" s="1" t="s">
        <v>10</v>
      </c>
      <c r="C93" s="1" t="s">
        <v>581</v>
      </c>
      <c r="D93" s="1" t="s">
        <v>582</v>
      </c>
      <c r="E93" s="1" t="s">
        <v>416</v>
      </c>
      <c r="F93" s="1" t="s">
        <v>7</v>
      </c>
      <c r="G93" s="1" t="s">
        <v>26</v>
      </c>
      <c r="H93" s="1" t="s">
        <v>16</v>
      </c>
      <c r="I93" s="1" t="s">
        <v>574</v>
      </c>
      <c r="J93" s="51" t="str">
        <f t="shared" si="2"/>
        <v>OperaçãoJurídico</v>
      </c>
    </row>
    <row r="94" spans="1:10">
      <c r="A94" s="5" t="s">
        <v>28</v>
      </c>
      <c r="B94" s="1" t="s">
        <v>10</v>
      </c>
      <c r="C94" s="1" t="s">
        <v>11</v>
      </c>
      <c r="D94" s="1" t="s">
        <v>13</v>
      </c>
      <c r="E94" s="1" t="s">
        <v>416</v>
      </c>
      <c r="F94" s="1" t="s">
        <v>7</v>
      </c>
      <c r="G94" s="1" t="s">
        <v>26</v>
      </c>
      <c r="H94" s="1" t="s">
        <v>16</v>
      </c>
      <c r="I94" s="1" t="s">
        <v>574</v>
      </c>
      <c r="J94" s="51" t="str">
        <f t="shared" si="2"/>
        <v>OperaçãoTI</v>
      </c>
    </row>
    <row r="95" spans="1:10">
      <c r="A95" s="5" t="s">
        <v>676</v>
      </c>
      <c r="B95" s="1" t="s">
        <v>10</v>
      </c>
      <c r="C95" s="1" t="s">
        <v>609</v>
      </c>
      <c r="D95" s="1" t="s">
        <v>610</v>
      </c>
      <c r="E95" s="1" t="s">
        <v>416</v>
      </c>
      <c r="F95" s="1" t="s">
        <v>7</v>
      </c>
      <c r="G95" s="1" t="s">
        <v>26</v>
      </c>
      <c r="H95" s="1" t="s">
        <v>16</v>
      </c>
      <c r="I95" s="1" t="s">
        <v>574</v>
      </c>
      <c r="J95" s="51" t="str">
        <f t="shared" si="2"/>
        <v>OperaçãoRecursos Humanos</v>
      </c>
    </row>
    <row r="96" spans="1:10">
      <c r="A96" s="32" t="s">
        <v>677</v>
      </c>
      <c r="B96" s="31" t="s">
        <v>10</v>
      </c>
      <c r="C96" s="31" t="s">
        <v>535</v>
      </c>
      <c r="D96" s="31" t="s">
        <v>576</v>
      </c>
      <c r="E96" s="31" t="s">
        <v>416</v>
      </c>
      <c r="F96" s="31" t="s">
        <v>7</v>
      </c>
      <c r="G96" s="31" t="s">
        <v>26</v>
      </c>
      <c r="H96" s="31" t="s">
        <v>18</v>
      </c>
      <c r="I96" s="31" t="s">
        <v>574</v>
      </c>
      <c r="J96" s="51" t="str">
        <f t="shared" si="2"/>
        <v>OperaçãoManutenção</v>
      </c>
    </row>
    <row r="97" spans="1:10">
      <c r="A97" s="32" t="s">
        <v>678</v>
      </c>
      <c r="B97" s="31" t="s">
        <v>10</v>
      </c>
      <c r="C97" s="31" t="s">
        <v>602</v>
      </c>
      <c r="D97" s="31" t="s">
        <v>603</v>
      </c>
      <c r="E97" s="31" t="s">
        <v>416</v>
      </c>
      <c r="F97" s="31" t="s">
        <v>7</v>
      </c>
      <c r="G97" s="31" t="s">
        <v>26</v>
      </c>
      <c r="H97" s="31" t="s">
        <v>18</v>
      </c>
      <c r="I97" s="31" t="s">
        <v>574</v>
      </c>
      <c r="J97" s="51" t="str">
        <f t="shared" si="2"/>
        <v>OperaçãoQualidade</v>
      </c>
    </row>
    <row r="98" spans="1:10">
      <c r="A98" s="32" t="s">
        <v>679</v>
      </c>
      <c r="B98" s="31" t="s">
        <v>10</v>
      </c>
      <c r="C98" s="31" t="s">
        <v>602</v>
      </c>
      <c r="D98" s="31" t="s">
        <v>603</v>
      </c>
      <c r="E98" s="31" t="s">
        <v>416</v>
      </c>
      <c r="F98" s="31" t="s">
        <v>7</v>
      </c>
      <c r="G98" s="31" t="s">
        <v>26</v>
      </c>
      <c r="H98" s="31" t="s">
        <v>18</v>
      </c>
      <c r="I98" s="31" t="s">
        <v>574</v>
      </c>
      <c r="J98" s="51" t="str">
        <f t="shared" si="2"/>
        <v>OperaçãoQualidade</v>
      </c>
    </row>
    <row r="99" spans="1:10">
      <c r="A99" s="32" t="s">
        <v>680</v>
      </c>
      <c r="B99" s="31" t="s">
        <v>10</v>
      </c>
      <c r="C99" s="31" t="s">
        <v>579</v>
      </c>
      <c r="D99" s="31" t="s">
        <v>659</v>
      </c>
      <c r="E99" s="31" t="s">
        <v>416</v>
      </c>
      <c r="F99" s="31" t="s">
        <v>7</v>
      </c>
      <c r="G99" s="31" t="s">
        <v>26</v>
      </c>
      <c r="H99" s="31" t="s">
        <v>18</v>
      </c>
      <c r="I99" s="31" t="s">
        <v>574</v>
      </c>
      <c r="J99" s="51" t="str">
        <f t="shared" si="2"/>
        <v>OperaçãoADM &amp; Facilities</v>
      </c>
    </row>
    <row r="100" spans="1:10">
      <c r="A100" s="32" t="s">
        <v>681</v>
      </c>
      <c r="B100" s="31" t="s">
        <v>10</v>
      </c>
      <c r="C100" s="31" t="s">
        <v>543</v>
      </c>
      <c r="D100" s="31" t="s">
        <v>584</v>
      </c>
      <c r="E100" s="31" t="s">
        <v>416</v>
      </c>
      <c r="F100" s="31" t="s">
        <v>7</v>
      </c>
      <c r="G100" s="31" t="s">
        <v>26</v>
      </c>
      <c r="H100" s="31" t="s">
        <v>18</v>
      </c>
      <c r="I100" s="31" t="s">
        <v>574</v>
      </c>
      <c r="J100" s="51" t="str">
        <f t="shared" si="2"/>
        <v>OperaçãoSeguros</v>
      </c>
    </row>
    <row r="101" spans="1:10">
      <c r="A101" s="32" t="s">
        <v>682</v>
      </c>
      <c r="B101" s="31" t="s">
        <v>10</v>
      </c>
      <c r="C101" s="31" t="s">
        <v>581</v>
      </c>
      <c r="D101" s="31" t="s">
        <v>582</v>
      </c>
      <c r="E101" s="31" t="s">
        <v>416</v>
      </c>
      <c r="F101" s="31" t="s">
        <v>7</v>
      </c>
      <c r="G101" s="31" t="s">
        <v>26</v>
      </c>
      <c r="H101" s="31" t="s">
        <v>18</v>
      </c>
      <c r="I101" s="31" t="s">
        <v>574</v>
      </c>
      <c r="J101" s="51" t="str">
        <f t="shared" si="2"/>
        <v>OperaçãoJurídico</v>
      </c>
    </row>
    <row r="102" spans="1:10">
      <c r="A102" s="32" t="s">
        <v>29</v>
      </c>
      <c r="B102" s="31" t="s">
        <v>10</v>
      </c>
      <c r="C102" s="31" t="s">
        <v>11</v>
      </c>
      <c r="D102" s="31" t="s">
        <v>13</v>
      </c>
      <c r="E102" s="31" t="s">
        <v>416</v>
      </c>
      <c r="F102" s="31" t="s">
        <v>7</v>
      </c>
      <c r="G102" s="31" t="s">
        <v>26</v>
      </c>
      <c r="H102" s="31" t="s">
        <v>18</v>
      </c>
      <c r="I102" s="31" t="s">
        <v>574</v>
      </c>
      <c r="J102" s="51" t="str">
        <f t="shared" si="2"/>
        <v>OperaçãoTI</v>
      </c>
    </row>
    <row r="103" spans="1:10">
      <c r="A103" s="32" t="s">
        <v>683</v>
      </c>
      <c r="B103" s="31" t="s">
        <v>10</v>
      </c>
      <c r="C103" s="31" t="s">
        <v>609</v>
      </c>
      <c r="D103" s="31" t="s">
        <v>610</v>
      </c>
      <c r="E103" s="31" t="s">
        <v>416</v>
      </c>
      <c r="F103" s="31" t="s">
        <v>7</v>
      </c>
      <c r="G103" s="31" t="s">
        <v>26</v>
      </c>
      <c r="H103" s="31" t="s">
        <v>18</v>
      </c>
      <c r="I103" s="31" t="s">
        <v>574</v>
      </c>
      <c r="J103" s="51" t="str">
        <f t="shared" si="2"/>
        <v>OperaçãoRecursos Humanos</v>
      </c>
    </row>
    <row r="104" spans="1:10">
      <c r="A104" s="5" t="s">
        <v>684</v>
      </c>
      <c r="B104" s="1" t="s">
        <v>10</v>
      </c>
      <c r="C104" s="1" t="s">
        <v>597</v>
      </c>
      <c r="D104" s="1" t="s">
        <v>685</v>
      </c>
      <c r="E104" s="1" t="s">
        <v>416</v>
      </c>
      <c r="F104" s="1" t="s">
        <v>7</v>
      </c>
      <c r="G104" s="1" t="s">
        <v>20</v>
      </c>
      <c r="H104" s="1" t="s">
        <v>14</v>
      </c>
      <c r="I104" s="1" t="s">
        <v>577</v>
      </c>
      <c r="J104" s="51" t="str">
        <f t="shared" si="2"/>
        <v>OperaçãoOperação Frio</v>
      </c>
    </row>
    <row r="105" spans="1:10">
      <c r="A105" s="5" t="s">
        <v>686</v>
      </c>
      <c r="B105" s="1" t="s">
        <v>10</v>
      </c>
      <c r="C105" s="1" t="s">
        <v>597</v>
      </c>
      <c r="D105" s="1" t="s">
        <v>685</v>
      </c>
      <c r="E105" s="1" t="s">
        <v>416</v>
      </c>
      <c r="F105" s="1" t="s">
        <v>7</v>
      </c>
      <c r="G105" s="1" t="s">
        <v>20</v>
      </c>
      <c r="H105" s="1" t="s">
        <v>14</v>
      </c>
      <c r="I105" s="1" t="s">
        <v>577</v>
      </c>
      <c r="J105" s="51" t="str">
        <f t="shared" si="2"/>
        <v>OperaçãoOperação Frio</v>
      </c>
    </row>
    <row r="106" spans="1:10">
      <c r="A106" s="5" t="s">
        <v>687</v>
      </c>
      <c r="B106" s="1" t="s">
        <v>10</v>
      </c>
      <c r="C106" s="1" t="s">
        <v>535</v>
      </c>
      <c r="D106" s="1" t="s">
        <v>576</v>
      </c>
      <c r="E106" s="1" t="s">
        <v>416</v>
      </c>
      <c r="F106" s="1" t="s">
        <v>7</v>
      </c>
      <c r="G106" s="1" t="s">
        <v>20</v>
      </c>
      <c r="H106" s="1" t="s">
        <v>14</v>
      </c>
      <c r="I106" s="1" t="s">
        <v>577</v>
      </c>
      <c r="J106" s="51" t="str">
        <f t="shared" si="2"/>
        <v>OperaçãoManutenção</v>
      </c>
    </row>
    <row r="107" spans="1:10">
      <c r="A107" s="5" t="s">
        <v>688</v>
      </c>
      <c r="B107" s="1" t="s">
        <v>10</v>
      </c>
      <c r="C107" s="1" t="s">
        <v>602</v>
      </c>
      <c r="D107" s="1" t="s">
        <v>603</v>
      </c>
      <c r="E107" s="1" t="s">
        <v>416</v>
      </c>
      <c r="F107" s="1" t="s">
        <v>7</v>
      </c>
      <c r="G107" s="1" t="s">
        <v>20</v>
      </c>
      <c r="H107" s="1" t="s">
        <v>14</v>
      </c>
      <c r="I107" s="1" t="s">
        <v>574</v>
      </c>
      <c r="J107" s="51" t="str">
        <f t="shared" ref="J107:J196" si="3">B107&amp;C107</f>
        <v>OperaçãoQualidade</v>
      </c>
    </row>
    <row r="108" spans="1:10">
      <c r="A108" s="5" t="s">
        <v>689</v>
      </c>
      <c r="B108" s="1" t="s">
        <v>10</v>
      </c>
      <c r="C108" s="1" t="s">
        <v>602</v>
      </c>
      <c r="D108" s="1" t="s">
        <v>603</v>
      </c>
      <c r="E108" s="1" t="s">
        <v>416</v>
      </c>
      <c r="F108" s="1" t="s">
        <v>7</v>
      </c>
      <c r="G108" s="1" t="s">
        <v>20</v>
      </c>
      <c r="H108" s="1" t="s">
        <v>14</v>
      </c>
      <c r="I108" s="1" t="s">
        <v>574</v>
      </c>
      <c r="J108" s="51" t="str">
        <f t="shared" si="3"/>
        <v>OperaçãoQualidade</v>
      </c>
    </row>
    <row r="109" spans="1:10">
      <c r="A109" s="5" t="s">
        <v>690</v>
      </c>
      <c r="B109" s="1" t="s">
        <v>10</v>
      </c>
      <c r="C109" s="1" t="s">
        <v>579</v>
      </c>
      <c r="D109" s="1" t="s">
        <v>685</v>
      </c>
      <c r="E109" s="1" t="s">
        <v>416</v>
      </c>
      <c r="F109" s="1" t="s">
        <v>7</v>
      </c>
      <c r="G109" s="1" t="s">
        <v>20</v>
      </c>
      <c r="H109" s="1" t="s">
        <v>14</v>
      </c>
      <c r="I109" s="1" t="s">
        <v>574</v>
      </c>
      <c r="J109" s="51" t="str">
        <f t="shared" si="3"/>
        <v>OperaçãoADM &amp; Facilities</v>
      </c>
    </row>
    <row r="110" spans="1:10">
      <c r="A110" s="5" t="s">
        <v>691</v>
      </c>
      <c r="B110" s="1" t="s">
        <v>10</v>
      </c>
      <c r="C110" s="1" t="s">
        <v>543</v>
      </c>
      <c r="D110" s="1" t="s">
        <v>584</v>
      </c>
      <c r="E110" s="1" t="s">
        <v>416</v>
      </c>
      <c r="F110" s="1" t="s">
        <v>7</v>
      </c>
      <c r="G110" s="1" t="s">
        <v>20</v>
      </c>
      <c r="H110" s="1" t="s">
        <v>14</v>
      </c>
      <c r="I110" s="1" t="s">
        <v>574</v>
      </c>
      <c r="J110" s="51" t="str">
        <f t="shared" si="3"/>
        <v>OperaçãoSeguros</v>
      </c>
    </row>
    <row r="111" spans="1:10">
      <c r="A111" s="5" t="s">
        <v>692</v>
      </c>
      <c r="B111" s="1" t="s">
        <v>10</v>
      </c>
      <c r="C111" s="1" t="s">
        <v>581</v>
      </c>
      <c r="D111" s="1" t="s">
        <v>582</v>
      </c>
      <c r="E111" s="1" t="s">
        <v>416</v>
      </c>
      <c r="F111" s="1" t="s">
        <v>7</v>
      </c>
      <c r="G111" s="1" t="s">
        <v>20</v>
      </c>
      <c r="H111" s="1" t="s">
        <v>14</v>
      </c>
      <c r="I111" s="1" t="s">
        <v>574</v>
      </c>
      <c r="J111" s="51" t="str">
        <f t="shared" si="3"/>
        <v>OperaçãoJurídico</v>
      </c>
    </row>
    <row r="112" spans="1:10">
      <c r="A112" s="5" t="s">
        <v>21</v>
      </c>
      <c r="B112" s="1" t="s">
        <v>10</v>
      </c>
      <c r="C112" s="1" t="s">
        <v>11</v>
      </c>
      <c r="D112" s="1" t="s">
        <v>13</v>
      </c>
      <c r="E112" s="1" t="s">
        <v>416</v>
      </c>
      <c r="F112" s="1" t="s">
        <v>7</v>
      </c>
      <c r="G112" s="1" t="s">
        <v>20</v>
      </c>
      <c r="H112" s="1" t="s">
        <v>14</v>
      </c>
      <c r="I112" s="1" t="s">
        <v>574</v>
      </c>
      <c r="J112" s="51" t="str">
        <f t="shared" si="3"/>
        <v>OperaçãoTI</v>
      </c>
    </row>
    <row r="113" spans="1:10">
      <c r="A113" s="5" t="s">
        <v>693</v>
      </c>
      <c r="B113" s="1" t="s">
        <v>10</v>
      </c>
      <c r="C113" s="1" t="s">
        <v>609</v>
      </c>
      <c r="D113" s="1" t="s">
        <v>610</v>
      </c>
      <c r="E113" s="1" t="s">
        <v>416</v>
      </c>
      <c r="F113" s="1" t="s">
        <v>7</v>
      </c>
      <c r="G113" s="1" t="s">
        <v>20</v>
      </c>
      <c r="H113" s="1" t="s">
        <v>14</v>
      </c>
      <c r="I113" s="1" t="s">
        <v>574</v>
      </c>
      <c r="J113" s="51" t="str">
        <f t="shared" si="3"/>
        <v>OperaçãoRecursos Humanos</v>
      </c>
    </row>
    <row r="114" spans="1:10">
      <c r="A114" s="5" t="s">
        <v>694</v>
      </c>
      <c r="B114" s="1" t="s">
        <v>10</v>
      </c>
      <c r="C114" s="1" t="s">
        <v>642</v>
      </c>
      <c r="D114" s="1" t="s">
        <v>685</v>
      </c>
      <c r="E114" s="1" t="s">
        <v>416</v>
      </c>
      <c r="F114" s="1" t="s">
        <v>7</v>
      </c>
      <c r="G114" s="1" t="s">
        <v>20</v>
      </c>
      <c r="H114" s="1" t="s">
        <v>16</v>
      </c>
      <c r="I114" s="1" t="s">
        <v>577</v>
      </c>
      <c r="J114" s="51" t="str">
        <f t="shared" si="3"/>
        <v>OperaçãoOperação Pátio</v>
      </c>
    </row>
    <row r="115" spans="1:10">
      <c r="A115" s="5" t="s">
        <v>695</v>
      </c>
      <c r="B115" s="1" t="s">
        <v>10</v>
      </c>
      <c r="C115" s="1" t="s">
        <v>642</v>
      </c>
      <c r="D115" s="1" t="s">
        <v>685</v>
      </c>
      <c r="E115" s="1" t="s">
        <v>416</v>
      </c>
      <c r="F115" s="1" t="s">
        <v>7</v>
      </c>
      <c r="G115" s="1" t="s">
        <v>20</v>
      </c>
      <c r="H115" s="1" t="s">
        <v>16</v>
      </c>
      <c r="I115" s="1" t="s">
        <v>577</v>
      </c>
      <c r="J115" s="51" t="str">
        <f t="shared" si="3"/>
        <v>OperaçãoOperação Pátio</v>
      </c>
    </row>
    <row r="116" spans="1:10">
      <c r="A116" s="5" t="s">
        <v>696</v>
      </c>
      <c r="B116" s="1" t="s">
        <v>10</v>
      </c>
      <c r="C116" s="1" t="s">
        <v>535</v>
      </c>
      <c r="D116" s="1" t="s">
        <v>576</v>
      </c>
      <c r="E116" s="1" t="s">
        <v>416</v>
      </c>
      <c r="F116" s="1" t="s">
        <v>7</v>
      </c>
      <c r="G116" s="1" t="s">
        <v>20</v>
      </c>
      <c r="H116" s="1" t="s">
        <v>16</v>
      </c>
      <c r="I116" s="1" t="s">
        <v>577</v>
      </c>
      <c r="J116" s="51" t="str">
        <f t="shared" si="3"/>
        <v>OperaçãoManutenção</v>
      </c>
    </row>
    <row r="117" spans="1:10">
      <c r="A117" s="5" t="s">
        <v>697</v>
      </c>
      <c r="B117" s="1" t="s">
        <v>10</v>
      </c>
      <c r="C117" s="1" t="s">
        <v>602</v>
      </c>
      <c r="D117" s="1" t="s">
        <v>603</v>
      </c>
      <c r="E117" s="1" t="s">
        <v>416</v>
      </c>
      <c r="F117" s="1" t="s">
        <v>7</v>
      </c>
      <c r="G117" s="1" t="s">
        <v>20</v>
      </c>
      <c r="H117" s="1" t="s">
        <v>16</v>
      </c>
      <c r="I117" s="1" t="s">
        <v>574</v>
      </c>
      <c r="J117" s="51" t="str">
        <f t="shared" si="3"/>
        <v>OperaçãoQualidade</v>
      </c>
    </row>
    <row r="118" spans="1:10">
      <c r="A118" s="5" t="s">
        <v>698</v>
      </c>
      <c r="B118" s="1" t="s">
        <v>10</v>
      </c>
      <c r="C118" s="1" t="s">
        <v>602</v>
      </c>
      <c r="D118" s="1" t="s">
        <v>603</v>
      </c>
      <c r="E118" s="1" t="s">
        <v>416</v>
      </c>
      <c r="F118" s="1" t="s">
        <v>7</v>
      </c>
      <c r="G118" s="1" t="s">
        <v>20</v>
      </c>
      <c r="H118" s="1" t="s">
        <v>16</v>
      </c>
      <c r="I118" s="1" t="s">
        <v>574</v>
      </c>
      <c r="J118" s="51" t="str">
        <f t="shared" si="3"/>
        <v>OperaçãoQualidade</v>
      </c>
    </row>
    <row r="119" spans="1:10">
      <c r="A119" s="5" t="s">
        <v>699</v>
      </c>
      <c r="B119" s="1" t="s">
        <v>10</v>
      </c>
      <c r="C119" s="1" t="s">
        <v>579</v>
      </c>
      <c r="D119" s="1" t="s">
        <v>685</v>
      </c>
      <c r="E119" s="1" t="s">
        <v>416</v>
      </c>
      <c r="F119" s="1" t="s">
        <v>7</v>
      </c>
      <c r="G119" s="1" t="s">
        <v>20</v>
      </c>
      <c r="H119" s="1" t="s">
        <v>16</v>
      </c>
      <c r="I119" s="1" t="s">
        <v>574</v>
      </c>
      <c r="J119" s="51" t="str">
        <f t="shared" si="3"/>
        <v>OperaçãoADM &amp; Facilities</v>
      </c>
    </row>
    <row r="120" spans="1:10">
      <c r="A120" s="5" t="s">
        <v>700</v>
      </c>
      <c r="B120" s="1" t="s">
        <v>10</v>
      </c>
      <c r="C120" s="1" t="s">
        <v>543</v>
      </c>
      <c r="D120" s="1" t="s">
        <v>584</v>
      </c>
      <c r="E120" s="1" t="s">
        <v>416</v>
      </c>
      <c r="F120" s="1" t="s">
        <v>7</v>
      </c>
      <c r="G120" s="1" t="s">
        <v>20</v>
      </c>
      <c r="H120" s="1" t="s">
        <v>16</v>
      </c>
      <c r="I120" s="1" t="s">
        <v>574</v>
      </c>
      <c r="J120" s="51" t="str">
        <f t="shared" si="3"/>
        <v>OperaçãoSeguros</v>
      </c>
    </row>
    <row r="121" spans="1:10">
      <c r="A121" s="5" t="s">
        <v>701</v>
      </c>
      <c r="B121" s="1" t="s">
        <v>10</v>
      </c>
      <c r="C121" s="1" t="s">
        <v>581</v>
      </c>
      <c r="D121" s="1" t="s">
        <v>582</v>
      </c>
      <c r="E121" s="1" t="s">
        <v>416</v>
      </c>
      <c r="F121" s="1" t="s">
        <v>7</v>
      </c>
      <c r="G121" s="1" t="s">
        <v>20</v>
      </c>
      <c r="H121" s="1" t="s">
        <v>16</v>
      </c>
      <c r="I121" s="1" t="s">
        <v>574</v>
      </c>
      <c r="J121" s="51" t="str">
        <f t="shared" si="3"/>
        <v>OperaçãoJurídico</v>
      </c>
    </row>
    <row r="122" spans="1:10">
      <c r="A122" s="5" t="s">
        <v>22</v>
      </c>
      <c r="B122" s="1" t="s">
        <v>10</v>
      </c>
      <c r="C122" s="1" t="s">
        <v>11</v>
      </c>
      <c r="D122" s="1" t="s">
        <v>13</v>
      </c>
      <c r="E122" s="1" t="s">
        <v>416</v>
      </c>
      <c r="F122" s="1" t="s">
        <v>7</v>
      </c>
      <c r="G122" s="1" t="s">
        <v>20</v>
      </c>
      <c r="H122" s="1" t="s">
        <v>16</v>
      </c>
      <c r="I122" s="1" t="s">
        <v>574</v>
      </c>
      <c r="J122" s="51" t="str">
        <f t="shared" si="3"/>
        <v>OperaçãoTI</v>
      </c>
    </row>
    <row r="123" spans="1:10">
      <c r="A123" s="5" t="s">
        <v>702</v>
      </c>
      <c r="B123" s="1" t="s">
        <v>10</v>
      </c>
      <c r="C123" s="1" t="s">
        <v>609</v>
      </c>
      <c r="D123" s="1" t="s">
        <v>610</v>
      </c>
      <c r="E123" s="1" t="s">
        <v>416</v>
      </c>
      <c r="F123" s="1" t="s">
        <v>7</v>
      </c>
      <c r="G123" s="1" t="s">
        <v>20</v>
      </c>
      <c r="H123" s="1" t="s">
        <v>16</v>
      </c>
      <c r="I123" s="1" t="s">
        <v>574</v>
      </c>
      <c r="J123" s="51" t="str">
        <f t="shared" si="3"/>
        <v>OperaçãoRecursos Humanos</v>
      </c>
    </row>
    <row r="124" spans="1:10">
      <c r="A124" s="32" t="s">
        <v>703</v>
      </c>
      <c r="B124" s="31" t="s">
        <v>10</v>
      </c>
      <c r="C124" s="31" t="s">
        <v>535</v>
      </c>
      <c r="D124" s="31" t="s">
        <v>576</v>
      </c>
      <c r="E124" s="31" t="s">
        <v>416</v>
      </c>
      <c r="F124" s="31" t="s">
        <v>7</v>
      </c>
      <c r="G124" s="31" t="s">
        <v>20</v>
      </c>
      <c r="H124" s="31" t="s">
        <v>18</v>
      </c>
      <c r="I124" s="31" t="s">
        <v>574</v>
      </c>
      <c r="J124" s="51" t="str">
        <f t="shared" si="3"/>
        <v>OperaçãoManutenção</v>
      </c>
    </row>
    <row r="125" spans="1:10">
      <c r="A125" s="32" t="s">
        <v>704</v>
      </c>
      <c r="B125" s="31" t="s">
        <v>10</v>
      </c>
      <c r="C125" s="31" t="s">
        <v>602</v>
      </c>
      <c r="D125" s="31" t="s">
        <v>603</v>
      </c>
      <c r="E125" s="31" t="s">
        <v>416</v>
      </c>
      <c r="F125" s="31" t="s">
        <v>7</v>
      </c>
      <c r="G125" s="31" t="s">
        <v>20</v>
      </c>
      <c r="H125" s="31" t="s">
        <v>18</v>
      </c>
      <c r="I125" s="31" t="s">
        <v>574</v>
      </c>
      <c r="J125" s="51" t="str">
        <f t="shared" si="3"/>
        <v>OperaçãoQualidade</v>
      </c>
    </row>
    <row r="126" spans="1:10">
      <c r="A126" s="32" t="s">
        <v>705</v>
      </c>
      <c r="B126" s="31" t="s">
        <v>10</v>
      </c>
      <c r="C126" s="31" t="s">
        <v>602</v>
      </c>
      <c r="D126" s="31" t="s">
        <v>603</v>
      </c>
      <c r="E126" s="31" t="s">
        <v>416</v>
      </c>
      <c r="F126" s="31" t="s">
        <v>7</v>
      </c>
      <c r="G126" s="31" t="s">
        <v>20</v>
      </c>
      <c r="H126" s="31" t="s">
        <v>18</v>
      </c>
      <c r="I126" s="31" t="s">
        <v>574</v>
      </c>
      <c r="J126" s="51" t="str">
        <f t="shared" si="3"/>
        <v>OperaçãoQualidade</v>
      </c>
    </row>
    <row r="127" spans="1:10">
      <c r="A127" s="32" t="s">
        <v>706</v>
      </c>
      <c r="B127" s="31" t="s">
        <v>10</v>
      </c>
      <c r="C127" s="31" t="s">
        <v>579</v>
      </c>
      <c r="D127" s="31" t="s">
        <v>685</v>
      </c>
      <c r="E127" s="31" t="s">
        <v>416</v>
      </c>
      <c r="F127" s="31" t="s">
        <v>7</v>
      </c>
      <c r="G127" s="31" t="s">
        <v>20</v>
      </c>
      <c r="H127" s="31" t="s">
        <v>18</v>
      </c>
      <c r="I127" s="31" t="s">
        <v>574</v>
      </c>
      <c r="J127" s="51" t="str">
        <f t="shared" si="3"/>
        <v>OperaçãoADM &amp; Facilities</v>
      </c>
    </row>
    <row r="128" spans="1:10">
      <c r="A128" s="32" t="s">
        <v>707</v>
      </c>
      <c r="B128" s="31" t="s">
        <v>10</v>
      </c>
      <c r="C128" s="31" t="s">
        <v>543</v>
      </c>
      <c r="D128" s="31" t="s">
        <v>584</v>
      </c>
      <c r="E128" s="31" t="s">
        <v>416</v>
      </c>
      <c r="F128" s="31" t="s">
        <v>7</v>
      </c>
      <c r="G128" s="31" t="s">
        <v>20</v>
      </c>
      <c r="H128" s="31" t="s">
        <v>18</v>
      </c>
      <c r="I128" s="31" t="s">
        <v>574</v>
      </c>
      <c r="J128" s="51" t="str">
        <f t="shared" si="3"/>
        <v>OperaçãoSeguros</v>
      </c>
    </row>
    <row r="129" spans="1:10">
      <c r="A129" s="32" t="s">
        <v>708</v>
      </c>
      <c r="B129" s="31" t="s">
        <v>10</v>
      </c>
      <c r="C129" s="31" t="s">
        <v>581</v>
      </c>
      <c r="D129" s="31" t="s">
        <v>582</v>
      </c>
      <c r="E129" s="31" t="s">
        <v>416</v>
      </c>
      <c r="F129" s="31" t="s">
        <v>7</v>
      </c>
      <c r="G129" s="31" t="s">
        <v>20</v>
      </c>
      <c r="H129" s="31" t="s">
        <v>18</v>
      </c>
      <c r="I129" s="31" t="s">
        <v>574</v>
      </c>
      <c r="J129" s="51" t="str">
        <f t="shared" si="3"/>
        <v>OperaçãoJurídico</v>
      </c>
    </row>
    <row r="130" spans="1:10">
      <c r="A130" s="32" t="s">
        <v>23</v>
      </c>
      <c r="B130" s="31" t="s">
        <v>10</v>
      </c>
      <c r="C130" s="31" t="s">
        <v>11</v>
      </c>
      <c r="D130" s="31" t="s">
        <v>13</v>
      </c>
      <c r="E130" s="31" t="s">
        <v>416</v>
      </c>
      <c r="F130" s="31" t="s">
        <v>7</v>
      </c>
      <c r="G130" s="31" t="s">
        <v>20</v>
      </c>
      <c r="H130" s="31" t="s">
        <v>18</v>
      </c>
      <c r="I130" s="31" t="s">
        <v>574</v>
      </c>
      <c r="J130" s="51" t="str">
        <f t="shared" si="3"/>
        <v>OperaçãoTI</v>
      </c>
    </row>
    <row r="131" spans="1:10">
      <c r="A131" s="32" t="s">
        <v>709</v>
      </c>
      <c r="B131" s="31" t="s">
        <v>10</v>
      </c>
      <c r="C131" s="31" t="s">
        <v>609</v>
      </c>
      <c r="D131" s="31" t="s">
        <v>610</v>
      </c>
      <c r="E131" s="31" t="s">
        <v>416</v>
      </c>
      <c r="F131" s="31" t="s">
        <v>7</v>
      </c>
      <c r="G131" s="31" t="s">
        <v>20</v>
      </c>
      <c r="H131" s="31" t="s">
        <v>18</v>
      </c>
      <c r="I131" s="31" t="s">
        <v>574</v>
      </c>
      <c r="J131" s="51" t="str">
        <f t="shared" si="3"/>
        <v>OperaçãoRecursos Humanos</v>
      </c>
    </row>
    <row r="132" spans="1:10">
      <c r="A132" s="5" t="s">
        <v>710</v>
      </c>
      <c r="B132" s="1" t="s">
        <v>258</v>
      </c>
      <c r="C132" s="1" t="s">
        <v>572</v>
      </c>
      <c r="D132" s="1" t="s">
        <v>573</v>
      </c>
      <c r="E132" s="1" t="s">
        <v>416</v>
      </c>
      <c r="F132" s="1" t="s">
        <v>39</v>
      </c>
      <c r="G132" s="1" t="s">
        <v>42</v>
      </c>
      <c r="H132" s="1" t="s">
        <v>258</v>
      </c>
      <c r="I132" s="1" t="s">
        <v>574</v>
      </c>
      <c r="J132" s="51" t="str">
        <f t="shared" ref="J132:J141" si="4">B132&amp;C132</f>
        <v>LocaçãoReal Estate</v>
      </c>
    </row>
    <row r="133" spans="1:10">
      <c r="A133" s="5" t="s">
        <v>711</v>
      </c>
      <c r="B133" s="1" t="s">
        <v>258</v>
      </c>
      <c r="C133" s="1" t="s">
        <v>535</v>
      </c>
      <c r="D133" s="1" t="s">
        <v>576</v>
      </c>
      <c r="E133" s="1" t="s">
        <v>416</v>
      </c>
      <c r="F133" s="1" t="s">
        <v>39</v>
      </c>
      <c r="G133" s="1" t="s">
        <v>42</v>
      </c>
      <c r="H133" s="1" t="s">
        <v>258</v>
      </c>
      <c r="I133" s="1" t="s">
        <v>577</v>
      </c>
      <c r="J133" s="51" t="str">
        <f t="shared" si="4"/>
        <v>LocaçãoManutenção</v>
      </c>
    </row>
    <row r="134" spans="1:10">
      <c r="A134" s="5" t="s">
        <v>712</v>
      </c>
      <c r="B134" s="1" t="s">
        <v>258</v>
      </c>
      <c r="C134" s="1" t="s">
        <v>579</v>
      </c>
      <c r="D134" s="1" t="s">
        <v>573</v>
      </c>
      <c r="E134" s="1" t="s">
        <v>416</v>
      </c>
      <c r="F134" s="1" t="s">
        <v>39</v>
      </c>
      <c r="G134" s="1" t="s">
        <v>42</v>
      </c>
      <c r="H134" s="1" t="s">
        <v>258</v>
      </c>
      <c r="I134" s="1" t="s">
        <v>577</v>
      </c>
      <c r="J134" s="51" t="str">
        <f t="shared" si="4"/>
        <v>LocaçãoADM &amp; Facilities</v>
      </c>
    </row>
    <row r="135" spans="1:10">
      <c r="A135" s="5" t="s">
        <v>713</v>
      </c>
      <c r="B135" s="1" t="s">
        <v>258</v>
      </c>
      <c r="C135" s="1" t="s">
        <v>581</v>
      </c>
      <c r="D135" s="1" t="s">
        <v>582</v>
      </c>
      <c r="E135" s="1" t="s">
        <v>416</v>
      </c>
      <c r="F135" s="1" t="s">
        <v>39</v>
      </c>
      <c r="G135" s="1" t="s">
        <v>42</v>
      </c>
      <c r="H135" s="1" t="s">
        <v>258</v>
      </c>
      <c r="I135" s="1" t="s">
        <v>574</v>
      </c>
      <c r="J135" s="51" t="str">
        <f t="shared" si="4"/>
        <v>LocaçãoJurídico</v>
      </c>
    </row>
    <row r="136" spans="1:10">
      <c r="A136" s="5" t="s">
        <v>714</v>
      </c>
      <c r="B136" s="1" t="s">
        <v>258</v>
      </c>
      <c r="C136" s="1" t="s">
        <v>543</v>
      </c>
      <c r="D136" s="1" t="s">
        <v>584</v>
      </c>
      <c r="E136" s="1" t="s">
        <v>416</v>
      </c>
      <c r="F136" s="1" t="s">
        <v>39</v>
      </c>
      <c r="G136" s="1" t="s">
        <v>42</v>
      </c>
      <c r="H136" s="1" t="s">
        <v>258</v>
      </c>
      <c r="I136" s="1" t="s">
        <v>574</v>
      </c>
      <c r="J136" s="51" t="str">
        <f t="shared" si="4"/>
        <v>LocaçãoSeguros</v>
      </c>
    </row>
    <row r="137" spans="1:10">
      <c r="A137" s="5" t="s">
        <v>715</v>
      </c>
      <c r="B137" s="1" t="s">
        <v>258</v>
      </c>
      <c r="C137" s="1" t="s">
        <v>572</v>
      </c>
      <c r="D137" s="1" t="s">
        <v>573</v>
      </c>
      <c r="E137" s="1" t="s">
        <v>416</v>
      </c>
      <c r="F137" s="1" t="s">
        <v>39</v>
      </c>
      <c r="G137" s="1" t="s">
        <v>40</v>
      </c>
      <c r="H137" s="1" t="s">
        <v>258</v>
      </c>
      <c r="I137" s="1" t="s">
        <v>574</v>
      </c>
      <c r="J137" s="51" t="str">
        <f t="shared" si="4"/>
        <v>LocaçãoReal Estate</v>
      </c>
    </row>
    <row r="138" spans="1:10">
      <c r="A138" s="5" t="s">
        <v>716</v>
      </c>
      <c r="B138" s="1" t="s">
        <v>258</v>
      </c>
      <c r="C138" s="1" t="s">
        <v>535</v>
      </c>
      <c r="D138" s="1" t="s">
        <v>576</v>
      </c>
      <c r="E138" s="1" t="s">
        <v>416</v>
      </c>
      <c r="F138" s="1" t="s">
        <v>39</v>
      </c>
      <c r="G138" s="1" t="s">
        <v>40</v>
      </c>
      <c r="H138" s="1" t="s">
        <v>258</v>
      </c>
      <c r="I138" s="1" t="s">
        <v>577</v>
      </c>
      <c r="J138" s="51" t="str">
        <f t="shared" si="4"/>
        <v>LocaçãoManutenção</v>
      </c>
    </row>
    <row r="139" spans="1:10">
      <c r="A139" s="5" t="s">
        <v>717</v>
      </c>
      <c r="B139" s="1" t="s">
        <v>258</v>
      </c>
      <c r="C139" s="1" t="s">
        <v>579</v>
      </c>
      <c r="D139" s="1" t="s">
        <v>573</v>
      </c>
      <c r="E139" s="1" t="s">
        <v>416</v>
      </c>
      <c r="F139" s="1" t="s">
        <v>39</v>
      </c>
      <c r="G139" s="1" t="s">
        <v>40</v>
      </c>
      <c r="H139" s="1" t="s">
        <v>258</v>
      </c>
      <c r="I139" s="1" t="s">
        <v>577</v>
      </c>
      <c r="J139" s="51" t="str">
        <f t="shared" si="4"/>
        <v>LocaçãoADM &amp; Facilities</v>
      </c>
    </row>
    <row r="140" spans="1:10">
      <c r="A140" s="5" t="s">
        <v>718</v>
      </c>
      <c r="B140" s="1" t="s">
        <v>258</v>
      </c>
      <c r="C140" s="1" t="s">
        <v>581</v>
      </c>
      <c r="D140" s="1" t="s">
        <v>582</v>
      </c>
      <c r="E140" s="1" t="s">
        <v>416</v>
      </c>
      <c r="F140" s="1" t="s">
        <v>39</v>
      </c>
      <c r="G140" s="1" t="s">
        <v>40</v>
      </c>
      <c r="H140" s="1" t="s">
        <v>258</v>
      </c>
      <c r="I140" s="1" t="s">
        <v>574</v>
      </c>
      <c r="J140" s="51" t="str">
        <f t="shared" si="4"/>
        <v>LocaçãoJurídico</v>
      </c>
    </row>
    <row r="141" spans="1:10">
      <c r="A141" s="5" t="s">
        <v>719</v>
      </c>
      <c r="B141" s="1" t="s">
        <v>258</v>
      </c>
      <c r="C141" s="1" t="s">
        <v>543</v>
      </c>
      <c r="D141" s="1" t="s">
        <v>584</v>
      </c>
      <c r="E141" s="1" t="s">
        <v>416</v>
      </c>
      <c r="F141" s="1" t="s">
        <v>39</v>
      </c>
      <c r="G141" s="1" t="s">
        <v>40</v>
      </c>
      <c r="H141" s="1" t="s">
        <v>258</v>
      </c>
      <c r="I141" s="1" t="s">
        <v>574</v>
      </c>
      <c r="J141" s="51" t="str">
        <f t="shared" si="4"/>
        <v>LocaçãoSeguros</v>
      </c>
    </row>
    <row r="142" spans="1:10">
      <c r="A142" s="5" t="s">
        <v>720</v>
      </c>
      <c r="B142" s="1" t="s">
        <v>10</v>
      </c>
      <c r="C142" s="1" t="s">
        <v>597</v>
      </c>
      <c r="D142" s="1" t="s">
        <v>721</v>
      </c>
      <c r="E142" s="1" t="s">
        <v>416</v>
      </c>
      <c r="F142" s="1" t="s">
        <v>39</v>
      </c>
      <c r="G142" s="1" t="s">
        <v>40</v>
      </c>
      <c r="H142" s="1" t="s">
        <v>14</v>
      </c>
      <c r="I142" s="1" t="s">
        <v>577</v>
      </c>
      <c r="J142" s="51" t="str">
        <f t="shared" si="3"/>
        <v>OperaçãoOperação Frio</v>
      </c>
    </row>
    <row r="143" spans="1:10">
      <c r="A143" s="5" t="s">
        <v>722</v>
      </c>
      <c r="B143" s="1" t="s">
        <v>10</v>
      </c>
      <c r="C143" s="1" t="s">
        <v>597</v>
      </c>
      <c r="D143" s="1" t="s">
        <v>721</v>
      </c>
      <c r="E143" s="1" t="s">
        <v>416</v>
      </c>
      <c r="F143" s="1" t="s">
        <v>39</v>
      </c>
      <c r="G143" s="1" t="s">
        <v>40</v>
      </c>
      <c r="H143" s="1" t="s">
        <v>14</v>
      </c>
      <c r="I143" s="1" t="s">
        <v>577</v>
      </c>
      <c r="J143" s="51" t="str">
        <f t="shared" si="3"/>
        <v>OperaçãoOperação Frio</v>
      </c>
    </row>
    <row r="144" spans="1:10">
      <c r="A144" s="5" t="s">
        <v>723</v>
      </c>
      <c r="B144" s="1" t="s">
        <v>10</v>
      </c>
      <c r="C144" s="1" t="s">
        <v>535</v>
      </c>
      <c r="D144" s="1" t="s">
        <v>576</v>
      </c>
      <c r="E144" s="1" t="s">
        <v>416</v>
      </c>
      <c r="F144" s="1" t="s">
        <v>39</v>
      </c>
      <c r="G144" s="1" t="s">
        <v>40</v>
      </c>
      <c r="H144" s="1" t="s">
        <v>14</v>
      </c>
      <c r="I144" s="1" t="s">
        <v>577</v>
      </c>
      <c r="J144" s="51" t="str">
        <f t="shared" si="3"/>
        <v>OperaçãoManutenção</v>
      </c>
    </row>
    <row r="145" spans="1:10">
      <c r="A145" s="5" t="s">
        <v>724</v>
      </c>
      <c r="B145" s="1" t="s">
        <v>10</v>
      </c>
      <c r="C145" s="1" t="s">
        <v>602</v>
      </c>
      <c r="D145" s="1" t="s">
        <v>603</v>
      </c>
      <c r="E145" s="1" t="s">
        <v>416</v>
      </c>
      <c r="F145" s="1" t="s">
        <v>39</v>
      </c>
      <c r="G145" s="1" t="s">
        <v>40</v>
      </c>
      <c r="H145" s="1" t="s">
        <v>14</v>
      </c>
      <c r="I145" s="1" t="s">
        <v>574</v>
      </c>
      <c r="J145" s="51" t="str">
        <f t="shared" si="3"/>
        <v>OperaçãoQualidade</v>
      </c>
    </row>
    <row r="146" spans="1:10">
      <c r="A146" s="5" t="s">
        <v>725</v>
      </c>
      <c r="B146" s="1" t="s">
        <v>10</v>
      </c>
      <c r="C146" s="1" t="s">
        <v>602</v>
      </c>
      <c r="D146" s="1" t="s">
        <v>603</v>
      </c>
      <c r="E146" s="1" t="s">
        <v>416</v>
      </c>
      <c r="F146" s="1" t="s">
        <v>39</v>
      </c>
      <c r="G146" s="1" t="s">
        <v>40</v>
      </c>
      <c r="H146" s="1" t="s">
        <v>14</v>
      </c>
      <c r="I146" s="1" t="s">
        <v>574</v>
      </c>
      <c r="J146" s="51" t="str">
        <f t="shared" si="3"/>
        <v>OperaçãoQualidade</v>
      </c>
    </row>
    <row r="147" spans="1:10">
      <c r="A147" s="5" t="s">
        <v>726</v>
      </c>
      <c r="B147" s="1" t="s">
        <v>10</v>
      </c>
      <c r="C147" s="1" t="s">
        <v>579</v>
      </c>
      <c r="D147" s="1" t="s">
        <v>721</v>
      </c>
      <c r="E147" s="1" t="s">
        <v>416</v>
      </c>
      <c r="F147" s="1" t="s">
        <v>39</v>
      </c>
      <c r="G147" s="1" t="s">
        <v>40</v>
      </c>
      <c r="H147" s="1" t="s">
        <v>14</v>
      </c>
      <c r="I147" s="1" t="s">
        <v>574</v>
      </c>
      <c r="J147" s="51" t="str">
        <f t="shared" si="3"/>
        <v>OperaçãoADM &amp; Facilities</v>
      </c>
    </row>
    <row r="148" spans="1:10">
      <c r="A148" s="5" t="s">
        <v>727</v>
      </c>
      <c r="B148" s="1" t="s">
        <v>10</v>
      </c>
      <c r="C148" s="1" t="s">
        <v>543</v>
      </c>
      <c r="D148" s="1" t="s">
        <v>584</v>
      </c>
      <c r="E148" s="1" t="s">
        <v>416</v>
      </c>
      <c r="F148" s="1" t="s">
        <v>39</v>
      </c>
      <c r="G148" s="1" t="s">
        <v>40</v>
      </c>
      <c r="H148" s="1" t="s">
        <v>14</v>
      </c>
      <c r="I148" s="1" t="s">
        <v>574</v>
      </c>
      <c r="J148" s="51" t="str">
        <f t="shared" si="3"/>
        <v>OperaçãoSeguros</v>
      </c>
    </row>
    <row r="149" spans="1:10">
      <c r="A149" s="5" t="s">
        <v>728</v>
      </c>
      <c r="B149" s="1" t="s">
        <v>10</v>
      </c>
      <c r="C149" s="1" t="s">
        <v>581</v>
      </c>
      <c r="D149" s="1" t="s">
        <v>582</v>
      </c>
      <c r="E149" s="1" t="s">
        <v>416</v>
      </c>
      <c r="F149" s="1" t="s">
        <v>39</v>
      </c>
      <c r="G149" s="1" t="s">
        <v>40</v>
      </c>
      <c r="H149" s="1" t="s">
        <v>14</v>
      </c>
      <c r="I149" s="1" t="s">
        <v>574</v>
      </c>
      <c r="J149" s="51" t="str">
        <f t="shared" si="3"/>
        <v>OperaçãoJurídico</v>
      </c>
    </row>
    <row r="150" spans="1:10">
      <c r="A150" s="5" t="s">
        <v>41</v>
      </c>
      <c r="B150" s="1" t="s">
        <v>10</v>
      </c>
      <c r="C150" s="1" t="s">
        <v>11</v>
      </c>
      <c r="D150" s="1" t="s">
        <v>13</v>
      </c>
      <c r="E150" s="1" t="s">
        <v>416</v>
      </c>
      <c r="F150" s="1" t="s">
        <v>39</v>
      </c>
      <c r="G150" s="1" t="s">
        <v>40</v>
      </c>
      <c r="H150" s="1" t="s">
        <v>14</v>
      </c>
      <c r="I150" s="1" t="s">
        <v>574</v>
      </c>
      <c r="J150" s="51" t="str">
        <f t="shared" si="3"/>
        <v>OperaçãoTI</v>
      </c>
    </row>
    <row r="151" spans="1:10">
      <c r="A151" s="5" t="s">
        <v>729</v>
      </c>
      <c r="B151" s="1" t="s">
        <v>10</v>
      </c>
      <c r="C151" s="1" t="s">
        <v>609</v>
      </c>
      <c r="D151" s="1" t="s">
        <v>610</v>
      </c>
      <c r="E151" s="1" t="s">
        <v>416</v>
      </c>
      <c r="F151" s="1" t="s">
        <v>39</v>
      </c>
      <c r="G151" s="1" t="s">
        <v>40</v>
      </c>
      <c r="H151" s="1" t="s">
        <v>14</v>
      </c>
      <c r="I151" s="1" t="s">
        <v>574</v>
      </c>
      <c r="J151" s="51" t="str">
        <f t="shared" si="3"/>
        <v>OperaçãoRecursos Humanos</v>
      </c>
    </row>
    <row r="152" spans="1:10">
      <c r="A152" s="5" t="s">
        <v>730</v>
      </c>
      <c r="B152" s="1" t="s">
        <v>10</v>
      </c>
      <c r="C152" s="1" t="s">
        <v>597</v>
      </c>
      <c r="D152" s="1" t="s">
        <v>721</v>
      </c>
      <c r="E152" s="1" t="s">
        <v>416</v>
      </c>
      <c r="F152" s="1" t="s">
        <v>39</v>
      </c>
      <c r="G152" s="1" t="s">
        <v>42</v>
      </c>
      <c r="H152" s="1" t="s">
        <v>14</v>
      </c>
      <c r="I152" s="1" t="s">
        <v>577</v>
      </c>
      <c r="J152" s="51" t="str">
        <f t="shared" si="3"/>
        <v>OperaçãoOperação Frio</v>
      </c>
    </row>
    <row r="153" spans="1:10">
      <c r="A153" s="5" t="s">
        <v>731</v>
      </c>
      <c r="B153" s="1" t="s">
        <v>10</v>
      </c>
      <c r="C153" s="1" t="s">
        <v>597</v>
      </c>
      <c r="D153" s="1" t="s">
        <v>721</v>
      </c>
      <c r="E153" s="1" t="s">
        <v>416</v>
      </c>
      <c r="F153" s="1" t="s">
        <v>39</v>
      </c>
      <c r="G153" s="1" t="s">
        <v>42</v>
      </c>
      <c r="H153" s="1" t="s">
        <v>14</v>
      </c>
      <c r="I153" s="1" t="s">
        <v>577</v>
      </c>
      <c r="J153" s="51" t="str">
        <f t="shared" si="3"/>
        <v>OperaçãoOperação Frio</v>
      </c>
    </row>
    <row r="154" spans="1:10">
      <c r="A154" s="5" t="s">
        <v>732</v>
      </c>
      <c r="B154" s="1" t="s">
        <v>10</v>
      </c>
      <c r="C154" s="1" t="s">
        <v>535</v>
      </c>
      <c r="D154" s="1" t="s">
        <v>576</v>
      </c>
      <c r="E154" s="1" t="s">
        <v>416</v>
      </c>
      <c r="F154" s="1" t="s">
        <v>39</v>
      </c>
      <c r="G154" s="1" t="s">
        <v>42</v>
      </c>
      <c r="H154" s="1" t="s">
        <v>14</v>
      </c>
      <c r="I154" s="1" t="s">
        <v>577</v>
      </c>
      <c r="J154" s="51" t="str">
        <f t="shared" si="3"/>
        <v>OperaçãoManutenção</v>
      </c>
    </row>
    <row r="155" spans="1:10">
      <c r="A155" s="5" t="s">
        <v>733</v>
      </c>
      <c r="B155" s="1" t="s">
        <v>10</v>
      </c>
      <c r="C155" s="1" t="s">
        <v>602</v>
      </c>
      <c r="D155" s="1" t="s">
        <v>603</v>
      </c>
      <c r="E155" s="1" t="s">
        <v>416</v>
      </c>
      <c r="F155" s="1" t="s">
        <v>39</v>
      </c>
      <c r="G155" s="1" t="s">
        <v>42</v>
      </c>
      <c r="H155" s="1" t="s">
        <v>14</v>
      </c>
      <c r="I155" s="1" t="s">
        <v>574</v>
      </c>
      <c r="J155" s="51" t="str">
        <f t="shared" si="3"/>
        <v>OperaçãoQualidade</v>
      </c>
    </row>
    <row r="156" spans="1:10">
      <c r="A156" s="5" t="s">
        <v>734</v>
      </c>
      <c r="B156" s="1" t="s">
        <v>10</v>
      </c>
      <c r="C156" s="1" t="s">
        <v>602</v>
      </c>
      <c r="D156" s="1" t="s">
        <v>603</v>
      </c>
      <c r="E156" s="1" t="s">
        <v>416</v>
      </c>
      <c r="F156" s="1" t="s">
        <v>39</v>
      </c>
      <c r="G156" s="1" t="s">
        <v>42</v>
      </c>
      <c r="H156" s="1" t="s">
        <v>14</v>
      </c>
      <c r="I156" s="1" t="s">
        <v>574</v>
      </c>
      <c r="J156" s="51" t="str">
        <f t="shared" si="3"/>
        <v>OperaçãoQualidade</v>
      </c>
    </row>
    <row r="157" spans="1:10">
      <c r="A157" s="5" t="s">
        <v>735</v>
      </c>
      <c r="B157" s="1" t="s">
        <v>10</v>
      </c>
      <c r="C157" s="1" t="s">
        <v>579</v>
      </c>
      <c r="D157" s="1" t="s">
        <v>721</v>
      </c>
      <c r="E157" s="1" t="s">
        <v>416</v>
      </c>
      <c r="F157" s="1" t="s">
        <v>39</v>
      </c>
      <c r="G157" s="1" t="s">
        <v>42</v>
      </c>
      <c r="H157" s="1" t="s">
        <v>14</v>
      </c>
      <c r="I157" s="1" t="s">
        <v>574</v>
      </c>
      <c r="J157" s="51" t="str">
        <f t="shared" si="3"/>
        <v>OperaçãoADM &amp; Facilities</v>
      </c>
    </row>
    <row r="158" spans="1:10">
      <c r="A158" s="5" t="s">
        <v>736</v>
      </c>
      <c r="B158" s="1" t="s">
        <v>10</v>
      </c>
      <c r="C158" s="1" t="s">
        <v>543</v>
      </c>
      <c r="D158" s="1" t="s">
        <v>584</v>
      </c>
      <c r="E158" s="1" t="s">
        <v>416</v>
      </c>
      <c r="F158" s="1" t="s">
        <v>39</v>
      </c>
      <c r="G158" s="1" t="s">
        <v>42</v>
      </c>
      <c r="H158" s="1" t="s">
        <v>14</v>
      </c>
      <c r="I158" s="1" t="s">
        <v>574</v>
      </c>
      <c r="J158" s="51" t="str">
        <f t="shared" si="3"/>
        <v>OperaçãoSeguros</v>
      </c>
    </row>
    <row r="159" spans="1:10">
      <c r="A159" s="5" t="s">
        <v>737</v>
      </c>
      <c r="B159" s="1" t="s">
        <v>10</v>
      </c>
      <c r="C159" s="1" t="s">
        <v>581</v>
      </c>
      <c r="D159" s="1" t="s">
        <v>582</v>
      </c>
      <c r="E159" s="1" t="s">
        <v>416</v>
      </c>
      <c r="F159" s="1" t="s">
        <v>39</v>
      </c>
      <c r="G159" s="1" t="s">
        <v>42</v>
      </c>
      <c r="H159" s="1" t="s">
        <v>14</v>
      </c>
      <c r="I159" s="1" t="s">
        <v>574</v>
      </c>
      <c r="J159" s="51" t="str">
        <f t="shared" si="3"/>
        <v>OperaçãoJurídico</v>
      </c>
    </row>
    <row r="160" spans="1:10">
      <c r="A160" s="5" t="s">
        <v>43</v>
      </c>
      <c r="B160" s="1" t="s">
        <v>10</v>
      </c>
      <c r="C160" s="1" t="s">
        <v>11</v>
      </c>
      <c r="D160" s="1" t="s">
        <v>13</v>
      </c>
      <c r="E160" s="1" t="s">
        <v>416</v>
      </c>
      <c r="F160" s="1" t="s">
        <v>39</v>
      </c>
      <c r="G160" s="1" t="s">
        <v>42</v>
      </c>
      <c r="H160" s="1" t="s">
        <v>14</v>
      </c>
      <c r="I160" s="1" t="s">
        <v>574</v>
      </c>
      <c r="J160" s="51" t="str">
        <f t="shared" si="3"/>
        <v>OperaçãoTI</v>
      </c>
    </row>
    <row r="161" spans="1:10">
      <c r="A161" s="5" t="s">
        <v>738</v>
      </c>
      <c r="B161" s="1" t="s">
        <v>10</v>
      </c>
      <c r="C161" s="1" t="s">
        <v>609</v>
      </c>
      <c r="D161" s="1" t="s">
        <v>610</v>
      </c>
      <c r="E161" s="1" t="s">
        <v>416</v>
      </c>
      <c r="F161" s="1" t="s">
        <v>39</v>
      </c>
      <c r="G161" s="1" t="s">
        <v>42</v>
      </c>
      <c r="H161" s="1" t="s">
        <v>14</v>
      </c>
      <c r="I161" s="1" t="s">
        <v>574</v>
      </c>
      <c r="J161" s="51" t="str">
        <f t="shared" si="3"/>
        <v>OperaçãoRecursos Humanos</v>
      </c>
    </row>
    <row r="162" spans="1:10">
      <c r="A162" s="5" t="s">
        <v>739</v>
      </c>
      <c r="B162" s="1" t="s">
        <v>258</v>
      </c>
      <c r="C162" s="1" t="s">
        <v>572</v>
      </c>
      <c r="D162" s="1" t="s">
        <v>573</v>
      </c>
      <c r="E162" s="1" t="s">
        <v>416</v>
      </c>
      <c r="F162" s="1" t="s">
        <v>46</v>
      </c>
      <c r="G162" s="1" t="s">
        <v>740</v>
      </c>
      <c r="H162" s="1" t="s">
        <v>258</v>
      </c>
      <c r="I162" s="1" t="s">
        <v>574</v>
      </c>
      <c r="J162" s="51" t="str">
        <f t="shared" ref="J162:J171" si="5">B162&amp;C162</f>
        <v>LocaçãoReal Estate</v>
      </c>
    </row>
    <row r="163" spans="1:10">
      <c r="A163" s="5" t="s">
        <v>741</v>
      </c>
      <c r="B163" s="1" t="s">
        <v>258</v>
      </c>
      <c r="C163" s="1" t="s">
        <v>535</v>
      </c>
      <c r="D163" s="1" t="s">
        <v>576</v>
      </c>
      <c r="E163" s="1" t="s">
        <v>416</v>
      </c>
      <c r="F163" s="1" t="s">
        <v>46</v>
      </c>
      <c r="G163" s="1" t="s">
        <v>740</v>
      </c>
      <c r="H163" s="1" t="s">
        <v>258</v>
      </c>
      <c r="I163" s="1" t="s">
        <v>577</v>
      </c>
      <c r="J163" s="51" t="str">
        <f t="shared" si="5"/>
        <v>LocaçãoManutenção</v>
      </c>
    </row>
    <row r="164" spans="1:10">
      <c r="A164" s="5" t="s">
        <v>742</v>
      </c>
      <c r="B164" s="1" t="s">
        <v>258</v>
      </c>
      <c r="C164" s="1" t="s">
        <v>579</v>
      </c>
      <c r="D164" s="1" t="s">
        <v>573</v>
      </c>
      <c r="E164" s="1" t="s">
        <v>416</v>
      </c>
      <c r="F164" s="1" t="s">
        <v>46</v>
      </c>
      <c r="G164" s="1" t="s">
        <v>740</v>
      </c>
      <c r="H164" s="1" t="s">
        <v>258</v>
      </c>
      <c r="I164" s="1" t="s">
        <v>577</v>
      </c>
      <c r="J164" s="51" t="str">
        <f t="shared" si="5"/>
        <v>LocaçãoADM &amp; Facilities</v>
      </c>
    </row>
    <row r="165" spans="1:10">
      <c r="A165" s="5" t="s">
        <v>743</v>
      </c>
      <c r="B165" s="1" t="s">
        <v>258</v>
      </c>
      <c r="C165" s="1" t="s">
        <v>581</v>
      </c>
      <c r="D165" s="1" t="s">
        <v>582</v>
      </c>
      <c r="E165" s="1" t="s">
        <v>416</v>
      </c>
      <c r="F165" s="1" t="s">
        <v>46</v>
      </c>
      <c r="G165" s="1" t="s">
        <v>740</v>
      </c>
      <c r="H165" s="1" t="s">
        <v>258</v>
      </c>
      <c r="I165" s="1" t="s">
        <v>574</v>
      </c>
      <c r="J165" s="51" t="str">
        <f t="shared" si="5"/>
        <v>LocaçãoJurídico</v>
      </c>
    </row>
    <row r="166" spans="1:10">
      <c r="A166" s="5" t="s">
        <v>744</v>
      </c>
      <c r="B166" s="1" t="s">
        <v>258</v>
      </c>
      <c r="C166" s="1" t="s">
        <v>543</v>
      </c>
      <c r="D166" s="1" t="s">
        <v>584</v>
      </c>
      <c r="E166" s="1" t="s">
        <v>416</v>
      </c>
      <c r="F166" s="1" t="s">
        <v>46</v>
      </c>
      <c r="G166" s="1" t="s">
        <v>740</v>
      </c>
      <c r="H166" s="1" t="s">
        <v>258</v>
      </c>
      <c r="I166" s="1" t="s">
        <v>574</v>
      </c>
      <c r="J166" s="51" t="str">
        <f t="shared" si="5"/>
        <v>LocaçãoSeguros</v>
      </c>
    </row>
    <row r="167" spans="1:10">
      <c r="A167" s="5" t="s">
        <v>745</v>
      </c>
      <c r="B167" s="1" t="s">
        <v>258</v>
      </c>
      <c r="C167" s="1" t="s">
        <v>572</v>
      </c>
      <c r="D167" s="1" t="s">
        <v>573</v>
      </c>
      <c r="E167" s="1" t="s">
        <v>416</v>
      </c>
      <c r="F167" s="1" t="s">
        <v>46</v>
      </c>
      <c r="G167" s="1" t="s">
        <v>47</v>
      </c>
      <c r="H167" s="1" t="s">
        <v>258</v>
      </c>
      <c r="I167" s="1" t="s">
        <v>574</v>
      </c>
      <c r="J167" s="51" t="str">
        <f t="shared" si="5"/>
        <v>LocaçãoReal Estate</v>
      </c>
    </row>
    <row r="168" spans="1:10">
      <c r="A168" s="5" t="s">
        <v>746</v>
      </c>
      <c r="B168" s="1" t="s">
        <v>258</v>
      </c>
      <c r="C168" s="1" t="s">
        <v>535</v>
      </c>
      <c r="D168" s="1" t="s">
        <v>576</v>
      </c>
      <c r="E168" s="1" t="s">
        <v>416</v>
      </c>
      <c r="F168" s="1" t="s">
        <v>46</v>
      </c>
      <c r="G168" s="1" t="s">
        <v>47</v>
      </c>
      <c r="H168" s="1" t="s">
        <v>258</v>
      </c>
      <c r="I168" s="1" t="s">
        <v>577</v>
      </c>
      <c r="J168" s="51" t="str">
        <f t="shared" si="5"/>
        <v>LocaçãoManutenção</v>
      </c>
    </row>
    <row r="169" spans="1:10">
      <c r="A169" s="5" t="s">
        <v>747</v>
      </c>
      <c r="B169" s="1" t="s">
        <v>258</v>
      </c>
      <c r="C169" s="1" t="s">
        <v>579</v>
      </c>
      <c r="D169" s="1" t="s">
        <v>573</v>
      </c>
      <c r="E169" s="1" t="s">
        <v>416</v>
      </c>
      <c r="F169" s="1" t="s">
        <v>46</v>
      </c>
      <c r="G169" s="1" t="s">
        <v>47</v>
      </c>
      <c r="H169" s="1" t="s">
        <v>258</v>
      </c>
      <c r="I169" s="1" t="s">
        <v>577</v>
      </c>
      <c r="J169" s="51" t="str">
        <f t="shared" si="5"/>
        <v>LocaçãoADM &amp; Facilities</v>
      </c>
    </row>
    <row r="170" spans="1:10">
      <c r="A170" s="5" t="s">
        <v>748</v>
      </c>
      <c r="B170" s="1" t="s">
        <v>258</v>
      </c>
      <c r="C170" s="1" t="s">
        <v>581</v>
      </c>
      <c r="D170" s="1" t="s">
        <v>582</v>
      </c>
      <c r="E170" s="1" t="s">
        <v>416</v>
      </c>
      <c r="F170" s="1" t="s">
        <v>46</v>
      </c>
      <c r="G170" s="1" t="s">
        <v>47</v>
      </c>
      <c r="H170" s="1" t="s">
        <v>258</v>
      </c>
      <c r="I170" s="1" t="s">
        <v>574</v>
      </c>
      <c r="J170" s="51" t="str">
        <f t="shared" si="5"/>
        <v>LocaçãoJurídico</v>
      </c>
    </row>
    <row r="171" spans="1:10">
      <c r="A171" s="5" t="s">
        <v>749</v>
      </c>
      <c r="B171" s="1" t="s">
        <v>258</v>
      </c>
      <c r="C171" s="1" t="s">
        <v>543</v>
      </c>
      <c r="D171" s="1" t="s">
        <v>584</v>
      </c>
      <c r="E171" s="1" t="s">
        <v>416</v>
      </c>
      <c r="F171" s="1" t="s">
        <v>46</v>
      </c>
      <c r="G171" s="1" t="s">
        <v>47</v>
      </c>
      <c r="H171" s="1" t="s">
        <v>258</v>
      </c>
      <c r="I171" s="1" t="s">
        <v>574</v>
      </c>
      <c r="J171" s="51" t="str">
        <f t="shared" si="5"/>
        <v>LocaçãoSeguros</v>
      </c>
    </row>
    <row r="172" spans="1:10">
      <c r="A172" s="5" t="s">
        <v>750</v>
      </c>
      <c r="B172" s="1" t="s">
        <v>10</v>
      </c>
      <c r="C172" s="1" t="s">
        <v>597</v>
      </c>
      <c r="D172" s="1" t="s">
        <v>751</v>
      </c>
      <c r="E172" s="1" t="s">
        <v>416</v>
      </c>
      <c r="F172" s="1" t="s">
        <v>46</v>
      </c>
      <c r="G172" s="1" t="s">
        <v>47</v>
      </c>
      <c r="H172" s="1" t="s">
        <v>14</v>
      </c>
      <c r="I172" s="1" t="s">
        <v>577</v>
      </c>
      <c r="J172" s="51" t="str">
        <f t="shared" si="3"/>
        <v>OperaçãoOperação Frio</v>
      </c>
    </row>
    <row r="173" spans="1:10">
      <c r="A173" s="5" t="s">
        <v>752</v>
      </c>
      <c r="B173" s="1" t="s">
        <v>10</v>
      </c>
      <c r="C173" s="1" t="s">
        <v>597</v>
      </c>
      <c r="D173" s="1" t="s">
        <v>751</v>
      </c>
      <c r="E173" s="1" t="s">
        <v>416</v>
      </c>
      <c r="F173" s="1" t="s">
        <v>46</v>
      </c>
      <c r="G173" s="1" t="s">
        <v>47</v>
      </c>
      <c r="H173" s="1" t="s">
        <v>14</v>
      </c>
      <c r="I173" s="1" t="s">
        <v>577</v>
      </c>
      <c r="J173" s="51" t="str">
        <f t="shared" si="3"/>
        <v>OperaçãoOperação Frio</v>
      </c>
    </row>
    <row r="174" spans="1:10">
      <c r="A174" s="5" t="s">
        <v>753</v>
      </c>
      <c r="B174" s="1" t="s">
        <v>10</v>
      </c>
      <c r="C174" s="1" t="s">
        <v>535</v>
      </c>
      <c r="D174" s="1" t="s">
        <v>576</v>
      </c>
      <c r="E174" s="1" t="s">
        <v>416</v>
      </c>
      <c r="F174" s="1" t="s">
        <v>46</v>
      </c>
      <c r="G174" s="1" t="s">
        <v>47</v>
      </c>
      <c r="H174" s="1" t="s">
        <v>14</v>
      </c>
      <c r="I174" s="1" t="s">
        <v>577</v>
      </c>
      <c r="J174" s="51" t="str">
        <f t="shared" si="3"/>
        <v>OperaçãoManutenção</v>
      </c>
    </row>
    <row r="175" spans="1:10">
      <c r="A175" s="5" t="s">
        <v>754</v>
      </c>
      <c r="B175" s="1" t="s">
        <v>10</v>
      </c>
      <c r="C175" s="1" t="s">
        <v>602</v>
      </c>
      <c r="D175" s="1" t="s">
        <v>603</v>
      </c>
      <c r="E175" s="1" t="s">
        <v>416</v>
      </c>
      <c r="F175" s="1" t="s">
        <v>46</v>
      </c>
      <c r="G175" s="1" t="s">
        <v>47</v>
      </c>
      <c r="H175" s="1" t="s">
        <v>14</v>
      </c>
      <c r="I175" s="1" t="s">
        <v>574</v>
      </c>
      <c r="J175" s="51" t="str">
        <f t="shared" si="3"/>
        <v>OperaçãoQualidade</v>
      </c>
    </row>
    <row r="176" spans="1:10">
      <c r="A176" s="5" t="s">
        <v>755</v>
      </c>
      <c r="B176" s="1" t="s">
        <v>10</v>
      </c>
      <c r="C176" s="1" t="s">
        <v>602</v>
      </c>
      <c r="D176" s="1" t="s">
        <v>603</v>
      </c>
      <c r="E176" s="1" t="s">
        <v>416</v>
      </c>
      <c r="F176" s="1" t="s">
        <v>46</v>
      </c>
      <c r="G176" s="1" t="s">
        <v>47</v>
      </c>
      <c r="H176" s="1" t="s">
        <v>14</v>
      </c>
      <c r="I176" s="1" t="s">
        <v>574</v>
      </c>
      <c r="J176" s="51" t="str">
        <f t="shared" si="3"/>
        <v>OperaçãoQualidade</v>
      </c>
    </row>
    <row r="177" spans="1:10">
      <c r="A177" s="5" t="s">
        <v>756</v>
      </c>
      <c r="B177" s="1" t="s">
        <v>10</v>
      </c>
      <c r="C177" s="1" t="s">
        <v>579</v>
      </c>
      <c r="D177" s="1" t="s">
        <v>751</v>
      </c>
      <c r="E177" s="1" t="s">
        <v>416</v>
      </c>
      <c r="F177" s="1" t="s">
        <v>46</v>
      </c>
      <c r="G177" s="1" t="s">
        <v>47</v>
      </c>
      <c r="H177" s="1" t="s">
        <v>14</v>
      </c>
      <c r="I177" s="1" t="s">
        <v>574</v>
      </c>
      <c r="J177" s="51" t="str">
        <f t="shared" si="3"/>
        <v>OperaçãoADM &amp; Facilities</v>
      </c>
    </row>
    <row r="178" spans="1:10">
      <c r="A178" s="5" t="s">
        <v>757</v>
      </c>
      <c r="B178" s="1" t="s">
        <v>10</v>
      </c>
      <c r="C178" s="1" t="s">
        <v>581</v>
      </c>
      <c r="D178" s="1" t="s">
        <v>582</v>
      </c>
      <c r="E178" s="1" t="s">
        <v>416</v>
      </c>
      <c r="F178" s="1" t="s">
        <v>46</v>
      </c>
      <c r="G178" s="1" t="s">
        <v>47</v>
      </c>
      <c r="H178" s="1" t="s">
        <v>14</v>
      </c>
      <c r="I178" s="1" t="s">
        <v>574</v>
      </c>
      <c r="J178" s="51" t="str">
        <f t="shared" si="3"/>
        <v>OperaçãoJurídico</v>
      </c>
    </row>
    <row r="179" spans="1:10">
      <c r="A179" s="5" t="s">
        <v>758</v>
      </c>
      <c r="B179" s="1" t="s">
        <v>10</v>
      </c>
      <c r="C179" s="1" t="s">
        <v>543</v>
      </c>
      <c r="D179" s="1" t="s">
        <v>584</v>
      </c>
      <c r="E179" s="1" t="s">
        <v>416</v>
      </c>
      <c r="F179" s="1" t="s">
        <v>46</v>
      </c>
      <c r="G179" s="1" t="s">
        <v>47</v>
      </c>
      <c r="H179" s="1" t="s">
        <v>14</v>
      </c>
      <c r="I179" s="1" t="s">
        <v>574</v>
      </c>
      <c r="J179" s="51" t="str">
        <f t="shared" si="3"/>
        <v>OperaçãoSeguros</v>
      </c>
    </row>
    <row r="180" spans="1:10">
      <c r="A180" s="5" t="s">
        <v>48</v>
      </c>
      <c r="B180" s="1" t="s">
        <v>10</v>
      </c>
      <c r="C180" s="1" t="s">
        <v>11</v>
      </c>
      <c r="D180" s="1" t="s">
        <v>13</v>
      </c>
      <c r="E180" s="1" t="s">
        <v>416</v>
      </c>
      <c r="F180" s="1" t="s">
        <v>46</v>
      </c>
      <c r="G180" s="1" t="s">
        <v>47</v>
      </c>
      <c r="H180" s="1" t="s">
        <v>14</v>
      </c>
      <c r="I180" s="1" t="s">
        <v>574</v>
      </c>
      <c r="J180" s="51" t="str">
        <f t="shared" si="3"/>
        <v>OperaçãoTI</v>
      </c>
    </row>
    <row r="181" spans="1:10">
      <c r="A181" s="5" t="s">
        <v>759</v>
      </c>
      <c r="B181" s="1" t="s">
        <v>10</v>
      </c>
      <c r="C181" s="1" t="s">
        <v>609</v>
      </c>
      <c r="D181" s="1" t="s">
        <v>610</v>
      </c>
      <c r="E181" s="1" t="s">
        <v>416</v>
      </c>
      <c r="F181" s="1" t="s">
        <v>46</v>
      </c>
      <c r="G181" s="1" t="s">
        <v>47</v>
      </c>
      <c r="H181" s="1" t="s">
        <v>14</v>
      </c>
      <c r="I181" s="1" t="s">
        <v>574</v>
      </c>
      <c r="J181" s="51" t="str">
        <f t="shared" si="3"/>
        <v>OperaçãoRecursos Humanos</v>
      </c>
    </row>
    <row r="182" spans="1:10">
      <c r="A182" s="5" t="s">
        <v>760</v>
      </c>
      <c r="B182" s="1" t="s">
        <v>258</v>
      </c>
      <c r="C182" s="1" t="s">
        <v>572</v>
      </c>
      <c r="D182" s="1" t="s">
        <v>573</v>
      </c>
      <c r="E182" s="1" t="s">
        <v>416</v>
      </c>
      <c r="F182" s="1" t="s">
        <v>761</v>
      </c>
      <c r="G182" s="1" t="s">
        <v>762</v>
      </c>
      <c r="H182" s="1" t="s">
        <v>258</v>
      </c>
      <c r="I182" s="1" t="s">
        <v>574</v>
      </c>
      <c r="J182" s="51" t="str">
        <f>B182&amp;C182</f>
        <v>LocaçãoReal Estate</v>
      </c>
    </row>
    <row r="183" spans="1:10">
      <c r="A183" s="5" t="s">
        <v>763</v>
      </c>
      <c r="B183" s="1" t="s">
        <v>258</v>
      </c>
      <c r="C183" s="1" t="s">
        <v>535</v>
      </c>
      <c r="D183" s="1" t="s">
        <v>576</v>
      </c>
      <c r="E183" s="1" t="s">
        <v>416</v>
      </c>
      <c r="F183" s="1" t="s">
        <v>761</v>
      </c>
      <c r="G183" s="1" t="s">
        <v>762</v>
      </c>
      <c r="H183" s="1" t="s">
        <v>258</v>
      </c>
      <c r="I183" s="1" t="s">
        <v>577</v>
      </c>
      <c r="J183" s="51" t="str">
        <f>B183&amp;C183</f>
        <v>LocaçãoManutenção</v>
      </c>
    </row>
    <row r="184" spans="1:10">
      <c r="A184" s="5" t="s">
        <v>764</v>
      </c>
      <c r="B184" s="1" t="s">
        <v>258</v>
      </c>
      <c r="C184" s="1" t="s">
        <v>579</v>
      </c>
      <c r="D184" s="1" t="s">
        <v>573</v>
      </c>
      <c r="E184" s="1" t="s">
        <v>416</v>
      </c>
      <c r="F184" s="1" t="s">
        <v>761</v>
      </c>
      <c r="G184" s="1" t="s">
        <v>762</v>
      </c>
      <c r="H184" s="1" t="s">
        <v>258</v>
      </c>
      <c r="I184" s="1" t="s">
        <v>577</v>
      </c>
      <c r="J184" s="51" t="str">
        <f>B184&amp;C184</f>
        <v>LocaçãoADM &amp; Facilities</v>
      </c>
    </row>
    <row r="185" spans="1:10">
      <c r="A185" s="5" t="s">
        <v>765</v>
      </c>
      <c r="B185" s="1" t="s">
        <v>258</v>
      </c>
      <c r="C185" s="1" t="s">
        <v>581</v>
      </c>
      <c r="D185" s="1" t="s">
        <v>582</v>
      </c>
      <c r="E185" s="1" t="s">
        <v>416</v>
      </c>
      <c r="F185" s="1" t="s">
        <v>761</v>
      </c>
      <c r="G185" s="1" t="s">
        <v>762</v>
      </c>
      <c r="H185" s="1" t="s">
        <v>258</v>
      </c>
      <c r="I185" s="1" t="s">
        <v>574</v>
      </c>
      <c r="J185" s="51" t="str">
        <f>B185&amp;C185</f>
        <v>LocaçãoJurídico</v>
      </c>
    </row>
    <row r="186" spans="1:10">
      <c r="A186" s="5" t="s">
        <v>766</v>
      </c>
      <c r="B186" s="1" t="s">
        <v>258</v>
      </c>
      <c r="C186" s="1" t="s">
        <v>543</v>
      </c>
      <c r="D186" s="1" t="s">
        <v>584</v>
      </c>
      <c r="E186" s="1" t="s">
        <v>416</v>
      </c>
      <c r="F186" s="1" t="s">
        <v>761</v>
      </c>
      <c r="G186" s="1" t="s">
        <v>762</v>
      </c>
      <c r="H186" s="1" t="s">
        <v>258</v>
      </c>
      <c r="I186" s="1" t="s">
        <v>574</v>
      </c>
      <c r="J186" s="51" t="str">
        <f>B186&amp;C186</f>
        <v>LocaçãoSeguros</v>
      </c>
    </row>
    <row r="187" spans="1:10">
      <c r="A187" s="5" t="s">
        <v>111</v>
      </c>
      <c r="B187" s="1" t="s">
        <v>10</v>
      </c>
      <c r="C187" s="1" t="s">
        <v>11</v>
      </c>
      <c r="D187" s="1" t="s">
        <v>13</v>
      </c>
      <c r="E187" s="1" t="s">
        <v>416</v>
      </c>
      <c r="F187" s="1" t="s">
        <v>36</v>
      </c>
      <c r="G187" s="1" t="s">
        <v>417</v>
      </c>
      <c r="H187" s="1" t="s">
        <v>417</v>
      </c>
      <c r="I187" s="1" t="s">
        <v>574</v>
      </c>
      <c r="J187" s="51" t="str">
        <f t="shared" ref="J187" si="6">B187&amp;C187</f>
        <v>OperaçãoTI</v>
      </c>
    </row>
    <row r="188" spans="1:10">
      <c r="A188" s="46" t="s">
        <v>767</v>
      </c>
      <c r="B188" s="47" t="s">
        <v>34</v>
      </c>
      <c r="C188" s="47" t="s">
        <v>10</v>
      </c>
      <c r="D188" s="47" t="s">
        <v>768</v>
      </c>
      <c r="E188" s="47" t="s">
        <v>454</v>
      </c>
      <c r="F188" s="47" t="s">
        <v>7</v>
      </c>
      <c r="G188" s="47" t="s">
        <v>32</v>
      </c>
      <c r="H188" s="47" t="s">
        <v>33</v>
      </c>
      <c r="I188" s="47" t="s">
        <v>454</v>
      </c>
      <c r="J188" s="51" t="str">
        <f t="shared" si="3"/>
        <v>BUOperação</v>
      </c>
    </row>
    <row r="189" spans="1:10">
      <c r="A189" s="46" t="s">
        <v>769</v>
      </c>
      <c r="B189" s="47" t="s">
        <v>34</v>
      </c>
      <c r="C189" s="47" t="s">
        <v>10</v>
      </c>
      <c r="D189" s="47" t="s">
        <v>768</v>
      </c>
      <c r="E189" s="47" t="s">
        <v>454</v>
      </c>
      <c r="F189" s="47" t="s">
        <v>7</v>
      </c>
      <c r="G189" s="47" t="s">
        <v>32</v>
      </c>
      <c r="H189" s="47" t="s">
        <v>33</v>
      </c>
      <c r="I189" s="47" t="s">
        <v>454</v>
      </c>
      <c r="J189" s="51" t="str">
        <f t="shared" si="3"/>
        <v>BUOperação</v>
      </c>
    </row>
    <row r="190" spans="1:10">
      <c r="A190" s="46" t="s">
        <v>770</v>
      </c>
      <c r="B190" s="47" t="s">
        <v>34</v>
      </c>
      <c r="C190" s="47" t="s">
        <v>10</v>
      </c>
      <c r="D190" s="47" t="s">
        <v>768</v>
      </c>
      <c r="E190" s="47" t="s">
        <v>454</v>
      </c>
      <c r="F190" s="47" t="s">
        <v>7</v>
      </c>
      <c r="G190" s="47" t="s">
        <v>32</v>
      </c>
      <c r="H190" s="47" t="s">
        <v>33</v>
      </c>
      <c r="I190" s="47" t="s">
        <v>454</v>
      </c>
      <c r="J190" s="51" t="str">
        <f t="shared" si="3"/>
        <v>BUOperação</v>
      </c>
    </row>
    <row r="191" spans="1:10">
      <c r="A191" s="46" t="s">
        <v>771</v>
      </c>
      <c r="B191" s="47" t="s">
        <v>34</v>
      </c>
      <c r="C191" s="47" t="s">
        <v>535</v>
      </c>
      <c r="D191" s="47" t="s">
        <v>576</v>
      </c>
      <c r="E191" s="47" t="s">
        <v>454</v>
      </c>
      <c r="F191" s="47" t="s">
        <v>7</v>
      </c>
      <c r="G191" s="47" t="s">
        <v>32</v>
      </c>
      <c r="H191" s="47" t="s">
        <v>33</v>
      </c>
      <c r="I191" s="47" t="s">
        <v>454</v>
      </c>
      <c r="J191" s="51" t="str">
        <f t="shared" si="3"/>
        <v>BUManutenção</v>
      </c>
    </row>
    <row r="192" spans="1:10">
      <c r="A192" s="46" t="s">
        <v>772</v>
      </c>
      <c r="B192" s="47" t="s">
        <v>34</v>
      </c>
      <c r="C192" s="47" t="s">
        <v>773</v>
      </c>
      <c r="D192" s="47" t="s">
        <v>603</v>
      </c>
      <c r="E192" s="47" t="s">
        <v>454</v>
      </c>
      <c r="F192" s="47" t="s">
        <v>7</v>
      </c>
      <c r="G192" s="47" t="s">
        <v>32</v>
      </c>
      <c r="H192" s="47" t="s">
        <v>33</v>
      </c>
      <c r="I192" s="47" t="s">
        <v>454</v>
      </c>
      <c r="J192" s="51" t="str">
        <f t="shared" si="3"/>
        <v>BUEHS</v>
      </c>
    </row>
    <row r="193" spans="1:10">
      <c r="A193" s="46" t="s">
        <v>774</v>
      </c>
      <c r="B193" s="47" t="s">
        <v>34</v>
      </c>
      <c r="C193" s="47" t="s">
        <v>602</v>
      </c>
      <c r="D193" s="47" t="s">
        <v>603</v>
      </c>
      <c r="E193" s="47" t="s">
        <v>454</v>
      </c>
      <c r="F193" s="47" t="s">
        <v>7</v>
      </c>
      <c r="G193" s="47" t="s">
        <v>32</v>
      </c>
      <c r="H193" s="47" t="s">
        <v>33</v>
      </c>
      <c r="I193" s="47" t="s">
        <v>454</v>
      </c>
      <c r="J193" s="51" t="str">
        <f t="shared" si="3"/>
        <v>BUQualidade</v>
      </c>
    </row>
    <row r="194" spans="1:10">
      <c r="A194" s="46" t="s">
        <v>775</v>
      </c>
      <c r="B194" s="47" t="s">
        <v>34</v>
      </c>
      <c r="C194" s="47" t="s">
        <v>543</v>
      </c>
      <c r="D194" s="47" t="s">
        <v>584</v>
      </c>
      <c r="E194" s="47" t="s">
        <v>454</v>
      </c>
      <c r="F194" s="47" t="s">
        <v>7</v>
      </c>
      <c r="G194" s="47" t="s">
        <v>32</v>
      </c>
      <c r="H194" s="47" t="s">
        <v>33</v>
      </c>
      <c r="I194" s="47" t="s">
        <v>454</v>
      </c>
      <c r="J194" s="51" t="str">
        <f t="shared" si="3"/>
        <v>BUSeguros</v>
      </c>
    </row>
    <row r="195" spans="1:10">
      <c r="A195" s="46" t="s">
        <v>776</v>
      </c>
      <c r="B195" s="47" t="s">
        <v>34</v>
      </c>
      <c r="C195" s="47" t="s">
        <v>777</v>
      </c>
      <c r="D195" s="47" t="s">
        <v>778</v>
      </c>
      <c r="E195" s="47" t="s">
        <v>454</v>
      </c>
      <c r="F195" s="47" t="s">
        <v>7</v>
      </c>
      <c r="G195" s="47" t="s">
        <v>32</v>
      </c>
      <c r="H195" s="47" t="s">
        <v>33</v>
      </c>
      <c r="I195" s="47" t="s">
        <v>454</v>
      </c>
      <c r="J195" s="51" t="str">
        <f t="shared" si="3"/>
        <v>BUComercial</v>
      </c>
    </row>
    <row r="196" spans="1:10">
      <c r="A196" s="46" t="s">
        <v>779</v>
      </c>
      <c r="B196" s="47" t="s">
        <v>34</v>
      </c>
      <c r="C196" s="47" t="s">
        <v>780</v>
      </c>
      <c r="D196" s="47" t="s">
        <v>778</v>
      </c>
      <c r="E196" s="47" t="s">
        <v>454</v>
      </c>
      <c r="F196" s="47" t="s">
        <v>7</v>
      </c>
      <c r="G196" s="47" t="s">
        <v>32</v>
      </c>
      <c r="H196" s="47" t="s">
        <v>33</v>
      </c>
      <c r="I196" s="47" t="s">
        <v>454</v>
      </c>
      <c r="J196" s="51" t="str">
        <f t="shared" si="3"/>
        <v>BUFaturamento</v>
      </c>
    </row>
    <row r="197" spans="1:10">
      <c r="A197" s="46" t="s">
        <v>781</v>
      </c>
      <c r="B197" s="47" t="s">
        <v>34</v>
      </c>
      <c r="C197" s="47" t="s">
        <v>581</v>
      </c>
      <c r="D197" s="47" t="s">
        <v>582</v>
      </c>
      <c r="E197" s="47" t="s">
        <v>454</v>
      </c>
      <c r="F197" s="47" t="s">
        <v>7</v>
      </c>
      <c r="G197" s="47" t="s">
        <v>32</v>
      </c>
      <c r="H197" s="47" t="s">
        <v>33</v>
      </c>
      <c r="I197" s="47" t="s">
        <v>454</v>
      </c>
      <c r="J197" s="51" t="str">
        <f t="shared" ref="J197:J261" si="7">B197&amp;C197</f>
        <v>BUJurídico</v>
      </c>
    </row>
    <row r="198" spans="1:10">
      <c r="A198" s="46" t="s">
        <v>782</v>
      </c>
      <c r="B198" s="47" t="s">
        <v>34</v>
      </c>
      <c r="C198" s="47" t="s">
        <v>783</v>
      </c>
      <c r="D198" s="47" t="s">
        <v>784</v>
      </c>
      <c r="E198" s="47" t="s">
        <v>454</v>
      </c>
      <c r="F198" s="47" t="s">
        <v>7</v>
      </c>
      <c r="G198" s="47" t="s">
        <v>32</v>
      </c>
      <c r="H198" s="47" t="s">
        <v>33</v>
      </c>
      <c r="I198" s="47" t="s">
        <v>454</v>
      </c>
      <c r="J198" s="51" t="str">
        <f t="shared" si="7"/>
        <v>BUSuprimentos</v>
      </c>
    </row>
    <row r="199" spans="1:10">
      <c r="A199" s="46" t="s">
        <v>785</v>
      </c>
      <c r="B199" s="47" t="s">
        <v>34</v>
      </c>
      <c r="C199" s="47" t="s">
        <v>786</v>
      </c>
      <c r="D199" s="47" t="s">
        <v>787</v>
      </c>
      <c r="E199" s="47" t="s">
        <v>454</v>
      </c>
      <c r="F199" s="47" t="s">
        <v>7</v>
      </c>
      <c r="G199" s="47" t="s">
        <v>32</v>
      </c>
      <c r="H199" s="47" t="s">
        <v>33</v>
      </c>
      <c r="I199" s="47" t="s">
        <v>454</v>
      </c>
      <c r="J199" s="51" t="str">
        <f t="shared" si="7"/>
        <v>BUFinanceiro</v>
      </c>
    </row>
    <row r="200" spans="1:10">
      <c r="A200" s="46" t="s">
        <v>788</v>
      </c>
      <c r="B200" s="47" t="s">
        <v>34</v>
      </c>
      <c r="C200" s="47" t="s">
        <v>786</v>
      </c>
      <c r="D200" s="47" t="s">
        <v>789</v>
      </c>
      <c r="E200" s="47" t="s">
        <v>454</v>
      </c>
      <c r="F200" s="47" t="s">
        <v>7</v>
      </c>
      <c r="G200" s="47" t="s">
        <v>32</v>
      </c>
      <c r="H200" s="47" t="s">
        <v>33</v>
      </c>
      <c r="I200" s="47" t="s">
        <v>454</v>
      </c>
      <c r="J200" s="51" t="str">
        <f t="shared" si="7"/>
        <v>BUFinanceiro</v>
      </c>
    </row>
    <row r="201" spans="1:10">
      <c r="A201" s="46" t="s">
        <v>790</v>
      </c>
      <c r="B201" s="47" t="s">
        <v>34</v>
      </c>
      <c r="C201" s="47" t="s">
        <v>609</v>
      </c>
      <c r="D201" s="47" t="s">
        <v>610</v>
      </c>
      <c r="E201" s="47" t="s">
        <v>454</v>
      </c>
      <c r="F201" s="47" t="s">
        <v>7</v>
      </c>
      <c r="G201" s="47" t="s">
        <v>32</v>
      </c>
      <c r="H201" s="47" t="s">
        <v>33</v>
      </c>
      <c r="I201" s="47" t="s">
        <v>454</v>
      </c>
      <c r="J201" s="51" t="str">
        <f t="shared" si="7"/>
        <v>BURecursos Humanos</v>
      </c>
    </row>
    <row r="202" spans="1:10">
      <c r="A202" s="46" t="s">
        <v>35</v>
      </c>
      <c r="B202" s="47" t="s">
        <v>34</v>
      </c>
      <c r="C202" s="47" t="s">
        <v>11</v>
      </c>
      <c r="D202" s="47" t="s">
        <v>13</v>
      </c>
      <c r="E202" s="47" t="s">
        <v>454</v>
      </c>
      <c r="F202" s="47" t="s">
        <v>7</v>
      </c>
      <c r="G202" s="47" t="s">
        <v>32</v>
      </c>
      <c r="H202" s="47" t="s">
        <v>33</v>
      </c>
      <c r="I202" s="47" t="s">
        <v>454</v>
      </c>
      <c r="J202" s="51" t="str">
        <f t="shared" si="7"/>
        <v>BUTI</v>
      </c>
    </row>
    <row r="203" spans="1:10">
      <c r="A203" s="46" t="s">
        <v>791</v>
      </c>
      <c r="B203" s="47" t="s">
        <v>34</v>
      </c>
      <c r="C203" s="47" t="s">
        <v>579</v>
      </c>
      <c r="D203" s="47" t="s">
        <v>792</v>
      </c>
      <c r="E203" s="47" t="s">
        <v>454</v>
      </c>
      <c r="F203" s="47" t="s">
        <v>7</v>
      </c>
      <c r="G203" s="47" t="s">
        <v>32</v>
      </c>
      <c r="H203" s="47" t="s">
        <v>33</v>
      </c>
      <c r="I203" s="47" t="s">
        <v>454</v>
      </c>
      <c r="J203" s="51" t="str">
        <f t="shared" si="7"/>
        <v>BUADM &amp; Facilities</v>
      </c>
    </row>
    <row r="204" spans="1:10">
      <c r="A204" s="46" t="s">
        <v>793</v>
      </c>
      <c r="B204" s="47" t="s">
        <v>34</v>
      </c>
      <c r="C204" s="47" t="s">
        <v>10</v>
      </c>
      <c r="D204" s="47" t="s">
        <v>794</v>
      </c>
      <c r="E204" s="47" t="s">
        <v>454</v>
      </c>
      <c r="F204" s="47" t="s">
        <v>36</v>
      </c>
      <c r="G204" s="47" t="s">
        <v>37</v>
      </c>
      <c r="H204" s="47" t="s">
        <v>33</v>
      </c>
      <c r="I204" s="47" t="s">
        <v>454</v>
      </c>
      <c r="J204" s="51" t="str">
        <f t="shared" si="7"/>
        <v>BUOperação</v>
      </c>
    </row>
    <row r="205" spans="1:10">
      <c r="A205" s="46" t="s">
        <v>795</v>
      </c>
      <c r="B205" s="47" t="s">
        <v>34</v>
      </c>
      <c r="C205" s="47" t="s">
        <v>10</v>
      </c>
      <c r="D205" s="47" t="s">
        <v>794</v>
      </c>
      <c r="E205" s="47" t="s">
        <v>454</v>
      </c>
      <c r="F205" s="47" t="s">
        <v>36</v>
      </c>
      <c r="G205" s="47" t="s">
        <v>37</v>
      </c>
      <c r="H205" s="47" t="s">
        <v>33</v>
      </c>
      <c r="I205" s="47" t="s">
        <v>454</v>
      </c>
      <c r="J205" s="51" t="str">
        <f t="shared" si="7"/>
        <v>BUOperação</v>
      </c>
    </row>
    <row r="206" spans="1:10">
      <c r="A206" s="46" t="s">
        <v>796</v>
      </c>
      <c r="B206" s="47" t="s">
        <v>34</v>
      </c>
      <c r="C206" s="47" t="s">
        <v>10</v>
      </c>
      <c r="D206" s="47" t="s">
        <v>794</v>
      </c>
      <c r="E206" s="47" t="s">
        <v>454</v>
      </c>
      <c r="F206" s="47" t="s">
        <v>36</v>
      </c>
      <c r="G206" s="47" t="s">
        <v>37</v>
      </c>
      <c r="H206" s="47" t="s">
        <v>33</v>
      </c>
      <c r="I206" s="47" t="s">
        <v>454</v>
      </c>
      <c r="J206" s="51" t="str">
        <f t="shared" si="7"/>
        <v>BUOperação</v>
      </c>
    </row>
    <row r="207" spans="1:10">
      <c r="A207" s="46" t="s">
        <v>797</v>
      </c>
      <c r="B207" s="47" t="s">
        <v>34</v>
      </c>
      <c r="C207" s="47" t="s">
        <v>535</v>
      </c>
      <c r="D207" s="47" t="s">
        <v>794</v>
      </c>
      <c r="E207" s="47" t="s">
        <v>454</v>
      </c>
      <c r="F207" s="47" t="s">
        <v>36</v>
      </c>
      <c r="G207" s="47" t="s">
        <v>37</v>
      </c>
      <c r="H207" s="47" t="s">
        <v>33</v>
      </c>
      <c r="I207" s="47" t="s">
        <v>454</v>
      </c>
      <c r="J207" s="51" t="str">
        <f t="shared" si="7"/>
        <v>BUManutenção</v>
      </c>
    </row>
    <row r="208" spans="1:10">
      <c r="A208" s="46" t="s">
        <v>798</v>
      </c>
      <c r="B208" s="47" t="s">
        <v>34</v>
      </c>
      <c r="C208" s="47" t="s">
        <v>773</v>
      </c>
      <c r="D208" s="47" t="s">
        <v>794</v>
      </c>
      <c r="E208" s="47" t="s">
        <v>454</v>
      </c>
      <c r="F208" s="47" t="s">
        <v>36</v>
      </c>
      <c r="G208" s="47" t="s">
        <v>37</v>
      </c>
      <c r="H208" s="47" t="s">
        <v>33</v>
      </c>
      <c r="I208" s="47" t="s">
        <v>454</v>
      </c>
      <c r="J208" s="51" t="str">
        <f t="shared" si="7"/>
        <v>BUEHS</v>
      </c>
    </row>
    <row r="209" spans="1:10">
      <c r="A209" s="46" t="s">
        <v>799</v>
      </c>
      <c r="B209" s="47" t="s">
        <v>34</v>
      </c>
      <c r="C209" s="47" t="s">
        <v>602</v>
      </c>
      <c r="D209" s="47" t="s">
        <v>794</v>
      </c>
      <c r="E209" s="47" t="s">
        <v>454</v>
      </c>
      <c r="F209" s="47" t="s">
        <v>36</v>
      </c>
      <c r="G209" s="47" t="s">
        <v>37</v>
      </c>
      <c r="H209" s="47" t="s">
        <v>33</v>
      </c>
      <c r="I209" s="47" t="s">
        <v>454</v>
      </c>
      <c r="J209" s="51" t="str">
        <f t="shared" si="7"/>
        <v>BUQualidade</v>
      </c>
    </row>
    <row r="210" spans="1:10">
      <c r="A210" s="46" t="s">
        <v>800</v>
      </c>
      <c r="B210" s="47" t="s">
        <v>34</v>
      </c>
      <c r="C210" s="47" t="s">
        <v>543</v>
      </c>
      <c r="D210" s="47" t="s">
        <v>794</v>
      </c>
      <c r="E210" s="47" t="s">
        <v>454</v>
      </c>
      <c r="F210" s="47" t="s">
        <v>36</v>
      </c>
      <c r="G210" s="47" t="s">
        <v>37</v>
      </c>
      <c r="H210" s="47" t="s">
        <v>33</v>
      </c>
      <c r="I210" s="47" t="s">
        <v>454</v>
      </c>
      <c r="J210" s="51" t="str">
        <f t="shared" si="7"/>
        <v>BUSeguros</v>
      </c>
    </row>
    <row r="211" spans="1:10">
      <c r="A211" s="46" t="s">
        <v>801</v>
      </c>
      <c r="B211" s="47" t="s">
        <v>34</v>
      </c>
      <c r="C211" s="47" t="s">
        <v>777</v>
      </c>
      <c r="D211" s="47" t="s">
        <v>778</v>
      </c>
      <c r="E211" s="47" t="s">
        <v>454</v>
      </c>
      <c r="F211" s="47" t="s">
        <v>36</v>
      </c>
      <c r="G211" s="47" t="s">
        <v>37</v>
      </c>
      <c r="H211" s="47" t="s">
        <v>33</v>
      </c>
      <c r="I211" s="47" t="s">
        <v>454</v>
      </c>
      <c r="J211" s="51" t="str">
        <f t="shared" si="7"/>
        <v>BUComercial</v>
      </c>
    </row>
    <row r="212" spans="1:10">
      <c r="A212" s="46" t="s">
        <v>802</v>
      </c>
      <c r="B212" s="47" t="s">
        <v>34</v>
      </c>
      <c r="C212" s="47" t="s">
        <v>780</v>
      </c>
      <c r="D212" s="47" t="s">
        <v>778</v>
      </c>
      <c r="E212" s="47" t="s">
        <v>454</v>
      </c>
      <c r="F212" s="47" t="s">
        <v>36</v>
      </c>
      <c r="G212" s="47" t="s">
        <v>37</v>
      </c>
      <c r="H212" s="47" t="s">
        <v>33</v>
      </c>
      <c r="I212" s="47" t="s">
        <v>454</v>
      </c>
      <c r="J212" s="51" t="str">
        <f t="shared" si="7"/>
        <v>BUFaturamento</v>
      </c>
    </row>
    <row r="213" spans="1:10">
      <c r="A213" s="46" t="s">
        <v>803</v>
      </c>
      <c r="B213" s="47" t="s">
        <v>34</v>
      </c>
      <c r="C213" s="47" t="s">
        <v>581</v>
      </c>
      <c r="D213" s="47" t="s">
        <v>794</v>
      </c>
      <c r="E213" s="47" t="s">
        <v>454</v>
      </c>
      <c r="F213" s="47" t="s">
        <v>36</v>
      </c>
      <c r="G213" s="47" t="s">
        <v>37</v>
      </c>
      <c r="H213" s="47" t="s">
        <v>33</v>
      </c>
      <c r="I213" s="47" t="s">
        <v>454</v>
      </c>
      <c r="J213" s="51" t="str">
        <f t="shared" si="7"/>
        <v>BUJurídico</v>
      </c>
    </row>
    <row r="214" spans="1:10">
      <c r="A214" s="46" t="s">
        <v>804</v>
      </c>
      <c r="B214" s="47" t="s">
        <v>34</v>
      </c>
      <c r="C214" s="47" t="s">
        <v>783</v>
      </c>
      <c r="D214" s="47" t="s">
        <v>794</v>
      </c>
      <c r="E214" s="47" t="s">
        <v>454</v>
      </c>
      <c r="F214" s="47" t="s">
        <v>36</v>
      </c>
      <c r="G214" s="47" t="s">
        <v>37</v>
      </c>
      <c r="H214" s="47" t="s">
        <v>33</v>
      </c>
      <c r="I214" s="47" t="s">
        <v>454</v>
      </c>
      <c r="J214" s="51" t="str">
        <f t="shared" si="7"/>
        <v>BUSuprimentos</v>
      </c>
    </row>
    <row r="215" spans="1:10">
      <c r="A215" s="46" t="s">
        <v>805</v>
      </c>
      <c r="B215" s="47" t="s">
        <v>34</v>
      </c>
      <c r="C215" s="47" t="s">
        <v>786</v>
      </c>
      <c r="D215" s="47" t="s">
        <v>787</v>
      </c>
      <c r="E215" s="47" t="s">
        <v>454</v>
      </c>
      <c r="F215" s="47" t="s">
        <v>36</v>
      </c>
      <c r="G215" s="47" t="s">
        <v>37</v>
      </c>
      <c r="H215" s="47" t="s">
        <v>33</v>
      </c>
      <c r="I215" s="47" t="s">
        <v>454</v>
      </c>
      <c r="J215" s="51" t="str">
        <f t="shared" si="7"/>
        <v>BUFinanceiro</v>
      </c>
    </row>
    <row r="216" spans="1:10">
      <c r="A216" s="46" t="s">
        <v>806</v>
      </c>
      <c r="B216" s="47" t="s">
        <v>34</v>
      </c>
      <c r="C216" s="47" t="s">
        <v>786</v>
      </c>
      <c r="D216" s="47" t="s">
        <v>789</v>
      </c>
      <c r="E216" s="47" t="s">
        <v>454</v>
      </c>
      <c r="F216" s="47" t="s">
        <v>36</v>
      </c>
      <c r="G216" s="47" t="s">
        <v>37</v>
      </c>
      <c r="H216" s="47" t="s">
        <v>33</v>
      </c>
      <c r="I216" s="47" t="s">
        <v>454</v>
      </c>
      <c r="J216" s="51" t="str">
        <f t="shared" si="7"/>
        <v>BUFinanceiro</v>
      </c>
    </row>
    <row r="217" spans="1:10">
      <c r="A217" s="46" t="s">
        <v>807</v>
      </c>
      <c r="B217" s="47" t="s">
        <v>34</v>
      </c>
      <c r="C217" s="47" t="s">
        <v>609</v>
      </c>
      <c r="D217" s="47" t="s">
        <v>610</v>
      </c>
      <c r="E217" s="47" t="s">
        <v>454</v>
      </c>
      <c r="F217" s="47" t="s">
        <v>36</v>
      </c>
      <c r="G217" s="47" t="s">
        <v>37</v>
      </c>
      <c r="H217" s="47" t="s">
        <v>33</v>
      </c>
      <c r="I217" s="47" t="s">
        <v>454</v>
      </c>
      <c r="J217" s="51" t="str">
        <f t="shared" si="7"/>
        <v>BURecursos Humanos</v>
      </c>
    </row>
    <row r="218" spans="1:10">
      <c r="A218" s="46" t="s">
        <v>38</v>
      </c>
      <c r="B218" s="47" t="s">
        <v>34</v>
      </c>
      <c r="C218" s="47" t="s">
        <v>11</v>
      </c>
      <c r="D218" s="47" t="s">
        <v>13</v>
      </c>
      <c r="E218" s="47" t="s">
        <v>454</v>
      </c>
      <c r="F218" s="47" t="s">
        <v>36</v>
      </c>
      <c r="G218" s="47" t="s">
        <v>37</v>
      </c>
      <c r="H218" s="47" t="s">
        <v>33</v>
      </c>
      <c r="I218" s="47" t="s">
        <v>454</v>
      </c>
      <c r="J218" s="51" t="str">
        <f t="shared" si="7"/>
        <v>BUTI</v>
      </c>
    </row>
    <row r="219" spans="1:10">
      <c r="A219" s="46" t="s">
        <v>808</v>
      </c>
      <c r="B219" s="47" t="s">
        <v>34</v>
      </c>
      <c r="C219" s="47" t="s">
        <v>579</v>
      </c>
      <c r="D219" s="47" t="s">
        <v>794</v>
      </c>
      <c r="E219" s="47" t="s">
        <v>454</v>
      </c>
      <c r="F219" s="47" t="s">
        <v>36</v>
      </c>
      <c r="G219" s="47" t="s">
        <v>37</v>
      </c>
      <c r="H219" s="47" t="s">
        <v>33</v>
      </c>
      <c r="I219" s="47" t="s">
        <v>454</v>
      </c>
      <c r="J219" s="51" t="str">
        <f t="shared" si="7"/>
        <v>BUADM &amp; Facilities</v>
      </c>
    </row>
    <row r="220" spans="1:10">
      <c r="A220" s="46" t="s">
        <v>809</v>
      </c>
      <c r="B220" s="47" t="s">
        <v>34</v>
      </c>
      <c r="C220" s="47" t="s">
        <v>10</v>
      </c>
      <c r="D220" s="47" t="s">
        <v>768</v>
      </c>
      <c r="E220" s="47" t="s">
        <v>454</v>
      </c>
      <c r="F220" s="47" t="s">
        <v>39</v>
      </c>
      <c r="G220" s="47" t="s">
        <v>44</v>
      </c>
      <c r="H220" s="47" t="s">
        <v>33</v>
      </c>
      <c r="I220" s="47" t="s">
        <v>454</v>
      </c>
      <c r="J220" s="51" t="str">
        <f t="shared" si="7"/>
        <v>BUOperação</v>
      </c>
    </row>
    <row r="221" spans="1:10">
      <c r="A221" s="46" t="s">
        <v>810</v>
      </c>
      <c r="B221" s="47" t="s">
        <v>34</v>
      </c>
      <c r="C221" s="47" t="s">
        <v>10</v>
      </c>
      <c r="D221" s="47" t="s">
        <v>768</v>
      </c>
      <c r="E221" s="47" t="s">
        <v>454</v>
      </c>
      <c r="F221" s="47" t="s">
        <v>39</v>
      </c>
      <c r="G221" s="47" t="s">
        <v>44</v>
      </c>
      <c r="H221" s="47" t="s">
        <v>33</v>
      </c>
      <c r="I221" s="47" t="s">
        <v>454</v>
      </c>
      <c r="J221" s="51" t="str">
        <f t="shared" si="7"/>
        <v>BUOperação</v>
      </c>
    </row>
    <row r="222" spans="1:10">
      <c r="A222" s="46" t="s">
        <v>811</v>
      </c>
      <c r="B222" s="47" t="s">
        <v>34</v>
      </c>
      <c r="C222" s="47" t="s">
        <v>10</v>
      </c>
      <c r="D222" s="47" t="s">
        <v>768</v>
      </c>
      <c r="E222" s="47" t="s">
        <v>454</v>
      </c>
      <c r="F222" s="47" t="s">
        <v>39</v>
      </c>
      <c r="G222" s="47" t="s">
        <v>44</v>
      </c>
      <c r="H222" s="47" t="s">
        <v>33</v>
      </c>
      <c r="I222" s="47" t="s">
        <v>454</v>
      </c>
      <c r="J222" s="51" t="str">
        <f t="shared" si="7"/>
        <v>BUOperação</v>
      </c>
    </row>
    <row r="223" spans="1:10">
      <c r="A223" s="46" t="s">
        <v>812</v>
      </c>
      <c r="B223" s="47" t="s">
        <v>34</v>
      </c>
      <c r="C223" s="47" t="s">
        <v>535</v>
      </c>
      <c r="D223" s="47" t="s">
        <v>576</v>
      </c>
      <c r="E223" s="47" t="s">
        <v>454</v>
      </c>
      <c r="F223" s="47" t="s">
        <v>39</v>
      </c>
      <c r="G223" s="47" t="s">
        <v>44</v>
      </c>
      <c r="H223" s="47" t="s">
        <v>33</v>
      </c>
      <c r="I223" s="47" t="s">
        <v>454</v>
      </c>
      <c r="J223" s="51" t="str">
        <f t="shared" si="7"/>
        <v>BUManutenção</v>
      </c>
    </row>
    <row r="224" spans="1:10">
      <c r="A224" s="46" t="s">
        <v>813</v>
      </c>
      <c r="B224" s="47" t="s">
        <v>34</v>
      </c>
      <c r="C224" s="47" t="s">
        <v>773</v>
      </c>
      <c r="D224" s="47" t="s">
        <v>603</v>
      </c>
      <c r="E224" s="47" t="s">
        <v>454</v>
      </c>
      <c r="F224" s="47" t="s">
        <v>39</v>
      </c>
      <c r="G224" s="47" t="s">
        <v>44</v>
      </c>
      <c r="H224" s="47" t="s">
        <v>33</v>
      </c>
      <c r="I224" s="47" t="s">
        <v>454</v>
      </c>
      <c r="J224" s="51" t="str">
        <f t="shared" si="7"/>
        <v>BUEHS</v>
      </c>
    </row>
    <row r="225" spans="1:10">
      <c r="A225" s="46" t="s">
        <v>814</v>
      </c>
      <c r="B225" s="47" t="s">
        <v>34</v>
      </c>
      <c r="C225" s="47" t="s">
        <v>602</v>
      </c>
      <c r="D225" s="47" t="s">
        <v>603</v>
      </c>
      <c r="E225" s="47" t="s">
        <v>454</v>
      </c>
      <c r="F225" s="47" t="s">
        <v>39</v>
      </c>
      <c r="G225" s="47" t="s">
        <v>44</v>
      </c>
      <c r="H225" s="47" t="s">
        <v>33</v>
      </c>
      <c r="I225" s="47" t="s">
        <v>454</v>
      </c>
      <c r="J225" s="51" t="str">
        <f t="shared" si="7"/>
        <v>BUQualidade</v>
      </c>
    </row>
    <row r="226" spans="1:10">
      <c r="A226" s="46" t="s">
        <v>815</v>
      </c>
      <c r="B226" s="47" t="s">
        <v>34</v>
      </c>
      <c r="C226" s="47" t="s">
        <v>543</v>
      </c>
      <c r="D226" s="47" t="s">
        <v>584</v>
      </c>
      <c r="E226" s="47" t="s">
        <v>454</v>
      </c>
      <c r="F226" s="47" t="s">
        <v>39</v>
      </c>
      <c r="G226" s="47" t="s">
        <v>44</v>
      </c>
      <c r="H226" s="47" t="s">
        <v>33</v>
      </c>
      <c r="I226" s="47" t="s">
        <v>454</v>
      </c>
      <c r="J226" s="51" t="str">
        <f t="shared" si="7"/>
        <v>BUSeguros</v>
      </c>
    </row>
    <row r="227" spans="1:10">
      <c r="A227" s="46" t="s">
        <v>816</v>
      </c>
      <c r="B227" s="47" t="s">
        <v>34</v>
      </c>
      <c r="C227" s="47" t="s">
        <v>777</v>
      </c>
      <c r="D227" s="47" t="s">
        <v>778</v>
      </c>
      <c r="E227" s="47" t="s">
        <v>454</v>
      </c>
      <c r="F227" s="47" t="s">
        <v>39</v>
      </c>
      <c r="G227" s="47" t="s">
        <v>44</v>
      </c>
      <c r="H227" s="47" t="s">
        <v>33</v>
      </c>
      <c r="I227" s="47" t="s">
        <v>454</v>
      </c>
      <c r="J227" s="51" t="str">
        <f t="shared" si="7"/>
        <v>BUComercial</v>
      </c>
    </row>
    <row r="228" spans="1:10">
      <c r="A228" s="46" t="s">
        <v>817</v>
      </c>
      <c r="B228" s="47" t="s">
        <v>34</v>
      </c>
      <c r="C228" s="47" t="s">
        <v>780</v>
      </c>
      <c r="D228" s="47" t="s">
        <v>778</v>
      </c>
      <c r="E228" s="47" t="s">
        <v>454</v>
      </c>
      <c r="F228" s="47" t="s">
        <v>39</v>
      </c>
      <c r="G228" s="47" t="s">
        <v>44</v>
      </c>
      <c r="H228" s="47" t="s">
        <v>33</v>
      </c>
      <c r="I228" s="47" t="s">
        <v>454</v>
      </c>
      <c r="J228" s="51" t="str">
        <f t="shared" si="7"/>
        <v>BUFaturamento</v>
      </c>
    </row>
    <row r="229" spans="1:10">
      <c r="A229" s="46" t="s">
        <v>818</v>
      </c>
      <c r="B229" s="47" t="s">
        <v>34</v>
      </c>
      <c r="C229" s="47" t="s">
        <v>581</v>
      </c>
      <c r="D229" s="47" t="s">
        <v>582</v>
      </c>
      <c r="E229" s="47" t="s">
        <v>454</v>
      </c>
      <c r="F229" s="47" t="s">
        <v>39</v>
      </c>
      <c r="G229" s="47" t="s">
        <v>44</v>
      </c>
      <c r="H229" s="47" t="s">
        <v>33</v>
      </c>
      <c r="I229" s="47" t="s">
        <v>454</v>
      </c>
      <c r="J229" s="51" t="str">
        <f t="shared" si="7"/>
        <v>BUJurídico</v>
      </c>
    </row>
    <row r="230" spans="1:10">
      <c r="A230" s="46" t="s">
        <v>819</v>
      </c>
      <c r="B230" s="47" t="s">
        <v>34</v>
      </c>
      <c r="C230" s="47" t="s">
        <v>783</v>
      </c>
      <c r="D230" s="47" t="s">
        <v>784</v>
      </c>
      <c r="E230" s="47" t="s">
        <v>454</v>
      </c>
      <c r="F230" s="47" t="s">
        <v>39</v>
      </c>
      <c r="G230" s="47" t="s">
        <v>44</v>
      </c>
      <c r="H230" s="47" t="s">
        <v>33</v>
      </c>
      <c r="I230" s="47" t="s">
        <v>454</v>
      </c>
      <c r="J230" s="51" t="str">
        <f t="shared" si="7"/>
        <v>BUSuprimentos</v>
      </c>
    </row>
    <row r="231" spans="1:10">
      <c r="A231" s="46" t="s">
        <v>820</v>
      </c>
      <c r="B231" s="47" t="s">
        <v>34</v>
      </c>
      <c r="C231" s="47" t="s">
        <v>786</v>
      </c>
      <c r="D231" s="47" t="s">
        <v>787</v>
      </c>
      <c r="E231" s="47" t="s">
        <v>454</v>
      </c>
      <c r="F231" s="47" t="s">
        <v>39</v>
      </c>
      <c r="G231" s="47" t="s">
        <v>44</v>
      </c>
      <c r="H231" s="47" t="s">
        <v>33</v>
      </c>
      <c r="I231" s="47" t="s">
        <v>454</v>
      </c>
      <c r="J231" s="51" t="str">
        <f t="shared" si="7"/>
        <v>BUFinanceiro</v>
      </c>
    </row>
    <row r="232" spans="1:10">
      <c r="A232" s="46" t="s">
        <v>821</v>
      </c>
      <c r="B232" s="47" t="s">
        <v>34</v>
      </c>
      <c r="C232" s="47" t="s">
        <v>786</v>
      </c>
      <c r="D232" s="47" t="s">
        <v>789</v>
      </c>
      <c r="E232" s="47" t="s">
        <v>454</v>
      </c>
      <c r="F232" s="47" t="s">
        <v>39</v>
      </c>
      <c r="G232" s="47" t="s">
        <v>44</v>
      </c>
      <c r="H232" s="47" t="s">
        <v>33</v>
      </c>
      <c r="I232" s="47" t="s">
        <v>454</v>
      </c>
      <c r="J232" s="51" t="str">
        <f t="shared" si="7"/>
        <v>BUFinanceiro</v>
      </c>
    </row>
    <row r="233" spans="1:10">
      <c r="A233" s="46" t="s">
        <v>822</v>
      </c>
      <c r="B233" s="47" t="s">
        <v>34</v>
      </c>
      <c r="C233" s="47" t="s">
        <v>609</v>
      </c>
      <c r="D233" s="47" t="s">
        <v>610</v>
      </c>
      <c r="E233" s="47" t="s">
        <v>454</v>
      </c>
      <c r="F233" s="47" t="s">
        <v>39</v>
      </c>
      <c r="G233" s="47" t="s">
        <v>44</v>
      </c>
      <c r="H233" s="47" t="s">
        <v>33</v>
      </c>
      <c r="I233" s="47" t="s">
        <v>454</v>
      </c>
      <c r="J233" s="51" t="str">
        <f t="shared" si="7"/>
        <v>BURecursos Humanos</v>
      </c>
    </row>
    <row r="234" spans="1:10">
      <c r="A234" s="46" t="s">
        <v>45</v>
      </c>
      <c r="B234" s="47" t="s">
        <v>34</v>
      </c>
      <c r="C234" s="47" t="s">
        <v>11</v>
      </c>
      <c r="D234" s="47" t="s">
        <v>13</v>
      </c>
      <c r="E234" s="47" t="s">
        <v>454</v>
      </c>
      <c r="F234" s="47" t="s">
        <v>39</v>
      </c>
      <c r="G234" s="47" t="s">
        <v>44</v>
      </c>
      <c r="H234" s="47" t="s">
        <v>33</v>
      </c>
      <c r="I234" s="47" t="s">
        <v>454</v>
      </c>
      <c r="J234" s="51" t="str">
        <f t="shared" si="7"/>
        <v>BUTI</v>
      </c>
    </row>
    <row r="235" spans="1:10">
      <c r="A235" s="46" t="s">
        <v>823</v>
      </c>
      <c r="B235" s="47" t="s">
        <v>34</v>
      </c>
      <c r="C235" s="47" t="s">
        <v>579</v>
      </c>
      <c r="D235" s="47" t="s">
        <v>751</v>
      </c>
      <c r="E235" s="47" t="s">
        <v>454</v>
      </c>
      <c r="F235" s="47" t="s">
        <v>39</v>
      </c>
      <c r="G235" s="47" t="s">
        <v>44</v>
      </c>
      <c r="H235" s="47" t="s">
        <v>33</v>
      </c>
      <c r="I235" s="47" t="s">
        <v>454</v>
      </c>
      <c r="J235" s="51" t="str">
        <f t="shared" si="7"/>
        <v>BUADM &amp; Facilities</v>
      </c>
    </row>
    <row r="236" spans="1:10">
      <c r="A236" s="46" t="s">
        <v>824</v>
      </c>
      <c r="B236" s="47" t="s">
        <v>34</v>
      </c>
      <c r="C236" s="47" t="s">
        <v>10</v>
      </c>
      <c r="D236" s="47" t="s">
        <v>768</v>
      </c>
      <c r="E236" s="47" t="s">
        <v>454</v>
      </c>
      <c r="F236" s="47" t="s">
        <v>46</v>
      </c>
      <c r="G236" s="47" t="s">
        <v>49</v>
      </c>
      <c r="H236" s="47" t="s">
        <v>33</v>
      </c>
      <c r="I236" s="47" t="s">
        <v>454</v>
      </c>
      <c r="J236" s="51" t="str">
        <f t="shared" si="7"/>
        <v>BUOperação</v>
      </c>
    </row>
    <row r="237" spans="1:10">
      <c r="A237" s="46" t="s">
        <v>825</v>
      </c>
      <c r="B237" s="47" t="s">
        <v>34</v>
      </c>
      <c r="C237" s="47" t="s">
        <v>10</v>
      </c>
      <c r="D237" s="47" t="s">
        <v>768</v>
      </c>
      <c r="E237" s="47" t="s">
        <v>454</v>
      </c>
      <c r="F237" s="47" t="s">
        <v>46</v>
      </c>
      <c r="G237" s="47" t="s">
        <v>49</v>
      </c>
      <c r="H237" s="47" t="s">
        <v>33</v>
      </c>
      <c r="I237" s="47" t="s">
        <v>454</v>
      </c>
      <c r="J237" s="51" t="str">
        <f t="shared" si="7"/>
        <v>BUOperação</v>
      </c>
    </row>
    <row r="238" spans="1:10">
      <c r="A238" s="46" t="s">
        <v>826</v>
      </c>
      <c r="B238" s="47" t="s">
        <v>34</v>
      </c>
      <c r="C238" s="47" t="s">
        <v>10</v>
      </c>
      <c r="D238" s="47" t="s">
        <v>768</v>
      </c>
      <c r="E238" s="47" t="s">
        <v>454</v>
      </c>
      <c r="F238" s="47" t="s">
        <v>46</v>
      </c>
      <c r="G238" s="47" t="s">
        <v>49</v>
      </c>
      <c r="H238" s="47" t="s">
        <v>33</v>
      </c>
      <c r="I238" s="47" t="s">
        <v>454</v>
      </c>
      <c r="J238" s="51" t="str">
        <f t="shared" si="7"/>
        <v>BUOperação</v>
      </c>
    </row>
    <row r="239" spans="1:10">
      <c r="A239" s="46" t="s">
        <v>827</v>
      </c>
      <c r="B239" s="47" t="s">
        <v>34</v>
      </c>
      <c r="C239" s="47" t="s">
        <v>535</v>
      </c>
      <c r="D239" s="47" t="s">
        <v>576</v>
      </c>
      <c r="E239" s="47" t="s">
        <v>454</v>
      </c>
      <c r="F239" s="47" t="s">
        <v>46</v>
      </c>
      <c r="G239" s="47" t="s">
        <v>49</v>
      </c>
      <c r="H239" s="47" t="s">
        <v>33</v>
      </c>
      <c r="I239" s="47" t="s">
        <v>454</v>
      </c>
      <c r="J239" s="51" t="str">
        <f t="shared" si="7"/>
        <v>BUManutenção</v>
      </c>
    </row>
    <row r="240" spans="1:10">
      <c r="A240" s="46" t="s">
        <v>828</v>
      </c>
      <c r="B240" s="47" t="s">
        <v>34</v>
      </c>
      <c r="C240" s="47" t="s">
        <v>773</v>
      </c>
      <c r="D240" s="47" t="s">
        <v>603</v>
      </c>
      <c r="E240" s="47" t="s">
        <v>454</v>
      </c>
      <c r="F240" s="47" t="s">
        <v>46</v>
      </c>
      <c r="G240" s="47" t="s">
        <v>49</v>
      </c>
      <c r="H240" s="47" t="s">
        <v>33</v>
      </c>
      <c r="I240" s="47" t="s">
        <v>454</v>
      </c>
      <c r="J240" s="51" t="str">
        <f t="shared" si="7"/>
        <v>BUEHS</v>
      </c>
    </row>
    <row r="241" spans="1:10">
      <c r="A241" s="46" t="s">
        <v>829</v>
      </c>
      <c r="B241" s="47" t="s">
        <v>34</v>
      </c>
      <c r="C241" s="47" t="s">
        <v>602</v>
      </c>
      <c r="D241" s="47" t="s">
        <v>603</v>
      </c>
      <c r="E241" s="47" t="s">
        <v>454</v>
      </c>
      <c r="F241" s="47" t="s">
        <v>46</v>
      </c>
      <c r="G241" s="47" t="s">
        <v>49</v>
      </c>
      <c r="H241" s="47" t="s">
        <v>33</v>
      </c>
      <c r="I241" s="47" t="s">
        <v>454</v>
      </c>
      <c r="J241" s="51" t="str">
        <f t="shared" si="7"/>
        <v>BUQualidade</v>
      </c>
    </row>
    <row r="242" spans="1:10">
      <c r="A242" s="46" t="s">
        <v>830</v>
      </c>
      <c r="B242" s="47" t="s">
        <v>34</v>
      </c>
      <c r="C242" s="47" t="s">
        <v>543</v>
      </c>
      <c r="D242" s="47" t="s">
        <v>584</v>
      </c>
      <c r="E242" s="47" t="s">
        <v>454</v>
      </c>
      <c r="F242" s="47" t="s">
        <v>46</v>
      </c>
      <c r="G242" s="47" t="s">
        <v>49</v>
      </c>
      <c r="H242" s="47" t="s">
        <v>33</v>
      </c>
      <c r="I242" s="47" t="s">
        <v>454</v>
      </c>
      <c r="J242" s="51" t="str">
        <f t="shared" si="7"/>
        <v>BUSeguros</v>
      </c>
    </row>
    <row r="243" spans="1:10">
      <c r="A243" s="46" t="s">
        <v>831</v>
      </c>
      <c r="B243" s="47" t="s">
        <v>34</v>
      </c>
      <c r="C243" s="47" t="s">
        <v>777</v>
      </c>
      <c r="D243" s="47" t="s">
        <v>778</v>
      </c>
      <c r="E243" s="47" t="s">
        <v>454</v>
      </c>
      <c r="F243" s="47" t="s">
        <v>46</v>
      </c>
      <c r="G243" s="47" t="s">
        <v>49</v>
      </c>
      <c r="H243" s="47" t="s">
        <v>33</v>
      </c>
      <c r="I243" s="47" t="s">
        <v>454</v>
      </c>
      <c r="J243" s="51" t="str">
        <f t="shared" si="7"/>
        <v>BUComercial</v>
      </c>
    </row>
    <row r="244" spans="1:10">
      <c r="A244" s="46" t="s">
        <v>832</v>
      </c>
      <c r="B244" s="47" t="s">
        <v>34</v>
      </c>
      <c r="C244" s="47" t="s">
        <v>780</v>
      </c>
      <c r="D244" s="47" t="s">
        <v>778</v>
      </c>
      <c r="E244" s="47" t="s">
        <v>454</v>
      </c>
      <c r="F244" s="47" t="s">
        <v>46</v>
      </c>
      <c r="G244" s="47" t="s">
        <v>49</v>
      </c>
      <c r="H244" s="47" t="s">
        <v>33</v>
      </c>
      <c r="I244" s="47" t="s">
        <v>454</v>
      </c>
      <c r="J244" s="51" t="str">
        <f t="shared" si="7"/>
        <v>BUFaturamento</v>
      </c>
    </row>
    <row r="245" spans="1:10">
      <c r="A245" s="46" t="s">
        <v>833</v>
      </c>
      <c r="B245" s="47" t="s">
        <v>34</v>
      </c>
      <c r="C245" s="47" t="s">
        <v>581</v>
      </c>
      <c r="D245" s="47" t="s">
        <v>582</v>
      </c>
      <c r="E245" s="47" t="s">
        <v>454</v>
      </c>
      <c r="F245" s="47" t="s">
        <v>46</v>
      </c>
      <c r="G245" s="47" t="s">
        <v>49</v>
      </c>
      <c r="H245" s="47" t="s">
        <v>33</v>
      </c>
      <c r="I245" s="47" t="s">
        <v>454</v>
      </c>
      <c r="J245" s="51" t="str">
        <f t="shared" si="7"/>
        <v>BUJurídico</v>
      </c>
    </row>
    <row r="246" spans="1:10">
      <c r="A246" s="46" t="s">
        <v>834</v>
      </c>
      <c r="B246" s="47" t="s">
        <v>34</v>
      </c>
      <c r="C246" s="47" t="s">
        <v>783</v>
      </c>
      <c r="D246" s="47" t="s">
        <v>784</v>
      </c>
      <c r="E246" s="47" t="s">
        <v>454</v>
      </c>
      <c r="F246" s="47" t="s">
        <v>46</v>
      </c>
      <c r="G246" s="47" t="s">
        <v>49</v>
      </c>
      <c r="H246" s="47" t="s">
        <v>33</v>
      </c>
      <c r="I246" s="47" t="s">
        <v>454</v>
      </c>
      <c r="J246" s="51" t="str">
        <f t="shared" si="7"/>
        <v>BUSuprimentos</v>
      </c>
    </row>
    <row r="247" spans="1:10">
      <c r="A247" s="46" t="s">
        <v>835</v>
      </c>
      <c r="B247" s="47" t="s">
        <v>34</v>
      </c>
      <c r="C247" s="47" t="s">
        <v>786</v>
      </c>
      <c r="D247" s="47" t="s">
        <v>787</v>
      </c>
      <c r="E247" s="47" t="s">
        <v>454</v>
      </c>
      <c r="F247" s="47" t="s">
        <v>46</v>
      </c>
      <c r="G247" s="47" t="s">
        <v>49</v>
      </c>
      <c r="H247" s="47" t="s">
        <v>33</v>
      </c>
      <c r="I247" s="47" t="s">
        <v>454</v>
      </c>
      <c r="J247" s="51" t="str">
        <f t="shared" si="7"/>
        <v>BUFinanceiro</v>
      </c>
    </row>
    <row r="248" spans="1:10">
      <c r="A248" s="46" t="s">
        <v>836</v>
      </c>
      <c r="B248" s="47" t="s">
        <v>34</v>
      </c>
      <c r="C248" s="47" t="s">
        <v>786</v>
      </c>
      <c r="D248" s="47" t="s">
        <v>789</v>
      </c>
      <c r="E248" s="47" t="s">
        <v>454</v>
      </c>
      <c r="F248" s="47" t="s">
        <v>46</v>
      </c>
      <c r="G248" s="47" t="s">
        <v>49</v>
      </c>
      <c r="H248" s="47" t="s">
        <v>33</v>
      </c>
      <c r="I248" s="47" t="s">
        <v>454</v>
      </c>
      <c r="J248" s="51" t="str">
        <f t="shared" si="7"/>
        <v>BUFinanceiro</v>
      </c>
    </row>
    <row r="249" spans="1:10">
      <c r="A249" s="46" t="s">
        <v>837</v>
      </c>
      <c r="B249" s="47" t="s">
        <v>34</v>
      </c>
      <c r="C249" s="47" t="s">
        <v>609</v>
      </c>
      <c r="D249" s="47" t="s">
        <v>610</v>
      </c>
      <c r="E249" s="47" t="s">
        <v>454</v>
      </c>
      <c r="F249" s="47" t="s">
        <v>46</v>
      </c>
      <c r="G249" s="47" t="s">
        <v>49</v>
      </c>
      <c r="H249" s="47" t="s">
        <v>33</v>
      </c>
      <c r="I249" s="47" t="s">
        <v>454</v>
      </c>
      <c r="J249" s="51" t="str">
        <f t="shared" si="7"/>
        <v>BURecursos Humanos</v>
      </c>
    </row>
    <row r="250" spans="1:10">
      <c r="A250" s="46" t="s">
        <v>50</v>
      </c>
      <c r="B250" s="47" t="s">
        <v>34</v>
      </c>
      <c r="C250" s="47" t="s">
        <v>11</v>
      </c>
      <c r="D250" s="47" t="s">
        <v>13</v>
      </c>
      <c r="E250" s="47" t="s">
        <v>454</v>
      </c>
      <c r="F250" s="47" t="s">
        <v>46</v>
      </c>
      <c r="G250" s="47" t="s">
        <v>49</v>
      </c>
      <c r="H250" s="47" t="s">
        <v>33</v>
      </c>
      <c r="I250" s="47" t="s">
        <v>454</v>
      </c>
      <c r="J250" s="51" t="str">
        <f t="shared" si="7"/>
        <v>BUTI</v>
      </c>
    </row>
    <row r="251" spans="1:10">
      <c r="A251" s="46" t="s">
        <v>838</v>
      </c>
      <c r="B251" s="47" t="s">
        <v>34</v>
      </c>
      <c r="C251" s="47" t="s">
        <v>579</v>
      </c>
      <c r="D251" s="47" t="s">
        <v>751</v>
      </c>
      <c r="E251" s="47" t="s">
        <v>454</v>
      </c>
      <c r="F251" s="47" t="s">
        <v>46</v>
      </c>
      <c r="G251" s="47" t="s">
        <v>49</v>
      </c>
      <c r="H251" s="47" t="s">
        <v>33</v>
      </c>
      <c r="I251" s="47" t="s">
        <v>454</v>
      </c>
      <c r="J251" s="51" t="str">
        <f t="shared" si="7"/>
        <v>BUADM &amp; Facilities</v>
      </c>
    </row>
    <row r="252" spans="1:10">
      <c r="A252" s="46" t="s">
        <v>95</v>
      </c>
      <c r="B252" s="47" t="s">
        <v>34</v>
      </c>
      <c r="C252" s="47" t="s">
        <v>11</v>
      </c>
      <c r="D252" s="47" t="s">
        <v>13</v>
      </c>
      <c r="E252" s="47" t="s">
        <v>454</v>
      </c>
      <c r="F252" s="47" t="s">
        <v>761</v>
      </c>
      <c r="G252" s="47" t="s">
        <v>457</v>
      </c>
      <c r="H252" s="47" t="s">
        <v>33</v>
      </c>
      <c r="I252" s="47" t="s">
        <v>454</v>
      </c>
      <c r="J252" s="51" t="str">
        <f t="shared" ref="J252" si="8">B252&amp;C252</f>
        <v>BUTI</v>
      </c>
    </row>
    <row r="253" spans="1:10">
      <c r="A253" s="46" t="s">
        <v>839</v>
      </c>
      <c r="B253" s="47" t="s">
        <v>53</v>
      </c>
      <c r="C253" s="47" t="s">
        <v>840</v>
      </c>
      <c r="D253" s="47" t="s">
        <v>841</v>
      </c>
      <c r="E253" s="47" t="s">
        <v>485</v>
      </c>
      <c r="F253" s="47" t="s">
        <v>51</v>
      </c>
      <c r="G253" s="47" t="s">
        <v>52</v>
      </c>
      <c r="H253" s="47" t="s">
        <v>33</v>
      </c>
      <c r="I253" s="47" t="s">
        <v>485</v>
      </c>
      <c r="J253" s="51" t="str">
        <f t="shared" si="7"/>
        <v>PLExecutivos</v>
      </c>
    </row>
    <row r="254" spans="1:10">
      <c r="A254" s="46" t="s">
        <v>842</v>
      </c>
      <c r="B254" s="47" t="s">
        <v>53</v>
      </c>
      <c r="C254" s="47" t="s">
        <v>10</v>
      </c>
      <c r="D254" s="47" t="s">
        <v>768</v>
      </c>
      <c r="E254" s="47" t="s">
        <v>485</v>
      </c>
      <c r="F254" s="47" t="s">
        <v>51</v>
      </c>
      <c r="G254" s="47" t="s">
        <v>52</v>
      </c>
      <c r="H254" s="47" t="s">
        <v>33</v>
      </c>
      <c r="I254" s="47" t="s">
        <v>485</v>
      </c>
      <c r="J254" s="51" t="str">
        <f t="shared" si="7"/>
        <v>PLOperação</v>
      </c>
    </row>
    <row r="255" spans="1:10">
      <c r="A255" s="46" t="s">
        <v>843</v>
      </c>
      <c r="B255" s="47" t="s">
        <v>53</v>
      </c>
      <c r="C255" s="47" t="s">
        <v>543</v>
      </c>
      <c r="D255" s="47" t="s">
        <v>584</v>
      </c>
      <c r="E255" s="47" t="s">
        <v>485</v>
      </c>
      <c r="F255" s="47" t="s">
        <v>51</v>
      </c>
      <c r="G255" s="47" t="s">
        <v>52</v>
      </c>
      <c r="H255" s="47" t="s">
        <v>33</v>
      </c>
      <c r="I255" s="47" t="s">
        <v>485</v>
      </c>
      <c r="J255" s="51" t="str">
        <f t="shared" si="7"/>
        <v>PLSeguros</v>
      </c>
    </row>
    <row r="256" spans="1:10">
      <c r="A256" s="46" t="s">
        <v>844</v>
      </c>
      <c r="B256" s="47" t="s">
        <v>53</v>
      </c>
      <c r="C256" s="47" t="s">
        <v>777</v>
      </c>
      <c r="D256" s="47" t="s">
        <v>778</v>
      </c>
      <c r="E256" s="47" t="s">
        <v>485</v>
      </c>
      <c r="F256" s="47" t="s">
        <v>51</v>
      </c>
      <c r="G256" s="47" t="s">
        <v>52</v>
      </c>
      <c r="H256" s="47" t="s">
        <v>33</v>
      </c>
      <c r="I256" s="47" t="s">
        <v>485</v>
      </c>
      <c r="J256" s="51" t="str">
        <f t="shared" si="7"/>
        <v>PLComercial</v>
      </c>
    </row>
    <row r="257" spans="1:10">
      <c r="A257" s="46" t="s">
        <v>845</v>
      </c>
      <c r="B257" s="47" t="s">
        <v>53</v>
      </c>
      <c r="C257" s="47" t="s">
        <v>846</v>
      </c>
      <c r="D257" s="47" t="s">
        <v>847</v>
      </c>
      <c r="E257" s="47" t="s">
        <v>485</v>
      </c>
      <c r="F257" s="47" t="s">
        <v>51</v>
      </c>
      <c r="G257" s="47" t="s">
        <v>52</v>
      </c>
      <c r="H257" s="47" t="s">
        <v>33</v>
      </c>
      <c r="I257" s="47" t="s">
        <v>485</v>
      </c>
      <c r="J257" s="51" t="str">
        <f t="shared" si="7"/>
        <v>PLComunicação</v>
      </c>
    </row>
    <row r="258" spans="1:10">
      <c r="A258" s="46" t="s">
        <v>848</v>
      </c>
      <c r="B258" s="47" t="s">
        <v>53</v>
      </c>
      <c r="C258" s="47" t="s">
        <v>581</v>
      </c>
      <c r="D258" s="47" t="s">
        <v>582</v>
      </c>
      <c r="E258" s="47" t="s">
        <v>485</v>
      </c>
      <c r="F258" s="47" t="s">
        <v>51</v>
      </c>
      <c r="G258" s="47" t="s">
        <v>52</v>
      </c>
      <c r="H258" s="47" t="s">
        <v>33</v>
      </c>
      <c r="I258" s="47" t="s">
        <v>485</v>
      </c>
      <c r="J258" s="51" t="str">
        <f t="shared" si="7"/>
        <v>PLJurídico</v>
      </c>
    </row>
    <row r="259" spans="1:10">
      <c r="A259" s="46" t="s">
        <v>849</v>
      </c>
      <c r="B259" s="47" t="s">
        <v>53</v>
      </c>
      <c r="C259" s="47" t="s">
        <v>850</v>
      </c>
      <c r="D259" s="47" t="s">
        <v>851</v>
      </c>
      <c r="E259" s="47" t="s">
        <v>485</v>
      </c>
      <c r="F259" s="47" t="s">
        <v>51</v>
      </c>
      <c r="G259" s="47" t="s">
        <v>52</v>
      </c>
      <c r="H259" s="47" t="s">
        <v>33</v>
      </c>
      <c r="I259" s="47" t="s">
        <v>485</v>
      </c>
      <c r="J259" s="51" t="str">
        <f t="shared" si="7"/>
        <v>PLTransformação</v>
      </c>
    </row>
    <row r="260" spans="1:10">
      <c r="A260" s="46" t="s">
        <v>852</v>
      </c>
      <c r="B260" s="47" t="s">
        <v>53</v>
      </c>
      <c r="C260" s="47" t="s">
        <v>786</v>
      </c>
      <c r="D260" s="47" t="s">
        <v>787</v>
      </c>
      <c r="E260" s="47" t="s">
        <v>485</v>
      </c>
      <c r="F260" s="47" t="s">
        <v>51</v>
      </c>
      <c r="G260" s="47" t="s">
        <v>52</v>
      </c>
      <c r="H260" s="47" t="s">
        <v>33</v>
      </c>
      <c r="I260" s="47" t="s">
        <v>485</v>
      </c>
      <c r="J260" s="51" t="str">
        <f t="shared" si="7"/>
        <v>PLFinanceiro</v>
      </c>
    </row>
    <row r="261" spans="1:10">
      <c r="A261" s="46" t="s">
        <v>853</v>
      </c>
      <c r="B261" s="47" t="s">
        <v>53</v>
      </c>
      <c r="C261" s="47" t="s">
        <v>786</v>
      </c>
      <c r="D261" s="47" t="s">
        <v>789</v>
      </c>
      <c r="E261" s="47" t="s">
        <v>485</v>
      </c>
      <c r="F261" s="47" t="s">
        <v>51</v>
      </c>
      <c r="G261" s="47" t="s">
        <v>52</v>
      </c>
      <c r="H261" s="47" t="s">
        <v>33</v>
      </c>
      <c r="I261" s="47" t="s">
        <v>485</v>
      </c>
      <c r="J261" s="51" t="str">
        <f t="shared" si="7"/>
        <v>PLFinanceiro</v>
      </c>
    </row>
    <row r="262" spans="1:10">
      <c r="A262" s="46" t="s">
        <v>854</v>
      </c>
      <c r="B262" s="47" t="s">
        <v>53</v>
      </c>
      <c r="C262" s="47" t="s">
        <v>786</v>
      </c>
      <c r="D262" s="47" t="s">
        <v>855</v>
      </c>
      <c r="E262" s="47" t="s">
        <v>485</v>
      </c>
      <c r="F262" s="47" t="s">
        <v>51</v>
      </c>
      <c r="G262" s="47" t="s">
        <v>52</v>
      </c>
      <c r="H262" s="47" t="s">
        <v>33</v>
      </c>
      <c r="I262" s="47" t="s">
        <v>485</v>
      </c>
      <c r="J262" s="51" t="str">
        <f t="shared" ref="J262:J277" si="9">B262&amp;C262</f>
        <v>PLFinanceiro</v>
      </c>
    </row>
    <row r="263" spans="1:10">
      <c r="A263" s="46" t="s">
        <v>856</v>
      </c>
      <c r="B263" s="47" t="s">
        <v>53</v>
      </c>
      <c r="C263" s="47" t="s">
        <v>609</v>
      </c>
      <c r="D263" s="47" t="s">
        <v>610</v>
      </c>
      <c r="E263" s="47" t="s">
        <v>485</v>
      </c>
      <c r="F263" s="47" t="s">
        <v>51</v>
      </c>
      <c r="G263" s="47" t="s">
        <v>52</v>
      </c>
      <c r="H263" s="47" t="s">
        <v>33</v>
      </c>
      <c r="I263" s="47" t="s">
        <v>485</v>
      </c>
      <c r="J263" s="51" t="str">
        <f t="shared" si="9"/>
        <v>PLRecursos Humanos</v>
      </c>
    </row>
    <row r="264" spans="1:10">
      <c r="A264" s="46" t="s">
        <v>54</v>
      </c>
      <c r="B264" s="47" t="s">
        <v>53</v>
      </c>
      <c r="C264" s="47" t="s">
        <v>11</v>
      </c>
      <c r="D264" s="47" t="s">
        <v>13</v>
      </c>
      <c r="E264" s="47" t="s">
        <v>485</v>
      </c>
      <c r="F264" s="47" t="s">
        <v>51</v>
      </c>
      <c r="G264" s="47" t="s">
        <v>52</v>
      </c>
      <c r="H264" s="47" t="s">
        <v>33</v>
      </c>
      <c r="I264" s="47" t="s">
        <v>485</v>
      </c>
      <c r="J264" s="51" t="str">
        <f t="shared" si="9"/>
        <v>PLTI</v>
      </c>
    </row>
    <row r="265" spans="1:10">
      <c r="A265" s="46" t="s">
        <v>857</v>
      </c>
      <c r="B265" s="47" t="s">
        <v>53</v>
      </c>
      <c r="C265" s="47" t="s">
        <v>579</v>
      </c>
      <c r="D265" s="47" t="s">
        <v>858</v>
      </c>
      <c r="E265" s="47" t="s">
        <v>485</v>
      </c>
      <c r="F265" s="47" t="s">
        <v>51</v>
      </c>
      <c r="G265" s="47" t="s">
        <v>52</v>
      </c>
      <c r="H265" s="47" t="s">
        <v>33</v>
      </c>
      <c r="I265" s="47" t="s">
        <v>485</v>
      </c>
      <c r="J265" s="51" t="str">
        <f t="shared" si="9"/>
        <v>PLADM &amp; Facilities</v>
      </c>
    </row>
    <row r="266" spans="1:10">
      <c r="A266" s="49" t="s">
        <v>859</v>
      </c>
      <c r="B266" s="48" t="s">
        <v>860</v>
      </c>
      <c r="C266" s="48" t="s">
        <v>840</v>
      </c>
      <c r="D266" s="48" t="s">
        <v>861</v>
      </c>
      <c r="E266" s="48" t="s">
        <v>503</v>
      </c>
      <c r="F266" s="48" t="s">
        <v>862</v>
      </c>
      <c r="G266" s="48" t="s">
        <v>504</v>
      </c>
      <c r="H266" s="48" t="s">
        <v>33</v>
      </c>
      <c r="I266" s="48" t="s">
        <v>503</v>
      </c>
      <c r="J266" s="51" t="str">
        <f t="shared" si="9"/>
        <v>CPExecutivos</v>
      </c>
    </row>
    <row r="267" spans="1:10">
      <c r="A267" s="49" t="s">
        <v>863</v>
      </c>
      <c r="B267" s="48" t="s">
        <v>860</v>
      </c>
      <c r="C267" s="48" t="s">
        <v>10</v>
      </c>
      <c r="D267" s="48" t="s">
        <v>864</v>
      </c>
      <c r="E267" s="48" t="s">
        <v>503</v>
      </c>
      <c r="F267" s="48" t="s">
        <v>862</v>
      </c>
      <c r="G267" s="48" t="s">
        <v>504</v>
      </c>
      <c r="H267" s="48" t="s">
        <v>33</v>
      </c>
      <c r="I267" s="48" t="s">
        <v>503</v>
      </c>
      <c r="J267" s="51" t="str">
        <f t="shared" si="9"/>
        <v>CPOperação</v>
      </c>
    </row>
    <row r="268" spans="1:10">
      <c r="A268" s="49" t="s">
        <v>865</v>
      </c>
      <c r="B268" s="48" t="s">
        <v>860</v>
      </c>
      <c r="C268" s="48" t="s">
        <v>543</v>
      </c>
      <c r="D268" s="48" t="s">
        <v>584</v>
      </c>
      <c r="E268" s="48" t="s">
        <v>503</v>
      </c>
      <c r="F268" s="48" t="s">
        <v>862</v>
      </c>
      <c r="G268" s="48" t="s">
        <v>504</v>
      </c>
      <c r="H268" s="48" t="s">
        <v>33</v>
      </c>
      <c r="I268" s="48" t="s">
        <v>503</v>
      </c>
      <c r="J268" s="51" t="str">
        <f t="shared" si="9"/>
        <v>CPSeguros</v>
      </c>
    </row>
    <row r="269" spans="1:10">
      <c r="A269" s="49" t="s">
        <v>866</v>
      </c>
      <c r="B269" s="48" t="s">
        <v>860</v>
      </c>
      <c r="C269" s="48" t="s">
        <v>846</v>
      </c>
      <c r="D269" s="48" t="s">
        <v>867</v>
      </c>
      <c r="E269" s="48" t="s">
        <v>503</v>
      </c>
      <c r="F269" s="48" t="s">
        <v>862</v>
      </c>
      <c r="G269" s="48" t="s">
        <v>504</v>
      </c>
      <c r="H269" s="48" t="s">
        <v>33</v>
      </c>
      <c r="I269" s="48" t="s">
        <v>503</v>
      </c>
      <c r="J269" s="51" t="str">
        <f t="shared" si="9"/>
        <v>CPComunicação</v>
      </c>
    </row>
    <row r="270" spans="1:10">
      <c r="A270" s="49" t="s">
        <v>868</v>
      </c>
      <c r="B270" s="48" t="s">
        <v>860</v>
      </c>
      <c r="C270" s="48" t="s">
        <v>581</v>
      </c>
      <c r="D270" s="48" t="s">
        <v>582</v>
      </c>
      <c r="E270" s="48" t="s">
        <v>503</v>
      </c>
      <c r="F270" s="48" t="s">
        <v>862</v>
      </c>
      <c r="G270" s="48" t="s">
        <v>504</v>
      </c>
      <c r="H270" s="48" t="s">
        <v>33</v>
      </c>
      <c r="I270" s="48" t="s">
        <v>503</v>
      </c>
      <c r="J270" s="51" t="str">
        <f t="shared" si="9"/>
        <v>CPJurídico</v>
      </c>
    </row>
    <row r="271" spans="1:10">
      <c r="A271" s="49" t="s">
        <v>869</v>
      </c>
      <c r="B271" s="48" t="s">
        <v>860</v>
      </c>
      <c r="C271" s="48" t="s">
        <v>783</v>
      </c>
      <c r="D271" s="48" t="s">
        <v>784</v>
      </c>
      <c r="E271" s="48" t="s">
        <v>503</v>
      </c>
      <c r="F271" s="48" t="s">
        <v>862</v>
      </c>
      <c r="G271" s="48" t="s">
        <v>504</v>
      </c>
      <c r="H271" s="48" t="s">
        <v>33</v>
      </c>
      <c r="I271" s="48" t="s">
        <v>503</v>
      </c>
      <c r="J271" s="51" t="str">
        <f t="shared" si="9"/>
        <v>CPSuprimentos</v>
      </c>
    </row>
    <row r="272" spans="1:10">
      <c r="A272" s="49" t="s">
        <v>870</v>
      </c>
      <c r="B272" s="48" t="s">
        <v>860</v>
      </c>
      <c r="C272" s="48" t="s">
        <v>786</v>
      </c>
      <c r="D272" s="48" t="s">
        <v>871</v>
      </c>
      <c r="E272" s="48" t="s">
        <v>503</v>
      </c>
      <c r="F272" s="48" t="s">
        <v>862</v>
      </c>
      <c r="G272" s="48" t="s">
        <v>504</v>
      </c>
      <c r="H272" s="48" t="s">
        <v>33</v>
      </c>
      <c r="I272" s="48" t="s">
        <v>503</v>
      </c>
      <c r="J272" s="51" t="str">
        <f t="shared" si="9"/>
        <v>CPFinanceiro</v>
      </c>
    </row>
    <row r="273" spans="1:10">
      <c r="A273" s="49" t="s">
        <v>872</v>
      </c>
      <c r="B273" s="48" t="s">
        <v>860</v>
      </c>
      <c r="C273" s="48" t="s">
        <v>786</v>
      </c>
      <c r="D273" s="48" t="s">
        <v>873</v>
      </c>
      <c r="E273" s="48" t="s">
        <v>503</v>
      </c>
      <c r="F273" s="48" t="s">
        <v>862</v>
      </c>
      <c r="G273" s="48" t="s">
        <v>504</v>
      </c>
      <c r="H273" s="48" t="s">
        <v>33</v>
      </c>
      <c r="I273" s="48" t="s">
        <v>503</v>
      </c>
      <c r="J273" s="51" t="str">
        <f t="shared" si="9"/>
        <v>CPFinanceiro</v>
      </c>
    </row>
    <row r="274" spans="1:10">
      <c r="A274" s="49" t="s">
        <v>874</v>
      </c>
      <c r="B274" s="48" t="s">
        <v>860</v>
      </c>
      <c r="C274" s="48" t="s">
        <v>786</v>
      </c>
      <c r="D274" s="48" t="s">
        <v>875</v>
      </c>
      <c r="E274" s="48" t="s">
        <v>503</v>
      </c>
      <c r="F274" s="48" t="s">
        <v>862</v>
      </c>
      <c r="G274" s="48" t="s">
        <v>504</v>
      </c>
      <c r="H274" s="48" t="s">
        <v>33</v>
      </c>
      <c r="I274" s="48" t="s">
        <v>503</v>
      </c>
      <c r="J274" s="51" t="str">
        <f t="shared" si="9"/>
        <v>CPFinanceiro</v>
      </c>
    </row>
    <row r="275" spans="1:10">
      <c r="A275" s="49" t="s">
        <v>876</v>
      </c>
      <c r="B275" s="48" t="s">
        <v>860</v>
      </c>
      <c r="C275" s="48" t="s">
        <v>609</v>
      </c>
      <c r="D275" s="48" t="s">
        <v>877</v>
      </c>
      <c r="E275" s="48" t="s">
        <v>503</v>
      </c>
      <c r="F275" s="48" t="s">
        <v>862</v>
      </c>
      <c r="G275" s="48" t="s">
        <v>504</v>
      </c>
      <c r="H275" s="48" t="s">
        <v>33</v>
      </c>
      <c r="I275" s="48" t="s">
        <v>503</v>
      </c>
      <c r="J275" s="51" t="str">
        <f t="shared" si="9"/>
        <v>CPRecursos Humanos</v>
      </c>
    </row>
    <row r="276" spans="1:10">
      <c r="A276" s="49" t="s">
        <v>96</v>
      </c>
      <c r="B276" s="48" t="s">
        <v>860</v>
      </c>
      <c r="C276" s="48" t="s">
        <v>11</v>
      </c>
      <c r="D276" s="48" t="s">
        <v>878</v>
      </c>
      <c r="E276" s="48" t="s">
        <v>503</v>
      </c>
      <c r="F276" s="48" t="s">
        <v>862</v>
      </c>
      <c r="G276" s="48" t="s">
        <v>504</v>
      </c>
      <c r="H276" s="48" t="s">
        <v>33</v>
      </c>
      <c r="I276" s="48" t="s">
        <v>503</v>
      </c>
      <c r="J276" s="51" t="str">
        <f t="shared" si="9"/>
        <v>CPTI</v>
      </c>
    </row>
    <row r="277" spans="1:10">
      <c r="A277" s="49" t="s">
        <v>879</v>
      </c>
      <c r="B277" s="48" t="s">
        <v>860</v>
      </c>
      <c r="C277" s="48" t="s">
        <v>579</v>
      </c>
      <c r="D277" s="48" t="s">
        <v>858</v>
      </c>
      <c r="E277" s="48" t="s">
        <v>503</v>
      </c>
      <c r="F277" s="48" t="s">
        <v>862</v>
      </c>
      <c r="G277" s="48" t="s">
        <v>504</v>
      </c>
      <c r="H277" s="48" t="s">
        <v>33</v>
      </c>
      <c r="I277" s="48" t="s">
        <v>503</v>
      </c>
      <c r="J277" s="51" t="str">
        <f t="shared" si="9"/>
        <v>CPADM &amp; Facilities</v>
      </c>
    </row>
    <row r="278" spans="1:10" ht="6" customHeight="1"/>
    <row r="279" spans="1:10"/>
    <row r="280" spans="1:10"/>
    <row r="281" spans="1:10"/>
    <row r="282" spans="1:10"/>
    <row r="283" spans="1:10"/>
    <row r="284" spans="1:10"/>
    <row r="285" spans="1:10"/>
    <row r="286" spans="1:10"/>
    <row r="287" spans="1:10"/>
    <row r="288" spans="1:10"/>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sheetData>
  <sheetProtection algorithmName="SHA-512" hashValue="0MGkgNoZxAyHG5Ntk6JrznN3vVe6B+TmKdWMEarNY7h3ttdXSjijVrxSaW4C2x+f2lDj39M0RUQXEjfsGON5pA==" saltValue="3h1uveOxnTYM4jiqeVT3OQ==" spinCount="100000" sheet="1" objects="1" scenarios="1" autoFilter="0"/>
  <autoFilter ref="A1:H277" xr:uid="{A45D4DBC-1BE3-4C5C-8D13-1620E879435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654E-4C35-49C9-A870-E5B7ABEDF892}">
  <sheetPr>
    <tabColor theme="5"/>
  </sheetPr>
  <dimension ref="A2:S41"/>
  <sheetViews>
    <sheetView zoomScale="80" zoomScaleNormal="80" workbookViewId="0">
      <pane xSplit="3" ySplit="4" topLeftCell="X7" activePane="bottomRight" state="frozen"/>
      <selection pane="bottomRight" activeCell="B18" sqref="B18"/>
      <selection pane="bottomLeft" activeCell="A6" sqref="A6"/>
      <selection pane="topRight" activeCell="D1" sqref="D1"/>
    </sheetView>
  </sheetViews>
  <sheetFormatPr defaultColWidth="8.88671875" defaultRowHeight="17.45" outlineLevelCol="1"/>
  <cols>
    <col min="1" max="1" width="15.77734375" customWidth="1"/>
    <col min="2" max="3" width="20.77734375" customWidth="1"/>
    <col min="4" max="4" width="20.77734375" hidden="1" customWidth="1" outlineLevel="1"/>
    <col min="5" max="5" width="20.77734375" customWidth="1" collapsed="1"/>
    <col min="6" max="6" width="63.88671875" bestFit="1" customWidth="1"/>
    <col min="7" max="18" width="7.77734375" bestFit="1" customWidth="1"/>
    <col min="19" max="19" width="9.109375" bestFit="1" customWidth="1"/>
  </cols>
  <sheetData>
    <row r="2" spans="1:19">
      <c r="A2" s="33" t="s">
        <v>59</v>
      </c>
      <c r="B2" t="s">
        <v>366</v>
      </c>
    </row>
    <row r="3" spans="1:19">
      <c r="A3" s="33" t="s">
        <v>60</v>
      </c>
      <c r="B3" t="s">
        <v>366</v>
      </c>
      <c r="S3" s="44">
        <f>Budget!BS1-GETPIVOTDATA("FY.2026",$A$4)</f>
        <v>179.69230094059412</v>
      </c>
    </row>
    <row r="4" spans="1:19">
      <c r="G4" s="104" t="s">
        <v>88</v>
      </c>
    </row>
    <row r="5" spans="1:19">
      <c r="A5" s="33" t="s">
        <v>0</v>
      </c>
      <c r="B5" s="33" t="s">
        <v>1</v>
      </c>
      <c r="C5" s="33" t="s">
        <v>62</v>
      </c>
      <c r="D5" s="33" t="s">
        <v>68</v>
      </c>
      <c r="E5" s="33" t="s">
        <v>61</v>
      </c>
      <c r="F5" s="33" t="s">
        <v>63</v>
      </c>
      <c r="G5" t="s">
        <v>367</v>
      </c>
      <c r="H5" t="s">
        <v>368</v>
      </c>
      <c r="I5" t="s">
        <v>369</v>
      </c>
      <c r="J5" t="s">
        <v>370</v>
      </c>
      <c r="K5" t="s">
        <v>371</v>
      </c>
      <c r="L5" t="s">
        <v>372</v>
      </c>
      <c r="M5" t="s">
        <v>373</v>
      </c>
      <c r="N5" t="s">
        <v>374</v>
      </c>
      <c r="O5" t="s">
        <v>375</v>
      </c>
      <c r="P5" t="s">
        <v>376</v>
      </c>
      <c r="Q5" t="s">
        <v>377</v>
      </c>
      <c r="R5" t="s">
        <v>378</v>
      </c>
      <c r="S5" t="s">
        <v>379</v>
      </c>
    </row>
    <row r="6" spans="1:19">
      <c r="A6" t="s">
        <v>36</v>
      </c>
      <c r="G6" s="121">
        <v>36.580039509731904</v>
      </c>
      <c r="H6" s="121">
        <v>36.580039509731904</v>
      </c>
      <c r="I6" s="121">
        <v>37.940583727418975</v>
      </c>
      <c r="J6" s="121">
        <v>36.580039509731904</v>
      </c>
      <c r="K6" s="121">
        <v>36.580039509731904</v>
      </c>
      <c r="L6" s="121">
        <v>38.06446577527263</v>
      </c>
      <c r="M6" s="121">
        <v>36.703921557585552</v>
      </c>
      <c r="N6" s="121">
        <v>36.703921557585552</v>
      </c>
      <c r="O6" s="121">
        <v>38.06446577527263</v>
      </c>
      <c r="P6" s="121">
        <v>36.703921557585552</v>
      </c>
      <c r="Q6" s="121">
        <v>36.703921557585552</v>
      </c>
      <c r="R6" s="121">
        <v>38.06446577527263</v>
      </c>
      <c r="S6" s="121">
        <v>445.26982532250679</v>
      </c>
    </row>
    <row r="7" spans="1:19">
      <c r="A7" t="s">
        <v>7</v>
      </c>
      <c r="G7" s="121">
        <v>100.55767647649364</v>
      </c>
      <c r="H7" s="121">
        <v>100.55767647649364</v>
      </c>
      <c r="I7" s="121">
        <v>105.99985334724192</v>
      </c>
      <c r="J7" s="121">
        <v>94.605295524112677</v>
      </c>
      <c r="K7" s="121">
        <v>94.605295524112677</v>
      </c>
      <c r="L7" s="121">
        <v>100.39158919445443</v>
      </c>
      <c r="M7" s="121">
        <v>94.949412323706142</v>
      </c>
      <c r="N7" s="121">
        <v>95.173095640055109</v>
      </c>
      <c r="O7" s="121">
        <v>100.61527251080339</v>
      </c>
      <c r="P7" s="121">
        <v>95.173095640055109</v>
      </c>
      <c r="Q7" s="121">
        <v>95.173095640055109</v>
      </c>
      <c r="R7" s="121">
        <v>100.61527251080339</v>
      </c>
      <c r="S7" s="121">
        <v>1178.416630808387</v>
      </c>
    </row>
    <row r="8" spans="1:19">
      <c r="A8" t="s">
        <v>39</v>
      </c>
      <c r="G8" s="121">
        <v>11.50635997908757</v>
      </c>
      <c r="H8" s="121">
        <v>11.50635997908757</v>
      </c>
      <c r="I8" s="121">
        <v>12.69683616956376</v>
      </c>
      <c r="J8" s="121">
        <v>11.50635997908757</v>
      </c>
      <c r="K8" s="121">
        <v>11.50635997908757</v>
      </c>
      <c r="L8" s="121">
        <v>12.731247849523106</v>
      </c>
      <c r="M8" s="121">
        <v>11.540771659046916</v>
      </c>
      <c r="N8" s="121">
        <v>11.540771659046916</v>
      </c>
      <c r="O8" s="121">
        <v>12.731247849523106</v>
      </c>
      <c r="P8" s="121">
        <v>11.540771659046916</v>
      </c>
      <c r="Q8" s="121">
        <v>11.540771659046916</v>
      </c>
      <c r="R8" s="121">
        <v>12.731247849523106</v>
      </c>
      <c r="S8" s="121">
        <v>143.07910627067096</v>
      </c>
    </row>
    <row r="9" spans="1:19">
      <c r="A9" t="s">
        <v>46</v>
      </c>
      <c r="B9" t="s">
        <v>47</v>
      </c>
      <c r="C9" t="s">
        <v>75</v>
      </c>
      <c r="D9" t="s">
        <v>106</v>
      </c>
      <c r="E9" t="s">
        <v>114</v>
      </c>
      <c r="F9" t="s">
        <v>115</v>
      </c>
      <c r="G9" s="121">
        <v>0.80782312925170074</v>
      </c>
      <c r="H9" s="121">
        <v>0.80782312925170074</v>
      </c>
      <c r="I9" s="121">
        <v>0.80782312925170074</v>
      </c>
      <c r="J9" s="121">
        <v>0.80782312925170074</v>
      </c>
      <c r="K9" s="121">
        <v>0.80782312925170074</v>
      </c>
      <c r="L9" s="121">
        <v>0.80782312925170074</v>
      </c>
      <c r="M9" s="121">
        <v>0.80782312925170074</v>
      </c>
      <c r="N9" s="121">
        <v>0.80782312925170074</v>
      </c>
      <c r="O9" s="121">
        <v>0.80782312925170074</v>
      </c>
      <c r="P9" s="121">
        <v>0.80782312925170074</v>
      </c>
      <c r="Q9" s="121">
        <v>0.80782312925170074</v>
      </c>
      <c r="R9" s="121">
        <v>0.80782312925170074</v>
      </c>
      <c r="S9" s="121">
        <v>9.6938775510204067</v>
      </c>
    </row>
    <row r="10" spans="1:19">
      <c r="E10" t="s">
        <v>171</v>
      </c>
      <c r="F10" t="s">
        <v>172</v>
      </c>
      <c r="G10" s="121">
        <v>0.51020408163265307</v>
      </c>
      <c r="H10" s="121">
        <v>0.51020408163265307</v>
      </c>
      <c r="I10" s="121">
        <v>0.51020408163265307</v>
      </c>
      <c r="J10" s="121">
        <v>0.51020408163265307</v>
      </c>
      <c r="K10" s="121">
        <v>0.51020408163265307</v>
      </c>
      <c r="L10" s="121">
        <v>0.51020408163265307</v>
      </c>
      <c r="M10" s="121">
        <v>0.51020408163265307</v>
      </c>
      <c r="N10" s="121">
        <v>0.51020408163265307</v>
      </c>
      <c r="O10" s="121">
        <v>0.51020408163265307</v>
      </c>
      <c r="P10" s="121">
        <v>0.51020408163265307</v>
      </c>
      <c r="Q10" s="121">
        <v>0.51020408163265307</v>
      </c>
      <c r="R10" s="121">
        <v>0.51020408163265307</v>
      </c>
      <c r="S10" s="121">
        <v>6.1224489795918382</v>
      </c>
    </row>
    <row r="11" spans="1:19">
      <c r="D11" t="s">
        <v>87</v>
      </c>
      <c r="E11" t="s">
        <v>116</v>
      </c>
      <c r="F11" t="s">
        <v>117</v>
      </c>
      <c r="G11" s="121">
        <v>0.41747555222798305</v>
      </c>
      <c r="H11" s="121">
        <v>0.41747555222798305</v>
      </c>
      <c r="I11" s="121">
        <v>0.41747555222798305</v>
      </c>
      <c r="J11" s="121">
        <v>0.41747555222798305</v>
      </c>
      <c r="K11" s="121">
        <v>0.41747555222798305</v>
      </c>
      <c r="L11" s="121">
        <v>0.41747555222798305</v>
      </c>
      <c r="M11" s="121">
        <v>0.41747555222798305</v>
      </c>
      <c r="N11" s="121">
        <v>0.41747555222798305</v>
      </c>
      <c r="O11" s="121">
        <v>0.41747555222798305</v>
      </c>
      <c r="P11" s="121">
        <v>0.41747555222798305</v>
      </c>
      <c r="Q11" s="121">
        <v>0.41747555222798305</v>
      </c>
      <c r="R11" s="121">
        <v>0.41747555222798305</v>
      </c>
      <c r="S11" s="121">
        <v>5.0097066267357961</v>
      </c>
    </row>
    <row r="12" spans="1:19">
      <c r="E12" t="s">
        <v>441</v>
      </c>
      <c r="F12" t="s">
        <v>102</v>
      </c>
      <c r="G12" s="121">
        <v>0.18479999999999996</v>
      </c>
      <c r="H12" s="121">
        <v>0.18479999999999996</v>
      </c>
      <c r="I12" s="121">
        <v>0.18479999999999996</v>
      </c>
      <c r="J12" s="121">
        <v>0.18479999999999996</v>
      </c>
      <c r="K12" s="121">
        <v>0.18479999999999996</v>
      </c>
      <c r="L12" s="121">
        <v>0.18479999999999996</v>
      </c>
      <c r="M12" s="121">
        <v>0.18479999999999996</v>
      </c>
      <c r="N12" s="121">
        <v>0.18479999999999996</v>
      </c>
      <c r="O12" s="121">
        <v>0.18479999999999996</v>
      </c>
      <c r="P12" s="121">
        <v>0.18479999999999996</v>
      </c>
      <c r="Q12" s="121">
        <v>0.18479999999999996</v>
      </c>
      <c r="R12" s="121">
        <v>0.18479999999999996</v>
      </c>
      <c r="S12" s="121">
        <v>2.2176</v>
      </c>
    </row>
    <row r="13" spans="1:19">
      <c r="D13" t="s">
        <v>101</v>
      </c>
      <c r="E13" t="s">
        <v>441</v>
      </c>
      <c r="F13" t="s">
        <v>100</v>
      </c>
      <c r="G13" s="121">
        <v>1.0122566666666666</v>
      </c>
      <c r="H13" s="121">
        <v>1.0122566666666666</v>
      </c>
      <c r="I13" s="121">
        <v>1.0122566666666666</v>
      </c>
      <c r="J13" s="121">
        <v>1.0122566666666666</v>
      </c>
      <c r="K13" s="121">
        <v>1.0122566666666666</v>
      </c>
      <c r="L13" s="121">
        <v>1.0122566666666666</v>
      </c>
      <c r="M13" s="121">
        <v>1.0122566666666666</v>
      </c>
      <c r="N13" s="121">
        <v>1.0122566666666666</v>
      </c>
      <c r="O13" s="121">
        <v>1.0122566666666666</v>
      </c>
      <c r="P13" s="121">
        <v>1.0122566666666666</v>
      </c>
      <c r="Q13" s="121">
        <v>1.0122566666666666</v>
      </c>
      <c r="R13" s="121">
        <v>1.0122566666666666</v>
      </c>
      <c r="S13" s="121">
        <v>12.147079999999995</v>
      </c>
    </row>
    <row r="14" spans="1:19">
      <c r="C14" t="s">
        <v>880</v>
      </c>
      <c r="G14" s="121">
        <v>2.9325594297790034</v>
      </c>
      <c r="H14" s="121">
        <v>2.9325594297790034</v>
      </c>
      <c r="I14" s="121">
        <v>2.9325594297790034</v>
      </c>
      <c r="J14" s="121">
        <v>2.9325594297790034</v>
      </c>
      <c r="K14" s="121">
        <v>2.9325594297790034</v>
      </c>
      <c r="L14" s="121">
        <v>2.9325594297790034</v>
      </c>
      <c r="M14" s="121">
        <v>2.9325594297790034</v>
      </c>
      <c r="N14" s="121">
        <v>2.9325594297790034</v>
      </c>
      <c r="O14" s="121">
        <v>2.9325594297790034</v>
      </c>
      <c r="P14" s="121">
        <v>2.9325594297790034</v>
      </c>
      <c r="Q14" s="121">
        <v>2.9325594297790034</v>
      </c>
      <c r="R14" s="121">
        <v>2.9325594297790034</v>
      </c>
      <c r="S14" s="121">
        <v>35.190713157348036</v>
      </c>
    </row>
    <row r="15" spans="1:19">
      <c r="C15" t="s">
        <v>126</v>
      </c>
      <c r="G15" s="121">
        <v>0.16</v>
      </c>
      <c r="H15" s="121">
        <v>0.16</v>
      </c>
      <c r="I15" s="121">
        <v>0.16</v>
      </c>
      <c r="J15" s="121">
        <v>0.16</v>
      </c>
      <c r="K15" s="121">
        <v>0.16</v>
      </c>
      <c r="L15" s="121">
        <v>0.16</v>
      </c>
      <c r="M15" s="121">
        <v>0.16</v>
      </c>
      <c r="N15" s="121">
        <v>0.16</v>
      </c>
      <c r="O15" s="121">
        <v>0.16</v>
      </c>
      <c r="P15" s="121">
        <v>0.16</v>
      </c>
      <c r="Q15" s="121">
        <v>0.16</v>
      </c>
      <c r="R15" s="121">
        <v>0.16</v>
      </c>
      <c r="S15" s="121">
        <v>1.9199999999999997</v>
      </c>
    </row>
    <row r="16" spans="1:19">
      <c r="C16" t="s">
        <v>123</v>
      </c>
      <c r="G16" s="121">
        <v>2.3215362999697811</v>
      </c>
      <c r="H16" s="121">
        <v>2.3215362999697811</v>
      </c>
      <c r="I16" s="121">
        <v>2.6616723543915497</v>
      </c>
      <c r="J16" s="121">
        <v>2.3215362999697811</v>
      </c>
      <c r="K16" s="121">
        <v>2.3215362999697811</v>
      </c>
      <c r="L16" s="121">
        <v>2.6616723543915497</v>
      </c>
      <c r="M16" s="121">
        <v>2.3215362999697811</v>
      </c>
      <c r="N16" s="121">
        <v>2.3215362999697811</v>
      </c>
      <c r="O16" s="121">
        <v>2.6616723543915497</v>
      </c>
      <c r="P16" s="121">
        <v>2.3215362999697811</v>
      </c>
      <c r="Q16" s="121">
        <v>2.3215362999697811</v>
      </c>
      <c r="R16" s="121">
        <v>2.6616723543915497</v>
      </c>
      <c r="S16" s="121">
        <v>29.218979817324449</v>
      </c>
    </row>
    <row r="17" spans="1:19">
      <c r="B17" s="122" t="s">
        <v>881</v>
      </c>
      <c r="C17" s="122"/>
      <c r="D17" s="122"/>
      <c r="E17" s="122"/>
      <c r="F17" s="122"/>
      <c r="G17" s="123">
        <v>5.4140957297487846</v>
      </c>
      <c r="H17" s="123">
        <v>5.4140957297487846</v>
      </c>
      <c r="I17" s="123">
        <v>5.7542317841705533</v>
      </c>
      <c r="J17" s="123">
        <v>5.4140957297487846</v>
      </c>
      <c r="K17" s="123">
        <v>5.4140957297487846</v>
      </c>
      <c r="L17" s="123">
        <v>5.7542317841705533</v>
      </c>
      <c r="M17" s="123">
        <v>5.4140957297487846</v>
      </c>
      <c r="N17" s="123">
        <v>5.4140957297487846</v>
      </c>
      <c r="O17" s="123">
        <v>5.7542317841705533</v>
      </c>
      <c r="P17" s="123">
        <v>5.4140957297487846</v>
      </c>
      <c r="Q17" s="123">
        <v>5.4140957297487846</v>
      </c>
      <c r="R17" s="123">
        <v>5.7542317841705533</v>
      </c>
      <c r="S17" s="123">
        <v>66.329692974672483</v>
      </c>
    </row>
    <row r="18" spans="1:19">
      <c r="B18" t="s">
        <v>49</v>
      </c>
      <c r="C18" t="s">
        <v>75</v>
      </c>
      <c r="D18" t="s">
        <v>106</v>
      </c>
      <c r="E18" t="s">
        <v>217</v>
      </c>
      <c r="F18" t="s">
        <v>218</v>
      </c>
      <c r="G18" s="121">
        <v>0.8231292517006803</v>
      </c>
      <c r="H18" s="121">
        <v>0.8231292517006803</v>
      </c>
      <c r="I18" s="121">
        <v>0.8231292517006803</v>
      </c>
      <c r="J18" s="121">
        <v>0.8231292517006803</v>
      </c>
      <c r="K18" s="121">
        <v>0.8231292517006803</v>
      </c>
      <c r="L18" s="121">
        <v>0.8231292517006803</v>
      </c>
      <c r="M18" s="121">
        <v>0.8231292517006803</v>
      </c>
      <c r="N18" s="121">
        <v>0.8231292517006803</v>
      </c>
      <c r="O18" s="121">
        <v>0.8231292517006803</v>
      </c>
      <c r="P18" s="121">
        <v>0.8231292517006803</v>
      </c>
      <c r="Q18" s="121">
        <v>0.8231292517006803</v>
      </c>
      <c r="R18" s="121">
        <v>0.8231292517006803</v>
      </c>
      <c r="S18" s="121">
        <v>9.8775510204081627</v>
      </c>
    </row>
    <row r="19" spans="1:19">
      <c r="D19" t="s">
        <v>80</v>
      </c>
      <c r="E19" t="s">
        <v>92</v>
      </c>
      <c r="F19" t="s">
        <v>93</v>
      </c>
      <c r="G19" s="121">
        <v>0.70138</v>
      </c>
      <c r="H19" s="121">
        <v>0.70138</v>
      </c>
      <c r="I19" s="121">
        <v>0.70138</v>
      </c>
      <c r="J19" s="121">
        <v>0.70138</v>
      </c>
      <c r="K19" s="121">
        <v>0.70138</v>
      </c>
      <c r="L19" s="121">
        <v>0.70138</v>
      </c>
      <c r="M19" s="121">
        <v>0.70138</v>
      </c>
      <c r="N19" s="121">
        <v>0.70138</v>
      </c>
      <c r="O19" s="121">
        <v>0.70138</v>
      </c>
      <c r="P19" s="121">
        <v>0.70138</v>
      </c>
      <c r="Q19" s="121">
        <v>0.70138</v>
      </c>
      <c r="R19" s="121">
        <v>0.70138</v>
      </c>
      <c r="S19" s="121">
        <v>8.4165600000000023</v>
      </c>
    </row>
    <row r="20" spans="1:19">
      <c r="D20" t="s">
        <v>91</v>
      </c>
      <c r="E20" t="s">
        <v>92</v>
      </c>
      <c r="F20" t="s">
        <v>97</v>
      </c>
      <c r="G20" s="121">
        <v>0.93579000000000012</v>
      </c>
      <c r="H20" s="121">
        <v>0.93579000000000012</v>
      </c>
      <c r="I20" s="121">
        <v>0.93579000000000012</v>
      </c>
      <c r="J20" s="121">
        <v>0.93579000000000012</v>
      </c>
      <c r="K20" s="121">
        <v>0.93579000000000012</v>
      </c>
      <c r="L20" s="121">
        <v>0.93579000000000012</v>
      </c>
      <c r="M20" s="121">
        <v>0.93579000000000012</v>
      </c>
      <c r="N20" s="121">
        <v>0.93579000000000012</v>
      </c>
      <c r="O20" s="121">
        <v>0.93579000000000012</v>
      </c>
      <c r="P20" s="121">
        <v>0.93579000000000012</v>
      </c>
      <c r="Q20" s="121">
        <v>0.93579000000000012</v>
      </c>
      <c r="R20" s="121">
        <v>0.93579000000000012</v>
      </c>
      <c r="S20" s="121">
        <v>11.229480000000002</v>
      </c>
    </row>
    <row r="21" spans="1:19">
      <c r="F21" t="s">
        <v>98</v>
      </c>
      <c r="G21" s="121">
        <v>9.9999999999999992E-2</v>
      </c>
      <c r="H21" s="121">
        <v>9.9999999999999992E-2</v>
      </c>
      <c r="I21" s="121">
        <v>9.9999999999999992E-2</v>
      </c>
      <c r="J21" s="121">
        <v>9.9999999999999992E-2</v>
      </c>
      <c r="K21" s="121">
        <v>9.9999999999999992E-2</v>
      </c>
      <c r="L21" s="121">
        <v>9.9999999999999992E-2</v>
      </c>
      <c r="M21" s="121">
        <v>9.9999999999999992E-2</v>
      </c>
      <c r="N21" s="121">
        <v>9.9999999999999992E-2</v>
      </c>
      <c r="O21" s="121">
        <v>9.9999999999999992E-2</v>
      </c>
      <c r="P21" s="121">
        <v>9.9999999999999992E-2</v>
      </c>
      <c r="Q21" s="121">
        <v>9.9999999999999992E-2</v>
      </c>
      <c r="R21" s="121">
        <v>9.9999999999999992E-2</v>
      </c>
      <c r="S21" s="121">
        <v>1.2</v>
      </c>
    </row>
    <row r="22" spans="1:19">
      <c r="E22" t="s">
        <v>179</v>
      </c>
      <c r="F22" t="s">
        <v>185</v>
      </c>
      <c r="G22" s="121">
        <v>0.19387755102040816</v>
      </c>
      <c r="H22" s="121">
        <v>0.19387755102040816</v>
      </c>
      <c r="I22" s="121">
        <v>0.19387755102040816</v>
      </c>
      <c r="J22" s="121">
        <v>0.19387755102040816</v>
      </c>
      <c r="K22" s="121">
        <v>0.19387755102040816</v>
      </c>
      <c r="L22" s="121">
        <v>0.19387755102040816</v>
      </c>
      <c r="M22" s="121">
        <v>0.19387755102040816</v>
      </c>
      <c r="N22" s="121">
        <v>0.19387755102040816</v>
      </c>
      <c r="O22" s="121">
        <v>0.19387755102040816</v>
      </c>
      <c r="P22" s="121">
        <v>0.19387755102040816</v>
      </c>
      <c r="Q22" s="121">
        <v>0.19387755102040816</v>
      </c>
      <c r="R22" s="121">
        <v>0.19387755102040816</v>
      </c>
      <c r="S22" s="121">
        <v>2.3265306122448974</v>
      </c>
    </row>
    <row r="23" spans="1:19">
      <c r="D23" t="s">
        <v>87</v>
      </c>
      <c r="E23" t="s">
        <v>118</v>
      </c>
      <c r="F23" t="s">
        <v>119</v>
      </c>
      <c r="G23" s="121">
        <v>5.8333333333333341E-2</v>
      </c>
      <c r="H23" s="121">
        <v>5.8333333333333341E-2</v>
      </c>
      <c r="I23" s="121">
        <v>5.8333333333333341E-2</v>
      </c>
      <c r="J23" s="121">
        <v>5.8333333333333341E-2</v>
      </c>
      <c r="K23" s="121">
        <v>5.8333333333333341E-2</v>
      </c>
      <c r="L23" s="121">
        <v>5.8333333333333341E-2</v>
      </c>
      <c r="M23" s="121">
        <v>5.8333333333333341E-2</v>
      </c>
      <c r="N23" s="121">
        <v>5.8333333333333341E-2</v>
      </c>
      <c r="O23" s="121">
        <v>5.8333333333333341E-2</v>
      </c>
      <c r="P23" s="121">
        <v>5.8333333333333341E-2</v>
      </c>
      <c r="Q23" s="121">
        <v>5.8333333333333341E-2</v>
      </c>
      <c r="R23" s="121">
        <v>5.8333333333333341E-2</v>
      </c>
      <c r="S23" s="121">
        <v>0.70000000000000007</v>
      </c>
    </row>
    <row r="24" spans="1:19">
      <c r="E24" t="s">
        <v>128</v>
      </c>
      <c r="G24" s="121">
        <v>0.38775510204081631</v>
      </c>
      <c r="H24" s="121">
        <v>0.38775510204081631</v>
      </c>
      <c r="I24" s="121">
        <v>0.38775510204081631</v>
      </c>
      <c r="J24" s="121">
        <v>0.38775510204081631</v>
      </c>
      <c r="K24" s="121">
        <v>0.38775510204081631</v>
      </c>
      <c r="L24" s="121">
        <v>0.38775510204081631</v>
      </c>
      <c r="M24" s="121">
        <v>0.38775510204081631</v>
      </c>
      <c r="N24" s="121">
        <v>0.38775510204081631</v>
      </c>
      <c r="O24" s="121">
        <v>0.38775510204081631</v>
      </c>
      <c r="P24" s="121">
        <v>0.38775510204081631</v>
      </c>
      <c r="Q24" s="121">
        <v>0.38775510204081631</v>
      </c>
      <c r="R24" s="121">
        <v>0.38775510204081631</v>
      </c>
      <c r="S24" s="121">
        <v>4.6530612244897949</v>
      </c>
    </row>
    <row r="25" spans="1:19">
      <c r="E25" t="s">
        <v>215</v>
      </c>
      <c r="F25" t="s">
        <v>216</v>
      </c>
      <c r="G25" s="121">
        <v>7.4829931972789115E-2</v>
      </c>
      <c r="H25" s="121">
        <v>7.4829931972789115E-2</v>
      </c>
      <c r="I25" s="121">
        <v>7.4829931972789115E-2</v>
      </c>
      <c r="J25" s="121">
        <v>7.4829931972789115E-2</v>
      </c>
      <c r="K25" s="121">
        <v>7.4829931972789115E-2</v>
      </c>
      <c r="L25" s="121">
        <v>7.4829931972789115E-2</v>
      </c>
      <c r="M25" s="121">
        <v>7.4829931972789115E-2</v>
      </c>
      <c r="N25" s="121">
        <v>7.4829931972789115E-2</v>
      </c>
      <c r="O25" s="121">
        <v>7.4829931972789115E-2</v>
      </c>
      <c r="P25" s="121">
        <v>7.4829931972789115E-2</v>
      </c>
      <c r="Q25" s="121">
        <v>7.4829931972789115E-2</v>
      </c>
      <c r="R25" s="121">
        <v>7.4829931972789115E-2</v>
      </c>
      <c r="S25" s="121">
        <v>0.89795918367346916</v>
      </c>
    </row>
    <row r="26" spans="1:19">
      <c r="E26" t="s">
        <v>226</v>
      </c>
      <c r="G26" s="121">
        <v>0</v>
      </c>
      <c r="H26" s="121">
        <v>0</v>
      </c>
      <c r="I26" s="121">
        <v>0</v>
      </c>
      <c r="J26" s="121">
        <v>0</v>
      </c>
      <c r="K26" s="121">
        <v>0</v>
      </c>
      <c r="L26" s="121">
        <v>0</v>
      </c>
      <c r="M26" s="121">
        <v>0</v>
      </c>
      <c r="N26" s="121">
        <v>0</v>
      </c>
      <c r="O26" s="121">
        <v>0</v>
      </c>
      <c r="P26" s="121">
        <v>0</v>
      </c>
      <c r="Q26" s="121">
        <v>0</v>
      </c>
      <c r="R26" s="121">
        <v>0</v>
      </c>
      <c r="S26" s="121">
        <v>0</v>
      </c>
    </row>
    <row r="27" spans="1:19">
      <c r="C27" t="s">
        <v>880</v>
      </c>
      <c r="G27" s="121">
        <v>3.2750951700680275</v>
      </c>
      <c r="H27" s="121">
        <v>3.2750951700680275</v>
      </c>
      <c r="I27" s="121">
        <v>3.2750951700680275</v>
      </c>
      <c r="J27" s="121">
        <v>3.2750951700680275</v>
      </c>
      <c r="K27" s="121">
        <v>3.2750951700680275</v>
      </c>
      <c r="L27" s="121">
        <v>3.2750951700680275</v>
      </c>
      <c r="M27" s="121">
        <v>3.2750951700680275</v>
      </c>
      <c r="N27" s="121">
        <v>3.2750951700680275</v>
      </c>
      <c r="O27" s="121">
        <v>3.2750951700680275</v>
      </c>
      <c r="P27" s="121">
        <v>3.2750951700680275</v>
      </c>
      <c r="Q27" s="121">
        <v>3.2750951700680275</v>
      </c>
      <c r="R27" s="121">
        <v>3.2750951700680275</v>
      </c>
      <c r="S27" s="121">
        <v>39.301142040816337</v>
      </c>
    </row>
    <row r="28" spans="1:19">
      <c r="C28" t="s">
        <v>126</v>
      </c>
      <c r="G28" s="121">
        <v>0.11224489795918369</v>
      </c>
      <c r="H28" s="121">
        <v>0.11224489795918369</v>
      </c>
      <c r="I28" s="121">
        <v>0.11224489795918369</v>
      </c>
      <c r="J28" s="121">
        <v>0.11224489795918369</v>
      </c>
      <c r="K28" s="121">
        <v>0.11224489795918369</v>
      </c>
      <c r="L28" s="121">
        <v>0.11224489795918369</v>
      </c>
      <c r="M28" s="121">
        <v>0.11224489795918369</v>
      </c>
      <c r="N28" s="121">
        <v>0.11224489795918369</v>
      </c>
      <c r="O28" s="121">
        <v>0.11224489795918369</v>
      </c>
      <c r="P28" s="121">
        <v>0.11224489795918369</v>
      </c>
      <c r="Q28" s="121">
        <v>0.11224489795918369</v>
      </c>
      <c r="R28" s="121">
        <v>0.11224489795918369</v>
      </c>
      <c r="S28" s="121">
        <v>1.3469387755102042</v>
      </c>
    </row>
    <row r="29" spans="1:19">
      <c r="C29" t="s">
        <v>224</v>
      </c>
      <c r="G29" s="121">
        <v>0.21999999999999997</v>
      </c>
      <c r="H29" s="121">
        <v>0.21999999999999997</v>
      </c>
      <c r="I29" s="121">
        <v>0.21999999999999997</v>
      </c>
      <c r="J29" s="121">
        <v>0.21999999999999997</v>
      </c>
      <c r="K29" s="121">
        <v>0.21999999999999997</v>
      </c>
      <c r="L29" s="121">
        <v>0.21999999999999997</v>
      </c>
      <c r="M29" s="121">
        <v>0.21999999999999997</v>
      </c>
      <c r="N29" s="121">
        <v>0.21999999999999997</v>
      </c>
      <c r="O29" s="121">
        <v>0.21999999999999997</v>
      </c>
      <c r="P29" s="121">
        <v>0.21999999999999997</v>
      </c>
      <c r="Q29" s="121">
        <v>0.21999999999999997</v>
      </c>
      <c r="R29" s="121">
        <v>0.21999999999999997</v>
      </c>
      <c r="S29" s="121">
        <v>2.6399999999999997</v>
      </c>
    </row>
    <row r="30" spans="1:19">
      <c r="C30" t="s">
        <v>123</v>
      </c>
      <c r="G30" s="121">
        <v>6.2593877551020407</v>
      </c>
      <c r="H30" s="121">
        <v>6.2593877551020407</v>
      </c>
      <c r="I30" s="121">
        <v>6.2593877551020407</v>
      </c>
      <c r="J30" s="121">
        <v>6.2593877551020407</v>
      </c>
      <c r="K30" s="121">
        <v>6.2593877551020407</v>
      </c>
      <c r="L30" s="121">
        <v>6.3006817710532577</v>
      </c>
      <c r="M30" s="121">
        <v>6.3006817710532577</v>
      </c>
      <c r="N30" s="121">
        <v>6.3006817710532577</v>
      </c>
      <c r="O30" s="121">
        <v>6.3006817710532577</v>
      </c>
      <c r="P30" s="121">
        <v>6.8006817710532577</v>
      </c>
      <c r="Q30" s="121">
        <v>6.8006817710532577</v>
      </c>
      <c r="R30" s="121">
        <v>6.8006817710532577</v>
      </c>
      <c r="S30" s="121">
        <v>76.901711172882997</v>
      </c>
    </row>
    <row r="31" spans="1:19">
      <c r="B31" s="122" t="s">
        <v>882</v>
      </c>
      <c r="C31" s="122"/>
      <c r="D31" s="122"/>
      <c r="E31" s="122"/>
      <c r="F31" s="122"/>
      <c r="G31" s="123">
        <v>9.8667278231292528</v>
      </c>
      <c r="H31" s="123">
        <v>9.8667278231292528</v>
      </c>
      <c r="I31" s="123">
        <v>9.8667278231292528</v>
      </c>
      <c r="J31" s="123">
        <v>9.8667278231292528</v>
      </c>
      <c r="K31" s="123">
        <v>9.8667278231292528</v>
      </c>
      <c r="L31" s="123">
        <v>9.9080218390804689</v>
      </c>
      <c r="M31" s="123">
        <v>9.9080218390804689</v>
      </c>
      <c r="N31" s="123">
        <v>9.9080218390804689</v>
      </c>
      <c r="O31" s="123">
        <v>9.9080218390804689</v>
      </c>
      <c r="P31" s="123">
        <v>10.408021839080469</v>
      </c>
      <c r="Q31" s="123">
        <v>10.408021839080469</v>
      </c>
      <c r="R31" s="123">
        <v>10.408021839080469</v>
      </c>
      <c r="S31" s="123">
        <v>120.18979198920954</v>
      </c>
    </row>
    <row r="32" spans="1:19">
      <c r="A32" s="124" t="s">
        <v>883</v>
      </c>
      <c r="B32" s="124"/>
      <c r="C32" s="124"/>
      <c r="D32" s="124"/>
      <c r="E32" s="124"/>
      <c r="F32" s="124"/>
      <c r="G32" s="125">
        <v>15.280823552878037</v>
      </c>
      <c r="H32" s="125">
        <v>15.280823552878037</v>
      </c>
      <c r="I32" s="125">
        <v>15.620959607299806</v>
      </c>
      <c r="J32" s="125">
        <v>15.280823552878037</v>
      </c>
      <c r="K32" s="125">
        <v>15.280823552878037</v>
      </c>
      <c r="L32" s="125">
        <v>15.662253623251024</v>
      </c>
      <c r="M32" s="125">
        <v>15.322117568829254</v>
      </c>
      <c r="N32" s="125">
        <v>15.322117568829254</v>
      </c>
      <c r="O32" s="125">
        <v>15.662253623251024</v>
      </c>
      <c r="P32" s="125">
        <v>15.822117568829254</v>
      </c>
      <c r="Q32" s="125">
        <v>15.822117568829254</v>
      </c>
      <c r="R32" s="125">
        <v>16.162253623251026</v>
      </c>
      <c r="S32" s="125">
        <v>186.51948496388201</v>
      </c>
    </row>
    <row r="33" spans="1:19">
      <c r="A33" t="s">
        <v>761</v>
      </c>
      <c r="G33" s="121">
        <v>0.54572333333333334</v>
      </c>
      <c r="H33" s="121">
        <v>0.54572333333333334</v>
      </c>
      <c r="I33" s="121">
        <v>0.54572333333333334</v>
      </c>
      <c r="J33" s="121">
        <v>0.54572333333333334</v>
      </c>
      <c r="K33" s="121">
        <v>0.54572333333333334</v>
      </c>
      <c r="L33" s="121">
        <v>0.54572333333333334</v>
      </c>
      <c r="M33" s="121">
        <v>0.54572333333333334</v>
      </c>
      <c r="N33" s="121">
        <v>0.54572333333333334</v>
      </c>
      <c r="O33" s="121">
        <v>0.54572333333333334</v>
      </c>
      <c r="P33" s="121">
        <v>0.54572333333333334</v>
      </c>
      <c r="Q33" s="121">
        <v>0.54572333333333334</v>
      </c>
      <c r="R33" s="121">
        <v>0.54572333333333334</v>
      </c>
      <c r="S33" s="121">
        <v>6.5486800000000009</v>
      </c>
    </row>
    <row r="34" spans="1:19">
      <c r="A34" t="s">
        <v>336</v>
      </c>
      <c r="G34" s="121">
        <v>7.7403757230245311</v>
      </c>
      <c r="H34" s="121">
        <v>2.7708757230245316</v>
      </c>
      <c r="I34" s="121">
        <v>2.7708757230245316</v>
      </c>
      <c r="J34" s="121">
        <v>7.7403757230245311</v>
      </c>
      <c r="K34" s="121">
        <v>2.7708757230245316</v>
      </c>
      <c r="L34" s="121">
        <v>2.7708757230245316</v>
      </c>
      <c r="M34" s="121">
        <v>9.7523757230245316</v>
      </c>
      <c r="N34" s="121">
        <v>4.612333754177965</v>
      </c>
      <c r="O34" s="121">
        <v>2.7708757230245316</v>
      </c>
      <c r="P34" s="121">
        <v>8.2303757230245314</v>
      </c>
      <c r="Q34" s="121">
        <v>2.7708757230245316</v>
      </c>
      <c r="R34" s="121">
        <v>2.7708757230245316</v>
      </c>
      <c r="S34" s="121">
        <v>57.47196670744782</v>
      </c>
    </row>
    <row r="35" spans="1:19">
      <c r="A35" t="s">
        <v>262</v>
      </c>
      <c r="G35" s="121">
        <v>15.874578960055093</v>
      </c>
      <c r="H35" s="121">
        <v>19.042578960055096</v>
      </c>
      <c r="I35" s="121">
        <v>13.442578960055094</v>
      </c>
      <c r="J35" s="121">
        <v>14.374578960055093</v>
      </c>
      <c r="K35" s="121">
        <v>13.442578960055094</v>
      </c>
      <c r="L35" s="121">
        <v>14.942578960055094</v>
      </c>
      <c r="M35" s="121">
        <v>17.939778960055094</v>
      </c>
      <c r="N35" s="121">
        <v>15.337778960055093</v>
      </c>
      <c r="O35" s="121">
        <v>14.637778960055094</v>
      </c>
      <c r="P35" s="121">
        <v>15.069778960055093</v>
      </c>
      <c r="Q35" s="121">
        <v>12.637778960055094</v>
      </c>
      <c r="R35" s="121">
        <v>40.237778960055103</v>
      </c>
      <c r="S35" s="121">
        <v>206.98014752066115</v>
      </c>
    </row>
    <row r="36" spans="1:19">
      <c r="A36" t="s">
        <v>273</v>
      </c>
      <c r="G36" s="121">
        <v>1.5991331955922863</v>
      </c>
      <c r="H36" s="121">
        <v>1.1671331955922866</v>
      </c>
      <c r="I36" s="121">
        <v>1.1671331955922866</v>
      </c>
      <c r="J36" s="121">
        <v>1.1671331955922866</v>
      </c>
      <c r="K36" s="121">
        <v>1.1671331955922866</v>
      </c>
      <c r="L36" s="121">
        <v>1.1671331955922866</v>
      </c>
      <c r="M36" s="121">
        <v>1.1965998622589531</v>
      </c>
      <c r="N36" s="121">
        <v>1.626599862258953</v>
      </c>
      <c r="O36" s="121">
        <v>1.1965998622589531</v>
      </c>
      <c r="P36" s="121">
        <v>1.1965998622589531</v>
      </c>
      <c r="Q36" s="121">
        <v>1.1965998622589531</v>
      </c>
      <c r="R36" s="121">
        <v>13.196599862258955</v>
      </c>
      <c r="S36" s="121">
        <v>27.044398347107439</v>
      </c>
    </row>
    <row r="37" spans="1:19">
      <c r="A37" t="s">
        <v>51</v>
      </c>
      <c r="G37" s="121">
        <v>29.673260276391581</v>
      </c>
      <c r="H37" s="121">
        <v>29.578598619990633</v>
      </c>
      <c r="I37" s="121">
        <v>31.165822375455321</v>
      </c>
      <c r="J37" s="121">
        <v>28.08734701873988</v>
      </c>
      <c r="K37" s="121">
        <v>31.295641208560067</v>
      </c>
      <c r="L37" s="121">
        <v>29.558314733179298</v>
      </c>
      <c r="M37" s="121">
        <v>29.915345689339834</v>
      </c>
      <c r="N37" s="121">
        <v>29.688022960523877</v>
      </c>
      <c r="O37" s="121">
        <v>31.275666274594069</v>
      </c>
      <c r="P37" s="121">
        <v>28.197323250569468</v>
      </c>
      <c r="Q37" s="121">
        <v>31.405374840802519</v>
      </c>
      <c r="R37" s="121">
        <v>29.557644174516415</v>
      </c>
      <c r="S37" s="121">
        <v>359.39836142266313</v>
      </c>
    </row>
    <row r="38" spans="1:19">
      <c r="A38" t="s">
        <v>862</v>
      </c>
      <c r="G38" s="121">
        <v>4.5697006761975301</v>
      </c>
      <c r="H38" s="121">
        <v>4.5767923428641968</v>
      </c>
      <c r="I38" s="121">
        <v>4.9169283972859654</v>
      </c>
      <c r="J38" s="121">
        <v>4.5767923428641968</v>
      </c>
      <c r="K38" s="121">
        <v>4.5767923428641968</v>
      </c>
      <c r="L38" s="121">
        <v>4.9513400772453124</v>
      </c>
      <c r="M38" s="121">
        <v>4.6112040228235438</v>
      </c>
      <c r="N38" s="121">
        <v>4.6112040228235438</v>
      </c>
      <c r="O38" s="121">
        <v>4.9513400772453124</v>
      </c>
      <c r="P38" s="121">
        <v>4.6112040228235438</v>
      </c>
      <c r="Q38" s="121">
        <v>4.6112040228235438</v>
      </c>
      <c r="R38" s="121">
        <v>4.9513400772453124</v>
      </c>
      <c r="S38" s="121">
        <v>56.5158424251062</v>
      </c>
    </row>
    <row r="39" spans="1:19">
      <c r="A39" t="s">
        <v>364</v>
      </c>
      <c r="G39" s="121">
        <v>0</v>
      </c>
      <c r="H39" s="121">
        <v>0</v>
      </c>
      <c r="I39" s="121">
        <v>0</v>
      </c>
      <c r="J39" s="121">
        <v>0</v>
      </c>
      <c r="K39" s="121">
        <v>0</v>
      </c>
      <c r="L39" s="121">
        <v>0</v>
      </c>
      <c r="M39" s="121">
        <v>0</v>
      </c>
      <c r="N39" s="121">
        <v>0</v>
      </c>
      <c r="O39" s="121">
        <v>0</v>
      </c>
      <c r="P39" s="121">
        <v>0</v>
      </c>
      <c r="Q39" s="121">
        <v>0</v>
      </c>
      <c r="R39" s="121">
        <v>0</v>
      </c>
      <c r="S39" s="121">
        <v>0</v>
      </c>
    </row>
    <row r="40" spans="1:19">
      <c r="A40" t="s">
        <v>380</v>
      </c>
      <c r="G40" s="121"/>
      <c r="H40" s="121"/>
      <c r="I40" s="121"/>
      <c r="J40" s="121"/>
      <c r="K40" s="121"/>
      <c r="L40" s="121"/>
      <c r="M40" s="121"/>
      <c r="N40" s="121"/>
      <c r="O40" s="121"/>
      <c r="P40" s="121"/>
      <c r="Q40" s="121"/>
      <c r="R40" s="121"/>
      <c r="S40" s="121"/>
    </row>
    <row r="41" spans="1:19">
      <c r="A41" t="s">
        <v>529</v>
      </c>
      <c r="G41" s="121">
        <v>223.9276716827855</v>
      </c>
      <c r="H41" s="121">
        <v>221.60660169305126</v>
      </c>
      <c r="I41" s="121">
        <v>226.26729483627108</v>
      </c>
      <c r="J41" s="121">
        <v>214.46446913941952</v>
      </c>
      <c r="K41" s="121">
        <v>211.77126332923973</v>
      </c>
      <c r="L41" s="121">
        <v>220.78552246493109</v>
      </c>
      <c r="M41" s="121">
        <v>222.4772507000032</v>
      </c>
      <c r="N41" s="121">
        <v>215.16156931868966</v>
      </c>
      <c r="O41" s="121">
        <v>222.45122398936149</v>
      </c>
      <c r="P41" s="121">
        <v>217.09091157758181</v>
      </c>
      <c r="Q41" s="121">
        <v>212.40746316781488</v>
      </c>
      <c r="R41" s="121">
        <v>258.83320188928383</v>
      </c>
      <c r="S41" s="121">
        <v>2667.2444437884328</v>
      </c>
    </row>
  </sheetData>
  <sheetProtection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C6B3-0203-4B9F-833A-AF83D4065A9E}">
  <sheetPr>
    <tabColor rgb="FFC7D0EB"/>
  </sheetPr>
  <dimension ref="A1:U60"/>
  <sheetViews>
    <sheetView showGridLines="0" workbookViewId="0">
      <selection activeCell="B7" sqref="B7"/>
    </sheetView>
  </sheetViews>
  <sheetFormatPr defaultColWidth="8.88671875" defaultRowHeight="15.95"/>
  <cols>
    <col min="1" max="1" width="31.6640625" style="19" customWidth="1"/>
    <col min="2" max="2" width="5.77734375" style="20" customWidth="1"/>
    <col min="3" max="3" width="6.21875" style="20" bestFit="1" customWidth="1"/>
    <col min="4" max="13" width="5.77734375" style="20" customWidth="1"/>
    <col min="14" max="14" width="7" style="20" bestFit="1" customWidth="1"/>
    <col min="15" max="16384" width="8.88671875" style="20"/>
  </cols>
  <sheetData>
    <row r="1" spans="1:21">
      <c r="A1" s="34" t="s">
        <v>884</v>
      </c>
      <c r="B1" s="35">
        <v>46023</v>
      </c>
      <c r="C1" s="35">
        <f>EDATE(B1,1)</f>
        <v>46054</v>
      </c>
      <c r="D1" s="35">
        <f t="shared" ref="D1:M1" si="0">EDATE(C1,1)</f>
        <v>46082</v>
      </c>
      <c r="E1" s="35">
        <f t="shared" si="0"/>
        <v>46113</v>
      </c>
      <c r="F1" s="35">
        <f t="shared" si="0"/>
        <v>46143</v>
      </c>
      <c r="G1" s="35">
        <f t="shared" si="0"/>
        <v>46174</v>
      </c>
      <c r="H1" s="35">
        <f t="shared" si="0"/>
        <v>46204</v>
      </c>
      <c r="I1" s="35">
        <f t="shared" si="0"/>
        <v>46235</v>
      </c>
      <c r="J1" s="35">
        <f t="shared" si="0"/>
        <v>46266</v>
      </c>
      <c r="K1" s="35">
        <f t="shared" si="0"/>
        <v>46296</v>
      </c>
      <c r="L1" s="35">
        <f t="shared" si="0"/>
        <v>46327</v>
      </c>
      <c r="M1" s="35">
        <f t="shared" si="0"/>
        <v>46357</v>
      </c>
      <c r="N1" s="36" t="s">
        <v>71</v>
      </c>
    </row>
    <row r="2" spans="1:21">
      <c r="A2" s="21" t="s">
        <v>885</v>
      </c>
      <c r="B2" s="22">
        <v>5.88</v>
      </c>
      <c r="C2" s="22">
        <v>5.88</v>
      </c>
      <c r="D2" s="22">
        <v>5.88</v>
      </c>
      <c r="E2" s="22">
        <v>5.88</v>
      </c>
      <c r="F2" s="22">
        <v>5.88</v>
      </c>
      <c r="G2" s="22">
        <v>5.88</v>
      </c>
      <c r="H2" s="22">
        <v>5.88</v>
      </c>
      <c r="I2" s="22">
        <v>5.88</v>
      </c>
      <c r="J2" s="22">
        <v>5.88</v>
      </c>
      <c r="K2" s="22">
        <v>5.88</v>
      </c>
      <c r="L2" s="22">
        <v>5.88</v>
      </c>
      <c r="M2" s="22">
        <v>5.88</v>
      </c>
      <c r="N2" s="22">
        <v>5.88</v>
      </c>
    </row>
    <row r="3" spans="1:21">
      <c r="A3" s="21" t="s">
        <v>886</v>
      </c>
      <c r="B3" s="23">
        <f t="array" ref="B3:M3">TRANSPOSE(B23:B34)</f>
        <v>1.6000000000000001E-3</v>
      </c>
      <c r="C3" s="23">
        <v>1.3100000000000001E-2</v>
      </c>
      <c r="D3" s="23">
        <v>5.5999999999999999E-3</v>
      </c>
      <c r="E3" s="23">
        <v>4.3E-3</v>
      </c>
      <c r="F3" s="23">
        <v>2.5999999999999999E-3</v>
      </c>
      <c r="G3" s="23">
        <v>2.3999999999999998E-3</v>
      </c>
      <c r="H3" s="23">
        <v>3.7002732618616196E-3</v>
      </c>
      <c r="I3" s="23">
        <v>3.7002732618616196E-3</v>
      </c>
      <c r="J3" s="23">
        <v>3.7002732618616196E-3</v>
      </c>
      <c r="K3" s="23">
        <v>3.7002732618616196E-3</v>
      </c>
      <c r="L3" s="23">
        <v>3.7002732618616196E-3</v>
      </c>
      <c r="M3" s="23">
        <v>3.7002732618616196E-3</v>
      </c>
      <c r="N3" s="23">
        <f>(1+B3)*(1+C3)*(1+D3)*(1+E3)*(1+F3)*(1+G3)*(1+H3)*(1+I3)*(1+J3)*(1+K3)*(1+L3)*(1+M3)-1</f>
        <v>5.300000000000038E-2</v>
      </c>
    </row>
    <row r="4" spans="1:21">
      <c r="A4" s="21" t="s">
        <v>887</v>
      </c>
      <c r="B4" s="23">
        <f>B3</f>
        <v>1.6000000000000001E-3</v>
      </c>
      <c r="C4" s="23">
        <f>(1+B4)*(1+C3)-1</f>
        <v>1.4720960000000227E-2</v>
      </c>
      <c r="D4" s="23">
        <f t="shared" ref="D4" si="1">(1+C4)*(1+D3)-1</f>
        <v>2.0403397376000276E-2</v>
      </c>
      <c r="E4" s="23">
        <f t="shared" ref="E4" si="2">(1+D4)*(1+E3)-1</f>
        <v>2.4791131984716941E-2</v>
      </c>
      <c r="F4" s="23">
        <f t="shared" ref="F4" si="3">(1+E4)*(1+F3)-1</f>
        <v>2.7455588927877139E-2</v>
      </c>
      <c r="G4" s="23">
        <f t="shared" ref="G4" si="4">(1+F4)*(1+G3)-1</f>
        <v>2.9921482341304095E-2</v>
      </c>
      <c r="H4" s="23">
        <f t="shared" ref="H4" si="5">(1+G4)*(1+H3)-1</f>
        <v>3.3732473264228569E-2</v>
      </c>
      <c r="I4" s="23">
        <f t="shared" ref="I4" si="6">(1+H4)*(1+I3)-1</f>
        <v>3.7557565894966283E-2</v>
      </c>
      <c r="J4" s="23">
        <f t="shared" ref="J4" si="7">(1+I4)*(1+J3)-1</f>
        <v>4.1396812413689643E-2</v>
      </c>
      <c r="K4" s="23">
        <f t="shared" ref="K4" si="8">(1+J4)*(1+K3)-1</f>
        <v>4.525026519365194E-2</v>
      </c>
      <c r="L4" s="23">
        <f t="shared" ref="L4" si="9">(1+K4)*(1+L3)-1</f>
        <v>4.9117976801901886E-2</v>
      </c>
      <c r="M4" s="23">
        <f t="shared" ref="M4" si="10">(1+L4)*(1+M3)-1</f>
        <v>5.300000000000038E-2</v>
      </c>
      <c r="N4" s="23">
        <v>5.2999999999999999E-2</v>
      </c>
    </row>
    <row r="5" spans="1:21">
      <c r="A5" s="21" t="s">
        <v>888</v>
      </c>
      <c r="B5" s="23">
        <f t="array" ref="B5:M5">TRANSPOSE(B35:B46)</f>
        <v>3.1933138078821255E-3</v>
      </c>
      <c r="C5" s="23">
        <v>3.1933138078821255E-3</v>
      </c>
      <c r="D5" s="23">
        <v>3.1933138078821255E-3</v>
      </c>
      <c r="E5" s="23">
        <v>3.1933138078821255E-3</v>
      </c>
      <c r="F5" s="23">
        <v>3.1933138078821255E-3</v>
      </c>
      <c r="G5" s="23">
        <v>3.1933138078821255E-3</v>
      </c>
      <c r="H5" s="23">
        <v>3.1933138078821255E-3</v>
      </c>
      <c r="I5" s="23">
        <v>3.1933138078821255E-3</v>
      </c>
      <c r="J5" s="23">
        <v>3.1933138078821255E-3</v>
      </c>
      <c r="K5" s="23">
        <v>3.1933138078821255E-3</v>
      </c>
      <c r="L5" s="23">
        <v>3.1933138078821255E-3</v>
      </c>
      <c r="M5" s="23">
        <v>3.1933138078821255E-3</v>
      </c>
      <c r="N5" s="23">
        <f>(1+B5)*(1+C5)*(1+D5)*(1+E5)*(1+F5)*(1+G5)*(1+H5)*(1+I5)*(1+J5)*(1+K5)*(1+L5)*(1+M5)-1</f>
        <v>3.9000000000001034E-2</v>
      </c>
    </row>
    <row r="6" spans="1:21">
      <c r="A6" s="21" t="s">
        <v>889</v>
      </c>
      <c r="B6" s="23">
        <f>B5</f>
        <v>3.1933138078821255E-3</v>
      </c>
      <c r="C6" s="23">
        <f>(1+B6)*(1+C5)-1</f>
        <v>6.3968248688399676E-3</v>
      </c>
      <c r="D6" s="23">
        <f t="shared" ref="D6:M6" si="11">(1+C6)*(1+D5)-1</f>
        <v>9.6105657459024663E-3</v>
      </c>
      <c r="E6" s="23">
        <f t="shared" si="11"/>
        <v>1.2834569106082494E-2</v>
      </c>
      <c r="F6" s="23">
        <f t="shared" si="11"/>
        <v>1.6068867720709257E-2</v>
      </c>
      <c r="G6" s="23">
        <f t="shared" si="11"/>
        <v>1.9313494465760916E-2</v>
      </c>
      <c r="H6" s="23">
        <f t="shared" si="11"/>
        <v>2.2568482322198991E-2</v>
      </c>
      <c r="I6" s="23">
        <f t="shared" si="11"/>
        <v>2.5833864376303639E-2</v>
      </c>
      <c r="J6" s="23">
        <f t="shared" si="11"/>
        <v>2.9109673820009618E-2</v>
      </c>
      <c r="K6" s="23">
        <f t="shared" si="11"/>
        <v>3.2395943951244233E-2</v>
      </c>
      <c r="L6" s="23">
        <f t="shared" si="11"/>
        <v>3.5692708174265286E-2</v>
      </c>
      <c r="M6" s="23">
        <f t="shared" si="11"/>
        <v>3.9000000000001034E-2</v>
      </c>
      <c r="N6" s="23">
        <v>3.9E-2</v>
      </c>
    </row>
    <row r="7" spans="1:21">
      <c r="A7" s="21" t="s">
        <v>890</v>
      </c>
      <c r="B7" s="24">
        <f t="array" ref="B7:M7">TRANSPOSE(D35:D46)</f>
        <v>5.4675079312799246E-2</v>
      </c>
      <c r="C7" s="24">
        <v>4.4361847602801374E-2</v>
      </c>
      <c r="D7" s="24">
        <v>4.1862393308647938E-2</v>
      </c>
      <c r="E7" s="24">
        <v>4.0714315319240857E-2</v>
      </c>
      <c r="F7" s="24">
        <v>4.1330184233403733E-2</v>
      </c>
      <c r="G7" s="24">
        <v>4.2154307950200254E-2</v>
      </c>
      <c r="H7" s="24">
        <v>4.1627925729336823E-2</v>
      </c>
      <c r="I7" s="24">
        <v>4.1101809379122889E-2</v>
      </c>
      <c r="J7" s="24">
        <v>4.0575958765269204E-2</v>
      </c>
      <c r="K7" s="24">
        <v>4.0050373753554913E-2</v>
      </c>
      <c r="L7" s="24">
        <v>3.9525054209826882E-2</v>
      </c>
      <c r="M7" s="24">
        <v>3.9000000000001034E-2</v>
      </c>
      <c r="N7" s="24">
        <f>M7</f>
        <v>3.9000000000001034E-2</v>
      </c>
    </row>
    <row r="10" spans="1:21" hidden="1">
      <c r="B10" s="26" t="s">
        <v>78</v>
      </c>
      <c r="C10" s="20" t="s">
        <v>891</v>
      </c>
      <c r="D10" s="26" t="s">
        <v>892</v>
      </c>
      <c r="E10" s="26"/>
      <c r="F10" s="26"/>
      <c r="G10" s="26"/>
      <c r="H10" s="26"/>
      <c r="I10" s="26"/>
      <c r="J10" s="26"/>
      <c r="K10" s="26"/>
      <c r="L10" s="26"/>
      <c r="M10" s="26"/>
      <c r="N10" s="26"/>
      <c r="O10" s="26"/>
      <c r="P10" s="26"/>
      <c r="Q10" s="26"/>
      <c r="R10" s="26"/>
      <c r="S10" s="26"/>
      <c r="T10" s="26"/>
      <c r="U10" s="26"/>
    </row>
    <row r="11" spans="1:21" hidden="1">
      <c r="A11" s="28">
        <v>45292</v>
      </c>
      <c r="B11" s="27">
        <v>4.1999999999999997E-3</v>
      </c>
      <c r="C11" s="30">
        <f>1+B11</f>
        <v>1.0042</v>
      </c>
      <c r="D11" s="27"/>
      <c r="E11" s="27"/>
      <c r="F11" s="27"/>
      <c r="G11" s="27"/>
    </row>
    <row r="12" spans="1:21" hidden="1">
      <c r="A12" s="28">
        <f>EDATE(A11,1)</f>
        <v>45323</v>
      </c>
      <c r="B12" s="30">
        <v>8.3000000000000001E-3</v>
      </c>
      <c r="C12" s="30">
        <f t="shared" ref="C12:C46" si="12">1+B12</f>
        <v>1.0083</v>
      </c>
    </row>
    <row r="13" spans="1:21" hidden="1">
      <c r="A13" s="28">
        <f t="shared" ref="A13:A46" si="13">EDATE(A12,1)</f>
        <v>45352</v>
      </c>
      <c r="B13" s="30">
        <v>1.6000000000000001E-3</v>
      </c>
      <c r="C13" s="30">
        <f t="shared" si="12"/>
        <v>1.0016</v>
      </c>
    </row>
    <row r="14" spans="1:21" hidden="1">
      <c r="A14" s="28">
        <f t="shared" si="13"/>
        <v>45383</v>
      </c>
      <c r="B14" s="30">
        <v>3.8E-3</v>
      </c>
      <c r="C14" s="30">
        <f t="shared" si="12"/>
        <v>1.0038</v>
      </c>
    </row>
    <row r="15" spans="1:21" hidden="1">
      <c r="A15" s="28">
        <f t="shared" si="13"/>
        <v>45413</v>
      </c>
      <c r="B15" s="30">
        <v>4.5999999999999999E-3</v>
      </c>
      <c r="C15" s="30">
        <f t="shared" si="12"/>
        <v>1.0045999999999999</v>
      </c>
    </row>
    <row r="16" spans="1:21" hidden="1">
      <c r="A16" s="28">
        <f t="shared" si="13"/>
        <v>45444</v>
      </c>
      <c r="B16" s="30">
        <v>2.0999999999999999E-3</v>
      </c>
      <c r="C16" s="30">
        <f t="shared" si="12"/>
        <v>1.0021</v>
      </c>
    </row>
    <row r="17" spans="1:4" hidden="1">
      <c r="A17" s="28">
        <f t="shared" si="13"/>
        <v>45474</v>
      </c>
      <c r="B17" s="30">
        <v>3.8E-3</v>
      </c>
      <c r="C17" s="30">
        <f t="shared" si="12"/>
        <v>1.0038</v>
      </c>
    </row>
    <row r="18" spans="1:4" hidden="1">
      <c r="A18" s="28">
        <f t="shared" si="13"/>
        <v>45505</v>
      </c>
      <c r="B18" s="30">
        <v>-2.0000000000000001E-4</v>
      </c>
      <c r="C18" s="30">
        <f t="shared" si="12"/>
        <v>0.99980000000000002</v>
      </c>
    </row>
    <row r="19" spans="1:4" hidden="1">
      <c r="A19" s="28">
        <f t="shared" si="13"/>
        <v>45536</v>
      </c>
      <c r="B19" s="30">
        <v>4.4000000000000003E-3</v>
      </c>
      <c r="C19" s="30">
        <f t="shared" si="12"/>
        <v>1.0044</v>
      </c>
    </row>
    <row r="20" spans="1:4" hidden="1">
      <c r="A20" s="28">
        <f t="shared" si="13"/>
        <v>45566</v>
      </c>
      <c r="B20" s="30">
        <v>5.5999999999999999E-3</v>
      </c>
      <c r="C20" s="30">
        <f t="shared" si="12"/>
        <v>1.0056</v>
      </c>
    </row>
    <row r="21" spans="1:4" hidden="1">
      <c r="A21" s="28">
        <f t="shared" si="13"/>
        <v>45597</v>
      </c>
      <c r="B21" s="30">
        <v>3.8999999999999998E-3</v>
      </c>
      <c r="C21" s="30">
        <f t="shared" si="12"/>
        <v>1.0039</v>
      </c>
    </row>
    <row r="22" spans="1:4" hidden="1">
      <c r="A22" s="28">
        <f t="shared" si="13"/>
        <v>45627</v>
      </c>
      <c r="B22" s="30">
        <v>5.1999999999999998E-3</v>
      </c>
      <c r="C22" s="30">
        <f t="shared" si="12"/>
        <v>1.0052000000000001</v>
      </c>
      <c r="D22" s="29">
        <f>PRODUCT(C11:C22)-1</f>
        <v>4.8312957918595911E-2</v>
      </c>
    </row>
    <row r="23" spans="1:4" hidden="1">
      <c r="A23" s="28">
        <f t="shared" si="13"/>
        <v>45658</v>
      </c>
      <c r="B23" s="30">
        <v>1.6000000000000001E-3</v>
      </c>
      <c r="C23" s="30">
        <f t="shared" si="12"/>
        <v>1.0016</v>
      </c>
      <c r="D23" s="29">
        <f t="shared" ref="D23:D46" si="14">PRODUCT(C12:C23)-1</f>
        <v>4.5598743926773322E-2</v>
      </c>
    </row>
    <row r="24" spans="1:4" hidden="1">
      <c r="A24" s="28">
        <f t="shared" si="13"/>
        <v>45689</v>
      </c>
      <c r="B24" s="30">
        <v>1.3100000000000001E-2</v>
      </c>
      <c r="C24" s="30">
        <f t="shared" si="12"/>
        <v>1.0131000000000001</v>
      </c>
      <c r="D24" s="29">
        <f t="shared" si="14"/>
        <v>5.0576304147787576E-2</v>
      </c>
    </row>
    <row r="25" spans="1:4" hidden="1">
      <c r="A25" s="28">
        <f t="shared" si="13"/>
        <v>45717</v>
      </c>
      <c r="B25" s="30">
        <v>5.5999999999999999E-3</v>
      </c>
      <c r="C25" s="30">
        <f t="shared" si="12"/>
        <v>1.0056</v>
      </c>
      <c r="D25" s="29">
        <f t="shared" si="14"/>
        <v>5.4771896416748511E-2</v>
      </c>
    </row>
    <row r="26" spans="1:4" hidden="1">
      <c r="A26" s="28">
        <f t="shared" si="13"/>
        <v>45748</v>
      </c>
      <c r="B26" s="30">
        <v>4.3E-3</v>
      </c>
      <c r="C26" s="30">
        <f t="shared" si="12"/>
        <v>1.0043</v>
      </c>
      <c r="D26" s="29">
        <f t="shared" si="14"/>
        <v>5.5297285884977398E-2</v>
      </c>
    </row>
    <row r="27" spans="1:4" hidden="1">
      <c r="A27" s="28">
        <f t="shared" si="13"/>
        <v>45778</v>
      </c>
      <c r="B27" s="30">
        <v>2.5999999999999999E-3</v>
      </c>
      <c r="C27" s="30">
        <f t="shared" si="12"/>
        <v>1.0025999999999999</v>
      </c>
      <c r="D27" s="29">
        <f t="shared" si="14"/>
        <v>5.3196355592552758E-2</v>
      </c>
    </row>
    <row r="28" spans="1:4" hidden="1">
      <c r="A28" s="28">
        <f t="shared" si="13"/>
        <v>45809</v>
      </c>
      <c r="B28" s="30">
        <v>2.3999999999999998E-3</v>
      </c>
      <c r="C28" s="30">
        <f t="shared" si="12"/>
        <v>1.0024</v>
      </c>
      <c r="D28" s="29">
        <f t="shared" si="14"/>
        <v>5.3511652375985097E-2</v>
      </c>
    </row>
    <row r="29" spans="1:4" hidden="1">
      <c r="A29" s="28">
        <f t="shared" si="13"/>
        <v>45839</v>
      </c>
      <c r="B29" s="30">
        <f>((1+$N$4)/PRODUCT($C$23:$C$28))^(1/6)-1</f>
        <v>3.7002732618616196E-3</v>
      </c>
      <c r="C29" s="30">
        <f t="shared" si="12"/>
        <v>1.0037002732618616</v>
      </c>
      <c r="D29" s="29">
        <f t="shared" si="14"/>
        <v>5.3406986824398928E-2</v>
      </c>
    </row>
    <row r="30" spans="1:4" hidden="1">
      <c r="A30" s="28">
        <f t="shared" si="13"/>
        <v>45870</v>
      </c>
      <c r="B30" s="27">
        <f t="shared" ref="B30:B34" si="15">B29</f>
        <v>3.7002732618616196E-3</v>
      </c>
      <c r="C30" s="30">
        <f t="shared" si="12"/>
        <v>1.0037002732618616</v>
      </c>
      <c r="D30" s="29">
        <f t="shared" si="14"/>
        <v>5.7516383808365212E-2</v>
      </c>
    </row>
    <row r="31" spans="1:4" hidden="1">
      <c r="A31" s="28">
        <f t="shared" si="13"/>
        <v>45901</v>
      </c>
      <c r="B31" s="27">
        <f t="shared" si="15"/>
        <v>3.7002732618616196E-3</v>
      </c>
      <c r="C31" s="30">
        <f t="shared" si="12"/>
        <v>1.0037002732618616</v>
      </c>
      <c r="D31" s="29">
        <f t="shared" si="14"/>
        <v>5.6779652934440206E-2</v>
      </c>
    </row>
    <row r="32" spans="1:4" hidden="1">
      <c r="A32" s="28">
        <f t="shared" si="13"/>
        <v>45931</v>
      </c>
      <c r="B32" s="27">
        <f t="shared" si="15"/>
        <v>3.7002732618616196E-3</v>
      </c>
      <c r="C32" s="30">
        <f t="shared" si="12"/>
        <v>1.0037002732618616</v>
      </c>
      <c r="D32" s="29">
        <f t="shared" si="14"/>
        <v>5.4783240282292311E-2</v>
      </c>
    </row>
    <row r="33" spans="1:4" hidden="1">
      <c r="A33" s="28">
        <f t="shared" si="13"/>
        <v>45962</v>
      </c>
      <c r="B33" s="27">
        <f t="shared" si="15"/>
        <v>3.7002732618616196E-3</v>
      </c>
      <c r="C33" s="30">
        <f t="shared" si="12"/>
        <v>1.0037002732618616</v>
      </c>
      <c r="D33" s="29">
        <f t="shared" si="14"/>
        <v>5.4573390281271283E-2</v>
      </c>
    </row>
    <row r="34" spans="1:4" hidden="1">
      <c r="A34" s="28">
        <f t="shared" si="13"/>
        <v>45992</v>
      </c>
      <c r="B34" s="27">
        <f t="shared" si="15"/>
        <v>3.7002732618616196E-3</v>
      </c>
      <c r="C34" s="30">
        <f t="shared" si="12"/>
        <v>1.0037002732618616</v>
      </c>
      <c r="D34" s="29">
        <f t="shared" si="14"/>
        <v>5.300000000000038E-2</v>
      </c>
    </row>
    <row r="35" spans="1:4" hidden="1">
      <c r="A35" s="28">
        <f t="shared" si="13"/>
        <v>46023</v>
      </c>
      <c r="B35" s="30">
        <f>(1+$N$6)^(1/12)-1</f>
        <v>3.1933138078821255E-3</v>
      </c>
      <c r="C35" s="30">
        <f t="shared" si="12"/>
        <v>1.0031933138078821</v>
      </c>
      <c r="D35" s="29">
        <f t="shared" si="14"/>
        <v>5.4675079312799246E-2</v>
      </c>
    </row>
    <row r="36" spans="1:4" hidden="1">
      <c r="A36" s="28">
        <f t="shared" si="13"/>
        <v>46054</v>
      </c>
      <c r="B36" s="30">
        <f t="shared" ref="B36:B46" si="16">(1+$N$6)^(1/12)-1</f>
        <v>3.1933138078821255E-3</v>
      </c>
      <c r="C36" s="30">
        <f t="shared" si="12"/>
        <v>1.0031933138078821</v>
      </c>
      <c r="D36" s="29">
        <f t="shared" si="14"/>
        <v>4.4361847602801374E-2</v>
      </c>
    </row>
    <row r="37" spans="1:4" hidden="1">
      <c r="A37" s="28">
        <f t="shared" si="13"/>
        <v>46082</v>
      </c>
      <c r="B37" s="30">
        <f t="shared" si="16"/>
        <v>3.1933138078821255E-3</v>
      </c>
      <c r="C37" s="30">
        <f t="shared" si="12"/>
        <v>1.0031933138078821</v>
      </c>
      <c r="D37" s="29">
        <f t="shared" si="14"/>
        <v>4.1862393308647938E-2</v>
      </c>
    </row>
    <row r="38" spans="1:4" hidden="1">
      <c r="A38" s="28">
        <f t="shared" si="13"/>
        <v>46113</v>
      </c>
      <c r="B38" s="30">
        <f t="shared" si="16"/>
        <v>3.1933138078821255E-3</v>
      </c>
      <c r="C38" s="30">
        <f t="shared" si="12"/>
        <v>1.0031933138078821</v>
      </c>
      <c r="D38" s="29">
        <f t="shared" si="14"/>
        <v>4.0714315319240857E-2</v>
      </c>
    </row>
    <row r="39" spans="1:4" hidden="1">
      <c r="A39" s="28">
        <f t="shared" si="13"/>
        <v>46143</v>
      </c>
      <c r="B39" s="30">
        <f t="shared" si="16"/>
        <v>3.1933138078821255E-3</v>
      </c>
      <c r="C39" s="30">
        <f t="shared" si="12"/>
        <v>1.0031933138078821</v>
      </c>
      <c r="D39" s="29">
        <f t="shared" si="14"/>
        <v>4.1330184233403733E-2</v>
      </c>
    </row>
    <row r="40" spans="1:4" hidden="1">
      <c r="A40" s="28">
        <f t="shared" si="13"/>
        <v>46174</v>
      </c>
      <c r="B40" s="30">
        <f t="shared" si="16"/>
        <v>3.1933138078821255E-3</v>
      </c>
      <c r="C40" s="30">
        <f t="shared" si="12"/>
        <v>1.0031933138078821</v>
      </c>
      <c r="D40" s="29">
        <f t="shared" si="14"/>
        <v>4.2154307950200254E-2</v>
      </c>
    </row>
    <row r="41" spans="1:4" hidden="1">
      <c r="A41" s="28">
        <f t="shared" si="13"/>
        <v>46204</v>
      </c>
      <c r="B41" s="30">
        <f t="shared" si="16"/>
        <v>3.1933138078821255E-3</v>
      </c>
      <c r="C41" s="30">
        <f t="shared" si="12"/>
        <v>1.0031933138078821</v>
      </c>
      <c r="D41" s="29">
        <f t="shared" si="14"/>
        <v>4.1627925729336823E-2</v>
      </c>
    </row>
    <row r="42" spans="1:4" hidden="1">
      <c r="A42" s="28">
        <f t="shared" si="13"/>
        <v>46235</v>
      </c>
      <c r="B42" s="30">
        <f t="shared" si="16"/>
        <v>3.1933138078821255E-3</v>
      </c>
      <c r="C42" s="30">
        <f t="shared" si="12"/>
        <v>1.0031933138078821</v>
      </c>
      <c r="D42" s="29">
        <f t="shared" si="14"/>
        <v>4.1101809379122889E-2</v>
      </c>
    </row>
    <row r="43" spans="1:4" hidden="1">
      <c r="A43" s="28">
        <f t="shared" si="13"/>
        <v>46266</v>
      </c>
      <c r="B43" s="30">
        <f t="shared" si="16"/>
        <v>3.1933138078821255E-3</v>
      </c>
      <c r="C43" s="30">
        <f t="shared" si="12"/>
        <v>1.0031933138078821</v>
      </c>
      <c r="D43" s="29">
        <f t="shared" si="14"/>
        <v>4.0575958765269204E-2</v>
      </c>
    </row>
    <row r="44" spans="1:4" hidden="1">
      <c r="A44" s="28">
        <f t="shared" si="13"/>
        <v>46296</v>
      </c>
      <c r="B44" s="30">
        <f t="shared" si="16"/>
        <v>3.1933138078821255E-3</v>
      </c>
      <c r="C44" s="30">
        <f t="shared" si="12"/>
        <v>1.0031933138078821</v>
      </c>
      <c r="D44" s="29">
        <f t="shared" si="14"/>
        <v>4.0050373753554913E-2</v>
      </c>
    </row>
    <row r="45" spans="1:4" hidden="1">
      <c r="A45" s="28">
        <f t="shared" si="13"/>
        <v>46327</v>
      </c>
      <c r="B45" s="30">
        <f t="shared" si="16"/>
        <v>3.1933138078821255E-3</v>
      </c>
      <c r="C45" s="30">
        <f t="shared" si="12"/>
        <v>1.0031933138078821</v>
      </c>
      <c r="D45" s="29">
        <f t="shared" si="14"/>
        <v>3.9525054209826882E-2</v>
      </c>
    </row>
    <row r="46" spans="1:4" hidden="1">
      <c r="A46" s="28">
        <f t="shared" si="13"/>
        <v>46357</v>
      </c>
      <c r="B46" s="30">
        <f t="shared" si="16"/>
        <v>3.1933138078821255E-3</v>
      </c>
      <c r="C46" s="30">
        <f t="shared" si="12"/>
        <v>1.0031933138078821</v>
      </c>
      <c r="D46" s="29">
        <f t="shared" si="14"/>
        <v>3.9000000000001034E-2</v>
      </c>
    </row>
    <row r="47" spans="1:4" hidden="1">
      <c r="A47" s="28"/>
    </row>
    <row r="48" spans="1:4">
      <c r="A48" s="28"/>
    </row>
    <row r="49" spans="1:1">
      <c r="A49" s="28"/>
    </row>
    <row r="50" spans="1:1">
      <c r="A50" s="28"/>
    </row>
    <row r="51" spans="1:1">
      <c r="A51" s="28"/>
    </row>
    <row r="52" spans="1:1">
      <c r="A52" s="28"/>
    </row>
    <row r="53" spans="1:1">
      <c r="A53" s="28"/>
    </row>
    <row r="54" spans="1:1">
      <c r="A54" s="28"/>
    </row>
    <row r="55" spans="1:1">
      <c r="A55" s="28"/>
    </row>
    <row r="56" spans="1:1">
      <c r="A56" s="28"/>
    </row>
    <row r="57" spans="1:1">
      <c r="A57" s="28"/>
    </row>
    <row r="58" spans="1:1">
      <c r="A58" s="28"/>
    </row>
    <row r="59" spans="1:1">
      <c r="A59" s="28"/>
    </row>
    <row r="60" spans="1:1">
      <c r="A60" s="28"/>
    </row>
  </sheetData>
  <sheetProtection algorithmName="SHA-512" hashValue="55t2wWeNd0rqNVOpHWTMDVny05qQr+sPBLElFKs9XlX96eCGXc+hbvqo4BCBPvvlZ1/Hoew6zzmBKyLJU97Pjg==" saltValue="cEZUijN87vDTmJequJfKeg==" spinCount="100000" sheet="1" objects="1" scenarios="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82EB-14B0-47E7-8BA4-A250F74B41E1}">
  <dimension ref="A1:Q509"/>
  <sheetViews>
    <sheetView topLeftCell="M4" zoomScale="90" zoomScaleNormal="90" workbookViewId="0">
      <selection activeCell="M4" sqref="M4"/>
    </sheetView>
  </sheetViews>
  <sheetFormatPr defaultColWidth="8.88671875" defaultRowHeight="17.45"/>
  <cols>
    <col min="1" max="1" width="10.77734375" customWidth="1"/>
    <col min="2" max="2" width="11.44140625" bestFit="1" customWidth="1"/>
    <col min="3" max="3" width="11.77734375" bestFit="1" customWidth="1"/>
    <col min="8" max="8" width="11.21875" bestFit="1" customWidth="1"/>
    <col min="9" max="9" width="13.77734375" bestFit="1" customWidth="1"/>
    <col min="10" max="10" width="11.77734375" bestFit="1" customWidth="1"/>
    <col min="13" max="14" width="9.77734375" bestFit="1" customWidth="1"/>
  </cols>
  <sheetData>
    <row r="1" spans="1:17">
      <c r="A1" s="59" t="s">
        <v>893</v>
      </c>
      <c r="B1" s="59"/>
      <c r="C1" s="59"/>
      <c r="D1" s="60">
        <f>SUM(D2:D29)</f>
        <v>1</v>
      </c>
      <c r="E1" s="88">
        <f>SUM(E2:E29)</f>
        <v>1</v>
      </c>
      <c r="L1" s="73">
        <f>+K2+K5+K6+K7+K9+K10+K12+K13+K14+K15+K17+K19+K21+K22+K25+K27</f>
        <v>12</v>
      </c>
      <c r="M1" s="85" t="s">
        <v>894</v>
      </c>
      <c r="N1" s="81" t="s">
        <v>895</v>
      </c>
      <c r="O1" t="s">
        <v>896</v>
      </c>
    </row>
    <row r="2" spans="1:17">
      <c r="A2" t="s">
        <v>897</v>
      </c>
      <c r="B2" t="s">
        <v>36</v>
      </c>
      <c r="C2" t="s">
        <v>111</v>
      </c>
      <c r="D2" s="54">
        <v>0</v>
      </c>
      <c r="E2" s="89"/>
      <c r="H2" s="63" t="s">
        <v>897</v>
      </c>
      <c r="I2" s="63" t="s">
        <v>36</v>
      </c>
      <c r="J2" s="63" t="s">
        <v>111</v>
      </c>
      <c r="K2" s="68">
        <v>1</v>
      </c>
      <c r="L2" s="73"/>
      <c r="M2" s="63">
        <v>0</v>
      </c>
      <c r="N2" s="79"/>
      <c r="P2" s="42"/>
    </row>
    <row r="3" spans="1:17">
      <c r="A3" s="52" t="s">
        <v>37</v>
      </c>
      <c r="B3" s="52" t="s">
        <v>33</v>
      </c>
      <c r="C3" s="52" t="s">
        <v>38</v>
      </c>
      <c r="D3" s="78">
        <v>0.15</v>
      </c>
      <c r="E3" s="90">
        <v>0</v>
      </c>
      <c r="H3" s="69" t="s">
        <v>37</v>
      </c>
      <c r="I3" s="69" t="s">
        <v>33</v>
      </c>
      <c r="J3" s="69" t="s">
        <v>38</v>
      </c>
      <c r="K3" s="70">
        <f>SUM(K2)</f>
        <v>1</v>
      </c>
      <c r="L3" s="73">
        <f>+K2</f>
        <v>1</v>
      </c>
      <c r="M3" s="86">
        <f>M2</f>
        <v>0</v>
      </c>
      <c r="N3" s="80">
        <f>N2</f>
        <v>0</v>
      </c>
    </row>
    <row r="4" spans="1:17">
      <c r="A4" s="52" t="s">
        <v>32</v>
      </c>
      <c r="B4" s="52" t="s">
        <v>33</v>
      </c>
      <c r="C4" s="52" t="s">
        <v>35</v>
      </c>
      <c r="D4" s="78">
        <v>0.85</v>
      </c>
      <c r="E4" s="90">
        <v>1</v>
      </c>
      <c r="H4" s="69" t="s">
        <v>32</v>
      </c>
      <c r="I4" s="69" t="s">
        <v>33</v>
      </c>
      <c r="J4" s="69" t="s">
        <v>35</v>
      </c>
      <c r="K4" s="70">
        <f>SUM(K5:K7,K9:K10,K12:K15,K17:K19)</f>
        <v>9</v>
      </c>
      <c r="L4" s="73">
        <f>+K5+K6+K7+K9+K10+K12+K13+K14+K15+K17+K19</f>
        <v>9</v>
      </c>
      <c r="M4" s="86" t="e">
        <f>SUM(M5:M7,M9:M10,M12:M15,M17:M19)</f>
        <v>#VALUE!</v>
      </c>
      <c r="N4" s="80">
        <f>SUM(N5:N7,N9:N10,N12:N15,N17:N19)</f>
        <v>183690.48408516037</v>
      </c>
    </row>
    <row r="5" spans="1:17">
      <c r="A5" s="56" t="s">
        <v>8</v>
      </c>
      <c r="B5" s="56" t="s">
        <v>9</v>
      </c>
      <c r="C5" s="56" t="s">
        <v>12</v>
      </c>
      <c r="D5" s="77">
        <v>0</v>
      </c>
      <c r="E5" s="91"/>
      <c r="H5" s="67" t="s">
        <v>8</v>
      </c>
      <c r="I5" s="67" t="s">
        <v>9</v>
      </c>
      <c r="J5" s="67" t="s">
        <v>12</v>
      </c>
      <c r="K5" s="68">
        <v>1</v>
      </c>
      <c r="L5" s="73"/>
      <c r="M5" s="87" t="e">
        <f>[1]RESUMO_Final!$H$36-M7</f>
        <v>#VALUE!</v>
      </c>
      <c r="N5" s="84">
        <v>12433.636270178942</v>
      </c>
    </row>
    <row r="6" spans="1:17">
      <c r="A6" s="56" t="s">
        <v>8</v>
      </c>
      <c r="B6" s="56" t="s">
        <v>14</v>
      </c>
      <c r="C6" s="56" t="s">
        <v>15</v>
      </c>
      <c r="D6" s="77">
        <v>0</v>
      </c>
      <c r="E6" s="91"/>
      <c r="H6" s="67" t="s">
        <v>8</v>
      </c>
      <c r="I6" s="67" t="s">
        <v>14</v>
      </c>
      <c r="J6" s="67" t="s">
        <v>15</v>
      </c>
      <c r="K6" s="68">
        <v>1</v>
      </c>
      <c r="L6" s="73"/>
      <c r="M6" s="87">
        <f>[1]RESUMO_Final!$H$16</f>
        <v>53605.880052893401</v>
      </c>
      <c r="N6" s="84">
        <v>53605.880052893393</v>
      </c>
    </row>
    <row r="7" spans="1:17">
      <c r="A7" s="56" t="s">
        <v>8</v>
      </c>
      <c r="B7" s="56" t="s">
        <v>16</v>
      </c>
      <c r="C7" s="56" t="s">
        <v>17</v>
      </c>
      <c r="D7" s="77">
        <v>0</v>
      </c>
      <c r="E7" s="91"/>
      <c r="H7" s="67" t="s">
        <v>8</v>
      </c>
      <c r="I7" s="67" t="s">
        <v>16</v>
      </c>
      <c r="J7" s="67" t="s">
        <v>17</v>
      </c>
      <c r="K7" s="68">
        <v>1</v>
      </c>
      <c r="L7" s="73"/>
      <c r="M7" s="87" t="e">
        <f>SUMIFS([1]Base!$CD:$CD,[1]Base!$B:$B,P7,[1]Base!$D:$D,O7,[1]Base!$E:$E,Q7)</f>
        <v>#VALUE!</v>
      </c>
      <c r="N7" s="84">
        <v>13971.967904215528</v>
      </c>
      <c r="O7" t="s">
        <v>898</v>
      </c>
      <c r="P7" t="s">
        <v>899</v>
      </c>
      <c r="Q7" t="s">
        <v>900</v>
      </c>
    </row>
    <row r="8" spans="1:17">
      <c r="A8" s="56" t="s">
        <v>8</v>
      </c>
      <c r="B8" s="56" t="s">
        <v>18</v>
      </c>
      <c r="C8" s="56" t="s">
        <v>19</v>
      </c>
      <c r="D8" s="77">
        <v>0</v>
      </c>
      <c r="E8" s="91"/>
      <c r="H8" s="71" t="s">
        <v>8</v>
      </c>
      <c r="I8" s="71" t="s">
        <v>18</v>
      </c>
      <c r="J8" s="71" t="s">
        <v>19</v>
      </c>
      <c r="K8" s="72">
        <f>+K6+K7</f>
        <v>2</v>
      </c>
      <c r="L8" s="73"/>
      <c r="M8" s="86" t="e">
        <f>SUM(M6:M7)</f>
        <v>#VALUE!</v>
      </c>
      <c r="N8" s="80">
        <f>SUM(N6:N7)</f>
        <v>67577.847957108926</v>
      </c>
    </row>
    <row r="9" spans="1:17">
      <c r="A9" s="56" t="s">
        <v>20</v>
      </c>
      <c r="B9" s="56" t="s">
        <v>14</v>
      </c>
      <c r="C9" s="56" t="s">
        <v>21</v>
      </c>
      <c r="D9" s="77">
        <v>0</v>
      </c>
      <c r="E9" s="91"/>
      <c r="H9" s="67" t="s">
        <v>20</v>
      </c>
      <c r="I9" s="67" t="s">
        <v>14</v>
      </c>
      <c r="J9" s="67" t="s">
        <v>21</v>
      </c>
      <c r="K9" s="68">
        <v>1</v>
      </c>
      <c r="L9" s="73"/>
      <c r="M9" s="87" t="e">
        <f>[1]RESUMO_Final!$H$22-M10</f>
        <v>#VALUE!</v>
      </c>
      <c r="N9" s="84">
        <v>9837.7501015837843</v>
      </c>
    </row>
    <row r="10" spans="1:17">
      <c r="A10" s="56" t="s">
        <v>20</v>
      </c>
      <c r="B10" s="56" t="s">
        <v>16</v>
      </c>
      <c r="C10" s="56" t="s">
        <v>22</v>
      </c>
      <c r="D10" s="77">
        <v>0</v>
      </c>
      <c r="E10" s="91"/>
      <c r="H10" s="67" t="s">
        <v>20</v>
      </c>
      <c r="I10" s="67" t="s">
        <v>16</v>
      </c>
      <c r="J10" s="67" t="s">
        <v>22</v>
      </c>
      <c r="K10" s="68">
        <v>1</v>
      </c>
      <c r="L10" s="73"/>
      <c r="M10" s="87" t="e">
        <f>SUMIFS([1]Base!$CD:$CD,[1]Base!$B:$B,P10,[1]Base!$D:$D,O10,[1]Base!$E:$E,Q10)</f>
        <v>#VALUE!</v>
      </c>
      <c r="N10" s="84">
        <v>895.74343098269833</v>
      </c>
      <c r="O10" t="s">
        <v>898</v>
      </c>
      <c r="P10" t="s">
        <v>901</v>
      </c>
      <c r="Q10" t="s">
        <v>900</v>
      </c>
    </row>
    <row r="11" spans="1:17">
      <c r="A11" s="56" t="s">
        <v>20</v>
      </c>
      <c r="B11" s="56" t="s">
        <v>18</v>
      </c>
      <c r="C11" s="56" t="s">
        <v>23</v>
      </c>
      <c r="D11" s="77">
        <v>0</v>
      </c>
      <c r="E11" s="91"/>
      <c r="H11" s="71" t="s">
        <v>20</v>
      </c>
      <c r="I11" s="71" t="s">
        <v>18</v>
      </c>
      <c r="J11" s="71" t="s">
        <v>23</v>
      </c>
      <c r="K11" s="72">
        <f>+K9+K10</f>
        <v>2</v>
      </c>
      <c r="L11" s="73"/>
      <c r="M11" s="86" t="e">
        <f>SUM(M9:M10)</f>
        <v>#VALUE!</v>
      </c>
      <c r="N11" s="80">
        <f>SUM(N9:N10)</f>
        <v>10733.493532566483</v>
      </c>
    </row>
    <row r="12" spans="1:17">
      <c r="A12" s="56" t="s">
        <v>24</v>
      </c>
      <c r="B12" s="56" t="s">
        <v>9</v>
      </c>
      <c r="C12" s="56" t="s">
        <v>25</v>
      </c>
      <c r="D12" s="77">
        <v>0</v>
      </c>
      <c r="E12" s="91"/>
      <c r="H12" s="67" t="s">
        <v>24</v>
      </c>
      <c r="I12" s="67" t="s">
        <v>9</v>
      </c>
      <c r="J12" s="67" t="s">
        <v>25</v>
      </c>
      <c r="K12" s="68">
        <v>1</v>
      </c>
      <c r="L12" s="73"/>
      <c r="M12" s="87">
        <f>[1]RESUMO_Final!$H$41</f>
        <v>15884.50356300318</v>
      </c>
      <c r="N12" s="84">
        <v>15884.503563003182</v>
      </c>
    </row>
    <row r="13" spans="1:17">
      <c r="A13" s="56" t="s">
        <v>26</v>
      </c>
      <c r="B13" s="56"/>
      <c r="C13" s="56" t="s">
        <v>27</v>
      </c>
      <c r="D13" s="77">
        <v>0</v>
      </c>
      <c r="E13" s="91"/>
      <c r="H13" s="67" t="s">
        <v>26</v>
      </c>
      <c r="I13" s="67" t="s">
        <v>258</v>
      </c>
      <c r="J13" s="67" t="s">
        <v>902</v>
      </c>
      <c r="K13" s="68">
        <v>0</v>
      </c>
      <c r="L13" s="73"/>
      <c r="M13" s="87">
        <f>[1]RESUMO_Final!$H$49</f>
        <v>9082.0637161279992</v>
      </c>
      <c r="N13" s="84">
        <v>9082.063716128001</v>
      </c>
    </row>
    <row r="14" spans="1:17">
      <c r="A14" s="56" t="s">
        <v>26</v>
      </c>
      <c r="B14" s="56" t="s">
        <v>14</v>
      </c>
      <c r="C14" s="56" t="s">
        <v>27</v>
      </c>
      <c r="D14" s="77">
        <v>0</v>
      </c>
      <c r="E14" s="91"/>
      <c r="H14" s="67" t="s">
        <v>26</v>
      </c>
      <c r="I14" s="67" t="s">
        <v>14</v>
      </c>
      <c r="J14" s="67" t="s">
        <v>27</v>
      </c>
      <c r="K14" s="68">
        <v>1</v>
      </c>
      <c r="L14" s="73"/>
      <c r="M14" s="87" t="e">
        <f>[1]RESUMO_Final!$H$10-M15</f>
        <v>#VALUE!</v>
      </c>
      <c r="N14" s="84">
        <v>31173.646528215126</v>
      </c>
    </row>
    <row r="15" spans="1:17">
      <c r="A15" s="56" t="s">
        <v>26</v>
      </c>
      <c r="B15" s="56" t="s">
        <v>16</v>
      </c>
      <c r="C15" s="56" t="s">
        <v>28</v>
      </c>
      <c r="D15" s="77">
        <v>0</v>
      </c>
      <c r="E15" s="91"/>
      <c r="H15" s="67" t="s">
        <v>26</v>
      </c>
      <c r="I15" s="67" t="s">
        <v>16</v>
      </c>
      <c r="J15" s="67" t="s">
        <v>28</v>
      </c>
      <c r="K15" s="68">
        <v>1</v>
      </c>
      <c r="L15" s="73"/>
      <c r="M15" s="87" t="e">
        <f>SUMIFS([1]Base!$CD:$CD,[1]Base!$B:$B,P15,[1]Base!$D:$D,O15,[1]Base!$E:$E,Q15)</f>
        <v>#VALUE!</v>
      </c>
      <c r="N15" s="84">
        <v>2194.211683761569</v>
      </c>
      <c r="O15" t="s">
        <v>898</v>
      </c>
      <c r="P15" t="s">
        <v>903</v>
      </c>
      <c r="Q15" t="s">
        <v>900</v>
      </c>
    </row>
    <row r="16" spans="1:17">
      <c r="A16" s="56" t="s">
        <v>26</v>
      </c>
      <c r="B16" s="56" t="s">
        <v>18</v>
      </c>
      <c r="C16" s="56" t="s">
        <v>29</v>
      </c>
      <c r="D16" s="77">
        <v>0</v>
      </c>
      <c r="E16" s="91"/>
      <c r="H16" s="71" t="s">
        <v>26</v>
      </c>
      <c r="I16" s="71" t="s">
        <v>18</v>
      </c>
      <c r="J16" s="71" t="s">
        <v>29</v>
      </c>
      <c r="K16" s="72">
        <f>+K14+K15</f>
        <v>2</v>
      </c>
      <c r="L16" s="73"/>
      <c r="M16" s="86" t="e">
        <f>SUM(M12:M15)</f>
        <v>#VALUE!</v>
      </c>
      <c r="N16" s="80">
        <f>SUM(N12:N15)</f>
        <v>58334.425491107875</v>
      </c>
    </row>
    <row r="17" spans="1:14">
      <c r="A17" s="56" t="s">
        <v>428</v>
      </c>
      <c r="B17" s="56" t="s">
        <v>258</v>
      </c>
      <c r="C17" s="56" t="s">
        <v>182</v>
      </c>
      <c r="D17" s="77">
        <v>0</v>
      </c>
      <c r="E17" s="91"/>
      <c r="H17" s="67" t="s">
        <v>428</v>
      </c>
      <c r="I17" s="67" t="s">
        <v>258</v>
      </c>
      <c r="J17" s="67" t="s">
        <v>182</v>
      </c>
      <c r="K17" s="68">
        <v>0</v>
      </c>
      <c r="L17" s="73"/>
      <c r="M17" s="87">
        <f>[1]RESUMO_Final!$H$50</f>
        <v>13049.578585758871</v>
      </c>
      <c r="N17" s="84">
        <v>13049.578585758869</v>
      </c>
    </row>
    <row r="18" spans="1:14">
      <c r="A18" s="56" t="s">
        <v>30</v>
      </c>
      <c r="B18" s="56" t="s">
        <v>258</v>
      </c>
      <c r="C18" s="56" t="s">
        <v>904</v>
      </c>
      <c r="D18" s="77">
        <v>0</v>
      </c>
      <c r="E18" s="91"/>
      <c r="H18" s="67" t="s">
        <v>30</v>
      </c>
      <c r="I18" s="67" t="s">
        <v>258</v>
      </c>
      <c r="J18" s="67" t="s">
        <v>904</v>
      </c>
      <c r="K18" s="68">
        <v>0</v>
      </c>
      <c r="L18" s="73"/>
      <c r="M18" s="87">
        <f>[1]RESUMO_Final!$H$56</f>
        <v>10644.716975933999</v>
      </c>
      <c r="N18" s="84">
        <v>10644.716975933999</v>
      </c>
    </row>
    <row r="19" spans="1:14">
      <c r="A19" s="56" t="s">
        <v>30</v>
      </c>
      <c r="B19" s="56" t="s">
        <v>14</v>
      </c>
      <c r="C19" s="56" t="s">
        <v>31</v>
      </c>
      <c r="D19" s="77">
        <v>0</v>
      </c>
      <c r="E19" s="91"/>
      <c r="H19" s="67" t="s">
        <v>30</v>
      </c>
      <c r="I19" s="67" t="s">
        <v>14</v>
      </c>
      <c r="J19" s="67" t="s">
        <v>31</v>
      </c>
      <c r="K19" s="68">
        <v>1</v>
      </c>
      <c r="L19" s="73">
        <f>+K21+K22</f>
        <v>1</v>
      </c>
      <c r="M19" s="87">
        <f>[1]RESUMO_Final!$H$29</f>
        <v>10916.78527250532</v>
      </c>
      <c r="N19" s="84">
        <v>10916.785272505316</v>
      </c>
    </row>
    <row r="20" spans="1:14">
      <c r="A20" t="s">
        <v>44</v>
      </c>
      <c r="B20" t="s">
        <v>33</v>
      </c>
      <c r="C20" t="s">
        <v>45</v>
      </c>
      <c r="D20" s="54">
        <v>0</v>
      </c>
      <c r="E20" s="89"/>
      <c r="H20" s="69" t="s">
        <v>44</v>
      </c>
      <c r="I20" s="69" t="s">
        <v>33</v>
      </c>
      <c r="J20" s="69" t="s">
        <v>45</v>
      </c>
      <c r="K20" s="70">
        <f>SUM(K21:K22)</f>
        <v>1</v>
      </c>
      <c r="L20" s="73"/>
      <c r="M20" s="86">
        <f>SUM(M21:M22)</f>
        <v>35923.959946560062</v>
      </c>
      <c r="N20" s="80">
        <f>SUM(N21:N22)</f>
        <v>35923.959946560062</v>
      </c>
    </row>
    <row r="21" spans="1:14">
      <c r="A21" s="56" t="s">
        <v>40</v>
      </c>
      <c r="B21" s="75" t="s">
        <v>258</v>
      </c>
      <c r="C21" s="75" t="s">
        <v>41</v>
      </c>
      <c r="D21" s="77">
        <v>0</v>
      </c>
      <c r="E21" s="91"/>
      <c r="H21" s="74" t="s">
        <v>40</v>
      </c>
      <c r="I21" s="74" t="s">
        <v>258</v>
      </c>
      <c r="J21" s="74" t="s">
        <v>41</v>
      </c>
      <c r="K21" s="68">
        <v>0</v>
      </c>
      <c r="L21" s="73"/>
      <c r="M21" s="87">
        <f>[1]RESUMO_Final!$H$69</f>
        <v>3319.2036054216001</v>
      </c>
      <c r="N21" s="84">
        <v>3319.2036054215996</v>
      </c>
    </row>
    <row r="22" spans="1:14">
      <c r="A22" s="56" t="s">
        <v>42</v>
      </c>
      <c r="B22" s="56" t="s">
        <v>14</v>
      </c>
      <c r="C22" s="56" t="s">
        <v>43</v>
      </c>
      <c r="D22" s="77">
        <v>0</v>
      </c>
      <c r="E22" s="91"/>
      <c r="H22" s="67" t="s">
        <v>42</v>
      </c>
      <c r="I22" s="67" t="s">
        <v>14</v>
      </c>
      <c r="J22" s="67" t="s">
        <v>43</v>
      </c>
      <c r="K22" s="68">
        <v>1</v>
      </c>
      <c r="L22" s="73">
        <f>+K25+K26</f>
        <v>1</v>
      </c>
      <c r="M22" s="87">
        <f>[1]RESUMO_Final!$H$62</f>
        <v>32604.756341138462</v>
      </c>
      <c r="N22" s="84">
        <v>32604.756341138462</v>
      </c>
    </row>
    <row r="23" spans="1:14">
      <c r="A23" t="s">
        <v>49</v>
      </c>
      <c r="B23" t="s">
        <v>33</v>
      </c>
      <c r="C23" t="s">
        <v>50</v>
      </c>
      <c r="D23" s="54">
        <v>0</v>
      </c>
      <c r="E23" s="89"/>
      <c r="H23" s="69" t="s">
        <v>49</v>
      </c>
      <c r="I23" s="69" t="s">
        <v>33</v>
      </c>
      <c r="J23" s="69" t="s">
        <v>50</v>
      </c>
      <c r="K23" s="70">
        <f>SUM(K25)</f>
        <v>1</v>
      </c>
      <c r="L23" s="73"/>
      <c r="M23" s="86">
        <f>SUM(M24:M25)</f>
        <v>61641.057280000001</v>
      </c>
      <c r="N23" s="80">
        <f>SUM(N24:N25)</f>
        <v>61641.057280000001</v>
      </c>
    </row>
    <row r="24" spans="1:14">
      <c r="A24" s="56" t="s">
        <v>740</v>
      </c>
      <c r="B24" s="56" t="s">
        <v>14</v>
      </c>
      <c r="C24" s="56" t="s">
        <v>48</v>
      </c>
      <c r="D24" s="77">
        <v>0</v>
      </c>
      <c r="E24" s="91"/>
      <c r="H24" s="67" t="s">
        <v>740</v>
      </c>
      <c r="I24" s="67" t="s">
        <v>258</v>
      </c>
      <c r="J24" s="67" t="s">
        <v>905</v>
      </c>
      <c r="K24" s="68">
        <v>1</v>
      </c>
      <c r="L24" s="73">
        <f>+K26+K27</f>
        <v>0</v>
      </c>
      <c r="M24" s="87">
        <f>[1]RESUMO_Final!$H$83</f>
        <v>21803.038079999998</v>
      </c>
      <c r="N24" s="84">
        <v>21803.038079999998</v>
      </c>
    </row>
    <row r="25" spans="1:14">
      <c r="A25" s="56" t="s">
        <v>47</v>
      </c>
      <c r="B25" s="56" t="s">
        <v>14</v>
      </c>
      <c r="C25" s="56" t="s">
        <v>48</v>
      </c>
      <c r="D25" s="77">
        <v>0</v>
      </c>
      <c r="E25" s="91"/>
      <c r="H25" s="67" t="s">
        <v>47</v>
      </c>
      <c r="I25" s="67" t="s">
        <v>14</v>
      </c>
      <c r="J25" s="67" t="s">
        <v>48</v>
      </c>
      <c r="K25" s="68">
        <v>1</v>
      </c>
      <c r="L25" s="73">
        <f>+K27+K28</f>
        <v>0</v>
      </c>
      <c r="M25" s="87">
        <f>[1]RESUMO_Final!$H$75</f>
        <v>39838.019200000002</v>
      </c>
      <c r="N25" s="84">
        <v>39838.019200000002</v>
      </c>
    </row>
    <row r="26" spans="1:14">
      <c r="A26" t="s">
        <v>457</v>
      </c>
      <c r="B26" t="s">
        <v>33</v>
      </c>
      <c r="C26" t="s">
        <v>95</v>
      </c>
      <c r="D26" s="54">
        <v>0</v>
      </c>
      <c r="E26" s="89"/>
      <c r="H26" s="69" t="s">
        <v>457</v>
      </c>
      <c r="I26" s="69" t="s">
        <v>33</v>
      </c>
      <c r="J26" s="69" t="s">
        <v>95</v>
      </c>
      <c r="K26" s="70">
        <f>SUM(K27)</f>
        <v>0</v>
      </c>
      <c r="L26" s="73"/>
      <c r="M26" s="86">
        <f>SUM(M27)</f>
        <v>27316.6293769</v>
      </c>
      <c r="N26" s="80">
        <f>SUM(N27)</f>
        <v>27316.629376900004</v>
      </c>
    </row>
    <row r="27" spans="1:14">
      <c r="A27" s="56" t="s">
        <v>906</v>
      </c>
      <c r="B27" s="56" t="s">
        <v>258</v>
      </c>
      <c r="C27" s="56" t="s">
        <v>907</v>
      </c>
      <c r="D27" s="77">
        <v>0</v>
      </c>
      <c r="E27" s="91"/>
      <c r="H27" s="67" t="s">
        <v>906</v>
      </c>
      <c r="I27" s="67" t="s">
        <v>258</v>
      </c>
      <c r="J27" s="67" t="s">
        <v>907</v>
      </c>
      <c r="K27" s="68">
        <v>0</v>
      </c>
      <c r="L27" s="73"/>
      <c r="M27" s="87">
        <f>[1]RESUMO_Final!$H$84</f>
        <v>27316.6293769</v>
      </c>
      <c r="N27" s="84">
        <v>27316.629376900004</v>
      </c>
    </row>
    <row r="28" spans="1:14">
      <c r="A28" t="s">
        <v>52</v>
      </c>
      <c r="B28" t="s">
        <v>33</v>
      </c>
      <c r="C28" t="s">
        <v>54</v>
      </c>
      <c r="D28" s="54">
        <v>0</v>
      </c>
      <c r="E28" s="89"/>
      <c r="H28" t="s">
        <v>52</v>
      </c>
      <c r="I28" t="s">
        <v>33</v>
      </c>
      <c r="J28" t="s">
        <v>54</v>
      </c>
      <c r="K28" s="66"/>
      <c r="L28" s="73"/>
      <c r="M28" s="86"/>
      <c r="N28" s="80"/>
    </row>
    <row r="29" spans="1:14">
      <c r="A29" t="s">
        <v>504</v>
      </c>
      <c r="B29" t="s">
        <v>33</v>
      </c>
      <c r="C29" t="s">
        <v>96</v>
      </c>
      <c r="D29" s="54">
        <v>0</v>
      </c>
      <c r="E29" s="92"/>
      <c r="H29" t="s">
        <v>504</v>
      </c>
      <c r="I29" t="s">
        <v>33</v>
      </c>
      <c r="J29" t="s">
        <v>96</v>
      </c>
      <c r="K29" s="66"/>
      <c r="M29" s="86"/>
      <c r="N29" s="80"/>
    </row>
    <row r="30" spans="1:14">
      <c r="M30" s="86" t="e">
        <f>+M4+M20+M23+M26</f>
        <v>#VALUE!</v>
      </c>
      <c r="N30" s="80">
        <f>+N4+N20+N23+N26</f>
        <v>308572.13068862038</v>
      </c>
    </row>
    <row r="31" spans="1:14">
      <c r="A31" s="59" t="s">
        <v>908</v>
      </c>
      <c r="B31" s="59"/>
      <c r="C31" s="59"/>
      <c r="D31" s="60">
        <f>SUM(D32:D59)</f>
        <v>1</v>
      </c>
      <c r="E31" s="88">
        <f>SUM(E32:E59)</f>
        <v>1</v>
      </c>
      <c r="M31" s="86">
        <f>+M2</f>
        <v>0</v>
      </c>
      <c r="N31" s="80">
        <f>+N2</f>
        <v>0</v>
      </c>
    </row>
    <row r="32" spans="1:14">
      <c r="A32" t="s">
        <v>897</v>
      </c>
      <c r="B32" t="s">
        <v>36</v>
      </c>
      <c r="C32" t="s">
        <v>111</v>
      </c>
      <c r="D32" s="54">
        <v>0</v>
      </c>
      <c r="E32" s="89"/>
      <c r="M32" s="82">
        <f t="shared" ref="M32:M59" si="0">N2</f>
        <v>0</v>
      </c>
    </row>
    <row r="33" spans="1:13">
      <c r="A33" s="52" t="s">
        <v>37</v>
      </c>
      <c r="B33" s="52" t="s">
        <v>33</v>
      </c>
      <c r="C33" s="52" t="s">
        <v>38</v>
      </c>
      <c r="D33" s="78">
        <v>0.18</v>
      </c>
      <c r="E33" s="90">
        <v>0.18</v>
      </c>
      <c r="M33" s="82">
        <f t="shared" si="0"/>
        <v>0</v>
      </c>
    </row>
    <row r="34" spans="1:13">
      <c r="A34" s="52" t="s">
        <v>32</v>
      </c>
      <c r="B34" s="52" t="s">
        <v>33</v>
      </c>
      <c r="C34" s="52" t="s">
        <v>35</v>
      </c>
      <c r="D34" s="78">
        <v>0.48</v>
      </c>
      <c r="E34" s="90">
        <v>0.48</v>
      </c>
      <c r="M34" s="82">
        <f t="shared" si="0"/>
        <v>183690.48408516037</v>
      </c>
    </row>
    <row r="35" spans="1:13">
      <c r="A35" s="56" t="s">
        <v>8</v>
      </c>
      <c r="B35" s="56" t="s">
        <v>9</v>
      </c>
      <c r="C35" s="56" t="s">
        <v>12</v>
      </c>
      <c r="D35" s="77">
        <v>0</v>
      </c>
      <c r="E35" s="91"/>
      <c r="M35" s="82">
        <f t="shared" si="0"/>
        <v>12433.636270178942</v>
      </c>
    </row>
    <row r="36" spans="1:13">
      <c r="A36" s="56" t="s">
        <v>8</v>
      </c>
      <c r="B36" s="56" t="s">
        <v>14</v>
      </c>
      <c r="C36" s="56" t="s">
        <v>15</v>
      </c>
      <c r="D36" s="77">
        <v>0</v>
      </c>
      <c r="E36" s="91"/>
      <c r="M36" s="82">
        <f t="shared" si="0"/>
        <v>53605.880052893393</v>
      </c>
    </row>
    <row r="37" spans="1:13">
      <c r="A37" s="56" t="s">
        <v>8</v>
      </c>
      <c r="B37" s="56" t="s">
        <v>16</v>
      </c>
      <c r="C37" s="56" t="s">
        <v>17</v>
      </c>
      <c r="D37" s="77">
        <v>0</v>
      </c>
      <c r="E37" s="91"/>
      <c r="M37" s="82">
        <f t="shared" si="0"/>
        <v>13971.967904215528</v>
      </c>
    </row>
    <row r="38" spans="1:13">
      <c r="A38" s="56" t="s">
        <v>8</v>
      </c>
      <c r="B38" s="56" t="s">
        <v>18</v>
      </c>
      <c r="C38" s="56" t="s">
        <v>19</v>
      </c>
      <c r="D38" s="77">
        <v>0</v>
      </c>
      <c r="E38" s="91"/>
      <c r="M38" s="82">
        <f t="shared" si="0"/>
        <v>67577.847957108926</v>
      </c>
    </row>
    <row r="39" spans="1:13">
      <c r="A39" s="56" t="s">
        <v>20</v>
      </c>
      <c r="B39" s="56" t="s">
        <v>14</v>
      </c>
      <c r="C39" s="56" t="s">
        <v>21</v>
      </c>
      <c r="D39" s="77">
        <v>0</v>
      </c>
      <c r="E39" s="91"/>
      <c r="M39" s="82">
        <f t="shared" si="0"/>
        <v>9837.7501015837843</v>
      </c>
    </row>
    <row r="40" spans="1:13">
      <c r="A40" s="56" t="s">
        <v>20</v>
      </c>
      <c r="B40" s="56" t="s">
        <v>16</v>
      </c>
      <c r="C40" s="56" t="s">
        <v>22</v>
      </c>
      <c r="D40" s="77">
        <v>0</v>
      </c>
      <c r="E40" s="91"/>
      <c r="M40" s="82">
        <f t="shared" si="0"/>
        <v>895.74343098269833</v>
      </c>
    </row>
    <row r="41" spans="1:13">
      <c r="A41" s="56" t="s">
        <v>20</v>
      </c>
      <c r="B41" s="56" t="s">
        <v>18</v>
      </c>
      <c r="C41" s="56" t="s">
        <v>23</v>
      </c>
      <c r="D41" s="77">
        <v>0</v>
      </c>
      <c r="E41" s="91"/>
      <c r="M41" s="82">
        <f t="shared" si="0"/>
        <v>10733.493532566483</v>
      </c>
    </row>
    <row r="42" spans="1:13">
      <c r="A42" s="56" t="s">
        <v>24</v>
      </c>
      <c r="B42" s="56" t="s">
        <v>9</v>
      </c>
      <c r="C42" s="56" t="s">
        <v>25</v>
      </c>
      <c r="D42" s="77">
        <v>0</v>
      </c>
      <c r="E42" s="91"/>
      <c r="M42" s="82">
        <f t="shared" si="0"/>
        <v>15884.503563003182</v>
      </c>
    </row>
    <row r="43" spans="1:13">
      <c r="A43" s="56" t="s">
        <v>26</v>
      </c>
      <c r="B43" s="56" t="s">
        <v>258</v>
      </c>
      <c r="C43" s="56" t="s">
        <v>902</v>
      </c>
      <c r="D43" s="77">
        <v>0</v>
      </c>
      <c r="E43" s="91"/>
      <c r="M43" s="82">
        <f t="shared" si="0"/>
        <v>9082.063716128001</v>
      </c>
    </row>
    <row r="44" spans="1:13">
      <c r="A44" s="56" t="s">
        <v>26</v>
      </c>
      <c r="B44" s="56" t="s">
        <v>14</v>
      </c>
      <c r="C44" s="56" t="s">
        <v>27</v>
      </c>
      <c r="D44" s="77">
        <v>0</v>
      </c>
      <c r="E44" s="91"/>
      <c r="M44" s="82">
        <f t="shared" si="0"/>
        <v>31173.646528215126</v>
      </c>
    </row>
    <row r="45" spans="1:13">
      <c r="A45" s="56" t="s">
        <v>26</v>
      </c>
      <c r="B45" s="56" t="s">
        <v>16</v>
      </c>
      <c r="C45" s="56" t="s">
        <v>28</v>
      </c>
      <c r="D45" s="77">
        <v>0</v>
      </c>
      <c r="E45" s="91"/>
      <c r="M45" s="82">
        <f t="shared" si="0"/>
        <v>2194.211683761569</v>
      </c>
    </row>
    <row r="46" spans="1:13">
      <c r="A46" s="56" t="s">
        <v>26</v>
      </c>
      <c r="B46" s="56" t="s">
        <v>18</v>
      </c>
      <c r="C46" s="56" t="s">
        <v>29</v>
      </c>
      <c r="D46" s="77">
        <v>0</v>
      </c>
      <c r="E46" s="91"/>
      <c r="M46" s="82">
        <f t="shared" si="0"/>
        <v>58334.425491107875</v>
      </c>
    </row>
    <row r="47" spans="1:13">
      <c r="A47" s="56" t="s">
        <v>428</v>
      </c>
      <c r="B47" s="56" t="s">
        <v>258</v>
      </c>
      <c r="C47" s="56" t="s">
        <v>182</v>
      </c>
      <c r="D47" s="77">
        <v>0</v>
      </c>
      <c r="E47" s="91"/>
      <c r="M47" s="82">
        <f t="shared" si="0"/>
        <v>13049.578585758869</v>
      </c>
    </row>
    <row r="48" spans="1:13">
      <c r="A48" s="56" t="s">
        <v>30</v>
      </c>
      <c r="B48" s="56" t="s">
        <v>258</v>
      </c>
      <c r="C48" s="56" t="s">
        <v>904</v>
      </c>
      <c r="D48" s="77">
        <v>0</v>
      </c>
      <c r="E48" s="91"/>
      <c r="M48" s="82">
        <f t="shared" si="0"/>
        <v>10644.716975933999</v>
      </c>
    </row>
    <row r="49" spans="1:13">
      <c r="A49" s="56" t="s">
        <v>30</v>
      </c>
      <c r="B49" s="56" t="s">
        <v>14</v>
      </c>
      <c r="C49" s="56" t="s">
        <v>31</v>
      </c>
      <c r="D49" s="77">
        <v>0</v>
      </c>
      <c r="E49" s="91"/>
      <c r="M49" s="82">
        <f t="shared" si="0"/>
        <v>10916.785272505316</v>
      </c>
    </row>
    <row r="50" spans="1:13">
      <c r="A50" s="52" t="s">
        <v>44</v>
      </c>
      <c r="B50" s="52" t="s">
        <v>33</v>
      </c>
      <c r="C50" s="52" t="s">
        <v>45</v>
      </c>
      <c r="D50" s="78">
        <v>0.05</v>
      </c>
      <c r="E50" s="90">
        <v>0.05</v>
      </c>
      <c r="M50" s="82">
        <f t="shared" si="0"/>
        <v>35923.959946560062</v>
      </c>
    </row>
    <row r="51" spans="1:13">
      <c r="A51" s="56" t="s">
        <v>40</v>
      </c>
      <c r="B51" s="75" t="s">
        <v>258</v>
      </c>
      <c r="C51" s="75" t="s">
        <v>41</v>
      </c>
      <c r="D51" s="77">
        <v>0</v>
      </c>
      <c r="E51" s="91"/>
      <c r="M51" s="82">
        <f t="shared" si="0"/>
        <v>3319.2036054215996</v>
      </c>
    </row>
    <row r="52" spans="1:13">
      <c r="A52" s="56" t="s">
        <v>42</v>
      </c>
      <c r="B52" s="56" t="s">
        <v>14</v>
      </c>
      <c r="C52" s="56" t="s">
        <v>43</v>
      </c>
      <c r="D52" s="77">
        <v>0</v>
      </c>
      <c r="E52" s="91"/>
      <c r="M52" s="82">
        <f t="shared" si="0"/>
        <v>32604.756341138462</v>
      </c>
    </row>
    <row r="53" spans="1:13">
      <c r="A53" s="52" t="s">
        <v>49</v>
      </c>
      <c r="B53" s="52" t="s">
        <v>33</v>
      </c>
      <c r="C53" s="52" t="s">
        <v>50</v>
      </c>
      <c r="D53" s="78">
        <v>0.06</v>
      </c>
      <c r="E53" s="90">
        <v>0.06</v>
      </c>
      <c r="M53" s="82">
        <f t="shared" si="0"/>
        <v>61641.057280000001</v>
      </c>
    </row>
    <row r="54" spans="1:13">
      <c r="A54" s="56" t="s">
        <v>740</v>
      </c>
      <c r="B54" s="56" t="s">
        <v>258</v>
      </c>
      <c r="C54" s="56" t="s">
        <v>905</v>
      </c>
      <c r="D54" s="77">
        <v>0</v>
      </c>
      <c r="E54" s="91"/>
      <c r="M54" s="82">
        <f t="shared" si="0"/>
        <v>21803.038079999998</v>
      </c>
    </row>
    <row r="55" spans="1:13">
      <c r="A55" s="56" t="s">
        <v>47</v>
      </c>
      <c r="B55" s="56" t="s">
        <v>14</v>
      </c>
      <c r="C55" s="56" t="s">
        <v>48</v>
      </c>
      <c r="D55" s="77">
        <v>0</v>
      </c>
      <c r="E55" s="91"/>
      <c r="M55" s="82">
        <f t="shared" si="0"/>
        <v>39838.019200000002</v>
      </c>
    </row>
    <row r="56" spans="1:13">
      <c r="A56" s="52" t="s">
        <v>457</v>
      </c>
      <c r="B56" s="52" t="s">
        <v>33</v>
      </c>
      <c r="C56" s="52" t="s">
        <v>95</v>
      </c>
      <c r="D56" s="78">
        <v>0.02</v>
      </c>
      <c r="E56" s="90">
        <v>0.02</v>
      </c>
      <c r="M56" s="82">
        <f t="shared" si="0"/>
        <v>27316.629376900004</v>
      </c>
    </row>
    <row r="57" spans="1:13">
      <c r="A57" s="56" t="s">
        <v>906</v>
      </c>
      <c r="B57" s="56" t="s">
        <v>258</v>
      </c>
      <c r="C57" s="56" t="s">
        <v>907</v>
      </c>
      <c r="D57" s="77">
        <v>0</v>
      </c>
      <c r="E57" s="91"/>
      <c r="M57" s="82">
        <f t="shared" si="0"/>
        <v>27316.629376900004</v>
      </c>
    </row>
    <row r="58" spans="1:13">
      <c r="A58" s="52" t="s">
        <v>52</v>
      </c>
      <c r="B58" s="52" t="s">
        <v>33</v>
      </c>
      <c r="C58" s="52" t="s">
        <v>54</v>
      </c>
      <c r="D58" s="78">
        <v>0.16</v>
      </c>
      <c r="E58" s="90">
        <v>0.16</v>
      </c>
      <c r="M58" s="82">
        <f t="shared" si="0"/>
        <v>0</v>
      </c>
    </row>
    <row r="59" spans="1:13">
      <c r="A59" s="52" t="s">
        <v>504</v>
      </c>
      <c r="B59" s="52" t="s">
        <v>33</v>
      </c>
      <c r="C59" s="52" t="s">
        <v>96</v>
      </c>
      <c r="D59" s="78">
        <v>0.05</v>
      </c>
      <c r="E59" s="93">
        <v>0.05</v>
      </c>
      <c r="M59" s="82">
        <f t="shared" si="0"/>
        <v>0</v>
      </c>
    </row>
    <row r="60" spans="1:13">
      <c r="D60" s="54"/>
    </row>
    <row r="61" spans="1:13">
      <c r="A61" s="64" t="s">
        <v>909</v>
      </c>
      <c r="B61" s="64"/>
      <c r="C61" s="64"/>
      <c r="D61" s="65">
        <f>SUM(D62:D89)</f>
        <v>1</v>
      </c>
      <c r="E61" s="94">
        <f>SUM(E62:E89)</f>
        <v>1</v>
      </c>
      <c r="M61" s="42" t="e">
        <f>$M$30</f>
        <v>#VALUE!</v>
      </c>
    </row>
    <row r="62" spans="1:13">
      <c r="A62" t="s">
        <v>897</v>
      </c>
      <c r="B62" t="s">
        <v>36</v>
      </c>
      <c r="C62" t="s">
        <v>111</v>
      </c>
      <c r="D62" s="54">
        <f>M62/SUM($M$62:$M$89)</f>
        <v>0</v>
      </c>
      <c r="E62" s="89"/>
      <c r="M62" s="82"/>
    </row>
    <row r="63" spans="1:13">
      <c r="A63" t="s">
        <v>37</v>
      </c>
      <c r="B63" t="s">
        <v>33</v>
      </c>
      <c r="C63" t="s">
        <v>38</v>
      </c>
      <c r="D63" s="54">
        <f t="shared" ref="D63:D89" si="1">M63/SUM($M$62:$M$89)</f>
        <v>0</v>
      </c>
      <c r="E63" s="89"/>
      <c r="M63" s="82"/>
    </row>
    <row r="64" spans="1:13">
      <c r="A64" t="s">
        <v>32</v>
      </c>
      <c r="B64" t="s">
        <v>33</v>
      </c>
      <c r="C64" t="s">
        <v>35</v>
      </c>
      <c r="D64" s="54">
        <f t="shared" si="1"/>
        <v>0</v>
      </c>
      <c r="E64" s="89"/>
      <c r="M64" s="82"/>
    </row>
    <row r="65" spans="1:13">
      <c r="A65" s="61" t="s">
        <v>8</v>
      </c>
      <c r="B65" s="61" t="s">
        <v>9</v>
      </c>
      <c r="C65" s="61" t="s">
        <v>12</v>
      </c>
      <c r="D65" s="76">
        <f t="shared" si="1"/>
        <v>6.7499495884709951E-2</v>
      </c>
      <c r="E65" s="95">
        <v>7.0000000000000007E-2</v>
      </c>
      <c r="M65" s="82">
        <f>N5</f>
        <v>12433.636270178942</v>
      </c>
    </row>
    <row r="66" spans="1:13">
      <c r="A66" s="61" t="s">
        <v>8</v>
      </c>
      <c r="B66" s="61" t="s">
        <v>14</v>
      </c>
      <c r="C66" s="61" t="s">
        <v>15</v>
      </c>
      <c r="D66" s="76">
        <f t="shared" si="1"/>
        <v>0.29101461562816477</v>
      </c>
      <c r="E66" s="95">
        <v>0.28000000000000003</v>
      </c>
      <c r="M66" s="82">
        <f>N6</f>
        <v>53605.880052893393</v>
      </c>
    </row>
    <row r="67" spans="1:13">
      <c r="A67" s="56" t="s">
        <v>8</v>
      </c>
      <c r="B67" s="56" t="s">
        <v>16</v>
      </c>
      <c r="C67" s="56" t="s">
        <v>17</v>
      </c>
      <c r="D67" s="77">
        <f t="shared" si="1"/>
        <v>0</v>
      </c>
      <c r="E67" s="91"/>
      <c r="M67" s="82"/>
    </row>
    <row r="68" spans="1:13">
      <c r="A68" s="56" t="s">
        <v>8</v>
      </c>
      <c r="B68" s="56" t="s">
        <v>18</v>
      </c>
      <c r="C68" s="56" t="s">
        <v>19</v>
      </c>
      <c r="D68" s="77">
        <f t="shared" si="1"/>
        <v>0</v>
      </c>
      <c r="E68" s="91"/>
      <c r="M68" s="82"/>
    </row>
    <row r="69" spans="1:13">
      <c r="A69" s="61" t="s">
        <v>20</v>
      </c>
      <c r="B69" s="61" t="s">
        <v>14</v>
      </c>
      <c r="C69" s="61" t="s">
        <v>21</v>
      </c>
      <c r="D69" s="76">
        <f t="shared" si="1"/>
        <v>5.3406996800229124E-2</v>
      </c>
      <c r="E69" s="95">
        <v>0.05</v>
      </c>
      <c r="M69" s="82">
        <f>N9</f>
        <v>9837.7501015837843</v>
      </c>
    </row>
    <row r="70" spans="1:13">
      <c r="A70" s="56" t="s">
        <v>20</v>
      </c>
      <c r="B70" s="56" t="s">
        <v>16</v>
      </c>
      <c r="C70" s="56" t="s">
        <v>22</v>
      </c>
      <c r="D70" s="77">
        <f t="shared" si="1"/>
        <v>0</v>
      </c>
      <c r="E70" s="91"/>
      <c r="M70" s="82"/>
    </row>
    <row r="71" spans="1:13">
      <c r="A71" s="56" t="s">
        <v>20</v>
      </c>
      <c r="B71" s="56" t="s">
        <v>18</v>
      </c>
      <c r="C71" s="56" t="s">
        <v>23</v>
      </c>
      <c r="D71" s="77">
        <f t="shared" si="1"/>
        <v>0</v>
      </c>
      <c r="E71" s="91"/>
      <c r="M71" s="82"/>
    </row>
    <row r="72" spans="1:13">
      <c r="A72" s="61" t="s">
        <v>24</v>
      </c>
      <c r="B72" s="61" t="s">
        <v>9</v>
      </c>
      <c r="C72" s="61" t="s">
        <v>25</v>
      </c>
      <c r="D72" s="76">
        <f t="shared" si="1"/>
        <v>8.623350077025882E-2</v>
      </c>
      <c r="E72" s="95">
        <v>0.09</v>
      </c>
      <c r="M72" s="82">
        <f>N12</f>
        <v>15884.503563003182</v>
      </c>
    </row>
    <row r="73" spans="1:13">
      <c r="A73" s="61" t="s">
        <v>26</v>
      </c>
      <c r="B73" s="61" t="s">
        <v>258</v>
      </c>
      <c r="C73" s="61" t="s">
        <v>902</v>
      </c>
      <c r="D73" s="76">
        <f t="shared" si="1"/>
        <v>4.9304540450629805E-2</v>
      </c>
      <c r="E73" s="95">
        <v>0.05</v>
      </c>
      <c r="M73" s="82">
        <f>N13</f>
        <v>9082.063716128001</v>
      </c>
    </row>
    <row r="74" spans="1:13">
      <c r="A74" s="56" t="s">
        <v>26</v>
      </c>
      <c r="B74" s="56" t="s">
        <v>14</v>
      </c>
      <c r="C74" s="56" t="s">
        <v>27</v>
      </c>
      <c r="D74" s="77">
        <f t="shared" si="1"/>
        <v>0</v>
      </c>
      <c r="E74" s="91"/>
      <c r="M74" s="82"/>
    </row>
    <row r="75" spans="1:13">
      <c r="A75" s="56" t="s">
        <v>26</v>
      </c>
      <c r="B75" s="56" t="s">
        <v>16</v>
      </c>
      <c r="C75" s="56" t="s">
        <v>28</v>
      </c>
      <c r="D75" s="77">
        <f t="shared" si="1"/>
        <v>0</v>
      </c>
      <c r="E75" s="91"/>
      <c r="M75" s="82"/>
    </row>
    <row r="76" spans="1:13">
      <c r="A76" s="56" t="s">
        <v>26</v>
      </c>
      <c r="B76" s="56" t="s">
        <v>18</v>
      </c>
      <c r="C76" s="56" t="s">
        <v>29</v>
      </c>
      <c r="D76" s="77">
        <f t="shared" si="1"/>
        <v>0</v>
      </c>
      <c r="E76" s="91"/>
      <c r="M76" s="82"/>
    </row>
    <row r="77" spans="1:13">
      <c r="A77" s="56" t="s">
        <v>428</v>
      </c>
      <c r="B77" s="56" t="s">
        <v>258</v>
      </c>
      <c r="C77" s="56" t="s">
        <v>182</v>
      </c>
      <c r="D77" s="77">
        <f t="shared" si="1"/>
        <v>0</v>
      </c>
      <c r="E77" s="91"/>
      <c r="M77" s="82"/>
    </row>
    <row r="78" spans="1:13">
      <c r="A78" s="56" t="s">
        <v>30</v>
      </c>
      <c r="B78" s="56" t="s">
        <v>258</v>
      </c>
      <c r="C78" s="56" t="s">
        <v>904</v>
      </c>
      <c r="D78" s="77">
        <f t="shared" si="1"/>
        <v>0</v>
      </c>
      <c r="E78" s="91"/>
      <c r="M78" s="82"/>
    </row>
    <row r="79" spans="1:13">
      <c r="A79" s="61" t="s">
        <v>30</v>
      </c>
      <c r="B79" s="61" t="s">
        <v>14</v>
      </c>
      <c r="C79" s="61" t="s">
        <v>31</v>
      </c>
      <c r="D79" s="76">
        <f t="shared" si="1"/>
        <v>5.9264843088829545E-2</v>
      </c>
      <c r="E79" s="95">
        <v>0.06</v>
      </c>
      <c r="M79" s="82">
        <f>N19</f>
        <v>10916.785272505316</v>
      </c>
    </row>
    <row r="80" spans="1:13">
      <c r="A80" t="s">
        <v>44</v>
      </c>
      <c r="B80" t="s">
        <v>33</v>
      </c>
      <c r="C80" t="s">
        <v>45</v>
      </c>
      <c r="D80" s="54">
        <f t="shared" si="1"/>
        <v>0</v>
      </c>
      <c r="E80" s="89"/>
      <c r="M80" s="82"/>
    </row>
    <row r="81" spans="1:13">
      <c r="A81" s="61" t="s">
        <v>40</v>
      </c>
      <c r="B81" s="75" t="s">
        <v>258</v>
      </c>
      <c r="C81" s="75" t="s">
        <v>41</v>
      </c>
      <c r="D81" s="76">
        <f t="shared" si="1"/>
        <v>0</v>
      </c>
      <c r="E81" s="95"/>
      <c r="M81" s="83">
        <f>N21*0</f>
        <v>0</v>
      </c>
    </row>
    <row r="82" spans="1:13">
      <c r="A82" s="61" t="s">
        <v>42</v>
      </c>
      <c r="B82" s="61" t="s">
        <v>14</v>
      </c>
      <c r="C82" s="61" t="s">
        <v>43</v>
      </c>
      <c r="D82" s="76">
        <f t="shared" si="1"/>
        <v>0.17700410150722326</v>
      </c>
      <c r="E82" s="95">
        <v>0.18</v>
      </c>
      <c r="M82" s="82">
        <f>N22</f>
        <v>32604.756341138462</v>
      </c>
    </row>
    <row r="83" spans="1:13">
      <c r="A83" t="s">
        <v>49</v>
      </c>
      <c r="B83" t="s">
        <v>33</v>
      </c>
      <c r="C83" t="s">
        <v>50</v>
      </c>
      <c r="D83" s="54">
        <f t="shared" si="1"/>
        <v>0</v>
      </c>
      <c r="E83" s="89"/>
      <c r="M83" s="82"/>
    </row>
    <row r="84" spans="1:13">
      <c r="A84" s="56" t="s">
        <v>740</v>
      </c>
      <c r="B84" s="56" t="s">
        <v>258</v>
      </c>
      <c r="C84" s="56" t="s">
        <v>905</v>
      </c>
      <c r="D84" s="77">
        <f t="shared" si="1"/>
        <v>0</v>
      </c>
      <c r="E84" s="91"/>
      <c r="M84" s="82"/>
    </row>
    <row r="85" spans="1:13">
      <c r="A85" s="61" t="s">
        <v>47</v>
      </c>
      <c r="B85" s="61" t="s">
        <v>14</v>
      </c>
      <c r="C85" s="61" t="s">
        <v>48</v>
      </c>
      <c r="D85" s="76">
        <f t="shared" si="1"/>
        <v>0.21627190586995482</v>
      </c>
      <c r="E85" s="95">
        <v>0.22</v>
      </c>
      <c r="M85" s="82">
        <f>N25</f>
        <v>39838.019200000002</v>
      </c>
    </row>
    <row r="86" spans="1:13">
      <c r="A86" t="s">
        <v>457</v>
      </c>
      <c r="B86" t="s">
        <v>33</v>
      </c>
      <c r="C86" t="s">
        <v>95</v>
      </c>
      <c r="D86" s="54">
        <f t="shared" si="1"/>
        <v>0</v>
      </c>
      <c r="E86" s="89"/>
      <c r="M86" s="82"/>
    </row>
    <row r="87" spans="1:13">
      <c r="A87" s="56" t="s">
        <v>906</v>
      </c>
      <c r="B87" s="56" t="s">
        <v>258</v>
      </c>
      <c r="C87" s="56" t="s">
        <v>907</v>
      </c>
      <c r="D87" s="77">
        <f t="shared" si="1"/>
        <v>0</v>
      </c>
      <c r="E87" s="91"/>
      <c r="M87" s="82"/>
    </row>
    <row r="88" spans="1:13">
      <c r="A88" t="s">
        <v>52</v>
      </c>
      <c r="B88" t="s">
        <v>33</v>
      </c>
      <c r="C88" t="s">
        <v>54</v>
      </c>
      <c r="D88" s="54">
        <f t="shared" si="1"/>
        <v>0</v>
      </c>
      <c r="E88" s="89"/>
      <c r="M88" s="82"/>
    </row>
    <row r="89" spans="1:13">
      <c r="A89" t="s">
        <v>504</v>
      </c>
      <c r="B89" t="s">
        <v>33</v>
      </c>
      <c r="C89" t="s">
        <v>96</v>
      </c>
      <c r="D89" s="54">
        <f t="shared" si="1"/>
        <v>0</v>
      </c>
      <c r="E89" s="92"/>
      <c r="M89" s="82"/>
    </row>
    <row r="90" spans="1:13">
      <c r="D90" s="54"/>
    </row>
    <row r="91" spans="1:13">
      <c r="A91" s="64" t="s">
        <v>910</v>
      </c>
      <c r="B91" s="64"/>
      <c r="C91" s="64"/>
      <c r="D91" s="65">
        <f>SUM(D92:D119)</f>
        <v>1</v>
      </c>
      <c r="E91" s="94">
        <f>SUM(E92:E119)</f>
        <v>1</v>
      </c>
      <c r="M91" s="42" t="e">
        <f>$M$30</f>
        <v>#VALUE!</v>
      </c>
    </row>
    <row r="92" spans="1:13">
      <c r="A92" t="s">
        <v>897</v>
      </c>
      <c r="B92" t="s">
        <v>36</v>
      </c>
      <c r="C92" t="s">
        <v>111</v>
      </c>
      <c r="D92" s="54">
        <f>M92/SUM($M$92:$M$119)</f>
        <v>0</v>
      </c>
      <c r="E92" s="89"/>
      <c r="M92" s="82"/>
    </row>
    <row r="93" spans="1:13">
      <c r="A93" t="s">
        <v>37</v>
      </c>
      <c r="B93" t="s">
        <v>33</v>
      </c>
      <c r="C93" t="s">
        <v>38</v>
      </c>
      <c r="D93" s="54">
        <f t="shared" ref="D93:D119" si="2">M93/SUM($M$92:$M$119)</f>
        <v>0</v>
      </c>
      <c r="E93" s="89"/>
      <c r="M93" s="82"/>
    </row>
    <row r="94" spans="1:13">
      <c r="A94" t="s">
        <v>32</v>
      </c>
      <c r="B94" t="s">
        <v>33</v>
      </c>
      <c r="C94" t="s">
        <v>35</v>
      </c>
      <c r="D94" s="54">
        <f t="shared" si="2"/>
        <v>0</v>
      </c>
      <c r="E94" s="89"/>
      <c r="M94" s="82"/>
    </row>
    <row r="95" spans="1:13">
      <c r="A95" s="56" t="s">
        <v>8</v>
      </c>
      <c r="B95" s="56" t="s">
        <v>9</v>
      </c>
      <c r="C95" s="56" t="s">
        <v>12</v>
      </c>
      <c r="D95" s="77">
        <f t="shared" si="2"/>
        <v>0</v>
      </c>
      <c r="E95" s="91"/>
      <c r="M95" s="82"/>
    </row>
    <row r="96" spans="1:13">
      <c r="A96" s="56" t="s">
        <v>8</v>
      </c>
      <c r="B96" s="56" t="s">
        <v>14</v>
      </c>
      <c r="C96" s="56" t="s">
        <v>15</v>
      </c>
      <c r="D96" s="77">
        <f t="shared" si="2"/>
        <v>0</v>
      </c>
      <c r="E96" s="91"/>
      <c r="M96" s="82"/>
    </row>
    <row r="97" spans="1:13">
      <c r="A97" s="61" t="s">
        <v>8</v>
      </c>
      <c r="B97" s="61" t="s">
        <v>16</v>
      </c>
      <c r="C97" s="61" t="s">
        <v>17</v>
      </c>
      <c r="D97" s="76">
        <f t="shared" si="2"/>
        <v>0.81889760542755918</v>
      </c>
      <c r="E97" s="95">
        <v>0.82</v>
      </c>
      <c r="M97" s="82">
        <f>N7</f>
        <v>13971.967904215528</v>
      </c>
    </row>
    <row r="98" spans="1:13">
      <c r="A98" s="56" t="s">
        <v>8</v>
      </c>
      <c r="B98" s="56" t="s">
        <v>18</v>
      </c>
      <c r="C98" s="56" t="s">
        <v>19</v>
      </c>
      <c r="D98" s="77">
        <f t="shared" si="2"/>
        <v>0</v>
      </c>
      <c r="E98" s="91"/>
      <c r="M98" s="82"/>
    </row>
    <row r="99" spans="1:13">
      <c r="A99" s="56" t="s">
        <v>20</v>
      </c>
      <c r="B99" s="56" t="s">
        <v>14</v>
      </c>
      <c r="C99" s="56" t="s">
        <v>21</v>
      </c>
      <c r="D99" s="77">
        <f t="shared" si="2"/>
        <v>0</v>
      </c>
      <c r="E99" s="91"/>
      <c r="M99" s="82"/>
    </row>
    <row r="100" spans="1:13">
      <c r="A100" s="61" t="s">
        <v>20</v>
      </c>
      <c r="B100" s="61" t="s">
        <v>16</v>
      </c>
      <c r="C100" s="61" t="s">
        <v>22</v>
      </c>
      <c r="D100" s="76">
        <f t="shared" si="2"/>
        <v>5.2499558812175946E-2</v>
      </c>
      <c r="E100" s="95">
        <v>0.05</v>
      </c>
      <c r="M100" s="82">
        <f>N10</f>
        <v>895.74343098269833</v>
      </c>
    </row>
    <row r="101" spans="1:13">
      <c r="A101" s="56" t="s">
        <v>20</v>
      </c>
      <c r="B101" s="56" t="s">
        <v>18</v>
      </c>
      <c r="C101" s="56" t="s">
        <v>23</v>
      </c>
      <c r="D101" s="77">
        <f t="shared" si="2"/>
        <v>0</v>
      </c>
      <c r="E101" s="91"/>
      <c r="M101" s="82"/>
    </row>
    <row r="102" spans="1:13">
      <c r="A102" s="56" t="s">
        <v>24</v>
      </c>
      <c r="B102" s="56" t="s">
        <v>9</v>
      </c>
      <c r="C102" s="56" t="s">
        <v>25</v>
      </c>
      <c r="D102" s="77">
        <f t="shared" si="2"/>
        <v>0</v>
      </c>
      <c r="E102" s="91"/>
      <c r="M102" s="82"/>
    </row>
    <row r="103" spans="1:13">
      <c r="A103" s="56" t="s">
        <v>26</v>
      </c>
      <c r="B103" s="56" t="s">
        <v>258</v>
      </c>
      <c r="C103" s="56" t="s">
        <v>902</v>
      </c>
      <c r="D103" s="77">
        <f t="shared" si="2"/>
        <v>0</v>
      </c>
      <c r="E103" s="91"/>
      <c r="M103" s="82"/>
    </row>
    <row r="104" spans="1:13">
      <c r="A104" s="56" t="s">
        <v>26</v>
      </c>
      <c r="B104" s="56" t="s">
        <v>14</v>
      </c>
      <c r="C104" s="56" t="s">
        <v>27</v>
      </c>
      <c r="D104" s="77">
        <f t="shared" si="2"/>
        <v>0</v>
      </c>
      <c r="E104" s="91"/>
      <c r="M104" s="82"/>
    </row>
    <row r="105" spans="1:13">
      <c r="A105" s="61" t="s">
        <v>26</v>
      </c>
      <c r="B105" s="61" t="s">
        <v>16</v>
      </c>
      <c r="C105" s="61" t="s">
        <v>28</v>
      </c>
      <c r="D105" s="76">
        <f t="shared" si="2"/>
        <v>0.12860283576026488</v>
      </c>
      <c r="E105" s="95">
        <v>0.13</v>
      </c>
      <c r="M105" s="82">
        <f>N15</f>
        <v>2194.211683761569</v>
      </c>
    </row>
    <row r="106" spans="1:13">
      <c r="A106" s="56" t="s">
        <v>26</v>
      </c>
      <c r="B106" s="56" t="s">
        <v>18</v>
      </c>
      <c r="C106" s="56" t="s">
        <v>29</v>
      </c>
      <c r="D106" s="77">
        <f t="shared" si="2"/>
        <v>0</v>
      </c>
      <c r="E106" s="91"/>
      <c r="M106" s="82"/>
    </row>
    <row r="107" spans="1:13">
      <c r="A107" s="56" t="s">
        <v>428</v>
      </c>
      <c r="B107" s="56" t="s">
        <v>258</v>
      </c>
      <c r="C107" s="56" t="s">
        <v>182</v>
      </c>
      <c r="D107" s="77">
        <f t="shared" si="2"/>
        <v>0</v>
      </c>
      <c r="E107" s="91"/>
      <c r="M107" s="82"/>
    </row>
    <row r="108" spans="1:13">
      <c r="A108" s="56" t="s">
        <v>30</v>
      </c>
      <c r="B108" s="56" t="s">
        <v>258</v>
      </c>
      <c r="C108" s="56" t="s">
        <v>904</v>
      </c>
      <c r="D108" s="77">
        <f t="shared" si="2"/>
        <v>0</v>
      </c>
      <c r="E108" s="91"/>
      <c r="M108" s="82"/>
    </row>
    <row r="109" spans="1:13">
      <c r="A109" s="56" t="s">
        <v>30</v>
      </c>
      <c r="B109" s="56" t="s">
        <v>14</v>
      </c>
      <c r="C109" s="56" t="s">
        <v>31</v>
      </c>
      <c r="D109" s="77">
        <f t="shared" si="2"/>
        <v>0</v>
      </c>
      <c r="E109" s="91"/>
      <c r="M109" s="82"/>
    </row>
    <row r="110" spans="1:13">
      <c r="A110" t="s">
        <v>44</v>
      </c>
      <c r="B110" t="s">
        <v>33</v>
      </c>
      <c r="C110" t="s">
        <v>45</v>
      </c>
      <c r="D110" s="54">
        <f t="shared" si="2"/>
        <v>0</v>
      </c>
      <c r="E110" s="89"/>
      <c r="M110" s="82"/>
    </row>
    <row r="111" spans="1:13">
      <c r="A111" s="56" t="s">
        <v>40</v>
      </c>
      <c r="B111" s="75" t="s">
        <v>258</v>
      </c>
      <c r="C111" s="75" t="s">
        <v>41</v>
      </c>
      <c r="D111" s="77">
        <f t="shared" si="2"/>
        <v>0</v>
      </c>
      <c r="E111" s="91"/>
      <c r="M111" s="82"/>
    </row>
    <row r="112" spans="1:13">
      <c r="A112" s="56" t="s">
        <v>42</v>
      </c>
      <c r="B112" s="56" t="s">
        <v>14</v>
      </c>
      <c r="C112" s="56" t="s">
        <v>43</v>
      </c>
      <c r="D112" s="77">
        <f t="shared" si="2"/>
        <v>0</v>
      </c>
      <c r="E112" s="91"/>
      <c r="M112" s="82"/>
    </row>
    <row r="113" spans="1:13">
      <c r="A113" t="s">
        <v>49</v>
      </c>
      <c r="B113" t="s">
        <v>33</v>
      </c>
      <c r="C113" t="s">
        <v>50</v>
      </c>
      <c r="D113" s="54">
        <f t="shared" si="2"/>
        <v>0</v>
      </c>
      <c r="E113" s="89"/>
      <c r="M113" s="82"/>
    </row>
    <row r="114" spans="1:13">
      <c r="A114" s="56" t="s">
        <v>740</v>
      </c>
      <c r="B114" s="56" t="s">
        <v>258</v>
      </c>
      <c r="C114" s="56" t="s">
        <v>905</v>
      </c>
      <c r="D114" s="77">
        <f t="shared" si="2"/>
        <v>0</v>
      </c>
      <c r="E114" s="91"/>
      <c r="M114" s="82"/>
    </row>
    <row r="115" spans="1:13">
      <c r="A115" s="56" t="s">
        <v>47</v>
      </c>
      <c r="B115" s="56" t="s">
        <v>14</v>
      </c>
      <c r="C115" s="56" t="s">
        <v>48</v>
      </c>
      <c r="D115" s="77">
        <f t="shared" si="2"/>
        <v>0</v>
      </c>
      <c r="E115" s="91"/>
      <c r="M115" s="82"/>
    </row>
    <row r="116" spans="1:13">
      <c r="A116" t="s">
        <v>457</v>
      </c>
      <c r="B116" t="s">
        <v>33</v>
      </c>
      <c r="C116" t="s">
        <v>95</v>
      </c>
      <c r="D116" s="54">
        <f t="shared" si="2"/>
        <v>0</v>
      </c>
      <c r="E116" s="89"/>
      <c r="M116" s="82"/>
    </row>
    <row r="117" spans="1:13">
      <c r="A117" s="56" t="s">
        <v>906</v>
      </c>
      <c r="B117" s="56" t="s">
        <v>258</v>
      </c>
      <c r="C117" s="56" t="s">
        <v>907</v>
      </c>
      <c r="D117" s="77">
        <f t="shared" si="2"/>
        <v>0</v>
      </c>
      <c r="E117" s="91"/>
      <c r="M117" s="82"/>
    </row>
    <row r="118" spans="1:13">
      <c r="A118" t="s">
        <v>52</v>
      </c>
      <c r="B118" t="s">
        <v>33</v>
      </c>
      <c r="C118" t="s">
        <v>54</v>
      </c>
      <c r="D118" s="54">
        <f t="shared" si="2"/>
        <v>0</v>
      </c>
      <c r="E118" s="89"/>
      <c r="F118" s="42"/>
      <c r="M118" s="82"/>
    </row>
    <row r="119" spans="1:13">
      <c r="A119" t="s">
        <v>504</v>
      </c>
      <c r="B119" t="s">
        <v>33</v>
      </c>
      <c r="C119" t="s">
        <v>96</v>
      </c>
      <c r="D119" s="54">
        <f t="shared" si="2"/>
        <v>0</v>
      </c>
      <c r="E119" s="92"/>
      <c r="F119" s="42"/>
      <c r="M119" s="82"/>
    </row>
    <row r="120" spans="1:13">
      <c r="D120" s="54"/>
      <c r="F120" s="42"/>
    </row>
    <row r="121" spans="1:13">
      <c r="A121" s="64" t="s">
        <v>911</v>
      </c>
      <c r="B121" s="64"/>
      <c r="C121" s="64"/>
      <c r="D121" s="65">
        <f>SUM(D122:D149)</f>
        <v>1</v>
      </c>
      <c r="E121" s="94">
        <f>SUM(E122:E149)</f>
        <v>1</v>
      </c>
      <c r="M121" s="42" t="e">
        <f>$M$30</f>
        <v>#VALUE!</v>
      </c>
    </row>
    <row r="122" spans="1:13">
      <c r="A122" t="s">
        <v>897</v>
      </c>
      <c r="B122" t="s">
        <v>36</v>
      </c>
      <c r="C122" t="s">
        <v>111</v>
      </c>
      <c r="D122" s="54">
        <f>M122/SUM($M$122:$M$149)</f>
        <v>0</v>
      </c>
      <c r="E122" s="89"/>
      <c r="M122" s="82"/>
    </row>
    <row r="123" spans="1:13">
      <c r="A123" t="s">
        <v>37</v>
      </c>
      <c r="B123" t="s">
        <v>33</v>
      </c>
      <c r="C123" t="s">
        <v>38</v>
      </c>
      <c r="D123" s="54">
        <f t="shared" ref="D123:D149" si="3">M123/SUM($M$122:$M$149)</f>
        <v>0</v>
      </c>
      <c r="E123" s="89"/>
      <c r="M123" s="82"/>
    </row>
    <row r="124" spans="1:13">
      <c r="A124" t="s">
        <v>32</v>
      </c>
      <c r="B124" t="s">
        <v>33</v>
      </c>
      <c r="C124" t="s">
        <v>35</v>
      </c>
      <c r="D124" s="54">
        <f t="shared" si="3"/>
        <v>0</v>
      </c>
      <c r="E124" s="89"/>
      <c r="M124" s="82"/>
    </row>
    <row r="125" spans="1:13">
      <c r="A125" s="61" t="s">
        <v>8</v>
      </c>
      <c r="B125" s="61" t="s">
        <v>9</v>
      </c>
      <c r="C125" s="61" t="s">
        <v>12</v>
      </c>
      <c r="D125" s="76">
        <f t="shared" si="3"/>
        <v>6.0271153622506762E-2</v>
      </c>
      <c r="E125" s="95">
        <v>0.06</v>
      </c>
      <c r="M125" s="82">
        <f>N5</f>
        <v>12433.636270178942</v>
      </c>
    </row>
    <row r="126" spans="1:13">
      <c r="A126" s="61" t="s">
        <v>8</v>
      </c>
      <c r="B126" s="61" t="s">
        <v>14</v>
      </c>
      <c r="C126" s="61" t="s">
        <v>15</v>
      </c>
      <c r="D126" s="76">
        <f t="shared" si="3"/>
        <v>0.25985063110512807</v>
      </c>
      <c r="E126" s="95">
        <v>0.26</v>
      </c>
      <c r="M126" s="82">
        <f>N6</f>
        <v>53605.880052893393</v>
      </c>
    </row>
    <row r="127" spans="1:13">
      <c r="A127" s="56" t="s">
        <v>8</v>
      </c>
      <c r="B127" s="56" t="s">
        <v>16</v>
      </c>
      <c r="C127" s="56" t="s">
        <v>17</v>
      </c>
      <c r="D127" s="77">
        <f t="shared" si="3"/>
        <v>0</v>
      </c>
      <c r="E127" s="91"/>
      <c r="M127" s="82"/>
    </row>
    <row r="128" spans="1:13">
      <c r="A128" s="56" t="s">
        <v>8</v>
      </c>
      <c r="B128" s="56" t="s">
        <v>18</v>
      </c>
      <c r="C128" s="56" t="s">
        <v>19</v>
      </c>
      <c r="D128" s="77">
        <f t="shared" si="3"/>
        <v>0</v>
      </c>
      <c r="E128" s="91"/>
      <c r="M128" s="82"/>
    </row>
    <row r="129" spans="1:13">
      <c r="A129" s="61" t="s">
        <v>20</v>
      </c>
      <c r="B129" s="61" t="s">
        <v>14</v>
      </c>
      <c r="C129" s="61" t="s">
        <v>21</v>
      </c>
      <c r="D129" s="76">
        <f t="shared" si="3"/>
        <v>4.7687782945242486E-2</v>
      </c>
      <c r="E129" s="95">
        <v>0.05</v>
      </c>
      <c r="M129" s="82">
        <f>N9</f>
        <v>9837.7501015837843</v>
      </c>
    </row>
    <row r="130" spans="1:13">
      <c r="A130" s="56" t="s">
        <v>20</v>
      </c>
      <c r="B130" s="56" t="s">
        <v>16</v>
      </c>
      <c r="C130" s="56" t="s">
        <v>22</v>
      </c>
      <c r="D130" s="77">
        <f t="shared" si="3"/>
        <v>0</v>
      </c>
      <c r="E130" s="91"/>
      <c r="M130" s="82"/>
    </row>
    <row r="131" spans="1:13">
      <c r="A131" s="56" t="s">
        <v>20</v>
      </c>
      <c r="B131" s="56" t="s">
        <v>18</v>
      </c>
      <c r="C131" s="56" t="s">
        <v>23</v>
      </c>
      <c r="D131" s="77">
        <f t="shared" si="3"/>
        <v>0</v>
      </c>
      <c r="E131" s="91"/>
      <c r="M131" s="82"/>
    </row>
    <row r="132" spans="1:13">
      <c r="A132" s="61" t="s">
        <v>24</v>
      </c>
      <c r="B132" s="61" t="s">
        <v>9</v>
      </c>
      <c r="C132" s="61" t="s">
        <v>25</v>
      </c>
      <c r="D132" s="76">
        <f t="shared" si="3"/>
        <v>7.6998983536233231E-2</v>
      </c>
      <c r="E132" s="95">
        <v>0.08</v>
      </c>
      <c r="M132" s="82">
        <f>N12</f>
        <v>15884.503563003182</v>
      </c>
    </row>
    <row r="133" spans="1:13">
      <c r="A133" s="56" t="s">
        <v>26</v>
      </c>
      <c r="B133" s="56" t="s">
        <v>258</v>
      </c>
      <c r="C133" s="56" t="s">
        <v>902</v>
      </c>
      <c r="D133" s="77">
        <f t="shared" si="3"/>
        <v>0</v>
      </c>
      <c r="E133" s="91"/>
      <c r="M133" s="82"/>
    </row>
    <row r="134" spans="1:13">
      <c r="A134" s="61" t="s">
        <v>26</v>
      </c>
      <c r="B134" s="61" t="s">
        <v>14</v>
      </c>
      <c r="C134" s="61" t="s">
        <v>27</v>
      </c>
      <c r="D134" s="76">
        <f t="shared" si="3"/>
        <v>0.15111199958310653</v>
      </c>
      <c r="E134" s="95">
        <v>0.15</v>
      </c>
      <c r="M134" s="82">
        <f>N14</f>
        <v>31173.646528215126</v>
      </c>
    </row>
    <row r="135" spans="1:13">
      <c r="A135" s="56" t="s">
        <v>26</v>
      </c>
      <c r="B135" s="56" t="s">
        <v>16</v>
      </c>
      <c r="C135" s="56" t="s">
        <v>28</v>
      </c>
      <c r="D135" s="77">
        <f t="shared" si="3"/>
        <v>0</v>
      </c>
      <c r="E135" s="91"/>
      <c r="M135" s="82"/>
    </row>
    <row r="136" spans="1:13">
      <c r="A136" s="56" t="s">
        <v>26</v>
      </c>
      <c r="B136" s="56" t="s">
        <v>18</v>
      </c>
      <c r="C136" s="56" t="s">
        <v>29</v>
      </c>
      <c r="D136" s="77">
        <f t="shared" si="3"/>
        <v>0</v>
      </c>
      <c r="E136" s="91"/>
      <c r="M136" s="82"/>
    </row>
    <row r="137" spans="1:13">
      <c r="A137" s="56" t="s">
        <v>428</v>
      </c>
      <c r="B137" s="56" t="s">
        <v>258</v>
      </c>
      <c r="C137" s="56" t="s">
        <v>182</v>
      </c>
      <c r="D137" s="77">
        <f t="shared" si="3"/>
        <v>0</v>
      </c>
      <c r="E137" s="91"/>
      <c r="M137" s="82"/>
    </row>
    <row r="138" spans="1:13">
      <c r="A138" s="56" t="s">
        <v>30</v>
      </c>
      <c r="B138" s="56" t="s">
        <v>258</v>
      </c>
      <c r="C138" s="56" t="s">
        <v>904</v>
      </c>
      <c r="D138" s="77">
        <f t="shared" si="3"/>
        <v>0</v>
      </c>
      <c r="E138" s="91"/>
      <c r="M138" s="82"/>
    </row>
    <row r="139" spans="1:13">
      <c r="A139" s="61" t="s">
        <v>30</v>
      </c>
      <c r="B139" s="61" t="s">
        <v>14</v>
      </c>
      <c r="C139" s="61" t="s">
        <v>31</v>
      </c>
      <c r="D139" s="76">
        <f t="shared" si="3"/>
        <v>5.2918327987538753E-2</v>
      </c>
      <c r="E139" s="95">
        <v>0.05</v>
      </c>
      <c r="M139" s="82">
        <f>N19</f>
        <v>10916.785272505316</v>
      </c>
    </row>
    <row r="140" spans="1:13">
      <c r="A140" t="s">
        <v>44</v>
      </c>
      <c r="B140" t="s">
        <v>33</v>
      </c>
      <c r="C140" t="s">
        <v>45</v>
      </c>
      <c r="D140" s="54">
        <f t="shared" si="3"/>
        <v>0</v>
      </c>
      <c r="E140" s="89"/>
      <c r="M140" s="82"/>
    </row>
    <row r="141" spans="1:13">
      <c r="A141" s="61" t="s">
        <v>40</v>
      </c>
      <c r="B141" s="75" t="s">
        <v>258</v>
      </c>
      <c r="C141" s="75" t="s">
        <v>41</v>
      </c>
      <c r="D141" s="76">
        <f t="shared" si="3"/>
        <v>0</v>
      </c>
      <c r="E141" s="95"/>
      <c r="M141" s="83">
        <f>N21*0</f>
        <v>0</v>
      </c>
    </row>
    <row r="142" spans="1:13">
      <c r="A142" s="61" t="s">
        <v>42</v>
      </c>
      <c r="B142" s="61" t="s">
        <v>14</v>
      </c>
      <c r="C142" s="61" t="s">
        <v>43</v>
      </c>
      <c r="D142" s="76">
        <f t="shared" si="3"/>
        <v>0.1580492010188807</v>
      </c>
      <c r="E142" s="95">
        <v>0.16</v>
      </c>
      <c r="M142" s="82">
        <f>N22</f>
        <v>32604.756341138462</v>
      </c>
    </row>
    <row r="143" spans="1:13">
      <c r="A143" t="s">
        <v>49</v>
      </c>
      <c r="B143" t="s">
        <v>33</v>
      </c>
      <c r="C143" t="s">
        <v>50</v>
      </c>
      <c r="D143" s="54">
        <f t="shared" si="3"/>
        <v>0</v>
      </c>
      <c r="E143" s="89"/>
      <c r="M143" s="82"/>
    </row>
    <row r="144" spans="1:13">
      <c r="A144" s="56" t="s">
        <v>740</v>
      </c>
      <c r="B144" s="56" t="s">
        <v>258</v>
      </c>
      <c r="C144" s="56" t="s">
        <v>905</v>
      </c>
      <c r="D144" s="77">
        <f t="shared" si="3"/>
        <v>0</v>
      </c>
      <c r="E144" s="91"/>
      <c r="M144" s="82"/>
    </row>
    <row r="145" spans="1:13">
      <c r="A145" s="61" t="s">
        <v>47</v>
      </c>
      <c r="B145" s="61" t="s">
        <v>14</v>
      </c>
      <c r="C145" s="61" t="s">
        <v>48</v>
      </c>
      <c r="D145" s="76">
        <f t="shared" si="3"/>
        <v>0.19311192020136345</v>
      </c>
      <c r="E145" s="95">
        <v>0.19</v>
      </c>
      <c r="M145" s="82">
        <f>N25</f>
        <v>39838.019200000002</v>
      </c>
    </row>
    <row r="146" spans="1:13">
      <c r="A146" t="s">
        <v>457</v>
      </c>
      <c r="B146" t="s">
        <v>33</v>
      </c>
      <c r="C146" t="s">
        <v>95</v>
      </c>
      <c r="D146" s="54">
        <f t="shared" si="3"/>
        <v>0</v>
      </c>
      <c r="E146" s="89"/>
      <c r="M146" s="82"/>
    </row>
    <row r="147" spans="1:13">
      <c r="A147" s="56" t="s">
        <v>906</v>
      </c>
      <c r="B147" s="56" t="s">
        <v>258</v>
      </c>
      <c r="C147" s="56" t="s">
        <v>907</v>
      </c>
      <c r="D147" s="77">
        <f t="shared" si="3"/>
        <v>0</v>
      </c>
      <c r="E147" s="91"/>
      <c r="M147" s="82"/>
    </row>
    <row r="148" spans="1:13">
      <c r="A148" t="s">
        <v>52</v>
      </c>
      <c r="B148" t="s">
        <v>33</v>
      </c>
      <c r="C148" t="s">
        <v>54</v>
      </c>
      <c r="D148" s="54">
        <f t="shared" si="3"/>
        <v>0</v>
      </c>
      <c r="E148" s="89"/>
      <c r="M148" s="82"/>
    </row>
    <row r="149" spans="1:13">
      <c r="A149" t="s">
        <v>504</v>
      </c>
      <c r="B149" t="s">
        <v>33</v>
      </c>
      <c r="C149" t="s">
        <v>96</v>
      </c>
      <c r="D149" s="54">
        <f t="shared" si="3"/>
        <v>0</v>
      </c>
      <c r="E149" s="92"/>
      <c r="M149" s="82"/>
    </row>
    <row r="150" spans="1:13">
      <c r="D150" s="54"/>
      <c r="E150" s="77"/>
    </row>
    <row r="151" spans="1:13">
      <c r="A151" s="64" t="s">
        <v>912</v>
      </c>
      <c r="B151" s="64"/>
      <c r="C151" s="64"/>
      <c r="D151" s="65">
        <f>SUM(D152:D179)</f>
        <v>1</v>
      </c>
      <c r="E151" s="94">
        <f>SUM(E152:E179)</f>
        <v>1</v>
      </c>
      <c r="M151" s="42" t="e">
        <f>$M$30</f>
        <v>#VALUE!</v>
      </c>
    </row>
    <row r="152" spans="1:13">
      <c r="A152" s="52" t="s">
        <v>897</v>
      </c>
      <c r="B152" s="52" t="s">
        <v>36</v>
      </c>
      <c r="C152" s="52" t="s">
        <v>111</v>
      </c>
      <c r="D152" s="78">
        <f>M152/SUM($M$152:$M$179)</f>
        <v>0</v>
      </c>
      <c r="E152" s="90"/>
      <c r="M152" s="82">
        <f>N2</f>
        <v>0</v>
      </c>
    </row>
    <row r="153" spans="1:13">
      <c r="A153" t="s">
        <v>37</v>
      </c>
      <c r="B153" t="s">
        <v>33</v>
      </c>
      <c r="C153" t="s">
        <v>38</v>
      </c>
      <c r="D153" s="54">
        <f t="shared" ref="D153:D179" si="4">M153/SUM($M$152:$M$179)</f>
        <v>0</v>
      </c>
      <c r="E153" s="89"/>
      <c r="F153" s="42"/>
      <c r="M153" s="82"/>
    </row>
    <row r="154" spans="1:13">
      <c r="A154" t="s">
        <v>32</v>
      </c>
      <c r="B154" t="s">
        <v>33</v>
      </c>
      <c r="C154" t="s">
        <v>35</v>
      </c>
      <c r="D154" s="54">
        <f t="shared" si="4"/>
        <v>0</v>
      </c>
      <c r="E154" s="89"/>
      <c r="F154" s="42"/>
      <c r="M154" s="82"/>
    </row>
    <row r="155" spans="1:13">
      <c r="A155" s="61" t="s">
        <v>8</v>
      </c>
      <c r="B155" s="61" t="s">
        <v>9</v>
      </c>
      <c r="C155" s="61" t="s">
        <v>12</v>
      </c>
      <c r="D155" s="76">
        <f t="shared" si="4"/>
        <v>6.0271153622506762E-2</v>
      </c>
      <c r="E155" s="95">
        <v>0.06</v>
      </c>
      <c r="M155" s="82">
        <f>N5</f>
        <v>12433.636270178942</v>
      </c>
    </row>
    <row r="156" spans="1:13">
      <c r="A156" s="61" t="s">
        <v>8</v>
      </c>
      <c r="B156" s="61" t="s">
        <v>14</v>
      </c>
      <c r="C156" s="61" t="s">
        <v>15</v>
      </c>
      <c r="D156" s="76">
        <f t="shared" si="4"/>
        <v>0.25985063110512807</v>
      </c>
      <c r="E156" s="95">
        <v>0.26</v>
      </c>
      <c r="F156" s="42"/>
      <c r="M156" s="82">
        <f>N6</f>
        <v>53605.880052893393</v>
      </c>
    </row>
    <row r="157" spans="1:13">
      <c r="A157" s="56" t="s">
        <v>8</v>
      </c>
      <c r="B157" s="56" t="s">
        <v>16</v>
      </c>
      <c r="C157" s="56" t="s">
        <v>17</v>
      </c>
      <c r="D157" s="77">
        <f t="shared" si="4"/>
        <v>0</v>
      </c>
      <c r="E157" s="91"/>
      <c r="M157" s="82"/>
    </row>
    <row r="158" spans="1:13">
      <c r="A158" s="56" t="s">
        <v>8</v>
      </c>
      <c r="B158" s="56" t="s">
        <v>18</v>
      </c>
      <c r="C158" s="56" t="s">
        <v>19</v>
      </c>
      <c r="D158" s="77">
        <f t="shared" si="4"/>
        <v>0</v>
      </c>
      <c r="E158" s="91"/>
      <c r="F158" s="42"/>
      <c r="M158" s="82"/>
    </row>
    <row r="159" spans="1:13">
      <c r="A159" s="61" t="s">
        <v>20</v>
      </c>
      <c r="B159" s="61" t="s">
        <v>14</v>
      </c>
      <c r="C159" s="61" t="s">
        <v>21</v>
      </c>
      <c r="D159" s="76">
        <f t="shared" si="4"/>
        <v>4.7687782945242486E-2</v>
      </c>
      <c r="E159" s="95">
        <v>0.05</v>
      </c>
      <c r="F159" s="42"/>
      <c r="M159" s="82">
        <f>N9</f>
        <v>9837.7501015837843</v>
      </c>
    </row>
    <row r="160" spans="1:13">
      <c r="A160" s="56" t="s">
        <v>20</v>
      </c>
      <c r="B160" s="56" t="s">
        <v>16</v>
      </c>
      <c r="C160" s="56" t="s">
        <v>22</v>
      </c>
      <c r="D160" s="77">
        <f t="shared" si="4"/>
        <v>0</v>
      </c>
      <c r="E160" s="91"/>
      <c r="M160" s="82"/>
    </row>
    <row r="161" spans="1:13">
      <c r="A161" s="56" t="s">
        <v>20</v>
      </c>
      <c r="B161" s="56" t="s">
        <v>18</v>
      </c>
      <c r="C161" s="56" t="s">
        <v>23</v>
      </c>
      <c r="D161" s="77">
        <f t="shared" si="4"/>
        <v>0</v>
      </c>
      <c r="E161" s="91"/>
      <c r="F161" s="42"/>
      <c r="M161" s="82"/>
    </row>
    <row r="162" spans="1:13">
      <c r="A162" s="61" t="s">
        <v>24</v>
      </c>
      <c r="B162" s="61" t="s">
        <v>9</v>
      </c>
      <c r="C162" s="61" t="s">
        <v>25</v>
      </c>
      <c r="D162" s="76">
        <f t="shared" si="4"/>
        <v>7.6998983536233231E-2</v>
      </c>
      <c r="E162" s="95">
        <v>0.08</v>
      </c>
      <c r="M162" s="82">
        <f>N12</f>
        <v>15884.503563003182</v>
      </c>
    </row>
    <row r="163" spans="1:13">
      <c r="A163" s="56" t="s">
        <v>26</v>
      </c>
      <c r="B163" s="56" t="s">
        <v>258</v>
      </c>
      <c r="C163" s="56" t="s">
        <v>902</v>
      </c>
      <c r="D163" s="77">
        <f t="shared" si="4"/>
        <v>0</v>
      </c>
      <c r="E163" s="91"/>
      <c r="M163" s="82"/>
    </row>
    <row r="164" spans="1:13">
      <c r="A164" s="61" t="s">
        <v>26</v>
      </c>
      <c r="B164" s="61" t="s">
        <v>14</v>
      </c>
      <c r="C164" s="61" t="s">
        <v>27</v>
      </c>
      <c r="D164" s="76">
        <f t="shared" si="4"/>
        <v>0.15111199958310653</v>
      </c>
      <c r="E164" s="95">
        <v>0.15</v>
      </c>
      <c r="M164" s="82">
        <f>N14</f>
        <v>31173.646528215126</v>
      </c>
    </row>
    <row r="165" spans="1:13">
      <c r="A165" s="56" t="s">
        <v>26</v>
      </c>
      <c r="B165" s="56" t="s">
        <v>16</v>
      </c>
      <c r="C165" s="56" t="s">
        <v>28</v>
      </c>
      <c r="D165" s="77">
        <f t="shared" si="4"/>
        <v>0</v>
      </c>
      <c r="E165" s="91"/>
      <c r="M165" s="82"/>
    </row>
    <row r="166" spans="1:13">
      <c r="A166" s="56" t="s">
        <v>26</v>
      </c>
      <c r="B166" s="56" t="s">
        <v>18</v>
      </c>
      <c r="C166" s="56" t="s">
        <v>29</v>
      </c>
      <c r="D166" s="77">
        <f t="shared" si="4"/>
        <v>0</v>
      </c>
      <c r="E166" s="91"/>
      <c r="M166" s="82"/>
    </row>
    <row r="167" spans="1:13">
      <c r="A167" s="56" t="s">
        <v>428</v>
      </c>
      <c r="B167" s="56" t="s">
        <v>258</v>
      </c>
      <c r="C167" s="56" t="s">
        <v>182</v>
      </c>
      <c r="D167" s="77">
        <f t="shared" si="4"/>
        <v>0</v>
      </c>
      <c r="E167" s="91"/>
      <c r="M167" s="82"/>
    </row>
    <row r="168" spans="1:13">
      <c r="A168" s="56" t="s">
        <v>30</v>
      </c>
      <c r="B168" s="56" t="s">
        <v>258</v>
      </c>
      <c r="C168" s="56" t="s">
        <v>904</v>
      </c>
      <c r="D168" s="77">
        <f t="shared" si="4"/>
        <v>0</v>
      </c>
      <c r="E168" s="91"/>
      <c r="M168" s="82"/>
    </row>
    <row r="169" spans="1:13">
      <c r="A169" s="61" t="s">
        <v>30</v>
      </c>
      <c r="B169" s="61" t="s">
        <v>14</v>
      </c>
      <c r="C169" s="61" t="s">
        <v>31</v>
      </c>
      <c r="D169" s="76">
        <f t="shared" si="4"/>
        <v>5.2918327987538753E-2</v>
      </c>
      <c r="E169" s="95">
        <v>0.05</v>
      </c>
      <c r="M169" s="82">
        <f>N19</f>
        <v>10916.785272505316</v>
      </c>
    </row>
    <row r="170" spans="1:13">
      <c r="A170" t="s">
        <v>44</v>
      </c>
      <c r="B170" t="s">
        <v>33</v>
      </c>
      <c r="C170" t="s">
        <v>45</v>
      </c>
      <c r="D170" s="54">
        <f t="shared" si="4"/>
        <v>0</v>
      </c>
      <c r="E170" s="89"/>
      <c r="M170" s="82"/>
    </row>
    <row r="171" spans="1:13">
      <c r="A171" s="61" t="s">
        <v>40</v>
      </c>
      <c r="B171" s="75" t="s">
        <v>258</v>
      </c>
      <c r="C171" s="75" t="s">
        <v>41</v>
      </c>
      <c r="D171" s="76">
        <f t="shared" si="4"/>
        <v>0</v>
      </c>
      <c r="E171" s="95"/>
      <c r="F171" s="42"/>
      <c r="M171" s="83">
        <f>N21*0</f>
        <v>0</v>
      </c>
    </row>
    <row r="172" spans="1:13">
      <c r="A172" s="61" t="s">
        <v>42</v>
      </c>
      <c r="B172" s="61" t="s">
        <v>14</v>
      </c>
      <c r="C172" s="61" t="s">
        <v>43</v>
      </c>
      <c r="D172" s="76">
        <f t="shared" si="4"/>
        <v>0.1580492010188807</v>
      </c>
      <c r="E172" s="95">
        <v>0.16</v>
      </c>
      <c r="M172" s="82">
        <f>N22</f>
        <v>32604.756341138462</v>
      </c>
    </row>
    <row r="173" spans="1:13">
      <c r="A173" t="s">
        <v>49</v>
      </c>
      <c r="B173" t="s">
        <v>33</v>
      </c>
      <c r="C173" t="s">
        <v>50</v>
      </c>
      <c r="D173" s="54">
        <f t="shared" si="4"/>
        <v>0</v>
      </c>
      <c r="E173" s="89"/>
      <c r="M173" s="82"/>
    </row>
    <row r="174" spans="1:13">
      <c r="A174" s="56" t="s">
        <v>740</v>
      </c>
      <c r="B174" s="56" t="s">
        <v>258</v>
      </c>
      <c r="C174" s="56" t="s">
        <v>905</v>
      </c>
      <c r="D174" s="77">
        <f t="shared" si="4"/>
        <v>0</v>
      </c>
      <c r="E174" s="91"/>
      <c r="F174" s="42"/>
      <c r="M174" s="82"/>
    </row>
    <row r="175" spans="1:13">
      <c r="A175" s="61" t="s">
        <v>47</v>
      </c>
      <c r="B175" s="61" t="s">
        <v>14</v>
      </c>
      <c r="C175" s="61" t="s">
        <v>48</v>
      </c>
      <c r="D175" s="76">
        <f t="shared" si="4"/>
        <v>0.19311192020136345</v>
      </c>
      <c r="E175" s="95">
        <v>0.19</v>
      </c>
      <c r="M175" s="82">
        <f>N25</f>
        <v>39838.019200000002</v>
      </c>
    </row>
    <row r="176" spans="1:13">
      <c r="A176" t="s">
        <v>457</v>
      </c>
      <c r="B176" t="s">
        <v>33</v>
      </c>
      <c r="C176" t="s">
        <v>95</v>
      </c>
      <c r="D176" s="54">
        <f t="shared" si="4"/>
        <v>0</v>
      </c>
      <c r="E176" s="89"/>
      <c r="M176" s="82"/>
    </row>
    <row r="177" spans="1:13">
      <c r="A177" s="56" t="s">
        <v>906</v>
      </c>
      <c r="B177" s="56" t="s">
        <v>258</v>
      </c>
      <c r="C177" s="56" t="s">
        <v>907</v>
      </c>
      <c r="D177" s="77">
        <f t="shared" si="4"/>
        <v>0</v>
      </c>
      <c r="E177" s="91"/>
      <c r="M177" s="82"/>
    </row>
    <row r="178" spans="1:13">
      <c r="A178" t="s">
        <v>52</v>
      </c>
      <c r="B178" t="s">
        <v>33</v>
      </c>
      <c r="C178" t="s">
        <v>54</v>
      </c>
      <c r="D178" s="54">
        <f t="shared" si="4"/>
        <v>0</v>
      </c>
      <c r="E178" s="89"/>
      <c r="F178" s="42"/>
      <c r="M178" s="82"/>
    </row>
    <row r="179" spans="1:13">
      <c r="A179" t="s">
        <v>504</v>
      </c>
      <c r="B179" t="s">
        <v>33</v>
      </c>
      <c r="C179" t="s">
        <v>96</v>
      </c>
      <c r="D179" s="54">
        <f t="shared" si="4"/>
        <v>0</v>
      </c>
      <c r="E179" s="92"/>
      <c r="M179" s="82"/>
    </row>
    <row r="180" spans="1:13">
      <c r="D180" s="54"/>
    </row>
    <row r="181" spans="1:13">
      <c r="A181" s="64" t="s">
        <v>913</v>
      </c>
      <c r="B181" s="64"/>
      <c r="C181" s="64"/>
      <c r="D181" s="65">
        <f>SUM(D182:D209)</f>
        <v>0.99999999999999978</v>
      </c>
      <c r="E181" s="94">
        <f>SUM(E182:E209)</f>
        <v>1</v>
      </c>
      <c r="F181" s="42"/>
      <c r="M181" s="42" t="e">
        <f>$M$30</f>
        <v>#VALUE!</v>
      </c>
    </row>
    <row r="182" spans="1:13">
      <c r="A182" t="s">
        <v>897</v>
      </c>
      <c r="B182" t="s">
        <v>36</v>
      </c>
      <c r="C182" t="s">
        <v>111</v>
      </c>
      <c r="D182" s="54">
        <f t="shared" ref="D182:D209" si="5">M182/SUM($M$182:$M$209)</f>
        <v>0</v>
      </c>
      <c r="E182" s="89"/>
      <c r="M182" s="82"/>
    </row>
    <row r="183" spans="1:13">
      <c r="A183" t="s">
        <v>37</v>
      </c>
      <c r="B183" t="s">
        <v>33</v>
      </c>
      <c r="C183" t="s">
        <v>38</v>
      </c>
      <c r="D183" s="54">
        <f t="shared" si="5"/>
        <v>0</v>
      </c>
      <c r="E183" s="89"/>
      <c r="F183" s="42"/>
      <c r="M183" s="82"/>
    </row>
    <row r="184" spans="1:13">
      <c r="A184" t="s">
        <v>32</v>
      </c>
      <c r="B184" t="s">
        <v>33</v>
      </c>
      <c r="C184" t="s">
        <v>35</v>
      </c>
      <c r="D184" s="54">
        <f t="shared" si="5"/>
        <v>0</v>
      </c>
      <c r="E184" s="89"/>
      <c r="F184" s="42"/>
      <c r="M184" s="82"/>
    </row>
    <row r="185" spans="1:13">
      <c r="A185" s="56" t="s">
        <v>8</v>
      </c>
      <c r="B185" s="56" t="s">
        <v>9</v>
      </c>
      <c r="C185" s="56" t="s">
        <v>12</v>
      </c>
      <c r="D185" s="77">
        <f t="shared" si="5"/>
        <v>0</v>
      </c>
      <c r="E185" s="91"/>
      <c r="M185" s="82"/>
    </row>
    <row r="186" spans="1:13">
      <c r="A186" s="61" t="s">
        <v>8</v>
      </c>
      <c r="B186" s="61" t="s">
        <v>14</v>
      </c>
      <c r="C186" s="61" t="s">
        <v>15</v>
      </c>
      <c r="D186" s="76">
        <f t="shared" si="5"/>
        <v>0.2956814706329165</v>
      </c>
      <c r="E186" s="95">
        <v>0.3</v>
      </c>
      <c r="F186" s="42"/>
      <c r="M186" s="82">
        <f>N6</f>
        <v>53605.880052893393</v>
      </c>
    </row>
    <row r="187" spans="1:13">
      <c r="A187" s="56" t="s">
        <v>8</v>
      </c>
      <c r="B187" s="56" t="s">
        <v>16</v>
      </c>
      <c r="C187" s="56" t="s">
        <v>17</v>
      </c>
      <c r="D187" s="77">
        <f t="shared" si="5"/>
        <v>0</v>
      </c>
      <c r="E187" s="91"/>
      <c r="M187" s="82"/>
    </row>
    <row r="188" spans="1:13">
      <c r="A188" s="56" t="s">
        <v>8</v>
      </c>
      <c r="B188" s="56" t="s">
        <v>18</v>
      </c>
      <c r="C188" s="56" t="s">
        <v>19</v>
      </c>
      <c r="D188" s="77">
        <f t="shared" si="5"/>
        <v>0</v>
      </c>
      <c r="E188" s="91"/>
      <c r="M188" s="82"/>
    </row>
    <row r="189" spans="1:13">
      <c r="A189" s="61" t="s">
        <v>20</v>
      </c>
      <c r="B189" s="61" t="s">
        <v>14</v>
      </c>
      <c r="C189" s="61" t="s">
        <v>21</v>
      </c>
      <c r="D189" s="76">
        <f t="shared" si="5"/>
        <v>5.4263457943144272E-2</v>
      </c>
      <c r="E189" s="95">
        <v>0.06</v>
      </c>
      <c r="M189" s="82">
        <f>N9</f>
        <v>9837.7501015837843</v>
      </c>
    </row>
    <row r="190" spans="1:13">
      <c r="A190" s="56" t="s">
        <v>20</v>
      </c>
      <c r="B190" s="56" t="s">
        <v>16</v>
      </c>
      <c r="C190" s="56" t="s">
        <v>22</v>
      </c>
      <c r="D190" s="77">
        <f t="shared" si="5"/>
        <v>0</v>
      </c>
      <c r="E190" s="91"/>
      <c r="M190" s="82"/>
    </row>
    <row r="191" spans="1:13">
      <c r="A191" s="56" t="s">
        <v>20</v>
      </c>
      <c r="B191" s="56" t="s">
        <v>18</v>
      </c>
      <c r="C191" s="56" t="s">
        <v>23</v>
      </c>
      <c r="D191" s="77">
        <f t="shared" si="5"/>
        <v>0</v>
      </c>
      <c r="E191" s="91"/>
      <c r="M191" s="82"/>
    </row>
    <row r="192" spans="1:13">
      <c r="A192" s="56" t="s">
        <v>24</v>
      </c>
      <c r="B192" s="56" t="s">
        <v>9</v>
      </c>
      <c r="C192" s="56" t="s">
        <v>25</v>
      </c>
      <c r="D192" s="77">
        <f t="shared" si="5"/>
        <v>0</v>
      </c>
      <c r="E192" s="91"/>
      <c r="M192" s="82"/>
    </row>
    <row r="193" spans="1:13">
      <c r="A193" s="56" t="s">
        <v>26</v>
      </c>
      <c r="B193" s="56" t="s">
        <v>258</v>
      </c>
      <c r="C193" s="56" t="s">
        <v>902</v>
      </c>
      <c r="D193" s="77">
        <f t="shared" si="5"/>
        <v>0</v>
      </c>
      <c r="E193" s="91"/>
      <c r="M193" s="82"/>
    </row>
    <row r="194" spans="1:13">
      <c r="A194" s="61" t="s">
        <v>26</v>
      </c>
      <c r="B194" s="61" t="s">
        <v>14</v>
      </c>
      <c r="C194" s="61" t="s">
        <v>27</v>
      </c>
      <c r="D194" s="76">
        <f t="shared" si="5"/>
        <v>0.1719488541435828</v>
      </c>
      <c r="E194" s="95">
        <v>0.18</v>
      </c>
      <c r="M194" s="82">
        <f>N14</f>
        <v>31173.646528215126</v>
      </c>
    </row>
    <row r="195" spans="1:13">
      <c r="A195" s="56" t="s">
        <v>26</v>
      </c>
      <c r="B195" s="56" t="s">
        <v>16</v>
      </c>
      <c r="C195" s="56" t="s">
        <v>28</v>
      </c>
      <c r="D195" s="77">
        <f t="shared" si="5"/>
        <v>0</v>
      </c>
      <c r="E195" s="91"/>
      <c r="M195" s="82"/>
    </row>
    <row r="196" spans="1:13">
      <c r="A196" s="56" t="s">
        <v>26</v>
      </c>
      <c r="B196" s="56" t="s">
        <v>18</v>
      </c>
      <c r="C196" s="56" t="s">
        <v>29</v>
      </c>
      <c r="D196" s="77">
        <f t="shared" si="5"/>
        <v>0</v>
      </c>
      <c r="E196" s="91"/>
      <c r="M196" s="82"/>
    </row>
    <row r="197" spans="1:13">
      <c r="A197" s="56" t="s">
        <v>428</v>
      </c>
      <c r="B197" s="56" t="s">
        <v>258</v>
      </c>
      <c r="C197" s="56" t="s">
        <v>182</v>
      </c>
      <c r="D197" s="77">
        <f t="shared" si="5"/>
        <v>0</v>
      </c>
      <c r="E197" s="91"/>
      <c r="M197" s="82"/>
    </row>
    <row r="198" spans="1:13">
      <c r="A198" s="56" t="s">
        <v>30</v>
      </c>
      <c r="B198" s="56" t="s">
        <v>258</v>
      </c>
      <c r="C198" s="56" t="s">
        <v>904</v>
      </c>
      <c r="D198" s="77">
        <f t="shared" si="5"/>
        <v>0</v>
      </c>
      <c r="E198" s="91"/>
      <c r="M198" s="82"/>
    </row>
    <row r="199" spans="1:13">
      <c r="A199" s="61" t="s">
        <v>30</v>
      </c>
      <c r="B199" s="61" t="s">
        <v>14</v>
      </c>
      <c r="C199" s="61" t="s">
        <v>31</v>
      </c>
      <c r="D199" s="76">
        <f t="shared" si="5"/>
        <v>6.0215243566063045E-2</v>
      </c>
      <c r="E199" s="95">
        <v>0.06</v>
      </c>
      <c r="M199" s="82">
        <f>N19</f>
        <v>10916.785272505316</v>
      </c>
    </row>
    <row r="200" spans="1:13">
      <c r="A200" t="s">
        <v>44</v>
      </c>
      <c r="B200" t="s">
        <v>33</v>
      </c>
      <c r="C200" t="s">
        <v>45</v>
      </c>
      <c r="D200" s="54">
        <f t="shared" si="5"/>
        <v>0</v>
      </c>
      <c r="E200" s="89"/>
      <c r="M200" s="82"/>
    </row>
    <row r="201" spans="1:13">
      <c r="A201" s="61" t="s">
        <v>40</v>
      </c>
      <c r="B201" s="75" t="s">
        <v>258</v>
      </c>
      <c r="C201" s="75" t="s">
        <v>41</v>
      </c>
      <c r="D201" s="76">
        <f t="shared" si="5"/>
        <v>1.8308196832376496E-2</v>
      </c>
      <c r="E201" s="95"/>
      <c r="M201" s="82">
        <f>N21</f>
        <v>3319.2036054215996</v>
      </c>
    </row>
    <row r="202" spans="1:13">
      <c r="A202" s="61" t="s">
        <v>42</v>
      </c>
      <c r="B202" s="61" t="s">
        <v>14</v>
      </c>
      <c r="C202" s="61" t="s">
        <v>43</v>
      </c>
      <c r="D202" s="76">
        <f t="shared" si="5"/>
        <v>0.17984262724654915</v>
      </c>
      <c r="E202" s="95">
        <v>0.18</v>
      </c>
      <c r="M202" s="82">
        <f>N22</f>
        <v>32604.756341138462</v>
      </c>
    </row>
    <row r="203" spans="1:13">
      <c r="A203" t="s">
        <v>49</v>
      </c>
      <c r="B203" t="s">
        <v>33</v>
      </c>
      <c r="C203" t="s">
        <v>50</v>
      </c>
      <c r="D203" s="54">
        <f t="shared" si="5"/>
        <v>0</v>
      </c>
      <c r="E203" s="89"/>
      <c r="M203" s="82"/>
    </row>
    <row r="204" spans="1:13">
      <c r="A204" s="56" t="s">
        <v>740</v>
      </c>
      <c r="B204" s="56" t="s">
        <v>258</v>
      </c>
      <c r="C204" s="56" t="s">
        <v>905</v>
      </c>
      <c r="D204" s="77">
        <f t="shared" si="5"/>
        <v>0</v>
      </c>
      <c r="E204" s="91"/>
      <c r="M204" s="82"/>
    </row>
    <row r="205" spans="1:13">
      <c r="A205" s="61" t="s">
        <v>47</v>
      </c>
      <c r="B205" s="61" t="s">
        <v>14</v>
      </c>
      <c r="C205" s="61" t="s">
        <v>48</v>
      </c>
      <c r="D205" s="76">
        <f t="shared" si="5"/>
        <v>0.21974014963536767</v>
      </c>
      <c r="E205" s="95">
        <v>0.22</v>
      </c>
      <c r="M205" s="82">
        <f>N25</f>
        <v>39838.019200000002</v>
      </c>
    </row>
    <row r="206" spans="1:13">
      <c r="A206" t="s">
        <v>457</v>
      </c>
      <c r="B206" t="s">
        <v>33</v>
      </c>
      <c r="C206" t="s">
        <v>95</v>
      </c>
      <c r="D206" s="54">
        <f t="shared" si="5"/>
        <v>0</v>
      </c>
      <c r="E206" s="89"/>
      <c r="M206" s="82"/>
    </row>
    <row r="207" spans="1:13">
      <c r="A207" s="56" t="s">
        <v>906</v>
      </c>
      <c r="B207" s="56" t="s">
        <v>258</v>
      </c>
      <c r="C207" s="56" t="s">
        <v>907</v>
      </c>
      <c r="D207" s="77">
        <f t="shared" si="5"/>
        <v>0</v>
      </c>
      <c r="E207" s="91"/>
      <c r="M207" s="82"/>
    </row>
    <row r="208" spans="1:13">
      <c r="A208" t="s">
        <v>52</v>
      </c>
      <c r="B208" t="s">
        <v>33</v>
      </c>
      <c r="C208" t="s">
        <v>54</v>
      </c>
      <c r="D208" s="54">
        <f t="shared" si="5"/>
        <v>0</v>
      </c>
      <c r="E208" s="89"/>
      <c r="M208" s="82"/>
    </row>
    <row r="209" spans="1:13">
      <c r="A209" t="s">
        <v>504</v>
      </c>
      <c r="B209" t="s">
        <v>33</v>
      </c>
      <c r="C209" t="s">
        <v>96</v>
      </c>
      <c r="D209" s="54">
        <f t="shared" si="5"/>
        <v>0</v>
      </c>
      <c r="E209" s="92"/>
      <c r="M209" s="82"/>
    </row>
    <row r="210" spans="1:13">
      <c r="D210" s="54"/>
    </row>
    <row r="211" spans="1:13">
      <c r="A211" s="59" t="s">
        <v>914</v>
      </c>
      <c r="B211" s="59"/>
      <c r="C211" s="59"/>
      <c r="D211" s="60">
        <f>SUM(D212:D239)</f>
        <v>1</v>
      </c>
      <c r="E211" s="88">
        <f>SUM(E212:E239)</f>
        <v>1</v>
      </c>
      <c r="M211" s="42" t="e">
        <f>$M$30</f>
        <v>#VALUE!</v>
      </c>
    </row>
    <row r="212" spans="1:13">
      <c r="A212" s="52" t="s">
        <v>897</v>
      </c>
      <c r="B212" s="52" t="s">
        <v>36</v>
      </c>
      <c r="C212" s="52" t="s">
        <v>111</v>
      </c>
      <c r="D212" s="78">
        <v>0.18</v>
      </c>
      <c r="E212" s="90">
        <v>0.18</v>
      </c>
      <c r="M212" s="82">
        <f>N2</f>
        <v>0</v>
      </c>
    </row>
    <row r="213" spans="1:13">
      <c r="A213" t="s">
        <v>37</v>
      </c>
      <c r="B213" t="s">
        <v>33</v>
      </c>
      <c r="C213" t="s">
        <v>38</v>
      </c>
      <c r="D213" s="54">
        <v>0</v>
      </c>
      <c r="E213" s="89"/>
      <c r="M213" s="82"/>
    </row>
    <row r="214" spans="1:13">
      <c r="A214" s="52" t="s">
        <v>32</v>
      </c>
      <c r="B214" s="52" t="s">
        <v>33</v>
      </c>
      <c r="C214" s="52" t="s">
        <v>35</v>
      </c>
      <c r="D214" s="78">
        <v>0.5</v>
      </c>
      <c r="E214" s="90">
        <v>0.5</v>
      </c>
      <c r="M214" s="82">
        <f>N4</f>
        <v>183690.48408516037</v>
      </c>
    </row>
    <row r="215" spans="1:13">
      <c r="A215" s="56" t="s">
        <v>8</v>
      </c>
      <c r="B215" s="56" t="s">
        <v>9</v>
      </c>
      <c r="C215" s="56" t="s">
        <v>12</v>
      </c>
      <c r="D215" s="77">
        <v>0</v>
      </c>
      <c r="E215" s="91"/>
      <c r="M215" s="82"/>
    </row>
    <row r="216" spans="1:13">
      <c r="A216" s="56" t="s">
        <v>8</v>
      </c>
      <c r="B216" s="56" t="s">
        <v>14</v>
      </c>
      <c r="C216" s="56" t="s">
        <v>15</v>
      </c>
      <c r="D216" s="77">
        <v>0</v>
      </c>
      <c r="E216" s="91"/>
      <c r="M216" s="82"/>
    </row>
    <row r="217" spans="1:13">
      <c r="A217" s="56" t="s">
        <v>8</v>
      </c>
      <c r="B217" s="56" t="s">
        <v>16</v>
      </c>
      <c r="C217" s="56" t="s">
        <v>17</v>
      </c>
      <c r="D217" s="77">
        <v>0</v>
      </c>
      <c r="E217" s="91"/>
      <c r="M217" s="82"/>
    </row>
    <row r="218" spans="1:13">
      <c r="A218" s="56" t="s">
        <v>8</v>
      </c>
      <c r="B218" s="56" t="s">
        <v>18</v>
      </c>
      <c r="C218" s="56" t="s">
        <v>19</v>
      </c>
      <c r="D218" s="77">
        <v>0</v>
      </c>
      <c r="E218" s="91"/>
      <c r="M218" s="82"/>
    </row>
    <row r="219" spans="1:13">
      <c r="A219" s="56" t="s">
        <v>20</v>
      </c>
      <c r="B219" s="56" t="s">
        <v>14</v>
      </c>
      <c r="C219" s="56" t="s">
        <v>21</v>
      </c>
      <c r="D219" s="77">
        <v>0</v>
      </c>
      <c r="E219" s="91"/>
      <c r="M219" s="82"/>
    </row>
    <row r="220" spans="1:13">
      <c r="A220" s="56" t="s">
        <v>20</v>
      </c>
      <c r="B220" s="56" t="s">
        <v>16</v>
      </c>
      <c r="C220" s="56" t="s">
        <v>22</v>
      </c>
      <c r="D220" s="77">
        <v>0</v>
      </c>
      <c r="E220" s="91"/>
      <c r="M220" s="82"/>
    </row>
    <row r="221" spans="1:13">
      <c r="A221" s="56" t="s">
        <v>20</v>
      </c>
      <c r="B221" s="56" t="s">
        <v>18</v>
      </c>
      <c r="C221" s="56" t="s">
        <v>23</v>
      </c>
      <c r="D221" s="77">
        <v>0</v>
      </c>
      <c r="E221" s="91"/>
      <c r="M221" s="82"/>
    </row>
    <row r="222" spans="1:13">
      <c r="A222" s="56" t="s">
        <v>24</v>
      </c>
      <c r="B222" s="56" t="s">
        <v>9</v>
      </c>
      <c r="C222" s="56" t="s">
        <v>25</v>
      </c>
      <c r="D222" s="77">
        <v>0</v>
      </c>
      <c r="E222" s="91"/>
      <c r="M222" s="82"/>
    </row>
    <row r="223" spans="1:13">
      <c r="A223" s="56" t="s">
        <v>26</v>
      </c>
      <c r="B223" s="56" t="s">
        <v>258</v>
      </c>
      <c r="C223" s="56" t="s">
        <v>902</v>
      </c>
      <c r="D223" s="77">
        <v>0</v>
      </c>
      <c r="E223" s="91"/>
      <c r="M223" s="82"/>
    </row>
    <row r="224" spans="1:13">
      <c r="A224" s="56" t="s">
        <v>26</v>
      </c>
      <c r="B224" s="56" t="s">
        <v>14</v>
      </c>
      <c r="C224" s="56" t="s">
        <v>27</v>
      </c>
      <c r="D224" s="77">
        <v>0</v>
      </c>
      <c r="E224" s="91"/>
      <c r="M224" s="82"/>
    </row>
    <row r="225" spans="1:13">
      <c r="A225" s="56" t="s">
        <v>26</v>
      </c>
      <c r="B225" s="56" t="s">
        <v>16</v>
      </c>
      <c r="C225" s="56" t="s">
        <v>28</v>
      </c>
      <c r="D225" s="77">
        <v>0</v>
      </c>
      <c r="E225" s="91"/>
      <c r="M225" s="82"/>
    </row>
    <row r="226" spans="1:13">
      <c r="A226" s="56" t="s">
        <v>26</v>
      </c>
      <c r="B226" s="56" t="s">
        <v>18</v>
      </c>
      <c r="C226" s="56" t="s">
        <v>29</v>
      </c>
      <c r="D226" s="77">
        <v>0</v>
      </c>
      <c r="E226" s="91"/>
      <c r="M226" s="82"/>
    </row>
    <row r="227" spans="1:13">
      <c r="A227" s="56" t="s">
        <v>428</v>
      </c>
      <c r="B227" s="56" t="s">
        <v>258</v>
      </c>
      <c r="C227" s="56" t="s">
        <v>182</v>
      </c>
      <c r="D227" s="77">
        <v>0</v>
      </c>
      <c r="E227" s="91"/>
      <c r="M227" s="82"/>
    </row>
    <row r="228" spans="1:13">
      <c r="A228" s="56" t="s">
        <v>30</v>
      </c>
      <c r="B228" s="56" t="s">
        <v>258</v>
      </c>
      <c r="C228" s="56" t="s">
        <v>904</v>
      </c>
      <c r="D228" s="77">
        <v>0</v>
      </c>
      <c r="E228" s="91"/>
      <c r="M228" s="82"/>
    </row>
    <row r="229" spans="1:13">
      <c r="A229" s="56" t="s">
        <v>30</v>
      </c>
      <c r="B229" s="56" t="s">
        <v>14</v>
      </c>
      <c r="C229" s="56" t="s">
        <v>31</v>
      </c>
      <c r="D229" s="77">
        <v>0</v>
      </c>
      <c r="E229" s="91"/>
      <c r="M229" s="82"/>
    </row>
    <row r="230" spans="1:13">
      <c r="A230" s="52" t="s">
        <v>44</v>
      </c>
      <c r="B230" s="52" t="s">
        <v>33</v>
      </c>
      <c r="C230" s="52" t="s">
        <v>45</v>
      </c>
      <c r="D230" s="78">
        <v>0.05</v>
      </c>
      <c r="E230" s="90">
        <v>0.05</v>
      </c>
      <c r="M230" s="82">
        <f>N20</f>
        <v>35923.959946560062</v>
      </c>
    </row>
    <row r="231" spans="1:13">
      <c r="A231" s="56" t="s">
        <v>40</v>
      </c>
      <c r="B231" s="56" t="s">
        <v>258</v>
      </c>
      <c r="C231" s="56" t="s">
        <v>41</v>
      </c>
      <c r="D231" s="77">
        <v>0</v>
      </c>
      <c r="E231" s="91"/>
      <c r="M231" s="82"/>
    </row>
    <row r="232" spans="1:13">
      <c r="A232" s="56" t="s">
        <v>42</v>
      </c>
      <c r="B232" s="56" t="s">
        <v>14</v>
      </c>
      <c r="C232" s="56" t="s">
        <v>43</v>
      </c>
      <c r="D232" s="77">
        <v>0</v>
      </c>
      <c r="E232" s="91"/>
      <c r="M232" s="82"/>
    </row>
    <row r="233" spans="1:13">
      <c r="A233" s="52" t="s">
        <v>49</v>
      </c>
      <c r="B233" s="52" t="s">
        <v>33</v>
      </c>
      <c r="C233" s="52" t="s">
        <v>50</v>
      </c>
      <c r="D233" s="78">
        <v>0.06</v>
      </c>
      <c r="E233" s="90">
        <v>0.06</v>
      </c>
      <c r="M233" s="82">
        <f>N23</f>
        <v>61641.057280000001</v>
      </c>
    </row>
    <row r="234" spans="1:13">
      <c r="A234" s="56" t="s">
        <v>740</v>
      </c>
      <c r="B234" s="56" t="s">
        <v>258</v>
      </c>
      <c r="C234" s="56" t="s">
        <v>905</v>
      </c>
      <c r="D234" s="77">
        <v>0</v>
      </c>
      <c r="E234" s="91"/>
      <c r="M234" s="82"/>
    </row>
    <row r="235" spans="1:13">
      <c r="A235" s="56" t="s">
        <v>47</v>
      </c>
      <c r="B235" s="56" t="s">
        <v>14</v>
      </c>
      <c r="C235" s="56" t="s">
        <v>48</v>
      </c>
      <c r="D235" s="77">
        <v>0</v>
      </c>
      <c r="E235" s="91"/>
      <c r="M235" s="82"/>
    </row>
    <row r="236" spans="1:13">
      <c r="A236" t="s">
        <v>457</v>
      </c>
      <c r="B236" t="s">
        <v>33</v>
      </c>
      <c r="C236" t="s">
        <v>95</v>
      </c>
      <c r="D236" s="54">
        <v>0</v>
      </c>
      <c r="E236" s="89"/>
      <c r="M236" s="82"/>
    </row>
    <row r="237" spans="1:13">
      <c r="A237" s="56" t="s">
        <v>906</v>
      </c>
      <c r="B237" s="56" t="s">
        <v>258</v>
      </c>
      <c r="C237" s="56" t="s">
        <v>907</v>
      </c>
      <c r="D237" s="77">
        <v>0</v>
      </c>
      <c r="E237" s="91"/>
      <c r="M237" s="82"/>
    </row>
    <row r="238" spans="1:13">
      <c r="A238" s="52" t="s">
        <v>52</v>
      </c>
      <c r="B238" s="52" t="s">
        <v>33</v>
      </c>
      <c r="C238" s="52" t="s">
        <v>54</v>
      </c>
      <c r="D238" s="78">
        <v>0.16</v>
      </c>
      <c r="E238" s="90">
        <v>0.16</v>
      </c>
      <c r="M238" s="82"/>
    </row>
    <row r="239" spans="1:13">
      <c r="A239" s="52" t="s">
        <v>504</v>
      </c>
      <c r="B239" s="52" t="s">
        <v>33</v>
      </c>
      <c r="C239" s="52" t="s">
        <v>96</v>
      </c>
      <c r="D239" s="78">
        <v>0.05</v>
      </c>
      <c r="E239" s="93">
        <v>0.05</v>
      </c>
      <c r="M239" s="82"/>
    </row>
    <row r="240" spans="1:13">
      <c r="D240" s="54"/>
    </row>
    <row r="241" spans="1:13">
      <c r="A241" s="59" t="s">
        <v>915</v>
      </c>
      <c r="B241" s="59"/>
      <c r="C241" s="59"/>
      <c r="D241" s="60">
        <f>SUM(D242:D269)</f>
        <v>1</v>
      </c>
      <c r="E241" s="88">
        <f>SUM(E242:E269)</f>
        <v>1</v>
      </c>
      <c r="M241" s="42" t="e">
        <f>$M$30</f>
        <v>#VALUE!</v>
      </c>
    </row>
    <row r="242" spans="1:13">
      <c r="A242" t="s">
        <v>897</v>
      </c>
      <c r="B242" t="s">
        <v>36</v>
      </c>
      <c r="C242" t="s">
        <v>111</v>
      </c>
      <c r="D242" s="55"/>
      <c r="E242" s="96"/>
      <c r="M242" s="82">
        <f t="shared" ref="M242:M269" si="6">N2</f>
        <v>0</v>
      </c>
    </row>
    <row r="243" spans="1:13">
      <c r="A243" t="s">
        <v>37</v>
      </c>
      <c r="B243" t="s">
        <v>33</v>
      </c>
      <c r="C243" t="s">
        <v>38</v>
      </c>
      <c r="D243" s="55"/>
      <c r="E243" s="96"/>
      <c r="M243" s="82">
        <f t="shared" si="6"/>
        <v>0</v>
      </c>
    </row>
    <row r="244" spans="1:13">
      <c r="A244" t="s">
        <v>32</v>
      </c>
      <c r="B244" t="s">
        <v>33</v>
      </c>
      <c r="C244" t="s">
        <v>35</v>
      </c>
      <c r="D244" s="55"/>
      <c r="E244" s="96"/>
      <c r="M244" s="82">
        <f t="shared" si="6"/>
        <v>183690.48408516037</v>
      </c>
    </row>
    <row r="245" spans="1:13">
      <c r="A245" s="56" t="s">
        <v>8</v>
      </c>
      <c r="B245" s="56" t="s">
        <v>9</v>
      </c>
      <c r="C245" s="56" t="s">
        <v>12</v>
      </c>
      <c r="D245" s="57"/>
      <c r="E245" s="97"/>
      <c r="M245" s="82">
        <f t="shared" si="6"/>
        <v>12433.636270178942</v>
      </c>
    </row>
    <row r="246" spans="1:13">
      <c r="A246" s="56" t="s">
        <v>8</v>
      </c>
      <c r="B246" s="56" t="s">
        <v>14</v>
      </c>
      <c r="C246" s="56" t="s">
        <v>15</v>
      </c>
      <c r="D246" s="57"/>
      <c r="E246" s="97"/>
      <c r="M246" s="82">
        <f t="shared" si="6"/>
        <v>53605.880052893393</v>
      </c>
    </row>
    <row r="247" spans="1:13">
      <c r="A247" s="56" t="s">
        <v>8</v>
      </c>
      <c r="B247" s="56" t="s">
        <v>16</v>
      </c>
      <c r="C247" s="56" t="s">
        <v>17</v>
      </c>
      <c r="D247" s="57"/>
      <c r="E247" s="97"/>
      <c r="M247" s="82">
        <f t="shared" si="6"/>
        <v>13971.967904215528</v>
      </c>
    </row>
    <row r="248" spans="1:13">
      <c r="A248" s="56" t="s">
        <v>8</v>
      </c>
      <c r="B248" s="56" t="s">
        <v>18</v>
      </c>
      <c r="C248" s="56" t="s">
        <v>19</v>
      </c>
      <c r="D248" s="57"/>
      <c r="E248" s="97"/>
      <c r="M248" s="82">
        <f t="shared" si="6"/>
        <v>67577.847957108926</v>
      </c>
    </row>
    <row r="249" spans="1:13">
      <c r="A249" s="56" t="s">
        <v>20</v>
      </c>
      <c r="B249" s="56" t="s">
        <v>14</v>
      </c>
      <c r="C249" s="56" t="s">
        <v>21</v>
      </c>
      <c r="D249" s="57"/>
      <c r="E249" s="97"/>
      <c r="M249" s="82">
        <f t="shared" si="6"/>
        <v>9837.7501015837843</v>
      </c>
    </row>
    <row r="250" spans="1:13">
      <c r="A250" s="56" t="s">
        <v>20</v>
      </c>
      <c r="B250" s="56" t="s">
        <v>16</v>
      </c>
      <c r="C250" s="56" t="s">
        <v>22</v>
      </c>
      <c r="D250" s="57"/>
      <c r="E250" s="97"/>
      <c r="M250" s="82">
        <f t="shared" si="6"/>
        <v>895.74343098269833</v>
      </c>
    </row>
    <row r="251" spans="1:13">
      <c r="A251" s="56" t="s">
        <v>20</v>
      </c>
      <c r="B251" s="56" t="s">
        <v>18</v>
      </c>
      <c r="C251" s="56" t="s">
        <v>23</v>
      </c>
      <c r="D251" s="57"/>
      <c r="E251" s="97"/>
      <c r="M251" s="82">
        <f t="shared" si="6"/>
        <v>10733.493532566483</v>
      </c>
    </row>
    <row r="252" spans="1:13">
      <c r="A252" s="56" t="s">
        <v>24</v>
      </c>
      <c r="B252" s="56" t="s">
        <v>9</v>
      </c>
      <c r="C252" s="56" t="s">
        <v>25</v>
      </c>
      <c r="D252" s="57"/>
      <c r="E252" s="97"/>
      <c r="M252" s="82">
        <f t="shared" si="6"/>
        <v>15884.503563003182</v>
      </c>
    </row>
    <row r="253" spans="1:13">
      <c r="A253" s="56" t="s">
        <v>26</v>
      </c>
      <c r="B253" s="56" t="s">
        <v>258</v>
      </c>
      <c r="C253" s="56" t="s">
        <v>902</v>
      </c>
      <c r="D253" s="57"/>
      <c r="E253" s="97"/>
      <c r="M253" s="82">
        <f t="shared" si="6"/>
        <v>9082.063716128001</v>
      </c>
    </row>
    <row r="254" spans="1:13">
      <c r="A254" s="56" t="s">
        <v>26</v>
      </c>
      <c r="B254" s="56" t="s">
        <v>14</v>
      </c>
      <c r="C254" s="56" t="s">
        <v>27</v>
      </c>
      <c r="D254" s="57"/>
      <c r="E254" s="97"/>
      <c r="M254" s="82">
        <f t="shared" si="6"/>
        <v>31173.646528215126</v>
      </c>
    </row>
    <row r="255" spans="1:13">
      <c r="A255" s="56" t="s">
        <v>26</v>
      </c>
      <c r="B255" s="56" t="s">
        <v>16</v>
      </c>
      <c r="C255" s="56" t="s">
        <v>28</v>
      </c>
      <c r="D255" s="57"/>
      <c r="E255" s="97"/>
      <c r="M255" s="82">
        <f t="shared" si="6"/>
        <v>2194.211683761569</v>
      </c>
    </row>
    <row r="256" spans="1:13">
      <c r="A256" s="56" t="s">
        <v>26</v>
      </c>
      <c r="B256" s="56" t="s">
        <v>18</v>
      </c>
      <c r="C256" s="56" t="s">
        <v>29</v>
      </c>
      <c r="D256" s="57"/>
      <c r="E256" s="97"/>
      <c r="M256" s="82">
        <f t="shared" si="6"/>
        <v>58334.425491107875</v>
      </c>
    </row>
    <row r="257" spans="1:13">
      <c r="A257" s="56" t="s">
        <v>428</v>
      </c>
      <c r="B257" s="56" t="s">
        <v>258</v>
      </c>
      <c r="C257" s="56" t="s">
        <v>182</v>
      </c>
      <c r="D257" s="57"/>
      <c r="E257" s="97"/>
      <c r="M257" s="82">
        <f t="shared" si="6"/>
        <v>13049.578585758869</v>
      </c>
    </row>
    <row r="258" spans="1:13">
      <c r="A258" s="56" t="s">
        <v>30</v>
      </c>
      <c r="B258" s="56" t="s">
        <v>258</v>
      </c>
      <c r="C258" s="56" t="s">
        <v>904</v>
      </c>
      <c r="D258" s="57"/>
      <c r="E258" s="97"/>
      <c r="M258" s="82">
        <f t="shared" si="6"/>
        <v>10644.716975933999</v>
      </c>
    </row>
    <row r="259" spans="1:13">
      <c r="A259" s="56" t="s">
        <v>30</v>
      </c>
      <c r="B259" s="56" t="s">
        <v>14</v>
      </c>
      <c r="C259" s="56" t="s">
        <v>31</v>
      </c>
      <c r="D259" s="57"/>
      <c r="E259" s="97"/>
      <c r="M259" s="82">
        <f t="shared" si="6"/>
        <v>10916.785272505316</v>
      </c>
    </row>
    <row r="260" spans="1:13">
      <c r="A260" t="s">
        <v>44</v>
      </c>
      <c r="B260" t="s">
        <v>33</v>
      </c>
      <c r="C260" t="s">
        <v>45</v>
      </c>
      <c r="D260" s="55"/>
      <c r="E260" s="96"/>
      <c r="M260" s="82">
        <f t="shared" si="6"/>
        <v>35923.959946560062</v>
      </c>
    </row>
    <row r="261" spans="1:13">
      <c r="A261" s="56" t="s">
        <v>40</v>
      </c>
      <c r="B261" s="56" t="s">
        <v>258</v>
      </c>
      <c r="C261" s="56" t="s">
        <v>41</v>
      </c>
      <c r="D261" s="57"/>
      <c r="E261" s="97"/>
      <c r="M261" s="82">
        <f t="shared" si="6"/>
        <v>3319.2036054215996</v>
      </c>
    </row>
    <row r="262" spans="1:13">
      <c r="A262" s="56" t="s">
        <v>42</v>
      </c>
      <c r="B262" s="56" t="s">
        <v>14</v>
      </c>
      <c r="C262" s="56" t="s">
        <v>43</v>
      </c>
      <c r="D262" s="57"/>
      <c r="E262" s="97"/>
      <c r="M262" s="82">
        <f t="shared" si="6"/>
        <v>32604.756341138462</v>
      </c>
    </row>
    <row r="263" spans="1:13">
      <c r="A263" t="s">
        <v>49</v>
      </c>
      <c r="B263" t="s">
        <v>33</v>
      </c>
      <c r="C263" t="s">
        <v>50</v>
      </c>
      <c r="D263" s="55"/>
      <c r="E263" s="96"/>
      <c r="M263" s="82">
        <f t="shared" si="6"/>
        <v>61641.057280000001</v>
      </c>
    </row>
    <row r="264" spans="1:13">
      <c r="A264" s="56" t="s">
        <v>740</v>
      </c>
      <c r="B264" s="56" t="s">
        <v>258</v>
      </c>
      <c r="C264" s="56" t="s">
        <v>905</v>
      </c>
      <c r="D264" s="57"/>
      <c r="E264" s="97"/>
      <c r="M264" s="82">
        <f t="shared" si="6"/>
        <v>21803.038079999998</v>
      </c>
    </row>
    <row r="265" spans="1:13">
      <c r="A265" s="56" t="s">
        <v>47</v>
      </c>
      <c r="B265" s="56" t="s">
        <v>14</v>
      </c>
      <c r="C265" s="56" t="s">
        <v>48</v>
      </c>
      <c r="D265" s="57"/>
      <c r="E265" s="97"/>
      <c r="M265" s="82">
        <f t="shared" si="6"/>
        <v>39838.019200000002</v>
      </c>
    </row>
    <row r="266" spans="1:13">
      <c r="A266" t="s">
        <v>457</v>
      </c>
      <c r="B266" t="s">
        <v>33</v>
      </c>
      <c r="C266" t="s">
        <v>95</v>
      </c>
      <c r="D266" s="55"/>
      <c r="E266" s="96"/>
      <c r="M266" s="82">
        <f t="shared" si="6"/>
        <v>27316.629376900004</v>
      </c>
    </row>
    <row r="267" spans="1:13">
      <c r="A267" s="56" t="s">
        <v>906</v>
      </c>
      <c r="B267" s="56" t="s">
        <v>258</v>
      </c>
      <c r="C267" s="56" t="s">
        <v>907</v>
      </c>
      <c r="D267" s="57"/>
      <c r="E267" s="97"/>
      <c r="M267" s="82">
        <f t="shared" si="6"/>
        <v>27316.629376900004</v>
      </c>
    </row>
    <row r="268" spans="1:13">
      <c r="A268" s="52" t="s">
        <v>52</v>
      </c>
      <c r="B268" s="52" t="s">
        <v>33</v>
      </c>
      <c r="C268" s="52" t="s">
        <v>54</v>
      </c>
      <c r="D268" s="58">
        <v>0.95</v>
      </c>
      <c r="E268" s="98">
        <v>0.95</v>
      </c>
      <c r="M268" s="82">
        <f t="shared" si="6"/>
        <v>0</v>
      </c>
    </row>
    <row r="269" spans="1:13">
      <c r="A269" s="52" t="s">
        <v>504</v>
      </c>
      <c r="B269" s="52" t="s">
        <v>33</v>
      </c>
      <c r="C269" s="52" t="s">
        <v>96</v>
      </c>
      <c r="D269" s="58">
        <v>0.05</v>
      </c>
      <c r="E269" s="99">
        <v>0.05</v>
      </c>
      <c r="M269" s="82">
        <f t="shared" si="6"/>
        <v>0</v>
      </c>
    </row>
    <row r="271" spans="1:13">
      <c r="A271" s="59" t="s">
        <v>185</v>
      </c>
      <c r="B271" s="59"/>
      <c r="C271" s="59"/>
      <c r="D271" s="60">
        <f>SUM(D272:D299)</f>
        <v>0</v>
      </c>
      <c r="E271" s="88">
        <f>SUM(E272:E299)</f>
        <v>0</v>
      </c>
      <c r="M271" s="42" t="e">
        <f>$M$30</f>
        <v>#VALUE!</v>
      </c>
    </row>
    <row r="272" spans="1:13">
      <c r="A272" t="s">
        <v>897</v>
      </c>
      <c r="B272" t="s">
        <v>36</v>
      </c>
      <c r="C272" t="s">
        <v>111</v>
      </c>
      <c r="D272" s="55"/>
      <c r="E272" s="96"/>
      <c r="M272" s="82">
        <f t="shared" ref="M272:M299" si="7">N2</f>
        <v>0</v>
      </c>
    </row>
    <row r="273" spans="1:13">
      <c r="A273" s="52" t="s">
        <v>37</v>
      </c>
      <c r="B273" s="52" t="s">
        <v>33</v>
      </c>
      <c r="C273" s="52" t="s">
        <v>38</v>
      </c>
      <c r="D273" s="58"/>
      <c r="E273" s="98"/>
      <c r="M273" s="82">
        <f t="shared" si="7"/>
        <v>0</v>
      </c>
    </row>
    <row r="274" spans="1:13">
      <c r="A274" s="52" t="s">
        <v>32</v>
      </c>
      <c r="B274" s="52" t="s">
        <v>33</v>
      </c>
      <c r="C274" s="52" t="s">
        <v>35</v>
      </c>
      <c r="D274" s="58"/>
      <c r="E274" s="98"/>
      <c r="M274" s="82">
        <f t="shared" si="7"/>
        <v>183690.48408516037</v>
      </c>
    </row>
    <row r="275" spans="1:13">
      <c r="A275" s="56" t="s">
        <v>8</v>
      </c>
      <c r="B275" s="56" t="s">
        <v>9</v>
      </c>
      <c r="C275" s="56" t="s">
        <v>12</v>
      </c>
      <c r="D275" s="57"/>
      <c r="E275" s="97"/>
      <c r="M275" s="82">
        <f t="shared" si="7"/>
        <v>12433.636270178942</v>
      </c>
    </row>
    <row r="276" spans="1:13">
      <c r="A276" s="56" t="s">
        <v>8</v>
      </c>
      <c r="B276" s="56" t="s">
        <v>14</v>
      </c>
      <c r="C276" s="56" t="s">
        <v>15</v>
      </c>
      <c r="D276" s="57"/>
      <c r="E276" s="97"/>
      <c r="M276" s="82">
        <f t="shared" si="7"/>
        <v>53605.880052893393</v>
      </c>
    </row>
    <row r="277" spans="1:13">
      <c r="A277" s="56" t="s">
        <v>8</v>
      </c>
      <c r="B277" s="56" t="s">
        <v>16</v>
      </c>
      <c r="C277" s="56" t="s">
        <v>17</v>
      </c>
      <c r="D277" s="57"/>
      <c r="E277" s="97"/>
      <c r="M277" s="82">
        <f t="shared" si="7"/>
        <v>13971.967904215528</v>
      </c>
    </row>
    <row r="278" spans="1:13">
      <c r="A278" s="56" t="s">
        <v>8</v>
      </c>
      <c r="B278" s="56" t="s">
        <v>18</v>
      </c>
      <c r="C278" s="56" t="s">
        <v>19</v>
      </c>
      <c r="D278" s="57"/>
      <c r="E278" s="97"/>
      <c r="F278" s="42"/>
      <c r="M278" s="82">
        <f t="shared" si="7"/>
        <v>67577.847957108926</v>
      </c>
    </row>
    <row r="279" spans="1:13">
      <c r="A279" s="56" t="s">
        <v>20</v>
      </c>
      <c r="B279" s="56" t="s">
        <v>14</v>
      </c>
      <c r="C279" s="56" t="s">
        <v>21</v>
      </c>
      <c r="D279" s="57"/>
      <c r="E279" s="97"/>
      <c r="F279" s="42"/>
      <c r="M279" s="82">
        <f t="shared" si="7"/>
        <v>9837.7501015837843</v>
      </c>
    </row>
    <row r="280" spans="1:13">
      <c r="A280" s="56" t="s">
        <v>20</v>
      </c>
      <c r="B280" s="56" t="s">
        <v>16</v>
      </c>
      <c r="C280" s="56" t="s">
        <v>22</v>
      </c>
      <c r="D280" s="57"/>
      <c r="E280" s="97"/>
      <c r="M280" s="82">
        <f t="shared" si="7"/>
        <v>895.74343098269833</v>
      </c>
    </row>
    <row r="281" spans="1:13">
      <c r="A281" s="56" t="s">
        <v>20</v>
      </c>
      <c r="B281" s="56" t="s">
        <v>18</v>
      </c>
      <c r="C281" s="56" t="s">
        <v>23</v>
      </c>
      <c r="D281" s="57"/>
      <c r="E281" s="97"/>
      <c r="M281" s="82">
        <f t="shared" si="7"/>
        <v>10733.493532566483</v>
      </c>
    </row>
    <row r="282" spans="1:13">
      <c r="A282" s="56" t="s">
        <v>24</v>
      </c>
      <c r="B282" s="56" t="s">
        <v>9</v>
      </c>
      <c r="C282" s="56" t="s">
        <v>25</v>
      </c>
      <c r="D282" s="57"/>
      <c r="E282" s="97"/>
      <c r="M282" s="82">
        <f t="shared" si="7"/>
        <v>15884.503563003182</v>
      </c>
    </row>
    <row r="283" spans="1:13">
      <c r="A283" s="56" t="s">
        <v>26</v>
      </c>
      <c r="B283" s="56" t="s">
        <v>258</v>
      </c>
      <c r="C283" s="56" t="s">
        <v>902</v>
      </c>
      <c r="D283" s="57"/>
      <c r="E283" s="97"/>
      <c r="M283" s="82">
        <f t="shared" si="7"/>
        <v>9082.063716128001</v>
      </c>
    </row>
    <row r="284" spans="1:13">
      <c r="A284" s="56" t="s">
        <v>26</v>
      </c>
      <c r="B284" s="56" t="s">
        <v>14</v>
      </c>
      <c r="C284" s="56" t="s">
        <v>27</v>
      </c>
      <c r="D284" s="57"/>
      <c r="E284" s="97"/>
      <c r="M284" s="82">
        <f t="shared" si="7"/>
        <v>31173.646528215126</v>
      </c>
    </row>
    <row r="285" spans="1:13">
      <c r="A285" s="56" t="s">
        <v>26</v>
      </c>
      <c r="B285" s="56" t="s">
        <v>16</v>
      </c>
      <c r="C285" s="56" t="s">
        <v>28</v>
      </c>
      <c r="D285" s="57"/>
      <c r="E285" s="97"/>
      <c r="M285" s="82">
        <f t="shared" si="7"/>
        <v>2194.211683761569</v>
      </c>
    </row>
    <row r="286" spans="1:13">
      <c r="A286" s="56" t="s">
        <v>26</v>
      </c>
      <c r="B286" s="56" t="s">
        <v>18</v>
      </c>
      <c r="C286" s="56" t="s">
        <v>29</v>
      </c>
      <c r="D286" s="57"/>
      <c r="E286" s="97"/>
      <c r="M286" s="82">
        <f t="shared" si="7"/>
        <v>58334.425491107875</v>
      </c>
    </row>
    <row r="287" spans="1:13">
      <c r="A287" s="56" t="s">
        <v>428</v>
      </c>
      <c r="B287" s="56" t="s">
        <v>258</v>
      </c>
      <c r="C287" s="56" t="s">
        <v>182</v>
      </c>
      <c r="D287" s="57"/>
      <c r="E287" s="97"/>
      <c r="M287" s="82">
        <f t="shared" si="7"/>
        <v>13049.578585758869</v>
      </c>
    </row>
    <row r="288" spans="1:13">
      <c r="A288" s="56" t="s">
        <v>30</v>
      </c>
      <c r="B288" s="56" t="s">
        <v>258</v>
      </c>
      <c r="C288" s="56" t="s">
        <v>904</v>
      </c>
      <c r="D288" s="57"/>
      <c r="E288" s="97"/>
      <c r="M288" s="82">
        <f t="shared" si="7"/>
        <v>10644.716975933999</v>
      </c>
    </row>
    <row r="289" spans="1:13">
      <c r="A289" s="56" t="s">
        <v>30</v>
      </c>
      <c r="B289" s="56" t="s">
        <v>14</v>
      </c>
      <c r="C289" s="56" t="s">
        <v>31</v>
      </c>
      <c r="D289" s="57"/>
      <c r="E289" s="97"/>
      <c r="M289" s="82">
        <f t="shared" si="7"/>
        <v>10916.785272505316</v>
      </c>
    </row>
    <row r="290" spans="1:13">
      <c r="A290" s="52" t="s">
        <v>44</v>
      </c>
      <c r="B290" s="52" t="s">
        <v>33</v>
      </c>
      <c r="C290" s="52" t="s">
        <v>45</v>
      </c>
      <c r="D290" s="58"/>
      <c r="E290" s="98"/>
      <c r="M290" s="82">
        <f t="shared" si="7"/>
        <v>35923.959946560062</v>
      </c>
    </row>
    <row r="291" spans="1:13">
      <c r="A291" s="56" t="s">
        <v>40</v>
      </c>
      <c r="B291" s="56" t="s">
        <v>258</v>
      </c>
      <c r="C291" s="56" t="s">
        <v>41</v>
      </c>
      <c r="D291" s="57"/>
      <c r="E291" s="97"/>
      <c r="M291" s="82">
        <f t="shared" si="7"/>
        <v>3319.2036054215996</v>
      </c>
    </row>
    <row r="292" spans="1:13">
      <c r="A292" s="56" t="s">
        <v>42</v>
      </c>
      <c r="B292" s="56" t="s">
        <v>14</v>
      </c>
      <c r="C292" s="56" t="s">
        <v>43</v>
      </c>
      <c r="D292" s="57"/>
      <c r="E292" s="97"/>
      <c r="M292" s="82">
        <f t="shared" si="7"/>
        <v>32604.756341138462</v>
      </c>
    </row>
    <row r="293" spans="1:13">
      <c r="A293" s="52" t="s">
        <v>49</v>
      </c>
      <c r="B293" s="52" t="s">
        <v>33</v>
      </c>
      <c r="C293" s="52" t="s">
        <v>50</v>
      </c>
      <c r="D293" s="58"/>
      <c r="E293" s="98"/>
      <c r="M293" s="82">
        <f t="shared" si="7"/>
        <v>61641.057280000001</v>
      </c>
    </row>
    <row r="294" spans="1:13">
      <c r="A294" s="56" t="s">
        <v>740</v>
      </c>
      <c r="B294" s="56" t="s">
        <v>258</v>
      </c>
      <c r="C294" s="56" t="s">
        <v>905</v>
      </c>
      <c r="D294" s="57"/>
      <c r="E294" s="97"/>
      <c r="M294" s="82">
        <f t="shared" si="7"/>
        <v>21803.038079999998</v>
      </c>
    </row>
    <row r="295" spans="1:13">
      <c r="A295" s="56" t="s">
        <v>47</v>
      </c>
      <c r="B295" s="56" t="s">
        <v>14</v>
      </c>
      <c r="C295" s="56" t="s">
        <v>48</v>
      </c>
      <c r="D295" s="57"/>
      <c r="E295" s="97"/>
      <c r="M295" s="82">
        <f t="shared" si="7"/>
        <v>39838.019200000002</v>
      </c>
    </row>
    <row r="296" spans="1:13">
      <c r="A296" t="s">
        <v>457</v>
      </c>
      <c r="B296" t="s">
        <v>33</v>
      </c>
      <c r="C296" t="s">
        <v>95</v>
      </c>
      <c r="D296" s="55"/>
      <c r="E296" s="96"/>
      <c r="F296" s="42"/>
      <c r="M296" s="82">
        <f t="shared" si="7"/>
        <v>27316.629376900004</v>
      </c>
    </row>
    <row r="297" spans="1:13">
      <c r="A297" s="56" t="s">
        <v>906</v>
      </c>
      <c r="B297" s="56" t="s">
        <v>258</v>
      </c>
      <c r="C297" s="56" t="s">
        <v>907</v>
      </c>
      <c r="D297" s="57"/>
      <c r="E297" s="97"/>
      <c r="M297" s="82">
        <f t="shared" si="7"/>
        <v>27316.629376900004</v>
      </c>
    </row>
    <row r="298" spans="1:13">
      <c r="A298" s="52" t="s">
        <v>52</v>
      </c>
      <c r="B298" s="52" t="s">
        <v>33</v>
      </c>
      <c r="C298" s="52" t="s">
        <v>54</v>
      </c>
      <c r="D298" s="58"/>
      <c r="E298" s="98"/>
      <c r="M298" s="82">
        <f t="shared" si="7"/>
        <v>0</v>
      </c>
    </row>
    <row r="299" spans="1:13">
      <c r="A299" s="52" t="s">
        <v>504</v>
      </c>
      <c r="B299" s="52" t="s">
        <v>33</v>
      </c>
      <c r="C299" s="52" t="s">
        <v>96</v>
      </c>
      <c r="D299" s="58"/>
      <c r="E299" s="99"/>
      <c r="M299" s="82">
        <f t="shared" si="7"/>
        <v>0</v>
      </c>
    </row>
    <row r="300" spans="1:13">
      <c r="F300" s="42"/>
    </row>
    <row r="301" spans="1:13">
      <c r="A301" s="64" t="s">
        <v>916</v>
      </c>
      <c r="B301" s="64"/>
      <c r="C301" s="64"/>
      <c r="D301" s="65">
        <f>SUM(D302:D329)</f>
        <v>1</v>
      </c>
      <c r="E301" s="94">
        <f>SUM(E302:E329)</f>
        <v>1</v>
      </c>
      <c r="M301" s="42" t="e">
        <f>$M$30</f>
        <v>#VALUE!</v>
      </c>
    </row>
    <row r="302" spans="1:13">
      <c r="A302" t="s">
        <v>897</v>
      </c>
      <c r="B302" t="s">
        <v>36</v>
      </c>
      <c r="C302" t="s">
        <v>111</v>
      </c>
      <c r="D302" s="54">
        <f>M302/SUM($M$302:$M$329)</f>
        <v>0</v>
      </c>
      <c r="E302" s="89"/>
      <c r="M302" s="82"/>
    </row>
    <row r="303" spans="1:13">
      <c r="A303" s="52" t="s">
        <v>37</v>
      </c>
      <c r="B303" s="52" t="s">
        <v>33</v>
      </c>
      <c r="C303" s="52" t="s">
        <v>38</v>
      </c>
      <c r="D303" s="78">
        <f t="shared" ref="D303:D329" si="8">M303/SUM($M$302:$M$329)</f>
        <v>0</v>
      </c>
      <c r="E303" s="90">
        <v>0</v>
      </c>
      <c r="M303" s="82">
        <f>N3</f>
        <v>0</v>
      </c>
    </row>
    <row r="304" spans="1:13">
      <c r="A304" s="52" t="s">
        <v>32</v>
      </c>
      <c r="B304" s="52" t="s">
        <v>33</v>
      </c>
      <c r="C304" s="52" t="s">
        <v>35</v>
      </c>
      <c r="D304" s="78">
        <f t="shared" si="8"/>
        <v>0.65310894623736793</v>
      </c>
      <c r="E304" s="90">
        <v>0.65</v>
      </c>
      <c r="M304" s="82">
        <f>N4</f>
        <v>183690.48408516037</v>
      </c>
    </row>
    <row r="305" spans="1:13">
      <c r="A305" s="56" t="s">
        <v>8</v>
      </c>
      <c r="B305" s="56" t="s">
        <v>9</v>
      </c>
      <c r="C305" s="56" t="s">
        <v>12</v>
      </c>
      <c r="D305" s="77">
        <f t="shared" si="8"/>
        <v>0</v>
      </c>
      <c r="E305" s="91"/>
      <c r="M305" s="82"/>
    </row>
    <row r="306" spans="1:13">
      <c r="A306" s="56" t="s">
        <v>8</v>
      </c>
      <c r="B306" s="56" t="s">
        <v>14</v>
      </c>
      <c r="C306" s="56" t="s">
        <v>15</v>
      </c>
      <c r="D306" s="77">
        <f t="shared" si="8"/>
        <v>0</v>
      </c>
      <c r="E306" s="91"/>
      <c r="M306" s="82"/>
    </row>
    <row r="307" spans="1:13">
      <c r="A307" s="56" t="s">
        <v>8</v>
      </c>
      <c r="B307" s="56" t="s">
        <v>16</v>
      </c>
      <c r="C307" s="56" t="s">
        <v>17</v>
      </c>
      <c r="D307" s="77">
        <f t="shared" si="8"/>
        <v>0</v>
      </c>
      <c r="E307" s="91"/>
      <c r="M307" s="82"/>
    </row>
    <row r="308" spans="1:13">
      <c r="A308" s="56" t="s">
        <v>8</v>
      </c>
      <c r="B308" s="56" t="s">
        <v>18</v>
      </c>
      <c r="C308" s="56" t="s">
        <v>19</v>
      </c>
      <c r="D308" s="77">
        <f t="shared" si="8"/>
        <v>0</v>
      </c>
      <c r="E308" s="91"/>
      <c r="M308" s="82"/>
    </row>
    <row r="309" spans="1:13">
      <c r="A309" s="56" t="s">
        <v>20</v>
      </c>
      <c r="B309" s="56" t="s">
        <v>14</v>
      </c>
      <c r="C309" s="56" t="s">
        <v>21</v>
      </c>
      <c r="D309" s="77">
        <f t="shared" si="8"/>
        <v>0</v>
      </c>
      <c r="E309" s="91"/>
      <c r="M309" s="82"/>
    </row>
    <row r="310" spans="1:13">
      <c r="A310" s="56" t="s">
        <v>20</v>
      </c>
      <c r="B310" s="56" t="s">
        <v>16</v>
      </c>
      <c r="C310" s="56" t="s">
        <v>22</v>
      </c>
      <c r="D310" s="77">
        <f t="shared" si="8"/>
        <v>0</v>
      </c>
      <c r="E310" s="91"/>
      <c r="M310" s="82"/>
    </row>
    <row r="311" spans="1:13">
      <c r="A311" s="56" t="s">
        <v>20</v>
      </c>
      <c r="B311" s="56" t="s">
        <v>18</v>
      </c>
      <c r="C311" s="56" t="s">
        <v>23</v>
      </c>
      <c r="D311" s="77">
        <f t="shared" si="8"/>
        <v>0</v>
      </c>
      <c r="E311" s="91"/>
      <c r="M311" s="82"/>
    </row>
    <row r="312" spans="1:13">
      <c r="A312" s="56" t="s">
        <v>24</v>
      </c>
      <c r="B312" s="56" t="s">
        <v>9</v>
      </c>
      <c r="C312" s="56" t="s">
        <v>25</v>
      </c>
      <c r="D312" s="77">
        <f t="shared" si="8"/>
        <v>0</v>
      </c>
      <c r="E312" s="91"/>
      <c r="M312" s="82"/>
    </row>
    <row r="313" spans="1:13">
      <c r="A313" s="56" t="s">
        <v>26</v>
      </c>
      <c r="B313" s="56" t="s">
        <v>258</v>
      </c>
      <c r="C313" s="56" t="s">
        <v>902</v>
      </c>
      <c r="D313" s="77">
        <f t="shared" si="8"/>
        <v>0</v>
      </c>
      <c r="E313" s="91"/>
      <c r="M313" s="82"/>
    </row>
    <row r="314" spans="1:13">
      <c r="A314" s="56" t="s">
        <v>26</v>
      </c>
      <c r="B314" s="56" t="s">
        <v>14</v>
      </c>
      <c r="C314" s="56" t="s">
        <v>27</v>
      </c>
      <c r="D314" s="77">
        <f t="shared" si="8"/>
        <v>0</v>
      </c>
      <c r="E314" s="91"/>
      <c r="M314" s="82"/>
    </row>
    <row r="315" spans="1:13">
      <c r="A315" s="56" t="s">
        <v>26</v>
      </c>
      <c r="B315" s="56" t="s">
        <v>16</v>
      </c>
      <c r="C315" s="56" t="s">
        <v>28</v>
      </c>
      <c r="D315" s="77">
        <f t="shared" si="8"/>
        <v>0</v>
      </c>
      <c r="E315" s="91"/>
      <c r="M315" s="82"/>
    </row>
    <row r="316" spans="1:13">
      <c r="A316" s="56" t="s">
        <v>26</v>
      </c>
      <c r="B316" s="56" t="s">
        <v>18</v>
      </c>
      <c r="C316" s="56" t="s">
        <v>29</v>
      </c>
      <c r="D316" s="77">
        <f t="shared" si="8"/>
        <v>0</v>
      </c>
      <c r="E316" s="91"/>
      <c r="M316" s="82"/>
    </row>
    <row r="317" spans="1:13">
      <c r="A317" s="56" t="s">
        <v>428</v>
      </c>
      <c r="B317" s="56" t="s">
        <v>258</v>
      </c>
      <c r="C317" s="56" t="s">
        <v>182</v>
      </c>
      <c r="D317" s="77">
        <f t="shared" si="8"/>
        <v>0</v>
      </c>
      <c r="E317" s="91"/>
      <c r="M317" s="82"/>
    </row>
    <row r="318" spans="1:13">
      <c r="A318" s="56" t="s">
        <v>30</v>
      </c>
      <c r="B318" s="56" t="s">
        <v>258</v>
      </c>
      <c r="C318" s="56" t="s">
        <v>904</v>
      </c>
      <c r="D318" s="77">
        <f t="shared" si="8"/>
        <v>0</v>
      </c>
      <c r="E318" s="91"/>
      <c r="M318" s="82"/>
    </row>
    <row r="319" spans="1:13">
      <c r="A319" s="56" t="s">
        <v>30</v>
      </c>
      <c r="B319" s="56" t="s">
        <v>14</v>
      </c>
      <c r="C319" s="56" t="s">
        <v>31</v>
      </c>
      <c r="D319" s="77">
        <f t="shared" si="8"/>
        <v>0</v>
      </c>
      <c r="E319" s="91"/>
      <c r="M319" s="82"/>
    </row>
    <row r="320" spans="1:13">
      <c r="A320" s="52" t="s">
        <v>44</v>
      </c>
      <c r="B320" s="52" t="s">
        <v>33</v>
      </c>
      <c r="C320" s="52" t="s">
        <v>45</v>
      </c>
      <c r="D320" s="78">
        <f t="shared" si="8"/>
        <v>0.12772713699471752</v>
      </c>
      <c r="E320" s="90">
        <v>0.13</v>
      </c>
      <c r="M320" s="82">
        <f>N20</f>
        <v>35923.959946560062</v>
      </c>
    </row>
    <row r="321" spans="1:13">
      <c r="A321" s="56" t="s">
        <v>40</v>
      </c>
      <c r="B321" s="56" t="s">
        <v>258</v>
      </c>
      <c r="C321" s="56" t="s">
        <v>41</v>
      </c>
      <c r="D321" s="77">
        <f t="shared" si="8"/>
        <v>0</v>
      </c>
      <c r="E321" s="91"/>
      <c r="M321" s="82"/>
    </row>
    <row r="322" spans="1:13">
      <c r="A322" s="56" t="s">
        <v>42</v>
      </c>
      <c r="B322" s="56" t="s">
        <v>14</v>
      </c>
      <c r="C322" s="56" t="s">
        <v>43</v>
      </c>
      <c r="D322" s="77">
        <f t="shared" si="8"/>
        <v>0</v>
      </c>
      <c r="E322" s="91"/>
      <c r="M322" s="82"/>
    </row>
    <row r="323" spans="1:13">
      <c r="A323" s="52" t="s">
        <v>49</v>
      </c>
      <c r="B323" s="52" t="s">
        <v>33</v>
      </c>
      <c r="C323" s="52" t="s">
        <v>50</v>
      </c>
      <c r="D323" s="78">
        <f t="shared" si="8"/>
        <v>0.21916391676791466</v>
      </c>
      <c r="E323" s="90">
        <v>0.22</v>
      </c>
      <c r="M323" s="82">
        <f>N23</f>
        <v>61641.057280000001</v>
      </c>
    </row>
    <row r="324" spans="1:13">
      <c r="A324" s="56" t="s">
        <v>740</v>
      </c>
      <c r="B324" s="56" t="s">
        <v>258</v>
      </c>
      <c r="C324" s="56" t="s">
        <v>905</v>
      </c>
      <c r="D324" s="77">
        <f t="shared" si="8"/>
        <v>0</v>
      </c>
      <c r="E324" s="91"/>
      <c r="M324" s="82"/>
    </row>
    <row r="325" spans="1:13">
      <c r="A325" s="56" t="s">
        <v>47</v>
      </c>
      <c r="B325" s="56" t="s">
        <v>14</v>
      </c>
      <c r="C325" s="56" t="s">
        <v>48</v>
      </c>
      <c r="D325" s="77">
        <f t="shared" si="8"/>
        <v>0</v>
      </c>
      <c r="E325" s="91"/>
      <c r="M325" s="82"/>
    </row>
    <row r="326" spans="1:13">
      <c r="A326" t="s">
        <v>457</v>
      </c>
      <c r="B326" t="s">
        <v>33</v>
      </c>
      <c r="C326" t="s">
        <v>95</v>
      </c>
      <c r="D326" s="54">
        <f t="shared" si="8"/>
        <v>0</v>
      </c>
      <c r="E326" s="89"/>
      <c r="M326" s="82"/>
    </row>
    <row r="327" spans="1:13">
      <c r="A327" s="56" t="s">
        <v>906</v>
      </c>
      <c r="B327" s="56" t="s">
        <v>258</v>
      </c>
      <c r="C327" s="56" t="s">
        <v>907</v>
      </c>
      <c r="D327" s="77">
        <f t="shared" si="8"/>
        <v>0</v>
      </c>
      <c r="E327" s="91"/>
      <c r="M327" s="82"/>
    </row>
    <row r="328" spans="1:13">
      <c r="A328" t="s">
        <v>52</v>
      </c>
      <c r="B328" t="s">
        <v>33</v>
      </c>
      <c r="C328" t="s">
        <v>54</v>
      </c>
      <c r="D328" s="54">
        <f t="shared" si="8"/>
        <v>0</v>
      </c>
      <c r="E328" s="89"/>
      <c r="M328" s="82"/>
    </row>
    <row r="329" spans="1:13">
      <c r="A329" t="s">
        <v>504</v>
      </c>
      <c r="B329" t="s">
        <v>33</v>
      </c>
      <c r="C329" t="s">
        <v>96</v>
      </c>
      <c r="D329" s="54">
        <f t="shared" si="8"/>
        <v>0</v>
      </c>
      <c r="E329" s="92"/>
      <c r="M329" s="82"/>
    </row>
    <row r="331" spans="1:13">
      <c r="A331" s="59" t="s">
        <v>128</v>
      </c>
      <c r="B331" s="59"/>
      <c r="C331" s="59"/>
      <c r="D331" s="60">
        <f>SUM(D332:D359)</f>
        <v>1</v>
      </c>
      <c r="E331" s="88">
        <f>SUM(E332:E359)</f>
        <v>1</v>
      </c>
      <c r="M331" s="42" t="e">
        <f>$M$30</f>
        <v>#VALUE!</v>
      </c>
    </row>
    <row r="332" spans="1:13">
      <c r="A332" t="s">
        <v>897</v>
      </c>
      <c r="B332" t="s">
        <v>36</v>
      </c>
      <c r="C332" t="s">
        <v>111</v>
      </c>
      <c r="D332" s="55">
        <v>0</v>
      </c>
      <c r="E332" s="96"/>
      <c r="M332" s="82">
        <f t="shared" ref="M332:M359" si="9">N2</f>
        <v>0</v>
      </c>
    </row>
    <row r="333" spans="1:13">
      <c r="A333" s="52" t="s">
        <v>37</v>
      </c>
      <c r="B333" s="52" t="s">
        <v>33</v>
      </c>
      <c r="C333" s="52" t="s">
        <v>38</v>
      </c>
      <c r="D333" s="58">
        <v>0.18</v>
      </c>
      <c r="E333" s="98">
        <v>0.18</v>
      </c>
      <c r="M333" s="82">
        <f t="shared" si="9"/>
        <v>0</v>
      </c>
    </row>
    <row r="334" spans="1:13">
      <c r="A334" s="52" t="s">
        <v>32</v>
      </c>
      <c r="B334" s="52" t="s">
        <v>33</v>
      </c>
      <c r="C334" s="52" t="s">
        <v>35</v>
      </c>
      <c r="D334" s="58">
        <v>0.5</v>
      </c>
      <c r="E334" s="98">
        <v>0.5</v>
      </c>
      <c r="M334" s="82">
        <f t="shared" si="9"/>
        <v>183690.48408516037</v>
      </c>
    </row>
    <row r="335" spans="1:13">
      <c r="A335" s="56" t="s">
        <v>8</v>
      </c>
      <c r="B335" s="56" t="s">
        <v>9</v>
      </c>
      <c r="C335" s="56" t="s">
        <v>12</v>
      </c>
      <c r="D335" s="57">
        <v>0</v>
      </c>
      <c r="E335" s="97"/>
      <c r="M335" s="82">
        <f t="shared" si="9"/>
        <v>12433.636270178942</v>
      </c>
    </row>
    <row r="336" spans="1:13">
      <c r="A336" s="56" t="s">
        <v>8</v>
      </c>
      <c r="B336" s="56" t="s">
        <v>14</v>
      </c>
      <c r="C336" s="56" t="s">
        <v>15</v>
      </c>
      <c r="D336" s="57">
        <v>0</v>
      </c>
      <c r="E336" s="97"/>
      <c r="M336" s="82">
        <f t="shared" si="9"/>
        <v>53605.880052893393</v>
      </c>
    </row>
    <row r="337" spans="1:13">
      <c r="A337" s="56" t="s">
        <v>8</v>
      </c>
      <c r="B337" s="56" t="s">
        <v>16</v>
      </c>
      <c r="C337" s="56" t="s">
        <v>17</v>
      </c>
      <c r="D337" s="57">
        <v>0</v>
      </c>
      <c r="E337" s="97"/>
      <c r="M337" s="82">
        <f t="shared" si="9"/>
        <v>13971.967904215528</v>
      </c>
    </row>
    <row r="338" spans="1:13">
      <c r="A338" s="56" t="s">
        <v>8</v>
      </c>
      <c r="B338" s="56" t="s">
        <v>18</v>
      </c>
      <c r="C338" s="56" t="s">
        <v>19</v>
      </c>
      <c r="D338" s="57">
        <v>0</v>
      </c>
      <c r="E338" s="97"/>
      <c r="M338" s="82">
        <f t="shared" si="9"/>
        <v>67577.847957108926</v>
      </c>
    </row>
    <row r="339" spans="1:13">
      <c r="A339" s="56" t="s">
        <v>20</v>
      </c>
      <c r="B339" s="56" t="s">
        <v>14</v>
      </c>
      <c r="C339" s="56" t="s">
        <v>21</v>
      </c>
      <c r="D339" s="57">
        <v>0</v>
      </c>
      <c r="E339" s="97"/>
      <c r="M339" s="82">
        <f t="shared" si="9"/>
        <v>9837.7501015837843</v>
      </c>
    </row>
    <row r="340" spans="1:13">
      <c r="A340" s="56" t="s">
        <v>20</v>
      </c>
      <c r="B340" s="56" t="s">
        <v>16</v>
      </c>
      <c r="C340" s="56" t="s">
        <v>22</v>
      </c>
      <c r="D340" s="57">
        <v>0</v>
      </c>
      <c r="E340" s="97"/>
      <c r="M340" s="82">
        <f t="shared" si="9"/>
        <v>895.74343098269833</v>
      </c>
    </row>
    <row r="341" spans="1:13">
      <c r="A341" s="56" t="s">
        <v>20</v>
      </c>
      <c r="B341" s="56" t="s">
        <v>18</v>
      </c>
      <c r="C341" s="56" t="s">
        <v>23</v>
      </c>
      <c r="D341" s="57">
        <v>0</v>
      </c>
      <c r="E341" s="97"/>
      <c r="M341" s="82">
        <f t="shared" si="9"/>
        <v>10733.493532566483</v>
      </c>
    </row>
    <row r="342" spans="1:13">
      <c r="A342" s="56" t="s">
        <v>24</v>
      </c>
      <c r="B342" s="56" t="s">
        <v>9</v>
      </c>
      <c r="C342" s="56" t="s">
        <v>25</v>
      </c>
      <c r="D342" s="57">
        <v>0</v>
      </c>
      <c r="E342" s="97"/>
      <c r="M342" s="82">
        <f t="shared" si="9"/>
        <v>15884.503563003182</v>
      </c>
    </row>
    <row r="343" spans="1:13">
      <c r="A343" s="56" t="s">
        <v>26</v>
      </c>
      <c r="B343" s="56" t="s">
        <v>258</v>
      </c>
      <c r="C343" s="56" t="s">
        <v>902</v>
      </c>
      <c r="D343" s="57">
        <v>0</v>
      </c>
      <c r="E343" s="97"/>
      <c r="M343" s="82">
        <f t="shared" si="9"/>
        <v>9082.063716128001</v>
      </c>
    </row>
    <row r="344" spans="1:13">
      <c r="A344" s="56" t="s">
        <v>26</v>
      </c>
      <c r="B344" s="56" t="s">
        <v>14</v>
      </c>
      <c r="C344" s="56" t="s">
        <v>27</v>
      </c>
      <c r="D344" s="57">
        <v>0</v>
      </c>
      <c r="E344" s="97"/>
      <c r="M344" s="82">
        <f t="shared" si="9"/>
        <v>31173.646528215126</v>
      </c>
    </row>
    <row r="345" spans="1:13">
      <c r="A345" s="56" t="s">
        <v>26</v>
      </c>
      <c r="B345" s="56" t="s">
        <v>16</v>
      </c>
      <c r="C345" s="56" t="s">
        <v>28</v>
      </c>
      <c r="D345" s="57">
        <v>0</v>
      </c>
      <c r="E345" s="97"/>
      <c r="M345" s="82">
        <f t="shared" si="9"/>
        <v>2194.211683761569</v>
      </c>
    </row>
    <row r="346" spans="1:13">
      <c r="A346" s="56" t="s">
        <v>26</v>
      </c>
      <c r="B346" s="56" t="s">
        <v>18</v>
      </c>
      <c r="C346" s="56" t="s">
        <v>29</v>
      </c>
      <c r="D346" s="57">
        <v>0</v>
      </c>
      <c r="E346" s="97"/>
      <c r="M346" s="82">
        <f t="shared" si="9"/>
        <v>58334.425491107875</v>
      </c>
    </row>
    <row r="347" spans="1:13">
      <c r="A347" s="56" t="s">
        <v>428</v>
      </c>
      <c r="B347" s="56" t="s">
        <v>258</v>
      </c>
      <c r="C347" s="56" t="s">
        <v>182</v>
      </c>
      <c r="D347" s="57">
        <v>0</v>
      </c>
      <c r="E347" s="97"/>
      <c r="M347" s="82">
        <f t="shared" si="9"/>
        <v>13049.578585758869</v>
      </c>
    </row>
    <row r="348" spans="1:13">
      <c r="A348" s="56" t="s">
        <v>30</v>
      </c>
      <c r="B348" s="56" t="s">
        <v>258</v>
      </c>
      <c r="C348" s="56" t="s">
        <v>904</v>
      </c>
      <c r="D348" s="57">
        <v>0</v>
      </c>
      <c r="E348" s="97"/>
      <c r="M348" s="82">
        <f t="shared" si="9"/>
        <v>10644.716975933999</v>
      </c>
    </row>
    <row r="349" spans="1:13">
      <c r="A349" s="56" t="s">
        <v>30</v>
      </c>
      <c r="B349" s="56" t="s">
        <v>14</v>
      </c>
      <c r="C349" s="56" t="s">
        <v>31</v>
      </c>
      <c r="D349" s="57">
        <v>0</v>
      </c>
      <c r="E349" s="97"/>
      <c r="M349" s="82">
        <f t="shared" si="9"/>
        <v>10916.785272505316</v>
      </c>
    </row>
    <row r="350" spans="1:13">
      <c r="A350" s="52" t="s">
        <v>44</v>
      </c>
      <c r="B350" s="52" t="s">
        <v>33</v>
      </c>
      <c r="C350" s="52" t="s">
        <v>45</v>
      </c>
      <c r="D350" s="58">
        <v>0.05</v>
      </c>
      <c r="E350" s="98">
        <v>0.05</v>
      </c>
      <c r="M350" s="82">
        <f t="shared" si="9"/>
        <v>35923.959946560062</v>
      </c>
    </row>
    <row r="351" spans="1:13">
      <c r="A351" s="56" t="s">
        <v>40</v>
      </c>
      <c r="B351" s="56" t="s">
        <v>258</v>
      </c>
      <c r="C351" s="56" t="s">
        <v>41</v>
      </c>
      <c r="D351" s="57">
        <v>0</v>
      </c>
      <c r="E351" s="97"/>
      <c r="M351" s="82">
        <f t="shared" si="9"/>
        <v>3319.2036054215996</v>
      </c>
    </row>
    <row r="352" spans="1:13">
      <c r="A352" s="56" t="s">
        <v>42</v>
      </c>
      <c r="B352" s="56" t="s">
        <v>14</v>
      </c>
      <c r="C352" s="56" t="s">
        <v>43</v>
      </c>
      <c r="D352" s="57">
        <v>0</v>
      </c>
      <c r="E352" s="97"/>
      <c r="M352" s="82">
        <f t="shared" si="9"/>
        <v>32604.756341138462</v>
      </c>
    </row>
    <row r="353" spans="1:13">
      <c r="A353" s="52" t="s">
        <v>49</v>
      </c>
      <c r="B353" s="52" t="s">
        <v>33</v>
      </c>
      <c r="C353" s="52" t="s">
        <v>50</v>
      </c>
      <c r="D353" s="58">
        <v>0.06</v>
      </c>
      <c r="E353" s="98">
        <v>0.06</v>
      </c>
      <c r="M353" s="82">
        <f t="shared" si="9"/>
        <v>61641.057280000001</v>
      </c>
    </row>
    <row r="354" spans="1:13">
      <c r="A354" s="56" t="s">
        <v>740</v>
      </c>
      <c r="B354" s="56" t="s">
        <v>258</v>
      </c>
      <c r="C354" s="56" t="s">
        <v>905</v>
      </c>
      <c r="D354" s="57">
        <v>0</v>
      </c>
      <c r="E354" s="97"/>
      <c r="M354" s="82">
        <f t="shared" si="9"/>
        <v>21803.038079999998</v>
      </c>
    </row>
    <row r="355" spans="1:13">
      <c r="A355" s="56" t="s">
        <v>47</v>
      </c>
      <c r="B355" s="56" t="s">
        <v>14</v>
      </c>
      <c r="C355" s="56" t="s">
        <v>48</v>
      </c>
      <c r="D355" s="57">
        <v>0</v>
      </c>
      <c r="E355" s="97"/>
      <c r="M355" s="82">
        <f t="shared" si="9"/>
        <v>39838.019200000002</v>
      </c>
    </row>
    <row r="356" spans="1:13">
      <c r="A356" t="s">
        <v>457</v>
      </c>
      <c r="B356" t="s">
        <v>33</v>
      </c>
      <c r="C356" t="s">
        <v>95</v>
      </c>
      <c r="D356" s="55">
        <v>0</v>
      </c>
      <c r="E356" s="96"/>
      <c r="M356" s="82">
        <f t="shared" si="9"/>
        <v>27316.629376900004</v>
      </c>
    </row>
    <row r="357" spans="1:13">
      <c r="A357" s="56" t="s">
        <v>906</v>
      </c>
      <c r="B357" s="56" t="s">
        <v>258</v>
      </c>
      <c r="C357" s="56" t="s">
        <v>907</v>
      </c>
      <c r="D357" s="57">
        <v>0</v>
      </c>
      <c r="E357" s="97"/>
      <c r="M357" s="82">
        <f t="shared" si="9"/>
        <v>27316.629376900004</v>
      </c>
    </row>
    <row r="358" spans="1:13">
      <c r="A358" s="52" t="s">
        <v>52</v>
      </c>
      <c r="B358" s="52" t="s">
        <v>33</v>
      </c>
      <c r="C358" s="52" t="s">
        <v>54</v>
      </c>
      <c r="D358" s="58">
        <v>0.16</v>
      </c>
      <c r="E358" s="98">
        <v>0.16</v>
      </c>
      <c r="M358" s="82">
        <f t="shared" si="9"/>
        <v>0</v>
      </c>
    </row>
    <row r="359" spans="1:13">
      <c r="A359" s="52" t="s">
        <v>504</v>
      </c>
      <c r="B359" s="52" t="s">
        <v>33</v>
      </c>
      <c r="C359" s="52" t="s">
        <v>96</v>
      </c>
      <c r="D359" s="58">
        <v>0.05</v>
      </c>
      <c r="E359" s="99">
        <v>0.05</v>
      </c>
      <c r="M359" s="82">
        <f t="shared" si="9"/>
        <v>0</v>
      </c>
    </row>
    <row r="361" spans="1:13">
      <c r="A361" s="59" t="s">
        <v>134</v>
      </c>
      <c r="B361" s="59"/>
      <c r="C361" s="59"/>
      <c r="D361" s="60">
        <f>SUM(D362:D389)</f>
        <v>1.0000000000000002</v>
      </c>
      <c r="E361" s="88">
        <f>SUM(E362:E389)</f>
        <v>1.0000000000000002</v>
      </c>
      <c r="M361" s="42" t="e">
        <f>$M$30</f>
        <v>#VALUE!</v>
      </c>
    </row>
    <row r="362" spans="1:13">
      <c r="A362" t="s">
        <v>897</v>
      </c>
      <c r="B362" t="s">
        <v>36</v>
      </c>
      <c r="C362" t="s">
        <v>111</v>
      </c>
      <c r="D362" s="55">
        <v>0</v>
      </c>
      <c r="E362" s="96"/>
      <c r="M362" s="82">
        <f t="shared" ref="M362:M389" si="10">N2</f>
        <v>0</v>
      </c>
    </row>
    <row r="363" spans="1:13">
      <c r="A363" t="s">
        <v>37</v>
      </c>
      <c r="B363" t="s">
        <v>33</v>
      </c>
      <c r="C363" t="s">
        <v>38</v>
      </c>
      <c r="D363" s="55">
        <v>0</v>
      </c>
      <c r="E363" s="96"/>
      <c r="M363" s="82">
        <f t="shared" si="10"/>
        <v>0</v>
      </c>
    </row>
    <row r="364" spans="1:13">
      <c r="A364" t="s">
        <v>32</v>
      </c>
      <c r="B364" t="s">
        <v>33</v>
      </c>
      <c r="C364" t="s">
        <v>35</v>
      </c>
      <c r="D364" s="55">
        <v>0</v>
      </c>
      <c r="E364" s="96"/>
      <c r="M364" s="82">
        <f t="shared" si="10"/>
        <v>183690.48408516037</v>
      </c>
    </row>
    <row r="365" spans="1:13">
      <c r="A365" s="61" t="s">
        <v>8</v>
      </c>
      <c r="B365" s="61" t="s">
        <v>9</v>
      </c>
      <c r="C365" s="61" t="s">
        <v>12</v>
      </c>
      <c r="D365" s="62">
        <v>0.05</v>
      </c>
      <c r="E365" s="100">
        <v>0.05</v>
      </c>
      <c r="M365" s="82">
        <f t="shared" si="10"/>
        <v>12433.636270178942</v>
      </c>
    </row>
    <row r="366" spans="1:13">
      <c r="A366" s="56" t="s">
        <v>8</v>
      </c>
      <c r="B366" s="56" t="s">
        <v>14</v>
      </c>
      <c r="C366" s="56" t="s">
        <v>15</v>
      </c>
      <c r="D366" s="57">
        <v>0</v>
      </c>
      <c r="E366" s="97"/>
      <c r="M366" s="82">
        <f t="shared" si="10"/>
        <v>53605.880052893393</v>
      </c>
    </row>
    <row r="367" spans="1:13">
      <c r="A367" s="56" t="s">
        <v>8</v>
      </c>
      <c r="B367" s="56" t="s">
        <v>16</v>
      </c>
      <c r="C367" s="56" t="s">
        <v>17</v>
      </c>
      <c r="D367" s="57">
        <v>0</v>
      </c>
      <c r="E367" s="97"/>
      <c r="M367" s="82">
        <f t="shared" si="10"/>
        <v>13971.967904215528</v>
      </c>
    </row>
    <row r="368" spans="1:13">
      <c r="A368" s="61" t="s">
        <v>8</v>
      </c>
      <c r="B368" s="61" t="s">
        <v>18</v>
      </c>
      <c r="C368" s="61" t="s">
        <v>19</v>
      </c>
      <c r="D368" s="62">
        <v>0.23</v>
      </c>
      <c r="E368" s="100">
        <v>0.23</v>
      </c>
      <c r="F368" s="42"/>
      <c r="M368" s="82">
        <f t="shared" si="10"/>
        <v>67577.847957108926</v>
      </c>
    </row>
    <row r="369" spans="1:13">
      <c r="A369" s="56" t="s">
        <v>20</v>
      </c>
      <c r="B369" s="56" t="s">
        <v>14</v>
      </c>
      <c r="C369" s="56" t="s">
        <v>21</v>
      </c>
      <c r="D369" s="57">
        <v>0</v>
      </c>
      <c r="E369" s="97"/>
      <c r="F369" s="42"/>
      <c r="M369" s="82">
        <f t="shared" si="10"/>
        <v>9837.7501015837843</v>
      </c>
    </row>
    <row r="370" spans="1:13">
      <c r="A370" s="56" t="s">
        <v>20</v>
      </c>
      <c r="B370" s="56" t="s">
        <v>16</v>
      </c>
      <c r="C370" s="56" t="s">
        <v>22</v>
      </c>
      <c r="D370" s="57">
        <v>0</v>
      </c>
      <c r="E370" s="97"/>
      <c r="M370" s="82">
        <f t="shared" si="10"/>
        <v>895.74343098269833</v>
      </c>
    </row>
    <row r="371" spans="1:13">
      <c r="A371" s="61" t="s">
        <v>20</v>
      </c>
      <c r="B371" s="61" t="s">
        <v>18</v>
      </c>
      <c r="C371" s="61" t="s">
        <v>23</v>
      </c>
      <c r="D371" s="62">
        <v>0.09</v>
      </c>
      <c r="E371" s="100">
        <v>0.09</v>
      </c>
      <c r="M371" s="82">
        <f t="shared" si="10"/>
        <v>10733.493532566483</v>
      </c>
    </row>
    <row r="372" spans="1:13">
      <c r="A372" s="61" t="s">
        <v>24</v>
      </c>
      <c r="B372" s="61" t="s">
        <v>9</v>
      </c>
      <c r="C372" s="61" t="s">
        <v>25</v>
      </c>
      <c r="D372" s="62">
        <v>0.05</v>
      </c>
      <c r="E372" s="100">
        <v>0.05</v>
      </c>
      <c r="M372" s="82">
        <f t="shared" si="10"/>
        <v>15884.503563003182</v>
      </c>
    </row>
    <row r="373" spans="1:13">
      <c r="A373" s="56" t="s">
        <v>26</v>
      </c>
      <c r="B373" s="56" t="s">
        <v>258</v>
      </c>
      <c r="C373" s="56" t="s">
        <v>902</v>
      </c>
      <c r="D373" s="57">
        <v>0</v>
      </c>
      <c r="E373" s="97"/>
      <c r="M373" s="82">
        <f t="shared" si="10"/>
        <v>9082.063716128001</v>
      </c>
    </row>
    <row r="374" spans="1:13">
      <c r="A374" s="56" t="s">
        <v>26</v>
      </c>
      <c r="B374" s="56" t="s">
        <v>14</v>
      </c>
      <c r="C374" s="56" t="s">
        <v>27</v>
      </c>
      <c r="D374" s="57">
        <v>0</v>
      </c>
      <c r="E374" s="97"/>
      <c r="M374" s="82">
        <f t="shared" si="10"/>
        <v>31173.646528215126</v>
      </c>
    </row>
    <row r="375" spans="1:13">
      <c r="A375" s="56" t="s">
        <v>26</v>
      </c>
      <c r="B375" s="56" t="s">
        <v>16</v>
      </c>
      <c r="C375" s="56" t="s">
        <v>28</v>
      </c>
      <c r="D375" s="57">
        <v>0</v>
      </c>
      <c r="E375" s="97"/>
      <c r="M375" s="82">
        <f t="shared" si="10"/>
        <v>2194.211683761569</v>
      </c>
    </row>
    <row r="376" spans="1:13">
      <c r="A376" s="61" t="s">
        <v>26</v>
      </c>
      <c r="B376" s="61" t="s">
        <v>18</v>
      </c>
      <c r="C376" s="61" t="s">
        <v>29</v>
      </c>
      <c r="D376" s="62">
        <v>0.14000000000000001</v>
      </c>
      <c r="E376" s="100">
        <v>0.14000000000000001</v>
      </c>
      <c r="M376" s="82">
        <f t="shared" si="10"/>
        <v>58334.425491107875</v>
      </c>
    </row>
    <row r="377" spans="1:13">
      <c r="A377" s="56" t="s">
        <v>428</v>
      </c>
      <c r="B377" s="56" t="s">
        <v>258</v>
      </c>
      <c r="C377" s="56" t="s">
        <v>182</v>
      </c>
      <c r="D377" s="57">
        <v>0</v>
      </c>
      <c r="E377" s="97"/>
      <c r="M377" s="82">
        <f t="shared" si="10"/>
        <v>13049.578585758869</v>
      </c>
    </row>
    <row r="378" spans="1:13">
      <c r="A378" s="56" t="s">
        <v>30</v>
      </c>
      <c r="B378" s="56" t="s">
        <v>258</v>
      </c>
      <c r="C378" s="56" t="s">
        <v>904</v>
      </c>
      <c r="D378" s="57">
        <v>0</v>
      </c>
      <c r="E378" s="97"/>
      <c r="M378" s="82">
        <f t="shared" si="10"/>
        <v>10644.716975933999</v>
      </c>
    </row>
    <row r="379" spans="1:13">
      <c r="A379" s="61" t="s">
        <v>30</v>
      </c>
      <c r="B379" s="61" t="s">
        <v>14</v>
      </c>
      <c r="C379" s="61" t="s">
        <v>31</v>
      </c>
      <c r="D379" s="62">
        <v>0.05</v>
      </c>
      <c r="E379" s="100">
        <v>0.05</v>
      </c>
      <c r="M379" s="82">
        <f t="shared" si="10"/>
        <v>10916.785272505316</v>
      </c>
    </row>
    <row r="380" spans="1:13">
      <c r="A380" t="s">
        <v>44</v>
      </c>
      <c r="B380" t="s">
        <v>33</v>
      </c>
      <c r="C380" t="s">
        <v>45</v>
      </c>
      <c r="D380" s="55">
        <v>0</v>
      </c>
      <c r="E380" s="96"/>
      <c r="M380" s="82">
        <f t="shared" si="10"/>
        <v>35923.959946560062</v>
      </c>
    </row>
    <row r="381" spans="1:13">
      <c r="A381" s="61" t="s">
        <v>40</v>
      </c>
      <c r="B381" s="61" t="s">
        <v>258</v>
      </c>
      <c r="C381" s="61" t="s">
        <v>41</v>
      </c>
      <c r="D381" s="62">
        <v>0.06</v>
      </c>
      <c r="E381" s="100"/>
      <c r="M381" s="82">
        <f t="shared" si="10"/>
        <v>3319.2036054215996</v>
      </c>
    </row>
    <row r="382" spans="1:13">
      <c r="A382" s="61" t="s">
        <v>42</v>
      </c>
      <c r="B382" s="61" t="s">
        <v>14</v>
      </c>
      <c r="C382" s="61" t="s">
        <v>43</v>
      </c>
      <c r="D382" s="62">
        <v>0.09</v>
      </c>
      <c r="E382" s="100">
        <f>9%+6%</f>
        <v>0.15</v>
      </c>
      <c r="M382" s="82">
        <f t="shared" si="10"/>
        <v>32604.756341138462</v>
      </c>
    </row>
    <row r="383" spans="1:13">
      <c r="A383" t="s">
        <v>49</v>
      </c>
      <c r="B383" t="s">
        <v>33</v>
      </c>
      <c r="C383" t="s">
        <v>50</v>
      </c>
      <c r="D383" s="55">
        <v>0</v>
      </c>
      <c r="E383" s="96"/>
      <c r="M383" s="82">
        <f t="shared" si="10"/>
        <v>61641.057280000001</v>
      </c>
    </row>
    <row r="384" spans="1:13">
      <c r="A384" s="56" t="s">
        <v>740</v>
      </c>
      <c r="B384" s="56" t="s">
        <v>258</v>
      </c>
      <c r="C384" s="56" t="s">
        <v>905</v>
      </c>
      <c r="D384" s="57">
        <v>0</v>
      </c>
      <c r="E384" s="97"/>
      <c r="M384" s="82">
        <f t="shared" si="10"/>
        <v>21803.038079999998</v>
      </c>
    </row>
    <row r="385" spans="1:13">
      <c r="A385" s="61" t="s">
        <v>47</v>
      </c>
      <c r="B385" s="61" t="s">
        <v>14</v>
      </c>
      <c r="C385" s="61" t="s">
        <v>48</v>
      </c>
      <c r="D385" s="62">
        <v>0.16</v>
      </c>
      <c r="E385" s="100">
        <v>0.16</v>
      </c>
      <c r="M385" s="82">
        <f t="shared" si="10"/>
        <v>39838.019200000002</v>
      </c>
    </row>
    <row r="386" spans="1:13">
      <c r="A386" t="s">
        <v>457</v>
      </c>
      <c r="B386" t="s">
        <v>33</v>
      </c>
      <c r="C386" t="s">
        <v>95</v>
      </c>
      <c r="D386" s="55">
        <v>0</v>
      </c>
      <c r="E386" s="96"/>
      <c r="F386" s="42"/>
      <c r="M386" s="82">
        <f t="shared" si="10"/>
        <v>27316.629376900004</v>
      </c>
    </row>
    <row r="387" spans="1:13">
      <c r="A387" s="56" t="s">
        <v>906</v>
      </c>
      <c r="B387" s="56" t="s">
        <v>258</v>
      </c>
      <c r="C387" s="56" t="s">
        <v>907</v>
      </c>
      <c r="D387" s="57">
        <v>0</v>
      </c>
      <c r="E387" s="97"/>
      <c r="M387" s="82">
        <f t="shared" si="10"/>
        <v>27316.629376900004</v>
      </c>
    </row>
    <row r="388" spans="1:13">
      <c r="A388" s="52" t="s">
        <v>52</v>
      </c>
      <c r="B388" s="52" t="s">
        <v>33</v>
      </c>
      <c r="C388" s="52" t="s">
        <v>54</v>
      </c>
      <c r="D388" s="58">
        <v>0.04</v>
      </c>
      <c r="E388" s="98">
        <v>0.04</v>
      </c>
      <c r="M388" s="82">
        <f t="shared" si="10"/>
        <v>0</v>
      </c>
    </row>
    <row r="389" spans="1:13">
      <c r="A389" s="52" t="s">
        <v>504</v>
      </c>
      <c r="B389" s="52" t="s">
        <v>33</v>
      </c>
      <c r="C389" s="52" t="s">
        <v>96</v>
      </c>
      <c r="D389" s="58">
        <v>0.04</v>
      </c>
      <c r="E389" s="99">
        <v>0.04</v>
      </c>
      <c r="M389" s="82">
        <f t="shared" si="10"/>
        <v>0</v>
      </c>
    </row>
    <row r="390" spans="1:13">
      <c r="F390" s="42"/>
    </row>
    <row r="391" spans="1:13">
      <c r="A391" s="64" t="s">
        <v>917</v>
      </c>
      <c r="B391" s="64"/>
      <c r="C391" s="64"/>
      <c r="D391" s="65">
        <f>SUM(D392:D419)</f>
        <v>1</v>
      </c>
      <c r="E391" s="65">
        <f>SUM(E392:E419)</f>
        <v>1</v>
      </c>
      <c r="M391" s="42" t="e">
        <f>$M$30</f>
        <v>#VALUE!</v>
      </c>
    </row>
    <row r="392" spans="1:13">
      <c r="A392" t="s">
        <v>897</v>
      </c>
      <c r="B392" t="s">
        <v>36</v>
      </c>
      <c r="C392" t="s">
        <v>111</v>
      </c>
      <c r="D392" s="54">
        <f>M392/SUM($M$392:$M$419)</f>
        <v>0</v>
      </c>
      <c r="E392" s="54"/>
      <c r="M392" s="82"/>
    </row>
    <row r="393" spans="1:13">
      <c r="A393" s="52" t="s">
        <v>37</v>
      </c>
      <c r="B393" s="52" t="s">
        <v>33</v>
      </c>
      <c r="C393" s="52" t="s">
        <v>38</v>
      </c>
      <c r="D393" s="78">
        <f t="shared" ref="D393:D419" si="11">M393/SUM($M$392:$M$419)</f>
        <v>0</v>
      </c>
      <c r="E393" s="78"/>
      <c r="M393" s="82">
        <f t="shared" ref="M393:M413" si="12">N3</f>
        <v>0</v>
      </c>
    </row>
    <row r="394" spans="1:13">
      <c r="A394" s="52" t="s">
        <v>32</v>
      </c>
      <c r="B394" s="52" t="s">
        <v>33</v>
      </c>
      <c r="C394" s="52" t="s">
        <v>35</v>
      </c>
      <c r="D394" s="78">
        <f t="shared" si="11"/>
        <v>0.65310894623736793</v>
      </c>
      <c r="E394" s="78">
        <v>0.65</v>
      </c>
      <c r="M394" s="82">
        <f t="shared" si="12"/>
        <v>183690.48408516037</v>
      </c>
    </row>
    <row r="395" spans="1:13">
      <c r="A395" s="56" t="s">
        <v>8</v>
      </c>
      <c r="B395" s="56" t="s">
        <v>9</v>
      </c>
      <c r="C395" s="56" t="s">
        <v>12</v>
      </c>
      <c r="D395" s="77">
        <f t="shared" si="11"/>
        <v>0</v>
      </c>
      <c r="E395" s="77"/>
      <c r="M395" s="82"/>
    </row>
    <row r="396" spans="1:13">
      <c r="A396" s="56" t="s">
        <v>8</v>
      </c>
      <c r="B396" s="56" t="s">
        <v>14</v>
      </c>
      <c r="C396" s="56" t="s">
        <v>15</v>
      </c>
      <c r="D396" s="77">
        <f t="shared" si="11"/>
        <v>0</v>
      </c>
      <c r="E396" s="77"/>
      <c r="M396" s="82"/>
    </row>
    <row r="397" spans="1:13">
      <c r="A397" s="56" t="s">
        <v>8</v>
      </c>
      <c r="B397" s="56" t="s">
        <v>16</v>
      </c>
      <c r="C397" s="56" t="s">
        <v>17</v>
      </c>
      <c r="D397" s="77">
        <f t="shared" si="11"/>
        <v>0</v>
      </c>
      <c r="E397" s="77"/>
      <c r="M397" s="82"/>
    </row>
    <row r="398" spans="1:13">
      <c r="A398" s="56" t="s">
        <v>8</v>
      </c>
      <c r="B398" s="56" t="s">
        <v>18</v>
      </c>
      <c r="C398" s="56" t="s">
        <v>19</v>
      </c>
      <c r="D398" s="77">
        <f t="shared" si="11"/>
        <v>0</v>
      </c>
      <c r="E398" s="77"/>
      <c r="M398" s="82"/>
    </row>
    <row r="399" spans="1:13">
      <c r="A399" s="56" t="s">
        <v>20</v>
      </c>
      <c r="B399" s="56" t="s">
        <v>14</v>
      </c>
      <c r="C399" s="56" t="s">
        <v>21</v>
      </c>
      <c r="D399" s="77">
        <f t="shared" si="11"/>
        <v>0</v>
      </c>
      <c r="E399" s="77"/>
      <c r="F399" s="42"/>
      <c r="M399" s="82"/>
    </row>
    <row r="400" spans="1:13">
      <c r="A400" s="56" t="s">
        <v>20</v>
      </c>
      <c r="B400" s="56" t="s">
        <v>16</v>
      </c>
      <c r="C400" s="56" t="s">
        <v>22</v>
      </c>
      <c r="D400" s="77">
        <f t="shared" si="11"/>
        <v>0</v>
      </c>
      <c r="E400" s="77"/>
      <c r="M400" s="82"/>
    </row>
    <row r="401" spans="1:13">
      <c r="A401" s="56" t="s">
        <v>20</v>
      </c>
      <c r="B401" s="56" t="s">
        <v>18</v>
      </c>
      <c r="C401" s="56" t="s">
        <v>23</v>
      </c>
      <c r="D401" s="77">
        <f t="shared" si="11"/>
        <v>0</v>
      </c>
      <c r="E401" s="77"/>
      <c r="M401" s="82"/>
    </row>
    <row r="402" spans="1:13">
      <c r="A402" s="56" t="s">
        <v>24</v>
      </c>
      <c r="B402" s="56" t="s">
        <v>9</v>
      </c>
      <c r="C402" s="56" t="s">
        <v>25</v>
      </c>
      <c r="D402" s="77">
        <f t="shared" si="11"/>
        <v>0</v>
      </c>
      <c r="E402" s="77"/>
      <c r="M402" s="82"/>
    </row>
    <row r="403" spans="1:13">
      <c r="A403" s="56" t="s">
        <v>26</v>
      </c>
      <c r="B403" s="56" t="s">
        <v>258</v>
      </c>
      <c r="C403" s="56" t="s">
        <v>902</v>
      </c>
      <c r="D403" s="77">
        <f t="shared" si="11"/>
        <v>0</v>
      </c>
      <c r="E403" s="77"/>
      <c r="M403" s="82"/>
    </row>
    <row r="404" spans="1:13">
      <c r="A404" s="56" t="s">
        <v>26</v>
      </c>
      <c r="B404" s="56" t="s">
        <v>14</v>
      </c>
      <c r="C404" s="56" t="s">
        <v>27</v>
      </c>
      <c r="D404" s="77">
        <f t="shared" si="11"/>
        <v>0</v>
      </c>
      <c r="E404" s="77"/>
      <c r="M404" s="82"/>
    </row>
    <row r="405" spans="1:13">
      <c r="A405" s="56" t="s">
        <v>26</v>
      </c>
      <c r="B405" s="56" t="s">
        <v>16</v>
      </c>
      <c r="C405" s="56" t="s">
        <v>28</v>
      </c>
      <c r="D405" s="77">
        <f t="shared" si="11"/>
        <v>0</v>
      </c>
      <c r="E405" s="77"/>
      <c r="M405" s="82"/>
    </row>
    <row r="406" spans="1:13">
      <c r="A406" s="56" t="s">
        <v>26</v>
      </c>
      <c r="B406" s="56" t="s">
        <v>18</v>
      </c>
      <c r="C406" s="56" t="s">
        <v>29</v>
      </c>
      <c r="D406" s="77">
        <f t="shared" si="11"/>
        <v>0</v>
      </c>
      <c r="E406" s="77"/>
      <c r="M406" s="82"/>
    </row>
    <row r="407" spans="1:13">
      <c r="A407" s="56" t="s">
        <v>428</v>
      </c>
      <c r="B407" s="56" t="s">
        <v>258</v>
      </c>
      <c r="C407" s="56" t="s">
        <v>182</v>
      </c>
      <c r="D407" s="77">
        <f t="shared" si="11"/>
        <v>0</v>
      </c>
      <c r="E407" s="77"/>
      <c r="M407" s="82"/>
    </row>
    <row r="408" spans="1:13">
      <c r="A408" s="56" t="s">
        <v>30</v>
      </c>
      <c r="B408" s="56" t="s">
        <v>258</v>
      </c>
      <c r="C408" s="56" t="s">
        <v>904</v>
      </c>
      <c r="D408" s="77">
        <f t="shared" si="11"/>
        <v>0</v>
      </c>
      <c r="E408" s="77"/>
      <c r="M408" s="82"/>
    </row>
    <row r="409" spans="1:13">
      <c r="A409" s="56" t="s">
        <v>30</v>
      </c>
      <c r="B409" s="56" t="s">
        <v>14</v>
      </c>
      <c r="C409" s="56" t="s">
        <v>31</v>
      </c>
      <c r="D409" s="77">
        <f t="shared" si="11"/>
        <v>0</v>
      </c>
      <c r="E409" s="77"/>
      <c r="M409" s="82"/>
    </row>
    <row r="410" spans="1:13">
      <c r="A410" s="52" t="s">
        <v>44</v>
      </c>
      <c r="B410" s="52" t="s">
        <v>33</v>
      </c>
      <c r="C410" s="52" t="s">
        <v>45</v>
      </c>
      <c r="D410" s="78">
        <f t="shared" si="11"/>
        <v>0.12772713699471752</v>
      </c>
      <c r="E410" s="78">
        <v>0.13</v>
      </c>
      <c r="M410" s="82">
        <f t="shared" si="12"/>
        <v>35923.959946560062</v>
      </c>
    </row>
    <row r="411" spans="1:13">
      <c r="A411" s="56" t="s">
        <v>40</v>
      </c>
      <c r="B411" s="56" t="s">
        <v>258</v>
      </c>
      <c r="C411" s="56" t="s">
        <v>41</v>
      </c>
      <c r="D411" s="77">
        <f t="shared" si="11"/>
        <v>0</v>
      </c>
      <c r="E411" s="77"/>
      <c r="M411" s="82"/>
    </row>
    <row r="412" spans="1:13">
      <c r="A412" s="56" t="s">
        <v>42</v>
      </c>
      <c r="B412" s="56" t="s">
        <v>14</v>
      </c>
      <c r="C412" s="56" t="s">
        <v>43</v>
      </c>
      <c r="D412" s="77">
        <f t="shared" si="11"/>
        <v>0</v>
      </c>
      <c r="E412" s="77"/>
      <c r="M412" s="82"/>
    </row>
    <row r="413" spans="1:13">
      <c r="A413" s="52" t="s">
        <v>49</v>
      </c>
      <c r="B413" s="52" t="s">
        <v>33</v>
      </c>
      <c r="C413" s="52" t="s">
        <v>50</v>
      </c>
      <c r="D413" s="78">
        <f t="shared" si="11"/>
        <v>0.21916391676791466</v>
      </c>
      <c r="E413" s="78">
        <v>0.22</v>
      </c>
      <c r="M413" s="82">
        <f t="shared" si="12"/>
        <v>61641.057280000001</v>
      </c>
    </row>
    <row r="414" spans="1:13">
      <c r="A414" s="56" t="s">
        <v>740</v>
      </c>
      <c r="B414" s="56" t="s">
        <v>258</v>
      </c>
      <c r="C414" s="56" t="s">
        <v>905</v>
      </c>
      <c r="D414" s="77">
        <f t="shared" si="11"/>
        <v>0</v>
      </c>
      <c r="E414" s="77"/>
      <c r="M414" s="82"/>
    </row>
    <row r="415" spans="1:13">
      <c r="A415" s="56" t="s">
        <v>47</v>
      </c>
      <c r="B415" s="56" t="s">
        <v>14</v>
      </c>
      <c r="C415" s="56" t="s">
        <v>48</v>
      </c>
      <c r="D415" s="77">
        <f t="shared" si="11"/>
        <v>0</v>
      </c>
      <c r="E415" s="77"/>
      <c r="M415" s="82"/>
    </row>
    <row r="416" spans="1:13">
      <c r="A416" t="s">
        <v>457</v>
      </c>
      <c r="B416" t="s">
        <v>33</v>
      </c>
      <c r="C416" t="s">
        <v>95</v>
      </c>
      <c r="D416" s="54">
        <f t="shared" si="11"/>
        <v>0</v>
      </c>
      <c r="E416" s="54"/>
      <c r="F416" s="42"/>
      <c r="M416" s="82"/>
    </row>
    <row r="417" spans="1:13">
      <c r="A417" s="56" t="s">
        <v>906</v>
      </c>
      <c r="B417" s="56" t="s">
        <v>258</v>
      </c>
      <c r="C417" s="56" t="s">
        <v>907</v>
      </c>
      <c r="D417" s="77">
        <f t="shared" si="11"/>
        <v>0</v>
      </c>
      <c r="E417" s="77"/>
      <c r="M417" s="82"/>
    </row>
    <row r="418" spans="1:13">
      <c r="A418" t="s">
        <v>52</v>
      </c>
      <c r="B418" t="s">
        <v>33</v>
      </c>
      <c r="C418" t="s">
        <v>54</v>
      </c>
      <c r="D418" s="54">
        <f t="shared" si="11"/>
        <v>0</v>
      </c>
      <c r="E418" s="54"/>
      <c r="M418" s="82"/>
    </row>
    <row r="419" spans="1:13">
      <c r="A419" t="s">
        <v>504</v>
      </c>
      <c r="B419" t="s">
        <v>33</v>
      </c>
      <c r="C419" t="s">
        <v>96</v>
      </c>
      <c r="D419" s="54">
        <f t="shared" si="11"/>
        <v>0</v>
      </c>
      <c r="E419" s="54"/>
      <c r="M419" s="82"/>
    </row>
    <row r="420" spans="1:13">
      <c r="F420" s="42"/>
    </row>
    <row r="421" spans="1:13">
      <c r="A421" s="64" t="s">
        <v>918</v>
      </c>
      <c r="B421" s="64"/>
      <c r="C421" s="64"/>
      <c r="D421" s="65">
        <f>SUM(D422:D449)</f>
        <v>1</v>
      </c>
      <c r="E421" s="65">
        <f>SUM(E422:E449)</f>
        <v>1</v>
      </c>
      <c r="M421" s="42" t="e">
        <f>$M$30</f>
        <v>#VALUE!</v>
      </c>
    </row>
    <row r="422" spans="1:13">
      <c r="A422" t="s">
        <v>897</v>
      </c>
      <c r="B422" t="s">
        <v>36</v>
      </c>
      <c r="C422" t="s">
        <v>111</v>
      </c>
      <c r="D422" s="54">
        <f>M422/SUM($M$422:$M$449)</f>
        <v>0</v>
      </c>
      <c r="E422" s="54"/>
      <c r="H422" t="s">
        <v>897</v>
      </c>
      <c r="I422" t="s">
        <v>36</v>
      </c>
      <c r="J422" t="s">
        <v>111</v>
      </c>
      <c r="M422" s="82"/>
    </row>
    <row r="423" spans="1:13">
      <c r="A423" t="s">
        <v>37</v>
      </c>
      <c r="B423" t="s">
        <v>33</v>
      </c>
      <c r="C423" t="s">
        <v>38</v>
      </c>
      <c r="D423" s="54">
        <f t="shared" ref="D423:D449" si="13">M423/SUM($M$422:$M$449)</f>
        <v>0</v>
      </c>
      <c r="E423" s="54"/>
      <c r="H423" t="s">
        <v>37</v>
      </c>
      <c r="I423" t="s">
        <v>33</v>
      </c>
      <c r="J423" t="s">
        <v>38</v>
      </c>
      <c r="M423" s="82"/>
    </row>
    <row r="424" spans="1:13">
      <c r="A424" s="52" t="s">
        <v>32</v>
      </c>
      <c r="B424" s="52" t="s">
        <v>33</v>
      </c>
      <c r="C424" s="52" t="s">
        <v>35</v>
      </c>
      <c r="D424" s="78">
        <f t="shared" si="13"/>
        <v>0.65310894623736793</v>
      </c>
      <c r="E424" s="78">
        <v>0.65</v>
      </c>
      <c r="H424" t="s">
        <v>32</v>
      </c>
      <c r="I424" t="s">
        <v>33</v>
      </c>
      <c r="J424" t="s">
        <v>35</v>
      </c>
      <c r="M424" s="82">
        <f t="shared" ref="M424:M443" si="14">N4</f>
        <v>183690.48408516037</v>
      </c>
    </row>
    <row r="425" spans="1:13">
      <c r="A425" s="56" t="s">
        <v>8</v>
      </c>
      <c r="B425" s="56" t="s">
        <v>9</v>
      </c>
      <c r="C425" s="56" t="s">
        <v>12</v>
      </c>
      <c r="D425" s="77">
        <f t="shared" si="13"/>
        <v>0</v>
      </c>
      <c r="E425" s="77"/>
      <c r="H425" t="s">
        <v>8</v>
      </c>
      <c r="I425" t="s">
        <v>9</v>
      </c>
      <c r="J425" t="s">
        <v>12</v>
      </c>
      <c r="M425" s="82"/>
    </row>
    <row r="426" spans="1:13">
      <c r="A426" s="56" t="s">
        <v>8</v>
      </c>
      <c r="B426" s="56" t="s">
        <v>14</v>
      </c>
      <c r="C426" s="56" t="s">
        <v>15</v>
      </c>
      <c r="D426" s="77">
        <f t="shared" si="13"/>
        <v>0</v>
      </c>
      <c r="E426" s="77"/>
      <c r="H426" t="s">
        <v>8</v>
      </c>
      <c r="I426" t="s">
        <v>14</v>
      </c>
      <c r="J426" t="s">
        <v>15</v>
      </c>
      <c r="M426" s="82"/>
    </row>
    <row r="427" spans="1:13">
      <c r="A427" s="56" t="s">
        <v>8</v>
      </c>
      <c r="B427" s="56" t="s">
        <v>16</v>
      </c>
      <c r="C427" s="56" t="s">
        <v>17</v>
      </c>
      <c r="D427" s="77">
        <f t="shared" si="13"/>
        <v>0</v>
      </c>
      <c r="E427" s="77"/>
      <c r="H427" t="s">
        <v>8</v>
      </c>
      <c r="I427" t="s">
        <v>16</v>
      </c>
      <c r="J427" t="s">
        <v>17</v>
      </c>
      <c r="M427" s="82"/>
    </row>
    <row r="428" spans="1:13">
      <c r="A428" s="56" t="s">
        <v>8</v>
      </c>
      <c r="B428" s="56" t="s">
        <v>18</v>
      </c>
      <c r="C428" s="56" t="s">
        <v>19</v>
      </c>
      <c r="D428" s="77">
        <f t="shared" si="13"/>
        <v>0</v>
      </c>
      <c r="E428" s="77"/>
      <c r="H428" t="s">
        <v>8</v>
      </c>
      <c r="I428" t="s">
        <v>18</v>
      </c>
      <c r="J428" t="s">
        <v>19</v>
      </c>
      <c r="M428" s="82"/>
    </row>
    <row r="429" spans="1:13">
      <c r="A429" s="56" t="s">
        <v>20</v>
      </c>
      <c r="B429" s="56" t="s">
        <v>14</v>
      </c>
      <c r="C429" s="56" t="s">
        <v>21</v>
      </c>
      <c r="D429" s="77">
        <f t="shared" si="13"/>
        <v>0</v>
      </c>
      <c r="E429" s="77"/>
      <c r="H429" t="s">
        <v>20</v>
      </c>
      <c r="I429" t="s">
        <v>14</v>
      </c>
      <c r="J429" t="s">
        <v>21</v>
      </c>
      <c r="M429" s="82"/>
    </row>
    <row r="430" spans="1:13">
      <c r="A430" s="56" t="s">
        <v>20</v>
      </c>
      <c r="B430" s="56" t="s">
        <v>16</v>
      </c>
      <c r="C430" s="56" t="s">
        <v>22</v>
      </c>
      <c r="D430" s="77">
        <f t="shared" si="13"/>
        <v>0</v>
      </c>
      <c r="E430" s="77"/>
      <c r="H430" t="s">
        <v>20</v>
      </c>
      <c r="I430" t="s">
        <v>16</v>
      </c>
      <c r="J430" t="s">
        <v>22</v>
      </c>
      <c r="M430" s="82"/>
    </row>
    <row r="431" spans="1:13">
      <c r="A431" s="56" t="s">
        <v>20</v>
      </c>
      <c r="B431" s="56" t="s">
        <v>18</v>
      </c>
      <c r="C431" s="56" t="s">
        <v>23</v>
      </c>
      <c r="D431" s="77">
        <f t="shared" si="13"/>
        <v>0</v>
      </c>
      <c r="E431" s="77"/>
      <c r="H431" t="s">
        <v>20</v>
      </c>
      <c r="I431" t="s">
        <v>18</v>
      </c>
      <c r="J431" t="s">
        <v>23</v>
      </c>
      <c r="M431" s="82"/>
    </row>
    <row r="432" spans="1:13">
      <c r="A432" s="56" t="s">
        <v>24</v>
      </c>
      <c r="B432" s="56" t="s">
        <v>9</v>
      </c>
      <c r="C432" s="56" t="s">
        <v>25</v>
      </c>
      <c r="D432" s="77">
        <f t="shared" si="13"/>
        <v>0</v>
      </c>
      <c r="E432" s="77"/>
      <c r="H432" t="s">
        <v>24</v>
      </c>
      <c r="I432" t="s">
        <v>9</v>
      </c>
      <c r="J432" t="s">
        <v>25</v>
      </c>
      <c r="M432" s="82"/>
    </row>
    <row r="433" spans="1:13">
      <c r="A433" s="56" t="s">
        <v>26</v>
      </c>
      <c r="B433" s="56" t="s">
        <v>258</v>
      </c>
      <c r="C433" s="56" t="s">
        <v>902</v>
      </c>
      <c r="D433" s="77">
        <f t="shared" si="13"/>
        <v>0</v>
      </c>
      <c r="E433" s="77"/>
      <c r="H433" t="s">
        <v>26</v>
      </c>
      <c r="I433" t="s">
        <v>258</v>
      </c>
      <c r="J433" t="s">
        <v>902</v>
      </c>
      <c r="M433" s="82"/>
    </row>
    <row r="434" spans="1:13">
      <c r="A434" s="56" t="s">
        <v>26</v>
      </c>
      <c r="B434" s="56" t="s">
        <v>14</v>
      </c>
      <c r="C434" s="56" t="s">
        <v>27</v>
      </c>
      <c r="D434" s="77">
        <f t="shared" si="13"/>
        <v>0</v>
      </c>
      <c r="E434" s="77"/>
      <c r="H434" t="s">
        <v>26</v>
      </c>
      <c r="I434" t="s">
        <v>14</v>
      </c>
      <c r="J434" t="s">
        <v>27</v>
      </c>
      <c r="M434" s="82"/>
    </row>
    <row r="435" spans="1:13">
      <c r="A435" s="56" t="s">
        <v>26</v>
      </c>
      <c r="B435" s="56" t="s">
        <v>16</v>
      </c>
      <c r="C435" s="56" t="s">
        <v>28</v>
      </c>
      <c r="D435" s="77">
        <f t="shared" si="13"/>
        <v>0</v>
      </c>
      <c r="E435" s="77"/>
      <c r="H435" t="s">
        <v>26</v>
      </c>
      <c r="I435" t="s">
        <v>16</v>
      </c>
      <c r="J435" t="s">
        <v>28</v>
      </c>
      <c r="M435" s="82"/>
    </row>
    <row r="436" spans="1:13">
      <c r="A436" s="56" t="s">
        <v>26</v>
      </c>
      <c r="B436" s="56" t="s">
        <v>18</v>
      </c>
      <c r="C436" s="56" t="s">
        <v>29</v>
      </c>
      <c r="D436" s="77">
        <f t="shared" si="13"/>
        <v>0</v>
      </c>
      <c r="E436" s="77"/>
      <c r="H436" t="s">
        <v>26</v>
      </c>
      <c r="I436" t="s">
        <v>18</v>
      </c>
      <c r="J436" t="s">
        <v>29</v>
      </c>
      <c r="M436" s="82"/>
    </row>
    <row r="437" spans="1:13">
      <c r="A437" s="56" t="s">
        <v>428</v>
      </c>
      <c r="B437" s="56" t="s">
        <v>258</v>
      </c>
      <c r="C437" s="56" t="s">
        <v>182</v>
      </c>
      <c r="D437" s="77">
        <f t="shared" si="13"/>
        <v>0</v>
      </c>
      <c r="E437" s="77"/>
      <c r="H437" t="s">
        <v>428</v>
      </c>
      <c r="I437" t="s">
        <v>258</v>
      </c>
      <c r="J437" t="s">
        <v>182</v>
      </c>
      <c r="M437" s="82"/>
    </row>
    <row r="438" spans="1:13">
      <c r="A438" s="56" t="s">
        <v>30</v>
      </c>
      <c r="B438" s="56" t="s">
        <v>258</v>
      </c>
      <c r="C438" s="56" t="s">
        <v>904</v>
      </c>
      <c r="D438" s="77">
        <f t="shared" si="13"/>
        <v>0</v>
      </c>
      <c r="E438" s="77"/>
      <c r="H438" t="s">
        <v>30</v>
      </c>
      <c r="I438" t="s">
        <v>258</v>
      </c>
      <c r="J438" t="s">
        <v>904</v>
      </c>
      <c r="M438" s="82"/>
    </row>
    <row r="439" spans="1:13">
      <c r="A439" s="56" t="s">
        <v>30</v>
      </c>
      <c r="B439" s="56" t="s">
        <v>14</v>
      </c>
      <c r="C439" s="56" t="s">
        <v>31</v>
      </c>
      <c r="D439" s="77">
        <f t="shared" si="13"/>
        <v>0</v>
      </c>
      <c r="E439" s="77"/>
      <c r="H439" t="s">
        <v>30</v>
      </c>
      <c r="I439" t="s">
        <v>14</v>
      </c>
      <c r="J439" t="s">
        <v>31</v>
      </c>
      <c r="M439" s="82"/>
    </row>
    <row r="440" spans="1:13">
      <c r="A440" s="52" t="s">
        <v>44</v>
      </c>
      <c r="B440" s="52" t="s">
        <v>33</v>
      </c>
      <c r="C440" s="52" t="s">
        <v>45</v>
      </c>
      <c r="D440" s="78">
        <f t="shared" si="13"/>
        <v>0.12772713699471752</v>
      </c>
      <c r="E440" s="78">
        <v>0.13</v>
      </c>
      <c r="H440" t="s">
        <v>44</v>
      </c>
      <c r="I440" t="s">
        <v>33</v>
      </c>
      <c r="J440" t="s">
        <v>45</v>
      </c>
      <c r="M440" s="82">
        <f t="shared" si="14"/>
        <v>35923.959946560062</v>
      </c>
    </row>
    <row r="441" spans="1:13">
      <c r="A441" s="56" t="s">
        <v>40</v>
      </c>
      <c r="B441" s="56" t="s">
        <v>258</v>
      </c>
      <c r="C441" s="56" t="s">
        <v>41</v>
      </c>
      <c r="D441" s="77">
        <f t="shared" si="13"/>
        <v>0</v>
      </c>
      <c r="E441" s="77"/>
      <c r="H441" t="s">
        <v>40</v>
      </c>
      <c r="I441" t="s">
        <v>258</v>
      </c>
      <c r="J441" t="s">
        <v>41</v>
      </c>
      <c r="M441" s="82"/>
    </row>
    <row r="442" spans="1:13">
      <c r="A442" s="56" t="s">
        <v>42</v>
      </c>
      <c r="B442" s="56" t="s">
        <v>14</v>
      </c>
      <c r="C442" s="56" t="s">
        <v>43</v>
      </c>
      <c r="D442" s="77">
        <f t="shared" si="13"/>
        <v>0</v>
      </c>
      <c r="E442" s="77"/>
      <c r="H442" t="s">
        <v>42</v>
      </c>
      <c r="I442" t="s">
        <v>14</v>
      </c>
      <c r="J442" t="s">
        <v>43</v>
      </c>
      <c r="M442" s="82"/>
    </row>
    <row r="443" spans="1:13">
      <c r="A443" s="52" t="s">
        <v>49</v>
      </c>
      <c r="B443" s="52" t="s">
        <v>33</v>
      </c>
      <c r="C443" s="52" t="s">
        <v>50</v>
      </c>
      <c r="D443" s="78">
        <f t="shared" si="13"/>
        <v>0.21916391676791466</v>
      </c>
      <c r="E443" s="78">
        <v>0.22</v>
      </c>
      <c r="H443" t="s">
        <v>49</v>
      </c>
      <c r="I443" t="s">
        <v>33</v>
      </c>
      <c r="J443" t="s">
        <v>50</v>
      </c>
      <c r="M443" s="82">
        <f t="shared" si="14"/>
        <v>61641.057280000001</v>
      </c>
    </row>
    <row r="444" spans="1:13">
      <c r="A444" s="56" t="s">
        <v>740</v>
      </c>
      <c r="B444" s="56" t="s">
        <v>258</v>
      </c>
      <c r="C444" s="56" t="s">
        <v>905</v>
      </c>
      <c r="D444" s="77">
        <f t="shared" si="13"/>
        <v>0</v>
      </c>
      <c r="E444" s="77"/>
      <c r="H444" t="s">
        <v>740</v>
      </c>
      <c r="I444" t="s">
        <v>258</v>
      </c>
      <c r="J444" t="s">
        <v>905</v>
      </c>
      <c r="M444" s="82"/>
    </row>
    <row r="445" spans="1:13">
      <c r="A445" s="56" t="s">
        <v>47</v>
      </c>
      <c r="B445" s="56" t="s">
        <v>14</v>
      </c>
      <c r="C445" s="56" t="s">
        <v>48</v>
      </c>
      <c r="D445" s="77">
        <f t="shared" si="13"/>
        <v>0</v>
      </c>
      <c r="E445" s="77"/>
      <c r="H445" t="s">
        <v>47</v>
      </c>
      <c r="I445" t="s">
        <v>14</v>
      </c>
      <c r="J445" t="s">
        <v>48</v>
      </c>
      <c r="M445" s="82"/>
    </row>
    <row r="446" spans="1:13">
      <c r="A446" t="s">
        <v>457</v>
      </c>
      <c r="B446" t="s">
        <v>33</v>
      </c>
      <c r="C446" t="s">
        <v>95</v>
      </c>
      <c r="D446" s="54">
        <f t="shared" si="13"/>
        <v>0</v>
      </c>
      <c r="E446" s="54"/>
      <c r="H446" t="s">
        <v>457</v>
      </c>
      <c r="I446" t="s">
        <v>33</v>
      </c>
      <c r="J446" t="s">
        <v>95</v>
      </c>
      <c r="M446" s="82"/>
    </row>
    <row r="447" spans="1:13">
      <c r="A447" s="56" t="s">
        <v>906</v>
      </c>
      <c r="B447" s="56" t="s">
        <v>258</v>
      </c>
      <c r="C447" s="56" t="s">
        <v>907</v>
      </c>
      <c r="D447" s="77">
        <f t="shared" si="13"/>
        <v>0</v>
      </c>
      <c r="E447" s="77"/>
      <c r="H447" t="s">
        <v>906</v>
      </c>
      <c r="I447" t="s">
        <v>258</v>
      </c>
      <c r="J447" t="s">
        <v>907</v>
      </c>
      <c r="M447" s="82"/>
    </row>
    <row r="448" spans="1:13">
      <c r="A448" t="s">
        <v>52</v>
      </c>
      <c r="B448" t="s">
        <v>33</v>
      </c>
      <c r="C448" t="s">
        <v>54</v>
      </c>
      <c r="D448" s="54">
        <f t="shared" si="13"/>
        <v>0</v>
      </c>
      <c r="E448" s="54"/>
      <c r="H448" t="s">
        <v>52</v>
      </c>
      <c r="I448" t="s">
        <v>33</v>
      </c>
      <c r="J448" t="s">
        <v>54</v>
      </c>
      <c r="M448" s="82"/>
    </row>
    <row r="449" spans="1:13">
      <c r="A449" t="s">
        <v>504</v>
      </c>
      <c r="B449" t="s">
        <v>33</v>
      </c>
      <c r="C449" t="s">
        <v>96</v>
      </c>
      <c r="D449" s="54">
        <f t="shared" si="13"/>
        <v>0</v>
      </c>
      <c r="E449" s="54"/>
      <c r="H449" t="s">
        <v>504</v>
      </c>
      <c r="I449" t="s">
        <v>33</v>
      </c>
      <c r="J449" t="s">
        <v>96</v>
      </c>
      <c r="M449" s="82"/>
    </row>
    <row r="451" spans="1:13">
      <c r="A451" s="59"/>
      <c r="B451" s="59"/>
      <c r="C451" s="59"/>
      <c r="D451" s="60">
        <f>SUM(D452:D479)</f>
        <v>0</v>
      </c>
      <c r="E451" s="60">
        <f>SUM(E452:E479)</f>
        <v>0</v>
      </c>
      <c r="F451" t="s">
        <v>919</v>
      </c>
    </row>
    <row r="452" spans="1:13">
      <c r="A452" t="s">
        <v>897</v>
      </c>
      <c r="B452" t="s">
        <v>36</v>
      </c>
      <c r="C452" t="s">
        <v>111</v>
      </c>
      <c r="D452" s="54"/>
      <c r="E452" s="54"/>
    </row>
    <row r="453" spans="1:13">
      <c r="A453" t="s">
        <v>37</v>
      </c>
      <c r="B453" t="s">
        <v>33</v>
      </c>
      <c r="C453" t="s">
        <v>38</v>
      </c>
      <c r="D453" s="54"/>
      <c r="E453" s="54"/>
    </row>
    <row r="454" spans="1:13">
      <c r="A454" t="s">
        <v>32</v>
      </c>
      <c r="B454" t="s">
        <v>33</v>
      </c>
      <c r="C454" t="s">
        <v>35</v>
      </c>
      <c r="D454" s="54"/>
      <c r="E454" s="54"/>
    </row>
    <row r="455" spans="1:13">
      <c r="A455" s="56" t="s">
        <v>8</v>
      </c>
      <c r="B455" s="56" t="s">
        <v>9</v>
      </c>
      <c r="C455" s="56" t="s">
        <v>12</v>
      </c>
      <c r="D455" s="77"/>
      <c r="E455" s="54"/>
    </row>
    <row r="456" spans="1:13">
      <c r="A456" s="56" t="s">
        <v>8</v>
      </c>
      <c r="B456" s="56" t="s">
        <v>14</v>
      </c>
      <c r="C456" s="56" t="s">
        <v>15</v>
      </c>
      <c r="D456" s="77"/>
      <c r="E456" s="54"/>
    </row>
    <row r="457" spans="1:13">
      <c r="A457" s="56" t="s">
        <v>8</v>
      </c>
      <c r="B457" s="56" t="s">
        <v>16</v>
      </c>
      <c r="C457" s="56" t="s">
        <v>17</v>
      </c>
      <c r="D457" s="77"/>
      <c r="E457" s="54"/>
    </row>
    <row r="458" spans="1:13">
      <c r="A458" s="56" t="s">
        <v>8</v>
      </c>
      <c r="B458" s="56" t="s">
        <v>18</v>
      </c>
      <c r="C458" s="56" t="s">
        <v>19</v>
      </c>
      <c r="D458" s="77"/>
      <c r="E458" s="54"/>
    </row>
    <row r="459" spans="1:13">
      <c r="A459" s="56" t="s">
        <v>20</v>
      </c>
      <c r="B459" s="56" t="s">
        <v>14</v>
      </c>
      <c r="C459" s="56" t="s">
        <v>21</v>
      </c>
      <c r="D459" s="77"/>
      <c r="E459" s="54"/>
    </row>
    <row r="460" spans="1:13">
      <c r="A460" s="56" t="s">
        <v>20</v>
      </c>
      <c r="B460" s="56" t="s">
        <v>16</v>
      </c>
      <c r="C460" s="56" t="s">
        <v>22</v>
      </c>
      <c r="D460" s="77"/>
      <c r="E460" s="54"/>
    </row>
    <row r="461" spans="1:13">
      <c r="A461" s="56" t="s">
        <v>20</v>
      </c>
      <c r="B461" s="56" t="s">
        <v>18</v>
      </c>
      <c r="C461" s="56" t="s">
        <v>23</v>
      </c>
      <c r="D461" s="77"/>
      <c r="E461" s="54"/>
    </row>
    <row r="462" spans="1:13">
      <c r="A462" s="56" t="s">
        <v>24</v>
      </c>
      <c r="B462" s="56" t="s">
        <v>9</v>
      </c>
      <c r="C462" s="56" t="s">
        <v>25</v>
      </c>
      <c r="D462" s="77"/>
      <c r="E462" s="54"/>
    </row>
    <row r="463" spans="1:13">
      <c r="A463" s="56" t="s">
        <v>26</v>
      </c>
      <c r="B463" s="56" t="s">
        <v>258</v>
      </c>
      <c r="C463" s="56" t="s">
        <v>902</v>
      </c>
      <c r="D463" s="77"/>
      <c r="E463" s="54"/>
    </row>
    <row r="464" spans="1:13">
      <c r="A464" s="56" t="s">
        <v>26</v>
      </c>
      <c r="B464" s="56" t="s">
        <v>14</v>
      </c>
      <c r="C464" s="56" t="s">
        <v>27</v>
      </c>
      <c r="D464" s="77"/>
      <c r="E464" s="54"/>
    </row>
    <row r="465" spans="1:5">
      <c r="A465" s="56" t="s">
        <v>26</v>
      </c>
      <c r="B465" s="56" t="s">
        <v>16</v>
      </c>
      <c r="C465" s="56" t="s">
        <v>28</v>
      </c>
      <c r="D465" s="77"/>
      <c r="E465" s="54"/>
    </row>
    <row r="466" spans="1:5">
      <c r="A466" s="56" t="s">
        <v>26</v>
      </c>
      <c r="B466" s="56" t="s">
        <v>18</v>
      </c>
      <c r="C466" s="56" t="s">
        <v>29</v>
      </c>
      <c r="D466" s="77"/>
      <c r="E466" s="54"/>
    </row>
    <row r="467" spans="1:5">
      <c r="A467" s="56" t="s">
        <v>428</v>
      </c>
      <c r="B467" s="56" t="s">
        <v>258</v>
      </c>
      <c r="C467" s="56" t="s">
        <v>182</v>
      </c>
      <c r="D467" s="54"/>
      <c r="E467" s="54"/>
    </row>
    <row r="468" spans="1:5">
      <c r="A468" s="56" t="s">
        <v>30</v>
      </c>
      <c r="B468" s="56" t="s">
        <v>258</v>
      </c>
      <c r="C468" s="56" t="s">
        <v>904</v>
      </c>
      <c r="D468" s="77"/>
      <c r="E468" s="54"/>
    </row>
    <row r="469" spans="1:5">
      <c r="A469" s="56" t="s">
        <v>30</v>
      </c>
      <c r="B469" s="56" t="s">
        <v>14</v>
      </c>
      <c r="C469" s="56" t="s">
        <v>31</v>
      </c>
      <c r="D469" s="77"/>
      <c r="E469" s="54"/>
    </row>
    <row r="470" spans="1:5">
      <c r="A470" t="s">
        <v>44</v>
      </c>
      <c r="B470" t="s">
        <v>33</v>
      </c>
      <c r="C470" t="s">
        <v>45</v>
      </c>
      <c r="D470" s="54"/>
      <c r="E470" s="54"/>
    </row>
    <row r="471" spans="1:5">
      <c r="A471" s="56" t="s">
        <v>40</v>
      </c>
      <c r="B471" s="56" t="s">
        <v>258</v>
      </c>
      <c r="C471" s="56" t="s">
        <v>41</v>
      </c>
      <c r="D471" s="77"/>
      <c r="E471" s="54"/>
    </row>
    <row r="472" spans="1:5">
      <c r="A472" s="56" t="s">
        <v>42</v>
      </c>
      <c r="B472" s="56" t="s">
        <v>14</v>
      </c>
      <c r="C472" s="56" t="s">
        <v>43</v>
      </c>
      <c r="D472" s="54"/>
      <c r="E472" s="54"/>
    </row>
    <row r="473" spans="1:5">
      <c r="A473" t="s">
        <v>49</v>
      </c>
      <c r="B473" t="s">
        <v>33</v>
      </c>
      <c r="C473" t="s">
        <v>50</v>
      </c>
      <c r="D473" s="54"/>
      <c r="E473" s="54"/>
    </row>
    <row r="474" spans="1:5">
      <c r="A474" s="56" t="s">
        <v>740</v>
      </c>
      <c r="B474" s="56" t="s">
        <v>258</v>
      </c>
      <c r="C474" s="56" t="s">
        <v>905</v>
      </c>
      <c r="D474" s="54"/>
      <c r="E474" s="54"/>
    </row>
    <row r="475" spans="1:5">
      <c r="A475" s="56" t="s">
        <v>47</v>
      </c>
      <c r="B475" s="56" t="s">
        <v>14</v>
      </c>
      <c r="C475" s="56" t="s">
        <v>48</v>
      </c>
      <c r="D475" s="54"/>
      <c r="E475" s="54"/>
    </row>
    <row r="476" spans="1:5">
      <c r="A476" t="s">
        <v>457</v>
      </c>
      <c r="B476" t="s">
        <v>33</v>
      </c>
      <c r="C476" t="s">
        <v>95</v>
      </c>
      <c r="D476" s="54"/>
      <c r="E476" s="54"/>
    </row>
    <row r="477" spans="1:5">
      <c r="A477" s="56" t="s">
        <v>906</v>
      </c>
      <c r="B477" s="56" t="s">
        <v>258</v>
      </c>
      <c r="C477" s="56" t="s">
        <v>907</v>
      </c>
      <c r="D477" s="54"/>
      <c r="E477" s="54"/>
    </row>
    <row r="478" spans="1:5">
      <c r="A478" t="s">
        <v>52</v>
      </c>
      <c r="B478" t="s">
        <v>33</v>
      </c>
      <c r="C478" t="s">
        <v>54</v>
      </c>
      <c r="D478" s="54"/>
      <c r="E478" s="54"/>
    </row>
    <row r="479" spans="1:5">
      <c r="A479" t="s">
        <v>504</v>
      </c>
      <c r="B479" t="s">
        <v>33</v>
      </c>
      <c r="C479" t="s">
        <v>96</v>
      </c>
      <c r="D479" s="54"/>
      <c r="E479" s="54"/>
    </row>
    <row r="481" spans="1:6">
      <c r="A481" s="64"/>
      <c r="B481" s="64"/>
      <c r="C481" s="64"/>
      <c r="D481" s="65">
        <f>SUM(D482:D509)</f>
        <v>0</v>
      </c>
      <c r="E481" s="65">
        <f>SUM(E482:E509)</f>
        <v>0</v>
      </c>
      <c r="F481" t="s">
        <v>920</v>
      </c>
    </row>
    <row r="482" spans="1:6">
      <c r="A482" t="s">
        <v>897</v>
      </c>
      <c r="B482" t="s">
        <v>36</v>
      </c>
      <c r="C482" t="s">
        <v>111</v>
      </c>
      <c r="D482" s="54"/>
      <c r="E482" s="54"/>
    </row>
    <row r="483" spans="1:6">
      <c r="A483" t="s">
        <v>37</v>
      </c>
      <c r="B483" t="s">
        <v>33</v>
      </c>
      <c r="C483" t="s">
        <v>38</v>
      </c>
      <c r="D483" s="54"/>
      <c r="E483" s="54"/>
    </row>
    <row r="484" spans="1:6">
      <c r="A484" t="s">
        <v>32</v>
      </c>
      <c r="B484" t="s">
        <v>33</v>
      </c>
      <c r="C484" t="s">
        <v>35</v>
      </c>
      <c r="D484" s="54"/>
      <c r="E484" s="54"/>
    </row>
    <row r="485" spans="1:6">
      <c r="A485" s="56" t="s">
        <v>8</v>
      </c>
      <c r="B485" s="56" t="s">
        <v>9</v>
      </c>
      <c r="C485" s="56" t="s">
        <v>12</v>
      </c>
      <c r="D485" s="77"/>
      <c r="E485" s="54"/>
    </row>
    <row r="486" spans="1:6">
      <c r="A486" s="56" t="s">
        <v>8</v>
      </c>
      <c r="B486" s="56" t="s">
        <v>14</v>
      </c>
      <c r="C486" s="56" t="s">
        <v>15</v>
      </c>
      <c r="D486" s="77"/>
      <c r="E486" s="54"/>
    </row>
    <row r="487" spans="1:6">
      <c r="A487" s="56" t="s">
        <v>8</v>
      </c>
      <c r="B487" s="56" t="s">
        <v>16</v>
      </c>
      <c r="C487" s="56" t="s">
        <v>17</v>
      </c>
      <c r="D487" s="77"/>
      <c r="E487" s="54"/>
    </row>
    <row r="488" spans="1:6">
      <c r="A488" s="56" t="s">
        <v>8</v>
      </c>
      <c r="B488" s="56" t="s">
        <v>18</v>
      </c>
      <c r="C488" s="56" t="s">
        <v>19</v>
      </c>
      <c r="D488" s="77"/>
      <c r="E488" s="54"/>
    </row>
    <row r="489" spans="1:6">
      <c r="A489" s="56" t="s">
        <v>20</v>
      </c>
      <c r="B489" s="56" t="s">
        <v>14</v>
      </c>
      <c r="C489" s="56" t="s">
        <v>21</v>
      </c>
      <c r="D489" s="77"/>
      <c r="E489" s="54"/>
    </row>
    <row r="490" spans="1:6">
      <c r="A490" s="56" t="s">
        <v>20</v>
      </c>
      <c r="B490" s="56" t="s">
        <v>16</v>
      </c>
      <c r="C490" s="56" t="s">
        <v>22</v>
      </c>
      <c r="D490" s="77"/>
      <c r="E490" s="54"/>
    </row>
    <row r="491" spans="1:6">
      <c r="A491" s="56" t="s">
        <v>20</v>
      </c>
      <c r="B491" s="56" t="s">
        <v>18</v>
      </c>
      <c r="C491" s="56" t="s">
        <v>23</v>
      </c>
      <c r="D491" s="77"/>
      <c r="E491" s="54"/>
    </row>
    <row r="492" spans="1:6">
      <c r="A492" s="56" t="s">
        <v>24</v>
      </c>
      <c r="B492" s="56" t="s">
        <v>9</v>
      </c>
      <c r="C492" s="56" t="s">
        <v>25</v>
      </c>
      <c r="D492" s="77"/>
      <c r="E492" s="54"/>
    </row>
    <row r="493" spans="1:6">
      <c r="A493" s="56" t="s">
        <v>26</v>
      </c>
      <c r="B493" s="56" t="s">
        <v>258</v>
      </c>
      <c r="C493" s="56" t="s">
        <v>902</v>
      </c>
      <c r="D493" s="77"/>
      <c r="E493" s="54"/>
    </row>
    <row r="494" spans="1:6">
      <c r="A494" s="56" t="s">
        <v>26</v>
      </c>
      <c r="B494" s="56" t="s">
        <v>14</v>
      </c>
      <c r="C494" s="56" t="s">
        <v>27</v>
      </c>
      <c r="D494" s="77"/>
      <c r="E494" s="54"/>
    </row>
    <row r="495" spans="1:6">
      <c r="A495" s="56" t="s">
        <v>26</v>
      </c>
      <c r="B495" s="56" t="s">
        <v>16</v>
      </c>
      <c r="C495" s="56" t="s">
        <v>28</v>
      </c>
      <c r="D495" s="77"/>
      <c r="E495" s="54"/>
    </row>
    <row r="496" spans="1:6">
      <c r="A496" s="56" t="s">
        <v>26</v>
      </c>
      <c r="B496" s="56" t="s">
        <v>18</v>
      </c>
      <c r="C496" s="56" t="s">
        <v>29</v>
      </c>
      <c r="D496" s="77"/>
      <c r="E496" s="54"/>
    </row>
    <row r="497" spans="1:5">
      <c r="A497" s="56" t="s">
        <v>428</v>
      </c>
      <c r="B497" s="56" t="s">
        <v>258</v>
      </c>
      <c r="C497" s="56" t="s">
        <v>182</v>
      </c>
      <c r="D497" s="54"/>
      <c r="E497" s="54"/>
    </row>
    <row r="498" spans="1:5">
      <c r="A498" s="56" t="s">
        <v>30</v>
      </c>
      <c r="B498" s="56" t="s">
        <v>258</v>
      </c>
      <c r="C498" s="56" t="s">
        <v>904</v>
      </c>
      <c r="D498" s="77"/>
      <c r="E498" s="54"/>
    </row>
    <row r="499" spans="1:5">
      <c r="A499" s="56" t="s">
        <v>30</v>
      </c>
      <c r="B499" s="56" t="s">
        <v>14</v>
      </c>
      <c r="C499" s="56" t="s">
        <v>31</v>
      </c>
      <c r="D499" s="77"/>
      <c r="E499" s="54"/>
    </row>
    <row r="500" spans="1:5">
      <c r="A500" t="s">
        <v>44</v>
      </c>
      <c r="B500" t="s">
        <v>33</v>
      </c>
      <c r="C500" t="s">
        <v>45</v>
      </c>
      <c r="D500" s="54"/>
      <c r="E500" s="54"/>
    </row>
    <row r="501" spans="1:5">
      <c r="A501" s="56" t="s">
        <v>40</v>
      </c>
      <c r="B501" s="56" t="s">
        <v>258</v>
      </c>
      <c r="C501" s="56" t="s">
        <v>41</v>
      </c>
      <c r="D501" s="77"/>
      <c r="E501" s="54"/>
    </row>
    <row r="502" spans="1:5">
      <c r="A502" s="56" t="s">
        <v>42</v>
      </c>
      <c r="B502" s="56" t="s">
        <v>14</v>
      </c>
      <c r="C502" s="56" t="s">
        <v>43</v>
      </c>
      <c r="D502" s="54"/>
      <c r="E502" s="54"/>
    </row>
    <row r="503" spans="1:5">
      <c r="A503" t="s">
        <v>49</v>
      </c>
      <c r="B503" t="s">
        <v>33</v>
      </c>
      <c r="C503" t="s">
        <v>50</v>
      </c>
      <c r="D503" s="54"/>
      <c r="E503" s="54"/>
    </row>
    <row r="504" spans="1:5">
      <c r="A504" s="56" t="s">
        <v>740</v>
      </c>
      <c r="B504" s="56" t="s">
        <v>258</v>
      </c>
      <c r="C504" s="56" t="s">
        <v>905</v>
      </c>
      <c r="D504" s="54"/>
      <c r="E504" s="54"/>
    </row>
    <row r="505" spans="1:5">
      <c r="A505" s="56" t="s">
        <v>47</v>
      </c>
      <c r="B505" s="56" t="s">
        <v>14</v>
      </c>
      <c r="C505" s="56" t="s">
        <v>48</v>
      </c>
      <c r="D505" s="54"/>
      <c r="E505" s="54"/>
    </row>
    <row r="506" spans="1:5">
      <c r="A506" t="s">
        <v>457</v>
      </c>
      <c r="B506" t="s">
        <v>33</v>
      </c>
      <c r="C506" t="s">
        <v>95</v>
      </c>
      <c r="D506" s="54"/>
      <c r="E506" s="54"/>
    </row>
    <row r="507" spans="1:5">
      <c r="A507" s="56" t="s">
        <v>906</v>
      </c>
      <c r="B507" s="56" t="s">
        <v>258</v>
      </c>
      <c r="C507" s="56" t="s">
        <v>907</v>
      </c>
      <c r="D507" s="54"/>
      <c r="E507" s="54"/>
    </row>
    <row r="508" spans="1:5">
      <c r="A508" t="s">
        <v>52</v>
      </c>
      <c r="B508" t="s">
        <v>33</v>
      </c>
      <c r="C508" t="s">
        <v>54</v>
      </c>
      <c r="D508" s="54"/>
      <c r="E508" s="54"/>
    </row>
    <row r="509" spans="1:5">
      <c r="A509" t="s">
        <v>504</v>
      </c>
      <c r="B509" t="s">
        <v>33</v>
      </c>
      <c r="C509" t="s">
        <v>96</v>
      </c>
      <c r="D509" s="54"/>
      <c r="E509" s="5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20ebe62-05ca-4e88-8159-bcab1b0a2edb" xsi:nil="true"/>
    <lcf76f155ced4ddcb4097134ff3c332f xmlns="3aadfa86-50b8-4cdd-941a-20979f9bb0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E73AD4E2131B459F16D75169EDE20D" ma:contentTypeVersion="22" ma:contentTypeDescription="Create a new document." ma:contentTypeScope="" ma:versionID="7a49a6930efa2315b19d8189a40d20fc">
  <xsd:schema xmlns:xsd="http://www.w3.org/2001/XMLSchema" xmlns:xs="http://www.w3.org/2001/XMLSchema" xmlns:p="http://schemas.microsoft.com/office/2006/metadata/properties" xmlns:ns1="http://schemas.microsoft.com/sharepoint/v3" xmlns:ns2="3aadfa86-50b8-4cdd-941a-20979f9bb0e4" xmlns:ns3="020ebe62-05ca-4e88-8159-bcab1b0a2edb" targetNamespace="http://schemas.microsoft.com/office/2006/metadata/properties" ma:root="true" ma:fieldsID="283736018ab5cf6bc82cfaccbc5c5444" ns1:_="" ns2:_="" ns3:_="">
    <xsd:import namespace="http://schemas.microsoft.com/sharepoint/v3"/>
    <xsd:import namespace="3aadfa86-50b8-4cdd-941a-20979f9bb0e4"/>
    <xsd:import namespace="020ebe62-05ca-4e88-8159-bcab1b0a2e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riedades da Política de Conformidade Unificada" ma:hidden="true" ma:internalName="_ip_UnifiedCompliancePolicyProperties">
      <xsd:simpleType>
        <xsd:restriction base="dms:Note"/>
      </xsd:simpleType>
    </xsd:element>
    <xsd:element name="_ip_UnifiedCompliancePolicyUIAction" ma:index="23"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adfa86-50b8-4cdd-941a-20979f9bb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2c3af42b-8b79-4848-96e4-7a6ac53b27a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0ebe62-05ca-4e88-8159-bcab1b0a2ed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fabd8c-caf2-443a-a48b-0c68aefa7c47}" ma:internalName="TaxCatchAll" ma:showField="CatchAllData" ma:web="020ebe62-05ca-4e88-8159-bcab1b0a2ed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Tipo de Conteúdo"/>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6231C3-9FEE-4C8E-A547-83B84EA8CD00}"/>
</file>

<file path=customXml/itemProps2.xml><?xml version="1.0" encoding="utf-8"?>
<ds:datastoreItem xmlns:ds="http://schemas.openxmlformats.org/officeDocument/2006/customXml" ds:itemID="{8F0954B0-469B-41DC-BB49-445B88C7D97C}"/>
</file>

<file path=customXml/itemProps3.xml><?xml version="1.0" encoding="utf-8"?>
<ds:datastoreItem xmlns:ds="http://schemas.openxmlformats.org/officeDocument/2006/customXml" ds:itemID="{4BACFE12-1116-435F-BC6F-A2E468C814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Karina Nagatani</dc:creator>
  <cp:keywords/>
  <dc:description/>
  <cp:lastModifiedBy>Leonardo Silva Fernandes</cp:lastModifiedBy>
  <cp:revision/>
  <dcterms:created xsi:type="dcterms:W3CDTF">2025-07-24T18:53:08Z</dcterms:created>
  <dcterms:modified xsi:type="dcterms:W3CDTF">2026-09-16T19:46:17Z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2025-07-24T19:01:25Z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0a697079-0afe-4038-94e2-aa47caeddb10</vt:lpwstr>
  </property>
  <property fmtid="{D5CDD505-2E9C-101B-9397-08002B2CF9AE}" pid="7" name="MSIP_Label_defa4170-0d19-0005-0004-bc88714345d2_ActionId">
    <vt:lpwstr>c721ed0c-fb79-4bcb-b9f4-be4b423a8440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0x010100CDE73AD4E2131B459F16D75169EDE20D</vt:lpwstr>
  </property>
  <property fmtid="{D5CDD505-2E9C-101B-9397-08002B2CF9AE}" pid="11" name="MediaServiceImageTags">
    <vt:lpwstr/>
  </property>
</Properties>
</file>